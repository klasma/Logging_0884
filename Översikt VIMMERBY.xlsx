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46022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46022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46022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46022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46022</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46022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46022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46022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46022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46022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46022</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46022</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58997-2025</t>
        </is>
      </c>
      <c r="B15" s="1" t="n">
        <v>45987</v>
      </c>
      <c r="C15" s="1" t="n">
        <v>46022</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46022</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32645-2023</t>
        </is>
      </c>
      <c r="B17" s="1" t="n">
        <v>45121.60543981481</v>
      </c>
      <c r="C17" s="1" t="n">
        <v>46022</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46022</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46022</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14584-2025</t>
        </is>
      </c>
      <c r="B20" s="1" t="n">
        <v>45742</v>
      </c>
      <c r="C20" s="1" t="n">
        <v>46022</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57053-2025</t>
        </is>
      </c>
      <c r="B21" s="1" t="n">
        <v>45979.35256944445</v>
      </c>
      <c r="C21" s="1" t="n">
        <v>46022</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15427-2023</t>
        </is>
      </c>
      <c r="B22" s="1" t="n">
        <v>45020</v>
      </c>
      <c r="C22" s="1" t="n">
        <v>46022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46022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46022</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46022</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46022</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46022</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46022</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46022</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46022</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46022</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14024-2023</t>
        </is>
      </c>
      <c r="B32" s="1" t="n">
        <v>45008.60878472222</v>
      </c>
      <c r="C32" s="1" t="n">
        <v>46022</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46022</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46022</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46022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46022</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6841-2021</t>
        </is>
      </c>
      <c r="B37" s="1" t="n">
        <v>44236</v>
      </c>
      <c r="C37" s="1" t="n">
        <v>46022</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46022</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28852-2023</t>
        </is>
      </c>
      <c r="B39" s="1" t="n">
        <v>45104</v>
      </c>
      <c r="C39" s="1" t="n">
        <v>46022</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52301-2023</t>
        </is>
      </c>
      <c r="B40" s="1" t="n">
        <v>45224</v>
      </c>
      <c r="C40" s="1" t="n">
        <v>46022</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1201-2025</t>
        </is>
      </c>
      <c r="B41" s="1" t="n">
        <v>45667</v>
      </c>
      <c r="C41" s="1" t="n">
        <v>46022</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40083-2023</t>
        </is>
      </c>
      <c r="B42" s="1" t="n">
        <v>45168</v>
      </c>
      <c r="C42" s="1" t="n">
        <v>46022</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46022</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29183-2025</t>
        </is>
      </c>
      <c r="B44" s="1" t="n">
        <v>45821</v>
      </c>
      <c r="C44" s="1" t="n">
        <v>46022</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46022</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46022</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46022</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32985-2023</t>
        </is>
      </c>
      <c r="B48" s="1" t="n">
        <v>45125</v>
      </c>
      <c r="C48" s="1" t="n">
        <v>46022</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46022</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55384-2025</t>
        </is>
      </c>
      <c r="B50" s="1" t="n">
        <v>45971.43178240741</v>
      </c>
      <c r="C50" s="1" t="n">
        <v>46022</v>
      </c>
      <c r="D50" t="inlineStr">
        <is>
          <t>KALMAR LÄN</t>
        </is>
      </c>
      <c r="E50" t="inlineStr">
        <is>
          <t>VIMMERBY</t>
        </is>
      </c>
      <c r="G50" t="n">
        <v>1.7</v>
      </c>
      <c r="H50" t="n">
        <v>1</v>
      </c>
      <c r="I50" t="n">
        <v>0</v>
      </c>
      <c r="J50" t="n">
        <v>1</v>
      </c>
      <c r="K50" t="n">
        <v>0</v>
      </c>
      <c r="L50" t="n">
        <v>0</v>
      </c>
      <c r="M50" t="n">
        <v>0</v>
      </c>
      <c r="N50" t="n">
        <v>0</v>
      </c>
      <c r="O50" t="n">
        <v>1</v>
      </c>
      <c r="P50" t="n">
        <v>0</v>
      </c>
      <c r="Q50" t="n">
        <v>1</v>
      </c>
      <c r="R50" s="2" t="inlineStr">
        <is>
          <t>Talltita</t>
        </is>
      </c>
      <c r="S50">
        <f>HYPERLINK("https://klasma.github.io/Logging_0884/artfynd/A 55384-2025 artfynd.xlsx", "A 55384-2025")</f>
        <v/>
      </c>
      <c r="T50">
        <f>HYPERLINK("https://klasma.github.io/Logging_0884/kartor/A 55384-2025 karta.png", "A 55384-2025")</f>
        <v/>
      </c>
      <c r="V50">
        <f>HYPERLINK("https://klasma.github.io/Logging_0884/klagomål/A 55384-2025 FSC-klagomål.docx", "A 55384-2025")</f>
        <v/>
      </c>
      <c r="W50">
        <f>HYPERLINK("https://klasma.github.io/Logging_0884/klagomålsmail/A 55384-2025 FSC-klagomål mail.docx", "A 55384-2025")</f>
        <v/>
      </c>
      <c r="X50">
        <f>HYPERLINK("https://klasma.github.io/Logging_0884/tillsyn/A 55384-2025 tillsynsbegäran.docx", "A 55384-2025")</f>
        <v/>
      </c>
      <c r="Y50">
        <f>HYPERLINK("https://klasma.github.io/Logging_0884/tillsynsmail/A 55384-2025 tillsynsbegäran mail.docx", "A 55384-2025")</f>
        <v/>
      </c>
      <c r="Z50">
        <f>HYPERLINK("https://klasma.github.io/Logging_0884/fåglar/A 55384-2025 prioriterade fågelarter.docx", "A 55384-2025")</f>
        <v/>
      </c>
    </row>
    <row r="51" ht="15" customHeight="1">
      <c r="A51" t="inlineStr">
        <is>
          <t>A 57062-2025</t>
        </is>
      </c>
      <c r="B51" s="1" t="n">
        <v>45979.37598379629</v>
      </c>
      <c r="C51" s="1" t="n">
        <v>46022</v>
      </c>
      <c r="D51" t="inlineStr">
        <is>
          <t>KALMAR LÄN</t>
        </is>
      </c>
      <c r="E51" t="inlineStr">
        <is>
          <t>VIMMERBY</t>
        </is>
      </c>
      <c r="F51" t="inlineStr">
        <is>
          <t>Sveaskog</t>
        </is>
      </c>
      <c r="G51" t="n">
        <v>4.9</v>
      </c>
      <c r="H51" t="n">
        <v>1</v>
      </c>
      <c r="I51" t="n">
        <v>0</v>
      </c>
      <c r="J51" t="n">
        <v>0</v>
      </c>
      <c r="K51" t="n">
        <v>1</v>
      </c>
      <c r="L51" t="n">
        <v>0</v>
      </c>
      <c r="M51" t="n">
        <v>0</v>
      </c>
      <c r="N51" t="n">
        <v>0</v>
      </c>
      <c r="O51" t="n">
        <v>1</v>
      </c>
      <c r="P51" t="n">
        <v>1</v>
      </c>
      <c r="Q51" t="n">
        <v>1</v>
      </c>
      <c r="R51" s="2" t="inlineStr">
        <is>
          <t>Knärot</t>
        </is>
      </c>
      <c r="S51">
        <f>HYPERLINK("https://klasma.github.io/Logging_0884/artfynd/A 57062-2025 artfynd.xlsx", "A 57062-2025")</f>
        <v/>
      </c>
      <c r="T51">
        <f>HYPERLINK("https://klasma.github.io/Logging_0884/kartor/A 57062-2025 karta.png", "A 57062-2025")</f>
        <v/>
      </c>
      <c r="U51">
        <f>HYPERLINK("https://klasma.github.io/Logging_0884/knärot/A 57062-2025 karta knärot.png", "A 57062-2025")</f>
        <v/>
      </c>
      <c r="V51">
        <f>HYPERLINK("https://klasma.github.io/Logging_0884/klagomål/A 57062-2025 FSC-klagomål.docx", "A 57062-2025")</f>
        <v/>
      </c>
      <c r="W51">
        <f>HYPERLINK("https://klasma.github.io/Logging_0884/klagomålsmail/A 57062-2025 FSC-klagomål mail.docx", "A 57062-2025")</f>
        <v/>
      </c>
      <c r="X51">
        <f>HYPERLINK("https://klasma.github.io/Logging_0884/tillsyn/A 57062-2025 tillsynsbegäran.docx", "A 57062-2025")</f>
        <v/>
      </c>
      <c r="Y51">
        <f>HYPERLINK("https://klasma.github.io/Logging_0884/tillsynsmail/A 57062-2025 tillsynsbegäran mail.docx", "A 57062-2025")</f>
        <v/>
      </c>
    </row>
    <row r="52" ht="15" customHeight="1">
      <c r="A52" t="inlineStr">
        <is>
          <t>A 37930-2021</t>
        </is>
      </c>
      <c r="B52" s="1" t="n">
        <v>44403</v>
      </c>
      <c r="C52" s="1" t="n">
        <v>46022</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46022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46022</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46022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46022</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46022</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46022</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46022</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46022</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46022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46022</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46022</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46022</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46022</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46022</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46022</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46022</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46022</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46022</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46022</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46022</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46022</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46022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46022</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46022</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46022</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46022</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46022</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46022</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46022</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46022</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2183-2022</t>
        </is>
      </c>
      <c r="B83" s="1" t="n">
        <v>44578.47597222222</v>
      </c>
      <c r="C83" s="1" t="n">
        <v>46022</v>
      </c>
      <c r="D83" t="inlineStr">
        <is>
          <t>KALMAR LÄN</t>
        </is>
      </c>
      <c r="E83" t="inlineStr">
        <is>
          <t>VIMMERBY</t>
        </is>
      </c>
      <c r="G83" t="n">
        <v>4.8</v>
      </c>
      <c r="H83" t="n">
        <v>0</v>
      </c>
      <c r="I83" t="n">
        <v>0</v>
      </c>
      <c r="J83" t="n">
        <v>0</v>
      </c>
      <c r="K83" t="n">
        <v>0</v>
      </c>
      <c r="L83" t="n">
        <v>0</v>
      </c>
      <c r="M83" t="n">
        <v>0</v>
      </c>
      <c r="N83" t="n">
        <v>0</v>
      </c>
      <c r="O83" t="n">
        <v>0</v>
      </c>
      <c r="P83" t="n">
        <v>0</v>
      </c>
      <c r="Q83" t="n">
        <v>0</v>
      </c>
      <c r="R83" s="2" t="inlineStr"/>
    </row>
    <row r="84" ht="15" customHeight="1">
      <c r="A84" t="inlineStr">
        <is>
          <t>A 65670-2021</t>
        </is>
      </c>
      <c r="B84" s="1" t="n">
        <v>44516.59703703703</v>
      </c>
      <c r="C84" s="1" t="n">
        <v>46022</v>
      </c>
      <c r="D84" t="inlineStr">
        <is>
          <t>KALMAR LÄN</t>
        </is>
      </c>
      <c r="E84" t="inlineStr">
        <is>
          <t>VIMMERBY</t>
        </is>
      </c>
      <c r="G84" t="n">
        <v>1.9</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46022</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46022</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46022</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46022</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46022</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46022</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46022</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46022</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46022</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46022</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68840-2021</t>
        </is>
      </c>
      <c r="B95" s="1" t="n">
        <v>44530.38055555556</v>
      </c>
      <c r="C95" s="1" t="n">
        <v>46022</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11145-2021</t>
        </is>
      </c>
      <c r="B96" s="1" t="n">
        <v>44261</v>
      </c>
      <c r="C96" s="1" t="n">
        <v>46022</v>
      </c>
      <c r="D96" t="inlineStr">
        <is>
          <t>KALMAR LÄN</t>
        </is>
      </c>
      <c r="E96" t="inlineStr">
        <is>
          <t>VIMMERBY</t>
        </is>
      </c>
      <c r="G96" t="n">
        <v>3.5</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46022</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46022</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46022</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46022</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46022</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46022</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46022</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46022</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46022</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46022</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46022</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46022</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46022</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46022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46022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46022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46022</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46022</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46022</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46022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46022</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46022</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46022</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46022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46022</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46022</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46022</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46022</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46022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46022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46022</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46022</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46022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46022</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46022</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46022</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46022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46022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46022</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46022</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46022</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46022</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46022</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46022</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46022</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46022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46022</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46022</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46022</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46022</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46022</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46022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46022</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46022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46022</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46022</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46022</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46022</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46022</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46022</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46022</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55674-2021</t>
        </is>
      </c>
      <c r="B158" s="1" t="n">
        <v>44476</v>
      </c>
      <c r="C158" s="1" t="n">
        <v>46022</v>
      </c>
      <c r="D158" t="inlineStr">
        <is>
          <t>KALMAR LÄN</t>
        </is>
      </c>
      <c r="E158" t="inlineStr">
        <is>
          <t>VIMMERBY</t>
        </is>
      </c>
      <c r="G158" t="n">
        <v>2.1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46022</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46022</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46022</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46022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46022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46022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46022</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46022</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46022</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46022</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46022</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46022</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46022</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46022</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46022</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46022</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46022</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46022</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46022</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46022</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46022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46022</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46022</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46022</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46022</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46022</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46022</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46022</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46022</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14278-2021</t>
        </is>
      </c>
      <c r="B188" s="1" t="n">
        <v>44278.63479166666</v>
      </c>
      <c r="C188" s="1" t="n">
        <v>46022</v>
      </c>
      <c r="D188" t="inlineStr">
        <is>
          <t>KALMAR LÄN</t>
        </is>
      </c>
      <c r="E188" t="inlineStr">
        <is>
          <t>VIMMERBY</t>
        </is>
      </c>
      <c r="F188" t="inlineStr">
        <is>
          <t>Övriga statliga verk och myndigheter</t>
        </is>
      </c>
      <c r="G188" t="n">
        <v>0.8</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46022</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54065-2021</t>
        </is>
      </c>
      <c r="B190" s="1" t="n">
        <v>44470.44232638889</v>
      </c>
      <c r="C190" s="1" t="n">
        <v>46022</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46022</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46022</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46022</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11733-2022</t>
        </is>
      </c>
      <c r="B194" s="1" t="n">
        <v>44634</v>
      </c>
      <c r="C194" s="1" t="n">
        <v>46022</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7804-2022</t>
        </is>
      </c>
      <c r="B195" s="1" t="n">
        <v>44608.50458333334</v>
      </c>
      <c r="C195" s="1" t="n">
        <v>46022</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39042-2022</t>
        </is>
      </c>
      <c r="B196" s="1" t="n">
        <v>44817</v>
      </c>
      <c r="C196" s="1" t="n">
        <v>46022</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16288-2021</t>
        </is>
      </c>
      <c r="B197" s="1" t="n">
        <v>44292</v>
      </c>
      <c r="C197" s="1" t="n">
        <v>46022</v>
      </c>
      <c r="D197" t="inlineStr">
        <is>
          <t>KALMAR LÄN</t>
        </is>
      </c>
      <c r="E197" t="inlineStr">
        <is>
          <t>VIMMERBY</t>
        </is>
      </c>
      <c r="F197" t="inlineStr">
        <is>
          <t>Övriga Aktiebolag</t>
        </is>
      </c>
      <c r="G197" t="n">
        <v>27.6</v>
      </c>
      <c r="H197" t="n">
        <v>0</v>
      </c>
      <c r="I197" t="n">
        <v>0</v>
      </c>
      <c r="J197" t="n">
        <v>0</v>
      </c>
      <c r="K197" t="n">
        <v>0</v>
      </c>
      <c r="L197" t="n">
        <v>0</v>
      </c>
      <c r="M197" t="n">
        <v>0</v>
      </c>
      <c r="N197" t="n">
        <v>0</v>
      </c>
      <c r="O197" t="n">
        <v>0</v>
      </c>
      <c r="P197" t="n">
        <v>0</v>
      </c>
      <c r="Q197" t="n">
        <v>0</v>
      </c>
      <c r="R197" s="2" t="inlineStr"/>
    </row>
    <row r="198" ht="15" customHeight="1">
      <c r="A198" t="inlineStr">
        <is>
          <t>A 4076-2022</t>
        </is>
      </c>
      <c r="B198" s="1" t="n">
        <v>44588.37998842593</v>
      </c>
      <c r="C198" s="1" t="n">
        <v>46022</v>
      </c>
      <c r="D198" t="inlineStr">
        <is>
          <t>KALMAR LÄN</t>
        </is>
      </c>
      <c r="E198" t="inlineStr">
        <is>
          <t>VIMMERBY</t>
        </is>
      </c>
      <c r="G198" t="n">
        <v>3</v>
      </c>
      <c r="H198" t="n">
        <v>0</v>
      </c>
      <c r="I198" t="n">
        <v>0</v>
      </c>
      <c r="J198" t="n">
        <v>0</v>
      </c>
      <c r="K198" t="n">
        <v>0</v>
      </c>
      <c r="L198" t="n">
        <v>0</v>
      </c>
      <c r="M198" t="n">
        <v>0</v>
      </c>
      <c r="N198" t="n">
        <v>0</v>
      </c>
      <c r="O198" t="n">
        <v>0</v>
      </c>
      <c r="P198" t="n">
        <v>0</v>
      </c>
      <c r="Q198" t="n">
        <v>0</v>
      </c>
      <c r="R198" s="2" t="inlineStr"/>
    </row>
    <row r="199" ht="15" customHeight="1">
      <c r="A199" t="inlineStr">
        <is>
          <t>A 4122-2022</t>
        </is>
      </c>
      <c r="B199" s="1" t="n">
        <v>44588</v>
      </c>
      <c r="C199" s="1" t="n">
        <v>46022</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58374-2024</t>
        </is>
      </c>
      <c r="B200" s="1" t="n">
        <v>45632.72635416667</v>
      </c>
      <c r="C200" s="1" t="n">
        <v>46022</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30402-2023</t>
        </is>
      </c>
      <c r="B201" s="1" t="n">
        <v>45111.48395833333</v>
      </c>
      <c r="C201" s="1" t="n">
        <v>46022</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11609-2023</t>
        </is>
      </c>
      <c r="B202" s="1" t="n">
        <v>44994.40635416667</v>
      </c>
      <c r="C202" s="1" t="n">
        <v>46022</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46022</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56213-2024</t>
        </is>
      </c>
      <c r="B204" s="1" t="n">
        <v>45624.60141203704</v>
      </c>
      <c r="C204" s="1" t="n">
        <v>46022</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54409-2024</t>
        </is>
      </c>
      <c r="B205" s="1" t="n">
        <v>45617.47570601852</v>
      </c>
      <c r="C205" s="1" t="n">
        <v>46022</v>
      </c>
      <c r="D205" t="inlineStr">
        <is>
          <t>KALMAR LÄN</t>
        </is>
      </c>
      <c r="E205" t="inlineStr">
        <is>
          <t>VIMMERBY</t>
        </is>
      </c>
      <c r="G205" t="n">
        <v>4.3</v>
      </c>
      <c r="H205" t="n">
        <v>0</v>
      </c>
      <c r="I205" t="n">
        <v>0</v>
      </c>
      <c r="J205" t="n">
        <v>0</v>
      </c>
      <c r="K205" t="n">
        <v>0</v>
      </c>
      <c r="L205" t="n">
        <v>0</v>
      </c>
      <c r="M205" t="n">
        <v>0</v>
      </c>
      <c r="N205" t="n">
        <v>0</v>
      </c>
      <c r="O205" t="n">
        <v>0</v>
      </c>
      <c r="P205" t="n">
        <v>0</v>
      </c>
      <c r="Q205" t="n">
        <v>0</v>
      </c>
      <c r="R205" s="2" t="inlineStr"/>
    </row>
    <row r="206" ht="15" customHeight="1">
      <c r="A206" t="inlineStr">
        <is>
          <t>A 11027-2023</t>
        </is>
      </c>
      <c r="B206" s="1" t="n">
        <v>44991.89657407408</v>
      </c>
      <c r="C206" s="1" t="n">
        <v>46022</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31382-2023</t>
        </is>
      </c>
      <c r="B207" s="1" t="n">
        <v>45114.55136574074</v>
      </c>
      <c r="C207" s="1" t="n">
        <v>46022</v>
      </c>
      <c r="D207" t="inlineStr">
        <is>
          <t>KALMAR LÄN</t>
        </is>
      </c>
      <c r="E207" t="inlineStr">
        <is>
          <t>VIMMERBY</t>
        </is>
      </c>
      <c r="G207" t="n">
        <v>3.7</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46022</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53483-2022</t>
        </is>
      </c>
      <c r="B209" s="1" t="n">
        <v>44879.55940972222</v>
      </c>
      <c r="C209" s="1" t="n">
        <v>46022</v>
      </c>
      <c r="D209" t="inlineStr">
        <is>
          <t>KALMAR LÄN</t>
        </is>
      </c>
      <c r="E209" t="inlineStr">
        <is>
          <t>VIMMERBY</t>
        </is>
      </c>
      <c r="G209" t="n">
        <v>1.4</v>
      </c>
      <c r="H209" t="n">
        <v>0</v>
      </c>
      <c r="I209" t="n">
        <v>0</v>
      </c>
      <c r="J209" t="n">
        <v>0</v>
      </c>
      <c r="K209" t="n">
        <v>0</v>
      </c>
      <c r="L209" t="n">
        <v>0</v>
      </c>
      <c r="M209" t="n">
        <v>0</v>
      </c>
      <c r="N209" t="n">
        <v>0</v>
      </c>
      <c r="O209" t="n">
        <v>0</v>
      </c>
      <c r="P209" t="n">
        <v>0</v>
      </c>
      <c r="Q209" t="n">
        <v>0</v>
      </c>
      <c r="R209" s="2" t="inlineStr"/>
    </row>
    <row r="210" ht="15" customHeight="1">
      <c r="A210" t="inlineStr">
        <is>
          <t>A 18899-2025</t>
        </is>
      </c>
      <c r="B210" s="1" t="n">
        <v>45764.44931712963</v>
      </c>
      <c r="C210" s="1" t="n">
        <v>46022</v>
      </c>
      <c r="D210" t="inlineStr">
        <is>
          <t>KALMAR LÄN</t>
        </is>
      </c>
      <c r="E210" t="inlineStr">
        <is>
          <t>VIMMERBY</t>
        </is>
      </c>
      <c r="F210" t="inlineStr">
        <is>
          <t>Kommuner</t>
        </is>
      </c>
      <c r="G210" t="n">
        <v>4</v>
      </c>
      <c r="H210" t="n">
        <v>0</v>
      </c>
      <c r="I210" t="n">
        <v>0</v>
      </c>
      <c r="J210" t="n">
        <v>0</v>
      </c>
      <c r="K210" t="n">
        <v>0</v>
      </c>
      <c r="L210" t="n">
        <v>0</v>
      </c>
      <c r="M210" t="n">
        <v>0</v>
      </c>
      <c r="N210" t="n">
        <v>0</v>
      </c>
      <c r="O210" t="n">
        <v>0</v>
      </c>
      <c r="P210" t="n">
        <v>0</v>
      </c>
      <c r="Q210" t="n">
        <v>0</v>
      </c>
      <c r="R210" s="2" t="inlineStr"/>
    </row>
    <row r="211" ht="15" customHeight="1">
      <c r="A211" t="inlineStr">
        <is>
          <t>A 20054-2023</t>
        </is>
      </c>
      <c r="B211" s="1" t="n">
        <v>45054.6750462963</v>
      </c>
      <c r="C211" s="1" t="n">
        <v>46022</v>
      </c>
      <c r="D211" t="inlineStr">
        <is>
          <t>KALMAR LÄN</t>
        </is>
      </c>
      <c r="E211" t="inlineStr">
        <is>
          <t>VIMMERBY</t>
        </is>
      </c>
      <c r="G211" t="n">
        <v>2.4</v>
      </c>
      <c r="H211" t="n">
        <v>0</v>
      </c>
      <c r="I211" t="n">
        <v>0</v>
      </c>
      <c r="J211" t="n">
        <v>0</v>
      </c>
      <c r="K211" t="n">
        <v>0</v>
      </c>
      <c r="L211" t="n">
        <v>0</v>
      </c>
      <c r="M211" t="n">
        <v>0</v>
      </c>
      <c r="N211" t="n">
        <v>0</v>
      </c>
      <c r="O211" t="n">
        <v>0</v>
      </c>
      <c r="P211" t="n">
        <v>0</v>
      </c>
      <c r="Q211" t="n">
        <v>0</v>
      </c>
      <c r="R211" s="2" t="inlineStr"/>
    </row>
    <row r="212" ht="15" customHeight="1">
      <c r="A212" t="inlineStr">
        <is>
          <t>A 58962-2022</t>
        </is>
      </c>
      <c r="B212" s="1" t="n">
        <v>44903</v>
      </c>
      <c r="C212" s="1" t="n">
        <v>46022</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10837-2023</t>
        </is>
      </c>
      <c r="B213" s="1" t="n">
        <v>44991.30547453704</v>
      </c>
      <c r="C213" s="1" t="n">
        <v>46022</v>
      </c>
      <c r="D213" t="inlineStr">
        <is>
          <t>KALMAR LÄN</t>
        </is>
      </c>
      <c r="E213" t="inlineStr">
        <is>
          <t>VIMMERBY</t>
        </is>
      </c>
      <c r="G213" t="n">
        <v>7.3</v>
      </c>
      <c r="H213" t="n">
        <v>0</v>
      </c>
      <c r="I213" t="n">
        <v>0</v>
      </c>
      <c r="J213" t="n">
        <v>0</v>
      </c>
      <c r="K213" t="n">
        <v>0</v>
      </c>
      <c r="L213" t="n">
        <v>0</v>
      </c>
      <c r="M213" t="n">
        <v>0</v>
      </c>
      <c r="N213" t="n">
        <v>0</v>
      </c>
      <c r="O213" t="n">
        <v>0</v>
      </c>
      <c r="P213" t="n">
        <v>0</v>
      </c>
      <c r="Q213" t="n">
        <v>0</v>
      </c>
      <c r="R213" s="2" t="inlineStr"/>
    </row>
    <row r="214" ht="15" customHeight="1">
      <c r="A214" t="inlineStr">
        <is>
          <t>A 10838-2023</t>
        </is>
      </c>
      <c r="B214" s="1" t="n">
        <v>44991</v>
      </c>
      <c r="C214" s="1" t="n">
        <v>46022</v>
      </c>
      <c r="D214" t="inlineStr">
        <is>
          <t>KALMAR LÄN</t>
        </is>
      </c>
      <c r="E214" t="inlineStr">
        <is>
          <t>VIMMERBY</t>
        </is>
      </c>
      <c r="G214" t="n">
        <v>5.1</v>
      </c>
      <c r="H214" t="n">
        <v>0</v>
      </c>
      <c r="I214" t="n">
        <v>0</v>
      </c>
      <c r="J214" t="n">
        <v>0</v>
      </c>
      <c r="K214" t="n">
        <v>0</v>
      </c>
      <c r="L214" t="n">
        <v>0</v>
      </c>
      <c r="M214" t="n">
        <v>0</v>
      </c>
      <c r="N214" t="n">
        <v>0</v>
      </c>
      <c r="O214" t="n">
        <v>0</v>
      </c>
      <c r="P214" t="n">
        <v>0</v>
      </c>
      <c r="Q214" t="n">
        <v>0</v>
      </c>
      <c r="R214" s="2" t="inlineStr"/>
    </row>
    <row r="215" ht="15" customHeight="1">
      <c r="A215" t="inlineStr">
        <is>
          <t>A 42918-2021</t>
        </is>
      </c>
      <c r="B215" s="1" t="n">
        <v>44431</v>
      </c>
      <c r="C215" s="1" t="n">
        <v>46022</v>
      </c>
      <c r="D215" t="inlineStr">
        <is>
          <t>KALMAR LÄN</t>
        </is>
      </c>
      <c r="E215" t="inlineStr">
        <is>
          <t>VIMMERBY</t>
        </is>
      </c>
      <c r="G215" t="n">
        <v>1.6</v>
      </c>
      <c r="H215" t="n">
        <v>0</v>
      </c>
      <c r="I215" t="n">
        <v>0</v>
      </c>
      <c r="J215" t="n">
        <v>0</v>
      </c>
      <c r="K215" t="n">
        <v>0</v>
      </c>
      <c r="L215" t="n">
        <v>0</v>
      </c>
      <c r="M215" t="n">
        <v>0</v>
      </c>
      <c r="N215" t="n">
        <v>0</v>
      </c>
      <c r="O215" t="n">
        <v>0</v>
      </c>
      <c r="P215" t="n">
        <v>0</v>
      </c>
      <c r="Q215" t="n">
        <v>0</v>
      </c>
      <c r="R215" s="2" t="inlineStr"/>
    </row>
    <row r="216" ht="15" customHeight="1">
      <c r="A216" t="inlineStr">
        <is>
          <t>A 16983-2023</t>
        </is>
      </c>
      <c r="B216" s="1" t="n">
        <v>45033.76043981482</v>
      </c>
      <c r="C216" s="1" t="n">
        <v>46022</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22643-2023</t>
        </is>
      </c>
      <c r="B217" s="1" t="n">
        <v>45071</v>
      </c>
      <c r="C217" s="1" t="n">
        <v>46022</v>
      </c>
      <c r="D217" t="inlineStr">
        <is>
          <t>KALMAR LÄN</t>
        </is>
      </c>
      <c r="E217" t="inlineStr">
        <is>
          <t>VIMMERBY</t>
        </is>
      </c>
      <c r="G217" t="n">
        <v>3.9</v>
      </c>
      <c r="H217" t="n">
        <v>0</v>
      </c>
      <c r="I217" t="n">
        <v>0</v>
      </c>
      <c r="J217" t="n">
        <v>0</v>
      </c>
      <c r="K217" t="n">
        <v>0</v>
      </c>
      <c r="L217" t="n">
        <v>0</v>
      </c>
      <c r="M217" t="n">
        <v>0</v>
      </c>
      <c r="N217" t="n">
        <v>0</v>
      </c>
      <c r="O217" t="n">
        <v>0</v>
      </c>
      <c r="P217" t="n">
        <v>0</v>
      </c>
      <c r="Q217" t="n">
        <v>0</v>
      </c>
      <c r="R217" s="2" t="inlineStr"/>
    </row>
    <row r="218" ht="15" customHeight="1">
      <c r="A218" t="inlineStr">
        <is>
          <t>A 18669-2025</t>
        </is>
      </c>
      <c r="B218" s="1" t="n">
        <v>45763.59436342592</v>
      </c>
      <c r="C218" s="1" t="n">
        <v>46022</v>
      </c>
      <c r="D218" t="inlineStr">
        <is>
          <t>KALMAR LÄN</t>
        </is>
      </c>
      <c r="E218" t="inlineStr">
        <is>
          <t>VIMMERBY</t>
        </is>
      </c>
      <c r="G218" t="n">
        <v>2.7</v>
      </c>
      <c r="H218" t="n">
        <v>0</v>
      </c>
      <c r="I218" t="n">
        <v>0</v>
      </c>
      <c r="J218" t="n">
        <v>0</v>
      </c>
      <c r="K218" t="n">
        <v>0</v>
      </c>
      <c r="L218" t="n">
        <v>0</v>
      </c>
      <c r="M218" t="n">
        <v>0</v>
      </c>
      <c r="N218" t="n">
        <v>0</v>
      </c>
      <c r="O218" t="n">
        <v>0</v>
      </c>
      <c r="P218" t="n">
        <v>0</v>
      </c>
      <c r="Q218" t="n">
        <v>0</v>
      </c>
      <c r="R218" s="2" t="inlineStr"/>
    </row>
    <row r="219" ht="15" customHeight="1">
      <c r="A219" t="inlineStr">
        <is>
          <t>A 38780-2021</t>
        </is>
      </c>
      <c r="B219" s="1" t="n">
        <v>44410</v>
      </c>
      <c r="C219" s="1" t="n">
        <v>46022</v>
      </c>
      <c r="D219" t="inlineStr">
        <is>
          <t>KALMAR LÄN</t>
        </is>
      </c>
      <c r="E219" t="inlineStr">
        <is>
          <t>VIMMERBY</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46144-2023</t>
        </is>
      </c>
      <c r="B220" s="1" t="n">
        <v>45196.57247685185</v>
      </c>
      <c r="C220" s="1" t="n">
        <v>46022</v>
      </c>
      <c r="D220" t="inlineStr">
        <is>
          <t>KALMAR LÄN</t>
        </is>
      </c>
      <c r="E220" t="inlineStr">
        <is>
          <t>VIMMERBY</t>
        </is>
      </c>
      <c r="G220" t="n">
        <v>6.5</v>
      </c>
      <c r="H220" t="n">
        <v>0</v>
      </c>
      <c r="I220" t="n">
        <v>0</v>
      </c>
      <c r="J220" t="n">
        <v>0</v>
      </c>
      <c r="K220" t="n">
        <v>0</v>
      </c>
      <c r="L220" t="n">
        <v>0</v>
      </c>
      <c r="M220" t="n">
        <v>0</v>
      </c>
      <c r="N220" t="n">
        <v>0</v>
      </c>
      <c r="O220" t="n">
        <v>0</v>
      </c>
      <c r="P220" t="n">
        <v>0</v>
      </c>
      <c r="Q220" t="n">
        <v>0</v>
      </c>
      <c r="R220" s="2" t="inlineStr"/>
    </row>
    <row r="221" ht="15" customHeight="1">
      <c r="A221" t="inlineStr">
        <is>
          <t>A 29020-2024</t>
        </is>
      </c>
      <c r="B221" s="1" t="n">
        <v>45481.58048611111</v>
      </c>
      <c r="C221" s="1" t="n">
        <v>46022</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30406-2023</t>
        </is>
      </c>
      <c r="B222" s="1" t="n">
        <v>45111.48787037037</v>
      </c>
      <c r="C222" s="1" t="n">
        <v>46022</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13290-2025</t>
        </is>
      </c>
      <c r="B223" s="1" t="n">
        <v>45735.56751157407</v>
      </c>
      <c r="C223" s="1" t="n">
        <v>46022</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13817-2024</t>
        </is>
      </c>
      <c r="B224" s="1" t="n">
        <v>45391.41976851852</v>
      </c>
      <c r="C224" s="1" t="n">
        <v>46022</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19162-2023</t>
        </is>
      </c>
      <c r="B225" s="1" t="n">
        <v>45048.59699074074</v>
      </c>
      <c r="C225" s="1" t="n">
        <v>46022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9475-2023</t>
        </is>
      </c>
      <c r="B226" s="1" t="n">
        <v>44981.58834490741</v>
      </c>
      <c r="C226" s="1" t="n">
        <v>46022</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11946-2025</t>
        </is>
      </c>
      <c r="B227" s="1" t="n">
        <v>45728.54832175926</v>
      </c>
      <c r="C227" s="1" t="n">
        <v>46022</v>
      </c>
      <c r="D227" t="inlineStr">
        <is>
          <t>KALMAR LÄN</t>
        </is>
      </c>
      <c r="E227" t="inlineStr">
        <is>
          <t>VIMMERBY</t>
        </is>
      </c>
      <c r="G227" t="n">
        <v>0.4</v>
      </c>
      <c r="H227" t="n">
        <v>0</v>
      </c>
      <c r="I227" t="n">
        <v>0</v>
      </c>
      <c r="J227" t="n">
        <v>0</v>
      </c>
      <c r="K227" t="n">
        <v>0</v>
      </c>
      <c r="L227" t="n">
        <v>0</v>
      </c>
      <c r="M227" t="n">
        <v>0</v>
      </c>
      <c r="N227" t="n">
        <v>0</v>
      </c>
      <c r="O227" t="n">
        <v>0</v>
      </c>
      <c r="P227" t="n">
        <v>0</v>
      </c>
      <c r="Q227" t="n">
        <v>0</v>
      </c>
      <c r="R227" s="2" t="inlineStr"/>
    </row>
    <row r="228" ht="15" customHeight="1">
      <c r="A228" t="inlineStr">
        <is>
          <t>A 19537-2022</t>
        </is>
      </c>
      <c r="B228" s="1" t="n">
        <v>44693.62822916666</v>
      </c>
      <c r="C228" s="1" t="n">
        <v>46022</v>
      </c>
      <c r="D228" t="inlineStr">
        <is>
          <t>KALMAR LÄN</t>
        </is>
      </c>
      <c r="E228" t="inlineStr">
        <is>
          <t>VIMMERBY</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38604-2025</t>
        </is>
      </c>
      <c r="B229" s="1" t="n">
        <v>45884.50613425926</v>
      </c>
      <c r="C229" s="1" t="n">
        <v>46022</v>
      </c>
      <c r="D229" t="inlineStr">
        <is>
          <t>KALMAR LÄN</t>
        </is>
      </c>
      <c r="E229" t="inlineStr">
        <is>
          <t>VIMMERBY</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48299-2025</t>
        </is>
      </c>
      <c r="B230" s="1" t="n">
        <v>45933.60982638889</v>
      </c>
      <c r="C230" s="1" t="n">
        <v>46022</v>
      </c>
      <c r="D230" t="inlineStr">
        <is>
          <t>KALMAR LÄN</t>
        </is>
      </c>
      <c r="E230" t="inlineStr">
        <is>
          <t>VIMMERBY</t>
        </is>
      </c>
      <c r="G230" t="n">
        <v>1.8</v>
      </c>
      <c r="H230" t="n">
        <v>0</v>
      </c>
      <c r="I230" t="n">
        <v>0</v>
      </c>
      <c r="J230" t="n">
        <v>0</v>
      </c>
      <c r="K230" t="n">
        <v>0</v>
      </c>
      <c r="L230" t="n">
        <v>0</v>
      </c>
      <c r="M230" t="n">
        <v>0</v>
      </c>
      <c r="N230" t="n">
        <v>0</v>
      </c>
      <c r="O230" t="n">
        <v>0</v>
      </c>
      <c r="P230" t="n">
        <v>0</v>
      </c>
      <c r="Q230" t="n">
        <v>0</v>
      </c>
      <c r="R230" s="2" t="inlineStr"/>
    </row>
    <row r="231" ht="15" customHeight="1">
      <c r="A231" t="inlineStr">
        <is>
          <t>A 60951-2023</t>
        </is>
      </c>
      <c r="B231" s="1" t="n">
        <v>45261.44914351852</v>
      </c>
      <c r="C231" s="1" t="n">
        <v>46022</v>
      </c>
      <c r="D231" t="inlineStr">
        <is>
          <t>KALMAR LÄN</t>
        </is>
      </c>
      <c r="E231" t="inlineStr">
        <is>
          <t>VIMMERBY</t>
        </is>
      </c>
      <c r="G231" t="n">
        <v>4.3</v>
      </c>
      <c r="H231" t="n">
        <v>0</v>
      </c>
      <c r="I231" t="n">
        <v>0</v>
      </c>
      <c r="J231" t="n">
        <v>0</v>
      </c>
      <c r="K231" t="n">
        <v>0</v>
      </c>
      <c r="L231" t="n">
        <v>0</v>
      </c>
      <c r="M231" t="n">
        <v>0</v>
      </c>
      <c r="N231" t="n">
        <v>0</v>
      </c>
      <c r="O231" t="n">
        <v>0</v>
      </c>
      <c r="P231" t="n">
        <v>0</v>
      </c>
      <c r="Q231" t="n">
        <v>0</v>
      </c>
      <c r="R231" s="2" t="inlineStr"/>
    </row>
    <row r="232" ht="15" customHeight="1">
      <c r="A232" t="inlineStr">
        <is>
          <t>A 60292-2022</t>
        </is>
      </c>
      <c r="B232" s="1" t="n">
        <v>44910.54231481482</v>
      </c>
      <c r="C232" s="1" t="n">
        <v>46022</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7485-2024</t>
        </is>
      </c>
      <c r="B233" s="1" t="n">
        <v>45346.67184027778</v>
      </c>
      <c r="C233" s="1" t="n">
        <v>46022</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12590-2025</t>
        </is>
      </c>
      <c r="B234" s="1" t="n">
        <v>45732.79925925926</v>
      </c>
      <c r="C234" s="1" t="n">
        <v>46022</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35710-2023</t>
        </is>
      </c>
      <c r="B235" s="1" t="n">
        <v>45147.67096064815</v>
      </c>
      <c r="C235" s="1" t="n">
        <v>46022</v>
      </c>
      <c r="D235" t="inlineStr">
        <is>
          <t>KALMAR LÄN</t>
        </is>
      </c>
      <c r="E235" t="inlineStr">
        <is>
          <t>VIMMERBY</t>
        </is>
      </c>
      <c r="G235" t="n">
        <v>3.1</v>
      </c>
      <c r="H235" t="n">
        <v>0</v>
      </c>
      <c r="I235" t="n">
        <v>0</v>
      </c>
      <c r="J235" t="n">
        <v>0</v>
      </c>
      <c r="K235" t="n">
        <v>0</v>
      </c>
      <c r="L235" t="n">
        <v>0</v>
      </c>
      <c r="M235" t="n">
        <v>0</v>
      </c>
      <c r="N235" t="n">
        <v>0</v>
      </c>
      <c r="O235" t="n">
        <v>0</v>
      </c>
      <c r="P235" t="n">
        <v>0</v>
      </c>
      <c r="Q235" t="n">
        <v>0</v>
      </c>
      <c r="R235" s="2" t="inlineStr"/>
    </row>
    <row r="236" ht="15" customHeight="1">
      <c r="A236" t="inlineStr">
        <is>
          <t>A 52823-2024</t>
        </is>
      </c>
      <c r="B236" s="1" t="n">
        <v>45610.59094907407</v>
      </c>
      <c r="C236" s="1" t="n">
        <v>46022</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11147-2023</t>
        </is>
      </c>
      <c r="B237" s="1" t="n">
        <v>44992</v>
      </c>
      <c r="C237" s="1" t="n">
        <v>46022</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19833-2023</t>
        </is>
      </c>
      <c r="B238" s="1" t="n">
        <v>45052</v>
      </c>
      <c r="C238" s="1" t="n">
        <v>46022</v>
      </c>
      <c r="D238" t="inlineStr">
        <is>
          <t>KALMAR LÄN</t>
        </is>
      </c>
      <c r="E238" t="inlineStr">
        <is>
          <t>VIMMERBY</t>
        </is>
      </c>
      <c r="G238" t="n">
        <v>6.7</v>
      </c>
      <c r="H238" t="n">
        <v>0</v>
      </c>
      <c r="I238" t="n">
        <v>0</v>
      </c>
      <c r="J238" t="n">
        <v>0</v>
      </c>
      <c r="K238" t="n">
        <v>0</v>
      </c>
      <c r="L238" t="n">
        <v>0</v>
      </c>
      <c r="M238" t="n">
        <v>0</v>
      </c>
      <c r="N238" t="n">
        <v>0</v>
      </c>
      <c r="O238" t="n">
        <v>0</v>
      </c>
      <c r="P238" t="n">
        <v>0</v>
      </c>
      <c r="Q238" t="n">
        <v>0</v>
      </c>
      <c r="R238" s="2" t="inlineStr"/>
    </row>
    <row r="239" ht="15" customHeight="1">
      <c r="A239" t="inlineStr">
        <is>
          <t>A 14548-2024</t>
        </is>
      </c>
      <c r="B239" s="1" t="n">
        <v>45394.66887731481</v>
      </c>
      <c r="C239" s="1" t="n">
        <v>46022</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585-2024</t>
        </is>
      </c>
      <c r="B240" s="1" t="n">
        <v>45299.62576388889</v>
      </c>
      <c r="C240" s="1" t="n">
        <v>46022</v>
      </c>
      <c r="D240" t="inlineStr">
        <is>
          <t>KALMAR LÄN</t>
        </is>
      </c>
      <c r="E240" t="inlineStr">
        <is>
          <t>VIMMERBY</t>
        </is>
      </c>
      <c r="G240" t="n">
        <v>0.7</v>
      </c>
      <c r="H240" t="n">
        <v>0</v>
      </c>
      <c r="I240" t="n">
        <v>0</v>
      </c>
      <c r="J240" t="n">
        <v>0</v>
      </c>
      <c r="K240" t="n">
        <v>0</v>
      </c>
      <c r="L240" t="n">
        <v>0</v>
      </c>
      <c r="M240" t="n">
        <v>0</v>
      </c>
      <c r="N240" t="n">
        <v>0</v>
      </c>
      <c r="O240" t="n">
        <v>0</v>
      </c>
      <c r="P240" t="n">
        <v>0</v>
      </c>
      <c r="Q240" t="n">
        <v>0</v>
      </c>
      <c r="R240" s="2" t="inlineStr"/>
    </row>
    <row r="241" ht="15" customHeight="1">
      <c r="A241" t="inlineStr">
        <is>
          <t>A 47965-2025</t>
        </is>
      </c>
      <c r="B241" s="1" t="n">
        <v>45932.59597222223</v>
      </c>
      <c r="C241" s="1" t="n">
        <v>46022</v>
      </c>
      <c r="D241" t="inlineStr">
        <is>
          <t>KALMAR LÄN</t>
        </is>
      </c>
      <c r="E241" t="inlineStr">
        <is>
          <t>VIMMERBY</t>
        </is>
      </c>
      <c r="G241" t="n">
        <v>2.2</v>
      </c>
      <c r="H241" t="n">
        <v>0</v>
      </c>
      <c r="I241" t="n">
        <v>0</v>
      </c>
      <c r="J241" t="n">
        <v>0</v>
      </c>
      <c r="K241" t="n">
        <v>0</v>
      </c>
      <c r="L241" t="n">
        <v>0</v>
      </c>
      <c r="M241" t="n">
        <v>0</v>
      </c>
      <c r="N241" t="n">
        <v>0</v>
      </c>
      <c r="O241" t="n">
        <v>0</v>
      </c>
      <c r="P241" t="n">
        <v>0</v>
      </c>
      <c r="Q241" t="n">
        <v>0</v>
      </c>
      <c r="R241" s="2" t="inlineStr"/>
    </row>
    <row r="242" ht="15" customHeight="1">
      <c r="A242" t="inlineStr">
        <is>
          <t>A 56020-2024</t>
        </is>
      </c>
      <c r="B242" s="1" t="n">
        <v>45623.9525462963</v>
      </c>
      <c r="C242" s="1" t="n">
        <v>46022</v>
      </c>
      <c r="D242" t="inlineStr">
        <is>
          <t>KALMAR LÄN</t>
        </is>
      </c>
      <c r="E242" t="inlineStr">
        <is>
          <t>VIMMERBY</t>
        </is>
      </c>
      <c r="G242" t="n">
        <v>1</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46022</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23252-2024</t>
        </is>
      </c>
      <c r="B244" s="1" t="n">
        <v>45453.36067129629</v>
      </c>
      <c r="C244" s="1" t="n">
        <v>46022</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15550-2023</t>
        </is>
      </c>
      <c r="B245" s="1" t="n">
        <v>45020</v>
      </c>
      <c r="C245" s="1" t="n">
        <v>46022</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11219-2023</t>
        </is>
      </c>
      <c r="B246" s="1" t="n">
        <v>44992.62498842592</v>
      </c>
      <c r="C246" s="1" t="n">
        <v>46022</v>
      </c>
      <c r="D246" t="inlineStr">
        <is>
          <t>KALMAR LÄN</t>
        </is>
      </c>
      <c r="E246" t="inlineStr">
        <is>
          <t>VIMMERBY</t>
        </is>
      </c>
      <c r="G246" t="n">
        <v>2.5</v>
      </c>
      <c r="H246" t="n">
        <v>0</v>
      </c>
      <c r="I246" t="n">
        <v>0</v>
      </c>
      <c r="J246" t="n">
        <v>0</v>
      </c>
      <c r="K246" t="n">
        <v>0</v>
      </c>
      <c r="L246" t="n">
        <v>0</v>
      </c>
      <c r="M246" t="n">
        <v>0</v>
      </c>
      <c r="N246" t="n">
        <v>0</v>
      </c>
      <c r="O246" t="n">
        <v>0</v>
      </c>
      <c r="P246" t="n">
        <v>0</v>
      </c>
      <c r="Q246" t="n">
        <v>0</v>
      </c>
      <c r="R246" s="2" t="inlineStr"/>
    </row>
    <row r="247" ht="15" customHeight="1">
      <c r="A247" t="inlineStr">
        <is>
          <t>A 18411-2021</t>
        </is>
      </c>
      <c r="B247" s="1" t="n">
        <v>44302</v>
      </c>
      <c r="C247" s="1" t="n">
        <v>46022</v>
      </c>
      <c r="D247" t="inlineStr">
        <is>
          <t>KALMAR LÄN</t>
        </is>
      </c>
      <c r="E247" t="inlineStr">
        <is>
          <t>VIMMERBY</t>
        </is>
      </c>
      <c r="G247" t="n">
        <v>0.7</v>
      </c>
      <c r="H247" t="n">
        <v>0</v>
      </c>
      <c r="I247" t="n">
        <v>0</v>
      </c>
      <c r="J247" t="n">
        <v>0</v>
      </c>
      <c r="K247" t="n">
        <v>0</v>
      </c>
      <c r="L247" t="n">
        <v>0</v>
      </c>
      <c r="M247" t="n">
        <v>0</v>
      </c>
      <c r="N247" t="n">
        <v>0</v>
      </c>
      <c r="O247" t="n">
        <v>0</v>
      </c>
      <c r="P247" t="n">
        <v>0</v>
      </c>
      <c r="Q247" t="n">
        <v>0</v>
      </c>
      <c r="R247" s="2" t="inlineStr"/>
    </row>
    <row r="248" ht="15" customHeight="1">
      <c r="A248" t="inlineStr">
        <is>
          <t>A 47855-2024</t>
        </is>
      </c>
      <c r="B248" s="1" t="n">
        <v>45588.66457175926</v>
      </c>
      <c r="C248" s="1" t="n">
        <v>46022</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172-2022</t>
        </is>
      </c>
      <c r="B249" s="1" t="n">
        <v>44564.62598379629</v>
      </c>
      <c r="C249" s="1" t="n">
        <v>46022</v>
      </c>
      <c r="D249" t="inlineStr">
        <is>
          <t>KALMAR LÄN</t>
        </is>
      </c>
      <c r="E249" t="inlineStr">
        <is>
          <t>VIMMERBY</t>
        </is>
      </c>
      <c r="G249" t="n">
        <v>2.1</v>
      </c>
      <c r="H249" t="n">
        <v>0</v>
      </c>
      <c r="I249" t="n">
        <v>0</v>
      </c>
      <c r="J249" t="n">
        <v>0</v>
      </c>
      <c r="K249" t="n">
        <v>0</v>
      </c>
      <c r="L249" t="n">
        <v>0</v>
      </c>
      <c r="M249" t="n">
        <v>0</v>
      </c>
      <c r="N249" t="n">
        <v>0</v>
      </c>
      <c r="O249" t="n">
        <v>0</v>
      </c>
      <c r="P249" t="n">
        <v>0</v>
      </c>
      <c r="Q249" t="n">
        <v>0</v>
      </c>
      <c r="R249" s="2" t="inlineStr"/>
    </row>
    <row r="250" ht="15" customHeight="1">
      <c r="A250" t="inlineStr">
        <is>
          <t>A 22399-2025</t>
        </is>
      </c>
      <c r="B250" s="1" t="n">
        <v>45786.52996527778</v>
      </c>
      <c r="C250" s="1" t="n">
        <v>46022</v>
      </c>
      <c r="D250" t="inlineStr">
        <is>
          <t>KALMAR LÄN</t>
        </is>
      </c>
      <c r="E250" t="inlineStr">
        <is>
          <t>VIMMERBY</t>
        </is>
      </c>
      <c r="G250" t="n">
        <v>2.1</v>
      </c>
      <c r="H250" t="n">
        <v>0</v>
      </c>
      <c r="I250" t="n">
        <v>0</v>
      </c>
      <c r="J250" t="n">
        <v>0</v>
      </c>
      <c r="K250" t="n">
        <v>0</v>
      </c>
      <c r="L250" t="n">
        <v>0</v>
      </c>
      <c r="M250" t="n">
        <v>0</v>
      </c>
      <c r="N250" t="n">
        <v>0</v>
      </c>
      <c r="O250" t="n">
        <v>0</v>
      </c>
      <c r="P250" t="n">
        <v>0</v>
      </c>
      <c r="Q250" t="n">
        <v>0</v>
      </c>
      <c r="R250" s="2" t="inlineStr"/>
    </row>
    <row r="251" ht="15" customHeight="1">
      <c r="A251" t="inlineStr">
        <is>
          <t>A 39584-2024</t>
        </is>
      </c>
      <c r="B251" s="1" t="n">
        <v>45552.36759259259</v>
      </c>
      <c r="C251" s="1" t="n">
        <v>46022</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22397-2025</t>
        </is>
      </c>
      <c r="B252" s="1" t="n">
        <v>45786.52878472222</v>
      </c>
      <c r="C252" s="1" t="n">
        <v>46022</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51881-2024</t>
        </is>
      </c>
      <c r="B253" s="1" t="n">
        <v>45607.56773148148</v>
      </c>
      <c r="C253" s="1" t="n">
        <v>46022</v>
      </c>
      <c r="D253" t="inlineStr">
        <is>
          <t>KALMAR LÄN</t>
        </is>
      </c>
      <c r="E253" t="inlineStr">
        <is>
          <t>VIMMERBY</t>
        </is>
      </c>
      <c r="G253" t="n">
        <v>3.4</v>
      </c>
      <c r="H253" t="n">
        <v>0</v>
      </c>
      <c r="I253" t="n">
        <v>0</v>
      </c>
      <c r="J253" t="n">
        <v>0</v>
      </c>
      <c r="K253" t="n">
        <v>0</v>
      </c>
      <c r="L253" t="n">
        <v>0</v>
      </c>
      <c r="M253" t="n">
        <v>0</v>
      </c>
      <c r="N253" t="n">
        <v>0</v>
      </c>
      <c r="O253" t="n">
        <v>0</v>
      </c>
      <c r="P253" t="n">
        <v>0</v>
      </c>
      <c r="Q253" t="n">
        <v>0</v>
      </c>
      <c r="R253" s="2" t="inlineStr"/>
    </row>
    <row r="254" ht="15" customHeight="1">
      <c r="A254" t="inlineStr">
        <is>
          <t>A 39801-2025</t>
        </is>
      </c>
      <c r="B254" s="1" t="n">
        <v>45891.50216435185</v>
      </c>
      <c r="C254" s="1" t="n">
        <v>46022</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25582-2024</t>
        </is>
      </c>
      <c r="B255" s="1" t="n">
        <v>45463</v>
      </c>
      <c r="C255" s="1" t="n">
        <v>46022</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2596-2025</t>
        </is>
      </c>
      <c r="B256" s="1" t="n">
        <v>45674.71810185185</v>
      </c>
      <c r="C256" s="1" t="n">
        <v>46022</v>
      </c>
      <c r="D256" t="inlineStr">
        <is>
          <t>KALMAR LÄN</t>
        </is>
      </c>
      <c r="E256" t="inlineStr">
        <is>
          <t>VIMMERBY</t>
        </is>
      </c>
      <c r="G256" t="n">
        <v>9</v>
      </c>
      <c r="H256" t="n">
        <v>0</v>
      </c>
      <c r="I256" t="n">
        <v>0</v>
      </c>
      <c r="J256" t="n">
        <v>0</v>
      </c>
      <c r="K256" t="n">
        <v>0</v>
      </c>
      <c r="L256" t="n">
        <v>0</v>
      </c>
      <c r="M256" t="n">
        <v>0</v>
      </c>
      <c r="N256" t="n">
        <v>0</v>
      </c>
      <c r="O256" t="n">
        <v>0</v>
      </c>
      <c r="P256" t="n">
        <v>0</v>
      </c>
      <c r="Q256" t="n">
        <v>0</v>
      </c>
      <c r="R256" s="2" t="inlineStr"/>
    </row>
    <row r="257" ht="15" customHeight="1">
      <c r="A257" t="inlineStr">
        <is>
          <t>A 39807-2025</t>
        </is>
      </c>
      <c r="B257" s="1" t="n">
        <v>45891.50986111111</v>
      </c>
      <c r="C257" s="1" t="n">
        <v>46022</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39736-2025</t>
        </is>
      </c>
      <c r="B258" s="1" t="n">
        <v>45891</v>
      </c>
      <c r="C258" s="1" t="n">
        <v>46022</v>
      </c>
      <c r="D258" t="inlineStr">
        <is>
          <t>KALMAR LÄN</t>
        </is>
      </c>
      <c r="E258" t="inlineStr">
        <is>
          <t>VIMMERBY</t>
        </is>
      </c>
      <c r="G258" t="n">
        <v>12.8</v>
      </c>
      <c r="H258" t="n">
        <v>0</v>
      </c>
      <c r="I258" t="n">
        <v>0</v>
      </c>
      <c r="J258" t="n">
        <v>0</v>
      </c>
      <c r="K258" t="n">
        <v>0</v>
      </c>
      <c r="L258" t="n">
        <v>0</v>
      </c>
      <c r="M258" t="n">
        <v>0</v>
      </c>
      <c r="N258" t="n">
        <v>0</v>
      </c>
      <c r="O258" t="n">
        <v>0</v>
      </c>
      <c r="P258" t="n">
        <v>0</v>
      </c>
      <c r="Q258" t="n">
        <v>0</v>
      </c>
      <c r="R258" s="2" t="inlineStr"/>
    </row>
    <row r="259" ht="15" customHeight="1">
      <c r="A259" t="inlineStr">
        <is>
          <t>A 16734-2023</t>
        </is>
      </c>
      <c r="B259" s="1" t="n">
        <v>45030.71012731481</v>
      </c>
      <c r="C259" s="1" t="n">
        <v>46022</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57578-2024</t>
        </is>
      </c>
      <c r="B260" s="1" t="n">
        <v>45630.47564814815</v>
      </c>
      <c r="C260" s="1" t="n">
        <v>46022</v>
      </c>
      <c r="D260" t="inlineStr">
        <is>
          <t>KALMAR LÄN</t>
        </is>
      </c>
      <c r="E260" t="inlineStr">
        <is>
          <t>VIMMERBY</t>
        </is>
      </c>
      <c r="G260" t="n">
        <v>2.6</v>
      </c>
      <c r="H260" t="n">
        <v>0</v>
      </c>
      <c r="I260" t="n">
        <v>0</v>
      </c>
      <c r="J260" t="n">
        <v>0</v>
      </c>
      <c r="K260" t="n">
        <v>0</v>
      </c>
      <c r="L260" t="n">
        <v>0</v>
      </c>
      <c r="M260" t="n">
        <v>0</v>
      </c>
      <c r="N260" t="n">
        <v>0</v>
      </c>
      <c r="O260" t="n">
        <v>0</v>
      </c>
      <c r="P260" t="n">
        <v>0</v>
      </c>
      <c r="Q260" t="n">
        <v>0</v>
      </c>
      <c r="R260" s="2" t="inlineStr"/>
    </row>
    <row r="261" ht="15" customHeight="1">
      <c r="A261" t="inlineStr">
        <is>
          <t>A 39803-2025</t>
        </is>
      </c>
      <c r="B261" s="1" t="n">
        <v>45891.50525462963</v>
      </c>
      <c r="C261" s="1" t="n">
        <v>46022</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20129-2024</t>
        </is>
      </c>
      <c r="B262" s="1" t="n">
        <v>45434.55831018519</v>
      </c>
      <c r="C262" s="1" t="n">
        <v>46022</v>
      </c>
      <c r="D262" t="inlineStr">
        <is>
          <t>KALMAR LÄN</t>
        </is>
      </c>
      <c r="E262" t="inlineStr">
        <is>
          <t>VIMMERBY</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20137-2024</t>
        </is>
      </c>
      <c r="B263" s="1" t="n">
        <v>45434.56398148148</v>
      </c>
      <c r="C263" s="1" t="n">
        <v>46022</v>
      </c>
      <c r="D263" t="inlineStr">
        <is>
          <t>KALMAR LÄN</t>
        </is>
      </c>
      <c r="E263" t="inlineStr">
        <is>
          <t>VIMMERBY</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7456-2024</t>
        </is>
      </c>
      <c r="B264" s="1" t="n">
        <v>45345.83557870371</v>
      </c>
      <c r="C264" s="1" t="n">
        <v>46022</v>
      </c>
      <c r="D264" t="inlineStr">
        <is>
          <t>KALMAR LÄN</t>
        </is>
      </c>
      <c r="E264" t="inlineStr">
        <is>
          <t>VIMMERBY</t>
        </is>
      </c>
      <c r="G264" t="n">
        <v>4.1</v>
      </c>
      <c r="H264" t="n">
        <v>0</v>
      </c>
      <c r="I264" t="n">
        <v>0</v>
      </c>
      <c r="J264" t="n">
        <v>0</v>
      </c>
      <c r="K264" t="n">
        <v>0</v>
      </c>
      <c r="L264" t="n">
        <v>0</v>
      </c>
      <c r="M264" t="n">
        <v>0</v>
      </c>
      <c r="N264" t="n">
        <v>0</v>
      </c>
      <c r="O264" t="n">
        <v>0</v>
      </c>
      <c r="P264" t="n">
        <v>0</v>
      </c>
      <c r="Q264" t="n">
        <v>0</v>
      </c>
      <c r="R264" s="2" t="inlineStr"/>
    </row>
    <row r="265" ht="15" customHeight="1">
      <c r="A265" t="inlineStr">
        <is>
          <t>A 39889-2025</t>
        </is>
      </c>
      <c r="B265" s="1" t="n">
        <v>45891</v>
      </c>
      <c r="C265" s="1" t="n">
        <v>46022</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6307-2025</t>
        </is>
      </c>
      <c r="B266" s="1" t="n">
        <v>45698.69016203703</v>
      </c>
      <c r="C266" s="1" t="n">
        <v>46022</v>
      </c>
      <c r="D266" t="inlineStr">
        <is>
          <t>KALMAR LÄN</t>
        </is>
      </c>
      <c r="E266" t="inlineStr">
        <is>
          <t>VIMMERBY</t>
        </is>
      </c>
      <c r="G266" t="n">
        <v>3</v>
      </c>
      <c r="H266" t="n">
        <v>0</v>
      </c>
      <c r="I266" t="n">
        <v>0</v>
      </c>
      <c r="J266" t="n">
        <v>0</v>
      </c>
      <c r="K266" t="n">
        <v>0</v>
      </c>
      <c r="L266" t="n">
        <v>0</v>
      </c>
      <c r="M266" t="n">
        <v>0</v>
      </c>
      <c r="N266" t="n">
        <v>0</v>
      </c>
      <c r="O266" t="n">
        <v>0</v>
      </c>
      <c r="P266" t="n">
        <v>0</v>
      </c>
      <c r="Q266" t="n">
        <v>0</v>
      </c>
      <c r="R266" s="2" t="inlineStr"/>
    </row>
    <row r="267" ht="15" customHeight="1">
      <c r="A267" t="inlineStr">
        <is>
          <t>A 47955-2025</t>
        </is>
      </c>
      <c r="B267" s="1" t="n">
        <v>45932.58896990741</v>
      </c>
      <c r="C267" s="1" t="n">
        <v>46022</v>
      </c>
      <c r="D267" t="inlineStr">
        <is>
          <t>KALMAR LÄN</t>
        </is>
      </c>
      <c r="E267" t="inlineStr">
        <is>
          <t>VIMMERBY</t>
        </is>
      </c>
      <c r="G267" t="n">
        <v>3.4</v>
      </c>
      <c r="H267" t="n">
        <v>0</v>
      </c>
      <c r="I267" t="n">
        <v>0</v>
      </c>
      <c r="J267" t="n">
        <v>0</v>
      </c>
      <c r="K267" t="n">
        <v>0</v>
      </c>
      <c r="L267" t="n">
        <v>0</v>
      </c>
      <c r="M267" t="n">
        <v>0</v>
      </c>
      <c r="N267" t="n">
        <v>0</v>
      </c>
      <c r="O267" t="n">
        <v>0</v>
      </c>
      <c r="P267" t="n">
        <v>0</v>
      </c>
      <c r="Q267" t="n">
        <v>0</v>
      </c>
      <c r="R267" s="2" t="inlineStr"/>
    </row>
    <row r="268" ht="15" customHeight="1">
      <c r="A268" t="inlineStr">
        <is>
          <t>A 52324-2023</t>
        </is>
      </c>
      <c r="B268" s="1" t="n">
        <v>45224.64659722222</v>
      </c>
      <c r="C268" s="1" t="n">
        <v>46022</v>
      </c>
      <c r="D268" t="inlineStr">
        <is>
          <t>KALMAR LÄN</t>
        </is>
      </c>
      <c r="E268" t="inlineStr">
        <is>
          <t>VIMMERBY</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11442-2025</t>
        </is>
      </c>
      <c r="B269" s="1" t="n">
        <v>45726.62721064815</v>
      </c>
      <c r="C269" s="1" t="n">
        <v>46022</v>
      </c>
      <c r="D269" t="inlineStr">
        <is>
          <t>KALMAR LÄN</t>
        </is>
      </c>
      <c r="E269" t="inlineStr">
        <is>
          <t>VIMMERBY</t>
        </is>
      </c>
      <c r="G269" t="n">
        <v>2.6</v>
      </c>
      <c r="H269" t="n">
        <v>0</v>
      </c>
      <c r="I269" t="n">
        <v>0</v>
      </c>
      <c r="J269" t="n">
        <v>0</v>
      </c>
      <c r="K269" t="n">
        <v>0</v>
      </c>
      <c r="L269" t="n">
        <v>0</v>
      </c>
      <c r="M269" t="n">
        <v>0</v>
      </c>
      <c r="N269" t="n">
        <v>0</v>
      </c>
      <c r="O269" t="n">
        <v>0</v>
      </c>
      <c r="P269" t="n">
        <v>0</v>
      </c>
      <c r="Q269" t="n">
        <v>0</v>
      </c>
      <c r="R269" s="2" t="inlineStr"/>
    </row>
    <row r="270" ht="15" customHeight="1">
      <c r="A270" t="inlineStr">
        <is>
          <t>A 48723-2025</t>
        </is>
      </c>
      <c r="B270" s="1" t="n">
        <v>45936.65121527778</v>
      </c>
      <c r="C270" s="1" t="n">
        <v>46022</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17988-2025</t>
        </is>
      </c>
      <c r="B271" s="1" t="n">
        <v>45761.39600694444</v>
      </c>
      <c r="C271" s="1" t="n">
        <v>46022</v>
      </c>
      <c r="D271" t="inlineStr">
        <is>
          <t>KALMAR LÄN</t>
        </is>
      </c>
      <c r="E271" t="inlineStr">
        <is>
          <t>VIMMERBY</t>
        </is>
      </c>
      <c r="G271" t="n">
        <v>2.8</v>
      </c>
      <c r="H271" t="n">
        <v>0</v>
      </c>
      <c r="I271" t="n">
        <v>0</v>
      </c>
      <c r="J271" t="n">
        <v>0</v>
      </c>
      <c r="K271" t="n">
        <v>0</v>
      </c>
      <c r="L271" t="n">
        <v>0</v>
      </c>
      <c r="M271" t="n">
        <v>0</v>
      </c>
      <c r="N271" t="n">
        <v>0</v>
      </c>
      <c r="O271" t="n">
        <v>0</v>
      </c>
      <c r="P271" t="n">
        <v>0</v>
      </c>
      <c r="Q271" t="n">
        <v>0</v>
      </c>
      <c r="R271" s="2" t="inlineStr"/>
    </row>
    <row r="272" ht="15" customHeight="1">
      <c r="A272" t="inlineStr">
        <is>
          <t>A 23341-2022</t>
        </is>
      </c>
      <c r="B272" s="1" t="n">
        <v>44720.53898148148</v>
      </c>
      <c r="C272" s="1" t="n">
        <v>46022</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48712-2025</t>
        </is>
      </c>
      <c r="B273" s="1" t="n">
        <v>45936.63373842592</v>
      </c>
      <c r="C273" s="1" t="n">
        <v>46022</v>
      </c>
      <c r="D273" t="inlineStr">
        <is>
          <t>KALMAR LÄN</t>
        </is>
      </c>
      <c r="E273" t="inlineStr">
        <is>
          <t>VIMMERBY</t>
        </is>
      </c>
      <c r="G273" t="n">
        <v>3</v>
      </c>
      <c r="H273" t="n">
        <v>0</v>
      </c>
      <c r="I273" t="n">
        <v>0</v>
      </c>
      <c r="J273" t="n">
        <v>0</v>
      </c>
      <c r="K273" t="n">
        <v>0</v>
      </c>
      <c r="L273" t="n">
        <v>0</v>
      </c>
      <c r="M273" t="n">
        <v>0</v>
      </c>
      <c r="N273" t="n">
        <v>0</v>
      </c>
      <c r="O273" t="n">
        <v>0</v>
      </c>
      <c r="P273" t="n">
        <v>0</v>
      </c>
      <c r="Q273" t="n">
        <v>0</v>
      </c>
      <c r="R273" s="2" t="inlineStr"/>
    </row>
    <row r="274" ht="15" customHeight="1">
      <c r="A274" t="inlineStr">
        <is>
          <t>A 37028-2024</t>
        </is>
      </c>
      <c r="B274" s="1" t="n">
        <v>45539.38744212963</v>
      </c>
      <c r="C274" s="1" t="n">
        <v>46022</v>
      </c>
      <c r="D274" t="inlineStr">
        <is>
          <t>KALMAR LÄN</t>
        </is>
      </c>
      <c r="E274" t="inlineStr">
        <is>
          <t>VIMMERBY</t>
        </is>
      </c>
      <c r="G274" t="n">
        <v>5.2</v>
      </c>
      <c r="H274" t="n">
        <v>0</v>
      </c>
      <c r="I274" t="n">
        <v>0</v>
      </c>
      <c r="J274" t="n">
        <v>0</v>
      </c>
      <c r="K274" t="n">
        <v>0</v>
      </c>
      <c r="L274" t="n">
        <v>0</v>
      </c>
      <c r="M274" t="n">
        <v>0</v>
      </c>
      <c r="N274" t="n">
        <v>0</v>
      </c>
      <c r="O274" t="n">
        <v>0</v>
      </c>
      <c r="P274" t="n">
        <v>0</v>
      </c>
      <c r="Q274" t="n">
        <v>0</v>
      </c>
      <c r="R274" s="2" t="inlineStr"/>
    </row>
    <row r="275" ht="15" customHeight="1">
      <c r="A275" t="inlineStr">
        <is>
          <t>A 40925-2025</t>
        </is>
      </c>
      <c r="B275" s="1" t="n">
        <v>45897.64208333333</v>
      </c>
      <c r="C275" s="1" t="n">
        <v>46022</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48408-2025</t>
        </is>
      </c>
      <c r="B276" s="1" t="n">
        <v>45934.40527777778</v>
      </c>
      <c r="C276" s="1" t="n">
        <v>46022</v>
      </c>
      <c r="D276" t="inlineStr">
        <is>
          <t>KALMAR LÄN</t>
        </is>
      </c>
      <c r="E276" t="inlineStr">
        <is>
          <t>VIMMERBY</t>
        </is>
      </c>
      <c r="G276" t="n">
        <v>2.4</v>
      </c>
      <c r="H276" t="n">
        <v>0</v>
      </c>
      <c r="I276" t="n">
        <v>0</v>
      </c>
      <c r="J276" t="n">
        <v>0</v>
      </c>
      <c r="K276" t="n">
        <v>0</v>
      </c>
      <c r="L276" t="n">
        <v>0</v>
      </c>
      <c r="M276" t="n">
        <v>0</v>
      </c>
      <c r="N276" t="n">
        <v>0</v>
      </c>
      <c r="O276" t="n">
        <v>0</v>
      </c>
      <c r="P276" t="n">
        <v>0</v>
      </c>
      <c r="Q276" t="n">
        <v>0</v>
      </c>
      <c r="R276" s="2" t="inlineStr"/>
    </row>
    <row r="277" ht="15" customHeight="1">
      <c r="A277" t="inlineStr">
        <is>
          <t>A 40921-2025</t>
        </is>
      </c>
      <c r="B277" s="1" t="n">
        <v>45897.63520833333</v>
      </c>
      <c r="C277" s="1" t="n">
        <v>46022</v>
      </c>
      <c r="D277" t="inlineStr">
        <is>
          <t>KALMAR LÄN</t>
        </is>
      </c>
      <c r="E277" t="inlineStr">
        <is>
          <t>VIMMERBY</t>
        </is>
      </c>
      <c r="G277" t="n">
        <v>4.2</v>
      </c>
      <c r="H277" t="n">
        <v>0</v>
      </c>
      <c r="I277" t="n">
        <v>0</v>
      </c>
      <c r="J277" t="n">
        <v>0</v>
      </c>
      <c r="K277" t="n">
        <v>0</v>
      </c>
      <c r="L277" t="n">
        <v>0</v>
      </c>
      <c r="M277" t="n">
        <v>0</v>
      </c>
      <c r="N277" t="n">
        <v>0</v>
      </c>
      <c r="O277" t="n">
        <v>0</v>
      </c>
      <c r="P277" t="n">
        <v>0</v>
      </c>
      <c r="Q277" t="n">
        <v>0</v>
      </c>
      <c r="R277" s="2" t="inlineStr"/>
    </row>
    <row r="278" ht="15" customHeight="1">
      <c r="A278" t="inlineStr">
        <is>
          <t>A 6668-2023</t>
        </is>
      </c>
      <c r="B278" s="1" t="n">
        <v>44966</v>
      </c>
      <c r="C278" s="1" t="n">
        <v>46022</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29168-2024</t>
        </is>
      </c>
      <c r="B279" s="1" t="n">
        <v>45482.49870370371</v>
      </c>
      <c r="C279" s="1" t="n">
        <v>46022</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8086-2021</t>
        </is>
      </c>
      <c r="B280" s="1" t="n">
        <v>44243</v>
      </c>
      <c r="C280" s="1" t="n">
        <v>46022</v>
      </c>
      <c r="D280" t="inlineStr">
        <is>
          <t>KALMAR LÄN</t>
        </is>
      </c>
      <c r="E280" t="inlineStr">
        <is>
          <t>VIMMERBY</t>
        </is>
      </c>
      <c r="G280" t="n">
        <v>4.1</v>
      </c>
      <c r="H280" t="n">
        <v>0</v>
      </c>
      <c r="I280" t="n">
        <v>0</v>
      </c>
      <c r="J280" t="n">
        <v>0</v>
      </c>
      <c r="K280" t="n">
        <v>0</v>
      </c>
      <c r="L280" t="n">
        <v>0</v>
      </c>
      <c r="M280" t="n">
        <v>0</v>
      </c>
      <c r="N280" t="n">
        <v>0</v>
      </c>
      <c r="O280" t="n">
        <v>0</v>
      </c>
      <c r="P280" t="n">
        <v>0</v>
      </c>
      <c r="Q280" t="n">
        <v>0</v>
      </c>
      <c r="R280" s="2" t="inlineStr"/>
    </row>
    <row r="281" ht="15" customHeight="1">
      <c r="A281" t="inlineStr">
        <is>
          <t>A 55236-2023</t>
        </is>
      </c>
      <c r="B281" s="1" t="n">
        <v>45237.63225694445</v>
      </c>
      <c r="C281" s="1" t="n">
        <v>46022</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55245-2023</t>
        </is>
      </c>
      <c r="B282" s="1" t="n">
        <v>45237.64408564815</v>
      </c>
      <c r="C282" s="1" t="n">
        <v>46022</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36055-2024</t>
        </is>
      </c>
      <c r="B283" s="1" t="n">
        <v>45533.63056712963</v>
      </c>
      <c r="C283" s="1" t="n">
        <v>46022</v>
      </c>
      <c r="D283" t="inlineStr">
        <is>
          <t>KALMAR LÄN</t>
        </is>
      </c>
      <c r="E283" t="inlineStr">
        <is>
          <t>VIMMERBY</t>
        </is>
      </c>
      <c r="F283" t="inlineStr">
        <is>
          <t>Kommuner</t>
        </is>
      </c>
      <c r="G283" t="n">
        <v>1.9</v>
      </c>
      <c r="H283" t="n">
        <v>0</v>
      </c>
      <c r="I283" t="n">
        <v>0</v>
      </c>
      <c r="J283" t="n">
        <v>0</v>
      </c>
      <c r="K283" t="n">
        <v>0</v>
      </c>
      <c r="L283" t="n">
        <v>0</v>
      </c>
      <c r="M283" t="n">
        <v>0</v>
      </c>
      <c r="N283" t="n">
        <v>0</v>
      </c>
      <c r="O283" t="n">
        <v>0</v>
      </c>
      <c r="P283" t="n">
        <v>0</v>
      </c>
      <c r="Q283" t="n">
        <v>0</v>
      </c>
      <c r="R283" s="2" t="inlineStr"/>
    </row>
    <row r="284" ht="15" customHeight="1">
      <c r="A284" t="inlineStr">
        <is>
          <t>A 48409-2025</t>
        </is>
      </c>
      <c r="B284" s="1" t="n">
        <v>45934.41387731482</v>
      </c>
      <c r="C284" s="1" t="n">
        <v>46022</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48600-2025</t>
        </is>
      </c>
      <c r="B285" s="1" t="n">
        <v>45935</v>
      </c>
      <c r="C285" s="1" t="n">
        <v>46022</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41224-2025</t>
        </is>
      </c>
      <c r="B286" s="1" t="n">
        <v>45898.58861111111</v>
      </c>
      <c r="C286" s="1" t="n">
        <v>46022</v>
      </c>
      <c r="D286" t="inlineStr">
        <is>
          <t>KALMAR LÄN</t>
        </is>
      </c>
      <c r="E286" t="inlineStr">
        <is>
          <t>VIMMERBY</t>
        </is>
      </c>
      <c r="G286" t="n">
        <v>4.4</v>
      </c>
      <c r="H286" t="n">
        <v>0</v>
      </c>
      <c r="I286" t="n">
        <v>0</v>
      </c>
      <c r="J286" t="n">
        <v>0</v>
      </c>
      <c r="K286" t="n">
        <v>0</v>
      </c>
      <c r="L286" t="n">
        <v>0</v>
      </c>
      <c r="M286" t="n">
        <v>0</v>
      </c>
      <c r="N286" t="n">
        <v>0</v>
      </c>
      <c r="O286" t="n">
        <v>0</v>
      </c>
      <c r="P286" t="n">
        <v>0</v>
      </c>
      <c r="Q286" t="n">
        <v>0</v>
      </c>
      <c r="R286" s="2" t="inlineStr"/>
    </row>
    <row r="287" ht="15" customHeight="1">
      <c r="A287" t="inlineStr">
        <is>
          <t>A 41591-2025</t>
        </is>
      </c>
      <c r="B287" s="1" t="n">
        <v>45901.6327662037</v>
      </c>
      <c r="C287" s="1" t="n">
        <v>46022</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40971-2025</t>
        </is>
      </c>
      <c r="B288" s="1" t="n">
        <v>45897.88836805556</v>
      </c>
      <c r="C288" s="1" t="n">
        <v>46022</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41589-2025</t>
        </is>
      </c>
      <c r="B289" s="1" t="n">
        <v>45901.63219907408</v>
      </c>
      <c r="C289" s="1" t="n">
        <v>46022</v>
      </c>
      <c r="D289" t="inlineStr">
        <is>
          <t>KALMAR LÄN</t>
        </is>
      </c>
      <c r="E289" t="inlineStr">
        <is>
          <t>VIMMERBY</t>
        </is>
      </c>
      <c r="G289" t="n">
        <v>1.7</v>
      </c>
      <c r="H289" t="n">
        <v>0</v>
      </c>
      <c r="I289" t="n">
        <v>0</v>
      </c>
      <c r="J289" t="n">
        <v>0</v>
      </c>
      <c r="K289" t="n">
        <v>0</v>
      </c>
      <c r="L289" t="n">
        <v>0</v>
      </c>
      <c r="M289" t="n">
        <v>0</v>
      </c>
      <c r="N289" t="n">
        <v>0</v>
      </c>
      <c r="O289" t="n">
        <v>0</v>
      </c>
      <c r="P289" t="n">
        <v>0</v>
      </c>
      <c r="Q289" t="n">
        <v>0</v>
      </c>
      <c r="R289" s="2" t="inlineStr"/>
    </row>
    <row r="290" ht="15" customHeight="1">
      <c r="A290" t="inlineStr">
        <is>
          <t>A 23394-2025</t>
        </is>
      </c>
      <c r="B290" s="1" t="n">
        <v>45791.89865740741</v>
      </c>
      <c r="C290" s="1" t="n">
        <v>46022</v>
      </c>
      <c r="D290" t="inlineStr">
        <is>
          <t>KALMAR LÄN</t>
        </is>
      </c>
      <c r="E290" t="inlineStr">
        <is>
          <t>VIMMERBY</t>
        </is>
      </c>
      <c r="G290" t="n">
        <v>3.1</v>
      </c>
      <c r="H290" t="n">
        <v>0</v>
      </c>
      <c r="I290" t="n">
        <v>0</v>
      </c>
      <c r="J290" t="n">
        <v>0</v>
      </c>
      <c r="K290" t="n">
        <v>0</v>
      </c>
      <c r="L290" t="n">
        <v>0</v>
      </c>
      <c r="M290" t="n">
        <v>0</v>
      </c>
      <c r="N290" t="n">
        <v>0</v>
      </c>
      <c r="O290" t="n">
        <v>0</v>
      </c>
      <c r="P290" t="n">
        <v>0</v>
      </c>
      <c r="Q290" t="n">
        <v>0</v>
      </c>
      <c r="R290" s="2" t="inlineStr"/>
    </row>
    <row r="291" ht="15" customHeight="1">
      <c r="A291" t="inlineStr">
        <is>
          <t>A 27443-2023</t>
        </is>
      </c>
      <c r="B291" s="1" t="n">
        <v>45097.40524305555</v>
      </c>
      <c r="C291" s="1" t="n">
        <v>46022</v>
      </c>
      <c r="D291" t="inlineStr">
        <is>
          <t>KALMAR LÄN</t>
        </is>
      </c>
      <c r="E291" t="inlineStr">
        <is>
          <t>VIMMERBY</t>
        </is>
      </c>
      <c r="F291" t="inlineStr">
        <is>
          <t>Övriga Aktiebolag</t>
        </is>
      </c>
      <c r="G291" t="n">
        <v>2.3</v>
      </c>
      <c r="H291" t="n">
        <v>0</v>
      </c>
      <c r="I291" t="n">
        <v>0</v>
      </c>
      <c r="J291" t="n">
        <v>0</v>
      </c>
      <c r="K291" t="n">
        <v>0</v>
      </c>
      <c r="L291" t="n">
        <v>0</v>
      </c>
      <c r="M291" t="n">
        <v>0</v>
      </c>
      <c r="N291" t="n">
        <v>0</v>
      </c>
      <c r="O291" t="n">
        <v>0</v>
      </c>
      <c r="P291" t="n">
        <v>0</v>
      </c>
      <c r="Q291" t="n">
        <v>0</v>
      </c>
      <c r="R291" s="2" t="inlineStr"/>
    </row>
    <row r="292" ht="15" customHeight="1">
      <c r="A292" t="inlineStr">
        <is>
          <t>A 40970-2025</t>
        </is>
      </c>
      <c r="B292" s="1" t="n">
        <v>45897.88706018519</v>
      </c>
      <c r="C292" s="1" t="n">
        <v>46022</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40973-2025</t>
        </is>
      </c>
      <c r="B293" s="1" t="n">
        <v>45897.89737268518</v>
      </c>
      <c r="C293" s="1" t="n">
        <v>46022</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845-2023</t>
        </is>
      </c>
      <c r="B294" s="1" t="n">
        <v>44931</v>
      </c>
      <c r="C294" s="1" t="n">
        <v>46022</v>
      </c>
      <c r="D294" t="inlineStr">
        <is>
          <t>KALMAR LÄN</t>
        </is>
      </c>
      <c r="E294" t="inlineStr">
        <is>
          <t>VIMMERBY</t>
        </is>
      </c>
      <c r="F294" t="inlineStr">
        <is>
          <t>Övriga Aktiebolag</t>
        </is>
      </c>
      <c r="G294" t="n">
        <v>19</v>
      </c>
      <c r="H294" t="n">
        <v>0</v>
      </c>
      <c r="I294" t="n">
        <v>0</v>
      </c>
      <c r="J294" t="n">
        <v>0</v>
      </c>
      <c r="K294" t="n">
        <v>0</v>
      </c>
      <c r="L294" t="n">
        <v>0</v>
      </c>
      <c r="M294" t="n">
        <v>0</v>
      </c>
      <c r="N294" t="n">
        <v>0</v>
      </c>
      <c r="O294" t="n">
        <v>0</v>
      </c>
      <c r="P294" t="n">
        <v>0</v>
      </c>
      <c r="Q294" t="n">
        <v>0</v>
      </c>
      <c r="R294" s="2" t="inlineStr"/>
    </row>
    <row r="295" ht="15" customHeight="1">
      <c r="A295" t="inlineStr">
        <is>
          <t>A 34090-2025</t>
        </is>
      </c>
      <c r="B295" s="1" t="n">
        <v>45845</v>
      </c>
      <c r="C295" s="1" t="n">
        <v>46022</v>
      </c>
      <c r="D295" t="inlineStr">
        <is>
          <t>KALMAR LÄN</t>
        </is>
      </c>
      <c r="E295" t="inlineStr">
        <is>
          <t>VIMMERBY</t>
        </is>
      </c>
      <c r="G295" t="n">
        <v>2.8</v>
      </c>
      <c r="H295" t="n">
        <v>0</v>
      </c>
      <c r="I295" t="n">
        <v>0</v>
      </c>
      <c r="J295" t="n">
        <v>0</v>
      </c>
      <c r="K295" t="n">
        <v>0</v>
      </c>
      <c r="L295" t="n">
        <v>0</v>
      </c>
      <c r="M295" t="n">
        <v>0</v>
      </c>
      <c r="N295" t="n">
        <v>0</v>
      </c>
      <c r="O295" t="n">
        <v>0</v>
      </c>
      <c r="P295" t="n">
        <v>0</v>
      </c>
      <c r="Q295" t="n">
        <v>0</v>
      </c>
      <c r="R295" s="2" t="inlineStr"/>
    </row>
    <row r="296" ht="15" customHeight="1">
      <c r="A296" t="inlineStr">
        <is>
          <t>A 23984-2025</t>
        </is>
      </c>
      <c r="B296" s="1" t="n">
        <v>45796</v>
      </c>
      <c r="C296" s="1" t="n">
        <v>46022</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6321-2023</t>
        </is>
      </c>
      <c r="B297" s="1" t="n">
        <v>44965.4815162037</v>
      </c>
      <c r="C297" s="1" t="n">
        <v>46022</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4624-2024</t>
        </is>
      </c>
      <c r="B298" s="1" t="n">
        <v>45328.38755787037</v>
      </c>
      <c r="C298" s="1" t="n">
        <v>46022</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40730-2024</t>
        </is>
      </c>
      <c r="B299" s="1" t="n">
        <v>45558.44914351852</v>
      </c>
      <c r="C299" s="1" t="n">
        <v>46022</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2157-2024</t>
        </is>
      </c>
      <c r="B300" s="1" t="n">
        <v>45309.59487268519</v>
      </c>
      <c r="C300" s="1" t="n">
        <v>46022</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41735-2025</t>
        </is>
      </c>
      <c r="B301" s="1" t="n">
        <v>45902.47164351852</v>
      </c>
      <c r="C301" s="1" t="n">
        <v>46022</v>
      </c>
      <c r="D301" t="inlineStr">
        <is>
          <t>KALMAR LÄN</t>
        </is>
      </c>
      <c r="E301" t="inlineStr">
        <is>
          <t>VIMMERBY</t>
        </is>
      </c>
      <c r="G301" t="n">
        <v>3</v>
      </c>
      <c r="H301" t="n">
        <v>0</v>
      </c>
      <c r="I301" t="n">
        <v>0</v>
      </c>
      <c r="J301" t="n">
        <v>0</v>
      </c>
      <c r="K301" t="n">
        <v>0</v>
      </c>
      <c r="L301" t="n">
        <v>0</v>
      </c>
      <c r="M301" t="n">
        <v>0</v>
      </c>
      <c r="N301" t="n">
        <v>0</v>
      </c>
      <c r="O301" t="n">
        <v>0</v>
      </c>
      <c r="P301" t="n">
        <v>0</v>
      </c>
      <c r="Q301" t="n">
        <v>0</v>
      </c>
      <c r="R301" s="2" t="inlineStr"/>
    </row>
    <row r="302" ht="15" customHeight="1">
      <c r="A302" t="inlineStr">
        <is>
          <t>A 49461-2022</t>
        </is>
      </c>
      <c r="B302" s="1" t="n">
        <v>44861</v>
      </c>
      <c r="C302" s="1" t="n">
        <v>46022</v>
      </c>
      <c r="D302" t="inlineStr">
        <is>
          <t>KALMAR LÄN</t>
        </is>
      </c>
      <c r="E302" t="inlineStr">
        <is>
          <t>VIMMERBY</t>
        </is>
      </c>
      <c r="G302" t="n">
        <v>3.2</v>
      </c>
      <c r="H302" t="n">
        <v>0</v>
      </c>
      <c r="I302" t="n">
        <v>0</v>
      </c>
      <c r="J302" t="n">
        <v>0</v>
      </c>
      <c r="K302" t="n">
        <v>0</v>
      </c>
      <c r="L302" t="n">
        <v>0</v>
      </c>
      <c r="M302" t="n">
        <v>0</v>
      </c>
      <c r="N302" t="n">
        <v>0</v>
      </c>
      <c r="O302" t="n">
        <v>0</v>
      </c>
      <c r="P302" t="n">
        <v>0</v>
      </c>
      <c r="Q302" t="n">
        <v>0</v>
      </c>
      <c r="R302" s="2" t="inlineStr"/>
    </row>
    <row r="303" ht="15" customHeight="1">
      <c r="A303" t="inlineStr">
        <is>
          <t>A 694-2024</t>
        </is>
      </c>
      <c r="B303" s="1" t="n">
        <v>45300.3794212963</v>
      </c>
      <c r="C303" s="1" t="n">
        <v>46022</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59598-2023</t>
        </is>
      </c>
      <c r="B304" s="1" t="n">
        <v>45254.62489583333</v>
      </c>
      <c r="C304" s="1" t="n">
        <v>46022</v>
      </c>
      <c r="D304" t="inlineStr">
        <is>
          <t>KALMAR LÄN</t>
        </is>
      </c>
      <c r="E304" t="inlineStr">
        <is>
          <t>VIMMERBY</t>
        </is>
      </c>
      <c r="F304" t="inlineStr">
        <is>
          <t>Övriga Aktiebolag</t>
        </is>
      </c>
      <c r="G304" t="n">
        <v>4</v>
      </c>
      <c r="H304" t="n">
        <v>0</v>
      </c>
      <c r="I304" t="n">
        <v>0</v>
      </c>
      <c r="J304" t="n">
        <v>0</v>
      </c>
      <c r="K304" t="n">
        <v>0</v>
      </c>
      <c r="L304" t="n">
        <v>0</v>
      </c>
      <c r="M304" t="n">
        <v>0</v>
      </c>
      <c r="N304" t="n">
        <v>0</v>
      </c>
      <c r="O304" t="n">
        <v>0</v>
      </c>
      <c r="P304" t="n">
        <v>0</v>
      </c>
      <c r="Q304" t="n">
        <v>0</v>
      </c>
      <c r="R304" s="2" t="inlineStr"/>
    </row>
    <row r="305" ht="15" customHeight="1">
      <c r="A305" t="inlineStr">
        <is>
          <t>A 7944-2024</t>
        </is>
      </c>
      <c r="B305" s="1" t="n">
        <v>45350.53306712963</v>
      </c>
      <c r="C305" s="1" t="n">
        <v>46022</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21496-2023</t>
        </is>
      </c>
      <c r="B306" s="1" t="n">
        <v>45063.49936342592</v>
      </c>
      <c r="C306" s="1" t="n">
        <v>46022</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35082-2024</t>
        </is>
      </c>
      <c r="B307" s="1" t="n">
        <v>45527.68784722222</v>
      </c>
      <c r="C307" s="1" t="n">
        <v>46022</v>
      </c>
      <c r="D307" t="inlineStr">
        <is>
          <t>KALMAR LÄN</t>
        </is>
      </c>
      <c r="E307" t="inlineStr">
        <is>
          <t>VIMMERBY</t>
        </is>
      </c>
      <c r="G307" t="n">
        <v>0.8</v>
      </c>
      <c r="H307" t="n">
        <v>0</v>
      </c>
      <c r="I307" t="n">
        <v>0</v>
      </c>
      <c r="J307" t="n">
        <v>0</v>
      </c>
      <c r="K307" t="n">
        <v>0</v>
      </c>
      <c r="L307" t="n">
        <v>0</v>
      </c>
      <c r="M307" t="n">
        <v>0</v>
      </c>
      <c r="N307" t="n">
        <v>0</v>
      </c>
      <c r="O307" t="n">
        <v>0</v>
      </c>
      <c r="P307" t="n">
        <v>0</v>
      </c>
      <c r="Q307" t="n">
        <v>0</v>
      </c>
      <c r="R307" s="2" t="inlineStr"/>
    </row>
    <row r="308" ht="15" customHeight="1">
      <c r="A308" t="inlineStr">
        <is>
          <t>A 29783-2024</t>
        </is>
      </c>
      <c r="B308" s="1" t="n">
        <v>45485.45778935185</v>
      </c>
      <c r="C308" s="1" t="n">
        <v>46022</v>
      </c>
      <c r="D308" t="inlineStr">
        <is>
          <t>KALMAR LÄN</t>
        </is>
      </c>
      <c r="E308" t="inlineStr">
        <is>
          <t>VIMMERBY</t>
        </is>
      </c>
      <c r="G308" t="n">
        <v>3.1</v>
      </c>
      <c r="H308" t="n">
        <v>0</v>
      </c>
      <c r="I308" t="n">
        <v>0</v>
      </c>
      <c r="J308" t="n">
        <v>0</v>
      </c>
      <c r="K308" t="n">
        <v>0</v>
      </c>
      <c r="L308" t="n">
        <v>0</v>
      </c>
      <c r="M308" t="n">
        <v>0</v>
      </c>
      <c r="N308" t="n">
        <v>0</v>
      </c>
      <c r="O308" t="n">
        <v>0</v>
      </c>
      <c r="P308" t="n">
        <v>0</v>
      </c>
      <c r="Q308" t="n">
        <v>0</v>
      </c>
      <c r="R308" s="2" t="inlineStr"/>
    </row>
    <row r="309" ht="15" customHeight="1">
      <c r="A309" t="inlineStr">
        <is>
          <t>A 51278-2024</t>
        </is>
      </c>
      <c r="B309" s="1" t="n">
        <v>45603.74959490741</v>
      </c>
      <c r="C309" s="1" t="n">
        <v>46022</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9456-2025</t>
        </is>
      </c>
      <c r="B310" s="1" t="n">
        <v>45715.44159722222</v>
      </c>
      <c r="C310" s="1" t="n">
        <v>46022</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11111-2023</t>
        </is>
      </c>
      <c r="B311" s="1" t="n">
        <v>44992.4255787037</v>
      </c>
      <c r="C311" s="1" t="n">
        <v>46022</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42828-2025</t>
        </is>
      </c>
      <c r="B312" s="1" t="n">
        <v>45908.57716435185</v>
      </c>
      <c r="C312" s="1" t="n">
        <v>46022</v>
      </c>
      <c r="D312" t="inlineStr">
        <is>
          <t>KALMAR LÄN</t>
        </is>
      </c>
      <c r="E312" t="inlineStr">
        <is>
          <t>VIMMERBY</t>
        </is>
      </c>
      <c r="G312" t="n">
        <v>5.2</v>
      </c>
      <c r="H312" t="n">
        <v>0</v>
      </c>
      <c r="I312" t="n">
        <v>0</v>
      </c>
      <c r="J312" t="n">
        <v>0</v>
      </c>
      <c r="K312" t="n">
        <v>0</v>
      </c>
      <c r="L312" t="n">
        <v>0</v>
      </c>
      <c r="M312" t="n">
        <v>0</v>
      </c>
      <c r="N312" t="n">
        <v>0</v>
      </c>
      <c r="O312" t="n">
        <v>0</v>
      </c>
      <c r="P312" t="n">
        <v>0</v>
      </c>
      <c r="Q312" t="n">
        <v>0</v>
      </c>
      <c r="R312" s="2" t="inlineStr"/>
    </row>
    <row r="313" ht="15" customHeight="1">
      <c r="A313" t="inlineStr">
        <is>
          <t>A 42794-2025</t>
        </is>
      </c>
      <c r="B313" s="1" t="n">
        <v>45908</v>
      </c>
      <c r="C313" s="1" t="n">
        <v>46022</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42820-2025</t>
        </is>
      </c>
      <c r="B314" s="1" t="n">
        <v>45908</v>
      </c>
      <c r="C314" s="1" t="n">
        <v>46022</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35198-2023</t>
        </is>
      </c>
      <c r="B315" s="1" t="n">
        <v>45145</v>
      </c>
      <c r="C315" s="1" t="n">
        <v>46022</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44582-2024</t>
        </is>
      </c>
      <c r="B316" s="1" t="n">
        <v>45574.49298611111</v>
      </c>
      <c r="C316" s="1" t="n">
        <v>46022</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43853-2023</t>
        </is>
      </c>
      <c r="B317" s="1" t="n">
        <v>45187.60813657408</v>
      </c>
      <c r="C317" s="1" t="n">
        <v>46022</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15494-2024</t>
        </is>
      </c>
      <c r="B318" s="1" t="n">
        <v>45401.53033564815</v>
      </c>
      <c r="C318" s="1" t="n">
        <v>46022</v>
      </c>
      <c r="D318" t="inlineStr">
        <is>
          <t>KALMAR LÄN</t>
        </is>
      </c>
      <c r="E318" t="inlineStr">
        <is>
          <t>VIMMERBY</t>
        </is>
      </c>
      <c r="G318" t="n">
        <v>3.2</v>
      </c>
      <c r="H318" t="n">
        <v>0</v>
      </c>
      <c r="I318" t="n">
        <v>0</v>
      </c>
      <c r="J318" t="n">
        <v>0</v>
      </c>
      <c r="K318" t="n">
        <v>0</v>
      </c>
      <c r="L318" t="n">
        <v>0</v>
      </c>
      <c r="M318" t="n">
        <v>0</v>
      </c>
      <c r="N318" t="n">
        <v>0</v>
      </c>
      <c r="O318" t="n">
        <v>0</v>
      </c>
      <c r="P318" t="n">
        <v>0</v>
      </c>
      <c r="Q318" t="n">
        <v>0</v>
      </c>
      <c r="R318" s="2" t="inlineStr"/>
    </row>
    <row r="319" ht="15" customHeight="1">
      <c r="A319" t="inlineStr">
        <is>
          <t>A 34060-2025</t>
        </is>
      </c>
      <c r="B319" s="1" t="n">
        <v>45845.42015046296</v>
      </c>
      <c r="C319" s="1" t="n">
        <v>46022</v>
      </c>
      <c r="D319" t="inlineStr">
        <is>
          <t>KALMAR LÄN</t>
        </is>
      </c>
      <c r="E319" t="inlineStr">
        <is>
          <t>VIMMERBY</t>
        </is>
      </c>
      <c r="G319" t="n">
        <v>5.7</v>
      </c>
      <c r="H319" t="n">
        <v>0</v>
      </c>
      <c r="I319" t="n">
        <v>0</v>
      </c>
      <c r="J319" t="n">
        <v>0</v>
      </c>
      <c r="K319" t="n">
        <v>0</v>
      </c>
      <c r="L319" t="n">
        <v>0</v>
      </c>
      <c r="M319" t="n">
        <v>0</v>
      </c>
      <c r="N319" t="n">
        <v>0</v>
      </c>
      <c r="O319" t="n">
        <v>0</v>
      </c>
      <c r="P319" t="n">
        <v>0</v>
      </c>
      <c r="Q319" t="n">
        <v>0</v>
      </c>
      <c r="R319" s="2" t="inlineStr"/>
    </row>
    <row r="320" ht="15" customHeight="1">
      <c r="A320" t="inlineStr">
        <is>
          <t>A 43465-2025</t>
        </is>
      </c>
      <c r="B320" s="1" t="n">
        <v>45911.47138888889</v>
      </c>
      <c r="C320" s="1" t="n">
        <v>46022</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9511-2023</t>
        </is>
      </c>
      <c r="B321" s="1" t="n">
        <v>44981.64725694444</v>
      </c>
      <c r="C321" s="1" t="n">
        <v>46022</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38757-2023</t>
        </is>
      </c>
      <c r="B322" s="1" t="n">
        <v>45163.41376157408</v>
      </c>
      <c r="C322" s="1" t="n">
        <v>46022</v>
      </c>
      <c r="D322" t="inlineStr">
        <is>
          <t>KALMAR LÄN</t>
        </is>
      </c>
      <c r="E322" t="inlineStr">
        <is>
          <t>VIMMERBY</t>
        </is>
      </c>
      <c r="G322" t="n">
        <v>2.5</v>
      </c>
      <c r="H322" t="n">
        <v>0</v>
      </c>
      <c r="I322" t="n">
        <v>0</v>
      </c>
      <c r="J322" t="n">
        <v>0</v>
      </c>
      <c r="K322" t="n">
        <v>0</v>
      </c>
      <c r="L322" t="n">
        <v>0</v>
      </c>
      <c r="M322" t="n">
        <v>0</v>
      </c>
      <c r="N322" t="n">
        <v>0</v>
      </c>
      <c r="O322" t="n">
        <v>0</v>
      </c>
      <c r="P322" t="n">
        <v>0</v>
      </c>
      <c r="Q322" t="n">
        <v>0</v>
      </c>
      <c r="R322" s="2" t="inlineStr"/>
    </row>
    <row r="323" ht="15" customHeight="1">
      <c r="A323" t="inlineStr">
        <is>
          <t>A 43617-2025</t>
        </is>
      </c>
      <c r="B323" s="1" t="n">
        <v>45911.67798611111</v>
      </c>
      <c r="C323" s="1" t="n">
        <v>46022</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29973-2023</t>
        </is>
      </c>
      <c r="B324" s="1" t="n">
        <v>45108.703125</v>
      </c>
      <c r="C324" s="1" t="n">
        <v>46022</v>
      </c>
      <c r="D324" t="inlineStr">
        <is>
          <t>KALMAR LÄN</t>
        </is>
      </c>
      <c r="E324" t="inlineStr">
        <is>
          <t>VIMMERBY</t>
        </is>
      </c>
      <c r="G324" t="n">
        <v>4</v>
      </c>
      <c r="H324" t="n">
        <v>0</v>
      </c>
      <c r="I324" t="n">
        <v>0</v>
      </c>
      <c r="J324" t="n">
        <v>0</v>
      </c>
      <c r="K324" t="n">
        <v>0</v>
      </c>
      <c r="L324" t="n">
        <v>0</v>
      </c>
      <c r="M324" t="n">
        <v>0</v>
      </c>
      <c r="N324" t="n">
        <v>0</v>
      </c>
      <c r="O324" t="n">
        <v>0</v>
      </c>
      <c r="P324" t="n">
        <v>0</v>
      </c>
      <c r="Q324" t="n">
        <v>0</v>
      </c>
      <c r="R324" s="2" t="inlineStr"/>
    </row>
    <row r="325" ht="15" customHeight="1">
      <c r="A325" t="inlineStr">
        <is>
          <t>A 64143-2021</t>
        </is>
      </c>
      <c r="B325" s="1" t="n">
        <v>44510.52157407408</v>
      </c>
      <c r="C325" s="1" t="n">
        <v>46022</v>
      </c>
      <c r="D325" t="inlineStr">
        <is>
          <t>KALMAR LÄN</t>
        </is>
      </c>
      <c r="E325" t="inlineStr">
        <is>
          <t>VIMMERBY</t>
        </is>
      </c>
      <c r="G325" t="n">
        <v>1.6</v>
      </c>
      <c r="H325" t="n">
        <v>0</v>
      </c>
      <c r="I325" t="n">
        <v>0</v>
      </c>
      <c r="J325" t="n">
        <v>0</v>
      </c>
      <c r="K325" t="n">
        <v>0</v>
      </c>
      <c r="L325" t="n">
        <v>0</v>
      </c>
      <c r="M325" t="n">
        <v>0</v>
      </c>
      <c r="N325" t="n">
        <v>0</v>
      </c>
      <c r="O325" t="n">
        <v>0</v>
      </c>
      <c r="P325" t="n">
        <v>0</v>
      </c>
      <c r="Q325" t="n">
        <v>0</v>
      </c>
      <c r="R325" s="2" t="inlineStr"/>
    </row>
    <row r="326" ht="15" customHeight="1">
      <c r="A326" t="inlineStr">
        <is>
          <t>A 73938-2021</t>
        </is>
      </c>
      <c r="B326" s="1" t="n">
        <v>44553</v>
      </c>
      <c r="C326" s="1" t="n">
        <v>46022</v>
      </c>
      <c r="D326" t="inlineStr">
        <is>
          <t>KALMAR LÄN</t>
        </is>
      </c>
      <c r="E326" t="inlineStr">
        <is>
          <t>VIMMERBY</t>
        </is>
      </c>
      <c r="G326" t="n">
        <v>3.2</v>
      </c>
      <c r="H326" t="n">
        <v>0</v>
      </c>
      <c r="I326" t="n">
        <v>0</v>
      </c>
      <c r="J326" t="n">
        <v>0</v>
      </c>
      <c r="K326" t="n">
        <v>0</v>
      </c>
      <c r="L326" t="n">
        <v>0</v>
      </c>
      <c r="M326" t="n">
        <v>0</v>
      </c>
      <c r="N326" t="n">
        <v>0</v>
      </c>
      <c r="O326" t="n">
        <v>0</v>
      </c>
      <c r="P326" t="n">
        <v>0</v>
      </c>
      <c r="Q326" t="n">
        <v>0</v>
      </c>
      <c r="R326" s="2" t="inlineStr"/>
    </row>
    <row r="327" ht="15" customHeight="1">
      <c r="A327" t="inlineStr">
        <is>
          <t>A 58724-2024</t>
        </is>
      </c>
      <c r="B327" s="1" t="n">
        <v>45635.66409722222</v>
      </c>
      <c r="C327" s="1" t="n">
        <v>46022</v>
      </c>
      <c r="D327" t="inlineStr">
        <is>
          <t>KALMAR LÄN</t>
        </is>
      </c>
      <c r="E327" t="inlineStr">
        <is>
          <t>VIMMERBY</t>
        </is>
      </c>
      <c r="G327" t="n">
        <v>1</v>
      </c>
      <c r="H327" t="n">
        <v>0</v>
      </c>
      <c r="I327" t="n">
        <v>0</v>
      </c>
      <c r="J327" t="n">
        <v>0</v>
      </c>
      <c r="K327" t="n">
        <v>0</v>
      </c>
      <c r="L327" t="n">
        <v>0</v>
      </c>
      <c r="M327" t="n">
        <v>0</v>
      </c>
      <c r="N327" t="n">
        <v>0</v>
      </c>
      <c r="O327" t="n">
        <v>0</v>
      </c>
      <c r="P327" t="n">
        <v>0</v>
      </c>
      <c r="Q327" t="n">
        <v>0</v>
      </c>
      <c r="R327" s="2" t="inlineStr"/>
    </row>
    <row r="328" ht="15" customHeight="1">
      <c r="A328" t="inlineStr">
        <is>
          <t>A 25792-2025</t>
        </is>
      </c>
      <c r="B328" s="1" t="n">
        <v>45804.39141203704</v>
      </c>
      <c r="C328" s="1" t="n">
        <v>46022</v>
      </c>
      <c r="D328" t="inlineStr">
        <is>
          <t>KALMAR LÄN</t>
        </is>
      </c>
      <c r="E328" t="inlineStr">
        <is>
          <t>VIMMERBY</t>
        </is>
      </c>
      <c r="G328" t="n">
        <v>0.8</v>
      </c>
      <c r="H328" t="n">
        <v>0</v>
      </c>
      <c r="I328" t="n">
        <v>0</v>
      </c>
      <c r="J328" t="n">
        <v>0</v>
      </c>
      <c r="K328" t="n">
        <v>0</v>
      </c>
      <c r="L328" t="n">
        <v>0</v>
      </c>
      <c r="M328" t="n">
        <v>0</v>
      </c>
      <c r="N328" t="n">
        <v>0</v>
      </c>
      <c r="O328" t="n">
        <v>0</v>
      </c>
      <c r="P328" t="n">
        <v>0</v>
      </c>
      <c r="Q328" t="n">
        <v>0</v>
      </c>
      <c r="R328" s="2" t="inlineStr"/>
    </row>
    <row r="329" ht="15" customHeight="1">
      <c r="A329" t="inlineStr">
        <is>
          <t>A 26039-2025</t>
        </is>
      </c>
      <c r="B329" s="1" t="n">
        <v>45804.6953587963</v>
      </c>
      <c r="C329" s="1" t="n">
        <v>46022</v>
      </c>
      <c r="D329" t="inlineStr">
        <is>
          <t>KALMAR LÄN</t>
        </is>
      </c>
      <c r="E329" t="inlineStr">
        <is>
          <t>VIMMERBY</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44095-2025</t>
        </is>
      </c>
      <c r="B330" s="1" t="n">
        <v>45915.56430555556</v>
      </c>
      <c r="C330" s="1" t="n">
        <v>46022</v>
      </c>
      <c r="D330" t="inlineStr">
        <is>
          <t>KALMAR LÄN</t>
        </is>
      </c>
      <c r="E330" t="inlineStr">
        <is>
          <t>VIMMERBY</t>
        </is>
      </c>
      <c r="G330" t="n">
        <v>2.4</v>
      </c>
      <c r="H330" t="n">
        <v>0</v>
      </c>
      <c r="I330" t="n">
        <v>0</v>
      </c>
      <c r="J330" t="n">
        <v>0</v>
      </c>
      <c r="K330" t="n">
        <v>0</v>
      </c>
      <c r="L330" t="n">
        <v>0</v>
      </c>
      <c r="M330" t="n">
        <v>0</v>
      </c>
      <c r="N330" t="n">
        <v>0</v>
      </c>
      <c r="O330" t="n">
        <v>0</v>
      </c>
      <c r="P330" t="n">
        <v>0</v>
      </c>
      <c r="Q330" t="n">
        <v>0</v>
      </c>
      <c r="R330" s="2" t="inlineStr"/>
    </row>
    <row r="331" ht="15" customHeight="1">
      <c r="A331" t="inlineStr">
        <is>
          <t>A 40076-2021</t>
        </is>
      </c>
      <c r="B331" s="1" t="n">
        <v>44418</v>
      </c>
      <c r="C331" s="1" t="n">
        <v>46022</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26046-2025</t>
        </is>
      </c>
      <c r="B332" s="1" t="n">
        <v>45804.708125</v>
      </c>
      <c r="C332" s="1" t="n">
        <v>46022</v>
      </c>
      <c r="D332" t="inlineStr">
        <is>
          <t>KALMAR LÄN</t>
        </is>
      </c>
      <c r="E332" t="inlineStr">
        <is>
          <t>VIMMERBY</t>
        </is>
      </c>
      <c r="F332" t="inlineStr">
        <is>
          <t>Sveaskog</t>
        </is>
      </c>
      <c r="G332" t="n">
        <v>5.1</v>
      </c>
      <c r="H332" t="n">
        <v>0</v>
      </c>
      <c r="I332" t="n">
        <v>0</v>
      </c>
      <c r="J332" t="n">
        <v>0</v>
      </c>
      <c r="K332" t="n">
        <v>0</v>
      </c>
      <c r="L332" t="n">
        <v>0</v>
      </c>
      <c r="M332" t="n">
        <v>0</v>
      </c>
      <c r="N332" t="n">
        <v>0</v>
      </c>
      <c r="O332" t="n">
        <v>0</v>
      </c>
      <c r="P332" t="n">
        <v>0</v>
      </c>
      <c r="Q332" t="n">
        <v>0</v>
      </c>
      <c r="R332" s="2" t="inlineStr"/>
    </row>
    <row r="333" ht="15" customHeight="1">
      <c r="A333" t="inlineStr">
        <is>
          <t>A 50648-2023</t>
        </is>
      </c>
      <c r="B333" s="1" t="n">
        <v>45217.47834490741</v>
      </c>
      <c r="C333" s="1" t="n">
        <v>46022</v>
      </c>
      <c r="D333" t="inlineStr">
        <is>
          <t>KALMAR LÄN</t>
        </is>
      </c>
      <c r="E333" t="inlineStr">
        <is>
          <t>VIMMERBY</t>
        </is>
      </c>
      <c r="G333" t="n">
        <v>1.6</v>
      </c>
      <c r="H333" t="n">
        <v>0</v>
      </c>
      <c r="I333" t="n">
        <v>0</v>
      </c>
      <c r="J333" t="n">
        <v>0</v>
      </c>
      <c r="K333" t="n">
        <v>0</v>
      </c>
      <c r="L333" t="n">
        <v>0</v>
      </c>
      <c r="M333" t="n">
        <v>0</v>
      </c>
      <c r="N333" t="n">
        <v>0</v>
      </c>
      <c r="O333" t="n">
        <v>0</v>
      </c>
      <c r="P333" t="n">
        <v>0</v>
      </c>
      <c r="Q333" t="n">
        <v>0</v>
      </c>
      <c r="R333" s="2" t="inlineStr"/>
    </row>
    <row r="334" ht="15" customHeight="1">
      <c r="A334" t="inlineStr">
        <is>
          <t>A 26124-2025</t>
        </is>
      </c>
      <c r="B334" s="1" t="n">
        <v>45805.39247685186</v>
      </c>
      <c r="C334" s="1" t="n">
        <v>46022</v>
      </c>
      <c r="D334" t="inlineStr">
        <is>
          <t>KALMAR LÄN</t>
        </is>
      </c>
      <c r="E334" t="inlineStr">
        <is>
          <t>VIMMERBY</t>
        </is>
      </c>
      <c r="G334" t="n">
        <v>6.6</v>
      </c>
      <c r="H334" t="n">
        <v>0</v>
      </c>
      <c r="I334" t="n">
        <v>0</v>
      </c>
      <c r="J334" t="n">
        <v>0</v>
      </c>
      <c r="K334" t="n">
        <v>0</v>
      </c>
      <c r="L334" t="n">
        <v>0</v>
      </c>
      <c r="M334" t="n">
        <v>0</v>
      </c>
      <c r="N334" t="n">
        <v>0</v>
      </c>
      <c r="O334" t="n">
        <v>0</v>
      </c>
      <c r="P334" t="n">
        <v>0</v>
      </c>
      <c r="Q334" t="n">
        <v>0</v>
      </c>
      <c r="R334" s="2" t="inlineStr"/>
    </row>
    <row r="335" ht="15" customHeight="1">
      <c r="A335" t="inlineStr">
        <is>
          <t>A 529-2022</t>
        </is>
      </c>
      <c r="B335" s="1" t="n">
        <v>44566</v>
      </c>
      <c r="C335" s="1" t="n">
        <v>46022</v>
      </c>
      <c r="D335" t="inlineStr">
        <is>
          <t>KALMAR LÄN</t>
        </is>
      </c>
      <c r="E335" t="inlineStr">
        <is>
          <t>VIMMERBY</t>
        </is>
      </c>
      <c r="G335" t="n">
        <v>1.5</v>
      </c>
      <c r="H335" t="n">
        <v>0</v>
      </c>
      <c r="I335" t="n">
        <v>0</v>
      </c>
      <c r="J335" t="n">
        <v>0</v>
      </c>
      <c r="K335" t="n">
        <v>0</v>
      </c>
      <c r="L335" t="n">
        <v>0</v>
      </c>
      <c r="M335" t="n">
        <v>0</v>
      </c>
      <c r="N335" t="n">
        <v>0</v>
      </c>
      <c r="O335" t="n">
        <v>0</v>
      </c>
      <c r="P335" t="n">
        <v>0</v>
      </c>
      <c r="Q335" t="n">
        <v>0</v>
      </c>
      <c r="R335" s="2" t="inlineStr"/>
    </row>
    <row r="336" ht="15" customHeight="1">
      <c r="A336" t="inlineStr">
        <is>
          <t>A 58318-2021</t>
        </is>
      </c>
      <c r="B336" s="1" t="n">
        <v>44488.35878472222</v>
      </c>
      <c r="C336" s="1" t="n">
        <v>46022</v>
      </c>
      <c r="D336" t="inlineStr">
        <is>
          <t>KALMAR LÄN</t>
        </is>
      </c>
      <c r="E336" t="inlineStr">
        <is>
          <t>VIMMERBY</t>
        </is>
      </c>
      <c r="G336" t="n">
        <v>4</v>
      </c>
      <c r="H336" t="n">
        <v>0</v>
      </c>
      <c r="I336" t="n">
        <v>0</v>
      </c>
      <c r="J336" t="n">
        <v>0</v>
      </c>
      <c r="K336" t="n">
        <v>0</v>
      </c>
      <c r="L336" t="n">
        <v>0</v>
      </c>
      <c r="M336" t="n">
        <v>0</v>
      </c>
      <c r="N336" t="n">
        <v>0</v>
      </c>
      <c r="O336" t="n">
        <v>0</v>
      </c>
      <c r="P336" t="n">
        <v>0</v>
      </c>
      <c r="Q336" t="n">
        <v>0</v>
      </c>
      <c r="R336" s="2" t="inlineStr"/>
    </row>
    <row r="337" ht="15" customHeight="1">
      <c r="A337" t="inlineStr">
        <is>
          <t>A 89-2023</t>
        </is>
      </c>
      <c r="B337" s="1" t="n">
        <v>44918</v>
      </c>
      <c r="C337" s="1" t="n">
        <v>46022</v>
      </c>
      <c r="D337" t="inlineStr">
        <is>
          <t>KALMAR LÄN</t>
        </is>
      </c>
      <c r="E337" t="inlineStr">
        <is>
          <t>VIMMERBY</t>
        </is>
      </c>
      <c r="G337" t="n">
        <v>16.1</v>
      </c>
      <c r="H337" t="n">
        <v>0</v>
      </c>
      <c r="I337" t="n">
        <v>0</v>
      </c>
      <c r="J337" t="n">
        <v>0</v>
      </c>
      <c r="K337" t="n">
        <v>0</v>
      </c>
      <c r="L337" t="n">
        <v>0</v>
      </c>
      <c r="M337" t="n">
        <v>0</v>
      </c>
      <c r="N337" t="n">
        <v>0</v>
      </c>
      <c r="O337" t="n">
        <v>0</v>
      </c>
      <c r="P337" t="n">
        <v>0</v>
      </c>
      <c r="Q337" t="n">
        <v>0</v>
      </c>
      <c r="R337" s="2" t="inlineStr"/>
    </row>
    <row r="338" ht="15" customHeight="1">
      <c r="A338" t="inlineStr">
        <is>
          <t>A 44091-2025</t>
        </is>
      </c>
      <c r="B338" s="1" t="n">
        <v>45915.55950231481</v>
      </c>
      <c r="C338" s="1" t="n">
        <v>46022</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23088-2024</t>
        </is>
      </c>
      <c r="B339" s="1" t="n">
        <v>45450.51092592593</v>
      </c>
      <c r="C339" s="1" t="n">
        <v>46022</v>
      </c>
      <c r="D339" t="inlineStr">
        <is>
          <t>KALMAR LÄN</t>
        </is>
      </c>
      <c r="E339" t="inlineStr">
        <is>
          <t>VIMMERBY</t>
        </is>
      </c>
      <c r="G339" t="n">
        <v>1.9</v>
      </c>
      <c r="H339" t="n">
        <v>0</v>
      </c>
      <c r="I339" t="n">
        <v>0</v>
      </c>
      <c r="J339" t="n">
        <v>0</v>
      </c>
      <c r="K339" t="n">
        <v>0</v>
      </c>
      <c r="L339" t="n">
        <v>0</v>
      </c>
      <c r="M339" t="n">
        <v>0</v>
      </c>
      <c r="N339" t="n">
        <v>0</v>
      </c>
      <c r="O339" t="n">
        <v>0</v>
      </c>
      <c r="P339" t="n">
        <v>0</v>
      </c>
      <c r="Q339" t="n">
        <v>0</v>
      </c>
      <c r="R339" s="2" t="inlineStr"/>
    </row>
    <row r="340" ht="15" customHeight="1">
      <c r="A340" t="inlineStr">
        <is>
          <t>A 26207-2025</t>
        </is>
      </c>
      <c r="B340" s="1" t="n">
        <v>45805.52983796296</v>
      </c>
      <c r="C340" s="1" t="n">
        <v>46022</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25830-2025</t>
        </is>
      </c>
      <c r="B341" s="1" t="n">
        <v>45804.44519675926</v>
      </c>
      <c r="C341" s="1" t="n">
        <v>46022</v>
      </c>
      <c r="D341" t="inlineStr">
        <is>
          <t>KALMAR LÄN</t>
        </is>
      </c>
      <c r="E341" t="inlineStr">
        <is>
          <t>VIMMERBY</t>
        </is>
      </c>
      <c r="G341" t="n">
        <v>4.9</v>
      </c>
      <c r="H341" t="n">
        <v>0</v>
      </c>
      <c r="I341" t="n">
        <v>0</v>
      </c>
      <c r="J341" t="n">
        <v>0</v>
      </c>
      <c r="K341" t="n">
        <v>0</v>
      </c>
      <c r="L341" t="n">
        <v>0</v>
      </c>
      <c r="M341" t="n">
        <v>0</v>
      </c>
      <c r="N341" t="n">
        <v>0</v>
      </c>
      <c r="O341" t="n">
        <v>0</v>
      </c>
      <c r="P341" t="n">
        <v>0</v>
      </c>
      <c r="Q341" t="n">
        <v>0</v>
      </c>
      <c r="R341" s="2" t="inlineStr"/>
    </row>
    <row r="342" ht="15" customHeight="1">
      <c r="A342" t="inlineStr">
        <is>
          <t>A 38851-2023</t>
        </is>
      </c>
      <c r="B342" s="1" t="n">
        <v>45163</v>
      </c>
      <c r="C342" s="1" t="n">
        <v>46022</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10759-2023</t>
        </is>
      </c>
      <c r="B343" s="1" t="n">
        <v>44988</v>
      </c>
      <c r="C343" s="1" t="n">
        <v>46022</v>
      </c>
      <c r="D343" t="inlineStr">
        <is>
          <t>KALMAR LÄN</t>
        </is>
      </c>
      <c r="E343" t="inlineStr">
        <is>
          <t>VIMMERBY</t>
        </is>
      </c>
      <c r="G343" t="n">
        <v>0.4</v>
      </c>
      <c r="H343" t="n">
        <v>0</v>
      </c>
      <c r="I343" t="n">
        <v>0</v>
      </c>
      <c r="J343" t="n">
        <v>0</v>
      </c>
      <c r="K343" t="n">
        <v>0</v>
      </c>
      <c r="L343" t="n">
        <v>0</v>
      </c>
      <c r="M343" t="n">
        <v>0</v>
      </c>
      <c r="N343" t="n">
        <v>0</v>
      </c>
      <c r="O343" t="n">
        <v>0</v>
      </c>
      <c r="P343" t="n">
        <v>0</v>
      </c>
      <c r="Q343" t="n">
        <v>0</v>
      </c>
      <c r="R343" s="2" t="inlineStr"/>
    </row>
    <row r="344" ht="15" customHeight="1">
      <c r="A344" t="inlineStr">
        <is>
          <t>A 26254-2025</t>
        </is>
      </c>
      <c r="B344" s="1" t="n">
        <v>45805</v>
      </c>
      <c r="C344" s="1" t="n">
        <v>46022</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63583-2023</t>
        </is>
      </c>
      <c r="B345" s="1" t="n">
        <v>45275.41833333333</v>
      </c>
      <c r="C345" s="1" t="n">
        <v>46022</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40079-2023</t>
        </is>
      </c>
      <c r="B346" s="1" t="n">
        <v>45168.89298611111</v>
      </c>
      <c r="C346" s="1" t="n">
        <v>46022</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43774-2023</t>
        </is>
      </c>
      <c r="B347" s="1" t="n">
        <v>45187</v>
      </c>
      <c r="C347" s="1" t="n">
        <v>46022</v>
      </c>
      <c r="D347" t="inlineStr">
        <is>
          <t>KALMAR LÄN</t>
        </is>
      </c>
      <c r="E347" t="inlineStr">
        <is>
          <t>VIMMERBY</t>
        </is>
      </c>
      <c r="G347" t="n">
        <v>3.4</v>
      </c>
      <c r="H347" t="n">
        <v>0</v>
      </c>
      <c r="I347" t="n">
        <v>0</v>
      </c>
      <c r="J347" t="n">
        <v>0</v>
      </c>
      <c r="K347" t="n">
        <v>0</v>
      </c>
      <c r="L347" t="n">
        <v>0</v>
      </c>
      <c r="M347" t="n">
        <v>0</v>
      </c>
      <c r="N347" t="n">
        <v>0</v>
      </c>
      <c r="O347" t="n">
        <v>0</v>
      </c>
      <c r="P347" t="n">
        <v>0</v>
      </c>
      <c r="Q347" t="n">
        <v>0</v>
      </c>
      <c r="R347" s="2" t="inlineStr"/>
    </row>
    <row r="348" ht="15" customHeight="1">
      <c r="A348" t="inlineStr">
        <is>
          <t>A 29616-2022</t>
        </is>
      </c>
      <c r="B348" s="1" t="n">
        <v>44754</v>
      </c>
      <c r="C348" s="1" t="n">
        <v>46022</v>
      </c>
      <c r="D348" t="inlineStr">
        <is>
          <t>KALMAR LÄN</t>
        </is>
      </c>
      <c r="E348" t="inlineStr">
        <is>
          <t>VIMMERBY</t>
        </is>
      </c>
      <c r="G348" t="n">
        <v>1.1</v>
      </c>
      <c r="H348" t="n">
        <v>0</v>
      </c>
      <c r="I348" t="n">
        <v>0</v>
      </c>
      <c r="J348" t="n">
        <v>0</v>
      </c>
      <c r="K348" t="n">
        <v>0</v>
      </c>
      <c r="L348" t="n">
        <v>0</v>
      </c>
      <c r="M348" t="n">
        <v>0</v>
      </c>
      <c r="N348" t="n">
        <v>0</v>
      </c>
      <c r="O348" t="n">
        <v>0</v>
      </c>
      <c r="P348" t="n">
        <v>0</v>
      </c>
      <c r="Q348" t="n">
        <v>0</v>
      </c>
      <c r="R348" s="2" t="inlineStr"/>
    </row>
    <row r="349" ht="15" customHeight="1">
      <c r="A349" t="inlineStr">
        <is>
          <t>A 44517-2025</t>
        </is>
      </c>
      <c r="B349" s="1" t="n">
        <v>45916.7103587963</v>
      </c>
      <c r="C349" s="1" t="n">
        <v>46022</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39578-2024</t>
        </is>
      </c>
      <c r="B350" s="1" t="n">
        <v>45552.36484953704</v>
      </c>
      <c r="C350" s="1" t="n">
        <v>46022</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44742-2025</t>
        </is>
      </c>
      <c r="B351" s="1" t="n">
        <v>45917.67054398148</v>
      </c>
      <c r="C351" s="1" t="n">
        <v>46022</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24707-2024</t>
        </is>
      </c>
      <c r="B352" s="1" t="n">
        <v>45460.62172453704</v>
      </c>
      <c r="C352" s="1" t="n">
        <v>46022</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44329-2025</t>
        </is>
      </c>
      <c r="B353" s="1" t="n">
        <v>45916.41019675926</v>
      </c>
      <c r="C353" s="1" t="n">
        <v>46022</v>
      </c>
      <c r="D353" t="inlineStr">
        <is>
          <t>KALMAR LÄN</t>
        </is>
      </c>
      <c r="E353" t="inlineStr">
        <is>
          <t>VIMMERBY</t>
        </is>
      </c>
      <c r="G353" t="n">
        <v>4.3</v>
      </c>
      <c r="H353" t="n">
        <v>0</v>
      </c>
      <c r="I353" t="n">
        <v>0</v>
      </c>
      <c r="J353" t="n">
        <v>0</v>
      </c>
      <c r="K353" t="n">
        <v>0</v>
      </c>
      <c r="L353" t="n">
        <v>0</v>
      </c>
      <c r="M353" t="n">
        <v>0</v>
      </c>
      <c r="N353" t="n">
        <v>0</v>
      </c>
      <c r="O353" t="n">
        <v>0</v>
      </c>
      <c r="P353" t="n">
        <v>0</v>
      </c>
      <c r="Q353" t="n">
        <v>0</v>
      </c>
      <c r="R353" s="2" t="inlineStr"/>
    </row>
    <row r="354" ht="15" customHeight="1">
      <c r="A354" t="inlineStr">
        <is>
          <t>A 41896-2025</t>
        </is>
      </c>
      <c r="B354" s="1" t="n">
        <v>45903.38800925926</v>
      </c>
      <c r="C354" s="1" t="n">
        <v>46022</v>
      </c>
      <c r="D354" t="inlineStr">
        <is>
          <t>KALMAR LÄN</t>
        </is>
      </c>
      <c r="E354" t="inlineStr">
        <is>
          <t>VIMMERBY</t>
        </is>
      </c>
      <c r="G354" t="n">
        <v>2.9</v>
      </c>
      <c r="H354" t="n">
        <v>0</v>
      </c>
      <c r="I354" t="n">
        <v>0</v>
      </c>
      <c r="J354" t="n">
        <v>0</v>
      </c>
      <c r="K354" t="n">
        <v>0</v>
      </c>
      <c r="L354" t="n">
        <v>0</v>
      </c>
      <c r="M354" t="n">
        <v>0</v>
      </c>
      <c r="N354" t="n">
        <v>0</v>
      </c>
      <c r="O354" t="n">
        <v>0</v>
      </c>
      <c r="P354" t="n">
        <v>0</v>
      </c>
      <c r="Q354" t="n">
        <v>0</v>
      </c>
      <c r="R354" s="2" t="inlineStr"/>
    </row>
    <row r="355" ht="15" customHeight="1">
      <c r="A355" t="inlineStr">
        <is>
          <t>A 31056-2022</t>
        </is>
      </c>
      <c r="B355" s="1" t="n">
        <v>44769.45805555556</v>
      </c>
      <c r="C355" s="1" t="n">
        <v>46022</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33383-2023</t>
        </is>
      </c>
      <c r="B356" s="1" t="n">
        <v>45128.58414351852</v>
      </c>
      <c r="C356" s="1" t="n">
        <v>46022</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40828-2023</t>
        </is>
      </c>
      <c r="B357" s="1" t="n">
        <v>45171.96248842592</v>
      </c>
      <c r="C357" s="1" t="n">
        <v>46022</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61861-2024</t>
        </is>
      </c>
      <c r="B358" s="1" t="n">
        <v>45650.37370370371</v>
      </c>
      <c r="C358" s="1" t="n">
        <v>46022</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8650-2022</t>
        </is>
      </c>
      <c r="B359" s="1" t="n">
        <v>44613</v>
      </c>
      <c r="C359" s="1" t="n">
        <v>46022</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33340-2023</t>
        </is>
      </c>
      <c r="B360" s="1" t="n">
        <v>45128.37305555555</v>
      </c>
      <c r="C360" s="1" t="n">
        <v>46022</v>
      </c>
      <c r="D360" t="inlineStr">
        <is>
          <t>KALMAR LÄN</t>
        </is>
      </c>
      <c r="E360" t="inlineStr">
        <is>
          <t>VIMMERBY</t>
        </is>
      </c>
      <c r="G360" t="n">
        <v>1.5</v>
      </c>
      <c r="H360" t="n">
        <v>0</v>
      </c>
      <c r="I360" t="n">
        <v>0</v>
      </c>
      <c r="J360" t="n">
        <v>0</v>
      </c>
      <c r="K360" t="n">
        <v>0</v>
      </c>
      <c r="L360" t="n">
        <v>0</v>
      </c>
      <c r="M360" t="n">
        <v>0</v>
      </c>
      <c r="N360" t="n">
        <v>0</v>
      </c>
      <c r="O360" t="n">
        <v>0</v>
      </c>
      <c r="P360" t="n">
        <v>0</v>
      </c>
      <c r="Q360" t="n">
        <v>0</v>
      </c>
      <c r="R360" s="2" t="inlineStr"/>
    </row>
    <row r="361" ht="15" customHeight="1">
      <c r="A361" t="inlineStr">
        <is>
          <t>A 44423-2023</t>
        </is>
      </c>
      <c r="B361" s="1" t="n">
        <v>45189</v>
      </c>
      <c r="C361" s="1" t="n">
        <v>46022</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45114-2025</t>
        </is>
      </c>
      <c r="B362" s="1" t="n">
        <v>45919.42387731482</v>
      </c>
      <c r="C362" s="1" t="n">
        <v>46022</v>
      </c>
      <c r="D362" t="inlineStr">
        <is>
          <t>KALMAR LÄN</t>
        </is>
      </c>
      <c r="E362" t="inlineStr">
        <is>
          <t>VIMMERBY</t>
        </is>
      </c>
      <c r="G362" t="n">
        <v>2.7</v>
      </c>
      <c r="H362" t="n">
        <v>0</v>
      </c>
      <c r="I362" t="n">
        <v>0</v>
      </c>
      <c r="J362" t="n">
        <v>0</v>
      </c>
      <c r="K362" t="n">
        <v>0</v>
      </c>
      <c r="L362" t="n">
        <v>0</v>
      </c>
      <c r="M362" t="n">
        <v>0</v>
      </c>
      <c r="N362" t="n">
        <v>0</v>
      </c>
      <c r="O362" t="n">
        <v>0</v>
      </c>
      <c r="P362" t="n">
        <v>0</v>
      </c>
      <c r="Q362" t="n">
        <v>0</v>
      </c>
      <c r="R362" s="2" t="inlineStr"/>
    </row>
    <row r="363" ht="15" customHeight="1">
      <c r="A363" t="inlineStr">
        <is>
          <t>A 37323-2024</t>
        </is>
      </c>
      <c r="B363" s="1" t="n">
        <v>45540.50098379629</v>
      </c>
      <c r="C363" s="1" t="n">
        <v>46022</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45319-2025</t>
        </is>
      </c>
      <c r="B364" s="1" t="n">
        <v>45921.95611111111</v>
      </c>
      <c r="C364" s="1" t="n">
        <v>46022</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45320-2025</t>
        </is>
      </c>
      <c r="B365" s="1" t="n">
        <v>45921.96395833333</v>
      </c>
      <c r="C365" s="1" t="n">
        <v>46022</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18501-2024</t>
        </is>
      </c>
      <c r="B366" s="1" t="n">
        <v>45425.57538194444</v>
      </c>
      <c r="C366" s="1" t="n">
        <v>46022</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46118-2025</t>
        </is>
      </c>
      <c r="B367" s="1" t="n">
        <v>45924.57697916667</v>
      </c>
      <c r="C367" s="1" t="n">
        <v>46022</v>
      </c>
      <c r="D367" t="inlineStr">
        <is>
          <t>KALMAR LÄN</t>
        </is>
      </c>
      <c r="E367" t="inlineStr">
        <is>
          <t>VIMMERBY</t>
        </is>
      </c>
      <c r="G367" t="n">
        <v>2.9</v>
      </c>
      <c r="H367" t="n">
        <v>0</v>
      </c>
      <c r="I367" t="n">
        <v>0</v>
      </c>
      <c r="J367" t="n">
        <v>0</v>
      </c>
      <c r="K367" t="n">
        <v>0</v>
      </c>
      <c r="L367" t="n">
        <v>0</v>
      </c>
      <c r="M367" t="n">
        <v>0</v>
      </c>
      <c r="N367" t="n">
        <v>0</v>
      </c>
      <c r="O367" t="n">
        <v>0</v>
      </c>
      <c r="P367" t="n">
        <v>0</v>
      </c>
      <c r="Q367" t="n">
        <v>0</v>
      </c>
      <c r="R367" s="2" t="inlineStr"/>
    </row>
    <row r="368" ht="15" customHeight="1">
      <c r="A368" t="inlineStr">
        <is>
          <t>A 46365-2025</t>
        </is>
      </c>
      <c r="B368" s="1" t="n">
        <v>45925.50075231482</v>
      </c>
      <c r="C368" s="1" t="n">
        <v>46022</v>
      </c>
      <c r="D368" t="inlineStr">
        <is>
          <t>KALMAR LÄN</t>
        </is>
      </c>
      <c r="E368" t="inlineStr">
        <is>
          <t>VIMMERBY</t>
        </is>
      </c>
      <c r="G368" t="n">
        <v>5.6</v>
      </c>
      <c r="H368" t="n">
        <v>0</v>
      </c>
      <c r="I368" t="n">
        <v>0</v>
      </c>
      <c r="J368" t="n">
        <v>0</v>
      </c>
      <c r="K368" t="n">
        <v>0</v>
      </c>
      <c r="L368" t="n">
        <v>0</v>
      </c>
      <c r="M368" t="n">
        <v>0</v>
      </c>
      <c r="N368" t="n">
        <v>0</v>
      </c>
      <c r="O368" t="n">
        <v>0</v>
      </c>
      <c r="P368" t="n">
        <v>0</v>
      </c>
      <c r="Q368" t="n">
        <v>0</v>
      </c>
      <c r="R368" s="2" t="inlineStr"/>
    </row>
    <row r="369" ht="15" customHeight="1">
      <c r="A369" t="inlineStr">
        <is>
          <t>A 46361-2025</t>
        </is>
      </c>
      <c r="B369" s="1" t="n">
        <v>45925.49670138889</v>
      </c>
      <c r="C369" s="1" t="n">
        <v>46022</v>
      </c>
      <c r="D369" t="inlineStr">
        <is>
          <t>KALMAR LÄN</t>
        </is>
      </c>
      <c r="E369" t="inlineStr">
        <is>
          <t>VIMMERBY</t>
        </is>
      </c>
      <c r="G369" t="n">
        <v>4.2</v>
      </c>
      <c r="H369" t="n">
        <v>0</v>
      </c>
      <c r="I369" t="n">
        <v>0</v>
      </c>
      <c r="J369" t="n">
        <v>0</v>
      </c>
      <c r="K369" t="n">
        <v>0</v>
      </c>
      <c r="L369" t="n">
        <v>0</v>
      </c>
      <c r="M369" t="n">
        <v>0</v>
      </c>
      <c r="N369" t="n">
        <v>0</v>
      </c>
      <c r="O369" t="n">
        <v>0</v>
      </c>
      <c r="P369" t="n">
        <v>0</v>
      </c>
      <c r="Q369" t="n">
        <v>0</v>
      </c>
      <c r="R369" s="2" t="inlineStr"/>
    </row>
    <row r="370" ht="15" customHeight="1">
      <c r="A370" t="inlineStr">
        <is>
          <t>A 27758-2024</t>
        </is>
      </c>
      <c r="B370" s="1" t="n">
        <v>45475.48303240741</v>
      </c>
      <c r="C370" s="1" t="n">
        <v>46022</v>
      </c>
      <c r="D370" t="inlineStr">
        <is>
          <t>KALMAR LÄN</t>
        </is>
      </c>
      <c r="E370" t="inlineStr">
        <is>
          <t>VIMMERBY</t>
        </is>
      </c>
      <c r="G370" t="n">
        <v>2.6</v>
      </c>
      <c r="H370" t="n">
        <v>0</v>
      </c>
      <c r="I370" t="n">
        <v>0</v>
      </c>
      <c r="J370" t="n">
        <v>0</v>
      </c>
      <c r="K370" t="n">
        <v>0</v>
      </c>
      <c r="L370" t="n">
        <v>0</v>
      </c>
      <c r="M370" t="n">
        <v>0</v>
      </c>
      <c r="N370" t="n">
        <v>0</v>
      </c>
      <c r="O370" t="n">
        <v>0</v>
      </c>
      <c r="P370" t="n">
        <v>0</v>
      </c>
      <c r="Q370" t="n">
        <v>0</v>
      </c>
      <c r="R370" s="2" t="inlineStr"/>
    </row>
    <row r="371" ht="15" customHeight="1">
      <c r="A371" t="inlineStr">
        <is>
          <t>A 13307-2025</t>
        </is>
      </c>
      <c r="B371" s="1" t="n">
        <v>45735.58024305556</v>
      </c>
      <c r="C371" s="1" t="n">
        <v>46022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55716-2023</t>
        </is>
      </c>
      <c r="B372" s="1" t="n">
        <v>45232</v>
      </c>
      <c r="C372" s="1" t="n">
        <v>46022</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28286-2025</t>
        </is>
      </c>
      <c r="B373" s="1" t="n">
        <v>45818.58993055556</v>
      </c>
      <c r="C373" s="1" t="n">
        <v>46022</v>
      </c>
      <c r="D373" t="inlineStr">
        <is>
          <t>KALMAR LÄN</t>
        </is>
      </c>
      <c r="E373" t="inlineStr">
        <is>
          <t>VIMMERBY</t>
        </is>
      </c>
      <c r="F373" t="inlineStr">
        <is>
          <t>Sveaskog</t>
        </is>
      </c>
      <c r="G373" t="n">
        <v>8</v>
      </c>
      <c r="H373" t="n">
        <v>0</v>
      </c>
      <c r="I373" t="n">
        <v>0</v>
      </c>
      <c r="J373" t="n">
        <v>0</v>
      </c>
      <c r="K373" t="n">
        <v>0</v>
      </c>
      <c r="L373" t="n">
        <v>0</v>
      </c>
      <c r="M373" t="n">
        <v>0</v>
      </c>
      <c r="N373" t="n">
        <v>0</v>
      </c>
      <c r="O373" t="n">
        <v>0</v>
      </c>
      <c r="P373" t="n">
        <v>0</v>
      </c>
      <c r="Q373" t="n">
        <v>0</v>
      </c>
      <c r="R373" s="2" t="inlineStr"/>
    </row>
    <row r="374" ht="15" customHeight="1">
      <c r="A374" t="inlineStr">
        <is>
          <t>A 18329-2023</t>
        </is>
      </c>
      <c r="B374" s="1" t="n">
        <v>45041.63380787037</v>
      </c>
      <c r="C374" s="1" t="n">
        <v>46022</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28282-2025</t>
        </is>
      </c>
      <c r="B375" s="1" t="n">
        <v>45818.58769675926</v>
      </c>
      <c r="C375" s="1" t="n">
        <v>46022</v>
      </c>
      <c r="D375" t="inlineStr">
        <is>
          <t>KALMAR LÄN</t>
        </is>
      </c>
      <c r="E375" t="inlineStr">
        <is>
          <t>VIMMERBY</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28294-2025</t>
        </is>
      </c>
      <c r="B376" s="1" t="n">
        <v>45818.595625</v>
      </c>
      <c r="C376" s="1" t="n">
        <v>46022</v>
      </c>
      <c r="D376" t="inlineStr">
        <is>
          <t>KALMAR LÄN</t>
        </is>
      </c>
      <c r="E376" t="inlineStr">
        <is>
          <t>VIMMERBY</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28290-2025</t>
        </is>
      </c>
      <c r="B377" s="1" t="n">
        <v>45818.59261574074</v>
      </c>
      <c r="C377" s="1" t="n">
        <v>46022</v>
      </c>
      <c r="D377" t="inlineStr">
        <is>
          <t>KALMAR LÄN</t>
        </is>
      </c>
      <c r="E377" t="inlineStr">
        <is>
          <t>VIMMERBY</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46887-2025</t>
        </is>
      </c>
      <c r="B378" s="1" t="n">
        <v>45929.3672337963</v>
      </c>
      <c r="C378" s="1" t="n">
        <v>46022</v>
      </c>
      <c r="D378" t="inlineStr">
        <is>
          <t>KALMAR LÄN</t>
        </is>
      </c>
      <c r="E378" t="inlineStr">
        <is>
          <t>VIMMERBY</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45856-2025</t>
        </is>
      </c>
      <c r="B379" s="1" t="n">
        <v>45923</v>
      </c>
      <c r="C379" s="1" t="n">
        <v>46022</v>
      </c>
      <c r="D379" t="inlineStr">
        <is>
          <t>KALMAR LÄN</t>
        </is>
      </c>
      <c r="E379" t="inlineStr">
        <is>
          <t>VIMMERBY</t>
        </is>
      </c>
      <c r="G379" t="n">
        <v>2.1</v>
      </c>
      <c r="H379" t="n">
        <v>0</v>
      </c>
      <c r="I379" t="n">
        <v>0</v>
      </c>
      <c r="J379" t="n">
        <v>0</v>
      </c>
      <c r="K379" t="n">
        <v>0</v>
      </c>
      <c r="L379" t="n">
        <v>0</v>
      </c>
      <c r="M379" t="n">
        <v>0</v>
      </c>
      <c r="N379" t="n">
        <v>0</v>
      </c>
      <c r="O379" t="n">
        <v>0</v>
      </c>
      <c r="P379" t="n">
        <v>0</v>
      </c>
      <c r="Q379" t="n">
        <v>0</v>
      </c>
      <c r="R379" s="2" t="inlineStr"/>
    </row>
    <row r="380" ht="15" customHeight="1">
      <c r="A380" t="inlineStr">
        <is>
          <t>A 28280-2025</t>
        </is>
      </c>
      <c r="B380" s="1" t="n">
        <v>45818.5862037037</v>
      </c>
      <c r="C380" s="1" t="n">
        <v>46022</v>
      </c>
      <c r="D380" t="inlineStr">
        <is>
          <t>KALMAR LÄN</t>
        </is>
      </c>
      <c r="E380" t="inlineStr">
        <is>
          <t>VIMMERBY</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13015-2023</t>
        </is>
      </c>
      <c r="B381" s="1" t="n">
        <v>45002</v>
      </c>
      <c r="C381" s="1" t="n">
        <v>46022</v>
      </c>
      <c r="D381" t="inlineStr">
        <is>
          <t>KALMAR LÄN</t>
        </is>
      </c>
      <c r="E381" t="inlineStr">
        <is>
          <t>VIMMERBY</t>
        </is>
      </c>
      <c r="G381" t="n">
        <v>3.2</v>
      </c>
      <c r="H381" t="n">
        <v>0</v>
      </c>
      <c r="I381" t="n">
        <v>0</v>
      </c>
      <c r="J381" t="n">
        <v>0</v>
      </c>
      <c r="K381" t="n">
        <v>0</v>
      </c>
      <c r="L381" t="n">
        <v>0</v>
      </c>
      <c r="M381" t="n">
        <v>0</v>
      </c>
      <c r="N381" t="n">
        <v>0</v>
      </c>
      <c r="O381" t="n">
        <v>0</v>
      </c>
      <c r="P381" t="n">
        <v>0</v>
      </c>
      <c r="Q381" t="n">
        <v>0</v>
      </c>
      <c r="R381" s="2" t="inlineStr"/>
    </row>
    <row r="382" ht="15" customHeight="1">
      <c r="A382" t="inlineStr">
        <is>
          <t>A 45854-2025</t>
        </is>
      </c>
      <c r="B382" s="1" t="n">
        <v>45923</v>
      </c>
      <c r="C382" s="1" t="n">
        <v>46022</v>
      </c>
      <c r="D382" t="inlineStr">
        <is>
          <t>KALMAR LÄN</t>
        </is>
      </c>
      <c r="E382" t="inlineStr">
        <is>
          <t>VIMMERBY</t>
        </is>
      </c>
      <c r="G382" t="n">
        <v>2.2</v>
      </c>
      <c r="H382" t="n">
        <v>0</v>
      </c>
      <c r="I382" t="n">
        <v>0</v>
      </c>
      <c r="J382" t="n">
        <v>0</v>
      </c>
      <c r="K382" t="n">
        <v>0</v>
      </c>
      <c r="L382" t="n">
        <v>0</v>
      </c>
      <c r="M382" t="n">
        <v>0</v>
      </c>
      <c r="N382" t="n">
        <v>0</v>
      </c>
      <c r="O382" t="n">
        <v>0</v>
      </c>
      <c r="P382" t="n">
        <v>0</v>
      </c>
      <c r="Q382" t="n">
        <v>0</v>
      </c>
      <c r="R382" s="2" t="inlineStr"/>
    </row>
    <row r="383" ht="15" customHeight="1">
      <c r="A383" t="inlineStr">
        <is>
          <t>A 45855-2025</t>
        </is>
      </c>
      <c r="B383" s="1" t="n">
        <v>45923</v>
      </c>
      <c r="C383" s="1" t="n">
        <v>46022</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28620-2025</t>
        </is>
      </c>
      <c r="B384" s="1" t="n">
        <v>45819.61060185185</v>
      </c>
      <c r="C384" s="1" t="n">
        <v>46022</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29186-2024</t>
        </is>
      </c>
      <c r="B385" s="1" t="n">
        <v>45482.54844907407</v>
      </c>
      <c r="C385" s="1" t="n">
        <v>46022</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50993-2022</t>
        </is>
      </c>
      <c r="B386" s="1" t="n">
        <v>44867</v>
      </c>
      <c r="C386" s="1" t="n">
        <v>46022</v>
      </c>
      <c r="D386" t="inlineStr">
        <is>
          <t>KALMAR LÄN</t>
        </is>
      </c>
      <c r="E386" t="inlineStr">
        <is>
          <t>VIMMERBY</t>
        </is>
      </c>
      <c r="G386" t="n">
        <v>1.7</v>
      </c>
      <c r="H386" t="n">
        <v>0</v>
      </c>
      <c r="I386" t="n">
        <v>0</v>
      </c>
      <c r="J386" t="n">
        <v>0</v>
      </c>
      <c r="K386" t="n">
        <v>0</v>
      </c>
      <c r="L386" t="n">
        <v>0</v>
      </c>
      <c r="M386" t="n">
        <v>0</v>
      </c>
      <c r="N386" t="n">
        <v>0</v>
      </c>
      <c r="O386" t="n">
        <v>0</v>
      </c>
      <c r="P386" t="n">
        <v>0</v>
      </c>
      <c r="Q386" t="n">
        <v>0</v>
      </c>
      <c r="R386" s="2" t="inlineStr"/>
    </row>
    <row r="387" ht="15" customHeight="1">
      <c r="A387" t="inlineStr">
        <is>
          <t>A 47227-2025</t>
        </is>
      </c>
      <c r="B387" s="1" t="n">
        <v>45930.39769675926</v>
      </c>
      <c r="C387" s="1" t="n">
        <v>46022</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28712-2025</t>
        </is>
      </c>
      <c r="B388" s="1" t="n">
        <v>45820.33708333333</v>
      </c>
      <c r="C388" s="1" t="n">
        <v>46022</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28714-2025</t>
        </is>
      </c>
      <c r="B389" s="1" t="n">
        <v>45820.34128472222</v>
      </c>
      <c r="C389" s="1" t="n">
        <v>46022</v>
      </c>
      <c r="D389" t="inlineStr">
        <is>
          <t>KALMAR LÄN</t>
        </is>
      </c>
      <c r="E389" t="inlineStr">
        <is>
          <t>VIMMERBY</t>
        </is>
      </c>
      <c r="G389" t="n">
        <v>1.8</v>
      </c>
      <c r="H389" t="n">
        <v>0</v>
      </c>
      <c r="I389" t="n">
        <v>0</v>
      </c>
      <c r="J389" t="n">
        <v>0</v>
      </c>
      <c r="K389" t="n">
        <v>0</v>
      </c>
      <c r="L389" t="n">
        <v>0</v>
      </c>
      <c r="M389" t="n">
        <v>0</v>
      </c>
      <c r="N389" t="n">
        <v>0</v>
      </c>
      <c r="O389" t="n">
        <v>0</v>
      </c>
      <c r="P389" t="n">
        <v>0</v>
      </c>
      <c r="Q389" t="n">
        <v>0</v>
      </c>
      <c r="R389" s="2" t="inlineStr"/>
    </row>
    <row r="390" ht="15" customHeight="1">
      <c r="A390" t="inlineStr">
        <is>
          <t>A 54787-2023</t>
        </is>
      </c>
      <c r="B390" s="1" t="n">
        <v>45236</v>
      </c>
      <c r="C390" s="1" t="n">
        <v>46022</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32614-2023</t>
        </is>
      </c>
      <c r="B391" s="1" t="n">
        <v>45121</v>
      </c>
      <c r="C391" s="1" t="n">
        <v>46022</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6850-2023</t>
        </is>
      </c>
      <c r="B392" s="1" t="n">
        <v>44967.44255787037</v>
      </c>
      <c r="C392" s="1" t="n">
        <v>46022</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28713-2025</t>
        </is>
      </c>
      <c r="B393" s="1" t="n">
        <v>45820.33930555556</v>
      </c>
      <c r="C393" s="1" t="n">
        <v>46022</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58750-2022</t>
        </is>
      </c>
      <c r="B394" s="1" t="n">
        <v>44903.33363425926</v>
      </c>
      <c r="C394" s="1" t="n">
        <v>46022</v>
      </c>
      <c r="D394" t="inlineStr">
        <is>
          <t>KALMAR LÄN</t>
        </is>
      </c>
      <c r="E394" t="inlineStr">
        <is>
          <t>VIMMERBY</t>
        </is>
      </c>
      <c r="G394" t="n">
        <v>3.3</v>
      </c>
      <c r="H394" t="n">
        <v>0</v>
      </c>
      <c r="I394" t="n">
        <v>0</v>
      </c>
      <c r="J394" t="n">
        <v>0</v>
      </c>
      <c r="K394" t="n">
        <v>0</v>
      </c>
      <c r="L394" t="n">
        <v>0</v>
      </c>
      <c r="M394" t="n">
        <v>0</v>
      </c>
      <c r="N394" t="n">
        <v>0</v>
      </c>
      <c r="O394" t="n">
        <v>0</v>
      </c>
      <c r="P394" t="n">
        <v>0</v>
      </c>
      <c r="Q394" t="n">
        <v>0</v>
      </c>
      <c r="R394" s="2" t="inlineStr"/>
    </row>
    <row r="395" ht="15" customHeight="1">
      <c r="A395" t="inlineStr">
        <is>
          <t>A 41158-2023</t>
        </is>
      </c>
      <c r="B395" s="1" t="n">
        <v>45174.31395833333</v>
      </c>
      <c r="C395" s="1" t="n">
        <v>46022</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2510-2023</t>
        </is>
      </c>
      <c r="B396" s="1" t="n">
        <v>44943.57309027778</v>
      </c>
      <c r="C396" s="1" t="n">
        <v>46022</v>
      </c>
      <c r="D396" t="inlineStr">
        <is>
          <t>KALMAR LÄN</t>
        </is>
      </c>
      <c r="E396" t="inlineStr">
        <is>
          <t>VIMMERBY</t>
        </is>
      </c>
      <c r="G396" t="n">
        <v>8.6</v>
      </c>
      <c r="H396" t="n">
        <v>0</v>
      </c>
      <c r="I396" t="n">
        <v>0</v>
      </c>
      <c r="J396" t="n">
        <v>0</v>
      </c>
      <c r="K396" t="n">
        <v>0</v>
      </c>
      <c r="L396" t="n">
        <v>0</v>
      </c>
      <c r="M396" t="n">
        <v>0</v>
      </c>
      <c r="N396" t="n">
        <v>0</v>
      </c>
      <c r="O396" t="n">
        <v>0</v>
      </c>
      <c r="P396" t="n">
        <v>0</v>
      </c>
      <c r="Q396" t="n">
        <v>0</v>
      </c>
      <c r="R396" s="2" t="inlineStr"/>
    </row>
    <row r="397" ht="15" customHeight="1">
      <c r="A397" t="inlineStr">
        <is>
          <t>A 29737-2025</t>
        </is>
      </c>
      <c r="B397" s="1" t="n">
        <v>45825.58672453704</v>
      </c>
      <c r="C397" s="1" t="n">
        <v>46022</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3269-2024</t>
        </is>
      </c>
      <c r="B398" s="1" t="n">
        <v>45317.40372685185</v>
      </c>
      <c r="C398" s="1" t="n">
        <v>46022</v>
      </c>
      <c r="D398" t="inlineStr">
        <is>
          <t>KALMAR LÄN</t>
        </is>
      </c>
      <c r="E398" t="inlineStr">
        <is>
          <t>VIMMERBY</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48120-2022</t>
        </is>
      </c>
      <c r="B399" s="1" t="n">
        <v>44857.65989583333</v>
      </c>
      <c r="C399" s="1" t="n">
        <v>46022</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6368-2023</t>
        </is>
      </c>
      <c r="B400" s="1" t="n">
        <v>44965</v>
      </c>
      <c r="C400" s="1" t="n">
        <v>46022</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9416-2024</t>
        </is>
      </c>
      <c r="B401" s="1" t="n">
        <v>45359.44837962963</v>
      </c>
      <c r="C401" s="1" t="n">
        <v>46022</v>
      </c>
      <c r="D401" t="inlineStr">
        <is>
          <t>KALMAR LÄN</t>
        </is>
      </c>
      <c r="E401" t="inlineStr">
        <is>
          <t>VIMMERBY</t>
        </is>
      </c>
      <c r="G401" t="n">
        <v>3.2</v>
      </c>
      <c r="H401" t="n">
        <v>0</v>
      </c>
      <c r="I401" t="n">
        <v>0</v>
      </c>
      <c r="J401" t="n">
        <v>0</v>
      </c>
      <c r="K401" t="n">
        <v>0</v>
      </c>
      <c r="L401" t="n">
        <v>0</v>
      </c>
      <c r="M401" t="n">
        <v>0</v>
      </c>
      <c r="N401" t="n">
        <v>0</v>
      </c>
      <c r="O401" t="n">
        <v>0</v>
      </c>
      <c r="P401" t="n">
        <v>0</v>
      </c>
      <c r="Q401" t="n">
        <v>0</v>
      </c>
      <c r="R401" s="2" t="inlineStr"/>
    </row>
    <row r="402" ht="15" customHeight="1">
      <c r="A402" t="inlineStr">
        <is>
          <t>A 29727-2025</t>
        </is>
      </c>
      <c r="B402" s="1" t="n">
        <v>45825.5796875</v>
      </c>
      <c r="C402" s="1" t="n">
        <v>46022</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2797-2023</t>
        </is>
      </c>
      <c r="B403" s="1" t="n">
        <v>44944.71386574074</v>
      </c>
      <c r="C403" s="1" t="n">
        <v>46022</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2799-2023</t>
        </is>
      </c>
      <c r="B404" s="1" t="n">
        <v>44944.72100694444</v>
      </c>
      <c r="C404" s="1" t="n">
        <v>46022</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25987-2024</t>
        </is>
      </c>
      <c r="B405" s="1" t="n">
        <v>45467.74417824074</v>
      </c>
      <c r="C405" s="1" t="n">
        <v>46022</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22194-2024</t>
        </is>
      </c>
      <c r="B406" s="1" t="n">
        <v>45446.36482638889</v>
      </c>
      <c r="C406" s="1" t="n">
        <v>46022</v>
      </c>
      <c r="D406" t="inlineStr">
        <is>
          <t>KALMAR LÄN</t>
        </is>
      </c>
      <c r="E406" t="inlineStr">
        <is>
          <t>VIMMERBY</t>
        </is>
      </c>
      <c r="F406" t="inlineStr">
        <is>
          <t>Sveaskog</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19865-2021</t>
        </is>
      </c>
      <c r="B407" s="1" t="n">
        <v>44312</v>
      </c>
      <c r="C407" s="1" t="n">
        <v>46022</v>
      </c>
      <c r="D407" t="inlineStr">
        <is>
          <t>KALMAR LÄN</t>
        </is>
      </c>
      <c r="E407" t="inlineStr">
        <is>
          <t>VIMMERBY</t>
        </is>
      </c>
      <c r="G407" t="n">
        <v>8.6</v>
      </c>
      <c r="H407" t="n">
        <v>0</v>
      </c>
      <c r="I407" t="n">
        <v>0</v>
      </c>
      <c r="J407" t="n">
        <v>0</v>
      </c>
      <c r="K407" t="n">
        <v>0</v>
      </c>
      <c r="L407" t="n">
        <v>0</v>
      </c>
      <c r="M407" t="n">
        <v>0</v>
      </c>
      <c r="N407" t="n">
        <v>0</v>
      </c>
      <c r="O407" t="n">
        <v>0</v>
      </c>
      <c r="P407" t="n">
        <v>0</v>
      </c>
      <c r="Q407" t="n">
        <v>0</v>
      </c>
      <c r="R407" s="2" t="inlineStr"/>
    </row>
    <row r="408" ht="15" customHeight="1">
      <c r="A408" t="inlineStr">
        <is>
          <t>A 58442-2025</t>
        </is>
      </c>
      <c r="B408" s="1" t="n">
        <v>45985.61635416667</v>
      </c>
      <c r="C408" s="1" t="n">
        <v>46022</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58435-2025</t>
        </is>
      </c>
      <c r="B409" s="1" t="n">
        <v>45985.61501157407</v>
      </c>
      <c r="C409" s="1" t="n">
        <v>46022</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58498-2025</t>
        </is>
      </c>
      <c r="B410" s="1" t="n">
        <v>45985.68671296296</v>
      </c>
      <c r="C410" s="1" t="n">
        <v>46022</v>
      </c>
      <c r="D410" t="inlineStr">
        <is>
          <t>KALMAR LÄN</t>
        </is>
      </c>
      <c r="E410" t="inlineStr">
        <is>
          <t>VIMMERBY</t>
        </is>
      </c>
      <c r="G410" t="n">
        <v>2.1</v>
      </c>
      <c r="H410" t="n">
        <v>0</v>
      </c>
      <c r="I410" t="n">
        <v>0</v>
      </c>
      <c r="J410" t="n">
        <v>0</v>
      </c>
      <c r="K410" t="n">
        <v>0</v>
      </c>
      <c r="L410" t="n">
        <v>0</v>
      </c>
      <c r="M410" t="n">
        <v>0</v>
      </c>
      <c r="N410" t="n">
        <v>0</v>
      </c>
      <c r="O410" t="n">
        <v>0</v>
      </c>
      <c r="P410" t="n">
        <v>0</v>
      </c>
      <c r="Q410" t="n">
        <v>0</v>
      </c>
      <c r="R410" s="2" t="inlineStr"/>
    </row>
    <row r="411" ht="15" customHeight="1">
      <c r="A411" t="inlineStr">
        <is>
          <t>A 58501-2025</t>
        </is>
      </c>
      <c r="B411" s="1" t="n">
        <v>45985.69153935185</v>
      </c>
      <c r="C411" s="1" t="n">
        <v>46022</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30293-2025</t>
        </is>
      </c>
      <c r="B412" s="1" t="n">
        <v>45827</v>
      </c>
      <c r="C412" s="1" t="n">
        <v>46022</v>
      </c>
      <c r="D412" t="inlineStr">
        <is>
          <t>KALMAR LÄN</t>
        </is>
      </c>
      <c r="E412" t="inlineStr">
        <is>
          <t>VIMMERBY</t>
        </is>
      </c>
      <c r="G412" t="n">
        <v>0.5</v>
      </c>
      <c r="H412" t="n">
        <v>0</v>
      </c>
      <c r="I412" t="n">
        <v>0</v>
      </c>
      <c r="J412" t="n">
        <v>0</v>
      </c>
      <c r="K412" t="n">
        <v>0</v>
      </c>
      <c r="L412" t="n">
        <v>0</v>
      </c>
      <c r="M412" t="n">
        <v>0</v>
      </c>
      <c r="N412" t="n">
        <v>0</v>
      </c>
      <c r="O412" t="n">
        <v>0</v>
      </c>
      <c r="P412" t="n">
        <v>0</v>
      </c>
      <c r="Q412" t="n">
        <v>0</v>
      </c>
      <c r="R412" s="2" t="inlineStr"/>
    </row>
    <row r="413" ht="15" customHeight="1">
      <c r="A413" t="inlineStr">
        <is>
          <t>A 12630-2023</t>
        </is>
      </c>
      <c r="B413" s="1" t="n">
        <v>45000.47998842593</v>
      </c>
      <c r="C413" s="1" t="n">
        <v>46022</v>
      </c>
      <c r="D413" t="inlineStr">
        <is>
          <t>KALMAR LÄN</t>
        </is>
      </c>
      <c r="E413" t="inlineStr">
        <is>
          <t>VIMMERBY</t>
        </is>
      </c>
      <c r="G413" t="n">
        <v>2.1</v>
      </c>
      <c r="H413" t="n">
        <v>0</v>
      </c>
      <c r="I413" t="n">
        <v>0</v>
      </c>
      <c r="J413" t="n">
        <v>0</v>
      </c>
      <c r="K413" t="n">
        <v>0</v>
      </c>
      <c r="L413" t="n">
        <v>0</v>
      </c>
      <c r="M413" t="n">
        <v>0</v>
      </c>
      <c r="N413" t="n">
        <v>0</v>
      </c>
      <c r="O413" t="n">
        <v>0</v>
      </c>
      <c r="P413" t="n">
        <v>0</v>
      </c>
      <c r="Q413" t="n">
        <v>0</v>
      </c>
      <c r="R413" s="2" t="inlineStr"/>
    </row>
    <row r="414" ht="15" customHeight="1">
      <c r="A414" t="inlineStr">
        <is>
          <t>A 30290-2025</t>
        </is>
      </c>
      <c r="B414" s="1" t="n">
        <v>45827</v>
      </c>
      <c r="C414" s="1" t="n">
        <v>46022</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58514-2025</t>
        </is>
      </c>
      <c r="B415" s="1" t="n">
        <v>45985.70513888889</v>
      </c>
      <c r="C415" s="1" t="n">
        <v>46022</v>
      </c>
      <c r="D415" t="inlineStr">
        <is>
          <t>KALMAR LÄN</t>
        </is>
      </c>
      <c r="E415" t="inlineStr">
        <is>
          <t>VIMMERBY</t>
        </is>
      </c>
      <c r="G415" t="n">
        <v>3.7</v>
      </c>
      <c r="H415" t="n">
        <v>0</v>
      </c>
      <c r="I415" t="n">
        <v>0</v>
      </c>
      <c r="J415" t="n">
        <v>0</v>
      </c>
      <c r="K415" t="n">
        <v>0</v>
      </c>
      <c r="L415" t="n">
        <v>0</v>
      </c>
      <c r="M415" t="n">
        <v>0</v>
      </c>
      <c r="N415" t="n">
        <v>0</v>
      </c>
      <c r="O415" t="n">
        <v>0</v>
      </c>
      <c r="P415" t="n">
        <v>0</v>
      </c>
      <c r="Q415" t="n">
        <v>0</v>
      </c>
      <c r="R415" s="2" t="inlineStr"/>
    </row>
    <row r="416" ht="15" customHeight="1">
      <c r="A416" t="inlineStr">
        <is>
          <t>A 21109-2024</t>
        </is>
      </c>
      <c r="B416" s="1" t="n">
        <v>45440.28329861111</v>
      </c>
      <c r="C416" s="1" t="n">
        <v>46022</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30634-2024</t>
        </is>
      </c>
      <c r="B417" s="1" t="n">
        <v>45495</v>
      </c>
      <c r="C417" s="1" t="n">
        <v>46022</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40260-2024</t>
        </is>
      </c>
      <c r="B418" s="1" t="n">
        <v>45554.63225694445</v>
      </c>
      <c r="C418" s="1" t="n">
        <v>46022</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30850-2025</t>
        </is>
      </c>
      <c r="B419" s="1" t="n">
        <v>45831</v>
      </c>
      <c r="C419" s="1" t="n">
        <v>46022</v>
      </c>
      <c r="D419" t="inlineStr">
        <is>
          <t>KALMAR LÄN</t>
        </is>
      </c>
      <c r="E419" t="inlineStr">
        <is>
          <t>VIMMERBY</t>
        </is>
      </c>
      <c r="G419" t="n">
        <v>2.7</v>
      </c>
      <c r="H419" t="n">
        <v>0</v>
      </c>
      <c r="I419" t="n">
        <v>0</v>
      </c>
      <c r="J419" t="n">
        <v>0</v>
      </c>
      <c r="K419" t="n">
        <v>0</v>
      </c>
      <c r="L419" t="n">
        <v>0</v>
      </c>
      <c r="M419" t="n">
        <v>0</v>
      </c>
      <c r="N419" t="n">
        <v>0</v>
      </c>
      <c r="O419" t="n">
        <v>0</v>
      </c>
      <c r="P419" t="n">
        <v>0</v>
      </c>
      <c r="Q419" t="n">
        <v>0</v>
      </c>
      <c r="R419" s="2" t="inlineStr"/>
    </row>
    <row r="420" ht="15" customHeight="1">
      <c r="A420" t="inlineStr">
        <is>
          <t>A 59943-2023</t>
        </is>
      </c>
      <c r="B420" s="1" t="n">
        <v>45257.67958333333</v>
      </c>
      <c r="C420" s="1" t="n">
        <v>46022</v>
      </c>
      <c r="D420" t="inlineStr">
        <is>
          <t>KALMAR LÄN</t>
        </is>
      </c>
      <c r="E420" t="inlineStr">
        <is>
          <t>VIMMERBY</t>
        </is>
      </c>
      <c r="G420" t="n">
        <v>6.4</v>
      </c>
      <c r="H420" t="n">
        <v>0</v>
      </c>
      <c r="I420" t="n">
        <v>0</v>
      </c>
      <c r="J420" t="n">
        <v>0</v>
      </c>
      <c r="K420" t="n">
        <v>0</v>
      </c>
      <c r="L420" t="n">
        <v>0</v>
      </c>
      <c r="M420" t="n">
        <v>0</v>
      </c>
      <c r="N420" t="n">
        <v>0</v>
      </c>
      <c r="O420" t="n">
        <v>0</v>
      </c>
      <c r="P420" t="n">
        <v>0</v>
      </c>
      <c r="Q420" t="n">
        <v>0</v>
      </c>
      <c r="R420" s="2" t="inlineStr"/>
    </row>
    <row r="421" ht="15" customHeight="1">
      <c r="A421" t="inlineStr">
        <is>
          <t>A 5527-2022</t>
        </is>
      </c>
      <c r="B421" s="1" t="n">
        <v>44595.583125</v>
      </c>
      <c r="C421" s="1" t="n">
        <v>46022</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58500-2025</t>
        </is>
      </c>
      <c r="B422" s="1" t="n">
        <v>45985.69008101852</v>
      </c>
      <c r="C422" s="1" t="n">
        <v>46022</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58503-2025</t>
        </is>
      </c>
      <c r="B423" s="1" t="n">
        <v>45985.69509259259</v>
      </c>
      <c r="C423" s="1" t="n">
        <v>46022</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58446-2025</t>
        </is>
      </c>
      <c r="B424" s="1" t="n">
        <v>45985.62168981481</v>
      </c>
      <c r="C424" s="1" t="n">
        <v>46022</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12325-2023</t>
        </is>
      </c>
      <c r="B425" s="1" t="n">
        <v>44999.35858796296</v>
      </c>
      <c r="C425" s="1" t="n">
        <v>46022</v>
      </c>
      <c r="D425" t="inlineStr">
        <is>
          <t>KALMAR LÄN</t>
        </is>
      </c>
      <c r="E425" t="inlineStr">
        <is>
          <t>VIMMERBY</t>
        </is>
      </c>
      <c r="G425" t="n">
        <v>3.4</v>
      </c>
      <c r="H425" t="n">
        <v>0</v>
      </c>
      <c r="I425" t="n">
        <v>0</v>
      </c>
      <c r="J425" t="n">
        <v>0</v>
      </c>
      <c r="K425" t="n">
        <v>0</v>
      </c>
      <c r="L425" t="n">
        <v>0</v>
      </c>
      <c r="M425" t="n">
        <v>0</v>
      </c>
      <c r="N425" t="n">
        <v>0</v>
      </c>
      <c r="O425" t="n">
        <v>0</v>
      </c>
      <c r="P425" t="n">
        <v>0</v>
      </c>
      <c r="Q425" t="n">
        <v>0</v>
      </c>
      <c r="R425" s="2" t="inlineStr"/>
    </row>
    <row r="426" ht="15" customHeight="1">
      <c r="A426" t="inlineStr">
        <is>
          <t>A 31552-2025</t>
        </is>
      </c>
      <c r="B426" s="1" t="n">
        <v>45833.64563657407</v>
      </c>
      <c r="C426" s="1" t="n">
        <v>46022</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31555-2025</t>
        </is>
      </c>
      <c r="B427" s="1" t="n">
        <v>45833.64814814815</v>
      </c>
      <c r="C427" s="1" t="n">
        <v>46022</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1016-2024</t>
        </is>
      </c>
      <c r="B428" s="1" t="n">
        <v>45301</v>
      </c>
      <c r="C428" s="1" t="n">
        <v>46022</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30971-2025</t>
        </is>
      </c>
      <c r="B429" s="1" t="n">
        <v>45832.46146990741</v>
      </c>
      <c r="C429" s="1" t="n">
        <v>46022</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31551-2025</t>
        </is>
      </c>
      <c r="B430" s="1" t="n">
        <v>45833.64237268519</v>
      </c>
      <c r="C430" s="1" t="n">
        <v>46022</v>
      </c>
      <c r="D430" t="inlineStr">
        <is>
          <t>KALMAR LÄN</t>
        </is>
      </c>
      <c r="E430" t="inlineStr">
        <is>
          <t>VIMMERBY</t>
        </is>
      </c>
      <c r="G430" t="n">
        <v>1.9</v>
      </c>
      <c r="H430" t="n">
        <v>0</v>
      </c>
      <c r="I430" t="n">
        <v>0</v>
      </c>
      <c r="J430" t="n">
        <v>0</v>
      </c>
      <c r="K430" t="n">
        <v>0</v>
      </c>
      <c r="L430" t="n">
        <v>0</v>
      </c>
      <c r="M430" t="n">
        <v>0</v>
      </c>
      <c r="N430" t="n">
        <v>0</v>
      </c>
      <c r="O430" t="n">
        <v>0</v>
      </c>
      <c r="P430" t="n">
        <v>0</v>
      </c>
      <c r="Q430" t="n">
        <v>0</v>
      </c>
      <c r="R430" s="2" t="inlineStr"/>
    </row>
    <row r="431" ht="15" customHeight="1">
      <c r="A431" t="inlineStr">
        <is>
          <t>A 49871-2025</t>
        </is>
      </c>
      <c r="B431" s="1" t="n">
        <v>45940.54104166666</v>
      </c>
      <c r="C431" s="1" t="n">
        <v>46022</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30882-2025</t>
        </is>
      </c>
      <c r="B432" s="1" t="n">
        <v>45832.34540509259</v>
      </c>
      <c r="C432" s="1" t="n">
        <v>46022</v>
      </c>
      <c r="D432" t="inlineStr">
        <is>
          <t>KALMAR LÄN</t>
        </is>
      </c>
      <c r="E432" t="inlineStr">
        <is>
          <t>VIMMERBY</t>
        </is>
      </c>
      <c r="G432" t="n">
        <v>0.7</v>
      </c>
      <c r="H432" t="n">
        <v>0</v>
      </c>
      <c r="I432" t="n">
        <v>0</v>
      </c>
      <c r="J432" t="n">
        <v>0</v>
      </c>
      <c r="K432" t="n">
        <v>0</v>
      </c>
      <c r="L432" t="n">
        <v>0</v>
      </c>
      <c r="M432" t="n">
        <v>0</v>
      </c>
      <c r="N432" t="n">
        <v>0</v>
      </c>
      <c r="O432" t="n">
        <v>0</v>
      </c>
      <c r="P432" t="n">
        <v>0</v>
      </c>
      <c r="Q432" t="n">
        <v>0</v>
      </c>
      <c r="R432" s="2" t="inlineStr"/>
    </row>
    <row r="433" ht="15" customHeight="1">
      <c r="A433" t="inlineStr">
        <is>
          <t>A 33681-2022</t>
        </is>
      </c>
      <c r="B433" s="1" t="n">
        <v>44789</v>
      </c>
      <c r="C433" s="1" t="n">
        <v>46022</v>
      </c>
      <c r="D433" t="inlineStr">
        <is>
          <t>KALMAR LÄN</t>
        </is>
      </c>
      <c r="E433" t="inlineStr">
        <is>
          <t>VIMMERBY</t>
        </is>
      </c>
      <c r="G433" t="n">
        <v>3.2</v>
      </c>
      <c r="H433" t="n">
        <v>0</v>
      </c>
      <c r="I433" t="n">
        <v>0</v>
      </c>
      <c r="J433" t="n">
        <v>0</v>
      </c>
      <c r="K433" t="n">
        <v>0</v>
      </c>
      <c r="L433" t="n">
        <v>0</v>
      </c>
      <c r="M433" t="n">
        <v>0</v>
      </c>
      <c r="N433" t="n">
        <v>0</v>
      </c>
      <c r="O433" t="n">
        <v>0</v>
      </c>
      <c r="P433" t="n">
        <v>0</v>
      </c>
      <c r="Q433" t="n">
        <v>0</v>
      </c>
      <c r="R433" s="2" t="inlineStr"/>
    </row>
    <row r="434" ht="15" customHeight="1">
      <c r="A434" t="inlineStr">
        <is>
          <t>A 31872-2025</t>
        </is>
      </c>
      <c r="B434" s="1" t="n">
        <v>45834.65040509259</v>
      </c>
      <c r="C434" s="1" t="n">
        <v>46022</v>
      </c>
      <c r="D434" t="inlineStr">
        <is>
          <t>KALMAR LÄN</t>
        </is>
      </c>
      <c r="E434" t="inlineStr">
        <is>
          <t>VIMMERBY</t>
        </is>
      </c>
      <c r="F434" t="inlineStr">
        <is>
          <t>Sveaskog</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8559-2025</t>
        </is>
      </c>
      <c r="B435" s="1" t="n">
        <v>45709.62280092593</v>
      </c>
      <c r="C435" s="1" t="n">
        <v>46022</v>
      </c>
      <c r="D435" t="inlineStr">
        <is>
          <t>KALMAR LÄN</t>
        </is>
      </c>
      <c r="E435" t="inlineStr">
        <is>
          <t>VIMMERBY</t>
        </is>
      </c>
      <c r="G435" t="n">
        <v>8.9</v>
      </c>
      <c r="H435" t="n">
        <v>0</v>
      </c>
      <c r="I435" t="n">
        <v>0</v>
      </c>
      <c r="J435" t="n">
        <v>0</v>
      </c>
      <c r="K435" t="n">
        <v>0</v>
      </c>
      <c r="L435" t="n">
        <v>0</v>
      </c>
      <c r="M435" t="n">
        <v>0</v>
      </c>
      <c r="N435" t="n">
        <v>0</v>
      </c>
      <c r="O435" t="n">
        <v>0</v>
      </c>
      <c r="P435" t="n">
        <v>0</v>
      </c>
      <c r="Q435" t="n">
        <v>0</v>
      </c>
      <c r="R435" s="2" t="inlineStr"/>
    </row>
    <row r="436" ht="15" customHeight="1">
      <c r="A436" t="inlineStr">
        <is>
          <t>A 32064-2025</t>
        </is>
      </c>
      <c r="B436" s="1" t="n">
        <v>45835.44709490741</v>
      </c>
      <c r="C436" s="1" t="n">
        <v>46022</v>
      </c>
      <c r="D436" t="inlineStr">
        <is>
          <t>KALMAR LÄN</t>
        </is>
      </c>
      <c r="E436" t="inlineStr">
        <is>
          <t>VIMMERBY</t>
        </is>
      </c>
      <c r="G436" t="n">
        <v>2.6</v>
      </c>
      <c r="H436" t="n">
        <v>0</v>
      </c>
      <c r="I436" t="n">
        <v>0</v>
      </c>
      <c r="J436" t="n">
        <v>0</v>
      </c>
      <c r="K436" t="n">
        <v>0</v>
      </c>
      <c r="L436" t="n">
        <v>0</v>
      </c>
      <c r="M436" t="n">
        <v>0</v>
      </c>
      <c r="N436" t="n">
        <v>0</v>
      </c>
      <c r="O436" t="n">
        <v>0</v>
      </c>
      <c r="P436" t="n">
        <v>0</v>
      </c>
      <c r="Q436" t="n">
        <v>0</v>
      </c>
      <c r="R436" s="2" t="inlineStr"/>
    </row>
    <row r="437" ht="15" customHeight="1">
      <c r="A437" t="inlineStr">
        <is>
          <t>A 32109-2025</t>
        </is>
      </c>
      <c r="B437" s="1" t="n">
        <v>45835.48267361111</v>
      </c>
      <c r="C437" s="1" t="n">
        <v>46022</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32113-2025</t>
        </is>
      </c>
      <c r="B438" s="1" t="n">
        <v>45835.48445601852</v>
      </c>
      <c r="C438" s="1" t="n">
        <v>46022</v>
      </c>
      <c r="D438" t="inlineStr">
        <is>
          <t>KALMAR LÄN</t>
        </is>
      </c>
      <c r="E438" t="inlineStr">
        <is>
          <t>VIMMERBY</t>
        </is>
      </c>
      <c r="G438" t="n">
        <v>3.5</v>
      </c>
      <c r="H438" t="n">
        <v>0</v>
      </c>
      <c r="I438" t="n">
        <v>0</v>
      </c>
      <c r="J438" t="n">
        <v>0</v>
      </c>
      <c r="K438" t="n">
        <v>0</v>
      </c>
      <c r="L438" t="n">
        <v>0</v>
      </c>
      <c r="M438" t="n">
        <v>0</v>
      </c>
      <c r="N438" t="n">
        <v>0</v>
      </c>
      <c r="O438" t="n">
        <v>0</v>
      </c>
      <c r="P438" t="n">
        <v>0</v>
      </c>
      <c r="Q438" t="n">
        <v>0</v>
      </c>
      <c r="R438" s="2" t="inlineStr"/>
    </row>
    <row r="439" ht="15" customHeight="1">
      <c r="A439" t="inlineStr">
        <is>
          <t>A 32116-2025</t>
        </is>
      </c>
      <c r="B439" s="1" t="n">
        <v>45835.48862268519</v>
      </c>
      <c r="C439" s="1" t="n">
        <v>46022</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31870-2025</t>
        </is>
      </c>
      <c r="B440" s="1" t="n">
        <v>45834.64667824074</v>
      </c>
      <c r="C440" s="1" t="n">
        <v>46022</v>
      </c>
      <c r="D440" t="inlineStr">
        <is>
          <t>KALMAR LÄN</t>
        </is>
      </c>
      <c r="E440" t="inlineStr">
        <is>
          <t>VIMMERBY</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32065-2025</t>
        </is>
      </c>
      <c r="B441" s="1" t="n">
        <v>45835.44732638889</v>
      </c>
      <c r="C441" s="1" t="n">
        <v>46022</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31987-2025</t>
        </is>
      </c>
      <c r="B442" s="1" t="n">
        <v>45835.36229166666</v>
      </c>
      <c r="C442" s="1" t="n">
        <v>46022</v>
      </c>
      <c r="D442" t="inlineStr">
        <is>
          <t>KALMAR LÄN</t>
        </is>
      </c>
      <c r="E442" t="inlineStr">
        <is>
          <t>VIMMERBY</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32077-2025</t>
        </is>
      </c>
      <c r="B443" s="1" t="n">
        <v>45835.45099537037</v>
      </c>
      <c r="C443" s="1" t="n">
        <v>46022</v>
      </c>
      <c r="D443" t="inlineStr">
        <is>
          <t>KALMAR LÄN</t>
        </is>
      </c>
      <c r="E443" t="inlineStr">
        <is>
          <t>VIMMERBY</t>
        </is>
      </c>
      <c r="G443" t="n">
        <v>1.8</v>
      </c>
      <c r="H443" t="n">
        <v>0</v>
      </c>
      <c r="I443" t="n">
        <v>0</v>
      </c>
      <c r="J443" t="n">
        <v>0</v>
      </c>
      <c r="K443" t="n">
        <v>0</v>
      </c>
      <c r="L443" t="n">
        <v>0</v>
      </c>
      <c r="M443" t="n">
        <v>0</v>
      </c>
      <c r="N443" t="n">
        <v>0</v>
      </c>
      <c r="O443" t="n">
        <v>0</v>
      </c>
      <c r="P443" t="n">
        <v>0</v>
      </c>
      <c r="Q443" t="n">
        <v>0</v>
      </c>
      <c r="R443" s="2" t="inlineStr"/>
    </row>
    <row r="444" ht="15" customHeight="1">
      <c r="A444" t="inlineStr">
        <is>
          <t>A 57728-2025</t>
        </is>
      </c>
      <c r="B444" s="1" t="n">
        <v>45981</v>
      </c>
      <c r="C444" s="1" t="n">
        <v>46022</v>
      </c>
      <c r="D444" t="inlineStr">
        <is>
          <t>KALMAR LÄN</t>
        </is>
      </c>
      <c r="E444" t="inlineStr">
        <is>
          <t>VIMMERBY</t>
        </is>
      </c>
      <c r="G444" t="n">
        <v>0.8</v>
      </c>
      <c r="H444" t="n">
        <v>0</v>
      </c>
      <c r="I444" t="n">
        <v>0</v>
      </c>
      <c r="J444" t="n">
        <v>0</v>
      </c>
      <c r="K444" t="n">
        <v>0</v>
      </c>
      <c r="L444" t="n">
        <v>0</v>
      </c>
      <c r="M444" t="n">
        <v>0</v>
      </c>
      <c r="N444" t="n">
        <v>0</v>
      </c>
      <c r="O444" t="n">
        <v>0</v>
      </c>
      <c r="P444" t="n">
        <v>0</v>
      </c>
      <c r="Q444" t="n">
        <v>0</v>
      </c>
      <c r="R444" s="2" t="inlineStr"/>
    </row>
    <row r="445" ht="15" customHeight="1">
      <c r="A445" t="inlineStr">
        <is>
          <t>A 32120-2025</t>
        </is>
      </c>
      <c r="B445" s="1" t="n">
        <v>45835.4924537037</v>
      </c>
      <c r="C445" s="1" t="n">
        <v>46022</v>
      </c>
      <c r="D445" t="inlineStr">
        <is>
          <t>KALMAR LÄN</t>
        </is>
      </c>
      <c r="E445" t="inlineStr">
        <is>
          <t>VIMMERBY</t>
        </is>
      </c>
      <c r="G445" t="n">
        <v>0.8</v>
      </c>
      <c r="H445" t="n">
        <v>0</v>
      </c>
      <c r="I445" t="n">
        <v>0</v>
      </c>
      <c r="J445" t="n">
        <v>0</v>
      </c>
      <c r="K445" t="n">
        <v>0</v>
      </c>
      <c r="L445" t="n">
        <v>0</v>
      </c>
      <c r="M445" t="n">
        <v>0</v>
      </c>
      <c r="N445" t="n">
        <v>0</v>
      </c>
      <c r="O445" t="n">
        <v>0</v>
      </c>
      <c r="P445" t="n">
        <v>0</v>
      </c>
      <c r="Q445" t="n">
        <v>0</v>
      </c>
      <c r="R445" s="2" t="inlineStr"/>
    </row>
    <row r="446" ht="15" customHeight="1">
      <c r="A446" t="inlineStr">
        <is>
          <t>A 31876-2025</t>
        </is>
      </c>
      <c r="B446" s="1" t="n">
        <v>45834.65197916667</v>
      </c>
      <c r="C446" s="1" t="n">
        <v>46022</v>
      </c>
      <c r="D446" t="inlineStr">
        <is>
          <t>KALMAR LÄN</t>
        </is>
      </c>
      <c r="E446" t="inlineStr">
        <is>
          <t>VIMMERBY</t>
        </is>
      </c>
      <c r="F446" t="inlineStr">
        <is>
          <t>Sveaskog</t>
        </is>
      </c>
      <c r="G446" t="n">
        <v>3.3</v>
      </c>
      <c r="H446" t="n">
        <v>0</v>
      </c>
      <c r="I446" t="n">
        <v>0</v>
      </c>
      <c r="J446" t="n">
        <v>0</v>
      </c>
      <c r="K446" t="n">
        <v>0</v>
      </c>
      <c r="L446" t="n">
        <v>0</v>
      </c>
      <c r="M446" t="n">
        <v>0</v>
      </c>
      <c r="N446" t="n">
        <v>0</v>
      </c>
      <c r="O446" t="n">
        <v>0</v>
      </c>
      <c r="P446" t="n">
        <v>0</v>
      </c>
      <c r="Q446" t="n">
        <v>0</v>
      </c>
      <c r="R446" s="2" t="inlineStr"/>
    </row>
    <row r="447" ht="15" customHeight="1">
      <c r="A447" t="inlineStr">
        <is>
          <t>A 5074-2023</t>
        </is>
      </c>
      <c r="B447" s="1" t="n">
        <v>44958.61047453704</v>
      </c>
      <c r="C447" s="1" t="n">
        <v>46022</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58841-2025</t>
        </is>
      </c>
      <c r="B448" s="1" t="n">
        <v>45987.36275462963</v>
      </c>
      <c r="C448" s="1" t="n">
        <v>46022</v>
      </c>
      <c r="D448" t="inlineStr">
        <is>
          <t>KALMAR LÄN</t>
        </is>
      </c>
      <c r="E448" t="inlineStr">
        <is>
          <t>VIMMERBY</t>
        </is>
      </c>
      <c r="G448" t="n">
        <v>3.5</v>
      </c>
      <c r="H448" t="n">
        <v>0</v>
      </c>
      <c r="I448" t="n">
        <v>0</v>
      </c>
      <c r="J448" t="n">
        <v>0</v>
      </c>
      <c r="K448" t="n">
        <v>0</v>
      </c>
      <c r="L448" t="n">
        <v>0</v>
      </c>
      <c r="M448" t="n">
        <v>0</v>
      </c>
      <c r="N448" t="n">
        <v>0</v>
      </c>
      <c r="O448" t="n">
        <v>0</v>
      </c>
      <c r="P448" t="n">
        <v>0</v>
      </c>
      <c r="Q448" t="n">
        <v>0</v>
      </c>
      <c r="R448" s="2" t="inlineStr"/>
    </row>
    <row r="449" ht="15" customHeight="1">
      <c r="A449" t="inlineStr">
        <is>
          <t>A 50544-2025</t>
        </is>
      </c>
      <c r="B449" s="1" t="n">
        <v>45945.50736111111</v>
      </c>
      <c r="C449" s="1" t="n">
        <v>46022</v>
      </c>
      <c r="D449" t="inlineStr">
        <is>
          <t>KALMAR LÄN</t>
        </is>
      </c>
      <c r="E449" t="inlineStr">
        <is>
          <t>VIMMERBY</t>
        </is>
      </c>
      <c r="G449" t="n">
        <v>0.8</v>
      </c>
      <c r="H449" t="n">
        <v>0</v>
      </c>
      <c r="I449" t="n">
        <v>0</v>
      </c>
      <c r="J449" t="n">
        <v>0</v>
      </c>
      <c r="K449" t="n">
        <v>0</v>
      </c>
      <c r="L449" t="n">
        <v>0</v>
      </c>
      <c r="M449" t="n">
        <v>0</v>
      </c>
      <c r="N449" t="n">
        <v>0</v>
      </c>
      <c r="O449" t="n">
        <v>0</v>
      </c>
      <c r="P449" t="n">
        <v>0</v>
      </c>
      <c r="Q449" t="n">
        <v>0</v>
      </c>
      <c r="R449" s="2" t="inlineStr"/>
    </row>
    <row r="450" ht="15" customHeight="1">
      <c r="A450" t="inlineStr">
        <is>
          <t>A 51187-2023</t>
        </is>
      </c>
      <c r="B450" s="1" t="n">
        <v>45219.40528935185</v>
      </c>
      <c r="C450" s="1" t="n">
        <v>46022</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58858-2025</t>
        </is>
      </c>
      <c r="B451" s="1" t="n">
        <v>45987.4243287037</v>
      </c>
      <c r="C451" s="1" t="n">
        <v>46022</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32380-2025</t>
        </is>
      </c>
      <c r="B452" s="1" t="n">
        <v>45837.77701388889</v>
      </c>
      <c r="C452" s="1" t="n">
        <v>46022</v>
      </c>
      <c r="D452" t="inlineStr">
        <is>
          <t>KALMAR LÄN</t>
        </is>
      </c>
      <c r="E452" t="inlineStr">
        <is>
          <t>VIMMERBY</t>
        </is>
      </c>
      <c r="G452" t="n">
        <v>3.1</v>
      </c>
      <c r="H452" t="n">
        <v>0</v>
      </c>
      <c r="I452" t="n">
        <v>0</v>
      </c>
      <c r="J452" t="n">
        <v>0</v>
      </c>
      <c r="K452" t="n">
        <v>0</v>
      </c>
      <c r="L452" t="n">
        <v>0</v>
      </c>
      <c r="M452" t="n">
        <v>0</v>
      </c>
      <c r="N452" t="n">
        <v>0</v>
      </c>
      <c r="O452" t="n">
        <v>0</v>
      </c>
      <c r="P452" t="n">
        <v>0</v>
      </c>
      <c r="Q452" t="n">
        <v>0</v>
      </c>
      <c r="R452" s="2" t="inlineStr"/>
    </row>
    <row r="453" ht="15" customHeight="1">
      <c r="A453" t="inlineStr">
        <is>
          <t>A 33186-2025</t>
        </is>
      </c>
      <c r="B453" s="1" t="n">
        <v>45840.59474537037</v>
      </c>
      <c r="C453" s="1" t="n">
        <v>46022</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15715-2022</t>
        </is>
      </c>
      <c r="B454" s="1" t="n">
        <v>44663</v>
      </c>
      <c r="C454" s="1" t="n">
        <v>46022</v>
      </c>
      <c r="D454" t="inlineStr">
        <is>
          <t>KALMAR LÄN</t>
        </is>
      </c>
      <c r="E454" t="inlineStr">
        <is>
          <t>VIMMERBY</t>
        </is>
      </c>
      <c r="G454" t="n">
        <v>2.3</v>
      </c>
      <c r="H454" t="n">
        <v>0</v>
      </c>
      <c r="I454" t="n">
        <v>0</v>
      </c>
      <c r="J454" t="n">
        <v>0</v>
      </c>
      <c r="K454" t="n">
        <v>0</v>
      </c>
      <c r="L454" t="n">
        <v>0</v>
      </c>
      <c r="M454" t="n">
        <v>0</v>
      </c>
      <c r="N454" t="n">
        <v>0</v>
      </c>
      <c r="O454" t="n">
        <v>0</v>
      </c>
      <c r="P454" t="n">
        <v>0</v>
      </c>
      <c r="Q454" t="n">
        <v>0</v>
      </c>
      <c r="R454" s="2" t="inlineStr"/>
    </row>
    <row r="455" ht="15" customHeight="1">
      <c r="A455" t="inlineStr">
        <is>
          <t>A 33695-2025</t>
        </is>
      </c>
      <c r="B455" s="1" t="n">
        <v>45841.70569444444</v>
      </c>
      <c r="C455" s="1" t="n">
        <v>46022</v>
      </c>
      <c r="D455" t="inlineStr">
        <is>
          <t>KALMAR LÄN</t>
        </is>
      </c>
      <c r="E455" t="inlineStr">
        <is>
          <t>VIMMERBY</t>
        </is>
      </c>
      <c r="G455" t="n">
        <v>2.7</v>
      </c>
      <c r="H455" t="n">
        <v>0</v>
      </c>
      <c r="I455" t="n">
        <v>0</v>
      </c>
      <c r="J455" t="n">
        <v>0</v>
      </c>
      <c r="K455" t="n">
        <v>0</v>
      </c>
      <c r="L455" t="n">
        <v>0</v>
      </c>
      <c r="M455" t="n">
        <v>0</v>
      </c>
      <c r="N455" t="n">
        <v>0</v>
      </c>
      <c r="O455" t="n">
        <v>0</v>
      </c>
      <c r="P455" t="n">
        <v>0</v>
      </c>
      <c r="Q455" t="n">
        <v>0</v>
      </c>
      <c r="R455" s="2" t="inlineStr"/>
    </row>
    <row r="456" ht="15" customHeight="1">
      <c r="A456" t="inlineStr">
        <is>
          <t>A 33698-2025</t>
        </is>
      </c>
      <c r="B456" s="1" t="n">
        <v>45841.70868055556</v>
      </c>
      <c r="C456" s="1" t="n">
        <v>46022</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43093-2024</t>
        </is>
      </c>
      <c r="B457" s="1" t="n">
        <v>45567</v>
      </c>
      <c r="C457" s="1" t="n">
        <v>46022</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56022-2024</t>
        </is>
      </c>
      <c r="B458" s="1" t="n">
        <v>45623.95947916667</v>
      </c>
      <c r="C458" s="1" t="n">
        <v>46022</v>
      </c>
      <c r="D458" t="inlineStr">
        <is>
          <t>KALMAR LÄN</t>
        </is>
      </c>
      <c r="E458" t="inlineStr">
        <is>
          <t>VIMMERBY</t>
        </is>
      </c>
      <c r="G458" t="n">
        <v>0.3</v>
      </c>
      <c r="H458" t="n">
        <v>0</v>
      </c>
      <c r="I458" t="n">
        <v>0</v>
      </c>
      <c r="J458" t="n">
        <v>0</v>
      </c>
      <c r="K458" t="n">
        <v>0</v>
      </c>
      <c r="L458" t="n">
        <v>0</v>
      </c>
      <c r="M458" t="n">
        <v>0</v>
      </c>
      <c r="N458" t="n">
        <v>0</v>
      </c>
      <c r="O458" t="n">
        <v>0</v>
      </c>
      <c r="P458" t="n">
        <v>0</v>
      </c>
      <c r="Q458" t="n">
        <v>0</v>
      </c>
      <c r="R458" s="2" t="inlineStr"/>
    </row>
    <row r="459" ht="15" customHeight="1">
      <c r="A459" t="inlineStr">
        <is>
          <t>A 50324-2025</t>
        </is>
      </c>
      <c r="B459" s="1" t="n">
        <v>45944.45962962963</v>
      </c>
      <c r="C459" s="1" t="n">
        <v>46022</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30977-2025</t>
        </is>
      </c>
      <c r="B460" s="1" t="n">
        <v>45832.46649305556</v>
      </c>
      <c r="C460" s="1" t="n">
        <v>46022</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18330-2023</t>
        </is>
      </c>
      <c r="B461" s="1" t="n">
        <v>45041</v>
      </c>
      <c r="C461" s="1" t="n">
        <v>46022</v>
      </c>
      <c r="D461" t="inlineStr">
        <is>
          <t>KALMAR LÄN</t>
        </is>
      </c>
      <c r="E461" t="inlineStr">
        <is>
          <t>VIMMERBY</t>
        </is>
      </c>
      <c r="G461" t="n">
        <v>1.7</v>
      </c>
      <c r="H461" t="n">
        <v>0</v>
      </c>
      <c r="I461" t="n">
        <v>0</v>
      </c>
      <c r="J461" t="n">
        <v>0</v>
      </c>
      <c r="K461" t="n">
        <v>0</v>
      </c>
      <c r="L461" t="n">
        <v>0</v>
      </c>
      <c r="M461" t="n">
        <v>0</v>
      </c>
      <c r="N461" t="n">
        <v>0</v>
      </c>
      <c r="O461" t="n">
        <v>0</v>
      </c>
      <c r="P461" t="n">
        <v>0</v>
      </c>
      <c r="Q461" t="n">
        <v>0</v>
      </c>
      <c r="R461" s="2" t="inlineStr"/>
    </row>
    <row r="462" ht="15" customHeight="1">
      <c r="A462" t="inlineStr">
        <is>
          <t>A 33696-2025</t>
        </is>
      </c>
      <c r="B462" s="1" t="n">
        <v>45841.7072337963</v>
      </c>
      <c r="C462" s="1" t="n">
        <v>46022</v>
      </c>
      <c r="D462" t="inlineStr">
        <is>
          <t>KALMAR LÄN</t>
        </is>
      </c>
      <c r="E462" t="inlineStr">
        <is>
          <t>VIMMERBY</t>
        </is>
      </c>
      <c r="G462" t="n">
        <v>1.1</v>
      </c>
      <c r="H462" t="n">
        <v>0</v>
      </c>
      <c r="I462" t="n">
        <v>0</v>
      </c>
      <c r="J462" t="n">
        <v>0</v>
      </c>
      <c r="K462" t="n">
        <v>0</v>
      </c>
      <c r="L462" t="n">
        <v>0</v>
      </c>
      <c r="M462" t="n">
        <v>0</v>
      </c>
      <c r="N462" t="n">
        <v>0</v>
      </c>
      <c r="O462" t="n">
        <v>0</v>
      </c>
      <c r="P462" t="n">
        <v>0</v>
      </c>
      <c r="Q462" t="n">
        <v>0</v>
      </c>
      <c r="R462" s="2" t="inlineStr"/>
    </row>
    <row r="463" ht="15" customHeight="1">
      <c r="A463" t="inlineStr">
        <is>
          <t>A 20126-2024</t>
        </is>
      </c>
      <c r="B463" s="1" t="n">
        <v>45434.55471064815</v>
      </c>
      <c r="C463" s="1" t="n">
        <v>46022</v>
      </c>
      <c r="D463" t="inlineStr">
        <is>
          <t>KALMAR LÄN</t>
        </is>
      </c>
      <c r="E463" t="inlineStr">
        <is>
          <t>VIMMERBY</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20136-2024</t>
        </is>
      </c>
      <c r="B464" s="1" t="n">
        <v>45434.56291666667</v>
      </c>
      <c r="C464" s="1" t="n">
        <v>46022</v>
      </c>
      <c r="D464" t="inlineStr">
        <is>
          <t>KALMAR LÄN</t>
        </is>
      </c>
      <c r="E464" t="inlineStr">
        <is>
          <t>VIMMERBY</t>
        </is>
      </c>
      <c r="F464" t="inlineStr">
        <is>
          <t>Sveaskog</t>
        </is>
      </c>
      <c r="G464" t="n">
        <v>8.4</v>
      </c>
      <c r="H464" t="n">
        <v>0</v>
      </c>
      <c r="I464" t="n">
        <v>0</v>
      </c>
      <c r="J464" t="n">
        <v>0</v>
      </c>
      <c r="K464" t="n">
        <v>0</v>
      </c>
      <c r="L464" t="n">
        <v>0</v>
      </c>
      <c r="M464" t="n">
        <v>0</v>
      </c>
      <c r="N464" t="n">
        <v>0</v>
      </c>
      <c r="O464" t="n">
        <v>0</v>
      </c>
      <c r="P464" t="n">
        <v>0</v>
      </c>
      <c r="Q464" t="n">
        <v>0</v>
      </c>
      <c r="R464" s="2" t="inlineStr"/>
    </row>
    <row r="465" ht="15" customHeight="1">
      <c r="A465" t="inlineStr">
        <is>
          <t>A 26956-2025</t>
        </is>
      </c>
      <c r="B465" s="1" t="n">
        <v>45811.45460648148</v>
      </c>
      <c r="C465" s="1" t="n">
        <v>46022</v>
      </c>
      <c r="D465" t="inlineStr">
        <is>
          <t>KALMAR LÄN</t>
        </is>
      </c>
      <c r="E465" t="inlineStr">
        <is>
          <t>VIMMERBY</t>
        </is>
      </c>
      <c r="G465" t="n">
        <v>1.1</v>
      </c>
      <c r="H465" t="n">
        <v>0</v>
      </c>
      <c r="I465" t="n">
        <v>0</v>
      </c>
      <c r="J465" t="n">
        <v>0</v>
      </c>
      <c r="K465" t="n">
        <v>0</v>
      </c>
      <c r="L465" t="n">
        <v>0</v>
      </c>
      <c r="M465" t="n">
        <v>0</v>
      </c>
      <c r="N465" t="n">
        <v>0</v>
      </c>
      <c r="O465" t="n">
        <v>0</v>
      </c>
      <c r="P465" t="n">
        <v>0</v>
      </c>
      <c r="Q465" t="n">
        <v>0</v>
      </c>
      <c r="R465" s="2" t="inlineStr"/>
    </row>
    <row r="466" ht="15" customHeight="1">
      <c r="A466" t="inlineStr">
        <is>
          <t>A 46921-2023</t>
        </is>
      </c>
      <c r="B466" s="1" t="n">
        <v>45201.39996527778</v>
      </c>
      <c r="C466" s="1" t="n">
        <v>46022</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25236-2023</t>
        </is>
      </c>
      <c r="B467" s="1" t="n">
        <v>45086.63334490741</v>
      </c>
      <c r="C467" s="1" t="n">
        <v>46022</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34071-2025</t>
        </is>
      </c>
      <c r="B468" s="1" t="n">
        <v>45845.43803240741</v>
      </c>
      <c r="C468" s="1" t="n">
        <v>46022</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34106-2025</t>
        </is>
      </c>
      <c r="B469" s="1" t="n">
        <v>45845.49414351852</v>
      </c>
      <c r="C469" s="1" t="n">
        <v>46022</v>
      </c>
      <c r="D469" t="inlineStr">
        <is>
          <t>KALMAR LÄN</t>
        </is>
      </c>
      <c r="E469" t="inlineStr">
        <is>
          <t>VIMMERBY</t>
        </is>
      </c>
      <c r="G469" t="n">
        <v>6</v>
      </c>
      <c r="H469" t="n">
        <v>0</v>
      </c>
      <c r="I469" t="n">
        <v>0</v>
      </c>
      <c r="J469" t="n">
        <v>0</v>
      </c>
      <c r="K469" t="n">
        <v>0</v>
      </c>
      <c r="L469" t="n">
        <v>0</v>
      </c>
      <c r="M469" t="n">
        <v>0</v>
      </c>
      <c r="N469" t="n">
        <v>0</v>
      </c>
      <c r="O469" t="n">
        <v>0</v>
      </c>
      <c r="P469" t="n">
        <v>0</v>
      </c>
      <c r="Q469" t="n">
        <v>0</v>
      </c>
      <c r="R469" s="2" t="inlineStr"/>
    </row>
    <row r="470" ht="15" customHeight="1">
      <c r="A470" t="inlineStr">
        <is>
          <t>A 28702-2025</t>
        </is>
      </c>
      <c r="B470" s="1" t="n">
        <v>45820.03976851852</v>
      </c>
      <c r="C470" s="1" t="n">
        <v>46022</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6082-2022</t>
        </is>
      </c>
      <c r="B471" s="1" t="n">
        <v>44599</v>
      </c>
      <c r="C471" s="1" t="n">
        <v>46022</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2801-2023</t>
        </is>
      </c>
      <c r="B472" s="1" t="n">
        <v>44944.73487268519</v>
      </c>
      <c r="C472" s="1" t="n">
        <v>46022</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5146-2024</t>
        </is>
      </c>
      <c r="B473" s="1" t="n">
        <v>45330</v>
      </c>
      <c r="C473" s="1" t="n">
        <v>46022</v>
      </c>
      <c r="D473" t="inlineStr">
        <is>
          <t>KALMAR LÄN</t>
        </is>
      </c>
      <c r="E473" t="inlineStr">
        <is>
          <t>VIMMERBY</t>
        </is>
      </c>
      <c r="G473" t="n">
        <v>5.3</v>
      </c>
      <c r="H473" t="n">
        <v>0</v>
      </c>
      <c r="I473" t="n">
        <v>0</v>
      </c>
      <c r="J473" t="n">
        <v>0</v>
      </c>
      <c r="K473" t="n">
        <v>0</v>
      </c>
      <c r="L473" t="n">
        <v>0</v>
      </c>
      <c r="M473" t="n">
        <v>0</v>
      </c>
      <c r="N473" t="n">
        <v>0</v>
      </c>
      <c r="O473" t="n">
        <v>0</v>
      </c>
      <c r="P473" t="n">
        <v>0</v>
      </c>
      <c r="Q473" t="n">
        <v>0</v>
      </c>
      <c r="R473" s="2" t="inlineStr"/>
    </row>
    <row r="474" ht="15" customHeight="1">
      <c r="A474" t="inlineStr">
        <is>
          <t>A 5148-2024</t>
        </is>
      </c>
      <c r="B474" s="1" t="n">
        <v>45330</v>
      </c>
      <c r="C474" s="1" t="n">
        <v>46022</v>
      </c>
      <c r="D474" t="inlineStr">
        <is>
          <t>KALMAR LÄN</t>
        </is>
      </c>
      <c r="E474" t="inlineStr">
        <is>
          <t>VIMMERBY</t>
        </is>
      </c>
      <c r="G474" t="n">
        <v>5.6</v>
      </c>
      <c r="H474" t="n">
        <v>0</v>
      </c>
      <c r="I474" t="n">
        <v>0</v>
      </c>
      <c r="J474" t="n">
        <v>0</v>
      </c>
      <c r="K474" t="n">
        <v>0</v>
      </c>
      <c r="L474" t="n">
        <v>0</v>
      </c>
      <c r="M474" t="n">
        <v>0</v>
      </c>
      <c r="N474" t="n">
        <v>0</v>
      </c>
      <c r="O474" t="n">
        <v>0</v>
      </c>
      <c r="P474" t="n">
        <v>0</v>
      </c>
      <c r="Q474" t="n">
        <v>0</v>
      </c>
      <c r="R474" s="2" t="inlineStr"/>
    </row>
    <row r="475" ht="15" customHeight="1">
      <c r="A475" t="inlineStr">
        <is>
          <t>A 34628-2025</t>
        </is>
      </c>
      <c r="B475" s="1" t="n">
        <v>45847.91280092593</v>
      </c>
      <c r="C475" s="1" t="n">
        <v>46022</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58278-2023</t>
        </is>
      </c>
      <c r="B476" s="1" t="n">
        <v>45250.5278587963</v>
      </c>
      <c r="C476" s="1" t="n">
        <v>46022</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51062-2025</t>
        </is>
      </c>
      <c r="B477" s="1" t="n">
        <v>45947.44685185186</v>
      </c>
      <c r="C477" s="1" t="n">
        <v>46022</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22266-2023</t>
        </is>
      </c>
      <c r="B478" s="1" t="n">
        <v>45070</v>
      </c>
      <c r="C478" s="1" t="n">
        <v>46022</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52588-2023</t>
        </is>
      </c>
      <c r="B479" s="1" t="n">
        <v>45225.60192129629</v>
      </c>
      <c r="C479" s="1" t="n">
        <v>46022</v>
      </c>
      <c r="D479" t="inlineStr">
        <is>
          <t>KALMAR LÄN</t>
        </is>
      </c>
      <c r="E479" t="inlineStr">
        <is>
          <t>VIMMERBY</t>
        </is>
      </c>
      <c r="G479" t="n">
        <v>2.9</v>
      </c>
      <c r="H479" t="n">
        <v>0</v>
      </c>
      <c r="I479" t="n">
        <v>0</v>
      </c>
      <c r="J479" t="n">
        <v>0</v>
      </c>
      <c r="K479" t="n">
        <v>0</v>
      </c>
      <c r="L479" t="n">
        <v>0</v>
      </c>
      <c r="M479" t="n">
        <v>0</v>
      </c>
      <c r="N479" t="n">
        <v>0</v>
      </c>
      <c r="O479" t="n">
        <v>0</v>
      </c>
      <c r="P479" t="n">
        <v>0</v>
      </c>
      <c r="Q479" t="n">
        <v>0</v>
      </c>
      <c r="R479" s="2" t="inlineStr"/>
    </row>
    <row r="480" ht="15" customHeight="1">
      <c r="A480" t="inlineStr">
        <is>
          <t>A 59037-2025</t>
        </is>
      </c>
      <c r="B480" s="1" t="n">
        <v>45988.36508101852</v>
      </c>
      <c r="C480" s="1" t="n">
        <v>46022</v>
      </c>
      <c r="D480" t="inlineStr">
        <is>
          <t>KALMAR LÄN</t>
        </is>
      </c>
      <c r="E480" t="inlineStr">
        <is>
          <t>VIMMERBY</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59039-2025</t>
        </is>
      </c>
      <c r="B481" s="1" t="n">
        <v>45988.36790509259</v>
      </c>
      <c r="C481" s="1" t="n">
        <v>46022</v>
      </c>
      <c r="D481" t="inlineStr">
        <is>
          <t>KALMAR LÄN</t>
        </is>
      </c>
      <c r="E481" t="inlineStr">
        <is>
          <t>VIMMERBY</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59034-2025</t>
        </is>
      </c>
      <c r="B482" s="1" t="n">
        <v>45988.36243055556</v>
      </c>
      <c r="C482" s="1" t="n">
        <v>46022</v>
      </c>
      <c r="D482" t="inlineStr">
        <is>
          <t>KALMAR LÄN</t>
        </is>
      </c>
      <c r="E482" t="inlineStr">
        <is>
          <t>VIMMERBY</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59068-2025</t>
        </is>
      </c>
      <c r="B483" s="1" t="n">
        <v>45988.41725694444</v>
      </c>
      <c r="C483" s="1" t="n">
        <v>46022</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6802-2025</t>
        </is>
      </c>
      <c r="B484" s="1" t="n">
        <v>45700.68289351852</v>
      </c>
      <c r="C484" s="1" t="n">
        <v>46022</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71793-2021</t>
        </is>
      </c>
      <c r="B485" s="1" t="n">
        <v>44539</v>
      </c>
      <c r="C485" s="1" t="n">
        <v>46022</v>
      </c>
      <c r="D485" t="inlineStr">
        <is>
          <t>KALMAR LÄN</t>
        </is>
      </c>
      <c r="E485" t="inlineStr">
        <is>
          <t>VIMMERBY</t>
        </is>
      </c>
      <c r="G485" t="n">
        <v>2.7</v>
      </c>
      <c r="H485" t="n">
        <v>0</v>
      </c>
      <c r="I485" t="n">
        <v>0</v>
      </c>
      <c r="J485" t="n">
        <v>0</v>
      </c>
      <c r="K485" t="n">
        <v>0</v>
      </c>
      <c r="L485" t="n">
        <v>0</v>
      </c>
      <c r="M485" t="n">
        <v>0</v>
      </c>
      <c r="N485" t="n">
        <v>0</v>
      </c>
      <c r="O485" t="n">
        <v>0</v>
      </c>
      <c r="P485" t="n">
        <v>0</v>
      </c>
      <c r="Q485" t="n">
        <v>0</v>
      </c>
      <c r="R485" s="2" t="inlineStr"/>
    </row>
    <row r="486" ht="15" customHeight="1">
      <c r="A486" t="inlineStr">
        <is>
          <t>A 527-2024</t>
        </is>
      </c>
      <c r="B486" s="1" t="n">
        <v>45299.47513888889</v>
      </c>
      <c r="C486" s="1" t="n">
        <v>46022</v>
      </c>
      <c r="D486" t="inlineStr">
        <is>
          <t>KALMAR LÄN</t>
        </is>
      </c>
      <c r="E486" t="inlineStr">
        <is>
          <t>VIMMERBY</t>
        </is>
      </c>
      <c r="G486" t="n">
        <v>2.2</v>
      </c>
      <c r="H486" t="n">
        <v>0</v>
      </c>
      <c r="I486" t="n">
        <v>0</v>
      </c>
      <c r="J486" t="n">
        <v>0</v>
      </c>
      <c r="K486" t="n">
        <v>0</v>
      </c>
      <c r="L486" t="n">
        <v>0</v>
      </c>
      <c r="M486" t="n">
        <v>0</v>
      </c>
      <c r="N486" t="n">
        <v>0</v>
      </c>
      <c r="O486" t="n">
        <v>0</v>
      </c>
      <c r="P486" t="n">
        <v>0</v>
      </c>
      <c r="Q486" t="n">
        <v>0</v>
      </c>
      <c r="R486" s="2" t="inlineStr"/>
    </row>
    <row r="487" ht="15" customHeight="1">
      <c r="A487" t="inlineStr">
        <is>
          <t>A 60230-2022</t>
        </is>
      </c>
      <c r="B487" s="1" t="n">
        <v>44910</v>
      </c>
      <c r="C487" s="1" t="n">
        <v>46022</v>
      </c>
      <c r="D487" t="inlineStr">
        <is>
          <t>KALMAR LÄN</t>
        </is>
      </c>
      <c r="E487" t="inlineStr">
        <is>
          <t>VIMMERBY</t>
        </is>
      </c>
      <c r="G487" t="n">
        <v>11.3</v>
      </c>
      <c r="H487" t="n">
        <v>0</v>
      </c>
      <c r="I487" t="n">
        <v>0</v>
      </c>
      <c r="J487" t="n">
        <v>0</v>
      </c>
      <c r="K487" t="n">
        <v>0</v>
      </c>
      <c r="L487" t="n">
        <v>0</v>
      </c>
      <c r="M487" t="n">
        <v>0</v>
      </c>
      <c r="N487" t="n">
        <v>0</v>
      </c>
      <c r="O487" t="n">
        <v>0</v>
      </c>
      <c r="P487" t="n">
        <v>0</v>
      </c>
      <c r="Q487" t="n">
        <v>0</v>
      </c>
      <c r="R487" s="2" t="inlineStr"/>
    </row>
    <row r="488" ht="15" customHeight="1">
      <c r="A488" t="inlineStr">
        <is>
          <t>A 35270-2025</t>
        </is>
      </c>
      <c r="B488" s="1" t="n">
        <v>45853.87112268519</v>
      </c>
      <c r="C488" s="1" t="n">
        <v>46022</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35271-2025</t>
        </is>
      </c>
      <c r="B489" s="1" t="n">
        <v>45853.87599537037</v>
      </c>
      <c r="C489" s="1" t="n">
        <v>46022</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35272-2025</t>
        </is>
      </c>
      <c r="B490" s="1" t="n">
        <v>45853.88070601852</v>
      </c>
      <c r="C490" s="1" t="n">
        <v>46022</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16953-2025</t>
        </is>
      </c>
      <c r="B491" s="1" t="n">
        <v>45755.44333333334</v>
      </c>
      <c r="C491" s="1" t="n">
        <v>46022</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35596-2025</t>
        </is>
      </c>
      <c r="B492" s="1" t="n">
        <v>45858.60641203704</v>
      </c>
      <c r="C492" s="1" t="n">
        <v>46022</v>
      </c>
      <c r="D492" t="inlineStr">
        <is>
          <t>KALMAR LÄN</t>
        </is>
      </c>
      <c r="E492" t="inlineStr">
        <is>
          <t>VIMMERBY</t>
        </is>
      </c>
      <c r="G492" t="n">
        <v>2.8</v>
      </c>
      <c r="H492" t="n">
        <v>0</v>
      </c>
      <c r="I492" t="n">
        <v>0</v>
      </c>
      <c r="J492" t="n">
        <v>0</v>
      </c>
      <c r="K492" t="n">
        <v>0</v>
      </c>
      <c r="L492" t="n">
        <v>0</v>
      </c>
      <c r="M492" t="n">
        <v>0</v>
      </c>
      <c r="N492" t="n">
        <v>0</v>
      </c>
      <c r="O492" t="n">
        <v>0</v>
      </c>
      <c r="P492" t="n">
        <v>0</v>
      </c>
      <c r="Q492" t="n">
        <v>0</v>
      </c>
      <c r="R492" s="2" t="inlineStr"/>
    </row>
    <row r="493" ht="15" customHeight="1">
      <c r="A493" t="inlineStr">
        <is>
          <t>A 5925-2022</t>
        </is>
      </c>
      <c r="B493" s="1" t="n">
        <v>44598.7384837963</v>
      </c>
      <c r="C493" s="1" t="n">
        <v>46022</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35597-2025</t>
        </is>
      </c>
      <c r="B494" s="1" t="n">
        <v>45858.66019675926</v>
      </c>
      <c r="C494" s="1" t="n">
        <v>46022</v>
      </c>
      <c r="D494" t="inlineStr">
        <is>
          <t>KALMAR LÄN</t>
        </is>
      </c>
      <c r="E494" t="inlineStr">
        <is>
          <t>VIMMERBY</t>
        </is>
      </c>
      <c r="G494" t="n">
        <v>6.4</v>
      </c>
      <c r="H494" t="n">
        <v>0</v>
      </c>
      <c r="I494" t="n">
        <v>0</v>
      </c>
      <c r="J494" t="n">
        <v>0</v>
      </c>
      <c r="K494" t="n">
        <v>0</v>
      </c>
      <c r="L494" t="n">
        <v>0</v>
      </c>
      <c r="M494" t="n">
        <v>0</v>
      </c>
      <c r="N494" t="n">
        <v>0</v>
      </c>
      <c r="O494" t="n">
        <v>0</v>
      </c>
      <c r="P494" t="n">
        <v>0</v>
      </c>
      <c r="Q494" t="n">
        <v>0</v>
      </c>
      <c r="R494" s="2" t="inlineStr"/>
    </row>
    <row r="495" ht="15" customHeight="1">
      <c r="A495" t="inlineStr">
        <is>
          <t>A 46522-2022</t>
        </is>
      </c>
      <c r="B495" s="1" t="n">
        <v>44848.59133101852</v>
      </c>
      <c r="C495" s="1" t="n">
        <v>46022</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41066-2024</t>
        </is>
      </c>
      <c r="B496" s="1" t="n">
        <v>45559.38876157408</v>
      </c>
      <c r="C496" s="1" t="n">
        <v>46022</v>
      </c>
      <c r="D496" t="inlineStr">
        <is>
          <t>KALMAR LÄN</t>
        </is>
      </c>
      <c r="E496" t="inlineStr">
        <is>
          <t>VIMMERBY</t>
        </is>
      </c>
      <c r="G496" t="n">
        <v>2.4</v>
      </c>
      <c r="H496" t="n">
        <v>0</v>
      </c>
      <c r="I496" t="n">
        <v>0</v>
      </c>
      <c r="J496" t="n">
        <v>0</v>
      </c>
      <c r="K496" t="n">
        <v>0</v>
      </c>
      <c r="L496" t="n">
        <v>0</v>
      </c>
      <c r="M496" t="n">
        <v>0</v>
      </c>
      <c r="N496" t="n">
        <v>0</v>
      </c>
      <c r="O496" t="n">
        <v>0</v>
      </c>
      <c r="P496" t="n">
        <v>0</v>
      </c>
      <c r="Q496" t="n">
        <v>0</v>
      </c>
      <c r="R496" s="2" t="inlineStr"/>
    </row>
    <row r="497" ht="15" customHeight="1">
      <c r="A497" t="inlineStr">
        <is>
          <t>A 52279-2023</t>
        </is>
      </c>
      <c r="B497" s="1" t="n">
        <v>45224</v>
      </c>
      <c r="C497" s="1" t="n">
        <v>46022</v>
      </c>
      <c r="D497" t="inlineStr">
        <is>
          <t>KALMAR LÄN</t>
        </is>
      </c>
      <c r="E497" t="inlineStr">
        <is>
          <t>VIMMERBY</t>
        </is>
      </c>
      <c r="G497" t="n">
        <v>1.8</v>
      </c>
      <c r="H497" t="n">
        <v>0</v>
      </c>
      <c r="I497" t="n">
        <v>0</v>
      </c>
      <c r="J497" t="n">
        <v>0</v>
      </c>
      <c r="K497" t="n">
        <v>0</v>
      </c>
      <c r="L497" t="n">
        <v>0</v>
      </c>
      <c r="M497" t="n">
        <v>0</v>
      </c>
      <c r="N497" t="n">
        <v>0</v>
      </c>
      <c r="O497" t="n">
        <v>0</v>
      </c>
      <c r="P497" t="n">
        <v>0</v>
      </c>
      <c r="Q497" t="n">
        <v>0</v>
      </c>
      <c r="R497" s="2" t="inlineStr"/>
    </row>
    <row r="498" ht="15" customHeight="1">
      <c r="A498" t="inlineStr">
        <is>
          <t>A 17486-2024</t>
        </is>
      </c>
      <c r="B498" s="1" t="n">
        <v>45415.48979166667</v>
      </c>
      <c r="C498" s="1" t="n">
        <v>46022</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36226-2025</t>
        </is>
      </c>
      <c r="B499" s="1" t="n">
        <v>45867.51630787037</v>
      </c>
      <c r="C499" s="1" t="n">
        <v>46022</v>
      </c>
      <c r="D499" t="inlineStr">
        <is>
          <t>KALMAR LÄN</t>
        </is>
      </c>
      <c r="E499" t="inlineStr">
        <is>
          <t>VIMMERBY</t>
        </is>
      </c>
      <c r="G499" t="n">
        <v>3.1</v>
      </c>
      <c r="H499" t="n">
        <v>0</v>
      </c>
      <c r="I499" t="n">
        <v>0</v>
      </c>
      <c r="J499" t="n">
        <v>0</v>
      </c>
      <c r="K499" t="n">
        <v>0</v>
      </c>
      <c r="L499" t="n">
        <v>0</v>
      </c>
      <c r="M499" t="n">
        <v>0</v>
      </c>
      <c r="N499" t="n">
        <v>0</v>
      </c>
      <c r="O499" t="n">
        <v>0</v>
      </c>
      <c r="P499" t="n">
        <v>0</v>
      </c>
      <c r="Q499" t="n">
        <v>0</v>
      </c>
      <c r="R499" s="2" t="inlineStr"/>
    </row>
    <row r="500" ht="15" customHeight="1">
      <c r="A500" t="inlineStr">
        <is>
          <t>A 36273-2025</t>
        </is>
      </c>
      <c r="B500" s="1" t="n">
        <v>45867.63094907408</v>
      </c>
      <c r="C500" s="1" t="n">
        <v>46022</v>
      </c>
      <c r="D500" t="inlineStr">
        <is>
          <t>KALMAR LÄN</t>
        </is>
      </c>
      <c r="E500" t="inlineStr">
        <is>
          <t>VIMMERBY</t>
        </is>
      </c>
      <c r="G500" t="n">
        <v>1.7</v>
      </c>
      <c r="H500" t="n">
        <v>0</v>
      </c>
      <c r="I500" t="n">
        <v>0</v>
      </c>
      <c r="J500" t="n">
        <v>0</v>
      </c>
      <c r="K500" t="n">
        <v>0</v>
      </c>
      <c r="L500" t="n">
        <v>0</v>
      </c>
      <c r="M500" t="n">
        <v>0</v>
      </c>
      <c r="N500" t="n">
        <v>0</v>
      </c>
      <c r="O500" t="n">
        <v>0</v>
      </c>
      <c r="P500" t="n">
        <v>0</v>
      </c>
      <c r="Q500" t="n">
        <v>0</v>
      </c>
      <c r="R500" s="2" t="inlineStr"/>
    </row>
    <row r="501" ht="15" customHeight="1">
      <c r="A501" t="inlineStr">
        <is>
          <t>A 36282-2025</t>
        </is>
      </c>
      <c r="B501" s="1" t="n">
        <v>45867.64663194444</v>
      </c>
      <c r="C501" s="1" t="n">
        <v>46022</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36246-2025</t>
        </is>
      </c>
      <c r="B502" s="1" t="n">
        <v>45867.56320601852</v>
      </c>
      <c r="C502" s="1" t="n">
        <v>46022</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36297-2025</t>
        </is>
      </c>
      <c r="B503" s="1" t="n">
        <v>45867.68625</v>
      </c>
      <c r="C503" s="1" t="n">
        <v>46022</v>
      </c>
      <c r="D503" t="inlineStr">
        <is>
          <t>KALMAR LÄN</t>
        </is>
      </c>
      <c r="E503" t="inlineStr">
        <is>
          <t>VIMMERBY</t>
        </is>
      </c>
      <c r="G503" t="n">
        <v>4.9</v>
      </c>
      <c r="H503" t="n">
        <v>0</v>
      </c>
      <c r="I503" t="n">
        <v>0</v>
      </c>
      <c r="J503" t="n">
        <v>0</v>
      </c>
      <c r="K503" t="n">
        <v>0</v>
      </c>
      <c r="L503" t="n">
        <v>0</v>
      </c>
      <c r="M503" t="n">
        <v>0</v>
      </c>
      <c r="N503" t="n">
        <v>0</v>
      </c>
      <c r="O503" t="n">
        <v>0</v>
      </c>
      <c r="P503" t="n">
        <v>0</v>
      </c>
      <c r="Q503" t="n">
        <v>0</v>
      </c>
      <c r="R503" s="2" t="inlineStr"/>
    </row>
    <row r="504" ht="15" customHeight="1">
      <c r="A504" t="inlineStr">
        <is>
          <t>A 36221-2025</t>
        </is>
      </c>
      <c r="B504" s="1" t="n">
        <v>45867.50792824074</v>
      </c>
      <c r="C504" s="1" t="n">
        <v>46022</v>
      </c>
      <c r="D504" t="inlineStr">
        <is>
          <t>KALMAR LÄN</t>
        </is>
      </c>
      <c r="E504" t="inlineStr">
        <is>
          <t>VIMMERBY</t>
        </is>
      </c>
      <c r="G504" t="n">
        <v>2.5</v>
      </c>
      <c r="H504" t="n">
        <v>0</v>
      </c>
      <c r="I504" t="n">
        <v>0</v>
      </c>
      <c r="J504" t="n">
        <v>0</v>
      </c>
      <c r="K504" t="n">
        <v>0</v>
      </c>
      <c r="L504" t="n">
        <v>0</v>
      </c>
      <c r="M504" t="n">
        <v>0</v>
      </c>
      <c r="N504" t="n">
        <v>0</v>
      </c>
      <c r="O504" t="n">
        <v>0</v>
      </c>
      <c r="P504" t="n">
        <v>0</v>
      </c>
      <c r="Q504" t="n">
        <v>0</v>
      </c>
      <c r="R504" s="2" t="inlineStr"/>
    </row>
    <row r="505" ht="15" customHeight="1">
      <c r="A505" t="inlineStr">
        <is>
          <t>A 71631-2021</t>
        </is>
      </c>
      <c r="B505" s="1" t="n">
        <v>44542.90072916666</v>
      </c>
      <c r="C505" s="1" t="n">
        <v>46022</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19502-2025</t>
        </is>
      </c>
      <c r="B506" s="1" t="n">
        <v>45769</v>
      </c>
      <c r="C506" s="1" t="n">
        <v>46022</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36299-2025</t>
        </is>
      </c>
      <c r="B507" s="1" t="n">
        <v>45867.69346064814</v>
      </c>
      <c r="C507" s="1" t="n">
        <v>46022</v>
      </c>
      <c r="D507" t="inlineStr">
        <is>
          <t>KALMAR LÄN</t>
        </is>
      </c>
      <c r="E507" t="inlineStr">
        <is>
          <t>VIMMERBY</t>
        </is>
      </c>
      <c r="G507" t="n">
        <v>7.6</v>
      </c>
      <c r="H507" t="n">
        <v>0</v>
      </c>
      <c r="I507" t="n">
        <v>0</v>
      </c>
      <c r="J507" t="n">
        <v>0</v>
      </c>
      <c r="K507" t="n">
        <v>0</v>
      </c>
      <c r="L507" t="n">
        <v>0</v>
      </c>
      <c r="M507" t="n">
        <v>0</v>
      </c>
      <c r="N507" t="n">
        <v>0</v>
      </c>
      <c r="O507" t="n">
        <v>0</v>
      </c>
      <c r="P507" t="n">
        <v>0</v>
      </c>
      <c r="Q507" t="n">
        <v>0</v>
      </c>
      <c r="R507" s="2" t="inlineStr"/>
    </row>
    <row r="508" ht="15" customHeight="1">
      <c r="A508" t="inlineStr">
        <is>
          <t>A 36538-2025</t>
        </is>
      </c>
      <c r="B508" s="1" t="n">
        <v>45869.62276620371</v>
      </c>
      <c r="C508" s="1" t="n">
        <v>46022</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16015-2025</t>
        </is>
      </c>
      <c r="B509" s="1" t="n">
        <v>45749.60487268519</v>
      </c>
      <c r="C509" s="1" t="n">
        <v>46022</v>
      </c>
      <c r="D509" t="inlineStr">
        <is>
          <t>KALMAR LÄN</t>
        </is>
      </c>
      <c r="E509" t="inlineStr">
        <is>
          <t>VIMMERBY</t>
        </is>
      </c>
      <c r="F509" t="inlineStr">
        <is>
          <t>Kyrkan</t>
        </is>
      </c>
      <c r="G509" t="n">
        <v>2.7</v>
      </c>
      <c r="H509" t="n">
        <v>0</v>
      </c>
      <c r="I509" t="n">
        <v>0</v>
      </c>
      <c r="J509" t="n">
        <v>0</v>
      </c>
      <c r="K509" t="n">
        <v>0</v>
      </c>
      <c r="L509" t="n">
        <v>0</v>
      </c>
      <c r="M509" t="n">
        <v>0</v>
      </c>
      <c r="N509" t="n">
        <v>0</v>
      </c>
      <c r="O509" t="n">
        <v>0</v>
      </c>
      <c r="P509" t="n">
        <v>0</v>
      </c>
      <c r="Q509" t="n">
        <v>0</v>
      </c>
      <c r="R509" s="2" t="inlineStr"/>
    </row>
    <row r="510" ht="15" customHeight="1">
      <c r="A510" t="inlineStr">
        <is>
          <t>A 9694-2023</t>
        </is>
      </c>
      <c r="B510" s="1" t="n">
        <v>44984.45895833334</v>
      </c>
      <c r="C510" s="1" t="n">
        <v>46022</v>
      </c>
      <c r="D510" t="inlineStr">
        <is>
          <t>KALMAR LÄN</t>
        </is>
      </c>
      <c r="E510" t="inlineStr">
        <is>
          <t>VIMMERBY</t>
        </is>
      </c>
      <c r="G510" t="n">
        <v>2.1</v>
      </c>
      <c r="H510" t="n">
        <v>0</v>
      </c>
      <c r="I510" t="n">
        <v>0</v>
      </c>
      <c r="J510" t="n">
        <v>0</v>
      </c>
      <c r="K510" t="n">
        <v>0</v>
      </c>
      <c r="L510" t="n">
        <v>0</v>
      </c>
      <c r="M510" t="n">
        <v>0</v>
      </c>
      <c r="N510" t="n">
        <v>0</v>
      </c>
      <c r="O510" t="n">
        <v>0</v>
      </c>
      <c r="P510" t="n">
        <v>0</v>
      </c>
      <c r="Q510" t="n">
        <v>0</v>
      </c>
      <c r="R510" s="2" t="inlineStr"/>
    </row>
    <row r="511" ht="15" customHeight="1">
      <c r="A511" t="inlineStr">
        <is>
          <t>A 22198-2024</t>
        </is>
      </c>
      <c r="B511" s="1" t="n">
        <v>45446.36865740741</v>
      </c>
      <c r="C511" s="1" t="n">
        <v>46022</v>
      </c>
      <c r="D511" t="inlineStr">
        <is>
          <t>KALMAR LÄN</t>
        </is>
      </c>
      <c r="E511" t="inlineStr">
        <is>
          <t>VIMMERBY</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36598-2025</t>
        </is>
      </c>
      <c r="B512" s="1" t="n">
        <v>45870.51708333333</v>
      </c>
      <c r="C512" s="1" t="n">
        <v>46022</v>
      </c>
      <c r="D512" t="inlineStr">
        <is>
          <t>KALMAR LÄN</t>
        </is>
      </c>
      <c r="E512" t="inlineStr">
        <is>
          <t>VIMMERBY</t>
        </is>
      </c>
      <c r="G512" t="n">
        <v>3.7</v>
      </c>
      <c r="H512" t="n">
        <v>0</v>
      </c>
      <c r="I512" t="n">
        <v>0</v>
      </c>
      <c r="J512" t="n">
        <v>0</v>
      </c>
      <c r="K512" t="n">
        <v>0</v>
      </c>
      <c r="L512" t="n">
        <v>0</v>
      </c>
      <c r="M512" t="n">
        <v>0</v>
      </c>
      <c r="N512" t="n">
        <v>0</v>
      </c>
      <c r="O512" t="n">
        <v>0</v>
      </c>
      <c r="P512" t="n">
        <v>0</v>
      </c>
      <c r="Q512" t="n">
        <v>0</v>
      </c>
      <c r="R512" s="2" t="inlineStr"/>
    </row>
    <row r="513" ht="15" customHeight="1">
      <c r="A513" t="inlineStr">
        <is>
          <t>A 36602-2025</t>
        </is>
      </c>
      <c r="B513" s="1" t="n">
        <v>45870.52111111111</v>
      </c>
      <c r="C513" s="1" t="n">
        <v>46022</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57311-2023</t>
        </is>
      </c>
      <c r="B514" s="1" t="n">
        <v>45245.63574074074</v>
      </c>
      <c r="C514" s="1" t="n">
        <v>46022</v>
      </c>
      <c r="D514" t="inlineStr">
        <is>
          <t>KALMAR LÄN</t>
        </is>
      </c>
      <c r="E514" t="inlineStr">
        <is>
          <t>VIMMERBY</t>
        </is>
      </c>
      <c r="G514" t="n">
        <v>1.6</v>
      </c>
      <c r="H514" t="n">
        <v>0</v>
      </c>
      <c r="I514" t="n">
        <v>0</v>
      </c>
      <c r="J514" t="n">
        <v>0</v>
      </c>
      <c r="K514" t="n">
        <v>0</v>
      </c>
      <c r="L514" t="n">
        <v>0</v>
      </c>
      <c r="M514" t="n">
        <v>0</v>
      </c>
      <c r="N514" t="n">
        <v>0</v>
      </c>
      <c r="O514" t="n">
        <v>0</v>
      </c>
      <c r="P514" t="n">
        <v>0</v>
      </c>
      <c r="Q514" t="n">
        <v>0</v>
      </c>
      <c r="R514" s="2" t="inlineStr"/>
    </row>
    <row r="515" ht="15" customHeight="1">
      <c r="A515" t="inlineStr">
        <is>
          <t>A 12588-2025</t>
        </is>
      </c>
      <c r="B515" s="1" t="n">
        <v>45732.76936342593</v>
      </c>
      <c r="C515" s="1" t="n">
        <v>46022</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7932-2025</t>
        </is>
      </c>
      <c r="B516" s="1" t="n">
        <v>45707.3793287037</v>
      </c>
      <c r="C516" s="1" t="n">
        <v>46022</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36603-2025</t>
        </is>
      </c>
      <c r="B517" s="1" t="n">
        <v>45870.52142361111</v>
      </c>
      <c r="C517" s="1" t="n">
        <v>46022</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36600-2025</t>
        </is>
      </c>
      <c r="B518" s="1" t="n">
        <v>45870.51958333333</v>
      </c>
      <c r="C518" s="1" t="n">
        <v>46022</v>
      </c>
      <c r="D518" t="inlineStr">
        <is>
          <t>KALMAR LÄN</t>
        </is>
      </c>
      <c r="E518" t="inlineStr">
        <is>
          <t>VIMMERBY</t>
        </is>
      </c>
      <c r="G518" t="n">
        <v>2</v>
      </c>
      <c r="H518" t="n">
        <v>0</v>
      </c>
      <c r="I518" t="n">
        <v>0</v>
      </c>
      <c r="J518" t="n">
        <v>0</v>
      </c>
      <c r="K518" t="n">
        <v>0</v>
      </c>
      <c r="L518" t="n">
        <v>0</v>
      </c>
      <c r="M518" t="n">
        <v>0</v>
      </c>
      <c r="N518" t="n">
        <v>0</v>
      </c>
      <c r="O518" t="n">
        <v>0</v>
      </c>
      <c r="P518" t="n">
        <v>0</v>
      </c>
      <c r="Q518" t="n">
        <v>0</v>
      </c>
      <c r="R518" s="2" t="inlineStr"/>
    </row>
    <row r="519" ht="15" customHeight="1">
      <c r="A519" t="inlineStr">
        <is>
          <t>A 36601-2025</t>
        </is>
      </c>
      <c r="B519" s="1" t="n">
        <v>45870.52005787037</v>
      </c>
      <c r="C519" s="1" t="n">
        <v>46022</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2121-2022</t>
        </is>
      </c>
      <c r="B520" s="1" t="n">
        <v>44578.32717592592</v>
      </c>
      <c r="C520" s="1" t="n">
        <v>46022</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34386-2024</t>
        </is>
      </c>
      <c r="B521" s="1" t="n">
        <v>45525.41762731481</v>
      </c>
      <c r="C521" s="1" t="n">
        <v>46022</v>
      </c>
      <c r="D521" t="inlineStr">
        <is>
          <t>KALMAR LÄN</t>
        </is>
      </c>
      <c r="E521" t="inlineStr">
        <is>
          <t>VIMMERBY</t>
        </is>
      </c>
      <c r="G521" t="n">
        <v>0.3</v>
      </c>
      <c r="H521" t="n">
        <v>0</v>
      </c>
      <c r="I521" t="n">
        <v>0</v>
      </c>
      <c r="J521" t="n">
        <v>0</v>
      </c>
      <c r="K521" t="n">
        <v>0</v>
      </c>
      <c r="L521" t="n">
        <v>0</v>
      </c>
      <c r="M521" t="n">
        <v>0</v>
      </c>
      <c r="N521" t="n">
        <v>0</v>
      </c>
      <c r="O521" t="n">
        <v>0</v>
      </c>
      <c r="P521" t="n">
        <v>0</v>
      </c>
      <c r="Q521" t="n">
        <v>0</v>
      </c>
      <c r="R521" s="2" t="inlineStr"/>
    </row>
    <row r="522" ht="15" customHeight="1">
      <c r="A522" t="inlineStr">
        <is>
          <t>A 6069-2023</t>
        </is>
      </c>
      <c r="B522" s="1" t="n">
        <v>44964.5115162037</v>
      </c>
      <c r="C522" s="1" t="n">
        <v>46022</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59579-2025</t>
        </is>
      </c>
      <c r="B523" s="1" t="n">
        <v>45992.30569444445</v>
      </c>
      <c r="C523" s="1" t="n">
        <v>46022</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37088-2025</t>
        </is>
      </c>
      <c r="B524" s="1" t="n">
        <v>45875.45716435185</v>
      </c>
      <c r="C524" s="1" t="n">
        <v>46022</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37102-2025</t>
        </is>
      </c>
      <c r="B525" s="1" t="n">
        <v>45875.47454861111</v>
      </c>
      <c r="C525" s="1" t="n">
        <v>46022</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37079-2025</t>
        </is>
      </c>
      <c r="B526" s="1" t="n">
        <v>45875.42716435185</v>
      </c>
      <c r="C526" s="1" t="n">
        <v>46022</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32633-2023</t>
        </is>
      </c>
      <c r="B527" s="1" t="n">
        <v>45121.58699074074</v>
      </c>
      <c r="C527" s="1" t="n">
        <v>46022</v>
      </c>
      <c r="D527" t="inlineStr">
        <is>
          <t>KALMAR LÄN</t>
        </is>
      </c>
      <c r="E527" t="inlineStr">
        <is>
          <t>VIMMERBY</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36934-2025</t>
        </is>
      </c>
      <c r="B528" s="1" t="n">
        <v>45874.57109953704</v>
      </c>
      <c r="C528" s="1" t="n">
        <v>46022</v>
      </c>
      <c r="D528" t="inlineStr">
        <is>
          <t>KALMAR LÄN</t>
        </is>
      </c>
      <c r="E528" t="inlineStr">
        <is>
          <t>VIMMERBY</t>
        </is>
      </c>
      <c r="G528" t="n">
        <v>4.2</v>
      </c>
      <c r="H528" t="n">
        <v>0</v>
      </c>
      <c r="I528" t="n">
        <v>0</v>
      </c>
      <c r="J528" t="n">
        <v>0</v>
      </c>
      <c r="K528" t="n">
        <v>0</v>
      </c>
      <c r="L528" t="n">
        <v>0</v>
      </c>
      <c r="M528" t="n">
        <v>0</v>
      </c>
      <c r="N528" t="n">
        <v>0</v>
      </c>
      <c r="O528" t="n">
        <v>0</v>
      </c>
      <c r="P528" t="n">
        <v>0</v>
      </c>
      <c r="Q528" t="n">
        <v>0</v>
      </c>
      <c r="R528" s="2" t="inlineStr"/>
    </row>
    <row r="529" ht="15" customHeight="1">
      <c r="A529" t="inlineStr">
        <is>
          <t>A 49461-2023</t>
        </is>
      </c>
      <c r="B529" s="1" t="n">
        <v>45211.52642361111</v>
      </c>
      <c r="C529" s="1" t="n">
        <v>46022</v>
      </c>
      <c r="D529" t="inlineStr">
        <is>
          <t>KALMAR LÄN</t>
        </is>
      </c>
      <c r="E529" t="inlineStr">
        <is>
          <t>VIMMERBY</t>
        </is>
      </c>
      <c r="G529" t="n">
        <v>1.5</v>
      </c>
      <c r="H529" t="n">
        <v>0</v>
      </c>
      <c r="I529" t="n">
        <v>0</v>
      </c>
      <c r="J529" t="n">
        <v>0</v>
      </c>
      <c r="K529" t="n">
        <v>0</v>
      </c>
      <c r="L529" t="n">
        <v>0</v>
      </c>
      <c r="M529" t="n">
        <v>0</v>
      </c>
      <c r="N529" t="n">
        <v>0</v>
      </c>
      <c r="O529" t="n">
        <v>0</v>
      </c>
      <c r="P529" t="n">
        <v>0</v>
      </c>
      <c r="Q529" t="n">
        <v>0</v>
      </c>
      <c r="R529" s="2" t="inlineStr"/>
    </row>
    <row r="530" ht="15" customHeight="1">
      <c r="A530" t="inlineStr">
        <is>
          <t>A 23095-2023</t>
        </is>
      </c>
      <c r="B530" s="1" t="n">
        <v>45075.43059027778</v>
      </c>
      <c r="C530" s="1" t="n">
        <v>46022</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11429-2022</t>
        </is>
      </c>
      <c r="B531" s="1" t="n">
        <v>44630</v>
      </c>
      <c r="C531" s="1" t="n">
        <v>46022</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51990-2025</t>
        </is>
      </c>
      <c r="B532" s="1" t="n">
        <v>45952.58061342593</v>
      </c>
      <c r="C532" s="1" t="n">
        <v>46022</v>
      </c>
      <c r="D532" t="inlineStr">
        <is>
          <t>KALMAR LÄN</t>
        </is>
      </c>
      <c r="E532" t="inlineStr">
        <is>
          <t>VIMMERBY</t>
        </is>
      </c>
      <c r="G532" t="n">
        <v>2.4</v>
      </c>
      <c r="H532" t="n">
        <v>0</v>
      </c>
      <c r="I532" t="n">
        <v>0</v>
      </c>
      <c r="J532" t="n">
        <v>0</v>
      </c>
      <c r="K532" t="n">
        <v>0</v>
      </c>
      <c r="L532" t="n">
        <v>0</v>
      </c>
      <c r="M532" t="n">
        <v>0</v>
      </c>
      <c r="N532" t="n">
        <v>0</v>
      </c>
      <c r="O532" t="n">
        <v>0</v>
      </c>
      <c r="P532" t="n">
        <v>0</v>
      </c>
      <c r="Q532" t="n">
        <v>0</v>
      </c>
      <c r="R532" s="2" t="inlineStr"/>
    </row>
    <row r="533" ht="15" customHeight="1">
      <c r="A533" t="inlineStr">
        <is>
          <t>A 11141-2024</t>
        </is>
      </c>
      <c r="B533" s="1" t="n">
        <v>45371.45865740741</v>
      </c>
      <c r="C533" s="1" t="n">
        <v>46022</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28395-2023</t>
        </is>
      </c>
      <c r="B534" s="1" t="n">
        <v>45100.4062962963</v>
      </c>
      <c r="C534" s="1" t="n">
        <v>46022</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34597-2022</t>
        </is>
      </c>
      <c r="B535" s="1" t="n">
        <v>44795</v>
      </c>
      <c r="C535" s="1" t="n">
        <v>46022</v>
      </c>
      <c r="D535" t="inlineStr">
        <is>
          <t>KALMAR LÄN</t>
        </is>
      </c>
      <c r="E535" t="inlineStr">
        <is>
          <t>VIMMERBY</t>
        </is>
      </c>
      <c r="G535" t="n">
        <v>2.2</v>
      </c>
      <c r="H535" t="n">
        <v>0</v>
      </c>
      <c r="I535" t="n">
        <v>0</v>
      </c>
      <c r="J535" t="n">
        <v>0</v>
      </c>
      <c r="K535" t="n">
        <v>0</v>
      </c>
      <c r="L535" t="n">
        <v>0</v>
      </c>
      <c r="M535" t="n">
        <v>0</v>
      </c>
      <c r="N535" t="n">
        <v>0</v>
      </c>
      <c r="O535" t="n">
        <v>0</v>
      </c>
      <c r="P535" t="n">
        <v>0</v>
      </c>
      <c r="Q535" t="n">
        <v>0</v>
      </c>
      <c r="R535" s="2" t="inlineStr"/>
    </row>
    <row r="536" ht="15" customHeight="1">
      <c r="A536" t="inlineStr">
        <is>
          <t>A 37578-2025</t>
        </is>
      </c>
      <c r="B536" s="1" t="n">
        <v>45880.38380787037</v>
      </c>
      <c r="C536" s="1" t="n">
        <v>46022</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60297-2025</t>
        </is>
      </c>
      <c r="B537" s="1" t="n">
        <v>45994</v>
      </c>
      <c r="C537" s="1" t="n">
        <v>46022</v>
      </c>
      <c r="D537" t="inlineStr">
        <is>
          <t>KALMAR LÄN</t>
        </is>
      </c>
      <c r="E537" t="inlineStr">
        <is>
          <t>VIMMERBY</t>
        </is>
      </c>
      <c r="G537" t="n">
        <v>4.2</v>
      </c>
      <c r="H537" t="n">
        <v>0</v>
      </c>
      <c r="I537" t="n">
        <v>0</v>
      </c>
      <c r="J537" t="n">
        <v>0</v>
      </c>
      <c r="K537" t="n">
        <v>0</v>
      </c>
      <c r="L537" t="n">
        <v>0</v>
      </c>
      <c r="M537" t="n">
        <v>0</v>
      </c>
      <c r="N537" t="n">
        <v>0</v>
      </c>
      <c r="O537" t="n">
        <v>0</v>
      </c>
      <c r="P537" t="n">
        <v>0</v>
      </c>
      <c r="Q537" t="n">
        <v>0</v>
      </c>
      <c r="R537" s="2" t="inlineStr"/>
    </row>
    <row r="538" ht="15" customHeight="1">
      <c r="A538" t="inlineStr">
        <is>
          <t>A 64428-2023</t>
        </is>
      </c>
      <c r="B538" s="1" t="n">
        <v>45280.66769675926</v>
      </c>
      <c r="C538" s="1" t="n">
        <v>46022</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30588-2023</t>
        </is>
      </c>
      <c r="B539" s="1" t="n">
        <v>45112.33599537037</v>
      </c>
      <c r="C539" s="1" t="n">
        <v>46022</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30503-2023</t>
        </is>
      </c>
      <c r="B540" s="1" t="n">
        <v>45111</v>
      </c>
      <c r="C540" s="1" t="n">
        <v>46022</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37668-2025</t>
        </is>
      </c>
      <c r="B541" s="1" t="n">
        <v>45880.51550925926</v>
      </c>
      <c r="C541" s="1" t="n">
        <v>46022</v>
      </c>
      <c r="D541" t="inlineStr">
        <is>
          <t>KALMAR LÄN</t>
        </is>
      </c>
      <c r="E541" t="inlineStr">
        <is>
          <t>VIMMERBY</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51993-2025</t>
        </is>
      </c>
      <c r="B542" s="1" t="n">
        <v>45952.58194444444</v>
      </c>
      <c r="C542" s="1" t="n">
        <v>46022</v>
      </c>
      <c r="D542" t="inlineStr">
        <is>
          <t>KALMAR LÄN</t>
        </is>
      </c>
      <c r="E542" t="inlineStr">
        <is>
          <t>VIMMERBY</t>
        </is>
      </c>
      <c r="G542" t="n">
        <v>2.8</v>
      </c>
      <c r="H542" t="n">
        <v>0</v>
      </c>
      <c r="I542" t="n">
        <v>0</v>
      </c>
      <c r="J542" t="n">
        <v>0</v>
      </c>
      <c r="K542" t="n">
        <v>0</v>
      </c>
      <c r="L542" t="n">
        <v>0</v>
      </c>
      <c r="M542" t="n">
        <v>0</v>
      </c>
      <c r="N542" t="n">
        <v>0</v>
      </c>
      <c r="O542" t="n">
        <v>0</v>
      </c>
      <c r="P542" t="n">
        <v>0</v>
      </c>
      <c r="Q542" t="n">
        <v>0</v>
      </c>
      <c r="R542" s="2" t="inlineStr"/>
    </row>
    <row r="543" ht="15" customHeight="1">
      <c r="A543" t="inlineStr">
        <is>
          <t>A 37939-2025</t>
        </is>
      </c>
      <c r="B543" s="1" t="n">
        <v>45881.59877314815</v>
      </c>
      <c r="C543" s="1" t="n">
        <v>46022</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37866-2025</t>
        </is>
      </c>
      <c r="B544" s="1" t="n">
        <v>45881</v>
      </c>
      <c r="C544" s="1" t="n">
        <v>46022</v>
      </c>
      <c r="D544" t="inlineStr">
        <is>
          <t>KALMAR LÄN</t>
        </is>
      </c>
      <c r="E544" t="inlineStr">
        <is>
          <t>VIMMERBY</t>
        </is>
      </c>
      <c r="G544" t="n">
        <v>3.4</v>
      </c>
      <c r="H544" t="n">
        <v>0</v>
      </c>
      <c r="I544" t="n">
        <v>0</v>
      </c>
      <c r="J544" t="n">
        <v>0</v>
      </c>
      <c r="K544" t="n">
        <v>0</v>
      </c>
      <c r="L544" t="n">
        <v>0</v>
      </c>
      <c r="M544" t="n">
        <v>0</v>
      </c>
      <c r="N544" t="n">
        <v>0</v>
      </c>
      <c r="O544" t="n">
        <v>0</v>
      </c>
      <c r="P544" t="n">
        <v>0</v>
      </c>
      <c r="Q544" t="n">
        <v>0</v>
      </c>
      <c r="R544" s="2" t="inlineStr"/>
    </row>
    <row r="545" ht="15" customHeight="1">
      <c r="A545" t="inlineStr">
        <is>
          <t>A 47263-2023</t>
        </is>
      </c>
      <c r="B545" s="1" t="n">
        <v>45202.4209837963</v>
      </c>
      <c r="C545" s="1" t="n">
        <v>46022</v>
      </c>
      <c r="D545" t="inlineStr">
        <is>
          <t>KALMAR LÄN</t>
        </is>
      </c>
      <c r="E545" t="inlineStr">
        <is>
          <t>VIMMERBY</t>
        </is>
      </c>
      <c r="G545" t="n">
        <v>1.8</v>
      </c>
      <c r="H545" t="n">
        <v>0</v>
      </c>
      <c r="I545" t="n">
        <v>0</v>
      </c>
      <c r="J545" t="n">
        <v>0</v>
      </c>
      <c r="K545" t="n">
        <v>0</v>
      </c>
      <c r="L545" t="n">
        <v>0</v>
      </c>
      <c r="M545" t="n">
        <v>0</v>
      </c>
      <c r="N545" t="n">
        <v>0</v>
      </c>
      <c r="O545" t="n">
        <v>0</v>
      </c>
      <c r="P545" t="n">
        <v>0</v>
      </c>
      <c r="Q545" t="n">
        <v>0</v>
      </c>
      <c r="R545" s="2" t="inlineStr"/>
    </row>
    <row r="546" ht="15" customHeight="1">
      <c r="A546" t="inlineStr">
        <is>
          <t>A 58100-2024</t>
        </is>
      </c>
      <c r="B546" s="1" t="n">
        <v>45632.36706018518</v>
      </c>
      <c r="C546" s="1" t="n">
        <v>46022</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58159-2024</t>
        </is>
      </c>
      <c r="B547" s="1" t="n">
        <v>45632.44886574074</v>
      </c>
      <c r="C547" s="1" t="n">
        <v>46022</v>
      </c>
      <c r="D547" t="inlineStr">
        <is>
          <t>KALMAR LÄN</t>
        </is>
      </c>
      <c r="E547" t="inlineStr">
        <is>
          <t>VIMMERBY</t>
        </is>
      </c>
      <c r="G547" t="n">
        <v>7.5</v>
      </c>
      <c r="H547" t="n">
        <v>0</v>
      </c>
      <c r="I547" t="n">
        <v>0</v>
      </c>
      <c r="J547" t="n">
        <v>0</v>
      </c>
      <c r="K547" t="n">
        <v>0</v>
      </c>
      <c r="L547" t="n">
        <v>0</v>
      </c>
      <c r="M547" t="n">
        <v>0</v>
      </c>
      <c r="N547" t="n">
        <v>0</v>
      </c>
      <c r="O547" t="n">
        <v>0</v>
      </c>
      <c r="P547" t="n">
        <v>0</v>
      </c>
      <c r="Q547" t="n">
        <v>0</v>
      </c>
      <c r="R547" s="2" t="inlineStr"/>
    </row>
    <row r="548" ht="15" customHeight="1">
      <c r="A548" t="inlineStr">
        <is>
          <t>A 57114-2023</t>
        </is>
      </c>
      <c r="B548" s="1" t="n">
        <v>45245.36174768519</v>
      </c>
      <c r="C548" s="1" t="n">
        <v>46022</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3423-2022</t>
        </is>
      </c>
      <c r="B549" s="1" t="n">
        <v>44585.50431712963</v>
      </c>
      <c r="C549" s="1" t="n">
        <v>46022</v>
      </c>
      <c r="D549" t="inlineStr">
        <is>
          <t>KALMAR LÄN</t>
        </is>
      </c>
      <c r="E549" t="inlineStr">
        <is>
          <t>VIMMERBY</t>
        </is>
      </c>
      <c r="G549" t="n">
        <v>1.7</v>
      </c>
      <c r="H549" t="n">
        <v>0</v>
      </c>
      <c r="I549" t="n">
        <v>0</v>
      </c>
      <c r="J549" t="n">
        <v>0</v>
      </c>
      <c r="K549" t="n">
        <v>0</v>
      </c>
      <c r="L549" t="n">
        <v>0</v>
      </c>
      <c r="M549" t="n">
        <v>0</v>
      </c>
      <c r="N549" t="n">
        <v>0</v>
      </c>
      <c r="O549" t="n">
        <v>0</v>
      </c>
      <c r="P549" t="n">
        <v>0</v>
      </c>
      <c r="Q549" t="n">
        <v>0</v>
      </c>
      <c r="R549" s="2" t="inlineStr"/>
    </row>
    <row r="550" ht="15" customHeight="1">
      <c r="A550" t="inlineStr">
        <is>
          <t>A 60180-2025</t>
        </is>
      </c>
      <c r="B550" s="1" t="n">
        <v>45994.46428240741</v>
      </c>
      <c r="C550" s="1" t="n">
        <v>46022</v>
      </c>
      <c r="D550" t="inlineStr">
        <is>
          <t>KALMAR LÄN</t>
        </is>
      </c>
      <c r="E550" t="inlineStr">
        <is>
          <t>VIMMERBY</t>
        </is>
      </c>
      <c r="G550" t="n">
        <v>6.8</v>
      </c>
      <c r="H550" t="n">
        <v>0</v>
      </c>
      <c r="I550" t="n">
        <v>0</v>
      </c>
      <c r="J550" t="n">
        <v>0</v>
      </c>
      <c r="K550" t="n">
        <v>0</v>
      </c>
      <c r="L550" t="n">
        <v>0</v>
      </c>
      <c r="M550" t="n">
        <v>0</v>
      </c>
      <c r="N550" t="n">
        <v>0</v>
      </c>
      <c r="O550" t="n">
        <v>0</v>
      </c>
      <c r="P550" t="n">
        <v>0</v>
      </c>
      <c r="Q550" t="n">
        <v>0</v>
      </c>
      <c r="R550" s="2" t="inlineStr"/>
    </row>
    <row r="551" ht="15" customHeight="1">
      <c r="A551" t="inlineStr">
        <is>
          <t>A 52465-2025</t>
        </is>
      </c>
      <c r="B551" s="1" t="n">
        <v>45954.44543981482</v>
      </c>
      <c r="C551" s="1" t="n">
        <v>46022</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38964-2025</t>
        </is>
      </c>
      <c r="B552" s="1" t="n">
        <v>45887.68759259259</v>
      </c>
      <c r="C552" s="1" t="n">
        <v>46022</v>
      </c>
      <c r="D552" t="inlineStr">
        <is>
          <t>KALMAR LÄN</t>
        </is>
      </c>
      <c r="E552" t="inlineStr">
        <is>
          <t>VIMMERBY</t>
        </is>
      </c>
      <c r="G552" t="n">
        <v>7.5</v>
      </c>
      <c r="H552" t="n">
        <v>0</v>
      </c>
      <c r="I552" t="n">
        <v>0</v>
      </c>
      <c r="J552" t="n">
        <v>0</v>
      </c>
      <c r="K552" t="n">
        <v>0</v>
      </c>
      <c r="L552" t="n">
        <v>0</v>
      </c>
      <c r="M552" t="n">
        <v>0</v>
      </c>
      <c r="N552" t="n">
        <v>0</v>
      </c>
      <c r="O552" t="n">
        <v>0</v>
      </c>
      <c r="P552" t="n">
        <v>0</v>
      </c>
      <c r="Q552" t="n">
        <v>0</v>
      </c>
      <c r="R552" s="2" t="inlineStr"/>
    </row>
    <row r="553" ht="15" customHeight="1">
      <c r="A553" t="inlineStr">
        <is>
          <t>A 40665-2023</t>
        </is>
      </c>
      <c r="B553" s="1" t="n">
        <v>45170</v>
      </c>
      <c r="C553" s="1" t="n">
        <v>46022</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52451-2025</t>
        </is>
      </c>
      <c r="B554" s="1" t="n">
        <v>45954.42326388889</v>
      </c>
      <c r="C554" s="1" t="n">
        <v>46022</v>
      </c>
      <c r="D554" t="inlineStr">
        <is>
          <t>KALMAR LÄN</t>
        </is>
      </c>
      <c r="E554" t="inlineStr">
        <is>
          <t>VIMMERBY</t>
        </is>
      </c>
      <c r="G554" t="n">
        <v>2.8</v>
      </c>
      <c r="H554" t="n">
        <v>0</v>
      </c>
      <c r="I554" t="n">
        <v>0</v>
      </c>
      <c r="J554" t="n">
        <v>0</v>
      </c>
      <c r="K554" t="n">
        <v>0</v>
      </c>
      <c r="L554" t="n">
        <v>0</v>
      </c>
      <c r="M554" t="n">
        <v>0</v>
      </c>
      <c r="N554" t="n">
        <v>0</v>
      </c>
      <c r="O554" t="n">
        <v>0</v>
      </c>
      <c r="P554" t="n">
        <v>0</v>
      </c>
      <c r="Q554" t="n">
        <v>0</v>
      </c>
      <c r="R554" s="2" t="inlineStr"/>
    </row>
    <row r="555" ht="15" customHeight="1">
      <c r="A555" t="inlineStr">
        <is>
          <t>A 50860-2022</t>
        </is>
      </c>
      <c r="B555" s="1" t="n">
        <v>44867</v>
      </c>
      <c r="C555" s="1" t="n">
        <v>46022</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25370-2022</t>
        </is>
      </c>
      <c r="B556" s="1" t="n">
        <v>44732.3659837963</v>
      </c>
      <c r="C556" s="1" t="n">
        <v>46022</v>
      </c>
      <c r="D556" t="inlineStr">
        <is>
          <t>KALMAR LÄN</t>
        </is>
      </c>
      <c r="E556" t="inlineStr">
        <is>
          <t>VIMMERBY</t>
        </is>
      </c>
      <c r="G556" t="n">
        <v>1.2</v>
      </c>
      <c r="H556" t="n">
        <v>0</v>
      </c>
      <c r="I556" t="n">
        <v>0</v>
      </c>
      <c r="J556" t="n">
        <v>0</v>
      </c>
      <c r="K556" t="n">
        <v>0</v>
      </c>
      <c r="L556" t="n">
        <v>0</v>
      </c>
      <c r="M556" t="n">
        <v>0</v>
      </c>
      <c r="N556" t="n">
        <v>0</v>
      </c>
      <c r="O556" t="n">
        <v>0</v>
      </c>
      <c r="P556" t="n">
        <v>0</v>
      </c>
      <c r="Q556" t="n">
        <v>0</v>
      </c>
      <c r="R556" s="2" t="inlineStr"/>
    </row>
    <row r="557" ht="15" customHeight="1">
      <c r="A557" t="inlineStr">
        <is>
          <t>A 58577-2024</t>
        </is>
      </c>
      <c r="B557" s="1" t="n">
        <v>45635.4874537037</v>
      </c>
      <c r="C557" s="1" t="n">
        <v>46022</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29440-2024</t>
        </is>
      </c>
      <c r="B558" s="1" t="n">
        <v>45483.82479166667</v>
      </c>
      <c r="C558" s="1" t="n">
        <v>46022</v>
      </c>
      <c r="D558" t="inlineStr">
        <is>
          <t>KALMAR LÄN</t>
        </is>
      </c>
      <c r="E558" t="inlineStr">
        <is>
          <t>VIMMERBY</t>
        </is>
      </c>
      <c r="G558" t="n">
        <v>4.5</v>
      </c>
      <c r="H558" t="n">
        <v>0</v>
      </c>
      <c r="I558" t="n">
        <v>0</v>
      </c>
      <c r="J558" t="n">
        <v>0</v>
      </c>
      <c r="K558" t="n">
        <v>0</v>
      </c>
      <c r="L558" t="n">
        <v>0</v>
      </c>
      <c r="M558" t="n">
        <v>0</v>
      </c>
      <c r="N558" t="n">
        <v>0</v>
      </c>
      <c r="O558" t="n">
        <v>0</v>
      </c>
      <c r="P558" t="n">
        <v>0</v>
      </c>
      <c r="Q558" t="n">
        <v>0</v>
      </c>
      <c r="R558" s="2" t="inlineStr"/>
    </row>
    <row r="559" ht="15" customHeight="1">
      <c r="A559" t="inlineStr">
        <is>
          <t>A 52516-2025</t>
        </is>
      </c>
      <c r="B559" s="1" t="n">
        <v>45954.51412037037</v>
      </c>
      <c r="C559" s="1" t="n">
        <v>46022</v>
      </c>
      <c r="D559" t="inlineStr">
        <is>
          <t>KALMAR LÄN</t>
        </is>
      </c>
      <c r="E559" t="inlineStr">
        <is>
          <t>VIMMERBY</t>
        </is>
      </c>
      <c r="G559" t="n">
        <v>2.8</v>
      </c>
      <c r="H559" t="n">
        <v>0</v>
      </c>
      <c r="I559" t="n">
        <v>0</v>
      </c>
      <c r="J559" t="n">
        <v>0</v>
      </c>
      <c r="K559" t="n">
        <v>0</v>
      </c>
      <c r="L559" t="n">
        <v>0</v>
      </c>
      <c r="M559" t="n">
        <v>0</v>
      </c>
      <c r="N559" t="n">
        <v>0</v>
      </c>
      <c r="O559" t="n">
        <v>0</v>
      </c>
      <c r="P559" t="n">
        <v>0</v>
      </c>
      <c r="Q559" t="n">
        <v>0</v>
      </c>
      <c r="R559" s="2" t="inlineStr"/>
    </row>
    <row r="560" ht="15" customHeight="1">
      <c r="A560" t="inlineStr">
        <is>
          <t>A 52466-2025</t>
        </is>
      </c>
      <c r="B560" s="1" t="n">
        <v>45954.44707175926</v>
      </c>
      <c r="C560" s="1" t="n">
        <v>46022</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52473-2025</t>
        </is>
      </c>
      <c r="B561" s="1" t="n">
        <v>45954.45947916667</v>
      </c>
      <c r="C561" s="1" t="n">
        <v>46022</v>
      </c>
      <c r="D561" t="inlineStr">
        <is>
          <t>KALMAR LÄN</t>
        </is>
      </c>
      <c r="E561" t="inlineStr">
        <is>
          <t>VIMMERBY</t>
        </is>
      </c>
      <c r="G561" t="n">
        <v>2.4</v>
      </c>
      <c r="H561" t="n">
        <v>0</v>
      </c>
      <c r="I561" t="n">
        <v>0</v>
      </c>
      <c r="J561" t="n">
        <v>0</v>
      </c>
      <c r="K561" t="n">
        <v>0</v>
      </c>
      <c r="L561" t="n">
        <v>0</v>
      </c>
      <c r="M561" t="n">
        <v>0</v>
      </c>
      <c r="N561" t="n">
        <v>0</v>
      </c>
      <c r="O561" t="n">
        <v>0</v>
      </c>
      <c r="P561" t="n">
        <v>0</v>
      </c>
      <c r="Q561" t="n">
        <v>0</v>
      </c>
      <c r="R561" s="2" t="inlineStr"/>
    </row>
    <row r="562" ht="15" customHeight="1">
      <c r="A562" t="inlineStr">
        <is>
          <t>A 52480-2025</t>
        </is>
      </c>
      <c r="B562" s="1" t="n">
        <v>45954.47172453703</v>
      </c>
      <c r="C562" s="1" t="n">
        <v>46022</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52475-2025</t>
        </is>
      </c>
      <c r="B563" s="1" t="n">
        <v>45954.468125</v>
      </c>
      <c r="C563" s="1" t="n">
        <v>46022</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9129-2025</t>
        </is>
      </c>
      <c r="B564" s="1" t="n">
        <v>45713.92412037037</v>
      </c>
      <c r="C564" s="1" t="n">
        <v>46022</v>
      </c>
      <c r="D564" t="inlineStr">
        <is>
          <t>KALMAR LÄN</t>
        </is>
      </c>
      <c r="E564" t="inlineStr">
        <is>
          <t>VIMMERBY</t>
        </is>
      </c>
      <c r="G564" t="n">
        <v>2.8</v>
      </c>
      <c r="H564" t="n">
        <v>0</v>
      </c>
      <c r="I564" t="n">
        <v>0</v>
      </c>
      <c r="J564" t="n">
        <v>0</v>
      </c>
      <c r="K564" t="n">
        <v>0</v>
      </c>
      <c r="L564" t="n">
        <v>0</v>
      </c>
      <c r="M564" t="n">
        <v>0</v>
      </c>
      <c r="N564" t="n">
        <v>0</v>
      </c>
      <c r="O564" t="n">
        <v>0</v>
      </c>
      <c r="P564" t="n">
        <v>0</v>
      </c>
      <c r="Q564" t="n">
        <v>0</v>
      </c>
      <c r="R564" s="2" t="inlineStr"/>
    </row>
    <row r="565" ht="15" customHeight="1">
      <c r="A565" t="inlineStr">
        <is>
          <t>A 22197-2024</t>
        </is>
      </c>
      <c r="B565" s="1" t="n">
        <v>45446.36774305555</v>
      </c>
      <c r="C565" s="1" t="n">
        <v>46022</v>
      </c>
      <c r="D565" t="inlineStr">
        <is>
          <t>KALMAR LÄN</t>
        </is>
      </c>
      <c r="E565" t="inlineStr">
        <is>
          <t>VIMMERBY</t>
        </is>
      </c>
      <c r="F565" t="inlineStr">
        <is>
          <t>Sveaskog</t>
        </is>
      </c>
      <c r="G565" t="n">
        <v>3.2</v>
      </c>
      <c r="H565" t="n">
        <v>0</v>
      </c>
      <c r="I565" t="n">
        <v>0</v>
      </c>
      <c r="J565" t="n">
        <v>0</v>
      </c>
      <c r="K565" t="n">
        <v>0</v>
      </c>
      <c r="L565" t="n">
        <v>0</v>
      </c>
      <c r="M565" t="n">
        <v>0</v>
      </c>
      <c r="N565" t="n">
        <v>0</v>
      </c>
      <c r="O565" t="n">
        <v>0</v>
      </c>
      <c r="P565" t="n">
        <v>0</v>
      </c>
      <c r="Q565" t="n">
        <v>0</v>
      </c>
      <c r="R565" s="2" t="inlineStr"/>
    </row>
    <row r="566" ht="15" customHeight="1">
      <c r="A566" t="inlineStr">
        <is>
          <t>A 53752-2024</t>
        </is>
      </c>
      <c r="B566" s="1" t="n">
        <v>45615.48927083334</v>
      </c>
      <c r="C566" s="1" t="n">
        <v>46022</v>
      </c>
      <c r="D566" t="inlineStr">
        <is>
          <t>KALMAR LÄN</t>
        </is>
      </c>
      <c r="E566" t="inlineStr">
        <is>
          <t>VIMMERBY</t>
        </is>
      </c>
      <c r="G566" t="n">
        <v>2.4</v>
      </c>
      <c r="H566" t="n">
        <v>0</v>
      </c>
      <c r="I566" t="n">
        <v>0</v>
      </c>
      <c r="J566" t="n">
        <v>0</v>
      </c>
      <c r="K566" t="n">
        <v>0</v>
      </c>
      <c r="L566" t="n">
        <v>0</v>
      </c>
      <c r="M566" t="n">
        <v>0</v>
      </c>
      <c r="N566" t="n">
        <v>0</v>
      </c>
      <c r="O566" t="n">
        <v>0</v>
      </c>
      <c r="P566" t="n">
        <v>0</v>
      </c>
      <c r="Q566" t="n">
        <v>0</v>
      </c>
      <c r="R566" s="2" t="inlineStr"/>
    </row>
    <row r="567" ht="15" customHeight="1">
      <c r="A567" t="inlineStr">
        <is>
          <t>A 12121-2025</t>
        </is>
      </c>
      <c r="B567" s="1" t="n">
        <v>45729.36868055556</v>
      </c>
      <c r="C567" s="1" t="n">
        <v>46022</v>
      </c>
      <c r="D567" t="inlineStr">
        <is>
          <t>KALMAR LÄN</t>
        </is>
      </c>
      <c r="E567" t="inlineStr">
        <is>
          <t>VIMMERBY</t>
        </is>
      </c>
      <c r="G567" t="n">
        <v>4.3</v>
      </c>
      <c r="H567" t="n">
        <v>0</v>
      </c>
      <c r="I567" t="n">
        <v>0</v>
      </c>
      <c r="J567" t="n">
        <v>0</v>
      </c>
      <c r="K567" t="n">
        <v>0</v>
      </c>
      <c r="L567" t="n">
        <v>0</v>
      </c>
      <c r="M567" t="n">
        <v>0</v>
      </c>
      <c r="N567" t="n">
        <v>0</v>
      </c>
      <c r="O567" t="n">
        <v>0</v>
      </c>
      <c r="P567" t="n">
        <v>0</v>
      </c>
      <c r="Q567" t="n">
        <v>0</v>
      </c>
      <c r="R567" s="2" t="inlineStr"/>
    </row>
    <row r="568" ht="15" customHeight="1">
      <c r="A568" t="inlineStr">
        <is>
          <t>A 53396-2025</t>
        </is>
      </c>
      <c r="B568" s="1" t="n">
        <v>45959.55577546296</v>
      </c>
      <c r="C568" s="1" t="n">
        <v>46022</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53416-2025</t>
        </is>
      </c>
      <c r="B569" s="1" t="n">
        <v>45959.58387731481</v>
      </c>
      <c r="C569" s="1" t="n">
        <v>46022</v>
      </c>
      <c r="D569" t="inlineStr">
        <is>
          <t>KALMAR LÄN</t>
        </is>
      </c>
      <c r="E569" t="inlineStr">
        <is>
          <t>VIMMERBY</t>
        </is>
      </c>
      <c r="G569" t="n">
        <v>4.4</v>
      </c>
      <c r="H569" t="n">
        <v>0</v>
      </c>
      <c r="I569" t="n">
        <v>0</v>
      </c>
      <c r="J569" t="n">
        <v>0</v>
      </c>
      <c r="K569" t="n">
        <v>0</v>
      </c>
      <c r="L569" t="n">
        <v>0</v>
      </c>
      <c r="M569" t="n">
        <v>0</v>
      </c>
      <c r="N569" t="n">
        <v>0</v>
      </c>
      <c r="O569" t="n">
        <v>0</v>
      </c>
      <c r="P569" t="n">
        <v>0</v>
      </c>
      <c r="Q569" t="n">
        <v>0</v>
      </c>
      <c r="R569" s="2" t="inlineStr"/>
    </row>
    <row r="570" ht="15" customHeight="1">
      <c r="A570" t="inlineStr">
        <is>
          <t>A 53398-2025</t>
        </is>
      </c>
      <c r="B570" s="1" t="n">
        <v>45959.56247685185</v>
      </c>
      <c r="C570" s="1" t="n">
        <v>46022</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9710-2023</t>
        </is>
      </c>
      <c r="B571" s="1" t="n">
        <v>44984</v>
      </c>
      <c r="C571" s="1" t="n">
        <v>46022</v>
      </c>
      <c r="D571" t="inlineStr">
        <is>
          <t>KALMAR LÄN</t>
        </is>
      </c>
      <c r="E571" t="inlineStr">
        <is>
          <t>VIMMERBY</t>
        </is>
      </c>
      <c r="G571" t="n">
        <v>3.7</v>
      </c>
      <c r="H571" t="n">
        <v>0</v>
      </c>
      <c r="I571" t="n">
        <v>0</v>
      </c>
      <c r="J571" t="n">
        <v>0</v>
      </c>
      <c r="K571" t="n">
        <v>0</v>
      </c>
      <c r="L571" t="n">
        <v>0</v>
      </c>
      <c r="M571" t="n">
        <v>0</v>
      </c>
      <c r="N571" t="n">
        <v>0</v>
      </c>
      <c r="O571" t="n">
        <v>0</v>
      </c>
      <c r="P571" t="n">
        <v>0</v>
      </c>
      <c r="Q571" t="n">
        <v>0</v>
      </c>
      <c r="R571" s="2" t="inlineStr"/>
    </row>
    <row r="572" ht="15" customHeight="1">
      <c r="A572" t="inlineStr">
        <is>
          <t>A 9720-2023</t>
        </is>
      </c>
      <c r="B572" s="1" t="n">
        <v>44984</v>
      </c>
      <c r="C572" s="1" t="n">
        <v>46022</v>
      </c>
      <c r="D572" t="inlineStr">
        <is>
          <t>KALMAR LÄN</t>
        </is>
      </c>
      <c r="E572" t="inlineStr">
        <is>
          <t>VIMMERBY</t>
        </is>
      </c>
      <c r="G572" t="n">
        <v>4.4</v>
      </c>
      <c r="H572" t="n">
        <v>0</v>
      </c>
      <c r="I572" t="n">
        <v>0</v>
      </c>
      <c r="J572" t="n">
        <v>0</v>
      </c>
      <c r="K572" t="n">
        <v>0</v>
      </c>
      <c r="L572" t="n">
        <v>0</v>
      </c>
      <c r="M572" t="n">
        <v>0</v>
      </c>
      <c r="N572" t="n">
        <v>0</v>
      </c>
      <c r="O572" t="n">
        <v>0</v>
      </c>
      <c r="P572" t="n">
        <v>0</v>
      </c>
      <c r="Q572" t="n">
        <v>0</v>
      </c>
      <c r="R572" s="2" t="inlineStr"/>
    </row>
    <row r="573" ht="15" customHeight="1">
      <c r="A573" t="inlineStr">
        <is>
          <t>A 15493-2023</t>
        </is>
      </c>
      <c r="B573" s="1" t="n">
        <v>45018</v>
      </c>
      <c r="C573" s="1" t="n">
        <v>46022</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53397-2025</t>
        </is>
      </c>
      <c r="B574" s="1" t="n">
        <v>45959.55918981481</v>
      </c>
      <c r="C574" s="1" t="n">
        <v>46022</v>
      </c>
      <c r="D574" t="inlineStr">
        <is>
          <t>KALMAR LÄN</t>
        </is>
      </c>
      <c r="E574" t="inlineStr">
        <is>
          <t>VIMMERBY</t>
        </is>
      </c>
      <c r="G574" t="n">
        <v>1.6</v>
      </c>
      <c r="H574" t="n">
        <v>0</v>
      </c>
      <c r="I574" t="n">
        <v>0</v>
      </c>
      <c r="J574" t="n">
        <v>0</v>
      </c>
      <c r="K574" t="n">
        <v>0</v>
      </c>
      <c r="L574" t="n">
        <v>0</v>
      </c>
      <c r="M574" t="n">
        <v>0</v>
      </c>
      <c r="N574" t="n">
        <v>0</v>
      </c>
      <c r="O574" t="n">
        <v>0</v>
      </c>
      <c r="P574" t="n">
        <v>0</v>
      </c>
      <c r="Q574" t="n">
        <v>0</v>
      </c>
      <c r="R574" s="2" t="inlineStr"/>
    </row>
    <row r="575" ht="15" customHeight="1">
      <c r="A575" t="inlineStr">
        <is>
          <t>A 53220-2025</t>
        </is>
      </c>
      <c r="B575" s="1" t="n">
        <v>45958.60146990741</v>
      </c>
      <c r="C575" s="1" t="n">
        <v>46022</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53393-2025</t>
        </is>
      </c>
      <c r="B576" s="1" t="n">
        <v>45959.55284722222</v>
      </c>
      <c r="C576" s="1" t="n">
        <v>46022</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29093-2023</t>
        </is>
      </c>
      <c r="B577" s="1" t="n">
        <v>45105</v>
      </c>
      <c r="C577" s="1" t="n">
        <v>46022</v>
      </c>
      <c r="D577" t="inlineStr">
        <is>
          <t>KALMAR LÄN</t>
        </is>
      </c>
      <c r="E577" t="inlineStr">
        <is>
          <t>VIMMERBY</t>
        </is>
      </c>
      <c r="G577" t="n">
        <v>2.9</v>
      </c>
      <c r="H577" t="n">
        <v>0</v>
      </c>
      <c r="I577" t="n">
        <v>0</v>
      </c>
      <c r="J577" t="n">
        <v>0</v>
      </c>
      <c r="K577" t="n">
        <v>0</v>
      </c>
      <c r="L577" t="n">
        <v>0</v>
      </c>
      <c r="M577" t="n">
        <v>0</v>
      </c>
      <c r="N577" t="n">
        <v>0</v>
      </c>
      <c r="O577" t="n">
        <v>0</v>
      </c>
      <c r="P577" t="n">
        <v>0</v>
      </c>
      <c r="Q577" t="n">
        <v>0</v>
      </c>
      <c r="R577" s="2" t="inlineStr"/>
    </row>
    <row r="578" ht="15" customHeight="1">
      <c r="A578" t="inlineStr">
        <is>
          <t>A 33352-2022</t>
        </is>
      </c>
      <c r="B578" s="1" t="n">
        <v>44788</v>
      </c>
      <c r="C578" s="1" t="n">
        <v>46022</v>
      </c>
      <c r="D578" t="inlineStr">
        <is>
          <t>KALMAR LÄN</t>
        </is>
      </c>
      <c r="E578" t="inlineStr">
        <is>
          <t>VIMMERBY</t>
        </is>
      </c>
      <c r="G578" t="n">
        <v>0.8</v>
      </c>
      <c r="H578" t="n">
        <v>0</v>
      </c>
      <c r="I578" t="n">
        <v>0</v>
      </c>
      <c r="J578" t="n">
        <v>0</v>
      </c>
      <c r="K578" t="n">
        <v>0</v>
      </c>
      <c r="L578" t="n">
        <v>0</v>
      </c>
      <c r="M578" t="n">
        <v>0</v>
      </c>
      <c r="N578" t="n">
        <v>0</v>
      </c>
      <c r="O578" t="n">
        <v>0</v>
      </c>
      <c r="P578" t="n">
        <v>0</v>
      </c>
      <c r="Q578" t="n">
        <v>0</v>
      </c>
      <c r="R578" s="2" t="inlineStr"/>
    </row>
    <row r="579" ht="15" customHeight="1">
      <c r="A579" t="inlineStr">
        <is>
          <t>A 10674-2021</t>
        </is>
      </c>
      <c r="B579" s="1" t="n">
        <v>44258</v>
      </c>
      <c r="C579" s="1" t="n">
        <v>46022</v>
      </c>
      <c r="D579" t="inlineStr">
        <is>
          <t>KALMAR LÄN</t>
        </is>
      </c>
      <c r="E579" t="inlineStr">
        <is>
          <t>VIMMERBY</t>
        </is>
      </c>
      <c r="G579" t="n">
        <v>8.4</v>
      </c>
      <c r="H579" t="n">
        <v>0</v>
      </c>
      <c r="I579" t="n">
        <v>0</v>
      </c>
      <c r="J579" t="n">
        <v>0</v>
      </c>
      <c r="K579" t="n">
        <v>0</v>
      </c>
      <c r="L579" t="n">
        <v>0</v>
      </c>
      <c r="M579" t="n">
        <v>0</v>
      </c>
      <c r="N579" t="n">
        <v>0</v>
      </c>
      <c r="O579" t="n">
        <v>0</v>
      </c>
      <c r="P579" t="n">
        <v>0</v>
      </c>
      <c r="Q579" t="n">
        <v>0</v>
      </c>
      <c r="R579" s="2" t="inlineStr"/>
    </row>
    <row r="580" ht="15" customHeight="1">
      <c r="A580" t="inlineStr">
        <is>
          <t>A 53413-2025</t>
        </is>
      </c>
      <c r="B580" s="1" t="n">
        <v>45959.5787037037</v>
      </c>
      <c r="C580" s="1" t="n">
        <v>46022</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22264-2023</t>
        </is>
      </c>
      <c r="B581" s="1" t="n">
        <v>45070.3665625</v>
      </c>
      <c r="C581" s="1" t="n">
        <v>46022</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53903-2025</t>
        </is>
      </c>
      <c r="B582" s="1" t="n">
        <v>45961.43738425926</v>
      </c>
      <c r="C582" s="1" t="n">
        <v>46022</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16676-2023</t>
        </is>
      </c>
      <c r="B583" s="1" t="n">
        <v>45028</v>
      </c>
      <c r="C583" s="1" t="n">
        <v>46022</v>
      </c>
      <c r="D583" t="inlineStr">
        <is>
          <t>KALMAR LÄN</t>
        </is>
      </c>
      <c r="E583" t="inlineStr">
        <is>
          <t>VIMMERBY</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6220-2025</t>
        </is>
      </c>
      <c r="B584" s="1" t="n">
        <v>45698.53725694444</v>
      </c>
      <c r="C584" s="1" t="n">
        <v>46022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53920-2025</t>
        </is>
      </c>
      <c r="B585" s="1" t="n">
        <v>45961.44951388889</v>
      </c>
      <c r="C585" s="1" t="n">
        <v>46022</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53927-2025</t>
        </is>
      </c>
      <c r="B586" s="1" t="n">
        <v>45961.46740740741</v>
      </c>
      <c r="C586" s="1" t="n">
        <v>46022</v>
      </c>
      <c r="D586" t="inlineStr">
        <is>
          <t>KALMAR LÄN</t>
        </is>
      </c>
      <c r="E586" t="inlineStr">
        <is>
          <t>VIMMERBY</t>
        </is>
      </c>
      <c r="G586" t="n">
        <v>2.5</v>
      </c>
      <c r="H586" t="n">
        <v>0</v>
      </c>
      <c r="I586" t="n">
        <v>0</v>
      </c>
      <c r="J586" t="n">
        <v>0</v>
      </c>
      <c r="K586" t="n">
        <v>0</v>
      </c>
      <c r="L586" t="n">
        <v>0</v>
      </c>
      <c r="M586" t="n">
        <v>0</v>
      </c>
      <c r="N586" t="n">
        <v>0</v>
      </c>
      <c r="O586" t="n">
        <v>0</v>
      </c>
      <c r="P586" t="n">
        <v>0</v>
      </c>
      <c r="Q586" t="n">
        <v>0</v>
      </c>
      <c r="R586" s="2" t="inlineStr"/>
    </row>
    <row r="587" ht="15" customHeight="1">
      <c r="A587" t="inlineStr">
        <is>
          <t>A 24096-2024</t>
        </is>
      </c>
      <c r="B587" s="1" t="n">
        <v>45456.59289351852</v>
      </c>
      <c r="C587" s="1" t="n">
        <v>46022</v>
      </c>
      <c r="D587" t="inlineStr">
        <is>
          <t>KALMAR LÄN</t>
        </is>
      </c>
      <c r="E587" t="inlineStr">
        <is>
          <t>VIMMERBY</t>
        </is>
      </c>
      <c r="G587" t="n">
        <v>2.3</v>
      </c>
      <c r="H587" t="n">
        <v>0</v>
      </c>
      <c r="I587" t="n">
        <v>0</v>
      </c>
      <c r="J587" t="n">
        <v>0</v>
      </c>
      <c r="K587" t="n">
        <v>0</v>
      </c>
      <c r="L587" t="n">
        <v>0</v>
      </c>
      <c r="M587" t="n">
        <v>0</v>
      </c>
      <c r="N587" t="n">
        <v>0</v>
      </c>
      <c r="O587" t="n">
        <v>0</v>
      </c>
      <c r="P587" t="n">
        <v>0</v>
      </c>
      <c r="Q587" t="n">
        <v>0</v>
      </c>
      <c r="R587" s="2" t="inlineStr"/>
    </row>
    <row r="588" ht="15" customHeight="1">
      <c r="A588" t="inlineStr">
        <is>
          <t>A 61725-2025</t>
        </is>
      </c>
      <c r="B588" s="1" t="n">
        <v>46002.58680555555</v>
      </c>
      <c r="C588" s="1" t="n">
        <v>46022</v>
      </c>
      <c r="D588" t="inlineStr">
        <is>
          <t>KALMAR LÄN</t>
        </is>
      </c>
      <c r="E588" t="inlineStr">
        <is>
          <t>VIMMERBY</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29013-2024</t>
        </is>
      </c>
      <c r="B589" s="1" t="n">
        <v>45481.55984953704</v>
      </c>
      <c r="C589" s="1" t="n">
        <v>46022</v>
      </c>
      <c r="D589" t="inlineStr">
        <is>
          <t>KALMAR LÄN</t>
        </is>
      </c>
      <c r="E589" t="inlineStr">
        <is>
          <t>VIMMERBY</t>
        </is>
      </c>
      <c r="G589" t="n">
        <v>3.4</v>
      </c>
      <c r="H589" t="n">
        <v>0</v>
      </c>
      <c r="I589" t="n">
        <v>0</v>
      </c>
      <c r="J589" t="n">
        <v>0</v>
      </c>
      <c r="K589" t="n">
        <v>0</v>
      </c>
      <c r="L589" t="n">
        <v>0</v>
      </c>
      <c r="M589" t="n">
        <v>0</v>
      </c>
      <c r="N589" t="n">
        <v>0</v>
      </c>
      <c r="O589" t="n">
        <v>0</v>
      </c>
      <c r="P589" t="n">
        <v>0</v>
      </c>
      <c r="Q589" t="n">
        <v>0</v>
      </c>
      <c r="R589" s="2" t="inlineStr"/>
    </row>
    <row r="590" ht="15" customHeight="1">
      <c r="A590" t="inlineStr">
        <is>
          <t>A 6066-2023</t>
        </is>
      </c>
      <c r="B590" s="1" t="n">
        <v>44964.50894675926</v>
      </c>
      <c r="C590" s="1" t="n">
        <v>46022</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59955-2023</t>
        </is>
      </c>
      <c r="B591" s="1" t="n">
        <v>45257.70313657408</v>
      </c>
      <c r="C591" s="1" t="n">
        <v>46022</v>
      </c>
      <c r="D591" t="inlineStr">
        <is>
          <t>KALMAR LÄN</t>
        </is>
      </c>
      <c r="E591" t="inlineStr">
        <is>
          <t>VIMMERBY</t>
        </is>
      </c>
      <c r="G591" t="n">
        <v>13.8</v>
      </c>
      <c r="H591" t="n">
        <v>0</v>
      </c>
      <c r="I591" t="n">
        <v>0</v>
      </c>
      <c r="J591" t="n">
        <v>0</v>
      </c>
      <c r="K591" t="n">
        <v>0</v>
      </c>
      <c r="L591" t="n">
        <v>0</v>
      </c>
      <c r="M591" t="n">
        <v>0</v>
      </c>
      <c r="N591" t="n">
        <v>0</v>
      </c>
      <c r="O591" t="n">
        <v>0</v>
      </c>
      <c r="P591" t="n">
        <v>0</v>
      </c>
      <c r="Q591" t="n">
        <v>0</v>
      </c>
      <c r="R591" s="2" t="inlineStr"/>
    </row>
    <row r="592" ht="15" customHeight="1">
      <c r="A592" t="inlineStr">
        <is>
          <t>A 53789-2025</t>
        </is>
      </c>
      <c r="B592" s="1" t="n">
        <v>45960</v>
      </c>
      <c r="C592" s="1" t="n">
        <v>46022</v>
      </c>
      <c r="D592" t="inlineStr">
        <is>
          <t>KALMAR LÄN</t>
        </is>
      </c>
      <c r="E592" t="inlineStr">
        <is>
          <t>VIMMERBY</t>
        </is>
      </c>
      <c r="F592" t="inlineStr">
        <is>
          <t>Övriga statliga verk och myndigheter</t>
        </is>
      </c>
      <c r="G592" t="n">
        <v>1.6</v>
      </c>
      <c r="H592" t="n">
        <v>0</v>
      </c>
      <c r="I592" t="n">
        <v>0</v>
      </c>
      <c r="J592" t="n">
        <v>0</v>
      </c>
      <c r="K592" t="n">
        <v>0</v>
      </c>
      <c r="L592" t="n">
        <v>0</v>
      </c>
      <c r="M592" t="n">
        <v>0</v>
      </c>
      <c r="N592" t="n">
        <v>0</v>
      </c>
      <c r="O592" t="n">
        <v>0</v>
      </c>
      <c r="P592" t="n">
        <v>0</v>
      </c>
      <c r="Q592" t="n">
        <v>0</v>
      </c>
      <c r="R592" s="2" t="inlineStr"/>
    </row>
    <row r="593" ht="15" customHeight="1">
      <c r="A593" t="inlineStr">
        <is>
          <t>A 61726-2025</t>
        </is>
      </c>
      <c r="B593" s="1" t="n">
        <v>46002.58822916666</v>
      </c>
      <c r="C593" s="1" t="n">
        <v>46022</v>
      </c>
      <c r="D593" t="inlineStr">
        <is>
          <t>KALMAR LÄN</t>
        </is>
      </c>
      <c r="E593" t="inlineStr">
        <is>
          <t>VIMMERBY</t>
        </is>
      </c>
      <c r="F593" t="inlineStr">
        <is>
          <t>Sveaskog</t>
        </is>
      </c>
      <c r="G593" t="n">
        <v>0.2</v>
      </c>
      <c r="H593" t="n">
        <v>0</v>
      </c>
      <c r="I593" t="n">
        <v>0</v>
      </c>
      <c r="J593" t="n">
        <v>0</v>
      </c>
      <c r="K593" t="n">
        <v>0</v>
      </c>
      <c r="L593" t="n">
        <v>0</v>
      </c>
      <c r="M593" t="n">
        <v>0</v>
      </c>
      <c r="N593" t="n">
        <v>0</v>
      </c>
      <c r="O593" t="n">
        <v>0</v>
      </c>
      <c r="P593" t="n">
        <v>0</v>
      </c>
      <c r="Q593" t="n">
        <v>0</v>
      </c>
      <c r="R593" s="2" t="inlineStr"/>
    </row>
    <row r="594" ht="15" customHeight="1">
      <c r="A594" t="inlineStr">
        <is>
          <t>A 53923-2025</t>
        </is>
      </c>
      <c r="B594" s="1" t="n">
        <v>45961.4569212963</v>
      </c>
      <c r="C594" s="1" t="n">
        <v>46022</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36040-2024</t>
        </is>
      </c>
      <c r="B595" s="1" t="n">
        <v>45533.60232638889</v>
      </c>
      <c r="C595" s="1" t="n">
        <v>46022</v>
      </c>
      <c r="D595" t="inlineStr">
        <is>
          <t>KALMAR LÄN</t>
        </is>
      </c>
      <c r="E595" t="inlineStr">
        <is>
          <t>VIMMERBY</t>
        </is>
      </c>
      <c r="F595" t="inlineStr">
        <is>
          <t>Kommuner</t>
        </is>
      </c>
      <c r="G595" t="n">
        <v>3.6</v>
      </c>
      <c r="H595" t="n">
        <v>0</v>
      </c>
      <c r="I595" t="n">
        <v>0</v>
      </c>
      <c r="J595" t="n">
        <v>0</v>
      </c>
      <c r="K595" t="n">
        <v>0</v>
      </c>
      <c r="L595" t="n">
        <v>0</v>
      </c>
      <c r="M595" t="n">
        <v>0</v>
      </c>
      <c r="N595" t="n">
        <v>0</v>
      </c>
      <c r="O595" t="n">
        <v>0</v>
      </c>
      <c r="P595" t="n">
        <v>0</v>
      </c>
      <c r="Q595" t="n">
        <v>0</v>
      </c>
      <c r="R595" s="2" t="inlineStr"/>
    </row>
    <row r="596" ht="15" customHeight="1">
      <c r="A596" t="inlineStr">
        <is>
          <t>A 36043-2024</t>
        </is>
      </c>
      <c r="B596" s="1" t="n">
        <v>45533.60770833334</v>
      </c>
      <c r="C596" s="1" t="n">
        <v>46022</v>
      </c>
      <c r="D596" t="inlineStr">
        <is>
          <t>KALMAR LÄN</t>
        </is>
      </c>
      <c r="E596" t="inlineStr">
        <is>
          <t>VIMMERBY</t>
        </is>
      </c>
      <c r="F596" t="inlineStr">
        <is>
          <t>Kommuner</t>
        </is>
      </c>
      <c r="G596" t="n">
        <v>1.5</v>
      </c>
      <c r="H596" t="n">
        <v>0</v>
      </c>
      <c r="I596" t="n">
        <v>0</v>
      </c>
      <c r="J596" t="n">
        <v>0</v>
      </c>
      <c r="K596" t="n">
        <v>0</v>
      </c>
      <c r="L596" t="n">
        <v>0</v>
      </c>
      <c r="M596" t="n">
        <v>0</v>
      </c>
      <c r="N596" t="n">
        <v>0</v>
      </c>
      <c r="O596" t="n">
        <v>0</v>
      </c>
      <c r="P596" t="n">
        <v>0</v>
      </c>
      <c r="Q596" t="n">
        <v>0</v>
      </c>
      <c r="R596" s="2" t="inlineStr"/>
    </row>
    <row r="597" ht="15" customHeight="1">
      <c r="A597" t="inlineStr">
        <is>
          <t>A 12890-2023</t>
        </is>
      </c>
      <c r="B597" s="1" t="n">
        <v>45001.59209490741</v>
      </c>
      <c r="C597" s="1" t="n">
        <v>46022</v>
      </c>
      <c r="D597" t="inlineStr">
        <is>
          <t>KALMAR LÄN</t>
        </is>
      </c>
      <c r="E597" t="inlineStr">
        <is>
          <t>VIMMERBY</t>
        </is>
      </c>
      <c r="G597" t="n">
        <v>2.8</v>
      </c>
      <c r="H597" t="n">
        <v>0</v>
      </c>
      <c r="I597" t="n">
        <v>0</v>
      </c>
      <c r="J597" t="n">
        <v>0</v>
      </c>
      <c r="K597" t="n">
        <v>0</v>
      </c>
      <c r="L597" t="n">
        <v>0</v>
      </c>
      <c r="M597" t="n">
        <v>0</v>
      </c>
      <c r="N597" t="n">
        <v>0</v>
      </c>
      <c r="O597" t="n">
        <v>0</v>
      </c>
      <c r="P597" t="n">
        <v>0</v>
      </c>
      <c r="Q597" t="n">
        <v>0</v>
      </c>
      <c r="R597" s="2" t="inlineStr"/>
    </row>
    <row r="598" ht="15" customHeight="1">
      <c r="A598" t="inlineStr">
        <is>
          <t>A 43594-2024</t>
        </is>
      </c>
      <c r="B598" s="1" t="n">
        <v>45569.44295138889</v>
      </c>
      <c r="C598" s="1" t="n">
        <v>46022</v>
      </c>
      <c r="D598" t="inlineStr">
        <is>
          <t>KALMAR LÄN</t>
        </is>
      </c>
      <c r="E598" t="inlineStr">
        <is>
          <t>VIMMERBY</t>
        </is>
      </c>
      <c r="G598" t="n">
        <v>3.9</v>
      </c>
      <c r="H598" t="n">
        <v>0</v>
      </c>
      <c r="I598" t="n">
        <v>0</v>
      </c>
      <c r="J598" t="n">
        <v>0</v>
      </c>
      <c r="K598" t="n">
        <v>0</v>
      </c>
      <c r="L598" t="n">
        <v>0</v>
      </c>
      <c r="M598" t="n">
        <v>0</v>
      </c>
      <c r="N598" t="n">
        <v>0</v>
      </c>
      <c r="O598" t="n">
        <v>0</v>
      </c>
      <c r="P598" t="n">
        <v>0</v>
      </c>
      <c r="Q598" t="n">
        <v>0</v>
      </c>
      <c r="R598" s="2" t="inlineStr"/>
    </row>
    <row r="599" ht="15" customHeight="1">
      <c r="A599" t="inlineStr">
        <is>
          <t>A 53482-2022</t>
        </is>
      </c>
      <c r="B599" s="1" t="n">
        <v>44879</v>
      </c>
      <c r="C599" s="1" t="n">
        <v>46022</v>
      </c>
      <c r="D599" t="inlineStr">
        <is>
          <t>KALMAR LÄN</t>
        </is>
      </c>
      <c r="E599" t="inlineStr">
        <is>
          <t>VIMMERBY</t>
        </is>
      </c>
      <c r="G599" t="n">
        <v>10.1</v>
      </c>
      <c r="H599" t="n">
        <v>0</v>
      </c>
      <c r="I599" t="n">
        <v>0</v>
      </c>
      <c r="J599" t="n">
        <v>0</v>
      </c>
      <c r="K599" t="n">
        <v>0</v>
      </c>
      <c r="L599" t="n">
        <v>0</v>
      </c>
      <c r="M599" t="n">
        <v>0</v>
      </c>
      <c r="N599" t="n">
        <v>0</v>
      </c>
      <c r="O599" t="n">
        <v>0</v>
      </c>
      <c r="P599" t="n">
        <v>0</v>
      </c>
      <c r="Q599" t="n">
        <v>0</v>
      </c>
      <c r="R599" s="2" t="inlineStr"/>
    </row>
    <row r="600" ht="15" customHeight="1">
      <c r="A600" t="inlineStr">
        <is>
          <t>A 61790-2025</t>
        </is>
      </c>
      <c r="B600" s="1" t="n">
        <v>46002.68768518518</v>
      </c>
      <c r="C600" s="1" t="n">
        <v>46022</v>
      </c>
      <c r="D600" t="inlineStr">
        <is>
          <t>KALMAR LÄN</t>
        </is>
      </c>
      <c r="E600" t="inlineStr">
        <is>
          <t>VIMMERBY</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27761-2024</t>
        </is>
      </c>
      <c r="B601" s="1" t="n">
        <v>45475.49018518518</v>
      </c>
      <c r="C601" s="1" t="n">
        <v>46022</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64203-2021</t>
        </is>
      </c>
      <c r="B602" s="1" t="n">
        <v>44510.60921296296</v>
      </c>
      <c r="C602" s="1" t="n">
        <v>46022</v>
      </c>
      <c r="D602" t="inlineStr">
        <is>
          <t>KALMAR LÄN</t>
        </is>
      </c>
      <c r="E602" t="inlineStr">
        <is>
          <t>VIMMERBY</t>
        </is>
      </c>
      <c r="F602" t="inlineStr">
        <is>
          <t>Övriga Aktiebolag</t>
        </is>
      </c>
      <c r="G602" t="n">
        <v>5.4</v>
      </c>
      <c r="H602" t="n">
        <v>0</v>
      </c>
      <c r="I602" t="n">
        <v>0</v>
      </c>
      <c r="J602" t="n">
        <v>0</v>
      </c>
      <c r="K602" t="n">
        <v>0</v>
      </c>
      <c r="L602" t="n">
        <v>0</v>
      </c>
      <c r="M602" t="n">
        <v>0</v>
      </c>
      <c r="N602" t="n">
        <v>0</v>
      </c>
      <c r="O602" t="n">
        <v>0</v>
      </c>
      <c r="P602" t="n">
        <v>0</v>
      </c>
      <c r="Q602" t="n">
        <v>0</v>
      </c>
      <c r="R602" s="2" t="inlineStr"/>
    </row>
    <row r="603" ht="15" customHeight="1">
      <c r="A603" t="inlineStr">
        <is>
          <t>A 53933-2025</t>
        </is>
      </c>
      <c r="B603" s="1" t="n">
        <v>45961.47650462963</v>
      </c>
      <c r="C603" s="1" t="n">
        <v>46022</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5720-2023</t>
        </is>
      </c>
      <c r="B604" s="1" t="n">
        <v>44961</v>
      </c>
      <c r="C604" s="1" t="n">
        <v>46022</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9643-2023</t>
        </is>
      </c>
      <c r="B605" s="1" t="n">
        <v>44984</v>
      </c>
      <c r="C605" s="1" t="n">
        <v>46022</v>
      </c>
      <c r="D605" t="inlineStr">
        <is>
          <t>KALMAR LÄN</t>
        </is>
      </c>
      <c r="E605" t="inlineStr">
        <is>
          <t>VIMMERBY</t>
        </is>
      </c>
      <c r="G605" t="n">
        <v>2</v>
      </c>
      <c r="H605" t="n">
        <v>0</v>
      </c>
      <c r="I605" t="n">
        <v>0</v>
      </c>
      <c r="J605" t="n">
        <v>0</v>
      </c>
      <c r="K605" t="n">
        <v>0</v>
      </c>
      <c r="L605" t="n">
        <v>0</v>
      </c>
      <c r="M605" t="n">
        <v>0</v>
      </c>
      <c r="N605" t="n">
        <v>0</v>
      </c>
      <c r="O605" t="n">
        <v>0</v>
      </c>
      <c r="P605" t="n">
        <v>0</v>
      </c>
      <c r="Q605" t="n">
        <v>0</v>
      </c>
      <c r="R605" s="2" t="inlineStr"/>
    </row>
    <row r="606" ht="15" customHeight="1">
      <c r="A606" t="inlineStr">
        <is>
          <t>A 25728-2023</t>
        </is>
      </c>
      <c r="B606" s="1" t="n">
        <v>45090.38012731481</v>
      </c>
      <c r="C606" s="1" t="n">
        <v>46022</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53788-2025</t>
        </is>
      </c>
      <c r="B607" s="1" t="n">
        <v>45960</v>
      </c>
      <c r="C607" s="1" t="n">
        <v>46022</v>
      </c>
      <c r="D607" t="inlineStr">
        <is>
          <t>KALMAR LÄN</t>
        </is>
      </c>
      <c r="E607" t="inlineStr">
        <is>
          <t>VIMMERBY</t>
        </is>
      </c>
      <c r="F607" t="inlineStr">
        <is>
          <t>Övriga statliga verk och myndigheter</t>
        </is>
      </c>
      <c r="G607" t="n">
        <v>6.3</v>
      </c>
      <c r="H607" t="n">
        <v>0</v>
      </c>
      <c r="I607" t="n">
        <v>0</v>
      </c>
      <c r="J607" t="n">
        <v>0</v>
      </c>
      <c r="K607" t="n">
        <v>0</v>
      </c>
      <c r="L607" t="n">
        <v>0</v>
      </c>
      <c r="M607" t="n">
        <v>0</v>
      </c>
      <c r="N607" t="n">
        <v>0</v>
      </c>
      <c r="O607" t="n">
        <v>0</v>
      </c>
      <c r="P607" t="n">
        <v>0</v>
      </c>
      <c r="Q607" t="n">
        <v>0</v>
      </c>
      <c r="R607" s="2" t="inlineStr"/>
    </row>
    <row r="608" ht="15" customHeight="1">
      <c r="A608" t="inlineStr">
        <is>
          <t>A 54236-2025</t>
        </is>
      </c>
      <c r="B608" s="1" t="n">
        <v>45964.62671296296</v>
      </c>
      <c r="C608" s="1" t="n">
        <v>46022</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41311-2023</t>
        </is>
      </c>
      <c r="B609" s="1" t="n">
        <v>45174</v>
      </c>
      <c r="C609" s="1" t="n">
        <v>46022</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26318-2023</t>
        </is>
      </c>
      <c r="B610" s="1" t="n">
        <v>45091.67936342592</v>
      </c>
      <c r="C610" s="1" t="n">
        <v>46022</v>
      </c>
      <c r="D610" t="inlineStr">
        <is>
          <t>KALMAR LÄN</t>
        </is>
      </c>
      <c r="E610" t="inlineStr">
        <is>
          <t>VIMMERBY</t>
        </is>
      </c>
      <c r="G610" t="n">
        <v>3.8</v>
      </c>
      <c r="H610" t="n">
        <v>0</v>
      </c>
      <c r="I610" t="n">
        <v>0</v>
      </c>
      <c r="J610" t="n">
        <v>0</v>
      </c>
      <c r="K610" t="n">
        <v>0</v>
      </c>
      <c r="L610" t="n">
        <v>0</v>
      </c>
      <c r="M610" t="n">
        <v>0</v>
      </c>
      <c r="N610" t="n">
        <v>0</v>
      </c>
      <c r="O610" t="n">
        <v>0</v>
      </c>
      <c r="P610" t="n">
        <v>0</v>
      </c>
      <c r="Q610" t="n">
        <v>0</v>
      </c>
      <c r="R610" s="2" t="inlineStr"/>
    </row>
    <row r="611" ht="15" customHeight="1">
      <c r="A611" t="inlineStr">
        <is>
          <t>A 61355-2024</t>
        </is>
      </c>
      <c r="B611" s="1" t="n">
        <v>45646.38200231481</v>
      </c>
      <c r="C611" s="1" t="n">
        <v>46022</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36802-2021</t>
        </is>
      </c>
      <c r="B612" s="1" t="n">
        <v>44392</v>
      </c>
      <c r="C612" s="1" t="n">
        <v>46022</v>
      </c>
      <c r="D612" t="inlineStr">
        <is>
          <t>KALMAR LÄN</t>
        </is>
      </c>
      <c r="E612" t="inlineStr">
        <is>
          <t>VIMMERBY</t>
        </is>
      </c>
      <c r="F612" t="inlineStr">
        <is>
          <t>Sveaskog</t>
        </is>
      </c>
      <c r="G612" t="n">
        <v>4.6</v>
      </c>
      <c r="H612" t="n">
        <v>0</v>
      </c>
      <c r="I612" t="n">
        <v>0</v>
      </c>
      <c r="J612" t="n">
        <v>0</v>
      </c>
      <c r="K612" t="n">
        <v>0</v>
      </c>
      <c r="L612" t="n">
        <v>0</v>
      </c>
      <c r="M612" t="n">
        <v>0</v>
      </c>
      <c r="N612" t="n">
        <v>0</v>
      </c>
      <c r="O612" t="n">
        <v>0</v>
      </c>
      <c r="P612" t="n">
        <v>0</v>
      </c>
      <c r="Q612" t="n">
        <v>0</v>
      </c>
      <c r="R612" s="2" t="inlineStr"/>
    </row>
    <row r="613" ht="15" customHeight="1">
      <c r="A613" t="inlineStr">
        <is>
          <t>A 54234-2025</t>
        </is>
      </c>
      <c r="B613" s="1" t="n">
        <v>45964.62486111111</v>
      </c>
      <c r="C613" s="1" t="n">
        <v>46022</v>
      </c>
      <c r="D613" t="inlineStr">
        <is>
          <t>KALMAR LÄN</t>
        </is>
      </c>
      <c r="E613" t="inlineStr">
        <is>
          <t>VIMMERBY</t>
        </is>
      </c>
      <c r="G613" t="n">
        <v>4.1</v>
      </c>
      <c r="H613" t="n">
        <v>0</v>
      </c>
      <c r="I613" t="n">
        <v>0</v>
      </c>
      <c r="J613" t="n">
        <v>0</v>
      </c>
      <c r="K613" t="n">
        <v>0</v>
      </c>
      <c r="L613" t="n">
        <v>0</v>
      </c>
      <c r="M613" t="n">
        <v>0</v>
      </c>
      <c r="N613" t="n">
        <v>0</v>
      </c>
      <c r="O613" t="n">
        <v>0</v>
      </c>
      <c r="P613" t="n">
        <v>0</v>
      </c>
      <c r="Q613" t="n">
        <v>0</v>
      </c>
      <c r="R613" s="2" t="inlineStr"/>
    </row>
    <row r="614" ht="15" customHeight="1">
      <c r="A614" t="inlineStr">
        <is>
          <t>A 38198-2024</t>
        </is>
      </c>
      <c r="B614" s="1" t="n">
        <v>45545.49508101852</v>
      </c>
      <c r="C614" s="1" t="n">
        <v>46022</v>
      </c>
      <c r="D614" t="inlineStr">
        <is>
          <t>KALMAR LÄN</t>
        </is>
      </c>
      <c r="E614" t="inlineStr">
        <is>
          <t>VIMMERBY</t>
        </is>
      </c>
      <c r="G614" t="n">
        <v>7.9</v>
      </c>
      <c r="H614" t="n">
        <v>0</v>
      </c>
      <c r="I614" t="n">
        <v>0</v>
      </c>
      <c r="J614" t="n">
        <v>0</v>
      </c>
      <c r="K614" t="n">
        <v>0</v>
      </c>
      <c r="L614" t="n">
        <v>0</v>
      </c>
      <c r="M614" t="n">
        <v>0</v>
      </c>
      <c r="N614" t="n">
        <v>0</v>
      </c>
      <c r="O614" t="n">
        <v>0</v>
      </c>
      <c r="P614" t="n">
        <v>0</v>
      </c>
      <c r="Q614" t="n">
        <v>0</v>
      </c>
      <c r="R614" s="2" t="inlineStr"/>
    </row>
    <row r="615" ht="15" customHeight="1">
      <c r="A615" t="inlineStr">
        <is>
          <t>A 9623-2024</t>
        </is>
      </c>
      <c r="B615" s="1" t="n">
        <v>45361.87975694444</v>
      </c>
      <c r="C615" s="1" t="n">
        <v>46022</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58967-2022</t>
        </is>
      </c>
      <c r="B616" s="1" t="n">
        <v>44896</v>
      </c>
      <c r="C616" s="1" t="n">
        <v>46022</v>
      </c>
      <c r="D616" t="inlineStr">
        <is>
          <t>KALMAR LÄN</t>
        </is>
      </c>
      <c r="E616" t="inlineStr">
        <is>
          <t>VIMMERBY</t>
        </is>
      </c>
      <c r="G616" t="n">
        <v>5</v>
      </c>
      <c r="H616" t="n">
        <v>0</v>
      </c>
      <c r="I616" t="n">
        <v>0</v>
      </c>
      <c r="J616" t="n">
        <v>0</v>
      </c>
      <c r="K616" t="n">
        <v>0</v>
      </c>
      <c r="L616" t="n">
        <v>0</v>
      </c>
      <c r="M616" t="n">
        <v>0</v>
      </c>
      <c r="N616" t="n">
        <v>0</v>
      </c>
      <c r="O616" t="n">
        <v>0</v>
      </c>
      <c r="P616" t="n">
        <v>0</v>
      </c>
      <c r="Q616" t="n">
        <v>0</v>
      </c>
      <c r="R616" s="2" t="inlineStr"/>
    </row>
    <row r="617" ht="15" customHeight="1">
      <c r="A617" t="inlineStr">
        <is>
          <t>A 6399-2025</t>
        </is>
      </c>
      <c r="B617" s="1" t="n">
        <v>45699.44291666667</v>
      </c>
      <c r="C617" s="1" t="n">
        <v>46022</v>
      </c>
      <c r="D617" t="inlineStr">
        <is>
          <t>KALMAR LÄN</t>
        </is>
      </c>
      <c r="E617" t="inlineStr">
        <is>
          <t>VIMMERBY</t>
        </is>
      </c>
      <c r="G617" t="n">
        <v>3.1</v>
      </c>
      <c r="H617" t="n">
        <v>0</v>
      </c>
      <c r="I617" t="n">
        <v>0</v>
      </c>
      <c r="J617" t="n">
        <v>0</v>
      </c>
      <c r="K617" t="n">
        <v>0</v>
      </c>
      <c r="L617" t="n">
        <v>0</v>
      </c>
      <c r="M617" t="n">
        <v>0</v>
      </c>
      <c r="N617" t="n">
        <v>0</v>
      </c>
      <c r="O617" t="n">
        <v>0</v>
      </c>
      <c r="P617" t="n">
        <v>0</v>
      </c>
      <c r="Q617" t="n">
        <v>0</v>
      </c>
      <c r="R617" s="2" t="inlineStr"/>
    </row>
    <row r="618" ht="15" customHeight="1">
      <c r="A618" t="inlineStr">
        <is>
          <t>A 31355-2023</t>
        </is>
      </c>
      <c r="B618" s="1" t="n">
        <v>45114.49505787037</v>
      </c>
      <c r="C618" s="1" t="n">
        <v>46022</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30400-2023</t>
        </is>
      </c>
      <c r="B619" s="1" t="n">
        <v>45111.48225694444</v>
      </c>
      <c r="C619" s="1" t="n">
        <v>46022</v>
      </c>
      <c r="D619" t="inlineStr">
        <is>
          <t>KALMAR LÄN</t>
        </is>
      </c>
      <c r="E619" t="inlineStr">
        <is>
          <t>VIMMERBY</t>
        </is>
      </c>
      <c r="G619" t="n">
        <v>2.7</v>
      </c>
      <c r="H619" t="n">
        <v>0</v>
      </c>
      <c r="I619" t="n">
        <v>0</v>
      </c>
      <c r="J619" t="n">
        <v>0</v>
      </c>
      <c r="K619" t="n">
        <v>0</v>
      </c>
      <c r="L619" t="n">
        <v>0</v>
      </c>
      <c r="M619" t="n">
        <v>0</v>
      </c>
      <c r="N619" t="n">
        <v>0</v>
      </c>
      <c r="O619" t="n">
        <v>0</v>
      </c>
      <c r="P619" t="n">
        <v>0</v>
      </c>
      <c r="Q619" t="n">
        <v>0</v>
      </c>
      <c r="R619" s="2" t="inlineStr"/>
    </row>
    <row r="620" ht="15" customHeight="1">
      <c r="A620" t="inlineStr">
        <is>
          <t>A 30404-2023</t>
        </is>
      </c>
      <c r="B620" s="1" t="n">
        <v>45111.48636574074</v>
      </c>
      <c r="C620" s="1" t="n">
        <v>46022</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27705-2023</t>
        </is>
      </c>
      <c r="B621" s="1" t="n">
        <v>45098.30535879629</v>
      </c>
      <c r="C621" s="1" t="n">
        <v>46022</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54737-2025</t>
        </is>
      </c>
      <c r="B622" s="1" t="n">
        <v>45966.56826388889</v>
      </c>
      <c r="C622" s="1" t="n">
        <v>46022</v>
      </c>
      <c r="D622" t="inlineStr">
        <is>
          <t>KALMAR LÄN</t>
        </is>
      </c>
      <c r="E622" t="inlineStr">
        <is>
          <t>VIMMERBY</t>
        </is>
      </c>
      <c r="G622" t="n">
        <v>2.1</v>
      </c>
      <c r="H622" t="n">
        <v>0</v>
      </c>
      <c r="I622" t="n">
        <v>0</v>
      </c>
      <c r="J622" t="n">
        <v>0</v>
      </c>
      <c r="K622" t="n">
        <v>0</v>
      </c>
      <c r="L622" t="n">
        <v>0</v>
      </c>
      <c r="M622" t="n">
        <v>0</v>
      </c>
      <c r="N622" t="n">
        <v>0</v>
      </c>
      <c r="O622" t="n">
        <v>0</v>
      </c>
      <c r="P622" t="n">
        <v>0</v>
      </c>
      <c r="Q622" t="n">
        <v>0</v>
      </c>
      <c r="R622" s="2" t="inlineStr"/>
    </row>
    <row r="623" ht="15" customHeight="1">
      <c r="A623" t="inlineStr">
        <is>
          <t>A 36843-2023</t>
        </is>
      </c>
      <c r="B623" s="1" t="n">
        <v>45154.49831018518</v>
      </c>
      <c r="C623" s="1" t="n">
        <v>46022</v>
      </c>
      <c r="D623" t="inlineStr">
        <is>
          <t>KALMAR LÄN</t>
        </is>
      </c>
      <c r="E623" t="inlineStr">
        <is>
          <t>VIMMERBY</t>
        </is>
      </c>
      <c r="G623" t="n">
        <v>2</v>
      </c>
      <c r="H623" t="n">
        <v>0</v>
      </c>
      <c r="I623" t="n">
        <v>0</v>
      </c>
      <c r="J623" t="n">
        <v>0</v>
      </c>
      <c r="K623" t="n">
        <v>0</v>
      </c>
      <c r="L623" t="n">
        <v>0</v>
      </c>
      <c r="M623" t="n">
        <v>0</v>
      </c>
      <c r="N623" t="n">
        <v>0</v>
      </c>
      <c r="O623" t="n">
        <v>0</v>
      </c>
      <c r="P623" t="n">
        <v>0</v>
      </c>
      <c r="Q623" t="n">
        <v>0</v>
      </c>
      <c r="R623" s="2" t="inlineStr"/>
    </row>
    <row r="624" ht="15" customHeight="1">
      <c r="A624" t="inlineStr">
        <is>
          <t>A 10785-2025</t>
        </is>
      </c>
      <c r="B624" s="1" t="n">
        <v>45722.48634259259</v>
      </c>
      <c r="C624" s="1" t="n">
        <v>46022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29017-2024</t>
        </is>
      </c>
      <c r="B625" s="1" t="n">
        <v>45481.56722222222</v>
      </c>
      <c r="C625" s="1" t="n">
        <v>46022</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23263-2024</t>
        </is>
      </c>
      <c r="B626" s="1" t="n">
        <v>45453.36854166666</v>
      </c>
      <c r="C626" s="1" t="n">
        <v>46022</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54813-2025</t>
        </is>
      </c>
      <c r="B627" s="1" t="n">
        <v>45966.64881944445</v>
      </c>
      <c r="C627" s="1" t="n">
        <v>46022</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11074-2023</t>
        </is>
      </c>
      <c r="B628" s="1" t="n">
        <v>44992.34151620371</v>
      </c>
      <c r="C628" s="1" t="n">
        <v>46022</v>
      </c>
      <c r="D628" t="inlineStr">
        <is>
          <t>KALMAR LÄN</t>
        </is>
      </c>
      <c r="E628" t="inlineStr">
        <is>
          <t>VIMMERBY</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61939-2021</t>
        </is>
      </c>
      <c r="B629" s="1" t="n">
        <v>44502</v>
      </c>
      <c r="C629" s="1" t="n">
        <v>46022</v>
      </c>
      <c r="D629" t="inlineStr">
        <is>
          <t>KALMAR LÄN</t>
        </is>
      </c>
      <c r="E629" t="inlineStr">
        <is>
          <t>VIMMERBY</t>
        </is>
      </c>
      <c r="G629" t="n">
        <v>2.7</v>
      </c>
      <c r="H629" t="n">
        <v>0</v>
      </c>
      <c r="I629" t="n">
        <v>0</v>
      </c>
      <c r="J629" t="n">
        <v>0</v>
      </c>
      <c r="K629" t="n">
        <v>0</v>
      </c>
      <c r="L629" t="n">
        <v>0</v>
      </c>
      <c r="M629" t="n">
        <v>0</v>
      </c>
      <c r="N629" t="n">
        <v>0</v>
      </c>
      <c r="O629" t="n">
        <v>0</v>
      </c>
      <c r="P629" t="n">
        <v>0</v>
      </c>
      <c r="Q629" t="n">
        <v>0</v>
      </c>
      <c r="R629" s="2" t="inlineStr"/>
    </row>
    <row r="630" ht="15" customHeight="1">
      <c r="A630" t="inlineStr">
        <is>
          <t>A 12215-2024</t>
        </is>
      </c>
      <c r="B630" s="1" t="n">
        <v>45378.32185185186</v>
      </c>
      <c r="C630" s="1" t="n">
        <v>46022</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11303-2025</t>
        </is>
      </c>
      <c r="B631" s="1" t="n">
        <v>45726.44471064815</v>
      </c>
      <c r="C631" s="1" t="n">
        <v>46022</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12033-2024</t>
        </is>
      </c>
      <c r="B632" s="1" t="n">
        <v>45377.40043981482</v>
      </c>
      <c r="C632" s="1" t="n">
        <v>46022</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51408-2023</t>
        </is>
      </c>
      <c r="B633" s="1" t="n">
        <v>45219.69356481481</v>
      </c>
      <c r="C633" s="1" t="n">
        <v>46022</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49488-2023</t>
        </is>
      </c>
      <c r="B634" s="1" t="n">
        <v>45211.55472222222</v>
      </c>
      <c r="C634" s="1" t="n">
        <v>46022</v>
      </c>
      <c r="D634" t="inlineStr">
        <is>
          <t>KALMAR LÄN</t>
        </is>
      </c>
      <c r="E634" t="inlineStr">
        <is>
          <t>VIMMERBY</t>
        </is>
      </c>
      <c r="F634" t="inlineStr">
        <is>
          <t>Sveaskog</t>
        </is>
      </c>
      <c r="G634" t="n">
        <v>6.2</v>
      </c>
      <c r="H634" t="n">
        <v>0</v>
      </c>
      <c r="I634" t="n">
        <v>0</v>
      </c>
      <c r="J634" t="n">
        <v>0</v>
      </c>
      <c r="K634" t="n">
        <v>0</v>
      </c>
      <c r="L634" t="n">
        <v>0</v>
      </c>
      <c r="M634" t="n">
        <v>0</v>
      </c>
      <c r="N634" t="n">
        <v>0</v>
      </c>
      <c r="O634" t="n">
        <v>0</v>
      </c>
      <c r="P634" t="n">
        <v>0</v>
      </c>
      <c r="Q634" t="n">
        <v>0</v>
      </c>
      <c r="R634" s="2" t="inlineStr"/>
    </row>
    <row r="635" ht="15" customHeight="1">
      <c r="A635" t="inlineStr">
        <is>
          <t>A 8410-2023</t>
        </is>
      </c>
      <c r="B635" s="1" t="n">
        <v>44977</v>
      </c>
      <c r="C635" s="1" t="n">
        <v>46022</v>
      </c>
      <c r="D635" t="inlineStr">
        <is>
          <t>KALMAR LÄN</t>
        </is>
      </c>
      <c r="E635" t="inlineStr">
        <is>
          <t>VIMMERBY</t>
        </is>
      </c>
      <c r="G635" t="n">
        <v>0.9</v>
      </c>
      <c r="H635" t="n">
        <v>0</v>
      </c>
      <c r="I635" t="n">
        <v>0</v>
      </c>
      <c r="J635" t="n">
        <v>0</v>
      </c>
      <c r="K635" t="n">
        <v>0</v>
      </c>
      <c r="L635" t="n">
        <v>0</v>
      </c>
      <c r="M635" t="n">
        <v>0</v>
      </c>
      <c r="N635" t="n">
        <v>0</v>
      </c>
      <c r="O635" t="n">
        <v>0</v>
      </c>
      <c r="P635" t="n">
        <v>0</v>
      </c>
      <c r="Q635" t="n">
        <v>0</v>
      </c>
      <c r="R635" s="2" t="inlineStr"/>
    </row>
    <row r="636" ht="15" customHeight="1">
      <c r="A636" t="inlineStr">
        <is>
          <t>A 55602-2025</t>
        </is>
      </c>
      <c r="B636" s="1" t="n">
        <v>45971</v>
      </c>
      <c r="C636" s="1" t="n">
        <v>46022</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30920-2024</t>
        </is>
      </c>
      <c r="B637" s="1" t="n">
        <v>45498.673125</v>
      </c>
      <c r="C637" s="1" t="n">
        <v>46022</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40929-2022</t>
        </is>
      </c>
      <c r="B638" s="1" t="n">
        <v>44825.4336574074</v>
      </c>
      <c r="C638" s="1" t="n">
        <v>46022</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50091-2023</t>
        </is>
      </c>
      <c r="B639" s="1" t="n">
        <v>45215.60199074074</v>
      </c>
      <c r="C639" s="1" t="n">
        <v>46022</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36008-2024</t>
        </is>
      </c>
      <c r="B640" s="1" t="n">
        <v>45533.55362268518</v>
      </c>
      <c r="C640" s="1" t="n">
        <v>46022</v>
      </c>
      <c r="D640" t="inlineStr">
        <is>
          <t>KALMAR LÄN</t>
        </is>
      </c>
      <c r="E640" t="inlineStr">
        <is>
          <t>VIMMERBY</t>
        </is>
      </c>
      <c r="G640" t="n">
        <v>3.7</v>
      </c>
      <c r="H640" t="n">
        <v>0</v>
      </c>
      <c r="I640" t="n">
        <v>0</v>
      </c>
      <c r="J640" t="n">
        <v>0</v>
      </c>
      <c r="K640" t="n">
        <v>0</v>
      </c>
      <c r="L640" t="n">
        <v>0</v>
      </c>
      <c r="M640" t="n">
        <v>0</v>
      </c>
      <c r="N640" t="n">
        <v>0</v>
      </c>
      <c r="O640" t="n">
        <v>0</v>
      </c>
      <c r="P640" t="n">
        <v>0</v>
      </c>
      <c r="Q640" t="n">
        <v>0</v>
      </c>
      <c r="R640" s="2" t="inlineStr"/>
    </row>
    <row r="641" ht="15" customHeight="1">
      <c r="A641" t="inlineStr">
        <is>
          <t>A 16622-2025</t>
        </is>
      </c>
      <c r="B641" s="1" t="n">
        <v>45754.33641203704</v>
      </c>
      <c r="C641" s="1" t="n">
        <v>46022</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17511-2024</t>
        </is>
      </c>
      <c r="B642" s="1" t="n">
        <v>45415.57682870371</v>
      </c>
      <c r="C642" s="1" t="n">
        <v>46022</v>
      </c>
      <c r="D642" t="inlineStr">
        <is>
          <t>KALMAR LÄN</t>
        </is>
      </c>
      <c r="E642" t="inlineStr">
        <is>
          <t>VIMMERBY</t>
        </is>
      </c>
      <c r="G642" t="n">
        <v>5.3</v>
      </c>
      <c r="H642" t="n">
        <v>0</v>
      </c>
      <c r="I642" t="n">
        <v>0</v>
      </c>
      <c r="J642" t="n">
        <v>0</v>
      </c>
      <c r="K642" t="n">
        <v>0</v>
      </c>
      <c r="L642" t="n">
        <v>0</v>
      </c>
      <c r="M642" t="n">
        <v>0</v>
      </c>
      <c r="N642" t="n">
        <v>0</v>
      </c>
      <c r="O642" t="n">
        <v>0</v>
      </c>
      <c r="P642" t="n">
        <v>0</v>
      </c>
      <c r="Q642" t="n">
        <v>0</v>
      </c>
      <c r="R642" s="2" t="inlineStr"/>
    </row>
    <row r="643" ht="15" customHeight="1">
      <c r="A643" t="inlineStr">
        <is>
          <t>A 43705-2023</t>
        </is>
      </c>
      <c r="B643" s="1" t="n">
        <v>45187.42854166667</v>
      </c>
      <c r="C643" s="1" t="n">
        <v>46022</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55603-2025</t>
        </is>
      </c>
      <c r="B644" s="1" t="n">
        <v>45971</v>
      </c>
      <c r="C644" s="1" t="n">
        <v>46022</v>
      </c>
      <c r="D644" t="inlineStr">
        <is>
          <t>KALMAR LÄN</t>
        </is>
      </c>
      <c r="E644" t="inlineStr">
        <is>
          <t>VIMMERBY</t>
        </is>
      </c>
      <c r="G644" t="n">
        <v>0.9</v>
      </c>
      <c r="H644" t="n">
        <v>0</v>
      </c>
      <c r="I644" t="n">
        <v>0</v>
      </c>
      <c r="J644" t="n">
        <v>0</v>
      </c>
      <c r="K644" t="n">
        <v>0</v>
      </c>
      <c r="L644" t="n">
        <v>0</v>
      </c>
      <c r="M644" t="n">
        <v>0</v>
      </c>
      <c r="N644" t="n">
        <v>0</v>
      </c>
      <c r="O644" t="n">
        <v>0</v>
      </c>
      <c r="P644" t="n">
        <v>0</v>
      </c>
      <c r="Q644" t="n">
        <v>0</v>
      </c>
      <c r="R644" s="2" t="inlineStr"/>
    </row>
    <row r="645" ht="15" customHeight="1">
      <c r="A645" t="inlineStr">
        <is>
          <t>A 55605-2025</t>
        </is>
      </c>
      <c r="B645" s="1" t="n">
        <v>45971</v>
      </c>
      <c r="C645" s="1" t="n">
        <v>46022</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55300-2021</t>
        </is>
      </c>
      <c r="B646" s="1" t="n">
        <v>44475</v>
      </c>
      <c r="C646" s="1" t="n">
        <v>46022</v>
      </c>
      <c r="D646" t="inlineStr">
        <is>
          <t>KALMAR LÄN</t>
        </is>
      </c>
      <c r="E646" t="inlineStr">
        <is>
          <t>VIMMERBY</t>
        </is>
      </c>
      <c r="G646" t="n">
        <v>3.4</v>
      </c>
      <c r="H646" t="n">
        <v>0</v>
      </c>
      <c r="I646" t="n">
        <v>0</v>
      </c>
      <c r="J646" t="n">
        <v>0</v>
      </c>
      <c r="K646" t="n">
        <v>0</v>
      </c>
      <c r="L646" t="n">
        <v>0</v>
      </c>
      <c r="M646" t="n">
        <v>0</v>
      </c>
      <c r="N646" t="n">
        <v>0</v>
      </c>
      <c r="O646" t="n">
        <v>0</v>
      </c>
      <c r="P646" t="n">
        <v>0</v>
      </c>
      <c r="Q646" t="n">
        <v>0</v>
      </c>
      <c r="R646" s="2" t="inlineStr"/>
    </row>
    <row r="647" ht="15" customHeight="1">
      <c r="A647" t="inlineStr">
        <is>
          <t>A 55385-2025</t>
        </is>
      </c>
      <c r="B647" s="1" t="n">
        <v>45971.43350694444</v>
      </c>
      <c r="C647" s="1" t="n">
        <v>46022</v>
      </c>
      <c r="D647" t="inlineStr">
        <is>
          <t>KALMAR LÄN</t>
        </is>
      </c>
      <c r="E647" t="inlineStr">
        <is>
          <t>VIMMERBY</t>
        </is>
      </c>
      <c r="G647" t="n">
        <v>5</v>
      </c>
      <c r="H647" t="n">
        <v>0</v>
      </c>
      <c r="I647" t="n">
        <v>0</v>
      </c>
      <c r="J647" t="n">
        <v>0</v>
      </c>
      <c r="K647" t="n">
        <v>0</v>
      </c>
      <c r="L647" t="n">
        <v>0</v>
      </c>
      <c r="M647" t="n">
        <v>0</v>
      </c>
      <c r="N647" t="n">
        <v>0</v>
      </c>
      <c r="O647" t="n">
        <v>0</v>
      </c>
      <c r="P647" t="n">
        <v>0</v>
      </c>
      <c r="Q647" t="n">
        <v>0</v>
      </c>
      <c r="R647" s="2" t="inlineStr"/>
    </row>
    <row r="648" ht="15" customHeight="1">
      <c r="A648" t="inlineStr">
        <is>
          <t>A 44179-2022</t>
        </is>
      </c>
      <c r="B648" s="1" t="n">
        <v>44839.4528125</v>
      </c>
      <c r="C648" s="1" t="n">
        <v>46022</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52755-2022</t>
        </is>
      </c>
      <c r="B649" s="1" t="n">
        <v>44875.27736111111</v>
      </c>
      <c r="C649" s="1" t="n">
        <v>46022</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35998-2024</t>
        </is>
      </c>
      <c r="B650" s="1" t="n">
        <v>45533.54429398148</v>
      </c>
      <c r="C650" s="1" t="n">
        <v>46022</v>
      </c>
      <c r="D650" t="inlineStr">
        <is>
          <t>KALMAR LÄN</t>
        </is>
      </c>
      <c r="E650" t="inlineStr">
        <is>
          <t>VIMMERBY</t>
        </is>
      </c>
      <c r="G650" t="n">
        <v>8.6</v>
      </c>
      <c r="H650" t="n">
        <v>0</v>
      </c>
      <c r="I650" t="n">
        <v>0</v>
      </c>
      <c r="J650" t="n">
        <v>0</v>
      </c>
      <c r="K650" t="n">
        <v>0</v>
      </c>
      <c r="L650" t="n">
        <v>0</v>
      </c>
      <c r="M650" t="n">
        <v>0</v>
      </c>
      <c r="N650" t="n">
        <v>0</v>
      </c>
      <c r="O650" t="n">
        <v>0</v>
      </c>
      <c r="P650" t="n">
        <v>0</v>
      </c>
      <c r="Q650" t="n">
        <v>0</v>
      </c>
      <c r="R650" s="2" t="inlineStr"/>
    </row>
    <row r="651" ht="15" customHeight="1">
      <c r="A651" t="inlineStr">
        <is>
          <t>A 7797-2023</t>
        </is>
      </c>
      <c r="B651" s="1" t="n">
        <v>44973.43075231482</v>
      </c>
      <c r="C651" s="1" t="n">
        <v>46022</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29351-2023</t>
        </is>
      </c>
      <c r="B652" s="1" t="n">
        <v>45106.2610300926</v>
      </c>
      <c r="C652" s="1" t="n">
        <v>46022</v>
      </c>
      <c r="D652" t="inlineStr">
        <is>
          <t>KALMAR LÄN</t>
        </is>
      </c>
      <c r="E652" t="inlineStr">
        <is>
          <t>VIMMERBY</t>
        </is>
      </c>
      <c r="G652" t="n">
        <v>0.4</v>
      </c>
      <c r="H652" t="n">
        <v>0</v>
      </c>
      <c r="I652" t="n">
        <v>0</v>
      </c>
      <c r="J652" t="n">
        <v>0</v>
      </c>
      <c r="K652" t="n">
        <v>0</v>
      </c>
      <c r="L652" t="n">
        <v>0</v>
      </c>
      <c r="M652" t="n">
        <v>0</v>
      </c>
      <c r="N652" t="n">
        <v>0</v>
      </c>
      <c r="O652" t="n">
        <v>0</v>
      </c>
      <c r="P652" t="n">
        <v>0</v>
      </c>
      <c r="Q652" t="n">
        <v>0</v>
      </c>
      <c r="R652" s="2" t="inlineStr"/>
    </row>
    <row r="653" ht="15" customHeight="1">
      <c r="A653" t="inlineStr">
        <is>
          <t>A 7630-2025</t>
        </is>
      </c>
      <c r="B653" s="1" t="n">
        <v>45705.74418981482</v>
      </c>
      <c r="C653" s="1" t="n">
        <v>46022</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1024-2024</t>
        </is>
      </c>
      <c r="B654" s="1" t="n">
        <v>45301.68237268519</v>
      </c>
      <c r="C654" s="1" t="n">
        <v>46022</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63711-2025</t>
        </is>
      </c>
      <c r="B655" s="1" t="n">
        <v>46014.62724537037</v>
      </c>
      <c r="C655" s="1" t="n">
        <v>46022</v>
      </c>
      <c r="D655" t="inlineStr">
        <is>
          <t>KALMAR LÄN</t>
        </is>
      </c>
      <c r="E655" t="inlineStr">
        <is>
          <t>VIMMERBY</t>
        </is>
      </c>
      <c r="G655" t="n">
        <v>2.1</v>
      </c>
      <c r="H655" t="n">
        <v>0</v>
      </c>
      <c r="I655" t="n">
        <v>0</v>
      </c>
      <c r="J655" t="n">
        <v>0</v>
      </c>
      <c r="K655" t="n">
        <v>0</v>
      </c>
      <c r="L655" t="n">
        <v>0</v>
      </c>
      <c r="M655" t="n">
        <v>0</v>
      </c>
      <c r="N655" t="n">
        <v>0</v>
      </c>
      <c r="O655" t="n">
        <v>0</v>
      </c>
      <c r="P655" t="n">
        <v>0</v>
      </c>
      <c r="Q655" t="n">
        <v>0</v>
      </c>
      <c r="R655" s="2" t="inlineStr"/>
    </row>
    <row r="656" ht="15" customHeight="1">
      <c r="A656" t="inlineStr">
        <is>
          <t>A 10787-2025</t>
        </is>
      </c>
      <c r="B656" s="1" t="n">
        <v>45722.48915509259</v>
      </c>
      <c r="C656" s="1" t="n">
        <v>46022</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29350-2023</t>
        </is>
      </c>
      <c r="B657" s="1" t="n">
        <v>45106</v>
      </c>
      <c r="C657" s="1" t="n">
        <v>46022</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14855-2025</t>
        </is>
      </c>
      <c r="B658" s="1" t="n">
        <v>45743.41148148148</v>
      </c>
      <c r="C658" s="1" t="n">
        <v>46022</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43601-2024</t>
        </is>
      </c>
      <c r="B659" s="1" t="n">
        <v>45569.44684027778</v>
      </c>
      <c r="C659" s="1" t="n">
        <v>46022</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35913-2023</t>
        </is>
      </c>
      <c r="B660" s="1" t="n">
        <v>45148</v>
      </c>
      <c r="C660" s="1" t="n">
        <v>46022</v>
      </c>
      <c r="D660" t="inlineStr">
        <is>
          <t>KALMAR LÄN</t>
        </is>
      </c>
      <c r="E660" t="inlineStr">
        <is>
          <t>VIMMERBY</t>
        </is>
      </c>
      <c r="G660" t="n">
        <v>6.9</v>
      </c>
      <c r="H660" t="n">
        <v>0</v>
      </c>
      <c r="I660" t="n">
        <v>0</v>
      </c>
      <c r="J660" t="n">
        <v>0</v>
      </c>
      <c r="K660" t="n">
        <v>0</v>
      </c>
      <c r="L660" t="n">
        <v>0</v>
      </c>
      <c r="M660" t="n">
        <v>0</v>
      </c>
      <c r="N660" t="n">
        <v>0</v>
      </c>
      <c r="O660" t="n">
        <v>0</v>
      </c>
      <c r="P660" t="n">
        <v>0</v>
      </c>
      <c r="Q660" t="n">
        <v>0</v>
      </c>
      <c r="R660" s="2" t="inlineStr"/>
    </row>
    <row r="661" ht="15" customHeight="1">
      <c r="A661" t="inlineStr">
        <is>
          <t>A 9624-2024</t>
        </is>
      </c>
      <c r="B661" s="1" t="n">
        <v>45361.90282407407</v>
      </c>
      <c r="C661" s="1" t="n">
        <v>46022</v>
      </c>
      <c r="D661" t="inlineStr">
        <is>
          <t>KALMAR LÄN</t>
        </is>
      </c>
      <c r="E661" t="inlineStr">
        <is>
          <t>VIMMERBY</t>
        </is>
      </c>
      <c r="G661" t="n">
        <v>3.8</v>
      </c>
      <c r="H661" t="n">
        <v>0</v>
      </c>
      <c r="I661" t="n">
        <v>0</v>
      </c>
      <c r="J661" t="n">
        <v>0</v>
      </c>
      <c r="K661" t="n">
        <v>0</v>
      </c>
      <c r="L661" t="n">
        <v>0</v>
      </c>
      <c r="M661" t="n">
        <v>0</v>
      </c>
      <c r="N661" t="n">
        <v>0</v>
      </c>
      <c r="O661" t="n">
        <v>0</v>
      </c>
      <c r="P661" t="n">
        <v>0</v>
      </c>
      <c r="Q661" t="n">
        <v>0</v>
      </c>
      <c r="R661" s="2" t="inlineStr"/>
    </row>
    <row r="662" ht="15" customHeight="1">
      <c r="A662" t="inlineStr">
        <is>
          <t>A 3938-2023</t>
        </is>
      </c>
      <c r="B662" s="1" t="n">
        <v>44952.35775462963</v>
      </c>
      <c r="C662" s="1" t="n">
        <v>46022</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39053-2024</t>
        </is>
      </c>
      <c r="B663" s="1" t="n">
        <v>45548</v>
      </c>
      <c r="C663" s="1" t="n">
        <v>46022</v>
      </c>
      <c r="D663" t="inlineStr">
        <is>
          <t>KALMAR LÄN</t>
        </is>
      </c>
      <c r="E663" t="inlineStr">
        <is>
          <t>VIMMERBY</t>
        </is>
      </c>
      <c r="G663" t="n">
        <v>5</v>
      </c>
      <c r="H663" t="n">
        <v>0</v>
      </c>
      <c r="I663" t="n">
        <v>0</v>
      </c>
      <c r="J663" t="n">
        <v>0</v>
      </c>
      <c r="K663" t="n">
        <v>0</v>
      </c>
      <c r="L663" t="n">
        <v>0</v>
      </c>
      <c r="M663" t="n">
        <v>0</v>
      </c>
      <c r="N663" t="n">
        <v>0</v>
      </c>
      <c r="O663" t="n">
        <v>0</v>
      </c>
      <c r="P663" t="n">
        <v>0</v>
      </c>
      <c r="Q663" t="n">
        <v>0</v>
      </c>
      <c r="R663" s="2" t="inlineStr"/>
    </row>
    <row r="664" ht="15" customHeight="1">
      <c r="A664" t="inlineStr">
        <is>
          <t>A 14451-2024</t>
        </is>
      </c>
      <c r="B664" s="1" t="n">
        <v>45394.50028935185</v>
      </c>
      <c r="C664" s="1" t="n">
        <v>46022</v>
      </c>
      <c r="D664" t="inlineStr">
        <is>
          <t>KALMAR LÄN</t>
        </is>
      </c>
      <c r="E664" t="inlineStr">
        <is>
          <t>VIMMERBY</t>
        </is>
      </c>
      <c r="G664" t="n">
        <v>1.9</v>
      </c>
      <c r="H664" t="n">
        <v>0</v>
      </c>
      <c r="I664" t="n">
        <v>0</v>
      </c>
      <c r="J664" t="n">
        <v>0</v>
      </c>
      <c r="K664" t="n">
        <v>0</v>
      </c>
      <c r="L664" t="n">
        <v>0</v>
      </c>
      <c r="M664" t="n">
        <v>0</v>
      </c>
      <c r="N664" t="n">
        <v>0</v>
      </c>
      <c r="O664" t="n">
        <v>0</v>
      </c>
      <c r="P664" t="n">
        <v>0</v>
      </c>
      <c r="Q664" t="n">
        <v>0</v>
      </c>
      <c r="R664" s="2" t="inlineStr"/>
    </row>
    <row r="665" ht="15" customHeight="1">
      <c r="A665" t="inlineStr">
        <is>
          <t>A 34205-2023</t>
        </is>
      </c>
      <c r="B665" s="1" t="n">
        <v>45138</v>
      </c>
      <c r="C665" s="1" t="n">
        <v>46022</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63848-2025</t>
        </is>
      </c>
      <c r="B666" s="1" t="n">
        <v>46020.44902777778</v>
      </c>
      <c r="C666" s="1" t="n">
        <v>46022</v>
      </c>
      <c r="D666" t="inlineStr">
        <is>
          <t>KALMAR LÄN</t>
        </is>
      </c>
      <c r="E666" t="inlineStr">
        <is>
          <t>VIMMERBY</t>
        </is>
      </c>
      <c r="G666" t="n">
        <v>3.4</v>
      </c>
      <c r="H666" t="n">
        <v>0</v>
      </c>
      <c r="I666" t="n">
        <v>0</v>
      </c>
      <c r="J666" t="n">
        <v>0</v>
      </c>
      <c r="K666" t="n">
        <v>0</v>
      </c>
      <c r="L666" t="n">
        <v>0</v>
      </c>
      <c r="M666" t="n">
        <v>0</v>
      </c>
      <c r="N666" t="n">
        <v>0</v>
      </c>
      <c r="O666" t="n">
        <v>0</v>
      </c>
      <c r="P666" t="n">
        <v>0</v>
      </c>
      <c r="Q666" t="n">
        <v>0</v>
      </c>
      <c r="R666" s="2" t="inlineStr"/>
    </row>
    <row r="667" ht="15" customHeight="1">
      <c r="A667" t="inlineStr">
        <is>
          <t>A 63839-2025</t>
        </is>
      </c>
      <c r="B667" s="1" t="n">
        <v>46020.41998842593</v>
      </c>
      <c r="C667" s="1" t="n">
        <v>46022</v>
      </c>
      <c r="D667" t="inlineStr">
        <is>
          <t>KALMAR LÄN</t>
        </is>
      </c>
      <c r="E667" t="inlineStr">
        <is>
          <t>VIMMERBY</t>
        </is>
      </c>
      <c r="G667" t="n">
        <v>2.9</v>
      </c>
      <c r="H667" t="n">
        <v>0</v>
      </c>
      <c r="I667" t="n">
        <v>0</v>
      </c>
      <c r="J667" t="n">
        <v>0</v>
      </c>
      <c r="K667" t="n">
        <v>0</v>
      </c>
      <c r="L667" t="n">
        <v>0</v>
      </c>
      <c r="M667" t="n">
        <v>0</v>
      </c>
      <c r="N667" t="n">
        <v>0</v>
      </c>
      <c r="O667" t="n">
        <v>0</v>
      </c>
      <c r="P667" t="n">
        <v>0</v>
      </c>
      <c r="Q667" t="n">
        <v>0</v>
      </c>
      <c r="R667" s="2" t="inlineStr"/>
    </row>
    <row r="668" ht="15" customHeight="1">
      <c r="A668" t="inlineStr">
        <is>
          <t>A 63762-2025</t>
        </is>
      </c>
      <c r="B668" s="1" t="n">
        <v>46018.67197916667</v>
      </c>
      <c r="C668" s="1" t="n">
        <v>46022</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63845-2025</t>
        </is>
      </c>
      <c r="B669" s="1" t="n">
        <v>46020.43715277778</v>
      </c>
      <c r="C669" s="1" t="n">
        <v>46022</v>
      </c>
      <c r="D669" t="inlineStr">
        <is>
          <t>KALMAR LÄN</t>
        </is>
      </c>
      <c r="E669" t="inlineStr">
        <is>
          <t>VIMMERBY</t>
        </is>
      </c>
      <c r="G669" t="n">
        <v>3.8</v>
      </c>
      <c r="H669" t="n">
        <v>0</v>
      </c>
      <c r="I669" t="n">
        <v>0</v>
      </c>
      <c r="J669" t="n">
        <v>0</v>
      </c>
      <c r="K669" t="n">
        <v>0</v>
      </c>
      <c r="L669" t="n">
        <v>0</v>
      </c>
      <c r="M669" t="n">
        <v>0</v>
      </c>
      <c r="N669" t="n">
        <v>0</v>
      </c>
      <c r="O669" t="n">
        <v>0</v>
      </c>
      <c r="P669" t="n">
        <v>0</v>
      </c>
      <c r="Q669" t="n">
        <v>0</v>
      </c>
      <c r="R669" s="2" t="inlineStr"/>
    </row>
    <row r="670" ht="15" customHeight="1">
      <c r="A670" t="inlineStr">
        <is>
          <t>A 3268-2024</t>
        </is>
      </c>
      <c r="B670" s="1" t="n">
        <v>45317</v>
      </c>
      <c r="C670" s="1" t="n">
        <v>46022</v>
      </c>
      <c r="D670" t="inlineStr">
        <is>
          <t>KALMAR LÄN</t>
        </is>
      </c>
      <c r="E670" t="inlineStr">
        <is>
          <t>VIMMERBY</t>
        </is>
      </c>
      <c r="F670" t="inlineStr">
        <is>
          <t>Övriga Aktiebolag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12819-2024</t>
        </is>
      </c>
      <c r="B671" s="1" t="n">
        <v>45384.66917824074</v>
      </c>
      <c r="C671" s="1" t="n">
        <v>46022</v>
      </c>
      <c r="D671" t="inlineStr">
        <is>
          <t>KALMAR LÄN</t>
        </is>
      </c>
      <c r="E671" t="inlineStr">
        <is>
          <t>VIMMERBY</t>
        </is>
      </c>
      <c r="G671" t="n">
        <v>5.1</v>
      </c>
      <c r="H671" t="n">
        <v>0</v>
      </c>
      <c r="I671" t="n">
        <v>0</v>
      </c>
      <c r="J671" t="n">
        <v>0</v>
      </c>
      <c r="K671" t="n">
        <v>0</v>
      </c>
      <c r="L671" t="n">
        <v>0</v>
      </c>
      <c r="M671" t="n">
        <v>0</v>
      </c>
      <c r="N671" t="n">
        <v>0</v>
      </c>
      <c r="O671" t="n">
        <v>0</v>
      </c>
      <c r="P671" t="n">
        <v>0</v>
      </c>
      <c r="Q671" t="n">
        <v>0</v>
      </c>
      <c r="R671" s="2" t="inlineStr"/>
    </row>
    <row r="672" ht="15" customHeight="1">
      <c r="A672" t="inlineStr">
        <is>
          <t>A 6214-2025</t>
        </is>
      </c>
      <c r="B672" s="1" t="n">
        <v>45698.51711805556</v>
      </c>
      <c r="C672" s="1" t="n">
        <v>46022</v>
      </c>
      <c r="D672" t="inlineStr">
        <is>
          <t>KALMAR LÄN</t>
        </is>
      </c>
      <c r="E672" t="inlineStr">
        <is>
          <t>VIMMERBY</t>
        </is>
      </c>
      <c r="G672" t="n">
        <v>1.2</v>
      </c>
      <c r="H672" t="n">
        <v>0</v>
      </c>
      <c r="I672" t="n">
        <v>0</v>
      </c>
      <c r="J672" t="n">
        <v>0</v>
      </c>
      <c r="K672" t="n">
        <v>0</v>
      </c>
      <c r="L672" t="n">
        <v>0</v>
      </c>
      <c r="M672" t="n">
        <v>0</v>
      </c>
      <c r="N672" t="n">
        <v>0</v>
      </c>
      <c r="O672" t="n">
        <v>0</v>
      </c>
      <c r="P672" t="n">
        <v>0</v>
      </c>
      <c r="Q672" t="n">
        <v>0</v>
      </c>
      <c r="R672" s="2" t="inlineStr"/>
    </row>
    <row r="673" ht="15" customHeight="1">
      <c r="A673" t="inlineStr">
        <is>
          <t>A 32569-2024</t>
        </is>
      </c>
      <c r="B673" s="1" t="n">
        <v>45513.55840277778</v>
      </c>
      <c r="C673" s="1" t="n">
        <v>46022</v>
      </c>
      <c r="D673" t="inlineStr">
        <is>
          <t>KALMAR LÄN</t>
        </is>
      </c>
      <c r="E673" t="inlineStr">
        <is>
          <t>VIMMERBY</t>
        </is>
      </c>
      <c r="G673" t="n">
        <v>3.7</v>
      </c>
      <c r="H673" t="n">
        <v>0</v>
      </c>
      <c r="I673" t="n">
        <v>0</v>
      </c>
      <c r="J673" t="n">
        <v>0</v>
      </c>
      <c r="K673" t="n">
        <v>0</v>
      </c>
      <c r="L673" t="n">
        <v>0</v>
      </c>
      <c r="M673" t="n">
        <v>0</v>
      </c>
      <c r="N673" t="n">
        <v>0</v>
      </c>
      <c r="O673" t="n">
        <v>0</v>
      </c>
      <c r="P673" t="n">
        <v>0</v>
      </c>
      <c r="Q673" t="n">
        <v>0</v>
      </c>
      <c r="R673" s="2" t="inlineStr"/>
    </row>
    <row r="674" ht="15" customHeight="1">
      <c r="A674" t="inlineStr">
        <is>
          <t>A 32575-2024</t>
        </is>
      </c>
      <c r="B674" s="1" t="n">
        <v>45513.56527777778</v>
      </c>
      <c r="C674" s="1" t="n">
        <v>46022</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63758-2025</t>
        </is>
      </c>
      <c r="B675" s="1" t="n">
        <v>46018.46483796297</v>
      </c>
      <c r="C675" s="1" t="n">
        <v>46022</v>
      </c>
      <c r="D675" t="inlineStr">
        <is>
          <t>KALMAR LÄN</t>
        </is>
      </c>
      <c r="E675" t="inlineStr">
        <is>
          <t>VIMMERBY</t>
        </is>
      </c>
      <c r="G675" t="n">
        <v>0.6</v>
      </c>
      <c r="H675" t="n">
        <v>0</v>
      </c>
      <c r="I675" t="n">
        <v>0</v>
      </c>
      <c r="J675" t="n">
        <v>0</v>
      </c>
      <c r="K675" t="n">
        <v>0</v>
      </c>
      <c r="L675" t="n">
        <v>0</v>
      </c>
      <c r="M675" t="n">
        <v>0</v>
      </c>
      <c r="N675" t="n">
        <v>0</v>
      </c>
      <c r="O675" t="n">
        <v>0</v>
      </c>
      <c r="P675" t="n">
        <v>0</v>
      </c>
      <c r="Q675" t="n">
        <v>0</v>
      </c>
      <c r="R675" s="2" t="inlineStr"/>
    </row>
    <row r="676" ht="15" customHeight="1">
      <c r="A676" t="inlineStr">
        <is>
          <t>A 59300-2024</t>
        </is>
      </c>
      <c r="B676" s="1" t="n">
        <v>45637.66542824074</v>
      </c>
      <c r="C676" s="1" t="n">
        <v>46022</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59768-2024</t>
        </is>
      </c>
      <c r="B677" s="1" t="n">
        <v>45639.56185185185</v>
      </c>
      <c r="C677" s="1" t="n">
        <v>46022</v>
      </c>
      <c r="D677" t="inlineStr">
        <is>
          <t>KALMAR LÄN</t>
        </is>
      </c>
      <c r="E677" t="inlineStr">
        <is>
          <t>VIMMERBY</t>
        </is>
      </c>
      <c r="G677" t="n">
        <v>5.9</v>
      </c>
      <c r="H677" t="n">
        <v>0</v>
      </c>
      <c r="I677" t="n">
        <v>0</v>
      </c>
      <c r="J677" t="n">
        <v>0</v>
      </c>
      <c r="K677" t="n">
        <v>0</v>
      </c>
      <c r="L677" t="n">
        <v>0</v>
      </c>
      <c r="M677" t="n">
        <v>0</v>
      </c>
      <c r="N677" t="n">
        <v>0</v>
      </c>
      <c r="O677" t="n">
        <v>0</v>
      </c>
      <c r="P677" t="n">
        <v>0</v>
      </c>
      <c r="Q677" t="n">
        <v>0</v>
      </c>
      <c r="R677" s="2" t="inlineStr"/>
    </row>
    <row r="678" ht="15" customHeight="1">
      <c r="A678" t="inlineStr">
        <is>
          <t>A 36526-2023</t>
        </is>
      </c>
      <c r="B678" s="1" t="n">
        <v>45153.32778935185</v>
      </c>
      <c r="C678" s="1" t="n">
        <v>46022</v>
      </c>
      <c r="D678" t="inlineStr">
        <is>
          <t>KALMAR LÄN</t>
        </is>
      </c>
      <c r="E678" t="inlineStr">
        <is>
          <t>VIMMERBY</t>
        </is>
      </c>
      <c r="G678" t="n">
        <v>2.7</v>
      </c>
      <c r="H678" t="n">
        <v>0</v>
      </c>
      <c r="I678" t="n">
        <v>0</v>
      </c>
      <c r="J678" t="n">
        <v>0</v>
      </c>
      <c r="K678" t="n">
        <v>0</v>
      </c>
      <c r="L678" t="n">
        <v>0</v>
      </c>
      <c r="M678" t="n">
        <v>0</v>
      </c>
      <c r="N678" t="n">
        <v>0</v>
      </c>
      <c r="O678" t="n">
        <v>0</v>
      </c>
      <c r="P678" t="n">
        <v>0</v>
      </c>
      <c r="Q678" t="n">
        <v>0</v>
      </c>
      <c r="R678" s="2" t="inlineStr"/>
    </row>
    <row r="679" ht="15" customHeight="1">
      <c r="A679" t="inlineStr">
        <is>
          <t>A 58728-2024</t>
        </is>
      </c>
      <c r="B679" s="1" t="n">
        <v>45635.66695601852</v>
      </c>
      <c r="C679" s="1" t="n">
        <v>46022</v>
      </c>
      <c r="D679" t="inlineStr">
        <is>
          <t>KALMAR LÄN</t>
        </is>
      </c>
      <c r="E679" t="inlineStr">
        <is>
          <t>VIMMERBY</t>
        </is>
      </c>
      <c r="G679" t="n">
        <v>0.4</v>
      </c>
      <c r="H679" t="n">
        <v>0</v>
      </c>
      <c r="I679" t="n">
        <v>0</v>
      </c>
      <c r="J679" t="n">
        <v>0</v>
      </c>
      <c r="K679" t="n">
        <v>0</v>
      </c>
      <c r="L679" t="n">
        <v>0</v>
      </c>
      <c r="M679" t="n">
        <v>0</v>
      </c>
      <c r="N679" t="n">
        <v>0</v>
      </c>
      <c r="O679" t="n">
        <v>0</v>
      </c>
      <c r="P679" t="n">
        <v>0</v>
      </c>
      <c r="Q679" t="n">
        <v>0</v>
      </c>
      <c r="R679" s="2" t="inlineStr"/>
    </row>
    <row r="680" ht="15" customHeight="1">
      <c r="A680" t="inlineStr">
        <is>
          <t>A 49474-2023</t>
        </is>
      </c>
      <c r="B680" s="1" t="n">
        <v>45211.541875</v>
      </c>
      <c r="C680" s="1" t="n">
        <v>46022</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57682-2022</t>
        </is>
      </c>
      <c r="B681" s="1" t="n">
        <v>44890</v>
      </c>
      <c r="C681" s="1" t="n">
        <v>46022</v>
      </c>
      <c r="D681" t="inlineStr">
        <is>
          <t>KALMAR LÄN</t>
        </is>
      </c>
      <c r="E681" t="inlineStr">
        <is>
          <t>VIMMERBY</t>
        </is>
      </c>
      <c r="G681" t="n">
        <v>1.5</v>
      </c>
      <c r="H681" t="n">
        <v>0</v>
      </c>
      <c r="I681" t="n">
        <v>0</v>
      </c>
      <c r="J681" t="n">
        <v>0</v>
      </c>
      <c r="K681" t="n">
        <v>0</v>
      </c>
      <c r="L681" t="n">
        <v>0</v>
      </c>
      <c r="M681" t="n">
        <v>0</v>
      </c>
      <c r="N681" t="n">
        <v>0</v>
      </c>
      <c r="O681" t="n">
        <v>0</v>
      </c>
      <c r="P681" t="n">
        <v>0</v>
      </c>
      <c r="Q681" t="n">
        <v>0</v>
      </c>
      <c r="R681" s="2" t="inlineStr"/>
    </row>
    <row r="682" ht="15" customHeight="1">
      <c r="A682" t="inlineStr">
        <is>
          <t>A 14220-2021</t>
        </is>
      </c>
      <c r="B682" s="1" t="n">
        <v>44278.54855324074</v>
      </c>
      <c r="C682" s="1" t="n">
        <v>46022</v>
      </c>
      <c r="D682" t="inlineStr">
        <is>
          <t>KALMAR LÄN</t>
        </is>
      </c>
      <c r="E682" t="inlineStr">
        <is>
          <t>VIMMERBY</t>
        </is>
      </c>
      <c r="G682" t="n">
        <v>0.3</v>
      </c>
      <c r="H682" t="n">
        <v>0</v>
      </c>
      <c r="I682" t="n">
        <v>0</v>
      </c>
      <c r="J682" t="n">
        <v>0</v>
      </c>
      <c r="K682" t="n">
        <v>0</v>
      </c>
      <c r="L682" t="n">
        <v>0</v>
      </c>
      <c r="M682" t="n">
        <v>0</v>
      </c>
      <c r="N682" t="n">
        <v>0</v>
      </c>
      <c r="O682" t="n">
        <v>0</v>
      </c>
      <c r="P682" t="n">
        <v>0</v>
      </c>
      <c r="Q682" t="n">
        <v>0</v>
      </c>
      <c r="R682" s="2" t="inlineStr"/>
    </row>
    <row r="683" ht="15" customHeight="1">
      <c r="A683" t="inlineStr">
        <is>
          <t>A 63950-2023</t>
        </is>
      </c>
      <c r="B683" s="1" t="n">
        <v>45278</v>
      </c>
      <c r="C683" s="1" t="n">
        <v>46022</v>
      </c>
      <c r="D683" t="inlineStr">
        <is>
          <t>KALMAR LÄN</t>
        </is>
      </c>
      <c r="E683" t="inlineStr">
        <is>
          <t>VIMMERBY</t>
        </is>
      </c>
      <c r="F683" t="inlineStr">
        <is>
          <t>Kyrkan</t>
        </is>
      </c>
      <c r="G683" t="n">
        <v>2.7</v>
      </c>
      <c r="H683" t="n">
        <v>0</v>
      </c>
      <c r="I683" t="n">
        <v>0</v>
      </c>
      <c r="J683" t="n">
        <v>0</v>
      </c>
      <c r="K683" t="n">
        <v>0</v>
      </c>
      <c r="L683" t="n">
        <v>0</v>
      </c>
      <c r="M683" t="n">
        <v>0</v>
      </c>
      <c r="N683" t="n">
        <v>0</v>
      </c>
      <c r="O683" t="n">
        <v>0</v>
      </c>
      <c r="P683" t="n">
        <v>0</v>
      </c>
      <c r="Q683" t="n">
        <v>0</v>
      </c>
      <c r="R683" s="2" t="inlineStr"/>
    </row>
    <row r="684" ht="15" customHeight="1">
      <c r="A684" t="inlineStr">
        <is>
          <t>A 16516-2023</t>
        </is>
      </c>
      <c r="B684" s="1" t="n">
        <v>45029</v>
      </c>
      <c r="C684" s="1" t="n">
        <v>46022</v>
      </c>
      <c r="D684" t="inlineStr">
        <is>
          <t>KALMAR LÄN</t>
        </is>
      </c>
      <c r="E684" t="inlineStr">
        <is>
          <t>VIMMERBY</t>
        </is>
      </c>
      <c r="G684" t="n">
        <v>4.3</v>
      </c>
      <c r="H684" t="n">
        <v>0</v>
      </c>
      <c r="I684" t="n">
        <v>0</v>
      </c>
      <c r="J684" t="n">
        <v>0</v>
      </c>
      <c r="K684" t="n">
        <v>0</v>
      </c>
      <c r="L684" t="n">
        <v>0</v>
      </c>
      <c r="M684" t="n">
        <v>0</v>
      </c>
      <c r="N684" t="n">
        <v>0</v>
      </c>
      <c r="O684" t="n">
        <v>0</v>
      </c>
      <c r="P684" t="n">
        <v>0</v>
      </c>
      <c r="Q684" t="n">
        <v>0</v>
      </c>
      <c r="R684" s="2" t="inlineStr"/>
    </row>
    <row r="685" ht="15" customHeight="1">
      <c r="A685" t="inlineStr">
        <is>
          <t>A 47842-2024</t>
        </is>
      </c>
      <c r="B685" s="1" t="n">
        <v>45588.65545138889</v>
      </c>
      <c r="C685" s="1" t="n">
        <v>46022</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6408-2025</t>
        </is>
      </c>
      <c r="B686" s="1" t="n">
        <v>45699.45671296296</v>
      </c>
      <c r="C686" s="1" t="n">
        <v>46022</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25109-2023</t>
        </is>
      </c>
      <c r="B687" s="1" t="n">
        <v>45086</v>
      </c>
      <c r="C687" s="1" t="n">
        <v>46022</v>
      </c>
      <c r="D687" t="inlineStr">
        <is>
          <t>KALMAR LÄN</t>
        </is>
      </c>
      <c r="E687" t="inlineStr">
        <is>
          <t>VIMMERBY</t>
        </is>
      </c>
      <c r="G687" t="n">
        <v>1.5</v>
      </c>
      <c r="H687" t="n">
        <v>0</v>
      </c>
      <c r="I687" t="n">
        <v>0</v>
      </c>
      <c r="J687" t="n">
        <v>0</v>
      </c>
      <c r="K687" t="n">
        <v>0</v>
      </c>
      <c r="L687" t="n">
        <v>0</v>
      </c>
      <c r="M687" t="n">
        <v>0</v>
      </c>
      <c r="N687" t="n">
        <v>0</v>
      </c>
      <c r="O687" t="n">
        <v>0</v>
      </c>
      <c r="P687" t="n">
        <v>0</v>
      </c>
      <c r="Q687" t="n">
        <v>0</v>
      </c>
      <c r="R687" s="2" t="inlineStr"/>
    </row>
    <row r="688" ht="15" customHeight="1">
      <c r="A688" t="inlineStr">
        <is>
          <t>A 33380-2023</t>
        </is>
      </c>
      <c r="B688" s="1" t="n">
        <v>45128</v>
      </c>
      <c r="C688" s="1" t="n">
        <v>46022</v>
      </c>
      <c r="D688" t="inlineStr">
        <is>
          <t>KALMAR LÄN</t>
        </is>
      </c>
      <c r="E688" t="inlineStr">
        <is>
          <t>VIMMERBY</t>
        </is>
      </c>
      <c r="G688" t="n">
        <v>5.2</v>
      </c>
      <c r="H688" t="n">
        <v>0</v>
      </c>
      <c r="I688" t="n">
        <v>0</v>
      </c>
      <c r="J688" t="n">
        <v>0</v>
      </c>
      <c r="K688" t="n">
        <v>0</v>
      </c>
      <c r="L688" t="n">
        <v>0</v>
      </c>
      <c r="M688" t="n">
        <v>0</v>
      </c>
      <c r="N688" t="n">
        <v>0</v>
      </c>
      <c r="O688" t="n">
        <v>0</v>
      </c>
      <c r="P688" t="n">
        <v>0</v>
      </c>
      <c r="Q688" t="n">
        <v>0</v>
      </c>
      <c r="R688" s="2" t="inlineStr"/>
    </row>
    <row r="689" ht="15" customHeight="1">
      <c r="A689" t="inlineStr">
        <is>
          <t>A 32639-2023</t>
        </is>
      </c>
      <c r="B689" s="1" t="n">
        <v>45121.5965162037</v>
      </c>
      <c r="C689" s="1" t="n">
        <v>46022</v>
      </c>
      <c r="D689" t="inlineStr">
        <is>
          <t>KALMAR LÄN</t>
        </is>
      </c>
      <c r="E689" t="inlineStr">
        <is>
          <t>VIMMERBY</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32642-2023</t>
        </is>
      </c>
      <c r="B690" s="1" t="n">
        <v>45121.59954861111</v>
      </c>
      <c r="C690" s="1" t="n">
        <v>46022</v>
      </c>
      <c r="D690" t="inlineStr">
        <is>
          <t>KALMAR LÄN</t>
        </is>
      </c>
      <c r="E690" t="inlineStr">
        <is>
          <t>VIMMERBY</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32651-2023</t>
        </is>
      </c>
      <c r="B691" s="1" t="n">
        <v>45121.6096875</v>
      </c>
      <c r="C691" s="1" t="n">
        <v>46022</v>
      </c>
      <c r="D691" t="inlineStr">
        <is>
          <t>KALMAR LÄN</t>
        </is>
      </c>
      <c r="E691" t="inlineStr">
        <is>
          <t>VIMMERBY</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11928-2022</t>
        </is>
      </c>
      <c r="B692" s="1" t="n">
        <v>44635</v>
      </c>
      <c r="C692" s="1" t="n">
        <v>46022</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7068-2024</t>
        </is>
      </c>
      <c r="B693" s="1" t="n">
        <v>45343.68038194445</v>
      </c>
      <c r="C693" s="1" t="n">
        <v>46022</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46234-2024</t>
        </is>
      </c>
      <c r="B694" s="1" t="n">
        <v>45581.57958333333</v>
      </c>
      <c r="C694" s="1" t="n">
        <v>46022</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37187-2024</t>
        </is>
      </c>
      <c r="B695" s="1" t="n">
        <v>45539.65212962963</v>
      </c>
      <c r="C695" s="1" t="n">
        <v>46022</v>
      </c>
      <c r="D695" t="inlineStr">
        <is>
          <t>KALMAR LÄN</t>
        </is>
      </c>
      <c r="E695" t="inlineStr">
        <is>
          <t>VIMMERBY</t>
        </is>
      </c>
      <c r="G695" t="n">
        <v>2.7</v>
      </c>
      <c r="H695" t="n">
        <v>0</v>
      </c>
      <c r="I695" t="n">
        <v>0</v>
      </c>
      <c r="J695" t="n">
        <v>0</v>
      </c>
      <c r="K695" t="n">
        <v>0</v>
      </c>
      <c r="L695" t="n">
        <v>0</v>
      </c>
      <c r="M695" t="n">
        <v>0</v>
      </c>
      <c r="N695" t="n">
        <v>0</v>
      </c>
      <c r="O695" t="n">
        <v>0</v>
      </c>
      <c r="P695" t="n">
        <v>0</v>
      </c>
      <c r="Q695" t="n">
        <v>0</v>
      </c>
      <c r="R695" s="2" t="inlineStr"/>
    </row>
    <row r="696" ht="15" customHeight="1">
      <c r="A696" t="inlineStr">
        <is>
          <t>A 1021-2024</t>
        </is>
      </c>
      <c r="B696" s="1" t="n">
        <v>45301.67736111111</v>
      </c>
      <c r="C696" s="1" t="n">
        <v>46022</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72701-2021</t>
        </is>
      </c>
      <c r="B697" s="1" t="n">
        <v>44546</v>
      </c>
      <c r="C697" s="1" t="n">
        <v>46022</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19111-2025</t>
        </is>
      </c>
      <c r="B698" s="1" t="n">
        <v>45768.65611111111</v>
      </c>
      <c r="C698" s="1" t="n">
        <v>46022</v>
      </c>
      <c r="D698" t="inlineStr">
        <is>
          <t>KALMAR LÄN</t>
        </is>
      </c>
      <c r="E698" t="inlineStr">
        <is>
          <t>VIMMERBY</t>
        </is>
      </c>
      <c r="G698" t="n">
        <v>6.2</v>
      </c>
      <c r="H698" t="n">
        <v>0</v>
      </c>
      <c r="I698" t="n">
        <v>0</v>
      </c>
      <c r="J698" t="n">
        <v>0</v>
      </c>
      <c r="K698" t="n">
        <v>0</v>
      </c>
      <c r="L698" t="n">
        <v>0</v>
      </c>
      <c r="M698" t="n">
        <v>0</v>
      </c>
      <c r="N698" t="n">
        <v>0</v>
      </c>
      <c r="O698" t="n">
        <v>0</v>
      </c>
      <c r="P698" t="n">
        <v>0</v>
      </c>
      <c r="Q698" t="n">
        <v>0</v>
      </c>
      <c r="R698" s="2" t="inlineStr"/>
    </row>
    <row r="699" ht="15" customHeight="1">
      <c r="A699" t="inlineStr">
        <is>
          <t>A 33374-2021</t>
        </is>
      </c>
      <c r="B699" s="1" t="n">
        <v>44377</v>
      </c>
      <c r="C699" s="1" t="n">
        <v>46022</v>
      </c>
      <c r="D699" t="inlineStr">
        <is>
          <t>KALMAR LÄN</t>
        </is>
      </c>
      <c r="E699" t="inlineStr">
        <is>
          <t>VIMMERBY</t>
        </is>
      </c>
      <c r="G699" t="n">
        <v>3.3</v>
      </c>
      <c r="H699" t="n">
        <v>0</v>
      </c>
      <c r="I699" t="n">
        <v>0</v>
      </c>
      <c r="J699" t="n">
        <v>0</v>
      </c>
      <c r="K699" t="n">
        <v>0</v>
      </c>
      <c r="L699" t="n">
        <v>0</v>
      </c>
      <c r="M699" t="n">
        <v>0</v>
      </c>
      <c r="N699" t="n">
        <v>0</v>
      </c>
      <c r="O699" t="n">
        <v>0</v>
      </c>
      <c r="P699" t="n">
        <v>0</v>
      </c>
      <c r="Q699" t="n">
        <v>0</v>
      </c>
      <c r="R699" s="2" t="inlineStr"/>
    </row>
    <row r="700" ht="15" customHeight="1">
      <c r="A700" t="inlineStr">
        <is>
          <t>A 10807-2024</t>
        </is>
      </c>
      <c r="B700" s="1" t="n">
        <v>45369.62780092593</v>
      </c>
      <c r="C700" s="1" t="n">
        <v>46022</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33359-2021</t>
        </is>
      </c>
      <c r="B701" s="1" t="n">
        <v>44377.49684027778</v>
      </c>
      <c r="C701" s="1" t="n">
        <v>46022</v>
      </c>
      <c r="D701" t="inlineStr">
        <is>
          <t>KALMAR LÄN</t>
        </is>
      </c>
      <c r="E701" t="inlineStr">
        <is>
          <t>VIMMERBY</t>
        </is>
      </c>
      <c r="F701" t="inlineStr">
        <is>
          <t>Kommuner</t>
        </is>
      </c>
      <c r="G701" t="n">
        <v>8</v>
      </c>
      <c r="H701" t="n">
        <v>0</v>
      </c>
      <c r="I701" t="n">
        <v>0</v>
      </c>
      <c r="J701" t="n">
        <v>0</v>
      </c>
      <c r="K701" t="n">
        <v>0</v>
      </c>
      <c r="L701" t="n">
        <v>0</v>
      </c>
      <c r="M701" t="n">
        <v>0</v>
      </c>
      <c r="N701" t="n">
        <v>0</v>
      </c>
      <c r="O701" t="n">
        <v>0</v>
      </c>
      <c r="P701" t="n">
        <v>0</v>
      </c>
      <c r="Q701" t="n">
        <v>0</v>
      </c>
      <c r="R701" s="2" t="inlineStr"/>
    </row>
    <row r="702" ht="15" customHeight="1">
      <c r="A702" t="inlineStr">
        <is>
          <t>A 34588-2024</t>
        </is>
      </c>
      <c r="B702" s="1" t="n">
        <v>45526.3865625</v>
      </c>
      <c r="C702" s="1" t="n">
        <v>46022</v>
      </c>
      <c r="D702" t="inlineStr">
        <is>
          <t>KALMAR LÄN</t>
        </is>
      </c>
      <c r="E702" t="inlineStr">
        <is>
          <t>VIMMERBY</t>
        </is>
      </c>
      <c r="F702" t="inlineStr">
        <is>
          <t>Övriga Aktiebolag</t>
        </is>
      </c>
      <c r="G702" t="n">
        <v>3.3</v>
      </c>
      <c r="H702" t="n">
        <v>0</v>
      </c>
      <c r="I702" t="n">
        <v>0</v>
      </c>
      <c r="J702" t="n">
        <v>0</v>
      </c>
      <c r="K702" t="n">
        <v>0</v>
      </c>
      <c r="L702" t="n">
        <v>0</v>
      </c>
      <c r="M702" t="n">
        <v>0</v>
      </c>
      <c r="N702" t="n">
        <v>0</v>
      </c>
      <c r="O702" t="n">
        <v>0</v>
      </c>
      <c r="P702" t="n">
        <v>0</v>
      </c>
      <c r="Q702" t="n">
        <v>0</v>
      </c>
      <c r="R702" s="2" t="inlineStr"/>
    </row>
    <row r="703" ht="15" customHeight="1">
      <c r="A703" t="inlineStr">
        <is>
          <t>A 17084-2025</t>
        </is>
      </c>
      <c r="B703" s="1" t="n">
        <v>45755.64450231481</v>
      </c>
      <c r="C703" s="1" t="n">
        <v>46022</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33161-2024</t>
        </is>
      </c>
      <c r="B704" s="1" t="n">
        <v>45518.40657407408</v>
      </c>
      <c r="C704" s="1" t="n">
        <v>46022</v>
      </c>
      <c r="D704" t="inlineStr">
        <is>
          <t>KALMAR LÄN</t>
        </is>
      </c>
      <c r="E704" t="inlineStr">
        <is>
          <t>VIMMERBY</t>
        </is>
      </c>
      <c r="G704" t="n">
        <v>4.7</v>
      </c>
      <c r="H704" t="n">
        <v>0</v>
      </c>
      <c r="I704" t="n">
        <v>0</v>
      </c>
      <c r="J704" t="n">
        <v>0</v>
      </c>
      <c r="K704" t="n">
        <v>0</v>
      </c>
      <c r="L704" t="n">
        <v>0</v>
      </c>
      <c r="M704" t="n">
        <v>0</v>
      </c>
      <c r="N704" t="n">
        <v>0</v>
      </c>
      <c r="O704" t="n">
        <v>0</v>
      </c>
      <c r="P704" t="n">
        <v>0</v>
      </c>
      <c r="Q704" t="n">
        <v>0</v>
      </c>
      <c r="R704" s="2" t="inlineStr"/>
    </row>
    <row r="705" ht="15" customHeight="1">
      <c r="A705" t="inlineStr">
        <is>
          <t>A 14359-2025</t>
        </is>
      </c>
      <c r="B705" s="1" t="n">
        <v>45741.37270833334</v>
      </c>
      <c r="C705" s="1" t="n">
        <v>46022</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7075-2021</t>
        </is>
      </c>
      <c r="B706" s="1" t="n">
        <v>44237</v>
      </c>
      <c r="C706" s="1" t="n">
        <v>46022</v>
      </c>
      <c r="D706" t="inlineStr">
        <is>
          <t>KALMAR LÄN</t>
        </is>
      </c>
      <c r="E706" t="inlineStr">
        <is>
          <t>VIMMERBY</t>
        </is>
      </c>
      <c r="G706" t="n">
        <v>3.6</v>
      </c>
      <c r="H706" t="n">
        <v>0</v>
      </c>
      <c r="I706" t="n">
        <v>0</v>
      </c>
      <c r="J706" t="n">
        <v>0</v>
      </c>
      <c r="K706" t="n">
        <v>0</v>
      </c>
      <c r="L706" t="n">
        <v>0</v>
      </c>
      <c r="M706" t="n">
        <v>0</v>
      </c>
      <c r="N706" t="n">
        <v>0</v>
      </c>
      <c r="O706" t="n">
        <v>0</v>
      </c>
      <c r="P706" t="n">
        <v>0</v>
      </c>
      <c r="Q706" t="n">
        <v>0</v>
      </c>
      <c r="R706" s="2" t="inlineStr"/>
    </row>
    <row r="707" ht="15" customHeight="1">
      <c r="A707" t="inlineStr">
        <is>
          <t>A 55605-2024</t>
        </is>
      </c>
      <c r="B707" s="1" t="n">
        <v>45622</v>
      </c>
      <c r="C707" s="1" t="n">
        <v>46022</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44464-2024</t>
        </is>
      </c>
      <c r="B708" s="1" t="n">
        <v>45574.35809027778</v>
      </c>
      <c r="C708" s="1" t="n">
        <v>46022</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36049-2024</t>
        </is>
      </c>
      <c r="B709" s="1" t="n">
        <v>45533.61996527778</v>
      </c>
      <c r="C709" s="1" t="n">
        <v>46022</v>
      </c>
      <c r="D709" t="inlineStr">
        <is>
          <t>KALMAR LÄN</t>
        </is>
      </c>
      <c r="E709" t="inlineStr">
        <is>
          <t>VIMMERBY</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4297-2022</t>
        </is>
      </c>
      <c r="B710" s="1" t="n">
        <v>44588</v>
      </c>
      <c r="C710" s="1" t="n">
        <v>46022</v>
      </c>
      <c r="D710" t="inlineStr">
        <is>
          <t>KALMAR LÄN</t>
        </is>
      </c>
      <c r="E710" t="inlineStr">
        <is>
          <t>VIMMERBY</t>
        </is>
      </c>
      <c r="G710" t="n">
        <v>1</v>
      </c>
      <c r="H710" t="n">
        <v>0</v>
      </c>
      <c r="I710" t="n">
        <v>0</v>
      </c>
      <c r="J710" t="n">
        <v>0</v>
      </c>
      <c r="K710" t="n">
        <v>0</v>
      </c>
      <c r="L710" t="n">
        <v>0</v>
      </c>
      <c r="M710" t="n">
        <v>0</v>
      </c>
      <c r="N710" t="n">
        <v>0</v>
      </c>
      <c r="O710" t="n">
        <v>0</v>
      </c>
      <c r="P710" t="n">
        <v>0</v>
      </c>
      <c r="Q710" t="n">
        <v>0</v>
      </c>
      <c r="R710" s="2" t="inlineStr"/>
    </row>
    <row r="711" ht="15" customHeight="1">
      <c r="A711" t="inlineStr">
        <is>
          <t>A 46399-2024</t>
        </is>
      </c>
      <c r="B711" s="1" t="n">
        <v>45582.41200231481</v>
      </c>
      <c r="C711" s="1" t="n">
        <v>46022</v>
      </c>
      <c r="D711" t="inlineStr">
        <is>
          <t>KALMAR LÄN</t>
        </is>
      </c>
      <c r="E711" t="inlineStr">
        <is>
          <t>VIMMERBY</t>
        </is>
      </c>
      <c r="G711" t="n">
        <v>4.6</v>
      </c>
      <c r="H711" t="n">
        <v>0</v>
      </c>
      <c r="I711" t="n">
        <v>0</v>
      </c>
      <c r="J711" t="n">
        <v>0</v>
      </c>
      <c r="K711" t="n">
        <v>0</v>
      </c>
      <c r="L711" t="n">
        <v>0</v>
      </c>
      <c r="M711" t="n">
        <v>0</v>
      </c>
      <c r="N711" t="n">
        <v>0</v>
      </c>
      <c r="O711" t="n">
        <v>0</v>
      </c>
      <c r="P711" t="n">
        <v>0</v>
      </c>
      <c r="Q711" t="n">
        <v>0</v>
      </c>
      <c r="R711" s="2" t="inlineStr"/>
    </row>
    <row r="712" ht="15" customHeight="1">
      <c r="A712" t="inlineStr">
        <is>
          <t>A 13532-2025</t>
        </is>
      </c>
      <c r="B712" s="1" t="n">
        <v>45736.50743055555</v>
      </c>
      <c r="C712" s="1" t="n">
        <v>46022</v>
      </c>
      <c r="D712" t="inlineStr">
        <is>
          <t>KALMAR LÄN</t>
        </is>
      </c>
      <c r="E712" t="inlineStr">
        <is>
          <t>VIMMERBY</t>
        </is>
      </c>
      <c r="G712" t="n">
        <v>3.6</v>
      </c>
      <c r="H712" t="n">
        <v>0</v>
      </c>
      <c r="I712" t="n">
        <v>0</v>
      </c>
      <c r="J712" t="n">
        <v>0</v>
      </c>
      <c r="K712" t="n">
        <v>0</v>
      </c>
      <c r="L712" t="n">
        <v>0</v>
      </c>
      <c r="M712" t="n">
        <v>0</v>
      </c>
      <c r="N712" t="n">
        <v>0</v>
      </c>
      <c r="O712" t="n">
        <v>0</v>
      </c>
      <c r="P712" t="n">
        <v>0</v>
      </c>
      <c r="Q712" t="n">
        <v>0</v>
      </c>
      <c r="R712" s="2" t="inlineStr"/>
    </row>
    <row r="713" ht="15" customHeight="1">
      <c r="A713" t="inlineStr">
        <is>
          <t>A 43038-2022</t>
        </is>
      </c>
      <c r="B713" s="1" t="n">
        <v>44833.60123842592</v>
      </c>
      <c r="C713" s="1" t="n">
        <v>46022</v>
      </c>
      <c r="D713" t="inlineStr">
        <is>
          <t>KALMAR LÄN</t>
        </is>
      </c>
      <c r="E713" t="inlineStr">
        <is>
          <t>VIMMERBY</t>
        </is>
      </c>
      <c r="G713" t="n">
        <v>4.2</v>
      </c>
      <c r="H713" t="n">
        <v>0</v>
      </c>
      <c r="I713" t="n">
        <v>0</v>
      </c>
      <c r="J713" t="n">
        <v>0</v>
      </c>
      <c r="K713" t="n">
        <v>0</v>
      </c>
      <c r="L713" t="n">
        <v>0</v>
      </c>
      <c r="M713" t="n">
        <v>0</v>
      </c>
      <c r="N713" t="n">
        <v>0</v>
      </c>
      <c r="O713" t="n">
        <v>0</v>
      </c>
      <c r="P713" t="n">
        <v>0</v>
      </c>
      <c r="Q713" t="n">
        <v>0</v>
      </c>
      <c r="R713" s="2" t="inlineStr"/>
    </row>
    <row r="714" ht="15" customHeight="1">
      <c r="A714" t="inlineStr">
        <is>
          <t>A 12596-2021</t>
        </is>
      </c>
      <c r="B714" s="1" t="n">
        <v>44270.39765046296</v>
      </c>
      <c r="C714" s="1" t="n">
        <v>46022</v>
      </c>
      <c r="D714" t="inlineStr">
        <is>
          <t>KALMAR LÄN</t>
        </is>
      </c>
      <c r="E714" t="inlineStr">
        <is>
          <t>VIMMERBY</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57799-2022</t>
        </is>
      </c>
      <c r="B715" s="1" t="n">
        <v>44897</v>
      </c>
      <c r="C715" s="1" t="n">
        <v>46022</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30921-2024</t>
        </is>
      </c>
      <c r="B716" s="1" t="n">
        <v>45498</v>
      </c>
      <c r="C716" s="1" t="n">
        <v>46022</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14137-2023</t>
        </is>
      </c>
      <c r="B717" s="1" t="n">
        <v>45009.4671875</v>
      </c>
      <c r="C717" s="1" t="n">
        <v>46022</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11152-2023</t>
        </is>
      </c>
      <c r="B718" s="1" t="n">
        <v>44992</v>
      </c>
      <c r="C718" s="1" t="n">
        <v>46022</v>
      </c>
      <c r="D718" t="inlineStr">
        <is>
          <t>KALMAR LÄN</t>
        </is>
      </c>
      <c r="E718" t="inlineStr">
        <is>
          <t>VIMMERBY</t>
        </is>
      </c>
      <c r="G718" t="n">
        <v>10.6</v>
      </c>
      <c r="H718" t="n">
        <v>0</v>
      </c>
      <c r="I718" t="n">
        <v>0</v>
      </c>
      <c r="J718" t="n">
        <v>0</v>
      </c>
      <c r="K718" t="n">
        <v>0</v>
      </c>
      <c r="L718" t="n">
        <v>0</v>
      </c>
      <c r="M718" t="n">
        <v>0</v>
      </c>
      <c r="N718" t="n">
        <v>0</v>
      </c>
      <c r="O718" t="n">
        <v>0</v>
      </c>
      <c r="P718" t="n">
        <v>0</v>
      </c>
      <c r="Q718" t="n">
        <v>0</v>
      </c>
      <c r="R718" s="2" t="inlineStr"/>
    </row>
    <row r="719" ht="15" customHeight="1">
      <c r="A719" t="inlineStr">
        <is>
          <t>A 12499-2023</t>
        </is>
      </c>
      <c r="B719" s="1" t="n">
        <v>44999.86172453704</v>
      </c>
      <c r="C719" s="1" t="n">
        <v>46022</v>
      </c>
      <c r="D719" t="inlineStr">
        <is>
          <t>KALMAR LÄN</t>
        </is>
      </c>
      <c r="E719" t="inlineStr">
        <is>
          <t>VIMMERBY</t>
        </is>
      </c>
      <c r="G719" t="n">
        <v>0.8</v>
      </c>
      <c r="H719" t="n">
        <v>0</v>
      </c>
      <c r="I719" t="n">
        <v>0</v>
      </c>
      <c r="J719" t="n">
        <v>0</v>
      </c>
      <c r="K719" t="n">
        <v>0</v>
      </c>
      <c r="L719" t="n">
        <v>0</v>
      </c>
      <c r="M719" t="n">
        <v>0</v>
      </c>
      <c r="N719" t="n">
        <v>0</v>
      </c>
      <c r="O719" t="n">
        <v>0</v>
      </c>
      <c r="P719" t="n">
        <v>0</v>
      </c>
      <c r="Q719" t="n">
        <v>0</v>
      </c>
      <c r="R719" s="2" t="inlineStr"/>
    </row>
    <row r="720" ht="15" customHeight="1">
      <c r="A720" t="inlineStr">
        <is>
          <t>A 12500-2023</t>
        </is>
      </c>
      <c r="B720" s="1" t="n">
        <v>44999.8625</v>
      </c>
      <c r="C720" s="1" t="n">
        <v>46022</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35846-2023</t>
        </is>
      </c>
      <c r="B721" s="1" t="n">
        <v>45148</v>
      </c>
      <c r="C721" s="1" t="n">
        <v>46022</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49039-2021</t>
        </is>
      </c>
      <c r="B722" s="1" t="n">
        <v>44453.56578703703</v>
      </c>
      <c r="C722" s="1" t="n">
        <v>46022</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46224-2024</t>
        </is>
      </c>
      <c r="B723" s="1" t="n">
        <v>45581.57016203704</v>
      </c>
      <c r="C723" s="1" t="n">
        <v>46022</v>
      </c>
      <c r="D723" t="inlineStr">
        <is>
          <t>KALMAR LÄN</t>
        </is>
      </c>
      <c r="E723" t="inlineStr">
        <is>
          <t>VIMMERBY</t>
        </is>
      </c>
      <c r="G723" t="n">
        <v>3.1</v>
      </c>
      <c r="H723" t="n">
        <v>0</v>
      </c>
      <c r="I723" t="n">
        <v>0</v>
      </c>
      <c r="J723" t="n">
        <v>0</v>
      </c>
      <c r="K723" t="n">
        <v>0</v>
      </c>
      <c r="L723" t="n">
        <v>0</v>
      </c>
      <c r="M723" t="n">
        <v>0</v>
      </c>
      <c r="N723" t="n">
        <v>0</v>
      </c>
      <c r="O723" t="n">
        <v>0</v>
      </c>
      <c r="P723" t="n">
        <v>0</v>
      </c>
      <c r="Q723" t="n">
        <v>0</v>
      </c>
      <c r="R723" s="2" t="inlineStr"/>
    </row>
    <row r="724" ht="15" customHeight="1">
      <c r="A724" t="inlineStr">
        <is>
          <t>A 46238-2024</t>
        </is>
      </c>
      <c r="B724" s="1" t="n">
        <v>45581.58418981481</v>
      </c>
      <c r="C724" s="1" t="n">
        <v>46022</v>
      </c>
      <c r="D724" t="inlineStr">
        <is>
          <t>KALMAR LÄN</t>
        </is>
      </c>
      <c r="E724" t="inlineStr">
        <is>
          <t>VIMMERBY</t>
        </is>
      </c>
      <c r="G724" t="n">
        <v>2.1</v>
      </c>
      <c r="H724" t="n">
        <v>0</v>
      </c>
      <c r="I724" t="n">
        <v>0</v>
      </c>
      <c r="J724" t="n">
        <v>0</v>
      </c>
      <c r="K724" t="n">
        <v>0</v>
      </c>
      <c r="L724" t="n">
        <v>0</v>
      </c>
      <c r="M724" t="n">
        <v>0</v>
      </c>
      <c r="N724" t="n">
        <v>0</v>
      </c>
      <c r="O724" t="n">
        <v>0</v>
      </c>
      <c r="P724" t="n">
        <v>0</v>
      </c>
      <c r="Q724" t="n">
        <v>0</v>
      </c>
      <c r="R724" s="2" t="inlineStr"/>
    </row>
    <row r="725" ht="15" customHeight="1">
      <c r="A725" t="inlineStr">
        <is>
          <t>A 30633-2024</t>
        </is>
      </c>
      <c r="B725" s="1" t="n">
        <v>45495</v>
      </c>
      <c r="C725" s="1" t="n">
        <v>46022</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54838-2024</t>
        </is>
      </c>
      <c r="B726" s="1" t="n">
        <v>45618.56787037037</v>
      </c>
      <c r="C726" s="1" t="n">
        <v>46022</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6405-2025</t>
        </is>
      </c>
      <c r="B727" s="1" t="n">
        <v>45699.45392361111</v>
      </c>
      <c r="C727" s="1" t="n">
        <v>46022</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60437-2023</t>
        </is>
      </c>
      <c r="B728" s="1" t="n">
        <v>45259.51916666667</v>
      </c>
      <c r="C728" s="1" t="n">
        <v>46022</v>
      </c>
      <c r="D728" t="inlineStr">
        <is>
          <t>KALMAR LÄN</t>
        </is>
      </c>
      <c r="E728" t="inlineStr">
        <is>
          <t>VIMMERBY</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60438-2023</t>
        </is>
      </c>
      <c r="B729" s="1" t="n">
        <v>45259.52020833334</v>
      </c>
      <c r="C729" s="1" t="n">
        <v>46022</v>
      </c>
      <c r="D729" t="inlineStr">
        <is>
          <t>KALMAR LÄN</t>
        </is>
      </c>
      <c r="E729" t="inlineStr">
        <is>
          <t>VIMMERBY</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42165-2024</t>
        </is>
      </c>
      <c r="B730" s="1" t="n">
        <v>45562.46342592593</v>
      </c>
      <c r="C730" s="1" t="n">
        <v>46022</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25244-2023</t>
        </is>
      </c>
      <c r="B731" s="1" t="n">
        <v>45086</v>
      </c>
      <c r="C731" s="1" t="n">
        <v>46022</v>
      </c>
      <c r="D731" t="inlineStr">
        <is>
          <t>KALMAR LÄN</t>
        </is>
      </c>
      <c r="E731" t="inlineStr">
        <is>
          <t>VIMMERBY</t>
        </is>
      </c>
      <c r="G731" t="n">
        <v>4.7</v>
      </c>
      <c r="H731" t="n">
        <v>0</v>
      </c>
      <c r="I731" t="n">
        <v>0</v>
      </c>
      <c r="J731" t="n">
        <v>0</v>
      </c>
      <c r="K731" t="n">
        <v>0</v>
      </c>
      <c r="L731" t="n">
        <v>0</v>
      </c>
      <c r="M731" t="n">
        <v>0</v>
      </c>
      <c r="N731" t="n">
        <v>0</v>
      </c>
      <c r="O731" t="n">
        <v>0</v>
      </c>
      <c r="P731" t="n">
        <v>0</v>
      </c>
      <c r="Q731" t="n">
        <v>0</v>
      </c>
      <c r="R731" s="2" t="inlineStr"/>
    </row>
    <row r="732" ht="15" customHeight="1">
      <c r="A732" t="inlineStr">
        <is>
          <t>A 66022-2021</t>
        </is>
      </c>
      <c r="B732" s="1" t="n">
        <v>44517</v>
      </c>
      <c r="C732" s="1" t="n">
        <v>46022</v>
      </c>
      <c r="D732" t="inlineStr">
        <is>
          <t>KALMAR LÄN</t>
        </is>
      </c>
      <c r="E732" t="inlineStr">
        <is>
          <t>VIMMERBY</t>
        </is>
      </c>
      <c r="G732" t="n">
        <v>0.5</v>
      </c>
      <c r="H732" t="n">
        <v>0</v>
      </c>
      <c r="I732" t="n">
        <v>0</v>
      </c>
      <c r="J732" t="n">
        <v>0</v>
      </c>
      <c r="K732" t="n">
        <v>0</v>
      </c>
      <c r="L732" t="n">
        <v>0</v>
      </c>
      <c r="M732" t="n">
        <v>0</v>
      </c>
      <c r="N732" t="n">
        <v>0</v>
      </c>
      <c r="O732" t="n">
        <v>0</v>
      </c>
      <c r="P732" t="n">
        <v>0</v>
      </c>
      <c r="Q732" t="n">
        <v>0</v>
      </c>
      <c r="R732" s="2" t="inlineStr"/>
    </row>
    <row r="733" ht="15" customHeight="1">
      <c r="A733" t="inlineStr">
        <is>
          <t>A 35895-2024</t>
        </is>
      </c>
      <c r="B733" s="1" t="n">
        <v>45533.38870370371</v>
      </c>
      <c r="C733" s="1" t="n">
        <v>46022</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11073-2023</t>
        </is>
      </c>
      <c r="B734" s="1" t="n">
        <v>44992</v>
      </c>
      <c r="C734" s="1" t="n">
        <v>46022</v>
      </c>
      <c r="D734" t="inlineStr">
        <is>
          <t>KALMAR LÄN</t>
        </is>
      </c>
      <c r="E734" t="inlineStr">
        <is>
          <t>VIMMERBY</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17-2025</t>
        </is>
      </c>
      <c r="B735" s="1" t="n">
        <v>45658.78774305555</v>
      </c>
      <c r="C735" s="1" t="n">
        <v>46022</v>
      </c>
      <c r="D735" t="inlineStr">
        <is>
          <t>KALMAR LÄN</t>
        </is>
      </c>
      <c r="E735" t="inlineStr">
        <is>
          <t>VIMMERBY</t>
        </is>
      </c>
      <c r="G735" t="n">
        <v>4.4</v>
      </c>
      <c r="H735" t="n">
        <v>0</v>
      </c>
      <c r="I735" t="n">
        <v>0</v>
      </c>
      <c r="J735" t="n">
        <v>0</v>
      </c>
      <c r="K735" t="n">
        <v>0</v>
      </c>
      <c r="L735" t="n">
        <v>0</v>
      </c>
      <c r="M735" t="n">
        <v>0</v>
      </c>
      <c r="N735" t="n">
        <v>0</v>
      </c>
      <c r="O735" t="n">
        <v>0</v>
      </c>
      <c r="P735" t="n">
        <v>0</v>
      </c>
      <c r="Q735" t="n">
        <v>0</v>
      </c>
      <c r="R735" s="2" t="inlineStr"/>
    </row>
    <row r="736" ht="15" customHeight="1">
      <c r="A736" t="inlineStr">
        <is>
          <t>A 32655-2023</t>
        </is>
      </c>
      <c r="B736" s="1" t="n">
        <v>45121.61318287037</v>
      </c>
      <c r="C736" s="1" t="n">
        <v>46022</v>
      </c>
      <c r="D736" t="inlineStr">
        <is>
          <t>KALMAR LÄN</t>
        </is>
      </c>
      <c r="E736" t="inlineStr">
        <is>
          <t>VIMMERBY</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63541-2023</t>
        </is>
      </c>
      <c r="B737" s="1" t="n">
        <v>45275.32266203704</v>
      </c>
      <c r="C737" s="1" t="n">
        <v>46022</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28034-2022</t>
        </is>
      </c>
      <c r="B738" s="1" t="n">
        <v>44746.38834490741</v>
      </c>
      <c r="C738" s="1" t="n">
        <v>46022</v>
      </c>
      <c r="D738" t="inlineStr">
        <is>
          <t>KALMAR LÄN</t>
        </is>
      </c>
      <c r="E738" t="inlineStr">
        <is>
          <t>VIMMERBY</t>
        </is>
      </c>
      <c r="G738" t="n">
        <v>2</v>
      </c>
      <c r="H738" t="n">
        <v>0</v>
      </c>
      <c r="I738" t="n">
        <v>0</v>
      </c>
      <c r="J738" t="n">
        <v>0</v>
      </c>
      <c r="K738" t="n">
        <v>0</v>
      </c>
      <c r="L738" t="n">
        <v>0</v>
      </c>
      <c r="M738" t="n">
        <v>0</v>
      </c>
      <c r="N738" t="n">
        <v>0</v>
      </c>
      <c r="O738" t="n">
        <v>0</v>
      </c>
      <c r="P738" t="n">
        <v>0</v>
      </c>
      <c r="Q738" t="n">
        <v>0</v>
      </c>
      <c r="R738" s="2" t="inlineStr"/>
    </row>
    <row r="739" ht="15" customHeight="1">
      <c r="A739" t="inlineStr">
        <is>
          <t>A 5938-2022</t>
        </is>
      </c>
      <c r="B739" s="1" t="n">
        <v>44598</v>
      </c>
      <c r="C739" s="1" t="n">
        <v>46022</v>
      </c>
      <c r="D739" t="inlineStr">
        <is>
          <t>KALMAR LÄN</t>
        </is>
      </c>
      <c r="E739" t="inlineStr">
        <is>
          <t>VIMMERBY</t>
        </is>
      </c>
      <c r="G739" t="n">
        <v>2.4</v>
      </c>
      <c r="H739" t="n">
        <v>0</v>
      </c>
      <c r="I739" t="n">
        <v>0</v>
      </c>
      <c r="J739" t="n">
        <v>0</v>
      </c>
      <c r="K739" t="n">
        <v>0</v>
      </c>
      <c r="L739" t="n">
        <v>0</v>
      </c>
      <c r="M739" t="n">
        <v>0</v>
      </c>
      <c r="N739" t="n">
        <v>0</v>
      </c>
      <c r="O739" t="n">
        <v>0</v>
      </c>
      <c r="P739" t="n">
        <v>0</v>
      </c>
      <c r="Q739" t="n">
        <v>0</v>
      </c>
      <c r="R739" s="2" t="inlineStr"/>
    </row>
    <row r="740" ht="15" customHeight="1">
      <c r="A740" t="inlineStr">
        <is>
          <t>A 24283-2023</t>
        </is>
      </c>
      <c r="B740" s="1" t="n">
        <v>45079.87827546296</v>
      </c>
      <c r="C740" s="1" t="n">
        <v>46022</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2462-2022</t>
        </is>
      </c>
      <c r="B741" s="1" t="n">
        <v>44579.62225694444</v>
      </c>
      <c r="C741" s="1" t="n">
        <v>46022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60228-2021</t>
        </is>
      </c>
      <c r="B742" s="1" t="n">
        <v>44495</v>
      </c>
      <c r="C742" s="1" t="n">
        <v>46022</v>
      </c>
      <c r="D742" t="inlineStr">
        <is>
          <t>KALMAR LÄN</t>
        </is>
      </c>
      <c r="E742" t="inlineStr">
        <is>
          <t>VIMMERBY</t>
        </is>
      </c>
      <c r="G742" t="n">
        <v>4.1</v>
      </c>
      <c r="H742" t="n">
        <v>0</v>
      </c>
      <c r="I742" t="n">
        <v>0</v>
      </c>
      <c r="J742" t="n">
        <v>0</v>
      </c>
      <c r="K742" t="n">
        <v>0</v>
      </c>
      <c r="L742" t="n">
        <v>0</v>
      </c>
      <c r="M742" t="n">
        <v>0</v>
      </c>
      <c r="N742" t="n">
        <v>0</v>
      </c>
      <c r="O742" t="n">
        <v>0</v>
      </c>
      <c r="P742" t="n">
        <v>0</v>
      </c>
      <c r="Q742" t="n">
        <v>0</v>
      </c>
      <c r="R742" s="2" t="inlineStr"/>
    </row>
    <row r="743" ht="15" customHeight="1">
      <c r="A743" t="inlineStr">
        <is>
          <t>A 25979-2023</t>
        </is>
      </c>
      <c r="B743" s="1" t="n">
        <v>45090.89653935185</v>
      </c>
      <c r="C743" s="1" t="n">
        <v>46022</v>
      </c>
      <c r="D743" t="inlineStr">
        <is>
          <t>KALMAR LÄN</t>
        </is>
      </c>
      <c r="E743" t="inlineStr">
        <is>
          <t>VIMMERBY</t>
        </is>
      </c>
      <c r="G743" t="n">
        <v>2</v>
      </c>
      <c r="H743" t="n">
        <v>0</v>
      </c>
      <c r="I743" t="n">
        <v>0</v>
      </c>
      <c r="J743" t="n">
        <v>0</v>
      </c>
      <c r="K743" t="n">
        <v>0</v>
      </c>
      <c r="L743" t="n">
        <v>0</v>
      </c>
      <c r="M743" t="n">
        <v>0</v>
      </c>
      <c r="N743" t="n">
        <v>0</v>
      </c>
      <c r="O743" t="n">
        <v>0</v>
      </c>
      <c r="P743" t="n">
        <v>0</v>
      </c>
      <c r="Q743" t="n">
        <v>0</v>
      </c>
      <c r="R743" s="2" t="inlineStr"/>
    </row>
    <row r="744" ht="15" customHeight="1">
      <c r="A744" t="inlineStr">
        <is>
          <t>A 25980-2023</t>
        </is>
      </c>
      <c r="B744" s="1" t="n">
        <v>45090.89880787037</v>
      </c>
      <c r="C744" s="1" t="n">
        <v>46022</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12510-2022</t>
        </is>
      </c>
      <c r="B745" s="1" t="n">
        <v>44638.55256944444</v>
      </c>
      <c r="C745" s="1" t="n">
        <v>46022</v>
      </c>
      <c r="D745" t="inlineStr">
        <is>
          <t>KALMAR LÄN</t>
        </is>
      </c>
      <c r="E745" t="inlineStr">
        <is>
          <t>VIMMERBY</t>
        </is>
      </c>
      <c r="G745" t="n">
        <v>2.4</v>
      </c>
      <c r="H745" t="n">
        <v>0</v>
      </c>
      <c r="I745" t="n">
        <v>0</v>
      </c>
      <c r="J745" t="n">
        <v>0</v>
      </c>
      <c r="K745" t="n">
        <v>0</v>
      </c>
      <c r="L745" t="n">
        <v>0</v>
      </c>
      <c r="M745" t="n">
        <v>0</v>
      </c>
      <c r="N745" t="n">
        <v>0</v>
      </c>
      <c r="O745" t="n">
        <v>0</v>
      </c>
      <c r="P745" t="n">
        <v>0</v>
      </c>
      <c r="Q745" t="n">
        <v>0</v>
      </c>
      <c r="R745" s="2" t="inlineStr"/>
    </row>
    <row r="746" ht="15" customHeight="1">
      <c r="A746" t="inlineStr">
        <is>
          <t>A 6358-2022</t>
        </is>
      </c>
      <c r="B746" s="1" t="n">
        <v>44600</v>
      </c>
      <c r="C746" s="1" t="n">
        <v>46022</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48373-2021</t>
        </is>
      </c>
      <c r="B747" s="1" t="n">
        <v>44451</v>
      </c>
      <c r="C747" s="1" t="n">
        <v>46022</v>
      </c>
      <c r="D747" t="inlineStr">
        <is>
          <t>KALMAR LÄN</t>
        </is>
      </c>
      <c r="E747" t="inlineStr">
        <is>
          <t>VIMMERBY</t>
        </is>
      </c>
      <c r="G747" t="n">
        <v>2.2</v>
      </c>
      <c r="H747" t="n">
        <v>0</v>
      </c>
      <c r="I747" t="n">
        <v>0</v>
      </c>
      <c r="J747" t="n">
        <v>0</v>
      </c>
      <c r="K747" t="n">
        <v>0</v>
      </c>
      <c r="L747" t="n">
        <v>0</v>
      </c>
      <c r="M747" t="n">
        <v>0</v>
      </c>
      <c r="N747" t="n">
        <v>0</v>
      </c>
      <c r="O747" t="n">
        <v>0</v>
      </c>
      <c r="P747" t="n">
        <v>0</v>
      </c>
      <c r="Q747" t="n">
        <v>0</v>
      </c>
      <c r="R747" s="2" t="inlineStr"/>
    </row>
    <row r="748" ht="15" customHeight="1">
      <c r="A748" t="inlineStr">
        <is>
          <t>A 57256-2023</t>
        </is>
      </c>
      <c r="B748" s="1" t="n">
        <v>45245.5735300926</v>
      </c>
      <c r="C748" s="1" t="n">
        <v>46022</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17482-2024</t>
        </is>
      </c>
      <c r="B749" s="1" t="n">
        <v>45415.47848379629</v>
      </c>
      <c r="C749" s="1" t="n">
        <v>46022</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55123-2024</t>
        </is>
      </c>
      <c r="B750" s="1" t="n">
        <v>45621.46103009259</v>
      </c>
      <c r="C750" s="1" t="n">
        <v>46022</v>
      </c>
      <c r="D750" t="inlineStr">
        <is>
          <t>KALMAR LÄN</t>
        </is>
      </c>
      <c r="E750" t="inlineStr">
        <is>
          <t>VIMMERBY</t>
        </is>
      </c>
      <c r="G750" t="n">
        <v>3.1</v>
      </c>
      <c r="H750" t="n">
        <v>0</v>
      </c>
      <c r="I750" t="n">
        <v>0</v>
      </c>
      <c r="J750" t="n">
        <v>0</v>
      </c>
      <c r="K750" t="n">
        <v>0</v>
      </c>
      <c r="L750" t="n">
        <v>0</v>
      </c>
      <c r="M750" t="n">
        <v>0</v>
      </c>
      <c r="N750" t="n">
        <v>0</v>
      </c>
      <c r="O750" t="n">
        <v>0</v>
      </c>
      <c r="P750" t="n">
        <v>0</v>
      </c>
      <c r="Q750" t="n">
        <v>0</v>
      </c>
      <c r="R750" s="2" t="inlineStr"/>
    </row>
    <row r="751" ht="15" customHeight="1">
      <c r="A751" t="inlineStr">
        <is>
          <t>A 49313-2022</t>
        </is>
      </c>
      <c r="B751" s="1" t="n">
        <v>44861.52505787037</v>
      </c>
      <c r="C751" s="1" t="n">
        <v>46022</v>
      </c>
      <c r="D751" t="inlineStr">
        <is>
          <t>KALMAR LÄN</t>
        </is>
      </c>
      <c r="E751" t="inlineStr">
        <is>
          <t>VIMMERBY</t>
        </is>
      </c>
      <c r="G751" t="n">
        <v>1.9</v>
      </c>
      <c r="H751" t="n">
        <v>0</v>
      </c>
      <c r="I751" t="n">
        <v>0</v>
      </c>
      <c r="J751" t="n">
        <v>0</v>
      </c>
      <c r="K751" t="n">
        <v>0</v>
      </c>
      <c r="L751" t="n">
        <v>0</v>
      </c>
      <c r="M751" t="n">
        <v>0</v>
      </c>
      <c r="N751" t="n">
        <v>0</v>
      </c>
      <c r="O751" t="n">
        <v>0</v>
      </c>
      <c r="P751" t="n">
        <v>0</v>
      </c>
      <c r="Q751" t="n">
        <v>0</v>
      </c>
      <c r="R751" s="2" t="inlineStr"/>
    </row>
    <row r="752" ht="15" customHeight="1">
      <c r="A752" t="inlineStr">
        <is>
          <t>A 1987-2024</t>
        </is>
      </c>
      <c r="B752" s="1" t="n">
        <v>45308.61152777778</v>
      </c>
      <c r="C752" s="1" t="n">
        <v>46022</v>
      </c>
      <c r="D752" t="inlineStr">
        <is>
          <t>KALMAR LÄN</t>
        </is>
      </c>
      <c r="E752" t="inlineStr">
        <is>
          <t>VIMMERBY</t>
        </is>
      </c>
      <c r="G752" t="n">
        <v>3</v>
      </c>
      <c r="H752" t="n">
        <v>0</v>
      </c>
      <c r="I752" t="n">
        <v>0</v>
      </c>
      <c r="J752" t="n">
        <v>0</v>
      </c>
      <c r="K752" t="n">
        <v>0</v>
      </c>
      <c r="L752" t="n">
        <v>0</v>
      </c>
      <c r="M752" t="n">
        <v>0</v>
      </c>
      <c r="N752" t="n">
        <v>0</v>
      </c>
      <c r="O752" t="n">
        <v>0</v>
      </c>
      <c r="P752" t="n">
        <v>0</v>
      </c>
      <c r="Q752" t="n">
        <v>0</v>
      </c>
      <c r="R752" s="2" t="inlineStr"/>
    </row>
    <row r="753" ht="15" customHeight="1">
      <c r="A753" t="inlineStr">
        <is>
          <t>A 21507-2023</t>
        </is>
      </c>
      <c r="B753" s="1" t="n">
        <v>45063.508125</v>
      </c>
      <c r="C753" s="1" t="n">
        <v>46022</v>
      </c>
      <c r="D753" t="inlineStr">
        <is>
          <t>KALMAR LÄN</t>
        </is>
      </c>
      <c r="E753" t="inlineStr">
        <is>
          <t>VIMMERBY</t>
        </is>
      </c>
      <c r="G753" t="n">
        <v>2.8</v>
      </c>
      <c r="H753" t="n">
        <v>0</v>
      </c>
      <c r="I753" t="n">
        <v>0</v>
      </c>
      <c r="J753" t="n">
        <v>0</v>
      </c>
      <c r="K753" t="n">
        <v>0</v>
      </c>
      <c r="L753" t="n">
        <v>0</v>
      </c>
      <c r="M753" t="n">
        <v>0</v>
      </c>
      <c r="N753" t="n">
        <v>0</v>
      </c>
      <c r="O753" t="n">
        <v>0</v>
      </c>
      <c r="P753" t="n">
        <v>0</v>
      </c>
      <c r="Q753" t="n">
        <v>0</v>
      </c>
      <c r="R753" s="2" t="inlineStr"/>
    </row>
    <row r="754" ht="15" customHeight="1">
      <c r="A754" t="inlineStr">
        <is>
          <t>A 57189-2022</t>
        </is>
      </c>
      <c r="B754" s="1" t="n">
        <v>44895.62296296296</v>
      </c>
      <c r="C754" s="1" t="n">
        <v>46022</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48673-2021</t>
        </is>
      </c>
      <c r="B755" s="1" t="n">
        <v>44452</v>
      </c>
      <c r="C755" s="1" t="n">
        <v>46022</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14248-2023</t>
        </is>
      </c>
      <c r="B756" s="1" t="n">
        <v>45009</v>
      </c>
      <c r="C756" s="1" t="n">
        <v>46022</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12480-2024</t>
        </is>
      </c>
      <c r="B757" s="1" t="n">
        <v>45379</v>
      </c>
      <c r="C757" s="1" t="n">
        <v>46022</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40095-2022</t>
        </is>
      </c>
      <c r="B758" s="1" t="n">
        <v>44820</v>
      </c>
      <c r="C758" s="1" t="n">
        <v>46022</v>
      </c>
      <c r="D758" t="inlineStr">
        <is>
          <t>KALMAR LÄN</t>
        </is>
      </c>
      <c r="E758" t="inlineStr">
        <is>
          <t>VIMMERBY</t>
        </is>
      </c>
      <c r="G758" t="n">
        <v>2.4</v>
      </c>
      <c r="H758" t="n">
        <v>0</v>
      </c>
      <c r="I758" t="n">
        <v>0</v>
      </c>
      <c r="J758" t="n">
        <v>0</v>
      </c>
      <c r="K758" t="n">
        <v>0</v>
      </c>
      <c r="L758" t="n">
        <v>0</v>
      </c>
      <c r="M758" t="n">
        <v>0</v>
      </c>
      <c r="N758" t="n">
        <v>0</v>
      </c>
      <c r="O758" t="n">
        <v>0</v>
      </c>
      <c r="P758" t="n">
        <v>0</v>
      </c>
      <c r="Q758" t="n">
        <v>0</v>
      </c>
      <c r="R758" s="2" t="inlineStr"/>
    </row>
    <row r="759" ht="15" customHeight="1">
      <c r="A759" t="inlineStr">
        <is>
          <t>A 50085-2023</t>
        </is>
      </c>
      <c r="B759" s="1" t="n">
        <v>45215.5959375</v>
      </c>
      <c r="C759" s="1" t="n">
        <v>46022</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50087-2023</t>
        </is>
      </c>
      <c r="B760" s="1" t="n">
        <v>45215.59743055556</v>
      </c>
      <c r="C760" s="1" t="n">
        <v>46022</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8167-2024</t>
        </is>
      </c>
      <c r="B761" s="1" t="n">
        <v>45351.6062962963</v>
      </c>
      <c r="C761" s="1" t="n">
        <v>46022</v>
      </c>
      <c r="D761" t="inlineStr">
        <is>
          <t>KALMAR LÄN</t>
        </is>
      </c>
      <c r="E761" t="inlineStr">
        <is>
          <t>VIMMERBY</t>
        </is>
      </c>
      <c r="G761" t="n">
        <v>3.8</v>
      </c>
      <c r="H761" t="n">
        <v>0</v>
      </c>
      <c r="I761" t="n">
        <v>0</v>
      </c>
      <c r="J761" t="n">
        <v>0</v>
      </c>
      <c r="K761" t="n">
        <v>0</v>
      </c>
      <c r="L761" t="n">
        <v>0</v>
      </c>
      <c r="M761" t="n">
        <v>0</v>
      </c>
      <c r="N761" t="n">
        <v>0</v>
      </c>
      <c r="O761" t="n">
        <v>0</v>
      </c>
      <c r="P761" t="n">
        <v>0</v>
      </c>
      <c r="Q761" t="n">
        <v>0</v>
      </c>
      <c r="R761" s="2" t="inlineStr"/>
    </row>
    <row r="762" ht="15" customHeight="1">
      <c r="A762" t="inlineStr">
        <is>
          <t>A 2604-2025</t>
        </is>
      </c>
      <c r="B762" s="1" t="n">
        <v>45674.74094907408</v>
      </c>
      <c r="C762" s="1" t="n">
        <v>46022</v>
      </c>
      <c r="D762" t="inlineStr">
        <is>
          <t>KALMAR LÄN</t>
        </is>
      </c>
      <c r="E762" t="inlineStr">
        <is>
          <t>VIMMERBY</t>
        </is>
      </c>
      <c r="G762" t="n">
        <v>7.6</v>
      </c>
      <c r="H762" t="n">
        <v>0</v>
      </c>
      <c r="I762" t="n">
        <v>0</v>
      </c>
      <c r="J762" t="n">
        <v>0</v>
      </c>
      <c r="K762" t="n">
        <v>0</v>
      </c>
      <c r="L762" t="n">
        <v>0</v>
      </c>
      <c r="M762" t="n">
        <v>0</v>
      </c>
      <c r="N762" t="n">
        <v>0</v>
      </c>
      <c r="O762" t="n">
        <v>0</v>
      </c>
      <c r="P762" t="n">
        <v>0</v>
      </c>
      <c r="Q762" t="n">
        <v>0</v>
      </c>
      <c r="R762" s="2" t="inlineStr"/>
    </row>
    <row r="763" ht="15" customHeight="1">
      <c r="A763" t="inlineStr">
        <is>
          <t>A 37192-2024</t>
        </is>
      </c>
      <c r="B763" s="1" t="n">
        <v>45539.66027777778</v>
      </c>
      <c r="C763" s="1" t="n">
        <v>46022</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42429-2024</t>
        </is>
      </c>
      <c r="B764" s="1" t="n">
        <v>45565.40657407408</v>
      </c>
      <c r="C764" s="1" t="n">
        <v>46022</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29180-2024</t>
        </is>
      </c>
      <c r="B765" s="1" t="n">
        <v>45482.54108796296</v>
      </c>
      <c r="C765" s="1" t="n">
        <v>46022</v>
      </c>
      <c r="D765" t="inlineStr">
        <is>
          <t>KALMAR LÄN</t>
        </is>
      </c>
      <c r="E765" t="inlineStr">
        <is>
          <t>VIMMERBY</t>
        </is>
      </c>
      <c r="G765" t="n">
        <v>3.8</v>
      </c>
      <c r="H765" t="n">
        <v>0</v>
      </c>
      <c r="I765" t="n">
        <v>0</v>
      </c>
      <c r="J765" t="n">
        <v>0</v>
      </c>
      <c r="K765" t="n">
        <v>0</v>
      </c>
      <c r="L765" t="n">
        <v>0</v>
      </c>
      <c r="M765" t="n">
        <v>0</v>
      </c>
      <c r="N765" t="n">
        <v>0</v>
      </c>
      <c r="O765" t="n">
        <v>0</v>
      </c>
      <c r="P765" t="n">
        <v>0</v>
      </c>
      <c r="Q765" t="n">
        <v>0</v>
      </c>
      <c r="R765" s="2" t="inlineStr"/>
    </row>
    <row r="766" ht="15" customHeight="1">
      <c r="A766" t="inlineStr">
        <is>
          <t>A 45846-2023</t>
        </is>
      </c>
      <c r="B766" s="1" t="n">
        <v>45195.58452546296</v>
      </c>
      <c r="C766" s="1" t="n">
        <v>46022</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16020-2023</t>
        </is>
      </c>
      <c r="B767" s="1" t="n">
        <v>45026.82216435186</v>
      </c>
      <c r="C767" s="1" t="n">
        <v>46022</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61820-2023</t>
        </is>
      </c>
      <c r="B768" s="1" t="n">
        <v>45266.32614583334</v>
      </c>
      <c r="C768" s="1" t="n">
        <v>46022</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45560-2021</t>
        </is>
      </c>
      <c r="B769" s="1" t="n">
        <v>44440</v>
      </c>
      <c r="C769" s="1" t="n">
        <v>46022</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40256-2024</t>
        </is>
      </c>
      <c r="B770" s="1" t="n">
        <v>45554.62944444444</v>
      </c>
      <c r="C770" s="1" t="n">
        <v>46022</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58104-2024</t>
        </is>
      </c>
      <c r="B771" s="1" t="n">
        <v>45632.37459490741</v>
      </c>
      <c r="C771" s="1" t="n">
        <v>46022</v>
      </c>
      <c r="D771" t="inlineStr">
        <is>
          <t>KALMAR LÄN</t>
        </is>
      </c>
      <c r="E771" t="inlineStr">
        <is>
          <t>VIMMERBY</t>
        </is>
      </c>
      <c r="G771" t="n">
        <v>5</v>
      </c>
      <c r="H771" t="n">
        <v>0</v>
      </c>
      <c r="I771" t="n">
        <v>0</v>
      </c>
      <c r="J771" t="n">
        <v>0</v>
      </c>
      <c r="K771" t="n">
        <v>0</v>
      </c>
      <c r="L771" t="n">
        <v>0</v>
      </c>
      <c r="M771" t="n">
        <v>0</v>
      </c>
      <c r="N771" t="n">
        <v>0</v>
      </c>
      <c r="O771" t="n">
        <v>0</v>
      </c>
      <c r="P771" t="n">
        <v>0</v>
      </c>
      <c r="Q771" t="n">
        <v>0</v>
      </c>
      <c r="R771" s="2" t="inlineStr"/>
    </row>
    <row r="772" ht="15" customHeight="1">
      <c r="A772" t="inlineStr">
        <is>
          <t>A 36259-2022</t>
        </is>
      </c>
      <c r="B772" s="1" t="n">
        <v>44803.59118055556</v>
      </c>
      <c r="C772" s="1" t="n">
        <v>46022</v>
      </c>
      <c r="D772" t="inlineStr">
        <is>
          <t>KALMAR LÄN</t>
        </is>
      </c>
      <c r="E772" t="inlineStr">
        <is>
          <t>VIMMERBY</t>
        </is>
      </c>
      <c r="G772" t="n">
        <v>3.9</v>
      </c>
      <c r="H772" t="n">
        <v>0</v>
      </c>
      <c r="I772" t="n">
        <v>0</v>
      </c>
      <c r="J772" t="n">
        <v>0</v>
      </c>
      <c r="K772" t="n">
        <v>0</v>
      </c>
      <c r="L772" t="n">
        <v>0</v>
      </c>
      <c r="M772" t="n">
        <v>0</v>
      </c>
      <c r="N772" t="n">
        <v>0</v>
      </c>
      <c r="O772" t="n">
        <v>0</v>
      </c>
      <c r="P772" t="n">
        <v>0</v>
      </c>
      <c r="Q772" t="n">
        <v>0</v>
      </c>
      <c r="R772" s="2" t="inlineStr"/>
    </row>
    <row r="773" ht="15" customHeight="1">
      <c r="A773" t="inlineStr">
        <is>
          <t>A 43034-2024</t>
        </is>
      </c>
      <c r="B773" s="1" t="n">
        <v>45567.42011574074</v>
      </c>
      <c r="C773" s="1" t="n">
        <v>46022</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3902-2022</t>
        </is>
      </c>
      <c r="B774" s="1" t="n">
        <v>44587.48847222222</v>
      </c>
      <c r="C774" s="1" t="n">
        <v>46022</v>
      </c>
      <c r="D774" t="inlineStr">
        <is>
          <t>KALMAR LÄN</t>
        </is>
      </c>
      <c r="E774" t="inlineStr">
        <is>
          <t>VIMMERBY</t>
        </is>
      </c>
      <c r="G774" t="n">
        <v>2.6</v>
      </c>
      <c r="H774" t="n">
        <v>0</v>
      </c>
      <c r="I774" t="n">
        <v>0</v>
      </c>
      <c r="J774" t="n">
        <v>0</v>
      </c>
      <c r="K774" t="n">
        <v>0</v>
      </c>
      <c r="L774" t="n">
        <v>0</v>
      </c>
      <c r="M774" t="n">
        <v>0</v>
      </c>
      <c r="N774" t="n">
        <v>0</v>
      </c>
      <c r="O774" t="n">
        <v>0</v>
      </c>
      <c r="P774" t="n">
        <v>0</v>
      </c>
      <c r="Q774" t="n">
        <v>0</v>
      </c>
      <c r="R774" s="2" t="inlineStr"/>
    </row>
    <row r="775" ht="15" customHeight="1">
      <c r="A775" t="inlineStr">
        <is>
          <t>A 30070-2023</t>
        </is>
      </c>
      <c r="B775" s="1" t="n">
        <v>45110.4275</v>
      </c>
      <c r="C775" s="1" t="n">
        <v>46022</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31209-2024</t>
        </is>
      </c>
      <c r="B776" s="1" t="n">
        <v>45503.5658912037</v>
      </c>
      <c r="C776" s="1" t="n">
        <v>46022</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46022</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12586-2021</t>
        </is>
      </c>
      <c r="B778" s="1" t="n">
        <v>44270.38002314815</v>
      </c>
      <c r="C778" s="1" t="n">
        <v>46022</v>
      </c>
      <c r="D778" t="inlineStr">
        <is>
          <t>KALMAR LÄN</t>
        </is>
      </c>
      <c r="E778" t="inlineStr">
        <is>
          <t>VIMMERBY</t>
        </is>
      </c>
      <c r="F778" t="inlineStr">
        <is>
          <t>Sveaskog</t>
        </is>
      </c>
      <c r="G778" t="n">
        <v>0.9</v>
      </c>
      <c r="H778" t="n">
        <v>0</v>
      </c>
      <c r="I778" t="n">
        <v>0</v>
      </c>
      <c r="J778" t="n">
        <v>0</v>
      </c>
      <c r="K778" t="n">
        <v>0</v>
      </c>
      <c r="L778" t="n">
        <v>0</v>
      </c>
      <c r="M778" t="n">
        <v>0</v>
      </c>
      <c r="N778" t="n">
        <v>0</v>
      </c>
      <c r="O778" t="n">
        <v>0</v>
      </c>
      <c r="P778" t="n">
        <v>0</v>
      </c>
      <c r="Q778" t="n">
        <v>0</v>
      </c>
      <c r="R778" s="2" t="inlineStr"/>
    </row>
    <row r="779" ht="15" customHeight="1">
      <c r="A779" t="inlineStr">
        <is>
          <t>A 5864-2022</t>
        </is>
      </c>
      <c r="B779" s="1" t="n">
        <v>44596</v>
      </c>
      <c r="C779" s="1" t="n">
        <v>46022</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30912-2023</t>
        </is>
      </c>
      <c r="B780" s="1" t="n">
        <v>45113.41633101852</v>
      </c>
      <c r="C780" s="1" t="n">
        <v>46022</v>
      </c>
      <c r="D780" t="inlineStr">
        <is>
          <t>KALMAR LÄN</t>
        </is>
      </c>
      <c r="E780" t="inlineStr">
        <is>
          <t>VIMMERBY</t>
        </is>
      </c>
      <c r="G780" t="n">
        <v>5</v>
      </c>
      <c r="H780" t="n">
        <v>0</v>
      </c>
      <c r="I780" t="n">
        <v>0</v>
      </c>
      <c r="J780" t="n">
        <v>0</v>
      </c>
      <c r="K780" t="n">
        <v>0</v>
      </c>
      <c r="L780" t="n">
        <v>0</v>
      </c>
      <c r="M780" t="n">
        <v>0</v>
      </c>
      <c r="N780" t="n">
        <v>0</v>
      </c>
      <c r="O780" t="n">
        <v>0</v>
      </c>
      <c r="P780" t="n">
        <v>0</v>
      </c>
      <c r="Q780" t="n">
        <v>0</v>
      </c>
      <c r="R780" s="2" t="inlineStr"/>
    </row>
    <row r="781" ht="15" customHeight="1">
      <c r="A781" t="inlineStr">
        <is>
          <t>A 1146-2025</t>
        </is>
      </c>
      <c r="B781" s="1" t="n">
        <v>45666</v>
      </c>
      <c r="C781" s="1" t="n">
        <v>46022</v>
      </c>
      <c r="D781" t="inlineStr">
        <is>
          <t>KALMAR LÄN</t>
        </is>
      </c>
      <c r="E781" t="inlineStr">
        <is>
          <t>VIMMERBY</t>
        </is>
      </c>
      <c r="G781" t="n">
        <v>4</v>
      </c>
      <c r="H781" t="n">
        <v>0</v>
      </c>
      <c r="I781" t="n">
        <v>0</v>
      </c>
      <c r="J781" t="n">
        <v>0</v>
      </c>
      <c r="K781" t="n">
        <v>0</v>
      </c>
      <c r="L781" t="n">
        <v>0</v>
      </c>
      <c r="M781" t="n">
        <v>0</v>
      </c>
      <c r="N781" t="n">
        <v>0</v>
      </c>
      <c r="O781" t="n">
        <v>0</v>
      </c>
      <c r="P781" t="n">
        <v>0</v>
      </c>
      <c r="Q781" t="n">
        <v>0</v>
      </c>
      <c r="R781" s="2" t="inlineStr"/>
    </row>
    <row r="782" ht="15" customHeight="1">
      <c r="A782" t="inlineStr">
        <is>
          <t>A 62023-2022</t>
        </is>
      </c>
      <c r="B782" s="1" t="n">
        <v>44918.50106481482</v>
      </c>
      <c r="C782" s="1" t="n">
        <v>46022</v>
      </c>
      <c r="D782" t="inlineStr">
        <is>
          <t>KALMAR LÄN</t>
        </is>
      </c>
      <c r="E782" t="inlineStr">
        <is>
          <t>VIMMERBY</t>
        </is>
      </c>
      <c r="G782" t="n">
        <v>0.3</v>
      </c>
      <c r="H782" t="n">
        <v>0</v>
      </c>
      <c r="I782" t="n">
        <v>0</v>
      </c>
      <c r="J782" t="n">
        <v>0</v>
      </c>
      <c r="K782" t="n">
        <v>0</v>
      </c>
      <c r="L782" t="n">
        <v>0</v>
      </c>
      <c r="M782" t="n">
        <v>0</v>
      </c>
      <c r="N782" t="n">
        <v>0</v>
      </c>
      <c r="O782" t="n">
        <v>0</v>
      </c>
      <c r="P782" t="n">
        <v>0</v>
      </c>
      <c r="Q782" t="n">
        <v>0</v>
      </c>
      <c r="R782" s="2" t="inlineStr"/>
    </row>
    <row r="783" ht="15" customHeight="1">
      <c r="A783" t="inlineStr">
        <is>
          <t>A 16119-2023</t>
        </is>
      </c>
      <c r="B783" s="1" t="n">
        <v>45027.59450231482</v>
      </c>
      <c r="C783" s="1" t="n">
        <v>46022</v>
      </c>
      <c r="D783" t="inlineStr">
        <is>
          <t>KALMAR LÄN</t>
        </is>
      </c>
      <c r="E783" t="inlineStr">
        <is>
          <t>VIMMERBY</t>
        </is>
      </c>
      <c r="F783" t="inlineStr">
        <is>
          <t>Kommuner</t>
        </is>
      </c>
      <c r="G783" t="n">
        <v>4.4</v>
      </c>
      <c r="H783" t="n">
        <v>0</v>
      </c>
      <c r="I783" t="n">
        <v>0</v>
      </c>
      <c r="J783" t="n">
        <v>0</v>
      </c>
      <c r="K783" t="n">
        <v>0</v>
      </c>
      <c r="L783" t="n">
        <v>0</v>
      </c>
      <c r="M783" t="n">
        <v>0</v>
      </c>
      <c r="N783" t="n">
        <v>0</v>
      </c>
      <c r="O783" t="n">
        <v>0</v>
      </c>
      <c r="P783" t="n">
        <v>0</v>
      </c>
      <c r="Q783" t="n">
        <v>0</v>
      </c>
      <c r="R783" s="2" t="inlineStr"/>
    </row>
    <row r="784" ht="15" customHeight="1">
      <c r="A784" t="inlineStr">
        <is>
          <t>A 52327-2023</t>
        </is>
      </c>
      <c r="B784" s="1" t="n">
        <v>45224.6515162037</v>
      </c>
      <c r="C784" s="1" t="n">
        <v>46022</v>
      </c>
      <c r="D784" t="inlineStr">
        <is>
          <t>KALMAR LÄN</t>
        </is>
      </c>
      <c r="E784" t="inlineStr">
        <is>
          <t>VIMMERBY</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12075-2024</t>
        </is>
      </c>
      <c r="B785" s="1" t="n">
        <v>45377</v>
      </c>
      <c r="C785" s="1" t="n">
        <v>46022</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29348-2023</t>
        </is>
      </c>
      <c r="B786" s="1" t="n">
        <v>45106.25025462963</v>
      </c>
      <c r="C786" s="1" t="n">
        <v>46022</v>
      </c>
      <c r="D786" t="inlineStr">
        <is>
          <t>KALMAR LÄN</t>
        </is>
      </c>
      <c r="E786" t="inlineStr">
        <is>
          <t>VIMMERBY</t>
        </is>
      </c>
      <c r="G786" t="n">
        <v>2.4</v>
      </c>
      <c r="H786" t="n">
        <v>0</v>
      </c>
      <c r="I786" t="n">
        <v>0</v>
      </c>
      <c r="J786" t="n">
        <v>0</v>
      </c>
      <c r="K786" t="n">
        <v>0</v>
      </c>
      <c r="L786" t="n">
        <v>0</v>
      </c>
      <c r="M786" t="n">
        <v>0</v>
      </c>
      <c r="N786" t="n">
        <v>0</v>
      </c>
      <c r="O786" t="n">
        <v>0</v>
      </c>
      <c r="P786" t="n">
        <v>0</v>
      </c>
      <c r="Q786" t="n">
        <v>0</v>
      </c>
      <c r="R786" s="2" t="inlineStr"/>
    </row>
    <row r="787" ht="15" customHeight="1">
      <c r="A787" t="inlineStr">
        <is>
          <t>A 31340-2023</t>
        </is>
      </c>
      <c r="B787" s="1" t="n">
        <v>45114.47895833333</v>
      </c>
      <c r="C787" s="1" t="n">
        <v>46022</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7758-2024</t>
        </is>
      </c>
      <c r="B788" s="1" t="n">
        <v>45349.54434027777</v>
      </c>
      <c r="C788" s="1" t="n">
        <v>46022</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5701-2024</t>
        </is>
      </c>
      <c r="B789" s="1" t="n">
        <v>45334.78826388889</v>
      </c>
      <c r="C789" s="1" t="n">
        <v>46022</v>
      </c>
      <c r="D789" t="inlineStr">
        <is>
          <t>KALMAR LÄN</t>
        </is>
      </c>
      <c r="E789" t="inlineStr">
        <is>
          <t>VIMMERBY</t>
        </is>
      </c>
      <c r="G789" t="n">
        <v>2.3</v>
      </c>
      <c r="H789" t="n">
        <v>0</v>
      </c>
      <c r="I789" t="n">
        <v>0</v>
      </c>
      <c r="J789" t="n">
        <v>0</v>
      </c>
      <c r="K789" t="n">
        <v>0</v>
      </c>
      <c r="L789" t="n">
        <v>0</v>
      </c>
      <c r="M789" t="n">
        <v>0</v>
      </c>
      <c r="N789" t="n">
        <v>0</v>
      </c>
      <c r="O789" t="n">
        <v>0</v>
      </c>
      <c r="P789" t="n">
        <v>0</v>
      </c>
      <c r="Q789" t="n">
        <v>0</v>
      </c>
      <c r="R789" s="2" t="inlineStr"/>
    </row>
    <row r="790" ht="15" customHeight="1">
      <c r="A790" t="inlineStr">
        <is>
          <t>A 31405-2023</t>
        </is>
      </c>
      <c r="B790" s="1" t="n">
        <v>45114.58148148148</v>
      </c>
      <c r="C790" s="1" t="n">
        <v>46022</v>
      </c>
      <c r="D790" t="inlineStr">
        <is>
          <t>KALMAR LÄN</t>
        </is>
      </c>
      <c r="E790" t="inlineStr">
        <is>
          <t>VIMMERBY</t>
        </is>
      </c>
      <c r="G790" t="n">
        <v>2.6</v>
      </c>
      <c r="H790" t="n">
        <v>0</v>
      </c>
      <c r="I790" t="n">
        <v>0</v>
      </c>
      <c r="J790" t="n">
        <v>0</v>
      </c>
      <c r="K790" t="n">
        <v>0</v>
      </c>
      <c r="L790" t="n">
        <v>0</v>
      </c>
      <c r="M790" t="n">
        <v>0</v>
      </c>
      <c r="N790" t="n">
        <v>0</v>
      </c>
      <c r="O790" t="n">
        <v>0</v>
      </c>
      <c r="P790" t="n">
        <v>0</v>
      </c>
      <c r="Q790" t="n">
        <v>0</v>
      </c>
      <c r="R790" s="2" t="inlineStr"/>
    </row>
    <row r="791" ht="15" customHeight="1">
      <c r="A791" t="inlineStr">
        <is>
          <t>A 6355-2022</t>
        </is>
      </c>
      <c r="B791" s="1" t="n">
        <v>44600</v>
      </c>
      <c r="C791" s="1" t="n">
        <v>46022</v>
      </c>
      <c r="D791" t="inlineStr">
        <is>
          <t>KALMAR LÄN</t>
        </is>
      </c>
      <c r="E791" t="inlineStr">
        <is>
          <t>VIMMERBY</t>
        </is>
      </c>
      <c r="G791" t="n">
        <v>4.9</v>
      </c>
      <c r="H791" t="n">
        <v>0</v>
      </c>
      <c r="I791" t="n">
        <v>0</v>
      </c>
      <c r="J791" t="n">
        <v>0</v>
      </c>
      <c r="K791" t="n">
        <v>0</v>
      </c>
      <c r="L791" t="n">
        <v>0</v>
      </c>
      <c r="M791" t="n">
        <v>0</v>
      </c>
      <c r="N791" t="n">
        <v>0</v>
      </c>
      <c r="O791" t="n">
        <v>0</v>
      </c>
      <c r="P791" t="n">
        <v>0</v>
      </c>
      <c r="Q791" t="n">
        <v>0</v>
      </c>
      <c r="R791" s="2" t="inlineStr"/>
    </row>
    <row r="792" ht="15" customHeight="1">
      <c r="A792" t="inlineStr">
        <is>
          <t>A 46225-2024</t>
        </is>
      </c>
      <c r="B792" s="1" t="n">
        <v>45581.57333333333</v>
      </c>
      <c r="C792" s="1" t="n">
        <v>46022</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9418-2024</t>
        </is>
      </c>
      <c r="B793" s="1" t="n">
        <v>45359.45038194444</v>
      </c>
      <c r="C793" s="1" t="n">
        <v>46022</v>
      </c>
      <c r="D793" t="inlineStr">
        <is>
          <t>KALMAR LÄN</t>
        </is>
      </c>
      <c r="E793" t="inlineStr">
        <is>
          <t>VIMMERBY</t>
        </is>
      </c>
      <c r="G793" t="n">
        <v>1.9</v>
      </c>
      <c r="H793" t="n">
        <v>0</v>
      </c>
      <c r="I793" t="n">
        <v>0</v>
      </c>
      <c r="J793" t="n">
        <v>0</v>
      </c>
      <c r="K793" t="n">
        <v>0</v>
      </c>
      <c r="L793" t="n">
        <v>0</v>
      </c>
      <c r="M793" t="n">
        <v>0</v>
      </c>
      <c r="N793" t="n">
        <v>0</v>
      </c>
      <c r="O793" t="n">
        <v>0</v>
      </c>
      <c r="P793" t="n">
        <v>0</v>
      </c>
      <c r="Q793" t="n">
        <v>0</v>
      </c>
      <c r="R793" s="2" t="inlineStr"/>
    </row>
    <row r="794" ht="15" customHeight="1">
      <c r="A794" t="inlineStr">
        <is>
          <t>A 57091-2022</t>
        </is>
      </c>
      <c r="B794" s="1" t="n">
        <v>44895.46524305556</v>
      </c>
      <c r="C794" s="1" t="n">
        <v>46022</v>
      </c>
      <c r="D794" t="inlineStr">
        <is>
          <t>KALMAR LÄN</t>
        </is>
      </c>
      <c r="E794" t="inlineStr">
        <is>
          <t>VIMMERBY</t>
        </is>
      </c>
      <c r="G794" t="n">
        <v>2.6</v>
      </c>
      <c r="H794" t="n">
        <v>0</v>
      </c>
      <c r="I794" t="n">
        <v>0</v>
      </c>
      <c r="J794" t="n">
        <v>0</v>
      </c>
      <c r="K794" t="n">
        <v>0</v>
      </c>
      <c r="L794" t="n">
        <v>0</v>
      </c>
      <c r="M794" t="n">
        <v>0</v>
      </c>
      <c r="N794" t="n">
        <v>0</v>
      </c>
      <c r="O794" t="n">
        <v>0</v>
      </c>
      <c r="P794" t="n">
        <v>0</v>
      </c>
      <c r="Q794" t="n">
        <v>0</v>
      </c>
      <c r="R794" s="2" t="inlineStr"/>
    </row>
    <row r="795" ht="15" customHeight="1">
      <c r="A795" t="inlineStr">
        <is>
          <t>A 3816-2022</t>
        </is>
      </c>
      <c r="B795" s="1" t="n">
        <v>44587</v>
      </c>
      <c r="C795" s="1" t="n">
        <v>46022</v>
      </c>
      <c r="D795" t="inlineStr">
        <is>
          <t>KALMAR LÄN</t>
        </is>
      </c>
      <c r="E795" t="inlineStr">
        <is>
          <t>VIMMERBY</t>
        </is>
      </c>
      <c r="G795" t="n">
        <v>1.2</v>
      </c>
      <c r="H795" t="n">
        <v>0</v>
      </c>
      <c r="I795" t="n">
        <v>0</v>
      </c>
      <c r="J795" t="n">
        <v>0</v>
      </c>
      <c r="K795" t="n">
        <v>0</v>
      </c>
      <c r="L795" t="n">
        <v>0</v>
      </c>
      <c r="M795" t="n">
        <v>0</v>
      </c>
      <c r="N795" t="n">
        <v>0</v>
      </c>
      <c r="O795" t="n">
        <v>0</v>
      </c>
      <c r="P795" t="n">
        <v>0</v>
      </c>
      <c r="Q795" t="n">
        <v>0</v>
      </c>
      <c r="R795" s="2" t="inlineStr"/>
    </row>
    <row r="796" ht="15" customHeight="1">
      <c r="A796" t="inlineStr">
        <is>
          <t>A 43606-2024</t>
        </is>
      </c>
      <c r="B796" s="1" t="n">
        <v>45569.45017361111</v>
      </c>
      <c r="C796" s="1" t="n">
        <v>46022</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43617-2024</t>
        </is>
      </c>
      <c r="B797" s="1" t="n">
        <v>45569.47494212963</v>
      </c>
      <c r="C797" s="1" t="n">
        <v>46022</v>
      </c>
      <c r="D797" t="inlineStr">
        <is>
          <t>KALMAR LÄN</t>
        </is>
      </c>
      <c r="E797" t="inlineStr">
        <is>
          <t>VIMMERBY</t>
        </is>
      </c>
      <c r="G797" t="n">
        <v>2.7</v>
      </c>
      <c r="H797" t="n">
        <v>0</v>
      </c>
      <c r="I797" t="n">
        <v>0</v>
      </c>
      <c r="J797" t="n">
        <v>0</v>
      </c>
      <c r="K797" t="n">
        <v>0</v>
      </c>
      <c r="L797" t="n">
        <v>0</v>
      </c>
      <c r="M797" t="n">
        <v>0</v>
      </c>
      <c r="N797" t="n">
        <v>0</v>
      </c>
      <c r="O797" t="n">
        <v>0</v>
      </c>
      <c r="P797" t="n">
        <v>0</v>
      </c>
      <c r="Q797" t="n">
        <v>0</v>
      </c>
      <c r="R797" s="2" t="inlineStr"/>
    </row>
    <row r="798" ht="15" customHeight="1">
      <c r="A798" t="inlineStr">
        <is>
          <t>A 47859-2024</t>
        </is>
      </c>
      <c r="B798" s="1" t="n">
        <v>45588.67070601852</v>
      </c>
      <c r="C798" s="1" t="n">
        <v>46022</v>
      </c>
      <c r="D798" t="inlineStr">
        <is>
          <t>KALMAR LÄN</t>
        </is>
      </c>
      <c r="E798" t="inlineStr">
        <is>
          <t>VIMMERBY</t>
        </is>
      </c>
      <c r="G798" t="n">
        <v>1.7</v>
      </c>
      <c r="H798" t="n">
        <v>0</v>
      </c>
      <c r="I798" t="n">
        <v>0</v>
      </c>
      <c r="J798" t="n">
        <v>0</v>
      </c>
      <c r="K798" t="n">
        <v>0</v>
      </c>
      <c r="L798" t="n">
        <v>0</v>
      </c>
      <c r="M798" t="n">
        <v>0</v>
      </c>
      <c r="N798" t="n">
        <v>0</v>
      </c>
      <c r="O798" t="n">
        <v>0</v>
      </c>
      <c r="P798" t="n">
        <v>0</v>
      </c>
      <c r="Q798" t="n">
        <v>0</v>
      </c>
      <c r="R798" s="2" t="inlineStr"/>
    </row>
    <row r="799" ht="15" customHeight="1">
      <c r="A799" t="inlineStr">
        <is>
          <t>A 8540-2024</t>
        </is>
      </c>
      <c r="B799" s="1" t="n">
        <v>45355.54138888889</v>
      </c>
      <c r="C799" s="1" t="n">
        <v>46022</v>
      </c>
      <c r="D799" t="inlineStr">
        <is>
          <t>KALMAR LÄN</t>
        </is>
      </c>
      <c r="E799" t="inlineStr">
        <is>
          <t>VIMMERBY</t>
        </is>
      </c>
      <c r="G799" t="n">
        <v>1.9</v>
      </c>
      <c r="H799" t="n">
        <v>0</v>
      </c>
      <c r="I799" t="n">
        <v>0</v>
      </c>
      <c r="J799" t="n">
        <v>0</v>
      </c>
      <c r="K799" t="n">
        <v>0</v>
      </c>
      <c r="L799" t="n">
        <v>0</v>
      </c>
      <c r="M799" t="n">
        <v>0</v>
      </c>
      <c r="N799" t="n">
        <v>0</v>
      </c>
      <c r="O799" t="n">
        <v>0</v>
      </c>
      <c r="P799" t="n">
        <v>0</v>
      </c>
      <c r="Q799" t="n">
        <v>0</v>
      </c>
      <c r="R799" s="2" t="inlineStr"/>
    </row>
    <row r="800" ht="15" customHeight="1">
      <c r="A800" t="inlineStr">
        <is>
          <t>A 3331-2023</t>
        </is>
      </c>
      <c r="B800" s="1" t="n">
        <v>44949</v>
      </c>
      <c r="C800" s="1" t="n">
        <v>46022</v>
      </c>
      <c r="D800" t="inlineStr">
        <is>
          <t>KALMAR LÄN</t>
        </is>
      </c>
      <c r="E800" t="inlineStr">
        <is>
          <t>VIMMERBY</t>
        </is>
      </c>
      <c r="G800" t="n">
        <v>6.2</v>
      </c>
      <c r="H800" t="n">
        <v>0</v>
      </c>
      <c r="I800" t="n">
        <v>0</v>
      </c>
      <c r="J800" t="n">
        <v>0</v>
      </c>
      <c r="K800" t="n">
        <v>0</v>
      </c>
      <c r="L800" t="n">
        <v>0</v>
      </c>
      <c r="M800" t="n">
        <v>0</v>
      </c>
      <c r="N800" t="n">
        <v>0</v>
      </c>
      <c r="O800" t="n">
        <v>0</v>
      </c>
      <c r="P800" t="n">
        <v>0</v>
      </c>
      <c r="Q800" t="n">
        <v>0</v>
      </c>
      <c r="R800" s="2" t="inlineStr"/>
    </row>
    <row r="801" ht="15" customHeight="1">
      <c r="A801" t="inlineStr">
        <is>
          <t>A 598-2025</t>
        </is>
      </c>
      <c r="B801" s="1" t="n">
        <v>45660</v>
      </c>
      <c r="C801" s="1" t="n">
        <v>46022</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25799-2023</t>
        </is>
      </c>
      <c r="B802" s="1" t="n">
        <v>45090</v>
      </c>
      <c r="C802" s="1" t="n">
        <v>46022</v>
      </c>
      <c r="D802" t="inlineStr">
        <is>
          <t>KALMAR LÄN</t>
        </is>
      </c>
      <c r="E802" t="inlineStr">
        <is>
          <t>VIMMERBY</t>
        </is>
      </c>
      <c r="G802" t="n">
        <v>7.7</v>
      </c>
      <c r="H802" t="n">
        <v>0</v>
      </c>
      <c r="I802" t="n">
        <v>0</v>
      </c>
      <c r="J802" t="n">
        <v>0</v>
      </c>
      <c r="K802" t="n">
        <v>0</v>
      </c>
      <c r="L802" t="n">
        <v>0</v>
      </c>
      <c r="M802" t="n">
        <v>0</v>
      </c>
      <c r="N802" t="n">
        <v>0</v>
      </c>
      <c r="O802" t="n">
        <v>0</v>
      </c>
      <c r="P802" t="n">
        <v>0</v>
      </c>
      <c r="Q802" t="n">
        <v>0</v>
      </c>
      <c r="R802" s="2" t="inlineStr"/>
    </row>
    <row r="803" ht="15" customHeight="1">
      <c r="A803" t="inlineStr">
        <is>
          <t>A 53083-2021</t>
        </is>
      </c>
      <c r="B803" s="1" t="n">
        <v>44467.83386574074</v>
      </c>
      <c r="C803" s="1" t="n">
        <v>46022</v>
      </c>
      <c r="D803" t="inlineStr">
        <is>
          <t>KALMAR LÄN</t>
        </is>
      </c>
      <c r="E803" t="inlineStr">
        <is>
          <t>VIMMERBY</t>
        </is>
      </c>
      <c r="G803" t="n">
        <v>6.8</v>
      </c>
      <c r="H803" t="n">
        <v>0</v>
      </c>
      <c r="I803" t="n">
        <v>0</v>
      </c>
      <c r="J803" t="n">
        <v>0</v>
      </c>
      <c r="K803" t="n">
        <v>0</v>
      </c>
      <c r="L803" t="n">
        <v>0</v>
      </c>
      <c r="M803" t="n">
        <v>0</v>
      </c>
      <c r="N803" t="n">
        <v>0</v>
      </c>
      <c r="O803" t="n">
        <v>0</v>
      </c>
      <c r="P803" t="n">
        <v>0</v>
      </c>
      <c r="Q803" t="n">
        <v>0</v>
      </c>
      <c r="R803" s="2" t="inlineStr"/>
    </row>
    <row r="804" ht="15" customHeight="1">
      <c r="A804" t="inlineStr">
        <is>
          <t>A 24655-2021</t>
        </is>
      </c>
      <c r="B804" s="1" t="n">
        <v>44340</v>
      </c>
      <c r="C804" s="1" t="n">
        <v>46022</v>
      </c>
      <c r="D804" t="inlineStr">
        <is>
          <t>KALMAR LÄN</t>
        </is>
      </c>
      <c r="E804" t="inlineStr">
        <is>
          <t>VIMMERBY</t>
        </is>
      </c>
      <c r="G804" t="n">
        <v>14.9</v>
      </c>
      <c r="H804" t="n">
        <v>0</v>
      </c>
      <c r="I804" t="n">
        <v>0</v>
      </c>
      <c r="J804" t="n">
        <v>0</v>
      </c>
      <c r="K804" t="n">
        <v>0</v>
      </c>
      <c r="L804" t="n">
        <v>0</v>
      </c>
      <c r="M804" t="n">
        <v>0</v>
      </c>
      <c r="N804" t="n">
        <v>0</v>
      </c>
      <c r="O804" t="n">
        <v>0</v>
      </c>
      <c r="P804" t="n">
        <v>0</v>
      </c>
      <c r="Q804" t="n">
        <v>0</v>
      </c>
      <c r="R804" s="2" t="inlineStr"/>
    </row>
    <row r="805" ht="15" customHeight="1">
      <c r="A805" t="inlineStr">
        <is>
          <t>A 33838-2022</t>
        </is>
      </c>
      <c r="B805" s="1" t="n">
        <v>44790.49040509259</v>
      </c>
      <c r="C805" s="1" t="n">
        <v>46022</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32835-2022</t>
        </is>
      </c>
      <c r="B806" s="1" t="n">
        <v>44784.42528935185</v>
      </c>
      <c r="C806" s="1" t="n">
        <v>46022</v>
      </c>
      <c r="D806" t="inlineStr">
        <is>
          <t>KALMAR LÄN</t>
        </is>
      </c>
      <c r="E806" t="inlineStr">
        <is>
          <t>VIMMERBY</t>
        </is>
      </c>
      <c r="G806" t="n">
        <v>1.6</v>
      </c>
      <c r="H806" t="n">
        <v>0</v>
      </c>
      <c r="I806" t="n">
        <v>0</v>
      </c>
      <c r="J806" t="n">
        <v>0</v>
      </c>
      <c r="K806" t="n">
        <v>0</v>
      </c>
      <c r="L806" t="n">
        <v>0</v>
      </c>
      <c r="M806" t="n">
        <v>0</v>
      </c>
      <c r="N806" t="n">
        <v>0</v>
      </c>
      <c r="O806" t="n">
        <v>0</v>
      </c>
      <c r="P806" t="n">
        <v>0</v>
      </c>
      <c r="Q806" t="n">
        <v>0</v>
      </c>
      <c r="R806" s="2" t="inlineStr"/>
    </row>
    <row r="807" ht="15" customHeight="1">
      <c r="A807" t="inlineStr">
        <is>
          <t>A 1081-2023</t>
        </is>
      </c>
      <c r="B807" s="1" t="n">
        <v>44935</v>
      </c>
      <c r="C807" s="1" t="n">
        <v>46022</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47063-2022</t>
        </is>
      </c>
      <c r="B808" s="1" t="n">
        <v>44852</v>
      </c>
      <c r="C808" s="1" t="n">
        <v>46022</v>
      </c>
      <c r="D808" t="inlineStr">
        <is>
          <t>KALMAR LÄN</t>
        </is>
      </c>
      <c r="E808" t="inlineStr">
        <is>
          <t>VIMMERBY</t>
        </is>
      </c>
      <c r="G808" t="n">
        <v>2.5</v>
      </c>
      <c r="H808" t="n">
        <v>0</v>
      </c>
      <c r="I808" t="n">
        <v>0</v>
      </c>
      <c r="J808" t="n">
        <v>0</v>
      </c>
      <c r="K808" t="n">
        <v>0</v>
      </c>
      <c r="L808" t="n">
        <v>0</v>
      </c>
      <c r="M808" t="n">
        <v>0</v>
      </c>
      <c r="N808" t="n">
        <v>0</v>
      </c>
      <c r="O808" t="n">
        <v>0</v>
      </c>
      <c r="P808" t="n">
        <v>0</v>
      </c>
      <c r="Q808" t="n">
        <v>0</v>
      </c>
      <c r="R808" s="2" t="inlineStr"/>
    </row>
    <row r="809" ht="15" customHeight="1">
      <c r="A809" t="inlineStr">
        <is>
          <t>A 28403-2023</t>
        </is>
      </c>
      <c r="B809" s="1" t="n">
        <v>45100.85270833333</v>
      </c>
      <c r="C809" s="1" t="n">
        <v>46022</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33103-2024</t>
        </is>
      </c>
      <c r="B810" s="1" t="n">
        <v>45517.8162037037</v>
      </c>
      <c r="C810" s="1" t="n">
        <v>46022</v>
      </c>
      <c r="D810" t="inlineStr">
        <is>
          <t>KALMAR LÄN</t>
        </is>
      </c>
      <c r="E810" t="inlineStr">
        <is>
          <t>VIMMERBY</t>
        </is>
      </c>
      <c r="G810" t="n">
        <v>1.6</v>
      </c>
      <c r="H810" t="n">
        <v>0</v>
      </c>
      <c r="I810" t="n">
        <v>0</v>
      </c>
      <c r="J810" t="n">
        <v>0</v>
      </c>
      <c r="K810" t="n">
        <v>0</v>
      </c>
      <c r="L810" t="n">
        <v>0</v>
      </c>
      <c r="M810" t="n">
        <v>0</v>
      </c>
      <c r="N810" t="n">
        <v>0</v>
      </c>
      <c r="O810" t="n">
        <v>0</v>
      </c>
      <c r="P810" t="n">
        <v>0</v>
      </c>
      <c r="Q810" t="n">
        <v>0</v>
      </c>
      <c r="R810" s="2" t="inlineStr"/>
    </row>
    <row r="811" ht="15" customHeight="1">
      <c r="A811" t="inlineStr">
        <is>
          <t>A 2260-2022</t>
        </is>
      </c>
      <c r="B811" s="1" t="n">
        <v>44578.62943287037</v>
      </c>
      <c r="C811" s="1" t="n">
        <v>46022</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11661-2023</t>
        </is>
      </c>
      <c r="B812" s="1" t="n">
        <v>44994.46908564815</v>
      </c>
      <c r="C812" s="1" t="n">
        <v>46022</v>
      </c>
      <c r="D812" t="inlineStr">
        <is>
          <t>KALMAR LÄN</t>
        </is>
      </c>
      <c r="E812" t="inlineStr">
        <is>
          <t>VIMMERBY</t>
        </is>
      </c>
      <c r="G812" t="n">
        <v>2.7</v>
      </c>
      <c r="H812" t="n">
        <v>0</v>
      </c>
      <c r="I812" t="n">
        <v>0</v>
      </c>
      <c r="J812" t="n">
        <v>0</v>
      </c>
      <c r="K812" t="n">
        <v>0</v>
      </c>
      <c r="L812" t="n">
        <v>0</v>
      </c>
      <c r="M812" t="n">
        <v>0</v>
      </c>
      <c r="N812" t="n">
        <v>0</v>
      </c>
      <c r="O812" t="n">
        <v>0</v>
      </c>
      <c r="P812" t="n">
        <v>0</v>
      </c>
      <c r="Q812" t="n">
        <v>0</v>
      </c>
      <c r="R812" s="2" t="inlineStr"/>
    </row>
    <row r="813" ht="15" customHeight="1">
      <c r="A813" t="inlineStr">
        <is>
          <t>A 58046-2022</t>
        </is>
      </c>
      <c r="B813" s="1" t="n">
        <v>44900.57393518519</v>
      </c>
      <c r="C813" s="1" t="n">
        <v>46022</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45528-2021</t>
        </is>
      </c>
      <c r="B814" s="1" t="n">
        <v>44440.60415509259</v>
      </c>
      <c r="C814" s="1" t="n">
        <v>46022</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46979-2023</t>
        </is>
      </c>
      <c r="B815" s="1" t="n">
        <v>45201</v>
      </c>
      <c r="C815" s="1" t="n">
        <v>46022</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6574-2023</t>
        </is>
      </c>
      <c r="B816" s="1" t="n">
        <v>44966</v>
      </c>
      <c r="C816" s="1" t="n">
        <v>46022</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4058-2024</t>
        </is>
      </c>
      <c r="B817" s="1" t="n">
        <v>45323.53744212963</v>
      </c>
      <c r="C817" s="1" t="n">
        <v>46022</v>
      </c>
      <c r="D817" t="inlineStr">
        <is>
          <t>KALMAR LÄN</t>
        </is>
      </c>
      <c r="E817" t="inlineStr">
        <is>
          <t>VIMMERBY</t>
        </is>
      </c>
      <c r="G817" t="n">
        <v>6.5</v>
      </c>
      <c r="H817" t="n">
        <v>0</v>
      </c>
      <c r="I817" t="n">
        <v>0</v>
      </c>
      <c r="J817" t="n">
        <v>0</v>
      </c>
      <c r="K817" t="n">
        <v>0</v>
      </c>
      <c r="L817" t="n">
        <v>0</v>
      </c>
      <c r="M817" t="n">
        <v>0</v>
      </c>
      <c r="N817" t="n">
        <v>0</v>
      </c>
      <c r="O817" t="n">
        <v>0</v>
      </c>
      <c r="P817" t="n">
        <v>0</v>
      </c>
      <c r="Q817" t="n">
        <v>0</v>
      </c>
      <c r="R817" s="2" t="inlineStr"/>
    </row>
    <row r="818" ht="15" customHeight="1">
      <c r="A818" t="inlineStr">
        <is>
          <t>A 1978-2024</t>
        </is>
      </c>
      <c r="B818" s="1" t="n">
        <v>45308.59001157407</v>
      </c>
      <c r="C818" s="1" t="n">
        <v>46022</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30318-2023</t>
        </is>
      </c>
      <c r="B819" s="1" t="n">
        <v>45111.30824074074</v>
      </c>
      <c r="C819" s="1" t="n">
        <v>46022</v>
      </c>
      <c r="D819" t="inlineStr">
        <is>
          <t>KALMAR LÄN</t>
        </is>
      </c>
      <c r="E819" t="inlineStr">
        <is>
          <t>VIMMERBY</t>
        </is>
      </c>
      <c r="G819" t="n">
        <v>2.6</v>
      </c>
      <c r="H819" t="n">
        <v>0</v>
      </c>
      <c r="I819" t="n">
        <v>0</v>
      </c>
      <c r="J819" t="n">
        <v>0</v>
      </c>
      <c r="K819" t="n">
        <v>0</v>
      </c>
      <c r="L819" t="n">
        <v>0</v>
      </c>
      <c r="M819" t="n">
        <v>0</v>
      </c>
      <c r="N819" t="n">
        <v>0</v>
      </c>
      <c r="O819" t="n">
        <v>0</v>
      </c>
      <c r="P819" t="n">
        <v>0</v>
      </c>
      <c r="Q819" t="n">
        <v>0</v>
      </c>
      <c r="R819" s="2" t="inlineStr"/>
    </row>
    <row r="820" ht="15" customHeight="1">
      <c r="A820" t="inlineStr">
        <is>
          <t>A 25234-2023</t>
        </is>
      </c>
      <c r="B820" s="1" t="n">
        <v>45086.63194444445</v>
      </c>
      <c r="C820" s="1" t="n">
        <v>46022</v>
      </c>
      <c r="D820" t="inlineStr">
        <is>
          <t>KALMAR LÄN</t>
        </is>
      </c>
      <c r="E820" t="inlineStr">
        <is>
          <t>VIMMERBY</t>
        </is>
      </c>
      <c r="G820" t="n">
        <v>2.1</v>
      </c>
      <c r="H820" t="n">
        <v>0</v>
      </c>
      <c r="I820" t="n">
        <v>0</v>
      </c>
      <c r="J820" t="n">
        <v>0</v>
      </c>
      <c r="K820" t="n">
        <v>0</v>
      </c>
      <c r="L820" t="n">
        <v>0</v>
      </c>
      <c r="M820" t="n">
        <v>0</v>
      </c>
      <c r="N820" t="n">
        <v>0</v>
      </c>
      <c r="O820" t="n">
        <v>0</v>
      </c>
      <c r="P820" t="n">
        <v>0</v>
      </c>
      <c r="Q820" t="n">
        <v>0</v>
      </c>
      <c r="R820" s="2" t="inlineStr"/>
    </row>
    <row r="821" ht="15" customHeight="1">
      <c r="A821" t="inlineStr">
        <is>
          <t>A 46078-2023</t>
        </is>
      </c>
      <c r="B821" s="1" t="n">
        <v>45196</v>
      </c>
      <c r="C821" s="1" t="n">
        <v>46022</v>
      </c>
      <c r="D821" t="inlineStr">
        <is>
          <t>KALMAR LÄN</t>
        </is>
      </c>
      <c r="E821" t="inlineStr">
        <is>
          <t>VIMMERBY</t>
        </is>
      </c>
      <c r="G821" t="n">
        <v>0.7</v>
      </c>
      <c r="H821" t="n">
        <v>0</v>
      </c>
      <c r="I821" t="n">
        <v>0</v>
      </c>
      <c r="J821" t="n">
        <v>0</v>
      </c>
      <c r="K821" t="n">
        <v>0</v>
      </c>
      <c r="L821" t="n">
        <v>0</v>
      </c>
      <c r="M821" t="n">
        <v>0</v>
      </c>
      <c r="N821" t="n">
        <v>0</v>
      </c>
      <c r="O821" t="n">
        <v>0</v>
      </c>
      <c r="P821" t="n">
        <v>0</v>
      </c>
      <c r="Q821" t="n">
        <v>0</v>
      </c>
      <c r="R821" s="2" t="inlineStr"/>
    </row>
    <row r="822" ht="15" customHeight="1">
      <c r="A822" t="inlineStr">
        <is>
          <t>A 3609-2024</t>
        </is>
      </c>
      <c r="B822" s="1" t="n">
        <v>45320.89128472222</v>
      </c>
      <c r="C822" s="1" t="n">
        <v>46022</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10424-2023</t>
        </is>
      </c>
      <c r="B823" s="1" t="n">
        <v>44987.54104166666</v>
      </c>
      <c r="C823" s="1" t="n">
        <v>46022</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49382-2023</t>
        </is>
      </c>
      <c r="B824" s="1" t="n">
        <v>45208</v>
      </c>
      <c r="C824" s="1" t="n">
        <v>46022</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45001.43854166667</v>
      </c>
      <c r="C825" s="1" t="n">
        <v>46022</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3425-2022</t>
        </is>
      </c>
      <c r="B826" s="1" t="n">
        <v>44585.51060185185</v>
      </c>
      <c r="C826" s="1" t="n">
        <v>46022</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60675-2023</t>
        </is>
      </c>
      <c r="B827" s="1" t="n">
        <v>45260.4716550926</v>
      </c>
      <c r="C827" s="1" t="n">
        <v>46022</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2536-2023</t>
        </is>
      </c>
      <c r="B828" s="1" t="n">
        <v>44943.62954861111</v>
      </c>
      <c r="C828" s="1" t="n">
        <v>46022</v>
      </c>
      <c r="D828" t="inlineStr">
        <is>
          <t>KALMAR LÄN</t>
        </is>
      </c>
      <c r="E828" t="inlineStr">
        <is>
          <t>VIMMERBY</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11111-2024</t>
        </is>
      </c>
      <c r="B829" s="1" t="n">
        <v>45371.36359953704</v>
      </c>
      <c r="C829" s="1" t="n">
        <v>46022</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1687-2023</t>
        </is>
      </c>
      <c r="B830" s="1" t="n">
        <v>44938</v>
      </c>
      <c r="C830" s="1" t="n">
        <v>46022</v>
      </c>
      <c r="D830" t="inlineStr">
        <is>
          <t>KALMAR LÄN</t>
        </is>
      </c>
      <c r="E830" t="inlineStr">
        <is>
          <t>VIMMERBY</t>
        </is>
      </c>
      <c r="F830" t="inlineStr">
        <is>
          <t>Kommuner</t>
        </is>
      </c>
      <c r="G830" t="n">
        <v>2.5</v>
      </c>
      <c r="H830" t="n">
        <v>0</v>
      </c>
      <c r="I830" t="n">
        <v>0</v>
      </c>
      <c r="J830" t="n">
        <v>0</v>
      </c>
      <c r="K830" t="n">
        <v>0</v>
      </c>
      <c r="L830" t="n">
        <v>0</v>
      </c>
      <c r="M830" t="n">
        <v>0</v>
      </c>
      <c r="N830" t="n">
        <v>0</v>
      </c>
      <c r="O830" t="n">
        <v>0</v>
      </c>
      <c r="P830" t="n">
        <v>0</v>
      </c>
      <c r="Q830" t="n">
        <v>0</v>
      </c>
      <c r="R830" s="2" t="inlineStr"/>
    </row>
    <row r="831" ht="15" customHeight="1">
      <c r="A831" t="inlineStr">
        <is>
          <t>A 3494-2023</t>
        </is>
      </c>
      <c r="B831" s="1" t="n">
        <v>44949</v>
      </c>
      <c r="C831" s="1" t="n">
        <v>46022</v>
      </c>
      <c r="D831" t="inlineStr">
        <is>
          <t>KALMAR LÄN</t>
        </is>
      </c>
      <c r="E831" t="inlineStr">
        <is>
          <t>VIMMERBY</t>
        </is>
      </c>
      <c r="F831" t="inlineStr">
        <is>
          <t>Kyrkan</t>
        </is>
      </c>
      <c r="G831" t="n">
        <v>0.8</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46022</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43242-2024</t>
        </is>
      </c>
      <c r="B833" s="1" t="n">
        <v>45568.30189814815</v>
      </c>
      <c r="C833" s="1" t="n">
        <v>46022</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56853-2022</t>
        </is>
      </c>
      <c r="B834" s="1" t="n">
        <v>44894.49538194444</v>
      </c>
      <c r="C834" s="1" t="n">
        <v>46022</v>
      </c>
      <c r="D834" t="inlineStr">
        <is>
          <t>KALMAR LÄN</t>
        </is>
      </c>
      <c r="E834" t="inlineStr">
        <is>
          <t>VIMMERBY</t>
        </is>
      </c>
      <c r="G834" t="n">
        <v>4.3</v>
      </c>
      <c r="H834" t="n">
        <v>0</v>
      </c>
      <c r="I834" t="n">
        <v>0</v>
      </c>
      <c r="J834" t="n">
        <v>0</v>
      </c>
      <c r="K834" t="n">
        <v>0</v>
      </c>
      <c r="L834" t="n">
        <v>0</v>
      </c>
      <c r="M834" t="n">
        <v>0</v>
      </c>
      <c r="N834" t="n">
        <v>0</v>
      </c>
      <c r="O834" t="n">
        <v>0</v>
      </c>
      <c r="P834" t="n">
        <v>0</v>
      </c>
      <c r="Q834" t="n">
        <v>0</v>
      </c>
      <c r="R834" s="2" t="inlineStr"/>
    </row>
    <row r="835" ht="15" customHeight="1">
      <c r="A835" t="inlineStr">
        <is>
          <t>A 33815-2022</t>
        </is>
      </c>
      <c r="B835" s="1" t="n">
        <v>44790.45876157407</v>
      </c>
      <c r="C835" s="1" t="n">
        <v>46022</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33842-2022</t>
        </is>
      </c>
      <c r="B836" s="1" t="n">
        <v>44790.49523148148</v>
      </c>
      <c r="C836" s="1" t="n">
        <v>46022</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49408-2023</t>
        </is>
      </c>
      <c r="B837" s="1" t="n">
        <v>45211.43555555555</v>
      </c>
      <c r="C837" s="1" t="n">
        <v>46022</v>
      </c>
      <c r="D837" t="inlineStr">
        <is>
          <t>KALMAR LÄN</t>
        </is>
      </c>
      <c r="E837" t="inlineStr">
        <is>
          <t>VIMMERBY</t>
        </is>
      </c>
      <c r="G837" t="n">
        <v>13.1</v>
      </c>
      <c r="H837" t="n">
        <v>0</v>
      </c>
      <c r="I837" t="n">
        <v>0</v>
      </c>
      <c r="J837" t="n">
        <v>0</v>
      </c>
      <c r="K837" t="n">
        <v>0</v>
      </c>
      <c r="L837" t="n">
        <v>0</v>
      </c>
      <c r="M837" t="n">
        <v>0</v>
      </c>
      <c r="N837" t="n">
        <v>0</v>
      </c>
      <c r="O837" t="n">
        <v>0</v>
      </c>
      <c r="P837" t="n">
        <v>0</v>
      </c>
      <c r="Q837" t="n">
        <v>0</v>
      </c>
      <c r="R837" s="2" t="inlineStr"/>
    </row>
    <row r="838" ht="15" customHeight="1">
      <c r="A838" t="inlineStr">
        <is>
          <t>A 56536-2022</t>
        </is>
      </c>
      <c r="B838" s="1" t="n">
        <v>44893</v>
      </c>
      <c r="C838" s="1" t="n">
        <v>46022</v>
      </c>
      <c r="D838" t="inlineStr">
        <is>
          <t>KALMAR LÄN</t>
        </is>
      </c>
      <c r="E838" t="inlineStr">
        <is>
          <t>VIMMERBY</t>
        </is>
      </c>
      <c r="G838" t="n">
        <v>3.2</v>
      </c>
      <c r="H838" t="n">
        <v>0</v>
      </c>
      <c r="I838" t="n">
        <v>0</v>
      </c>
      <c r="J838" t="n">
        <v>0</v>
      </c>
      <c r="K838" t="n">
        <v>0</v>
      </c>
      <c r="L838" t="n">
        <v>0</v>
      </c>
      <c r="M838" t="n">
        <v>0</v>
      </c>
      <c r="N838" t="n">
        <v>0</v>
      </c>
      <c r="O838" t="n">
        <v>0</v>
      </c>
      <c r="P838" t="n">
        <v>0</v>
      </c>
      <c r="Q838" t="n">
        <v>0</v>
      </c>
      <c r="R838" s="2" t="inlineStr"/>
    </row>
    <row r="839" ht="15" customHeight="1">
      <c r="A839" t="inlineStr">
        <is>
          <t>A 41199-2023</t>
        </is>
      </c>
      <c r="B839" s="1" t="n">
        <v>45174.40454861111</v>
      </c>
      <c r="C839" s="1" t="n">
        <v>46022</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8945-2025</t>
        </is>
      </c>
      <c r="B840" s="1" t="n">
        <v>45713.45311342592</v>
      </c>
      <c r="C840" s="1" t="n">
        <v>46022</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11619-2023</t>
        </is>
      </c>
      <c r="B841" s="1" t="n">
        <v>44994.42113425926</v>
      </c>
      <c r="C841" s="1" t="n">
        <v>46022</v>
      </c>
      <c r="D841" t="inlineStr">
        <is>
          <t>KALMAR LÄN</t>
        </is>
      </c>
      <c r="E841" t="inlineStr">
        <is>
          <t>VIMMERBY</t>
        </is>
      </c>
      <c r="G841" t="n">
        <v>2.5</v>
      </c>
      <c r="H841" t="n">
        <v>0</v>
      </c>
      <c r="I841" t="n">
        <v>0</v>
      </c>
      <c r="J841" t="n">
        <v>0</v>
      </c>
      <c r="K841" t="n">
        <v>0</v>
      </c>
      <c r="L841" t="n">
        <v>0</v>
      </c>
      <c r="M841" t="n">
        <v>0</v>
      </c>
      <c r="N841" t="n">
        <v>0</v>
      </c>
      <c r="O841" t="n">
        <v>0</v>
      </c>
      <c r="P841" t="n">
        <v>0</v>
      </c>
      <c r="Q841" t="n">
        <v>0</v>
      </c>
      <c r="R841" s="2" t="inlineStr"/>
    </row>
    <row r="842" ht="15" customHeight="1">
      <c r="A842" t="inlineStr">
        <is>
          <t>A 41896-2023</t>
        </is>
      </c>
      <c r="B842" s="1" t="n">
        <v>45176.72427083334</v>
      </c>
      <c r="C842" s="1" t="n">
        <v>46022</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17926-2025</t>
        </is>
      </c>
      <c r="B843" s="1" t="n">
        <v>45759.38987268518</v>
      </c>
      <c r="C843" s="1" t="n">
        <v>46022</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21028-2023</t>
        </is>
      </c>
      <c r="B844" s="1" t="n">
        <v>45061</v>
      </c>
      <c r="C844" s="1" t="n">
        <v>46022</v>
      </c>
      <c r="D844" t="inlineStr">
        <is>
          <t>KALMAR LÄN</t>
        </is>
      </c>
      <c r="E844" t="inlineStr">
        <is>
          <t>VIMMERBY</t>
        </is>
      </c>
      <c r="F844" t="inlineStr">
        <is>
          <t>Övriga Aktiebolag</t>
        </is>
      </c>
      <c r="G844" t="n">
        <v>0.7</v>
      </c>
      <c r="H844" t="n">
        <v>0</v>
      </c>
      <c r="I844" t="n">
        <v>0</v>
      </c>
      <c r="J844" t="n">
        <v>0</v>
      </c>
      <c r="K844" t="n">
        <v>0</v>
      </c>
      <c r="L844" t="n">
        <v>0</v>
      </c>
      <c r="M844" t="n">
        <v>0</v>
      </c>
      <c r="N844" t="n">
        <v>0</v>
      </c>
      <c r="O844" t="n">
        <v>0</v>
      </c>
      <c r="P844" t="n">
        <v>0</v>
      </c>
      <c r="Q844" t="n">
        <v>0</v>
      </c>
      <c r="R844" s="2" t="inlineStr"/>
    </row>
    <row r="845" ht="15" customHeight="1">
      <c r="A845" t="inlineStr">
        <is>
          <t>A 19445-2021</t>
        </is>
      </c>
      <c r="B845" s="1" t="n">
        <v>44310</v>
      </c>
      <c r="C845" s="1" t="n">
        <v>46022</v>
      </c>
      <c r="D845" t="inlineStr">
        <is>
          <t>KALMAR LÄN</t>
        </is>
      </c>
      <c r="E845" t="inlineStr">
        <is>
          <t>VIMMERBY</t>
        </is>
      </c>
      <c r="G845" t="n">
        <v>6.8</v>
      </c>
      <c r="H845" t="n">
        <v>0</v>
      </c>
      <c r="I845" t="n">
        <v>0</v>
      </c>
      <c r="J845" t="n">
        <v>0</v>
      </c>
      <c r="K845" t="n">
        <v>0</v>
      </c>
      <c r="L845" t="n">
        <v>0</v>
      </c>
      <c r="M845" t="n">
        <v>0</v>
      </c>
      <c r="N845" t="n">
        <v>0</v>
      </c>
      <c r="O845" t="n">
        <v>0</v>
      </c>
      <c r="P845" t="n">
        <v>0</v>
      </c>
      <c r="Q845" t="n">
        <v>0</v>
      </c>
      <c r="R845" s="2" t="inlineStr"/>
    </row>
    <row r="846" ht="15" customHeight="1">
      <c r="A846" t="inlineStr">
        <is>
          <t>A 27122-2023</t>
        </is>
      </c>
      <c r="B846" s="1" t="n">
        <v>45096.45247685185</v>
      </c>
      <c r="C846" s="1" t="n">
        <v>46022</v>
      </c>
      <c r="D846" t="inlineStr">
        <is>
          <t>KALMAR LÄN</t>
        </is>
      </c>
      <c r="E846" t="inlineStr">
        <is>
          <t>VIMMERBY</t>
        </is>
      </c>
      <c r="G846" t="n">
        <v>1.7</v>
      </c>
      <c r="H846" t="n">
        <v>0</v>
      </c>
      <c r="I846" t="n">
        <v>0</v>
      </c>
      <c r="J846" t="n">
        <v>0</v>
      </c>
      <c r="K846" t="n">
        <v>0</v>
      </c>
      <c r="L846" t="n">
        <v>0</v>
      </c>
      <c r="M846" t="n">
        <v>0</v>
      </c>
      <c r="N846" t="n">
        <v>0</v>
      </c>
      <c r="O846" t="n">
        <v>0</v>
      </c>
      <c r="P846" t="n">
        <v>0</v>
      </c>
      <c r="Q846" t="n">
        <v>0</v>
      </c>
      <c r="R846" s="2" t="inlineStr"/>
    </row>
    <row r="847" ht="15" customHeight="1">
      <c r="A847" t="inlineStr">
        <is>
          <t>A 13813-2024</t>
        </is>
      </c>
      <c r="B847" s="1" t="n">
        <v>45391.41310185185</v>
      </c>
      <c r="C847" s="1" t="n">
        <v>46022</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38969-2023</t>
        </is>
      </c>
      <c r="B848" s="1" t="n">
        <v>45163.63621527778</v>
      </c>
      <c r="C848" s="1" t="n">
        <v>46022</v>
      </c>
      <c r="D848" t="inlineStr">
        <is>
          <t>KALMAR LÄN</t>
        </is>
      </c>
      <c r="E848" t="inlineStr">
        <is>
          <t>VIMMERBY</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26937-2023</t>
        </is>
      </c>
      <c r="B849" s="1" t="n">
        <v>45093.62777777778</v>
      </c>
      <c r="C849" s="1" t="n">
        <v>46022</v>
      </c>
      <c r="D849" t="inlineStr">
        <is>
          <t>KALMAR LÄN</t>
        </is>
      </c>
      <c r="E849" t="inlineStr">
        <is>
          <t>VIMMERBY</t>
        </is>
      </c>
      <c r="F849" t="inlineStr">
        <is>
          <t>Sveaskog</t>
        </is>
      </c>
      <c r="G849" t="n">
        <v>14.5</v>
      </c>
      <c r="H849" t="n">
        <v>0</v>
      </c>
      <c r="I849" t="n">
        <v>0</v>
      </c>
      <c r="J849" t="n">
        <v>0</v>
      </c>
      <c r="K849" t="n">
        <v>0</v>
      </c>
      <c r="L849" t="n">
        <v>0</v>
      </c>
      <c r="M849" t="n">
        <v>0</v>
      </c>
      <c r="N849" t="n">
        <v>0</v>
      </c>
      <c r="O849" t="n">
        <v>0</v>
      </c>
      <c r="P849" t="n">
        <v>0</v>
      </c>
      <c r="Q849" t="n">
        <v>0</v>
      </c>
      <c r="R849" s="2" t="inlineStr"/>
    </row>
    <row r="850" ht="15" customHeight="1">
      <c r="A850" t="inlineStr">
        <is>
          <t>A 57486-2024</t>
        </is>
      </c>
      <c r="B850" s="1" t="n">
        <v>45630.35827546296</v>
      </c>
      <c r="C850" s="1" t="n">
        <v>46022</v>
      </c>
      <c r="D850" t="inlineStr">
        <is>
          <t>KALMAR LÄN</t>
        </is>
      </c>
      <c r="E850" t="inlineStr">
        <is>
          <t>VIMMERBY</t>
        </is>
      </c>
      <c r="G850" t="n">
        <v>0.4</v>
      </c>
      <c r="H850" t="n">
        <v>0</v>
      </c>
      <c r="I850" t="n">
        <v>0</v>
      </c>
      <c r="J850" t="n">
        <v>0</v>
      </c>
      <c r="K850" t="n">
        <v>0</v>
      </c>
      <c r="L850" t="n">
        <v>0</v>
      </c>
      <c r="M850" t="n">
        <v>0</v>
      </c>
      <c r="N850" t="n">
        <v>0</v>
      </c>
      <c r="O850" t="n">
        <v>0</v>
      </c>
      <c r="P850" t="n">
        <v>0</v>
      </c>
      <c r="Q850" t="n">
        <v>0</v>
      </c>
      <c r="R850" s="2" t="inlineStr"/>
    </row>
    <row r="851" ht="15" customHeight="1">
      <c r="A851" t="inlineStr">
        <is>
          <t>A 43186-2021</t>
        </is>
      </c>
      <c r="B851" s="1" t="n">
        <v>44431.84840277778</v>
      </c>
      <c r="C851" s="1" t="n">
        <v>46022</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1799-2025</t>
        </is>
      </c>
      <c r="B852" s="1" t="n">
        <v>45671.46746527778</v>
      </c>
      <c r="C852" s="1" t="n">
        <v>46022</v>
      </c>
      <c r="D852" t="inlineStr">
        <is>
          <t>KALMAR LÄN</t>
        </is>
      </c>
      <c r="E852" t="inlineStr">
        <is>
          <t>VIMMERBY</t>
        </is>
      </c>
      <c r="G852" t="n">
        <v>3.3</v>
      </c>
      <c r="H852" t="n">
        <v>0</v>
      </c>
      <c r="I852" t="n">
        <v>0</v>
      </c>
      <c r="J852" t="n">
        <v>0</v>
      </c>
      <c r="K852" t="n">
        <v>0</v>
      </c>
      <c r="L852" t="n">
        <v>0</v>
      </c>
      <c r="M852" t="n">
        <v>0</v>
      </c>
      <c r="N852" t="n">
        <v>0</v>
      </c>
      <c r="O852" t="n">
        <v>0</v>
      </c>
      <c r="P852" t="n">
        <v>0</v>
      </c>
      <c r="Q852" t="n">
        <v>0</v>
      </c>
      <c r="R852" s="2" t="inlineStr"/>
    </row>
    <row r="853" ht="15" customHeight="1">
      <c r="A853" t="inlineStr">
        <is>
          <t>A 30063-2023</t>
        </is>
      </c>
      <c r="B853" s="1" t="n">
        <v>45110.4184375</v>
      </c>
      <c r="C853" s="1" t="n">
        <v>46022</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43068-2023</t>
        </is>
      </c>
      <c r="B854" s="1" t="n">
        <v>45182.78834490741</v>
      </c>
      <c r="C854" s="1" t="n">
        <v>46022</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18020-2025</t>
        </is>
      </c>
      <c r="B855" s="1" t="n">
        <v>45761.4437962963</v>
      </c>
      <c r="C855" s="1" t="n">
        <v>46022</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33424-2023</t>
        </is>
      </c>
      <c r="B856" s="1" t="n">
        <v>45128.9325</v>
      </c>
      <c r="C856" s="1" t="n">
        <v>46022</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33425-2023</t>
        </is>
      </c>
      <c r="B857" s="1" t="n">
        <v>45128.93540509259</v>
      </c>
      <c r="C857" s="1" t="n">
        <v>46022</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12327-2023</t>
        </is>
      </c>
      <c r="B858" s="1" t="n">
        <v>44999.36081018519</v>
      </c>
      <c r="C858" s="1" t="n">
        <v>46022</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43092-2024</t>
        </is>
      </c>
      <c r="B859" s="1" t="n">
        <v>45567</v>
      </c>
      <c r="C859" s="1" t="n">
        <v>46022</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52435-2021</t>
        </is>
      </c>
      <c r="B860" s="1" t="n">
        <v>44466.34962962963</v>
      </c>
      <c r="C860" s="1" t="n">
        <v>46022</v>
      </c>
      <c r="D860" t="inlineStr">
        <is>
          <t>KALMAR LÄN</t>
        </is>
      </c>
      <c r="E860" t="inlineStr">
        <is>
          <t>VIMMERBY</t>
        </is>
      </c>
      <c r="G860" t="n">
        <v>2.8</v>
      </c>
      <c r="H860" t="n">
        <v>0</v>
      </c>
      <c r="I860" t="n">
        <v>0</v>
      </c>
      <c r="J860" t="n">
        <v>0</v>
      </c>
      <c r="K860" t="n">
        <v>0</v>
      </c>
      <c r="L860" t="n">
        <v>0</v>
      </c>
      <c r="M860" t="n">
        <v>0</v>
      </c>
      <c r="N860" t="n">
        <v>0</v>
      </c>
      <c r="O860" t="n">
        <v>0</v>
      </c>
      <c r="P860" t="n">
        <v>0</v>
      </c>
      <c r="Q860" t="n">
        <v>0</v>
      </c>
      <c r="R860" s="2" t="inlineStr"/>
    </row>
    <row r="861" ht="15" customHeight="1">
      <c r="A861" t="inlineStr">
        <is>
          <t>A 35127-2024</t>
        </is>
      </c>
      <c r="B861" s="1" t="n">
        <v>45530.33202546297</v>
      </c>
      <c r="C861" s="1" t="n">
        <v>46022</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60215-2022</t>
        </is>
      </c>
      <c r="B862" s="1" t="n">
        <v>44910.41346064815</v>
      </c>
      <c r="C862" s="1" t="n">
        <v>46022</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29441-2024</t>
        </is>
      </c>
      <c r="B863" s="1" t="n">
        <v>45483.82834490741</v>
      </c>
      <c r="C863" s="1" t="n">
        <v>46022</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6216-2025</t>
        </is>
      </c>
      <c r="B864" s="1" t="n">
        <v>45698.52806712963</v>
      </c>
      <c r="C864" s="1" t="n">
        <v>46022</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62779-2023</t>
        </is>
      </c>
      <c r="B865" s="1" t="n">
        <v>45271.66576388889</v>
      </c>
      <c r="C865" s="1" t="n">
        <v>46022</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52294-2023</t>
        </is>
      </c>
      <c r="B866" s="1" t="n">
        <v>45224.60075231481</v>
      </c>
      <c r="C866" s="1" t="n">
        <v>46022</v>
      </c>
      <c r="D866" t="inlineStr">
        <is>
          <t>KALMAR LÄN</t>
        </is>
      </c>
      <c r="E866" t="inlineStr">
        <is>
          <t>VIMMERBY</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31013-2023</t>
        </is>
      </c>
      <c r="B867" s="1" t="n">
        <v>45113.56574074074</v>
      </c>
      <c r="C867" s="1" t="n">
        <v>46022</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72067-2021</t>
        </is>
      </c>
      <c r="B868" s="1" t="n">
        <v>44540</v>
      </c>
      <c r="C868" s="1" t="n">
        <v>46022</v>
      </c>
      <c r="D868" t="inlineStr">
        <is>
          <t>KALMAR LÄN</t>
        </is>
      </c>
      <c r="E868" t="inlineStr">
        <is>
          <t>VIMMERBY</t>
        </is>
      </c>
      <c r="G868" t="n">
        <v>1.6</v>
      </c>
      <c r="H868" t="n">
        <v>0</v>
      </c>
      <c r="I868" t="n">
        <v>0</v>
      </c>
      <c r="J868" t="n">
        <v>0</v>
      </c>
      <c r="K868" t="n">
        <v>0</v>
      </c>
      <c r="L868" t="n">
        <v>0</v>
      </c>
      <c r="M868" t="n">
        <v>0</v>
      </c>
      <c r="N868" t="n">
        <v>0</v>
      </c>
      <c r="O868" t="n">
        <v>0</v>
      </c>
      <c r="P868" t="n">
        <v>0</v>
      </c>
      <c r="Q868" t="n">
        <v>0</v>
      </c>
      <c r="R868" s="2" t="inlineStr"/>
    </row>
    <row r="869" ht="15" customHeight="1">
      <c r="A869" t="inlineStr">
        <is>
          <t>A 61538-2022</t>
        </is>
      </c>
      <c r="B869" s="1" t="n">
        <v>44916.55414351852</v>
      </c>
      <c r="C869" s="1" t="n">
        <v>46022</v>
      </c>
      <c r="D869" t="inlineStr">
        <is>
          <t>KALMAR LÄN</t>
        </is>
      </c>
      <c r="E869" t="inlineStr">
        <is>
          <t>VIMMERBY</t>
        </is>
      </c>
      <c r="G869" t="n">
        <v>1.5</v>
      </c>
      <c r="H869" t="n">
        <v>0</v>
      </c>
      <c r="I869" t="n">
        <v>0</v>
      </c>
      <c r="J869" t="n">
        <v>0</v>
      </c>
      <c r="K869" t="n">
        <v>0</v>
      </c>
      <c r="L869" t="n">
        <v>0</v>
      </c>
      <c r="M869" t="n">
        <v>0</v>
      </c>
      <c r="N869" t="n">
        <v>0</v>
      </c>
      <c r="O869" t="n">
        <v>0</v>
      </c>
      <c r="P869" t="n">
        <v>0</v>
      </c>
      <c r="Q869" t="n">
        <v>0</v>
      </c>
      <c r="R869" s="2" t="inlineStr"/>
    </row>
    <row r="870" ht="15" customHeight="1">
      <c r="A870" t="inlineStr">
        <is>
          <t>A 36155-2023</t>
        </is>
      </c>
      <c r="B870" s="1" t="n">
        <v>45149.60917824074</v>
      </c>
      <c r="C870" s="1" t="n">
        <v>46022</v>
      </c>
      <c r="D870" t="inlineStr">
        <is>
          <t>KALMAR LÄN</t>
        </is>
      </c>
      <c r="E870" t="inlineStr">
        <is>
          <t>VIMMERBY</t>
        </is>
      </c>
      <c r="G870" t="n">
        <v>5</v>
      </c>
      <c r="H870" t="n">
        <v>0</v>
      </c>
      <c r="I870" t="n">
        <v>0</v>
      </c>
      <c r="J870" t="n">
        <v>0</v>
      </c>
      <c r="K870" t="n">
        <v>0</v>
      </c>
      <c r="L870" t="n">
        <v>0</v>
      </c>
      <c r="M870" t="n">
        <v>0</v>
      </c>
      <c r="N870" t="n">
        <v>0</v>
      </c>
      <c r="O870" t="n">
        <v>0</v>
      </c>
      <c r="P870" t="n">
        <v>0</v>
      </c>
      <c r="Q870" t="n">
        <v>0</v>
      </c>
      <c r="R870" s="2" t="inlineStr"/>
    </row>
    <row r="871" ht="15" customHeight="1">
      <c r="A871" t="inlineStr">
        <is>
          <t>A 29173-2024</t>
        </is>
      </c>
      <c r="B871" s="1" t="n">
        <v>45482.52887731481</v>
      </c>
      <c r="C871" s="1" t="n">
        <v>46022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53542-2022</t>
        </is>
      </c>
      <c r="B872" s="1" t="n">
        <v>44879.62173611111</v>
      </c>
      <c r="C872" s="1" t="n">
        <v>46022</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6807-2025</t>
        </is>
      </c>
      <c r="B873" s="1" t="n">
        <v>45700.68672453704</v>
      </c>
      <c r="C873" s="1" t="n">
        <v>46022</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7047-2022</t>
        </is>
      </c>
      <c r="B874" s="1" t="n">
        <v>44603</v>
      </c>
      <c r="C874" s="1" t="n">
        <v>46022</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35711-2023</t>
        </is>
      </c>
      <c r="B875" s="1" t="n">
        <v>45147.67172453704</v>
      </c>
      <c r="C875" s="1" t="n">
        <v>46022</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5382-2023</t>
        </is>
      </c>
      <c r="B876" s="1" t="n">
        <v>44959.66407407408</v>
      </c>
      <c r="C876" s="1" t="n">
        <v>46022</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40823-2023</t>
        </is>
      </c>
      <c r="B877" s="1" t="n">
        <v>45171.77335648148</v>
      </c>
      <c r="C877" s="1" t="n">
        <v>46022</v>
      </c>
      <c r="D877" t="inlineStr">
        <is>
          <t>KALMAR LÄN</t>
        </is>
      </c>
      <c r="E877" t="inlineStr">
        <is>
          <t>VIMMERBY</t>
        </is>
      </c>
      <c r="G877" t="n">
        <v>2.7</v>
      </c>
      <c r="H877" t="n">
        <v>0</v>
      </c>
      <c r="I877" t="n">
        <v>0</v>
      </c>
      <c r="J877" t="n">
        <v>0</v>
      </c>
      <c r="K877" t="n">
        <v>0</v>
      </c>
      <c r="L877" t="n">
        <v>0</v>
      </c>
      <c r="M877" t="n">
        <v>0</v>
      </c>
      <c r="N877" t="n">
        <v>0</v>
      </c>
      <c r="O877" t="n">
        <v>0</v>
      </c>
      <c r="P877" t="n">
        <v>0</v>
      </c>
      <c r="Q877" t="n">
        <v>0</v>
      </c>
      <c r="R877" s="2" t="inlineStr"/>
    </row>
    <row r="878" ht="15" customHeight="1">
      <c r="A878" t="inlineStr">
        <is>
          <t>A 6218-2025</t>
        </is>
      </c>
      <c r="B878" s="1" t="n">
        <v>45698.53336805556</v>
      </c>
      <c r="C878" s="1" t="n">
        <v>46022</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30920-2023</t>
        </is>
      </c>
      <c r="B879" s="1" t="n">
        <v>45113.43921296296</v>
      </c>
      <c r="C879" s="1" t="n">
        <v>46022</v>
      </c>
      <c r="D879" t="inlineStr">
        <is>
          <t>KALMAR LÄN</t>
        </is>
      </c>
      <c r="E879" t="inlineStr">
        <is>
          <t>VIMMERBY</t>
        </is>
      </c>
      <c r="G879" t="n">
        <v>3.1</v>
      </c>
      <c r="H879" t="n">
        <v>0</v>
      </c>
      <c r="I879" t="n">
        <v>0</v>
      </c>
      <c r="J879" t="n">
        <v>0</v>
      </c>
      <c r="K879" t="n">
        <v>0</v>
      </c>
      <c r="L879" t="n">
        <v>0</v>
      </c>
      <c r="M879" t="n">
        <v>0</v>
      </c>
      <c r="N879" t="n">
        <v>0</v>
      </c>
      <c r="O879" t="n">
        <v>0</v>
      </c>
      <c r="P879" t="n">
        <v>0</v>
      </c>
      <c r="Q879" t="n">
        <v>0</v>
      </c>
      <c r="R879" s="2" t="inlineStr"/>
    </row>
    <row r="880" ht="15" customHeight="1">
      <c r="A880" t="inlineStr">
        <is>
          <t>A 6857-2023</t>
        </is>
      </c>
      <c r="B880" s="1" t="n">
        <v>44967.45122685185</v>
      </c>
      <c r="C880" s="1" t="n">
        <v>46022</v>
      </c>
      <c r="D880" t="inlineStr">
        <is>
          <t>KALMAR LÄN</t>
        </is>
      </c>
      <c r="E880" t="inlineStr">
        <is>
          <t>VIMMERBY</t>
        </is>
      </c>
      <c r="G880" t="n">
        <v>2.1</v>
      </c>
      <c r="H880" t="n">
        <v>0</v>
      </c>
      <c r="I880" t="n">
        <v>0</v>
      </c>
      <c r="J880" t="n">
        <v>0</v>
      </c>
      <c r="K880" t="n">
        <v>0</v>
      </c>
      <c r="L880" t="n">
        <v>0</v>
      </c>
      <c r="M880" t="n">
        <v>0</v>
      </c>
      <c r="N880" t="n">
        <v>0</v>
      </c>
      <c r="O880" t="n">
        <v>0</v>
      </c>
      <c r="P880" t="n">
        <v>0</v>
      </c>
      <c r="Q880" t="n">
        <v>0</v>
      </c>
      <c r="R880" s="2" t="inlineStr"/>
    </row>
    <row r="881" ht="15" customHeight="1">
      <c r="A881" t="inlineStr">
        <is>
          <t>A 5792-2023</t>
        </is>
      </c>
      <c r="B881" s="1" t="n">
        <v>44963.44769675926</v>
      </c>
      <c r="C881" s="1" t="n">
        <v>46022</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10303-2025</t>
        </is>
      </c>
      <c r="B882" s="1" t="n">
        <v>45720.44217592593</v>
      </c>
      <c r="C882" s="1" t="n">
        <v>46022</v>
      </c>
      <c r="D882" t="inlineStr">
        <is>
          <t>KALMAR LÄN</t>
        </is>
      </c>
      <c r="E882" t="inlineStr">
        <is>
          <t>VIMMERBY</t>
        </is>
      </c>
      <c r="G882" t="n">
        <v>0.9</v>
      </c>
      <c r="H882" t="n">
        <v>0</v>
      </c>
      <c r="I882" t="n">
        <v>0</v>
      </c>
      <c r="J882" t="n">
        <v>0</v>
      </c>
      <c r="K882" t="n">
        <v>0</v>
      </c>
      <c r="L882" t="n">
        <v>0</v>
      </c>
      <c r="M882" t="n">
        <v>0</v>
      </c>
      <c r="N882" t="n">
        <v>0</v>
      </c>
      <c r="O882" t="n">
        <v>0</v>
      </c>
      <c r="P882" t="n">
        <v>0</v>
      </c>
      <c r="Q882" t="n">
        <v>0</v>
      </c>
      <c r="R882" s="2" t="inlineStr"/>
    </row>
    <row r="883" ht="15" customHeight="1">
      <c r="A883" t="inlineStr">
        <is>
          <t>A 60110-2022</t>
        </is>
      </c>
      <c r="B883" s="1" t="n">
        <v>44909</v>
      </c>
      <c r="C883" s="1" t="n">
        <v>46022</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15394-2025</t>
        </is>
      </c>
      <c r="B884" s="1" t="n">
        <v>45747.43196759259</v>
      </c>
      <c r="C884" s="1" t="n">
        <v>46022</v>
      </c>
      <c r="D884" t="inlineStr">
        <is>
          <t>KALMAR LÄN</t>
        </is>
      </c>
      <c r="E884" t="inlineStr">
        <is>
          <t>VIMMERBY</t>
        </is>
      </c>
      <c r="G884" t="n">
        <v>0.8</v>
      </c>
      <c r="H884" t="n">
        <v>0</v>
      </c>
      <c r="I884" t="n">
        <v>0</v>
      </c>
      <c r="J884" t="n">
        <v>0</v>
      </c>
      <c r="K884" t="n">
        <v>0</v>
      </c>
      <c r="L884" t="n">
        <v>0</v>
      </c>
      <c r="M884" t="n">
        <v>0</v>
      </c>
      <c r="N884" t="n">
        <v>0</v>
      </c>
      <c r="O884" t="n">
        <v>0</v>
      </c>
      <c r="P884" t="n">
        <v>0</v>
      </c>
      <c r="Q884" t="n">
        <v>0</v>
      </c>
      <c r="R884" s="2" t="inlineStr"/>
    </row>
    <row r="885" ht="15" customHeight="1">
      <c r="A885" t="inlineStr">
        <is>
          <t>A 15388-2025</t>
        </is>
      </c>
      <c r="B885" s="1" t="n">
        <v>45747.42633101852</v>
      </c>
      <c r="C885" s="1" t="n">
        <v>46022</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15391-2025</t>
        </is>
      </c>
      <c r="B886" s="1" t="n">
        <v>45747.42958333333</v>
      </c>
      <c r="C886" s="1" t="n">
        <v>46022</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6474-2025</t>
        </is>
      </c>
      <c r="B887" s="1" t="n">
        <v>45699.60055555555</v>
      </c>
      <c r="C887" s="1" t="n">
        <v>46022</v>
      </c>
      <c r="D887" t="inlineStr">
        <is>
          <t>KALMAR LÄN</t>
        </is>
      </c>
      <c r="E887" t="inlineStr">
        <is>
          <t>VIMMERBY</t>
        </is>
      </c>
      <c r="G887" t="n">
        <v>1.6</v>
      </c>
      <c r="H887" t="n">
        <v>0</v>
      </c>
      <c r="I887" t="n">
        <v>0</v>
      </c>
      <c r="J887" t="n">
        <v>0</v>
      </c>
      <c r="K887" t="n">
        <v>0</v>
      </c>
      <c r="L887" t="n">
        <v>0</v>
      </c>
      <c r="M887" t="n">
        <v>0</v>
      </c>
      <c r="N887" t="n">
        <v>0</v>
      </c>
      <c r="O887" t="n">
        <v>0</v>
      </c>
      <c r="P887" t="n">
        <v>0</v>
      </c>
      <c r="Q887" t="n">
        <v>0</v>
      </c>
      <c r="R887" s="2" t="inlineStr"/>
    </row>
    <row r="888" ht="15" customHeight="1">
      <c r="A888" t="inlineStr">
        <is>
          <t>A 32919-2022</t>
        </is>
      </c>
      <c r="B888" s="1" t="n">
        <v>44784.62724537037</v>
      </c>
      <c r="C888" s="1" t="n">
        <v>46022</v>
      </c>
      <c r="D888" t="inlineStr">
        <is>
          <t>KALMAR LÄN</t>
        </is>
      </c>
      <c r="E888" t="inlineStr">
        <is>
          <t>VIMMERBY</t>
        </is>
      </c>
      <c r="G888" t="n">
        <v>1.7</v>
      </c>
      <c r="H888" t="n">
        <v>0</v>
      </c>
      <c r="I888" t="n">
        <v>0</v>
      </c>
      <c r="J888" t="n">
        <v>0</v>
      </c>
      <c r="K888" t="n">
        <v>0</v>
      </c>
      <c r="L888" t="n">
        <v>0</v>
      </c>
      <c r="M888" t="n">
        <v>0</v>
      </c>
      <c r="N888" t="n">
        <v>0</v>
      </c>
      <c r="O888" t="n">
        <v>0</v>
      </c>
      <c r="P888" t="n">
        <v>0</v>
      </c>
      <c r="Q888" t="n">
        <v>0</v>
      </c>
      <c r="R888" s="2" t="inlineStr"/>
    </row>
    <row r="889" ht="15" customHeight="1">
      <c r="A889" t="inlineStr">
        <is>
          <t>A 56659-2023</t>
        </is>
      </c>
      <c r="B889" s="1" t="n">
        <v>45243.84869212963</v>
      </c>
      <c r="C889" s="1" t="n">
        <v>46022</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13015-2022</t>
        </is>
      </c>
      <c r="B890" s="1" t="n">
        <v>44643</v>
      </c>
      <c r="C890" s="1" t="n">
        <v>46022</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17968-2025</t>
        </is>
      </c>
      <c r="B891" s="1" t="n">
        <v>45761.35990740741</v>
      </c>
      <c r="C891" s="1" t="n">
        <v>46022</v>
      </c>
      <c r="D891" t="inlineStr">
        <is>
          <t>KALMAR LÄN</t>
        </is>
      </c>
      <c r="E891" t="inlineStr">
        <is>
          <t>VIMMERBY</t>
        </is>
      </c>
      <c r="G891" t="n">
        <v>3.3</v>
      </c>
      <c r="H891" t="n">
        <v>0</v>
      </c>
      <c r="I891" t="n">
        <v>0</v>
      </c>
      <c r="J891" t="n">
        <v>0</v>
      </c>
      <c r="K891" t="n">
        <v>0</v>
      </c>
      <c r="L891" t="n">
        <v>0</v>
      </c>
      <c r="M891" t="n">
        <v>0</v>
      </c>
      <c r="N891" t="n">
        <v>0</v>
      </c>
      <c r="O891" t="n">
        <v>0</v>
      </c>
      <c r="P891" t="n">
        <v>0</v>
      </c>
      <c r="Q891" t="n">
        <v>0</v>
      </c>
      <c r="R891" s="2" t="inlineStr"/>
    </row>
    <row r="892" ht="15" customHeight="1">
      <c r="A892" t="inlineStr">
        <is>
          <t>A 6028-2023</t>
        </is>
      </c>
      <c r="B892" s="1" t="n">
        <v>44964.44356481481</v>
      </c>
      <c r="C892" s="1" t="n">
        <v>46022</v>
      </c>
      <c r="D892" t="inlineStr">
        <is>
          <t>KALMAR LÄN</t>
        </is>
      </c>
      <c r="E892" t="inlineStr">
        <is>
          <t>VIMMERBY</t>
        </is>
      </c>
      <c r="G892" t="n">
        <v>2.5</v>
      </c>
      <c r="H892" t="n">
        <v>0</v>
      </c>
      <c r="I892" t="n">
        <v>0</v>
      </c>
      <c r="J892" t="n">
        <v>0</v>
      </c>
      <c r="K892" t="n">
        <v>0</v>
      </c>
      <c r="L892" t="n">
        <v>0</v>
      </c>
      <c r="M892" t="n">
        <v>0</v>
      </c>
      <c r="N892" t="n">
        <v>0</v>
      </c>
      <c r="O892" t="n">
        <v>0</v>
      </c>
      <c r="P892" t="n">
        <v>0</v>
      </c>
      <c r="Q892" t="n">
        <v>0</v>
      </c>
      <c r="R892" s="2" t="inlineStr"/>
    </row>
    <row r="893" ht="15" customHeight="1">
      <c r="A893" t="inlineStr">
        <is>
          <t>A 55436-2023</t>
        </is>
      </c>
      <c r="B893" s="1" t="n">
        <v>45238.4328587963</v>
      </c>
      <c r="C893" s="1" t="n">
        <v>46022</v>
      </c>
      <c r="D893" t="inlineStr">
        <is>
          <t>KALMAR LÄN</t>
        </is>
      </c>
      <c r="E893" t="inlineStr">
        <is>
          <t>VIMMERBY</t>
        </is>
      </c>
      <c r="G893" t="n">
        <v>5.6</v>
      </c>
      <c r="H893" t="n">
        <v>0</v>
      </c>
      <c r="I893" t="n">
        <v>0</v>
      </c>
      <c r="J893" t="n">
        <v>0</v>
      </c>
      <c r="K893" t="n">
        <v>0</v>
      </c>
      <c r="L893" t="n">
        <v>0</v>
      </c>
      <c r="M893" t="n">
        <v>0</v>
      </c>
      <c r="N893" t="n">
        <v>0</v>
      </c>
      <c r="O893" t="n">
        <v>0</v>
      </c>
      <c r="P893" t="n">
        <v>0</v>
      </c>
      <c r="Q893" t="n">
        <v>0</v>
      </c>
      <c r="R893" s="2" t="inlineStr"/>
    </row>
    <row r="894" ht="15" customHeight="1">
      <c r="A894" t="inlineStr">
        <is>
          <t>A 56582-2022</t>
        </is>
      </c>
      <c r="B894" s="1" t="n">
        <v>44893</v>
      </c>
      <c r="C894" s="1" t="n">
        <v>46022</v>
      </c>
      <c r="D894" t="inlineStr">
        <is>
          <t>KALMAR LÄN</t>
        </is>
      </c>
      <c r="E894" t="inlineStr">
        <is>
          <t>VIMMERBY</t>
        </is>
      </c>
      <c r="G894" t="n">
        <v>2.2</v>
      </c>
      <c r="H894" t="n">
        <v>0</v>
      </c>
      <c r="I894" t="n">
        <v>0</v>
      </c>
      <c r="J894" t="n">
        <v>0</v>
      </c>
      <c r="K894" t="n">
        <v>0</v>
      </c>
      <c r="L894" t="n">
        <v>0</v>
      </c>
      <c r="M894" t="n">
        <v>0</v>
      </c>
      <c r="N894" t="n">
        <v>0</v>
      </c>
      <c r="O894" t="n">
        <v>0</v>
      </c>
      <c r="P894" t="n">
        <v>0</v>
      </c>
      <c r="Q894" t="n">
        <v>0</v>
      </c>
      <c r="R894" s="2" t="inlineStr"/>
    </row>
    <row r="895" ht="15" customHeight="1">
      <c r="A895" t="inlineStr">
        <is>
          <t>A 20-2025</t>
        </is>
      </c>
      <c r="B895" s="1" t="n">
        <v>45658.80232638889</v>
      </c>
      <c r="C895" s="1" t="n">
        <v>46022</v>
      </c>
      <c r="D895" t="inlineStr">
        <is>
          <t>KALMAR LÄN</t>
        </is>
      </c>
      <c r="E895" t="inlineStr">
        <is>
          <t>VIMMERBY</t>
        </is>
      </c>
      <c r="G895" t="n">
        <v>1.3</v>
      </c>
      <c r="H895" t="n">
        <v>0</v>
      </c>
      <c r="I895" t="n">
        <v>0</v>
      </c>
      <c r="J895" t="n">
        <v>0</v>
      </c>
      <c r="K895" t="n">
        <v>0</v>
      </c>
      <c r="L895" t="n">
        <v>0</v>
      </c>
      <c r="M895" t="n">
        <v>0</v>
      </c>
      <c r="N895" t="n">
        <v>0</v>
      </c>
      <c r="O895" t="n">
        <v>0</v>
      </c>
      <c r="P895" t="n">
        <v>0</v>
      </c>
      <c r="Q895" t="n">
        <v>0</v>
      </c>
      <c r="R895" s="2" t="inlineStr"/>
    </row>
    <row r="896" ht="15" customHeight="1">
      <c r="A896" t="inlineStr">
        <is>
          <t>A 23-2025</t>
        </is>
      </c>
      <c r="B896" s="1" t="n">
        <v>45658.80827546296</v>
      </c>
      <c r="C896" s="1" t="n">
        <v>46022</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43962-2024</t>
        </is>
      </c>
      <c r="B897" s="1" t="n">
        <v>45572.48293981481</v>
      </c>
      <c r="C897" s="1" t="n">
        <v>46022</v>
      </c>
      <c r="D897" t="inlineStr">
        <is>
          <t>KALMAR LÄN</t>
        </is>
      </c>
      <c r="E897" t="inlineStr">
        <is>
          <t>VIMMERBY</t>
        </is>
      </c>
      <c r="G897" t="n">
        <v>0.6</v>
      </c>
      <c r="H897" t="n">
        <v>0</v>
      </c>
      <c r="I897" t="n">
        <v>0</v>
      </c>
      <c r="J897" t="n">
        <v>0</v>
      </c>
      <c r="K897" t="n">
        <v>0</v>
      </c>
      <c r="L897" t="n">
        <v>0</v>
      </c>
      <c r="M897" t="n">
        <v>0</v>
      </c>
      <c r="N897" t="n">
        <v>0</v>
      </c>
      <c r="O897" t="n">
        <v>0</v>
      </c>
      <c r="P897" t="n">
        <v>0</v>
      </c>
      <c r="Q897" t="n">
        <v>0</v>
      </c>
      <c r="R897" s="2" t="inlineStr"/>
    </row>
    <row r="898" ht="15" customHeight="1">
      <c r="A898" t="inlineStr">
        <is>
          <t>A 35713-2023</t>
        </is>
      </c>
      <c r="B898" s="1" t="n">
        <v>45147</v>
      </c>
      <c r="C898" s="1" t="n">
        <v>46022</v>
      </c>
      <c r="D898" t="inlineStr">
        <is>
          <t>KALMAR LÄN</t>
        </is>
      </c>
      <c r="E898" t="inlineStr">
        <is>
          <t>VIMMERBY</t>
        </is>
      </c>
      <c r="G898" t="n">
        <v>1.6</v>
      </c>
      <c r="H898" t="n">
        <v>0</v>
      </c>
      <c r="I898" t="n">
        <v>0</v>
      </c>
      <c r="J898" t="n">
        <v>0</v>
      </c>
      <c r="K898" t="n">
        <v>0</v>
      </c>
      <c r="L898" t="n">
        <v>0</v>
      </c>
      <c r="M898" t="n">
        <v>0</v>
      </c>
      <c r="N898" t="n">
        <v>0</v>
      </c>
      <c r="O898" t="n">
        <v>0</v>
      </c>
      <c r="P898" t="n">
        <v>0</v>
      </c>
      <c r="Q898" t="n">
        <v>0</v>
      </c>
      <c r="R898" s="2" t="inlineStr"/>
    </row>
    <row r="899" ht="15" customHeight="1">
      <c r="A899" t="inlineStr">
        <is>
          <t>A 40147-2023</t>
        </is>
      </c>
      <c r="B899" s="1" t="n">
        <v>45169</v>
      </c>
      <c r="C899" s="1" t="n">
        <v>46022</v>
      </c>
      <c r="D899" t="inlineStr">
        <is>
          <t>KALMAR LÄN</t>
        </is>
      </c>
      <c r="E899" t="inlineStr">
        <is>
          <t>VIMMERBY</t>
        </is>
      </c>
      <c r="G899" t="n">
        <v>1.7</v>
      </c>
      <c r="H899" t="n">
        <v>0</v>
      </c>
      <c r="I899" t="n">
        <v>0</v>
      </c>
      <c r="J899" t="n">
        <v>0</v>
      </c>
      <c r="K899" t="n">
        <v>0</v>
      </c>
      <c r="L899" t="n">
        <v>0</v>
      </c>
      <c r="M899" t="n">
        <v>0</v>
      </c>
      <c r="N899" t="n">
        <v>0</v>
      </c>
      <c r="O899" t="n">
        <v>0</v>
      </c>
      <c r="P899" t="n">
        <v>0</v>
      </c>
      <c r="Q899" t="n">
        <v>0</v>
      </c>
      <c r="R899" s="2" t="inlineStr"/>
    </row>
    <row r="900" ht="15" customHeight="1">
      <c r="A900" t="inlineStr">
        <is>
          <t>A 50995-2022</t>
        </is>
      </c>
      <c r="B900" s="1" t="n">
        <v>44867</v>
      </c>
      <c r="C900" s="1" t="n">
        <v>46022</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27993-2022</t>
        </is>
      </c>
      <c r="B901" s="1" t="n">
        <v>44745.84396990741</v>
      </c>
      <c r="C901" s="1" t="n">
        <v>46022</v>
      </c>
      <c r="D901" t="inlineStr">
        <is>
          <t>KALMAR LÄN</t>
        </is>
      </c>
      <c r="E901" t="inlineStr">
        <is>
          <t>VIMMERBY</t>
        </is>
      </c>
      <c r="G901" t="n">
        <v>2.8</v>
      </c>
      <c r="H901" t="n">
        <v>0</v>
      </c>
      <c r="I901" t="n">
        <v>0</v>
      </c>
      <c r="J901" t="n">
        <v>0</v>
      </c>
      <c r="K901" t="n">
        <v>0</v>
      </c>
      <c r="L901" t="n">
        <v>0</v>
      </c>
      <c r="M901" t="n">
        <v>0</v>
      </c>
      <c r="N901" t="n">
        <v>0</v>
      </c>
      <c r="O901" t="n">
        <v>0</v>
      </c>
      <c r="P901" t="n">
        <v>0</v>
      </c>
      <c r="Q901" t="n">
        <v>0</v>
      </c>
      <c r="R901" s="2" t="inlineStr"/>
    </row>
    <row r="902" ht="15" customHeight="1">
      <c r="A902" t="inlineStr">
        <is>
          <t>A 57555-2024</t>
        </is>
      </c>
      <c r="B902" s="1" t="n">
        <v>45630.45069444444</v>
      </c>
      <c r="C902" s="1" t="n">
        <v>46022</v>
      </c>
      <c r="D902" t="inlineStr">
        <is>
          <t>KALMAR LÄN</t>
        </is>
      </c>
      <c r="E902" t="inlineStr">
        <is>
          <t>VIMMERBY</t>
        </is>
      </c>
      <c r="G902" t="n">
        <v>1.1</v>
      </c>
      <c r="H902" t="n">
        <v>0</v>
      </c>
      <c r="I902" t="n">
        <v>0</v>
      </c>
      <c r="J902" t="n">
        <v>0</v>
      </c>
      <c r="K902" t="n">
        <v>0</v>
      </c>
      <c r="L902" t="n">
        <v>0</v>
      </c>
      <c r="M902" t="n">
        <v>0</v>
      </c>
      <c r="N902" t="n">
        <v>0</v>
      </c>
      <c r="O902" t="n">
        <v>0</v>
      </c>
      <c r="P902" t="n">
        <v>0</v>
      </c>
      <c r="Q902" t="n">
        <v>0</v>
      </c>
      <c r="R902" s="2" t="inlineStr"/>
    </row>
    <row r="903" ht="15" customHeight="1">
      <c r="A903" t="inlineStr">
        <is>
          <t>A 36014-2024</t>
        </is>
      </c>
      <c r="B903" s="1" t="n">
        <v>45533.56108796296</v>
      </c>
      <c r="C903" s="1" t="n">
        <v>46022</v>
      </c>
      <c r="D903" t="inlineStr">
        <is>
          <t>KALMAR LÄN</t>
        </is>
      </c>
      <c r="E903" t="inlineStr">
        <is>
          <t>VIMMERBY</t>
        </is>
      </c>
      <c r="G903" t="n">
        <v>2.3</v>
      </c>
      <c r="H903" t="n">
        <v>0</v>
      </c>
      <c r="I903" t="n">
        <v>0</v>
      </c>
      <c r="J903" t="n">
        <v>0</v>
      </c>
      <c r="K903" t="n">
        <v>0</v>
      </c>
      <c r="L903" t="n">
        <v>0</v>
      </c>
      <c r="M903" t="n">
        <v>0</v>
      </c>
      <c r="N903" t="n">
        <v>0</v>
      </c>
      <c r="O903" t="n">
        <v>0</v>
      </c>
      <c r="P903" t="n">
        <v>0</v>
      </c>
      <c r="Q903" t="n">
        <v>0</v>
      </c>
      <c r="R903" s="2" t="inlineStr"/>
    </row>
    <row r="904" ht="15" customHeight="1">
      <c r="A904" t="inlineStr">
        <is>
          <t>A 36030-2024</t>
        </is>
      </c>
      <c r="B904" s="1" t="n">
        <v>45533.58302083334</v>
      </c>
      <c r="C904" s="1" t="n">
        <v>46022</v>
      </c>
      <c r="D904" t="inlineStr">
        <is>
          <t>KALMAR LÄN</t>
        </is>
      </c>
      <c r="E904" t="inlineStr">
        <is>
          <t>VIMMERBY</t>
        </is>
      </c>
      <c r="F904" t="inlineStr">
        <is>
          <t>Kommuner</t>
        </is>
      </c>
      <c r="G904" t="n">
        <v>4</v>
      </c>
      <c r="H904" t="n">
        <v>0</v>
      </c>
      <c r="I904" t="n">
        <v>0</v>
      </c>
      <c r="J904" t="n">
        <v>0</v>
      </c>
      <c r="K904" t="n">
        <v>0</v>
      </c>
      <c r="L904" t="n">
        <v>0</v>
      </c>
      <c r="M904" t="n">
        <v>0</v>
      </c>
      <c r="N904" t="n">
        <v>0</v>
      </c>
      <c r="O904" t="n">
        <v>0</v>
      </c>
      <c r="P904" t="n">
        <v>0</v>
      </c>
      <c r="Q904" t="n">
        <v>0</v>
      </c>
      <c r="R904" s="2" t="inlineStr"/>
    </row>
    <row r="905">
      <c r="A905" t="inlineStr">
        <is>
          <t>A 32865-2023</t>
        </is>
      </c>
      <c r="B905" s="1" t="n">
        <v>45124</v>
      </c>
      <c r="C905" s="1" t="n">
        <v>46022</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2025-12-31T09:54:45Z</dcterms:created>
  <dcterms:modified xmlns:dcterms="http://purl.org/dc/terms/" xmlns:xsi="http://www.w3.org/2001/XMLSchema-instance" xsi:type="dcterms:W3CDTF">2025-12-31T09:54:46Z</dcterms:modified>
</cp:coreProperties>
</file>