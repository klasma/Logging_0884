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45975</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45975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45975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45975</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45975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45975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45975</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45975</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45975</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45975</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45975</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41398-2021</t>
        </is>
      </c>
      <c r="B19" s="1" t="n">
        <v>44424</v>
      </c>
      <c r="C19" s="1" t="n">
        <v>45975</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45975</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45975</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14024-2023</t>
        </is>
      </c>
      <c r="B22" s="1" t="n">
        <v>45008.60878472222</v>
      </c>
      <c r="C22" s="1" t="n">
        <v>45975</v>
      </c>
      <c r="D22" t="inlineStr">
        <is>
          <t>KALMAR LÄN</t>
        </is>
      </c>
      <c r="E22" t="inlineStr">
        <is>
          <t>VIMMERBY</t>
        </is>
      </c>
      <c r="G22" t="n">
        <v>3.2</v>
      </c>
      <c r="H22" t="n">
        <v>1</v>
      </c>
      <c r="I22" t="n">
        <v>1</v>
      </c>
      <c r="J22" t="n">
        <v>0</v>
      </c>
      <c r="K22" t="n">
        <v>0</v>
      </c>
      <c r="L22" t="n">
        <v>1</v>
      </c>
      <c r="M22" t="n">
        <v>0</v>
      </c>
      <c r="N22" t="n">
        <v>0</v>
      </c>
      <c r="O22" t="n">
        <v>1</v>
      </c>
      <c r="P22" t="n">
        <v>1</v>
      </c>
      <c r="Q22" t="n">
        <v>2</v>
      </c>
      <c r="R22" s="2" t="inlineStr">
        <is>
          <t>Ryl
Purpurknipprot</t>
        </is>
      </c>
      <c r="S22">
        <f>HYPERLINK("https://klasma.github.io/Logging_0884/artfynd/A 14024-2023 artfynd.xlsx", "A 14024-2023")</f>
        <v/>
      </c>
      <c r="T22">
        <f>HYPERLINK("https://klasma.github.io/Logging_0884/kartor/A 14024-2023 karta.png", "A 14024-2023")</f>
        <v/>
      </c>
      <c r="V22">
        <f>HYPERLINK("https://klasma.github.io/Logging_0884/klagomål/A 14024-2023 FSC-klagomål.docx", "A 14024-2023")</f>
        <v/>
      </c>
      <c r="W22">
        <f>HYPERLINK("https://klasma.github.io/Logging_0884/klagomålsmail/A 14024-2023 FSC-klagomål mail.docx", "A 14024-2023")</f>
        <v/>
      </c>
      <c r="X22">
        <f>HYPERLINK("https://klasma.github.io/Logging_0884/tillsyn/A 14024-2023 tillsynsbegäran.docx", "A 14024-2023")</f>
        <v/>
      </c>
      <c r="Y22">
        <f>HYPERLINK("https://klasma.github.io/Logging_0884/tillsynsmail/A 14024-2023 tillsynsbegäran mail.docx", "A 14024-2023")</f>
        <v/>
      </c>
    </row>
    <row r="23" ht="15" customHeight="1">
      <c r="A23" t="inlineStr">
        <is>
          <t>A 2518-2023</t>
        </is>
      </c>
      <c r="B23" s="1" t="n">
        <v>44943</v>
      </c>
      <c r="C23" s="1" t="n">
        <v>45975</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45975</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22396-2025</t>
        </is>
      </c>
      <c r="B25" s="1" t="n">
        <v>45786.52827546297</v>
      </c>
      <c r="C25" s="1" t="n">
        <v>45975</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45975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22825-2023</t>
        </is>
      </c>
      <c r="B27" s="1" t="n">
        <v>45072</v>
      </c>
      <c r="C27" s="1" t="n">
        <v>45975</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42802-2025</t>
        </is>
      </c>
      <c r="B28" s="1" t="n">
        <v>45908</v>
      </c>
      <c r="C28" s="1" t="n">
        <v>45975</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45975</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53787-2025</t>
        </is>
      </c>
      <c r="B30" s="1" t="n">
        <v>45960</v>
      </c>
      <c r="C30" s="1" t="n">
        <v>45975</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32396-2021</t>
        </is>
      </c>
      <c r="B31" s="1" t="n">
        <v>44371</v>
      </c>
      <c r="C31" s="1" t="n">
        <v>45975</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15122-2024</t>
        </is>
      </c>
      <c r="B32" s="1" t="n">
        <v>45399.71412037037</v>
      </c>
      <c r="C32" s="1" t="n">
        <v>45975</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45975</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52301-2023</t>
        </is>
      </c>
      <c r="B34" s="1" t="n">
        <v>45224</v>
      </c>
      <c r="C34" s="1" t="n">
        <v>45975</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37930-2021</t>
        </is>
      </c>
      <c r="B35" s="1" t="n">
        <v>44403</v>
      </c>
      <c r="C35" s="1" t="n">
        <v>45975</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28852-2023</t>
        </is>
      </c>
      <c r="B36" s="1" t="n">
        <v>45104</v>
      </c>
      <c r="C36" s="1" t="n">
        <v>45975</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33436-2021</t>
        </is>
      </c>
      <c r="B37" s="1" t="n">
        <v>44377.61104166666</v>
      </c>
      <c r="C37" s="1" t="n">
        <v>45975</v>
      </c>
      <c r="D37" t="inlineStr">
        <is>
          <t>KALMAR LÄN</t>
        </is>
      </c>
      <c r="E37" t="inlineStr">
        <is>
          <t>VIMMERBY</t>
        </is>
      </c>
      <c r="G37" t="n">
        <v>11.8</v>
      </c>
      <c r="H37" t="n">
        <v>1</v>
      </c>
      <c r="I37" t="n">
        <v>0</v>
      </c>
      <c r="J37" t="n">
        <v>0</v>
      </c>
      <c r="K37" t="n">
        <v>1</v>
      </c>
      <c r="L37" t="n">
        <v>0</v>
      </c>
      <c r="M37" t="n">
        <v>0</v>
      </c>
      <c r="N37" t="n">
        <v>0</v>
      </c>
      <c r="O37" t="n">
        <v>1</v>
      </c>
      <c r="P37" t="n">
        <v>1</v>
      </c>
      <c r="Q37" t="n">
        <v>1</v>
      </c>
      <c r="R37" s="2" t="inlineStr">
        <is>
          <t>Knärot</t>
        </is>
      </c>
      <c r="S37">
        <f>HYPERLINK("https://klasma.github.io/Logging_0884/artfynd/A 33436-2021 artfynd.xlsx", "A 33436-2021")</f>
        <v/>
      </c>
      <c r="T37">
        <f>HYPERLINK("https://klasma.github.io/Logging_0884/kartor/A 33436-2021 karta.png", "A 33436-2021")</f>
        <v/>
      </c>
      <c r="U37">
        <f>HYPERLINK("https://klasma.github.io/Logging_0884/knärot/A 33436-2021 karta knärot.png", "A 33436-2021")</f>
        <v/>
      </c>
      <c r="V37">
        <f>HYPERLINK("https://klasma.github.io/Logging_0884/klagomål/A 33436-2021 FSC-klagomål.docx", "A 33436-2021")</f>
        <v/>
      </c>
      <c r="W37">
        <f>HYPERLINK("https://klasma.github.io/Logging_0884/klagomålsmail/A 33436-2021 FSC-klagomål mail.docx", "A 33436-2021")</f>
        <v/>
      </c>
      <c r="X37">
        <f>HYPERLINK("https://klasma.github.io/Logging_0884/tillsyn/A 33436-2021 tillsynsbegäran.docx", "A 33436-2021")</f>
        <v/>
      </c>
      <c r="Y37">
        <f>HYPERLINK("https://klasma.github.io/Logging_0884/tillsynsmail/A 33436-2021 tillsynsbegäran mail.docx", "A 33436-2021")</f>
        <v/>
      </c>
    </row>
    <row r="38" ht="15" customHeight="1">
      <c r="A38" t="inlineStr">
        <is>
          <t>A 44515-2024</t>
        </is>
      </c>
      <c r="B38" s="1" t="n">
        <v>45574.42767361111</v>
      </c>
      <c r="C38" s="1" t="n">
        <v>45975</v>
      </c>
      <c r="D38" t="inlineStr">
        <is>
          <t>KALMAR LÄN</t>
        </is>
      </c>
      <c r="E38" t="inlineStr">
        <is>
          <t>VIMMERBY</t>
        </is>
      </c>
      <c r="G38" t="n">
        <v>1.4</v>
      </c>
      <c r="H38" t="n">
        <v>1</v>
      </c>
      <c r="I38" t="n">
        <v>0</v>
      </c>
      <c r="J38" t="n">
        <v>0</v>
      </c>
      <c r="K38" t="n">
        <v>1</v>
      </c>
      <c r="L38" t="n">
        <v>0</v>
      </c>
      <c r="M38" t="n">
        <v>0</v>
      </c>
      <c r="N38" t="n">
        <v>0</v>
      </c>
      <c r="O38" t="n">
        <v>1</v>
      </c>
      <c r="P38" t="n">
        <v>1</v>
      </c>
      <c r="Q38" t="n">
        <v>1</v>
      </c>
      <c r="R38" s="2" t="inlineStr">
        <is>
          <t>Knärot</t>
        </is>
      </c>
      <c r="S38">
        <f>HYPERLINK("https://klasma.github.io/Logging_0884/artfynd/A 44515-2024 artfynd.xlsx", "A 44515-2024")</f>
        <v/>
      </c>
      <c r="T38">
        <f>HYPERLINK("https://klasma.github.io/Logging_0884/kartor/A 44515-2024 karta.png", "A 44515-2024")</f>
        <v/>
      </c>
      <c r="U38">
        <f>HYPERLINK("https://klasma.github.io/Logging_0884/knärot/A 44515-2024 karta knärot.png", "A 44515-2024")</f>
        <v/>
      </c>
      <c r="V38">
        <f>HYPERLINK("https://klasma.github.io/Logging_0884/klagomål/A 44515-2024 FSC-klagomål.docx", "A 44515-2024")</f>
        <v/>
      </c>
      <c r="W38">
        <f>HYPERLINK("https://klasma.github.io/Logging_0884/klagomålsmail/A 44515-2024 FSC-klagomål mail.docx", "A 44515-2024")</f>
        <v/>
      </c>
      <c r="X38">
        <f>HYPERLINK("https://klasma.github.io/Logging_0884/tillsyn/A 44515-2024 tillsynsbegäran.docx", "A 44515-2024")</f>
        <v/>
      </c>
      <c r="Y38">
        <f>HYPERLINK("https://klasma.github.io/Logging_0884/tillsynsmail/A 44515-2024 tillsynsbegäran mail.docx", "A 44515-2024")</f>
        <v/>
      </c>
    </row>
    <row r="39" ht="15" customHeight="1">
      <c r="A39" t="inlineStr">
        <is>
          <t>A 40083-2023</t>
        </is>
      </c>
      <c r="B39" s="1" t="n">
        <v>45168</v>
      </c>
      <c r="C39" s="1" t="n">
        <v>45975</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45975</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6841-2021</t>
        </is>
      </c>
      <c r="B41" s="1" t="n">
        <v>44236</v>
      </c>
      <c r="C41" s="1" t="n">
        <v>45975</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61860-2024</t>
        </is>
      </c>
      <c r="B42" s="1" t="n">
        <v>45649</v>
      </c>
      <c r="C42" s="1" t="n">
        <v>45975</v>
      </c>
      <c r="D42" t="inlineStr">
        <is>
          <t>KALMAR LÄN</t>
        </is>
      </c>
      <c r="E42" t="inlineStr">
        <is>
          <t>VIMMERBY</t>
        </is>
      </c>
      <c r="G42" t="n">
        <v>4.4</v>
      </c>
      <c r="H42" t="n">
        <v>1</v>
      </c>
      <c r="I42" t="n">
        <v>0</v>
      </c>
      <c r="J42" t="n">
        <v>0</v>
      </c>
      <c r="K42" t="n">
        <v>1</v>
      </c>
      <c r="L42" t="n">
        <v>0</v>
      </c>
      <c r="M42" t="n">
        <v>0</v>
      </c>
      <c r="N42" t="n">
        <v>0</v>
      </c>
      <c r="O42" t="n">
        <v>1</v>
      </c>
      <c r="P42" t="n">
        <v>1</v>
      </c>
      <c r="Q42" t="n">
        <v>1</v>
      </c>
      <c r="R42" s="2" t="inlineStr">
        <is>
          <t>Knärot</t>
        </is>
      </c>
      <c r="S42">
        <f>HYPERLINK("https://klasma.github.io/Logging_0884/artfynd/A 61860-2024 artfynd.xlsx", "A 61860-2024")</f>
        <v/>
      </c>
      <c r="T42">
        <f>HYPERLINK("https://klasma.github.io/Logging_0884/kartor/A 61860-2024 karta.png", "A 61860-2024")</f>
        <v/>
      </c>
      <c r="U42">
        <f>HYPERLINK("https://klasma.github.io/Logging_0884/knärot/A 61860-2024 karta knärot.png", "A 61860-2024")</f>
        <v/>
      </c>
      <c r="V42">
        <f>HYPERLINK("https://klasma.github.io/Logging_0884/klagomål/A 61860-2024 FSC-klagomål.docx", "A 61860-2024")</f>
        <v/>
      </c>
      <c r="W42">
        <f>HYPERLINK("https://klasma.github.io/Logging_0884/klagomålsmail/A 61860-2024 FSC-klagomål mail.docx", "A 61860-2024")</f>
        <v/>
      </c>
      <c r="X42">
        <f>HYPERLINK("https://klasma.github.io/Logging_0884/tillsyn/A 61860-2024 tillsynsbegäran.docx", "A 61860-2024")</f>
        <v/>
      </c>
      <c r="Y42">
        <f>HYPERLINK("https://klasma.github.io/Logging_0884/tillsynsmail/A 61860-2024 tillsynsbegäran mail.docx", "A 61860-2024")</f>
        <v/>
      </c>
    </row>
    <row r="43" ht="15" customHeight="1">
      <c r="A43" t="inlineStr">
        <is>
          <t>A 1201-2025</t>
        </is>
      </c>
      <c r="B43" s="1" t="n">
        <v>45667</v>
      </c>
      <c r="C43" s="1" t="n">
        <v>45975</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23602-2023</t>
        </is>
      </c>
      <c r="B44" s="1" t="n">
        <v>45077</v>
      </c>
      <c r="C44" s="1" t="n">
        <v>45975</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29183-2025</t>
        </is>
      </c>
      <c r="B45" s="1" t="n">
        <v>45821</v>
      </c>
      <c r="C45" s="1" t="n">
        <v>45975</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9067-2025</t>
        </is>
      </c>
      <c r="B46" s="1" t="n">
        <v>45713</v>
      </c>
      <c r="C46" s="1" t="n">
        <v>45975</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53404-2025</t>
        </is>
      </c>
      <c r="B47" s="1" t="n">
        <v>45959.57126157408</v>
      </c>
      <c r="C47" s="1" t="n">
        <v>45975</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45975</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15092-2021</t>
        </is>
      </c>
      <c r="B49" s="1" t="n">
        <v>44281.79269675926</v>
      </c>
      <c r="C49" s="1" t="n">
        <v>45975</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45975</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45975</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45975</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45975</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45975</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45975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45975</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45975</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45975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45975</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45975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45975</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45975</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45975</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45975</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45975</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45975</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45975</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45975</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45975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45975</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45975</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45975</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45975</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45975</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45975</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45975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45975</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45975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45975</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45975</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45975</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45975</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45975</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45975</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45975</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45975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45975</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45975</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45975</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45975</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45975</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45975</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45975</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45975</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45975</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45975</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45975</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45975</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45975</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45975</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45975</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45975</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66913-2020</t>
        </is>
      </c>
      <c r="B103" s="1" t="n">
        <v>44175</v>
      </c>
      <c r="C103" s="1" t="n">
        <v>45975</v>
      </c>
      <c r="D103" t="inlineStr">
        <is>
          <t>KALMAR LÄN</t>
        </is>
      </c>
      <c r="E103" t="inlineStr">
        <is>
          <t>VIMMERBY</t>
        </is>
      </c>
      <c r="G103" t="n">
        <v>5.6</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45975</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45975</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45975</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45975</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45975</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45975</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45975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45975</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45975</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45975</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45975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45975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45975</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45975</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45975</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45975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45975</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16602-2021</t>
        </is>
      </c>
      <c r="B121" s="1" t="n">
        <v>44294</v>
      </c>
      <c r="C121" s="1" t="n">
        <v>45975</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16607-2021</t>
        </is>
      </c>
      <c r="B122" s="1" t="n">
        <v>44294</v>
      </c>
      <c r="C122" s="1" t="n">
        <v>45975</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17029-2022</t>
        </is>
      </c>
      <c r="B123" s="1" t="n">
        <v>44676.85248842592</v>
      </c>
      <c r="C123" s="1" t="n">
        <v>45975</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7167-2022</t>
        </is>
      </c>
      <c r="B124" s="1" t="n">
        <v>44604</v>
      </c>
      <c r="C124" s="1" t="n">
        <v>45975</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18356-2021</t>
        </is>
      </c>
      <c r="B125" s="1" t="n">
        <v>44305</v>
      </c>
      <c r="C125" s="1" t="n">
        <v>45975</v>
      </c>
      <c r="D125" t="inlineStr">
        <is>
          <t>KALMAR LÄN</t>
        </is>
      </c>
      <c r="E125" t="inlineStr">
        <is>
          <t>VIMMERBY</t>
        </is>
      </c>
      <c r="G125" t="n">
        <v>3.4</v>
      </c>
      <c r="H125" t="n">
        <v>0</v>
      </c>
      <c r="I125" t="n">
        <v>0</v>
      </c>
      <c r="J125" t="n">
        <v>0</v>
      </c>
      <c r="K125" t="n">
        <v>0</v>
      </c>
      <c r="L125" t="n">
        <v>0</v>
      </c>
      <c r="M125" t="n">
        <v>0</v>
      </c>
      <c r="N125" t="n">
        <v>0</v>
      </c>
      <c r="O125" t="n">
        <v>0</v>
      </c>
      <c r="P125" t="n">
        <v>0</v>
      </c>
      <c r="Q125" t="n">
        <v>0</v>
      </c>
      <c r="R125" s="2" t="inlineStr"/>
    </row>
    <row r="126" ht="15" customHeight="1">
      <c r="A126" t="inlineStr">
        <is>
          <t>A 65887-2021</t>
        </is>
      </c>
      <c r="B126" s="1" t="n">
        <v>44517</v>
      </c>
      <c r="C126" s="1" t="n">
        <v>45975</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45975</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24369-2021</t>
        </is>
      </c>
      <c r="B128" s="1" t="n">
        <v>44337</v>
      </c>
      <c r="C128" s="1" t="n">
        <v>45975</v>
      </c>
      <c r="D128" t="inlineStr">
        <is>
          <t>KALMAR LÄN</t>
        </is>
      </c>
      <c r="E128" t="inlineStr">
        <is>
          <t>VIMMERBY</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35001-2021</t>
        </is>
      </c>
      <c r="B129" s="1" t="n">
        <v>44383</v>
      </c>
      <c r="C129" s="1" t="n">
        <v>45975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55674-2021</t>
        </is>
      </c>
      <c r="B130" s="1" t="n">
        <v>44476</v>
      </c>
      <c r="C130" s="1" t="n">
        <v>45975</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39959-2022</t>
        </is>
      </c>
      <c r="B131" s="1" t="n">
        <v>44819</v>
      </c>
      <c r="C131" s="1" t="n">
        <v>45975</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45975</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45975</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4042-2022</t>
        </is>
      </c>
      <c r="B134" s="1" t="n">
        <v>44588</v>
      </c>
      <c r="C134" s="1" t="n">
        <v>45975</v>
      </c>
      <c r="D134" t="inlineStr">
        <is>
          <t>KALMAR LÄN</t>
        </is>
      </c>
      <c r="E134" t="inlineStr">
        <is>
          <t>VIMMERBY</t>
        </is>
      </c>
      <c r="G134" t="n">
        <v>4.7</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45975</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45975</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45975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45975</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33690-2022</t>
        </is>
      </c>
      <c r="B139" s="1" t="n">
        <v>44789</v>
      </c>
      <c r="C139" s="1" t="n">
        <v>45975</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45975</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23825-2022</t>
        </is>
      </c>
      <c r="B141" s="1" t="n">
        <v>44722.48768518519</v>
      </c>
      <c r="C141" s="1" t="n">
        <v>45975</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48377-2021</t>
        </is>
      </c>
      <c r="B142" s="1" t="n">
        <v>44451.8375</v>
      </c>
      <c r="C142" s="1" t="n">
        <v>45975</v>
      </c>
      <c r="D142" t="inlineStr">
        <is>
          <t>KALMAR LÄN</t>
        </is>
      </c>
      <c r="E142" t="inlineStr">
        <is>
          <t>VIMMERBY</t>
        </is>
      </c>
      <c r="G142" t="n">
        <v>0.4</v>
      </c>
      <c r="H142" t="n">
        <v>0</v>
      </c>
      <c r="I142" t="n">
        <v>0</v>
      </c>
      <c r="J142" t="n">
        <v>0</v>
      </c>
      <c r="K142" t="n">
        <v>0</v>
      </c>
      <c r="L142" t="n">
        <v>0</v>
      </c>
      <c r="M142" t="n">
        <v>0</v>
      </c>
      <c r="N142" t="n">
        <v>0</v>
      </c>
      <c r="O142" t="n">
        <v>0</v>
      </c>
      <c r="P142" t="n">
        <v>0</v>
      </c>
      <c r="Q142" t="n">
        <v>0</v>
      </c>
      <c r="R142" s="2" t="inlineStr"/>
    </row>
    <row r="143" ht="15" customHeight="1">
      <c r="A143" t="inlineStr">
        <is>
          <t>A 40472-2022</t>
        </is>
      </c>
      <c r="B143" s="1" t="n">
        <v>44823</v>
      </c>
      <c r="C143" s="1" t="n">
        <v>45975</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35316-2021</t>
        </is>
      </c>
      <c r="B144" s="1" t="n">
        <v>44384</v>
      </c>
      <c r="C144" s="1" t="n">
        <v>45975</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56389-2021</t>
        </is>
      </c>
      <c r="B145" s="1" t="n">
        <v>44480</v>
      </c>
      <c r="C145" s="1" t="n">
        <v>45975</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33831-2022</t>
        </is>
      </c>
      <c r="B146" s="1" t="n">
        <v>44790.48503472222</v>
      </c>
      <c r="C146" s="1" t="n">
        <v>45975</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35198-2021</t>
        </is>
      </c>
      <c r="B147" s="1" t="n">
        <v>44377</v>
      </c>
      <c r="C147" s="1" t="n">
        <v>45975</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45975</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34036-2021</t>
        </is>
      </c>
      <c r="B149" s="1" t="n">
        <v>44379</v>
      </c>
      <c r="C149" s="1" t="n">
        <v>45975</v>
      </c>
      <c r="D149" t="inlineStr">
        <is>
          <t>KALMAR LÄN</t>
        </is>
      </c>
      <c r="E149" t="inlineStr">
        <is>
          <t>VIMMERBY</t>
        </is>
      </c>
      <c r="F149" t="inlineStr">
        <is>
          <t>Sveaskog</t>
        </is>
      </c>
      <c r="G149" t="n">
        <v>7</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45975</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63244-2021</t>
        </is>
      </c>
      <c r="B151" s="1" t="n">
        <v>44508</v>
      </c>
      <c r="C151" s="1" t="n">
        <v>45975</v>
      </c>
      <c r="D151" t="inlineStr">
        <is>
          <t>KALMAR LÄN</t>
        </is>
      </c>
      <c r="E151" t="inlineStr">
        <is>
          <t>VIMMERBY</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67952-2021</t>
        </is>
      </c>
      <c r="B152" s="1" t="n">
        <v>44525.63913194444</v>
      </c>
      <c r="C152" s="1" t="n">
        <v>45975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14521-2021</t>
        </is>
      </c>
      <c r="B153" s="1" t="n">
        <v>44279.64934027778</v>
      </c>
      <c r="C153" s="1" t="n">
        <v>45975</v>
      </c>
      <c r="D153" t="inlineStr">
        <is>
          <t>KALMAR LÄN</t>
        </is>
      </c>
      <c r="E153" t="inlineStr">
        <is>
          <t>VIMMERBY</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15533-2022</t>
        </is>
      </c>
      <c r="B154" s="1" t="n">
        <v>44662</v>
      </c>
      <c r="C154" s="1" t="n">
        <v>45975</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618-2021</t>
        </is>
      </c>
      <c r="B155" s="1" t="n">
        <v>44203</v>
      </c>
      <c r="C155" s="1" t="n">
        <v>45975</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165-2022</t>
        </is>
      </c>
      <c r="B156" s="1" t="n">
        <v>44564</v>
      </c>
      <c r="C156" s="1" t="n">
        <v>45975</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12241-2021</t>
        </is>
      </c>
      <c r="B157" s="1" t="n">
        <v>44266.7240625</v>
      </c>
      <c r="C157" s="1" t="n">
        <v>45975</v>
      </c>
      <c r="D157" t="inlineStr">
        <is>
          <t>KALMAR LÄN</t>
        </is>
      </c>
      <c r="E157" t="inlineStr">
        <is>
          <t>VIMMERBY</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12662-2021</t>
        </is>
      </c>
      <c r="B158" s="1" t="n">
        <v>44270.49743055556</v>
      </c>
      <c r="C158" s="1" t="n">
        <v>45975</v>
      </c>
      <c r="D158" t="inlineStr">
        <is>
          <t>KALMAR LÄN</t>
        </is>
      </c>
      <c r="E158" t="inlineStr">
        <is>
          <t>VIMMERBY</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34040-2021</t>
        </is>
      </c>
      <c r="B159" s="1" t="n">
        <v>44379</v>
      </c>
      <c r="C159" s="1" t="n">
        <v>45975</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15200-2021</t>
        </is>
      </c>
      <c r="B160" s="1" t="n">
        <v>44284.44574074074</v>
      </c>
      <c r="C160" s="1" t="n">
        <v>45975</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12107-2022</t>
        </is>
      </c>
      <c r="B161" s="1" t="n">
        <v>44636</v>
      </c>
      <c r="C161" s="1" t="n">
        <v>45975</v>
      </c>
      <c r="D161" t="inlineStr">
        <is>
          <t>KALMAR LÄN</t>
        </is>
      </c>
      <c r="E161" t="inlineStr">
        <is>
          <t>VIMMERBY</t>
        </is>
      </c>
      <c r="G161" t="n">
        <v>1.8</v>
      </c>
      <c r="H161" t="n">
        <v>0</v>
      </c>
      <c r="I161" t="n">
        <v>0</v>
      </c>
      <c r="J161" t="n">
        <v>0</v>
      </c>
      <c r="K161" t="n">
        <v>0</v>
      </c>
      <c r="L161" t="n">
        <v>0</v>
      </c>
      <c r="M161" t="n">
        <v>0</v>
      </c>
      <c r="N161" t="n">
        <v>0</v>
      </c>
      <c r="O161" t="n">
        <v>0</v>
      </c>
      <c r="P161" t="n">
        <v>0</v>
      </c>
      <c r="Q161" t="n">
        <v>0</v>
      </c>
      <c r="R161" s="2" t="inlineStr"/>
    </row>
    <row r="162" ht="15" customHeight="1">
      <c r="A162" t="inlineStr">
        <is>
          <t>A 11814-2022</t>
        </is>
      </c>
      <c r="B162" s="1" t="n">
        <v>44634.69703703704</v>
      </c>
      <c r="C162" s="1" t="n">
        <v>45975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39225-2022</t>
        </is>
      </c>
      <c r="B163" s="1" t="n">
        <v>44817.57988425926</v>
      </c>
      <c r="C163" s="1" t="n">
        <v>45975</v>
      </c>
      <c r="D163" t="inlineStr">
        <is>
          <t>KALMAR LÄN</t>
        </is>
      </c>
      <c r="E163" t="inlineStr">
        <is>
          <t>VIMMERBY</t>
        </is>
      </c>
      <c r="G163" t="n">
        <v>2.2</v>
      </c>
      <c r="H163" t="n">
        <v>0</v>
      </c>
      <c r="I163" t="n">
        <v>0</v>
      </c>
      <c r="J163" t="n">
        <v>0</v>
      </c>
      <c r="K163" t="n">
        <v>0</v>
      </c>
      <c r="L163" t="n">
        <v>0</v>
      </c>
      <c r="M163" t="n">
        <v>0</v>
      </c>
      <c r="N163" t="n">
        <v>0</v>
      </c>
      <c r="O163" t="n">
        <v>0</v>
      </c>
      <c r="P163" t="n">
        <v>0</v>
      </c>
      <c r="Q163" t="n">
        <v>0</v>
      </c>
      <c r="R163" s="2" t="inlineStr"/>
    </row>
    <row r="164" ht="15" customHeight="1">
      <c r="A164" t="inlineStr">
        <is>
          <t>A 56385-2021</t>
        </is>
      </c>
      <c r="B164" s="1" t="n">
        <v>44480</v>
      </c>
      <c r="C164" s="1" t="n">
        <v>45975</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31053-2022</t>
        </is>
      </c>
      <c r="B165" s="1" t="n">
        <v>44769.45422453704</v>
      </c>
      <c r="C165" s="1" t="n">
        <v>45975</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24738-2021</t>
        </is>
      </c>
      <c r="B166" s="1" t="n">
        <v>44340.58002314815</v>
      </c>
      <c r="C166" s="1" t="n">
        <v>45975</v>
      </c>
      <c r="D166" t="inlineStr">
        <is>
          <t>KALMAR LÄN</t>
        </is>
      </c>
      <c r="E166" t="inlineStr">
        <is>
          <t>VIMMERBY</t>
        </is>
      </c>
      <c r="G166" t="n">
        <v>3.5</v>
      </c>
      <c r="H166" t="n">
        <v>0</v>
      </c>
      <c r="I166" t="n">
        <v>0</v>
      </c>
      <c r="J166" t="n">
        <v>0</v>
      </c>
      <c r="K166" t="n">
        <v>0</v>
      </c>
      <c r="L166" t="n">
        <v>0</v>
      </c>
      <c r="M166" t="n">
        <v>0</v>
      </c>
      <c r="N166" t="n">
        <v>0</v>
      </c>
      <c r="O166" t="n">
        <v>0</v>
      </c>
      <c r="P166" t="n">
        <v>0</v>
      </c>
      <c r="Q166" t="n">
        <v>0</v>
      </c>
      <c r="R166" s="2" t="inlineStr"/>
    </row>
    <row r="167" ht="15" customHeight="1">
      <c r="A167" t="inlineStr">
        <is>
          <t>A 10086-2022</t>
        </is>
      </c>
      <c r="B167" s="1" t="n">
        <v>44621</v>
      </c>
      <c r="C167" s="1" t="n">
        <v>45975</v>
      </c>
      <c r="D167" t="inlineStr">
        <is>
          <t>KALMAR LÄN</t>
        </is>
      </c>
      <c r="E167" t="inlineStr">
        <is>
          <t>VIMMERBY</t>
        </is>
      </c>
      <c r="G167" t="n">
        <v>1.2</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45975</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8454-2022</t>
        </is>
      </c>
      <c r="B169" s="1" t="n">
        <v>44612.86762731482</v>
      </c>
      <c r="C169" s="1" t="n">
        <v>45975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65564-2020</t>
        </is>
      </c>
      <c r="B170" s="1" t="n">
        <v>44172</v>
      </c>
      <c r="C170" s="1" t="n">
        <v>45975</v>
      </c>
      <c r="D170" t="inlineStr">
        <is>
          <t>KALMAR LÄN</t>
        </is>
      </c>
      <c r="E170" t="inlineStr">
        <is>
          <t>VIMMERBY</t>
        </is>
      </c>
      <c r="G170" t="n">
        <v>4.1</v>
      </c>
      <c r="H170" t="n">
        <v>0</v>
      </c>
      <c r="I170" t="n">
        <v>0</v>
      </c>
      <c r="J170" t="n">
        <v>0</v>
      </c>
      <c r="K170" t="n">
        <v>0</v>
      </c>
      <c r="L170" t="n">
        <v>0</v>
      </c>
      <c r="M170" t="n">
        <v>0</v>
      </c>
      <c r="N170" t="n">
        <v>0</v>
      </c>
      <c r="O170" t="n">
        <v>0</v>
      </c>
      <c r="P170" t="n">
        <v>0</v>
      </c>
      <c r="Q170" t="n">
        <v>0</v>
      </c>
      <c r="R170" s="2" t="inlineStr"/>
    </row>
    <row r="171" ht="15" customHeight="1">
      <c r="A171" t="inlineStr">
        <is>
          <t>A 36117-2021</t>
        </is>
      </c>
      <c r="B171" s="1" t="n">
        <v>44386</v>
      </c>
      <c r="C171" s="1" t="n">
        <v>45975</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22197-2024</t>
        </is>
      </c>
      <c r="B172" s="1" t="n">
        <v>45446.36774305555</v>
      </c>
      <c r="C172" s="1" t="n">
        <v>45975</v>
      </c>
      <c r="D172" t="inlineStr">
        <is>
          <t>KALMAR LÄN</t>
        </is>
      </c>
      <c r="E172" t="inlineStr">
        <is>
          <t>VIMMERBY</t>
        </is>
      </c>
      <c r="F172" t="inlineStr">
        <is>
          <t>Sveaskog</t>
        </is>
      </c>
      <c r="G172" t="n">
        <v>3.2</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45975</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53145-2022</t>
        </is>
      </c>
      <c r="B174" s="1" t="n">
        <v>44876.48346064815</v>
      </c>
      <c r="C174" s="1" t="n">
        <v>45975</v>
      </c>
      <c r="D174" t="inlineStr">
        <is>
          <t>KALMAR LÄN</t>
        </is>
      </c>
      <c r="E174" t="inlineStr">
        <is>
          <t>VIMMERBY</t>
        </is>
      </c>
      <c r="G174" t="n">
        <v>0.4</v>
      </c>
      <c r="H174" t="n">
        <v>0</v>
      </c>
      <c r="I174" t="n">
        <v>0</v>
      </c>
      <c r="J174" t="n">
        <v>0</v>
      </c>
      <c r="K174" t="n">
        <v>0</v>
      </c>
      <c r="L174" t="n">
        <v>0</v>
      </c>
      <c r="M174" t="n">
        <v>0</v>
      </c>
      <c r="N174" t="n">
        <v>0</v>
      </c>
      <c r="O174" t="n">
        <v>0</v>
      </c>
      <c r="P174" t="n">
        <v>0</v>
      </c>
      <c r="Q174" t="n">
        <v>0</v>
      </c>
      <c r="R174" s="2" t="inlineStr"/>
    </row>
    <row r="175" ht="15" customHeight="1">
      <c r="A175" t="inlineStr">
        <is>
          <t>A 25738-2022</t>
        </is>
      </c>
      <c r="B175" s="1" t="n">
        <v>44733.43092592592</v>
      </c>
      <c r="C175" s="1" t="n">
        <v>45975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35710-2023</t>
        </is>
      </c>
      <c r="B176" s="1" t="n">
        <v>45147.67096064815</v>
      </c>
      <c r="C176" s="1" t="n">
        <v>45975</v>
      </c>
      <c r="D176" t="inlineStr">
        <is>
          <t>KALMAR LÄN</t>
        </is>
      </c>
      <c r="E176" t="inlineStr">
        <is>
          <t>VIMMERBY</t>
        </is>
      </c>
      <c r="G176" t="n">
        <v>3.1</v>
      </c>
      <c r="H176" t="n">
        <v>0</v>
      </c>
      <c r="I176" t="n">
        <v>0</v>
      </c>
      <c r="J176" t="n">
        <v>0</v>
      </c>
      <c r="K176" t="n">
        <v>0</v>
      </c>
      <c r="L176" t="n">
        <v>0</v>
      </c>
      <c r="M176" t="n">
        <v>0</v>
      </c>
      <c r="N176" t="n">
        <v>0</v>
      </c>
      <c r="O176" t="n">
        <v>0</v>
      </c>
      <c r="P176" t="n">
        <v>0</v>
      </c>
      <c r="Q176" t="n">
        <v>0</v>
      </c>
      <c r="R176" s="2" t="inlineStr"/>
    </row>
    <row r="177" ht="15" customHeight="1">
      <c r="A177" t="inlineStr">
        <is>
          <t>A 35711-2023</t>
        </is>
      </c>
      <c r="B177" s="1" t="n">
        <v>45147.67172453704</v>
      </c>
      <c r="C177" s="1" t="n">
        <v>45975</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18276-2021</t>
        </is>
      </c>
      <c r="B178" s="1" t="n">
        <v>44305.40046296296</v>
      </c>
      <c r="C178" s="1" t="n">
        <v>45975</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47473-2021</t>
        </is>
      </c>
      <c r="B179" s="1" t="n">
        <v>44447</v>
      </c>
      <c r="C179" s="1" t="n">
        <v>45975</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8194-2022</t>
        </is>
      </c>
      <c r="B180" s="1" t="n">
        <v>44609</v>
      </c>
      <c r="C180" s="1" t="n">
        <v>45975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15191-2021</t>
        </is>
      </c>
      <c r="B181" s="1" t="n">
        <v>44284.42348379629</v>
      </c>
      <c r="C181" s="1" t="n">
        <v>45975</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40971-2021</t>
        </is>
      </c>
      <c r="B182" s="1" t="n">
        <v>44421</v>
      </c>
      <c r="C182" s="1" t="n">
        <v>45975</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68744-2020</t>
        </is>
      </c>
      <c r="B183" s="1" t="n">
        <v>44186</v>
      </c>
      <c r="C183" s="1" t="n">
        <v>45975</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13457-2021</t>
        </is>
      </c>
      <c r="B184" s="1" t="n">
        <v>44273</v>
      </c>
      <c r="C184" s="1" t="n">
        <v>45975</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14278-2021</t>
        </is>
      </c>
      <c r="B185" s="1" t="n">
        <v>44278.63479166666</v>
      </c>
      <c r="C185" s="1" t="n">
        <v>45975</v>
      </c>
      <c r="D185" t="inlineStr">
        <is>
          <t>KALMAR LÄN</t>
        </is>
      </c>
      <c r="E185" t="inlineStr">
        <is>
          <t>VIMMERBY</t>
        </is>
      </c>
      <c r="F185" t="inlineStr">
        <is>
          <t>Övriga statliga verk och myndigheter</t>
        </is>
      </c>
      <c r="G185" t="n">
        <v>0.8</v>
      </c>
      <c r="H185" t="n">
        <v>0</v>
      </c>
      <c r="I185" t="n">
        <v>0</v>
      </c>
      <c r="J185" t="n">
        <v>0</v>
      </c>
      <c r="K185" t="n">
        <v>0</v>
      </c>
      <c r="L185" t="n">
        <v>0</v>
      </c>
      <c r="M185" t="n">
        <v>0</v>
      </c>
      <c r="N185" t="n">
        <v>0</v>
      </c>
      <c r="O185" t="n">
        <v>0</v>
      </c>
      <c r="P185" t="n">
        <v>0</v>
      </c>
      <c r="Q185" t="n">
        <v>0</v>
      </c>
      <c r="R185" s="2" t="inlineStr"/>
    </row>
    <row r="186" ht="15" customHeight="1">
      <c r="A186" t="inlineStr">
        <is>
          <t>A 41056-2022</t>
        </is>
      </c>
      <c r="B186" s="1" t="n">
        <v>44824</v>
      </c>
      <c r="C186" s="1" t="n">
        <v>45975</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31660-2021</t>
        </is>
      </c>
      <c r="B187" s="1" t="n">
        <v>44369</v>
      </c>
      <c r="C187" s="1" t="n">
        <v>45975</v>
      </c>
      <c r="D187" t="inlineStr">
        <is>
          <t>KALMAR LÄN</t>
        </is>
      </c>
      <c r="E187" t="inlineStr">
        <is>
          <t>VIMMERBY</t>
        </is>
      </c>
      <c r="G187" t="n">
        <v>4.2</v>
      </c>
      <c r="H187" t="n">
        <v>0</v>
      </c>
      <c r="I187" t="n">
        <v>0</v>
      </c>
      <c r="J187" t="n">
        <v>0</v>
      </c>
      <c r="K187" t="n">
        <v>0</v>
      </c>
      <c r="L187" t="n">
        <v>0</v>
      </c>
      <c r="M187" t="n">
        <v>0</v>
      </c>
      <c r="N187" t="n">
        <v>0</v>
      </c>
      <c r="O187" t="n">
        <v>0</v>
      </c>
      <c r="P187" t="n">
        <v>0</v>
      </c>
      <c r="Q187" t="n">
        <v>0</v>
      </c>
      <c r="R187" s="2" t="inlineStr"/>
    </row>
    <row r="188" ht="15" customHeight="1">
      <c r="A188" t="inlineStr">
        <is>
          <t>A 27455-2022</t>
        </is>
      </c>
      <c r="B188" s="1" t="n">
        <v>44742</v>
      </c>
      <c r="C188" s="1" t="n">
        <v>45975</v>
      </c>
      <c r="D188" t="inlineStr">
        <is>
          <t>KALMAR LÄN</t>
        </is>
      </c>
      <c r="E188" t="inlineStr">
        <is>
          <t>VIMMERBY</t>
        </is>
      </c>
      <c r="G188" t="n">
        <v>1.6</v>
      </c>
      <c r="H188" t="n">
        <v>0</v>
      </c>
      <c r="I188" t="n">
        <v>0</v>
      </c>
      <c r="J188" t="n">
        <v>0</v>
      </c>
      <c r="K188" t="n">
        <v>0</v>
      </c>
      <c r="L188" t="n">
        <v>0</v>
      </c>
      <c r="M188" t="n">
        <v>0</v>
      </c>
      <c r="N188" t="n">
        <v>0</v>
      </c>
      <c r="O188" t="n">
        <v>0</v>
      </c>
      <c r="P188" t="n">
        <v>0</v>
      </c>
      <c r="Q188" t="n">
        <v>0</v>
      </c>
      <c r="R188" s="2" t="inlineStr"/>
    </row>
    <row r="189" ht="15" customHeight="1">
      <c r="A189" t="inlineStr">
        <is>
          <t>A 46964-2022</t>
        </is>
      </c>
      <c r="B189" s="1" t="n">
        <v>44851.95016203704</v>
      </c>
      <c r="C189" s="1" t="n">
        <v>45975</v>
      </c>
      <c r="D189" t="inlineStr">
        <is>
          <t>KALMAR LÄN</t>
        </is>
      </c>
      <c r="E189" t="inlineStr">
        <is>
          <t>VIMMERBY</t>
        </is>
      </c>
      <c r="G189" t="n">
        <v>0.2</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45975</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34588-2024</t>
        </is>
      </c>
      <c r="B191" s="1" t="n">
        <v>45526.3865625</v>
      </c>
      <c r="C191" s="1" t="n">
        <v>45975</v>
      </c>
      <c r="D191" t="inlineStr">
        <is>
          <t>KALMAR LÄN</t>
        </is>
      </c>
      <c r="E191" t="inlineStr">
        <is>
          <t>VIMMERBY</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45975</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45975</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45975</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13180-2022</t>
        </is>
      </c>
      <c r="B195" s="1" t="n">
        <v>44644</v>
      </c>
      <c r="C195" s="1" t="n">
        <v>45975</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31824-2022</t>
        </is>
      </c>
      <c r="B196" s="1" t="n">
        <v>44776</v>
      </c>
      <c r="C196" s="1" t="n">
        <v>45975</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56659-2023</t>
        </is>
      </c>
      <c r="B197" s="1" t="n">
        <v>45243.84869212963</v>
      </c>
      <c r="C197" s="1" t="n">
        <v>45975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11733-2022</t>
        </is>
      </c>
      <c r="B198" s="1" t="n">
        <v>44634</v>
      </c>
      <c r="C198" s="1" t="n">
        <v>45975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45975</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39042-2022</t>
        </is>
      </c>
      <c r="B200" s="1" t="n">
        <v>44817</v>
      </c>
      <c r="C200" s="1" t="n">
        <v>45975</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16288-2021</t>
        </is>
      </c>
      <c r="B201" s="1" t="n">
        <v>44292</v>
      </c>
      <c r="C201" s="1" t="n">
        <v>45975</v>
      </c>
      <c r="D201" t="inlineStr">
        <is>
          <t>KALMAR LÄN</t>
        </is>
      </c>
      <c r="E201" t="inlineStr">
        <is>
          <t>VIMMERBY</t>
        </is>
      </c>
      <c r="F201" t="inlineStr">
        <is>
          <t>Övriga Aktiebolag</t>
        </is>
      </c>
      <c r="G201" t="n">
        <v>27.6</v>
      </c>
      <c r="H201" t="n">
        <v>0</v>
      </c>
      <c r="I201" t="n">
        <v>0</v>
      </c>
      <c r="J201" t="n">
        <v>0</v>
      </c>
      <c r="K201" t="n">
        <v>0</v>
      </c>
      <c r="L201" t="n">
        <v>0</v>
      </c>
      <c r="M201" t="n">
        <v>0</v>
      </c>
      <c r="N201" t="n">
        <v>0</v>
      </c>
      <c r="O201" t="n">
        <v>0</v>
      </c>
      <c r="P201" t="n">
        <v>0</v>
      </c>
      <c r="Q201" t="n">
        <v>0</v>
      </c>
      <c r="R201" s="2" t="inlineStr"/>
    </row>
    <row r="202" ht="15" customHeight="1">
      <c r="A202" t="inlineStr">
        <is>
          <t>A 3330-2021</t>
        </is>
      </c>
      <c r="B202" s="1" t="n">
        <v>44217.79856481482</v>
      </c>
      <c r="C202" s="1" t="n">
        <v>45975</v>
      </c>
      <c r="D202" t="inlineStr">
        <is>
          <t>KALMAR LÄN</t>
        </is>
      </c>
      <c r="E202" t="inlineStr">
        <is>
          <t>VIMMERBY</t>
        </is>
      </c>
      <c r="G202" t="n">
        <v>11.1</v>
      </c>
      <c r="H202" t="n">
        <v>0</v>
      </c>
      <c r="I202" t="n">
        <v>0</v>
      </c>
      <c r="J202" t="n">
        <v>0</v>
      </c>
      <c r="K202" t="n">
        <v>0</v>
      </c>
      <c r="L202" t="n">
        <v>0</v>
      </c>
      <c r="M202" t="n">
        <v>0</v>
      </c>
      <c r="N202" t="n">
        <v>0</v>
      </c>
      <c r="O202" t="n">
        <v>0</v>
      </c>
      <c r="P202" t="n">
        <v>0</v>
      </c>
      <c r="Q202" t="n">
        <v>0</v>
      </c>
      <c r="R202" s="2" t="inlineStr"/>
    </row>
    <row r="203" ht="15" customHeight="1">
      <c r="A203" t="inlineStr">
        <is>
          <t>A 29441-2024</t>
        </is>
      </c>
      <c r="B203" s="1" t="n">
        <v>45483.82834490741</v>
      </c>
      <c r="C203" s="1" t="n">
        <v>45975</v>
      </c>
      <c r="D203" t="inlineStr">
        <is>
          <t>KALMAR LÄN</t>
        </is>
      </c>
      <c r="E203" t="inlineStr">
        <is>
          <t>VIMMERBY</t>
        </is>
      </c>
      <c r="G203" t="n">
        <v>1.3</v>
      </c>
      <c r="H203" t="n">
        <v>0</v>
      </c>
      <c r="I203" t="n">
        <v>0</v>
      </c>
      <c r="J203" t="n">
        <v>0</v>
      </c>
      <c r="K203" t="n">
        <v>0</v>
      </c>
      <c r="L203" t="n">
        <v>0</v>
      </c>
      <c r="M203" t="n">
        <v>0</v>
      </c>
      <c r="N203" t="n">
        <v>0</v>
      </c>
      <c r="O203" t="n">
        <v>0</v>
      </c>
      <c r="P203" t="n">
        <v>0</v>
      </c>
      <c r="Q203" t="n">
        <v>0</v>
      </c>
      <c r="R203" s="2" t="inlineStr"/>
    </row>
    <row r="204" ht="15" customHeight="1">
      <c r="A204" t="inlineStr">
        <is>
          <t>A 46078-2023</t>
        </is>
      </c>
      <c r="B204" s="1" t="n">
        <v>45196</v>
      </c>
      <c r="C204" s="1" t="n">
        <v>45975</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25728-2023</t>
        </is>
      </c>
      <c r="B205" s="1" t="n">
        <v>45090.38012731481</v>
      </c>
      <c r="C205" s="1" t="n">
        <v>45975</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7643-2022</t>
        </is>
      </c>
      <c r="B206" s="1" t="n">
        <v>44607</v>
      </c>
      <c r="C206" s="1" t="n">
        <v>45975</v>
      </c>
      <c r="D206" t="inlineStr">
        <is>
          <t>KALMAR LÄN</t>
        </is>
      </c>
      <c r="E206" t="inlineStr">
        <is>
          <t>VIMMERBY</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3494-2023</t>
        </is>
      </c>
      <c r="B207" s="1" t="n">
        <v>44949</v>
      </c>
      <c r="C207" s="1" t="n">
        <v>45975</v>
      </c>
      <c r="D207" t="inlineStr">
        <is>
          <t>KALMAR LÄN</t>
        </is>
      </c>
      <c r="E207" t="inlineStr">
        <is>
          <t>VIMMERBY</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42850-2022</t>
        </is>
      </c>
      <c r="B208" s="1" t="n">
        <v>44832.67608796297</v>
      </c>
      <c r="C208" s="1" t="n">
        <v>45975</v>
      </c>
      <c r="D208" t="inlineStr">
        <is>
          <t>KALMAR LÄN</t>
        </is>
      </c>
      <c r="E208" t="inlineStr">
        <is>
          <t>VIMMERBY</t>
        </is>
      </c>
      <c r="G208" t="n">
        <v>5.9</v>
      </c>
      <c r="H208" t="n">
        <v>0</v>
      </c>
      <c r="I208" t="n">
        <v>0</v>
      </c>
      <c r="J208" t="n">
        <v>0</v>
      </c>
      <c r="K208" t="n">
        <v>0</v>
      </c>
      <c r="L208" t="n">
        <v>0</v>
      </c>
      <c r="M208" t="n">
        <v>0</v>
      </c>
      <c r="N208" t="n">
        <v>0</v>
      </c>
      <c r="O208" t="n">
        <v>0</v>
      </c>
      <c r="P208" t="n">
        <v>0</v>
      </c>
      <c r="Q208" t="n">
        <v>0</v>
      </c>
      <c r="R208" s="2" t="inlineStr"/>
    </row>
    <row r="209" ht="15" customHeight="1">
      <c r="A209" t="inlineStr">
        <is>
          <t>A 3331-2023</t>
        </is>
      </c>
      <c r="B209" s="1" t="n">
        <v>44949</v>
      </c>
      <c r="C209" s="1" t="n">
        <v>45975</v>
      </c>
      <c r="D209" t="inlineStr">
        <is>
          <t>KALMAR LÄN</t>
        </is>
      </c>
      <c r="E209" t="inlineStr">
        <is>
          <t>VIMMERBY</t>
        </is>
      </c>
      <c r="G209" t="n">
        <v>6.2</v>
      </c>
      <c r="H209" t="n">
        <v>0</v>
      </c>
      <c r="I209" t="n">
        <v>0</v>
      </c>
      <c r="J209" t="n">
        <v>0</v>
      </c>
      <c r="K209" t="n">
        <v>0</v>
      </c>
      <c r="L209" t="n">
        <v>0</v>
      </c>
      <c r="M209" t="n">
        <v>0</v>
      </c>
      <c r="N209" t="n">
        <v>0</v>
      </c>
      <c r="O209" t="n">
        <v>0</v>
      </c>
      <c r="P209" t="n">
        <v>0</v>
      </c>
      <c r="Q209" t="n">
        <v>0</v>
      </c>
      <c r="R209" s="2" t="inlineStr"/>
    </row>
    <row r="210" ht="15" customHeight="1">
      <c r="A210" t="inlineStr">
        <is>
          <t>A 32633-2023</t>
        </is>
      </c>
      <c r="B210" s="1" t="n">
        <v>45121.58699074074</v>
      </c>
      <c r="C210" s="1" t="n">
        <v>45975</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43601-2024</t>
        </is>
      </c>
      <c r="B211" s="1" t="n">
        <v>45569.44684027778</v>
      </c>
      <c r="C211" s="1" t="n">
        <v>45975</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40828-2023</t>
        </is>
      </c>
      <c r="B212" s="1" t="n">
        <v>45171.96248842592</v>
      </c>
      <c r="C212" s="1" t="n">
        <v>45975</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13813-2024</t>
        </is>
      </c>
      <c r="B213" s="1" t="n">
        <v>45391.41310185185</v>
      </c>
      <c r="C213" s="1" t="n">
        <v>45975</v>
      </c>
      <c r="D213" t="inlineStr">
        <is>
          <t>KALMAR LÄN</t>
        </is>
      </c>
      <c r="E213" t="inlineStr">
        <is>
          <t>VIMMERBY</t>
        </is>
      </c>
      <c r="G213" t="n">
        <v>0.4</v>
      </c>
      <c r="H213" t="n">
        <v>0</v>
      </c>
      <c r="I213" t="n">
        <v>0</v>
      </c>
      <c r="J213" t="n">
        <v>0</v>
      </c>
      <c r="K213" t="n">
        <v>0</v>
      </c>
      <c r="L213" t="n">
        <v>0</v>
      </c>
      <c r="M213" t="n">
        <v>0</v>
      </c>
      <c r="N213" t="n">
        <v>0</v>
      </c>
      <c r="O213" t="n">
        <v>0</v>
      </c>
      <c r="P213" t="n">
        <v>0</v>
      </c>
      <c r="Q213" t="n">
        <v>0</v>
      </c>
      <c r="R213" s="2" t="inlineStr"/>
    </row>
    <row r="214" ht="15" customHeight="1">
      <c r="A214" t="inlineStr">
        <is>
          <t>A 25234-2023</t>
        </is>
      </c>
      <c r="B214" s="1" t="n">
        <v>45086.63194444445</v>
      </c>
      <c r="C214" s="1" t="n">
        <v>45975</v>
      </c>
      <c r="D214" t="inlineStr">
        <is>
          <t>KALMAR LÄN</t>
        </is>
      </c>
      <c r="E214" t="inlineStr">
        <is>
          <t>VIMMERBY</t>
        </is>
      </c>
      <c r="G214" t="n">
        <v>2.1</v>
      </c>
      <c r="H214" t="n">
        <v>0</v>
      </c>
      <c r="I214" t="n">
        <v>0</v>
      </c>
      <c r="J214" t="n">
        <v>0</v>
      </c>
      <c r="K214" t="n">
        <v>0</v>
      </c>
      <c r="L214" t="n">
        <v>0</v>
      </c>
      <c r="M214" t="n">
        <v>0</v>
      </c>
      <c r="N214" t="n">
        <v>0</v>
      </c>
      <c r="O214" t="n">
        <v>0</v>
      </c>
      <c r="P214" t="n">
        <v>0</v>
      </c>
      <c r="Q214" t="n">
        <v>0</v>
      </c>
      <c r="R214" s="2" t="inlineStr"/>
    </row>
    <row r="215" ht="15" customHeight="1">
      <c r="A215" t="inlineStr">
        <is>
          <t>A 25236-2023</t>
        </is>
      </c>
      <c r="B215" s="1" t="n">
        <v>45086.63334490741</v>
      </c>
      <c r="C215" s="1" t="n">
        <v>45975</v>
      </c>
      <c r="D215" t="inlineStr">
        <is>
          <t>KALMAR LÄN</t>
        </is>
      </c>
      <c r="E215" t="inlineStr">
        <is>
          <t>VIMMERBY</t>
        </is>
      </c>
      <c r="G215" t="n">
        <v>0.9</v>
      </c>
      <c r="H215" t="n">
        <v>0</v>
      </c>
      <c r="I215" t="n">
        <v>0</v>
      </c>
      <c r="J215" t="n">
        <v>0</v>
      </c>
      <c r="K215" t="n">
        <v>0</v>
      </c>
      <c r="L215" t="n">
        <v>0</v>
      </c>
      <c r="M215" t="n">
        <v>0</v>
      </c>
      <c r="N215" t="n">
        <v>0</v>
      </c>
      <c r="O215" t="n">
        <v>0</v>
      </c>
      <c r="P215" t="n">
        <v>0</v>
      </c>
      <c r="Q215" t="n">
        <v>0</v>
      </c>
      <c r="R215" s="2" t="inlineStr"/>
    </row>
    <row r="216" ht="15" customHeight="1">
      <c r="A216" t="inlineStr">
        <is>
          <t>A 16734-2023</t>
        </is>
      </c>
      <c r="B216" s="1" t="n">
        <v>45030.71012731481</v>
      </c>
      <c r="C216" s="1" t="n">
        <v>45975</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25244-2023</t>
        </is>
      </c>
      <c r="B217" s="1" t="n">
        <v>45086</v>
      </c>
      <c r="C217" s="1" t="n">
        <v>45975</v>
      </c>
      <c r="D217" t="inlineStr">
        <is>
          <t>KALMAR LÄN</t>
        </is>
      </c>
      <c r="E217" t="inlineStr">
        <is>
          <t>VIMMERBY</t>
        </is>
      </c>
      <c r="G217" t="n">
        <v>4.7</v>
      </c>
      <c r="H217" t="n">
        <v>0</v>
      </c>
      <c r="I217" t="n">
        <v>0</v>
      </c>
      <c r="J217" t="n">
        <v>0</v>
      </c>
      <c r="K217" t="n">
        <v>0</v>
      </c>
      <c r="L217" t="n">
        <v>0</v>
      </c>
      <c r="M217" t="n">
        <v>0</v>
      </c>
      <c r="N217" t="n">
        <v>0</v>
      </c>
      <c r="O217" t="n">
        <v>0</v>
      </c>
      <c r="P217" t="n">
        <v>0</v>
      </c>
      <c r="Q217" t="n">
        <v>0</v>
      </c>
      <c r="R217" s="2" t="inlineStr"/>
    </row>
    <row r="218" ht="15" customHeight="1">
      <c r="A218" t="inlineStr">
        <is>
          <t>A 23341-2022</t>
        </is>
      </c>
      <c r="B218" s="1" t="n">
        <v>44720.53898148148</v>
      </c>
      <c r="C218" s="1" t="n">
        <v>45975</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8086-2021</t>
        </is>
      </c>
      <c r="B219" s="1" t="n">
        <v>44243</v>
      </c>
      <c r="C219" s="1" t="n">
        <v>45975</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64143-2021</t>
        </is>
      </c>
      <c r="B220" s="1" t="n">
        <v>44510.52157407408</v>
      </c>
      <c r="C220" s="1" t="n">
        <v>45975</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9720-2023</t>
        </is>
      </c>
      <c r="B221" s="1" t="n">
        <v>44984</v>
      </c>
      <c r="C221" s="1" t="n">
        <v>45975</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5938-2022</t>
        </is>
      </c>
      <c r="B222" s="1" t="n">
        <v>44598</v>
      </c>
      <c r="C222" s="1" t="n">
        <v>45975</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1687-2023</t>
        </is>
      </c>
      <c r="B223" s="1" t="n">
        <v>44938</v>
      </c>
      <c r="C223" s="1" t="n">
        <v>45975</v>
      </c>
      <c r="D223" t="inlineStr">
        <is>
          <t>KALMAR LÄN</t>
        </is>
      </c>
      <c r="E223" t="inlineStr">
        <is>
          <t>VIMMERBY</t>
        </is>
      </c>
      <c r="F223" t="inlineStr">
        <is>
          <t>Kommuner</t>
        </is>
      </c>
      <c r="G223" t="n">
        <v>2.5</v>
      </c>
      <c r="H223" t="n">
        <v>0</v>
      </c>
      <c r="I223" t="n">
        <v>0</v>
      </c>
      <c r="J223" t="n">
        <v>0</v>
      </c>
      <c r="K223" t="n">
        <v>0</v>
      </c>
      <c r="L223" t="n">
        <v>0</v>
      </c>
      <c r="M223" t="n">
        <v>0</v>
      </c>
      <c r="N223" t="n">
        <v>0</v>
      </c>
      <c r="O223" t="n">
        <v>0</v>
      </c>
      <c r="P223" t="n">
        <v>0</v>
      </c>
      <c r="Q223" t="n">
        <v>0</v>
      </c>
      <c r="R223" s="2" t="inlineStr"/>
    </row>
    <row r="224" ht="15" customHeight="1">
      <c r="A224" t="inlineStr">
        <is>
          <t>A 71793-2021</t>
        </is>
      </c>
      <c r="B224" s="1" t="n">
        <v>44539</v>
      </c>
      <c r="C224" s="1" t="n">
        <v>45975</v>
      </c>
      <c r="D224" t="inlineStr">
        <is>
          <t>KALMAR LÄN</t>
        </is>
      </c>
      <c r="E224" t="inlineStr">
        <is>
          <t>VIMMERBY</t>
        </is>
      </c>
      <c r="G224" t="n">
        <v>2.7</v>
      </c>
      <c r="H224" t="n">
        <v>0</v>
      </c>
      <c r="I224" t="n">
        <v>0</v>
      </c>
      <c r="J224" t="n">
        <v>0</v>
      </c>
      <c r="K224" t="n">
        <v>0</v>
      </c>
      <c r="L224" t="n">
        <v>0</v>
      </c>
      <c r="M224" t="n">
        <v>0</v>
      </c>
      <c r="N224" t="n">
        <v>0</v>
      </c>
      <c r="O224" t="n">
        <v>0</v>
      </c>
      <c r="P224" t="n">
        <v>0</v>
      </c>
      <c r="Q224" t="n">
        <v>0</v>
      </c>
      <c r="R224" s="2" t="inlineStr"/>
    </row>
    <row r="225" ht="15" customHeight="1">
      <c r="A225" t="inlineStr">
        <is>
          <t>A 29440-2024</t>
        </is>
      </c>
      <c r="B225" s="1" t="n">
        <v>45483.82479166667</v>
      </c>
      <c r="C225" s="1" t="n">
        <v>45975</v>
      </c>
      <c r="D225" t="inlineStr">
        <is>
          <t>KALMAR LÄN</t>
        </is>
      </c>
      <c r="E225" t="inlineStr">
        <is>
          <t>VIMMERBY</t>
        </is>
      </c>
      <c r="G225" t="n">
        <v>4.5</v>
      </c>
      <c r="H225" t="n">
        <v>0</v>
      </c>
      <c r="I225" t="n">
        <v>0</v>
      </c>
      <c r="J225" t="n">
        <v>0</v>
      </c>
      <c r="K225" t="n">
        <v>0</v>
      </c>
      <c r="L225" t="n">
        <v>0</v>
      </c>
      <c r="M225" t="n">
        <v>0</v>
      </c>
      <c r="N225" t="n">
        <v>0</v>
      </c>
      <c r="O225" t="n">
        <v>0</v>
      </c>
      <c r="P225" t="n">
        <v>0</v>
      </c>
      <c r="Q225" t="n">
        <v>0</v>
      </c>
      <c r="R225" s="2" t="inlineStr"/>
    </row>
    <row r="226" ht="15" customHeight="1">
      <c r="A226" t="inlineStr">
        <is>
          <t>A 30921-2024</t>
        </is>
      </c>
      <c r="B226" s="1" t="n">
        <v>45498</v>
      </c>
      <c r="C226" s="1" t="n">
        <v>45975</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73938-2021</t>
        </is>
      </c>
      <c r="B227" s="1" t="n">
        <v>44553</v>
      </c>
      <c r="C227" s="1" t="n">
        <v>45975</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6069-2023</t>
        </is>
      </c>
      <c r="B228" s="1" t="n">
        <v>44964.5115162037</v>
      </c>
      <c r="C228" s="1" t="n">
        <v>45975</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53482-2022</t>
        </is>
      </c>
      <c r="B229" s="1" t="n">
        <v>44879</v>
      </c>
      <c r="C229" s="1" t="n">
        <v>45975</v>
      </c>
      <c r="D229" t="inlineStr">
        <is>
          <t>KALMAR LÄN</t>
        </is>
      </c>
      <c r="E229" t="inlineStr">
        <is>
          <t>VIMMERBY</t>
        </is>
      </c>
      <c r="G229" t="n">
        <v>10.1</v>
      </c>
      <c r="H229" t="n">
        <v>0</v>
      </c>
      <c r="I229" t="n">
        <v>0</v>
      </c>
      <c r="J229" t="n">
        <v>0</v>
      </c>
      <c r="K229" t="n">
        <v>0</v>
      </c>
      <c r="L229" t="n">
        <v>0</v>
      </c>
      <c r="M229" t="n">
        <v>0</v>
      </c>
      <c r="N229" t="n">
        <v>0</v>
      </c>
      <c r="O229" t="n">
        <v>0</v>
      </c>
      <c r="P229" t="n">
        <v>0</v>
      </c>
      <c r="Q229" t="n">
        <v>0</v>
      </c>
      <c r="R229" s="2" t="inlineStr"/>
    </row>
    <row r="230" ht="15" customHeight="1">
      <c r="A230" t="inlineStr">
        <is>
          <t>A 34205-2023</t>
        </is>
      </c>
      <c r="B230" s="1" t="n">
        <v>45138</v>
      </c>
      <c r="C230" s="1" t="n">
        <v>45975</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50995-2022</t>
        </is>
      </c>
      <c r="B231" s="1" t="n">
        <v>44867</v>
      </c>
      <c r="C231" s="1" t="n">
        <v>45975</v>
      </c>
      <c r="D231" t="inlineStr">
        <is>
          <t>KALMAR LÄN</t>
        </is>
      </c>
      <c r="E231" t="inlineStr">
        <is>
          <t>VIMMERBY</t>
        </is>
      </c>
      <c r="G231" t="n">
        <v>2.4</v>
      </c>
      <c r="H231" t="n">
        <v>0</v>
      </c>
      <c r="I231" t="n">
        <v>0</v>
      </c>
      <c r="J231" t="n">
        <v>0</v>
      </c>
      <c r="K231" t="n">
        <v>0</v>
      </c>
      <c r="L231" t="n">
        <v>0</v>
      </c>
      <c r="M231" t="n">
        <v>0</v>
      </c>
      <c r="N231" t="n">
        <v>0</v>
      </c>
      <c r="O231" t="n">
        <v>0</v>
      </c>
      <c r="P231" t="n">
        <v>0</v>
      </c>
      <c r="Q231" t="n">
        <v>0</v>
      </c>
      <c r="R231" s="2" t="inlineStr"/>
    </row>
    <row r="232" ht="15" customHeight="1">
      <c r="A232" t="inlineStr">
        <is>
          <t>A 27122-2023</t>
        </is>
      </c>
      <c r="B232" s="1" t="n">
        <v>45096.45247685185</v>
      </c>
      <c r="C232" s="1" t="n">
        <v>45975</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30402-2023</t>
        </is>
      </c>
      <c r="B233" s="1" t="n">
        <v>45111.48395833333</v>
      </c>
      <c r="C233" s="1" t="n">
        <v>45975</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57091-2022</t>
        </is>
      </c>
      <c r="B234" s="1" t="n">
        <v>44895.46524305556</v>
      </c>
      <c r="C234" s="1" t="n">
        <v>45975</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47842-2024</t>
        </is>
      </c>
      <c r="B235" s="1" t="n">
        <v>45588.65545138889</v>
      </c>
      <c r="C235" s="1" t="n">
        <v>45975</v>
      </c>
      <c r="D235" t="inlineStr">
        <is>
          <t>KALMAR LÄN</t>
        </is>
      </c>
      <c r="E235" t="inlineStr">
        <is>
          <t>VIMMERBY</t>
        </is>
      </c>
      <c r="G235" t="n">
        <v>2.4</v>
      </c>
      <c r="H235" t="n">
        <v>0</v>
      </c>
      <c r="I235" t="n">
        <v>0</v>
      </c>
      <c r="J235" t="n">
        <v>0</v>
      </c>
      <c r="K235" t="n">
        <v>0</v>
      </c>
      <c r="L235" t="n">
        <v>0</v>
      </c>
      <c r="M235" t="n">
        <v>0</v>
      </c>
      <c r="N235" t="n">
        <v>0</v>
      </c>
      <c r="O235" t="n">
        <v>0</v>
      </c>
      <c r="P235" t="n">
        <v>0</v>
      </c>
      <c r="Q235" t="n">
        <v>0</v>
      </c>
      <c r="R235" s="2" t="inlineStr"/>
    </row>
    <row r="236" ht="15" customHeight="1">
      <c r="A236" t="inlineStr">
        <is>
          <t>A 6857-2023</t>
        </is>
      </c>
      <c r="B236" s="1" t="n">
        <v>44967.45122685185</v>
      </c>
      <c r="C236" s="1" t="n">
        <v>45975</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2604-2025</t>
        </is>
      </c>
      <c r="B237" s="1" t="n">
        <v>45674.74094907408</v>
      </c>
      <c r="C237" s="1" t="n">
        <v>45975</v>
      </c>
      <c r="D237" t="inlineStr">
        <is>
          <t>KALMAR LÄN</t>
        </is>
      </c>
      <c r="E237" t="inlineStr">
        <is>
          <t>VIMMERBY</t>
        </is>
      </c>
      <c r="G237" t="n">
        <v>7.6</v>
      </c>
      <c r="H237" t="n">
        <v>0</v>
      </c>
      <c r="I237" t="n">
        <v>0</v>
      </c>
      <c r="J237" t="n">
        <v>0</v>
      </c>
      <c r="K237" t="n">
        <v>0</v>
      </c>
      <c r="L237" t="n">
        <v>0</v>
      </c>
      <c r="M237" t="n">
        <v>0</v>
      </c>
      <c r="N237" t="n">
        <v>0</v>
      </c>
      <c r="O237" t="n">
        <v>0</v>
      </c>
      <c r="P237" t="n">
        <v>0</v>
      </c>
      <c r="Q237" t="n">
        <v>0</v>
      </c>
      <c r="R237" s="2" t="inlineStr"/>
    </row>
    <row r="238" ht="15" customHeight="1">
      <c r="A238" t="inlineStr">
        <is>
          <t>A 6807-2025</t>
        </is>
      </c>
      <c r="B238" s="1" t="n">
        <v>45700.68672453704</v>
      </c>
      <c r="C238" s="1" t="n">
        <v>45975</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29180-2024</t>
        </is>
      </c>
      <c r="B239" s="1" t="n">
        <v>45482.54108796296</v>
      </c>
      <c r="C239" s="1" t="n">
        <v>45975</v>
      </c>
      <c r="D239" t="inlineStr">
        <is>
          <t>KALMAR LÄN</t>
        </is>
      </c>
      <c r="E239" t="inlineStr">
        <is>
          <t>VIMMERBY</t>
        </is>
      </c>
      <c r="G239" t="n">
        <v>3.8</v>
      </c>
      <c r="H239" t="n">
        <v>0</v>
      </c>
      <c r="I239" t="n">
        <v>0</v>
      </c>
      <c r="J239" t="n">
        <v>0</v>
      </c>
      <c r="K239" t="n">
        <v>0</v>
      </c>
      <c r="L239" t="n">
        <v>0</v>
      </c>
      <c r="M239" t="n">
        <v>0</v>
      </c>
      <c r="N239" t="n">
        <v>0</v>
      </c>
      <c r="O239" t="n">
        <v>0</v>
      </c>
      <c r="P239" t="n">
        <v>0</v>
      </c>
      <c r="Q239" t="n">
        <v>0</v>
      </c>
      <c r="R239" s="2" t="inlineStr"/>
    </row>
    <row r="240" ht="15" customHeight="1">
      <c r="A240" t="inlineStr">
        <is>
          <t>A 38851-2023</t>
        </is>
      </c>
      <c r="B240" s="1" t="n">
        <v>45163</v>
      </c>
      <c r="C240" s="1" t="n">
        <v>45975</v>
      </c>
      <c r="D240" t="inlineStr">
        <is>
          <t>KALMAR LÄN</t>
        </is>
      </c>
      <c r="E240" t="inlineStr">
        <is>
          <t>VIMMERBY</t>
        </is>
      </c>
      <c r="G240" t="n">
        <v>4.3</v>
      </c>
      <c r="H240" t="n">
        <v>0</v>
      </c>
      <c r="I240" t="n">
        <v>0</v>
      </c>
      <c r="J240" t="n">
        <v>0</v>
      </c>
      <c r="K240" t="n">
        <v>0</v>
      </c>
      <c r="L240" t="n">
        <v>0</v>
      </c>
      <c r="M240" t="n">
        <v>0</v>
      </c>
      <c r="N240" t="n">
        <v>0</v>
      </c>
      <c r="O240" t="n">
        <v>0</v>
      </c>
      <c r="P240" t="n">
        <v>0</v>
      </c>
      <c r="Q240" t="n">
        <v>0</v>
      </c>
      <c r="R240" s="2" t="inlineStr"/>
    </row>
    <row r="241" ht="15" customHeight="1">
      <c r="A241" t="inlineStr">
        <is>
          <t>A 46224-2024</t>
        </is>
      </c>
      <c r="B241" s="1" t="n">
        <v>45581.57016203704</v>
      </c>
      <c r="C241" s="1" t="n">
        <v>45975</v>
      </c>
      <c r="D241" t="inlineStr">
        <is>
          <t>KALMAR LÄN</t>
        </is>
      </c>
      <c r="E241" t="inlineStr">
        <is>
          <t>VIMMERBY</t>
        </is>
      </c>
      <c r="G241" t="n">
        <v>3.1</v>
      </c>
      <c r="H241" t="n">
        <v>0</v>
      </c>
      <c r="I241" t="n">
        <v>0</v>
      </c>
      <c r="J241" t="n">
        <v>0</v>
      </c>
      <c r="K241" t="n">
        <v>0</v>
      </c>
      <c r="L241" t="n">
        <v>0</v>
      </c>
      <c r="M241" t="n">
        <v>0</v>
      </c>
      <c r="N241" t="n">
        <v>0</v>
      </c>
      <c r="O241" t="n">
        <v>0</v>
      </c>
      <c r="P241" t="n">
        <v>0</v>
      </c>
      <c r="Q241" t="n">
        <v>0</v>
      </c>
      <c r="R241" s="2" t="inlineStr"/>
    </row>
    <row r="242" ht="15" customHeight="1">
      <c r="A242" t="inlineStr">
        <is>
          <t>A 52435-2021</t>
        </is>
      </c>
      <c r="B242" s="1" t="n">
        <v>44466.34962962963</v>
      </c>
      <c r="C242" s="1" t="n">
        <v>45975</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29093-2023</t>
        </is>
      </c>
      <c r="B243" s="1" t="n">
        <v>45105</v>
      </c>
      <c r="C243" s="1" t="n">
        <v>45975</v>
      </c>
      <c r="D243" t="inlineStr">
        <is>
          <t>KALMAR LÄN</t>
        </is>
      </c>
      <c r="E243" t="inlineStr">
        <is>
          <t>VIMMERBY</t>
        </is>
      </c>
      <c r="G243" t="n">
        <v>2.9</v>
      </c>
      <c r="H243" t="n">
        <v>0</v>
      </c>
      <c r="I243" t="n">
        <v>0</v>
      </c>
      <c r="J243" t="n">
        <v>0</v>
      </c>
      <c r="K243" t="n">
        <v>0</v>
      </c>
      <c r="L243" t="n">
        <v>0</v>
      </c>
      <c r="M243" t="n">
        <v>0</v>
      </c>
      <c r="N243" t="n">
        <v>0</v>
      </c>
      <c r="O243" t="n">
        <v>0</v>
      </c>
      <c r="P243" t="n">
        <v>0</v>
      </c>
      <c r="Q243" t="n">
        <v>0</v>
      </c>
      <c r="R243" s="2" t="inlineStr"/>
    </row>
    <row r="244" ht="15" customHeight="1">
      <c r="A244" t="inlineStr">
        <is>
          <t>A 29013-2024</t>
        </is>
      </c>
      <c r="B244" s="1" t="n">
        <v>45481.55984953704</v>
      </c>
      <c r="C244" s="1" t="n">
        <v>45975</v>
      </c>
      <c r="D244" t="inlineStr">
        <is>
          <t>KALMAR LÄN</t>
        </is>
      </c>
      <c r="E244" t="inlineStr">
        <is>
          <t>VIMMERBY</t>
        </is>
      </c>
      <c r="G244" t="n">
        <v>3.4</v>
      </c>
      <c r="H244" t="n">
        <v>0</v>
      </c>
      <c r="I244" t="n">
        <v>0</v>
      </c>
      <c r="J244" t="n">
        <v>0</v>
      </c>
      <c r="K244" t="n">
        <v>0</v>
      </c>
      <c r="L244" t="n">
        <v>0</v>
      </c>
      <c r="M244" t="n">
        <v>0</v>
      </c>
      <c r="N244" t="n">
        <v>0</v>
      </c>
      <c r="O244" t="n">
        <v>0</v>
      </c>
      <c r="P244" t="n">
        <v>0</v>
      </c>
      <c r="Q244" t="n">
        <v>0</v>
      </c>
      <c r="R244" s="2" t="inlineStr"/>
    </row>
    <row r="245" ht="15" customHeight="1">
      <c r="A245" t="inlineStr">
        <is>
          <t>A 14220-2021</t>
        </is>
      </c>
      <c r="B245" s="1" t="n">
        <v>44278.54855324074</v>
      </c>
      <c r="C245" s="1" t="n">
        <v>45975</v>
      </c>
      <c r="D245" t="inlineStr">
        <is>
          <t>KALMAR LÄN</t>
        </is>
      </c>
      <c r="E245" t="inlineStr">
        <is>
          <t>VIMMERBY</t>
        </is>
      </c>
      <c r="G245" t="n">
        <v>0.3</v>
      </c>
      <c r="H245" t="n">
        <v>0</v>
      </c>
      <c r="I245" t="n">
        <v>0</v>
      </c>
      <c r="J245" t="n">
        <v>0</v>
      </c>
      <c r="K245" t="n">
        <v>0</v>
      </c>
      <c r="L245" t="n">
        <v>0</v>
      </c>
      <c r="M245" t="n">
        <v>0</v>
      </c>
      <c r="N245" t="n">
        <v>0</v>
      </c>
      <c r="O245" t="n">
        <v>0</v>
      </c>
      <c r="P245" t="n">
        <v>0</v>
      </c>
      <c r="Q245" t="n">
        <v>0</v>
      </c>
      <c r="R245" s="2" t="inlineStr"/>
    </row>
    <row r="246" ht="15" customHeight="1">
      <c r="A246" t="inlineStr">
        <is>
          <t>A 23252-2024</t>
        </is>
      </c>
      <c r="B246" s="1" t="n">
        <v>45453.36067129629</v>
      </c>
      <c r="C246" s="1" t="n">
        <v>45975</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29783-2024</t>
        </is>
      </c>
      <c r="B247" s="1" t="n">
        <v>45485.45778935185</v>
      </c>
      <c r="C247" s="1" t="n">
        <v>45975</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37028-2024</t>
        </is>
      </c>
      <c r="B248" s="1" t="n">
        <v>45539.38744212963</v>
      </c>
      <c r="C248" s="1" t="n">
        <v>45975</v>
      </c>
      <c r="D248" t="inlineStr">
        <is>
          <t>KALMAR LÄN</t>
        </is>
      </c>
      <c r="E248" t="inlineStr">
        <is>
          <t>VIMMERBY</t>
        </is>
      </c>
      <c r="G248" t="n">
        <v>5.2</v>
      </c>
      <c r="H248" t="n">
        <v>0</v>
      </c>
      <c r="I248" t="n">
        <v>0</v>
      </c>
      <c r="J248" t="n">
        <v>0</v>
      </c>
      <c r="K248" t="n">
        <v>0</v>
      </c>
      <c r="L248" t="n">
        <v>0</v>
      </c>
      <c r="M248" t="n">
        <v>0</v>
      </c>
      <c r="N248" t="n">
        <v>0</v>
      </c>
      <c r="O248" t="n">
        <v>0</v>
      </c>
      <c r="P248" t="n">
        <v>0</v>
      </c>
      <c r="Q248" t="n">
        <v>0</v>
      </c>
      <c r="R248" s="2" t="inlineStr"/>
    </row>
    <row r="249" ht="15" customHeight="1">
      <c r="A249" t="inlineStr">
        <is>
          <t>A 54838-2024</t>
        </is>
      </c>
      <c r="B249" s="1" t="n">
        <v>45618.56787037037</v>
      </c>
      <c r="C249" s="1" t="n">
        <v>45975</v>
      </c>
      <c r="D249" t="inlineStr">
        <is>
          <t>KALMAR LÄN</t>
        </is>
      </c>
      <c r="E249" t="inlineStr">
        <is>
          <t>VIMMERBY</t>
        </is>
      </c>
      <c r="G249" t="n">
        <v>3.3</v>
      </c>
      <c r="H249" t="n">
        <v>0</v>
      </c>
      <c r="I249" t="n">
        <v>0</v>
      </c>
      <c r="J249" t="n">
        <v>0</v>
      </c>
      <c r="K249" t="n">
        <v>0</v>
      </c>
      <c r="L249" t="n">
        <v>0</v>
      </c>
      <c r="M249" t="n">
        <v>0</v>
      </c>
      <c r="N249" t="n">
        <v>0</v>
      </c>
      <c r="O249" t="n">
        <v>0</v>
      </c>
      <c r="P249" t="n">
        <v>0</v>
      </c>
      <c r="Q249" t="n">
        <v>0</v>
      </c>
      <c r="R249" s="2" t="inlineStr"/>
    </row>
    <row r="250" ht="15" customHeight="1">
      <c r="A250" t="inlineStr">
        <is>
          <t>A 33359-2021</t>
        </is>
      </c>
      <c r="B250" s="1" t="n">
        <v>44377.49684027778</v>
      </c>
      <c r="C250" s="1" t="n">
        <v>45975</v>
      </c>
      <c r="D250" t="inlineStr">
        <is>
          <t>KALMAR LÄN</t>
        </is>
      </c>
      <c r="E250" t="inlineStr">
        <is>
          <t>VIMMERBY</t>
        </is>
      </c>
      <c r="F250" t="inlineStr">
        <is>
          <t>Kommuner</t>
        </is>
      </c>
      <c r="G250" t="n">
        <v>8</v>
      </c>
      <c r="H250" t="n">
        <v>0</v>
      </c>
      <c r="I250" t="n">
        <v>0</v>
      </c>
      <c r="J250" t="n">
        <v>0</v>
      </c>
      <c r="K250" t="n">
        <v>0</v>
      </c>
      <c r="L250" t="n">
        <v>0</v>
      </c>
      <c r="M250" t="n">
        <v>0</v>
      </c>
      <c r="N250" t="n">
        <v>0</v>
      </c>
      <c r="O250" t="n">
        <v>0</v>
      </c>
      <c r="P250" t="n">
        <v>0</v>
      </c>
      <c r="Q250" t="n">
        <v>0</v>
      </c>
      <c r="R250" s="2" t="inlineStr"/>
    </row>
    <row r="251" ht="15" customHeight="1">
      <c r="A251" t="inlineStr">
        <is>
          <t>A 37187-2024</t>
        </is>
      </c>
      <c r="B251" s="1" t="n">
        <v>45539.65212962963</v>
      </c>
      <c r="C251" s="1" t="n">
        <v>45975</v>
      </c>
      <c r="D251" t="inlineStr">
        <is>
          <t>KALMAR LÄN</t>
        </is>
      </c>
      <c r="E251" t="inlineStr">
        <is>
          <t>VIMMERBY</t>
        </is>
      </c>
      <c r="G251" t="n">
        <v>2.7</v>
      </c>
      <c r="H251" t="n">
        <v>0</v>
      </c>
      <c r="I251" t="n">
        <v>0</v>
      </c>
      <c r="J251" t="n">
        <v>0</v>
      </c>
      <c r="K251" t="n">
        <v>0</v>
      </c>
      <c r="L251" t="n">
        <v>0</v>
      </c>
      <c r="M251" t="n">
        <v>0</v>
      </c>
      <c r="N251" t="n">
        <v>0</v>
      </c>
      <c r="O251" t="n">
        <v>0</v>
      </c>
      <c r="P251" t="n">
        <v>0</v>
      </c>
      <c r="Q251" t="n">
        <v>0</v>
      </c>
      <c r="R251" s="2" t="inlineStr"/>
    </row>
    <row r="252" ht="15" customHeight="1">
      <c r="A252" t="inlineStr">
        <is>
          <t>A 43038-2022</t>
        </is>
      </c>
      <c r="B252" s="1" t="n">
        <v>44833.60123842592</v>
      </c>
      <c r="C252" s="1" t="n">
        <v>45975</v>
      </c>
      <c r="D252" t="inlineStr">
        <is>
          <t>KALMAR LÄN</t>
        </is>
      </c>
      <c r="E252" t="inlineStr">
        <is>
          <t>VIMMERBY</t>
        </is>
      </c>
      <c r="G252" t="n">
        <v>4.2</v>
      </c>
      <c r="H252" t="n">
        <v>0</v>
      </c>
      <c r="I252" t="n">
        <v>0</v>
      </c>
      <c r="J252" t="n">
        <v>0</v>
      </c>
      <c r="K252" t="n">
        <v>0</v>
      </c>
      <c r="L252" t="n">
        <v>0</v>
      </c>
      <c r="M252" t="n">
        <v>0</v>
      </c>
      <c r="N252" t="n">
        <v>0</v>
      </c>
      <c r="O252" t="n">
        <v>0</v>
      </c>
      <c r="P252" t="n">
        <v>0</v>
      </c>
      <c r="Q252" t="n">
        <v>0</v>
      </c>
      <c r="R252" s="2" t="inlineStr"/>
    </row>
    <row r="253" ht="15" customHeight="1">
      <c r="A253" t="inlineStr">
        <is>
          <t>A 50087-2023</t>
        </is>
      </c>
      <c r="B253" s="1" t="n">
        <v>45215.59743055556</v>
      </c>
      <c r="C253" s="1" t="n">
        <v>45975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33681-2022</t>
        </is>
      </c>
      <c r="B254" s="1" t="n">
        <v>44789</v>
      </c>
      <c r="C254" s="1" t="n">
        <v>45975</v>
      </c>
      <c r="D254" t="inlineStr">
        <is>
          <t>KALMAR LÄN</t>
        </is>
      </c>
      <c r="E254" t="inlineStr">
        <is>
          <t>VIMMERBY</t>
        </is>
      </c>
      <c r="G254" t="n">
        <v>3.2</v>
      </c>
      <c r="H254" t="n">
        <v>0</v>
      </c>
      <c r="I254" t="n">
        <v>0</v>
      </c>
      <c r="J254" t="n">
        <v>0</v>
      </c>
      <c r="K254" t="n">
        <v>0</v>
      </c>
      <c r="L254" t="n">
        <v>0</v>
      </c>
      <c r="M254" t="n">
        <v>0</v>
      </c>
      <c r="N254" t="n">
        <v>0</v>
      </c>
      <c r="O254" t="n">
        <v>0</v>
      </c>
      <c r="P254" t="n">
        <v>0</v>
      </c>
      <c r="Q254" t="n">
        <v>0</v>
      </c>
      <c r="R254" s="2" t="inlineStr"/>
    </row>
    <row r="255" ht="15" customHeight="1">
      <c r="A255" t="inlineStr">
        <is>
          <t>A 25987-2024</t>
        </is>
      </c>
      <c r="B255" s="1" t="n">
        <v>45467.74417824074</v>
      </c>
      <c r="C255" s="1" t="n">
        <v>45975</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5792-2023</t>
        </is>
      </c>
      <c r="B256" s="1" t="n">
        <v>44963.44769675926</v>
      </c>
      <c r="C256" s="1" t="n">
        <v>45975</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25109-2023</t>
        </is>
      </c>
      <c r="B257" s="1" t="n">
        <v>45086</v>
      </c>
      <c r="C257" s="1" t="n">
        <v>45975</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61878-2020</t>
        </is>
      </c>
      <c r="B258" s="1" t="n">
        <v>44159</v>
      </c>
      <c r="C258" s="1" t="n">
        <v>45975</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2797-2023</t>
        </is>
      </c>
      <c r="B259" s="1" t="n">
        <v>44944.71386574074</v>
      </c>
      <c r="C259" s="1" t="n">
        <v>45975</v>
      </c>
      <c r="D259" t="inlineStr">
        <is>
          <t>KALMAR LÄN</t>
        </is>
      </c>
      <c r="E259" t="inlineStr">
        <is>
          <t>VIMMERBY</t>
        </is>
      </c>
      <c r="G259" t="n">
        <v>3.4</v>
      </c>
      <c r="H259" t="n">
        <v>0</v>
      </c>
      <c r="I259" t="n">
        <v>0</v>
      </c>
      <c r="J259" t="n">
        <v>0</v>
      </c>
      <c r="K259" t="n">
        <v>0</v>
      </c>
      <c r="L259" t="n">
        <v>0</v>
      </c>
      <c r="M259" t="n">
        <v>0</v>
      </c>
      <c r="N259" t="n">
        <v>0</v>
      </c>
      <c r="O259" t="n">
        <v>0</v>
      </c>
      <c r="P259" t="n">
        <v>0</v>
      </c>
      <c r="Q259" t="n">
        <v>0</v>
      </c>
      <c r="R259" s="2" t="inlineStr"/>
    </row>
    <row r="260" ht="15" customHeight="1">
      <c r="A260" t="inlineStr">
        <is>
          <t>A 2799-2023</t>
        </is>
      </c>
      <c r="B260" s="1" t="n">
        <v>44944.72100694444</v>
      </c>
      <c r="C260" s="1" t="n">
        <v>45975</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6220-2025</t>
        </is>
      </c>
      <c r="B261" s="1" t="n">
        <v>45698.53725694444</v>
      </c>
      <c r="C261" s="1" t="n">
        <v>45975</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62023-2022</t>
        </is>
      </c>
      <c r="B262" s="1" t="n">
        <v>44918.50106481482</v>
      </c>
      <c r="C262" s="1" t="n">
        <v>45975</v>
      </c>
      <c r="D262" t="inlineStr">
        <is>
          <t>KALMAR LÄN</t>
        </is>
      </c>
      <c r="E262" t="inlineStr">
        <is>
          <t>VIMMERBY</t>
        </is>
      </c>
      <c r="G262" t="n">
        <v>0.3</v>
      </c>
      <c r="H262" t="n">
        <v>0</v>
      </c>
      <c r="I262" t="n">
        <v>0</v>
      </c>
      <c r="J262" t="n">
        <v>0</v>
      </c>
      <c r="K262" t="n">
        <v>0</v>
      </c>
      <c r="L262" t="n">
        <v>0</v>
      </c>
      <c r="M262" t="n">
        <v>0</v>
      </c>
      <c r="N262" t="n">
        <v>0</v>
      </c>
      <c r="O262" t="n">
        <v>0</v>
      </c>
      <c r="P262" t="n">
        <v>0</v>
      </c>
      <c r="Q262" t="n">
        <v>0</v>
      </c>
      <c r="R262" s="2" t="inlineStr"/>
    </row>
    <row r="263" ht="15" customHeight="1">
      <c r="A263" t="inlineStr">
        <is>
          <t>A 58278-2023</t>
        </is>
      </c>
      <c r="B263" s="1" t="n">
        <v>45250.5278587963</v>
      </c>
      <c r="C263" s="1" t="n">
        <v>45975</v>
      </c>
      <c r="D263" t="inlineStr">
        <is>
          <t>KALMAR LÄN</t>
        </is>
      </c>
      <c r="E263" t="inlineStr">
        <is>
          <t>VIMMERBY</t>
        </is>
      </c>
      <c r="G263" t="n">
        <v>1.8</v>
      </c>
      <c r="H263" t="n">
        <v>0</v>
      </c>
      <c r="I263" t="n">
        <v>0</v>
      </c>
      <c r="J263" t="n">
        <v>0</v>
      </c>
      <c r="K263" t="n">
        <v>0</v>
      </c>
      <c r="L263" t="n">
        <v>0</v>
      </c>
      <c r="M263" t="n">
        <v>0</v>
      </c>
      <c r="N263" t="n">
        <v>0</v>
      </c>
      <c r="O263" t="n">
        <v>0</v>
      </c>
      <c r="P263" t="n">
        <v>0</v>
      </c>
      <c r="Q263" t="n">
        <v>0</v>
      </c>
      <c r="R263" s="2" t="inlineStr"/>
    </row>
    <row r="264" ht="15" customHeight="1">
      <c r="A264" t="inlineStr">
        <is>
          <t>A 36259-2022</t>
        </is>
      </c>
      <c r="B264" s="1" t="n">
        <v>44803.59118055556</v>
      </c>
      <c r="C264" s="1" t="n">
        <v>45975</v>
      </c>
      <c r="D264" t="inlineStr">
        <is>
          <t>KALMAR LÄN</t>
        </is>
      </c>
      <c r="E264" t="inlineStr">
        <is>
          <t>VIMMERBY</t>
        </is>
      </c>
      <c r="G264" t="n">
        <v>3.9</v>
      </c>
      <c r="H264" t="n">
        <v>0</v>
      </c>
      <c r="I264" t="n">
        <v>0</v>
      </c>
      <c r="J264" t="n">
        <v>0</v>
      </c>
      <c r="K264" t="n">
        <v>0</v>
      </c>
      <c r="L264" t="n">
        <v>0</v>
      </c>
      <c r="M264" t="n">
        <v>0</v>
      </c>
      <c r="N264" t="n">
        <v>0</v>
      </c>
      <c r="O264" t="n">
        <v>0</v>
      </c>
      <c r="P264" t="n">
        <v>0</v>
      </c>
      <c r="Q264" t="n">
        <v>0</v>
      </c>
      <c r="R264" s="2" t="inlineStr"/>
    </row>
    <row r="265" ht="15" customHeight="1">
      <c r="A265" t="inlineStr">
        <is>
          <t>A 16825-2024</t>
        </is>
      </c>
      <c r="B265" s="1" t="n">
        <v>45411.47335648148</v>
      </c>
      <c r="C265" s="1" t="n">
        <v>45975</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12630-2023</t>
        </is>
      </c>
      <c r="B266" s="1" t="n">
        <v>45000.47998842593</v>
      </c>
      <c r="C266" s="1" t="n">
        <v>45975</v>
      </c>
      <c r="D266" t="inlineStr">
        <is>
          <t>KALMAR LÄN</t>
        </is>
      </c>
      <c r="E266" t="inlineStr">
        <is>
          <t>VIMMERBY</t>
        </is>
      </c>
      <c r="G266" t="n">
        <v>2.1</v>
      </c>
      <c r="H266" t="n">
        <v>0</v>
      </c>
      <c r="I266" t="n">
        <v>0</v>
      </c>
      <c r="J266" t="n">
        <v>0</v>
      </c>
      <c r="K266" t="n">
        <v>0</v>
      </c>
      <c r="L266" t="n">
        <v>0</v>
      </c>
      <c r="M266" t="n">
        <v>0</v>
      </c>
      <c r="N266" t="n">
        <v>0</v>
      </c>
      <c r="O266" t="n">
        <v>0</v>
      </c>
      <c r="P266" t="n">
        <v>0</v>
      </c>
      <c r="Q266" t="n">
        <v>0</v>
      </c>
      <c r="R266" s="2" t="inlineStr"/>
    </row>
    <row r="267" ht="15" customHeight="1">
      <c r="A267" t="inlineStr">
        <is>
          <t>A 58104-2024</t>
        </is>
      </c>
      <c r="B267" s="1" t="n">
        <v>45632.37459490741</v>
      </c>
      <c r="C267" s="1" t="n">
        <v>45975</v>
      </c>
      <c r="D267" t="inlineStr">
        <is>
          <t>KALMAR LÄN</t>
        </is>
      </c>
      <c r="E267" t="inlineStr">
        <is>
          <t>VIMMERBY</t>
        </is>
      </c>
      <c r="G267" t="n">
        <v>5</v>
      </c>
      <c r="H267" t="n">
        <v>0</v>
      </c>
      <c r="I267" t="n">
        <v>0</v>
      </c>
      <c r="J267" t="n">
        <v>0</v>
      </c>
      <c r="K267" t="n">
        <v>0</v>
      </c>
      <c r="L267" t="n">
        <v>0</v>
      </c>
      <c r="M267" t="n">
        <v>0</v>
      </c>
      <c r="N267" t="n">
        <v>0</v>
      </c>
      <c r="O267" t="n">
        <v>0</v>
      </c>
      <c r="P267" t="n">
        <v>0</v>
      </c>
      <c r="Q267" t="n">
        <v>0</v>
      </c>
      <c r="R267" s="2" t="inlineStr"/>
    </row>
    <row r="268" ht="15" customHeight="1">
      <c r="A268" t="inlineStr">
        <is>
          <t>A 12215-2024</t>
        </is>
      </c>
      <c r="B268" s="1" t="n">
        <v>45378.32185185186</v>
      </c>
      <c r="C268" s="1" t="n">
        <v>45975</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36526-2023</t>
        </is>
      </c>
      <c r="B269" s="1" t="n">
        <v>45153.32778935185</v>
      </c>
      <c r="C269" s="1" t="n">
        <v>45975</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17988-2025</t>
        </is>
      </c>
      <c r="B270" s="1" t="n">
        <v>45761.39600694444</v>
      </c>
      <c r="C270" s="1" t="n">
        <v>45975</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30920-2024</t>
        </is>
      </c>
      <c r="B271" s="1" t="n">
        <v>45498.673125</v>
      </c>
      <c r="C271" s="1" t="n">
        <v>45975</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56536-2022</t>
        </is>
      </c>
      <c r="B272" s="1" t="n">
        <v>44893</v>
      </c>
      <c r="C272" s="1" t="n">
        <v>45975</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39584-2024</t>
        </is>
      </c>
      <c r="B273" s="1" t="n">
        <v>45552.36759259259</v>
      </c>
      <c r="C273" s="1" t="n">
        <v>45975</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63541-2023</t>
        </is>
      </c>
      <c r="B274" s="1" t="n">
        <v>45275.32266203704</v>
      </c>
      <c r="C274" s="1" t="n">
        <v>45975</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37323-2024</t>
        </is>
      </c>
      <c r="B275" s="1" t="n">
        <v>45540.50098379629</v>
      </c>
      <c r="C275" s="1" t="n">
        <v>45975</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12033-2024</t>
        </is>
      </c>
      <c r="B276" s="1" t="n">
        <v>45377.40043981482</v>
      </c>
      <c r="C276" s="1" t="n">
        <v>45975</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27705-2023</t>
        </is>
      </c>
      <c r="B277" s="1" t="n">
        <v>45098.30535879629</v>
      </c>
      <c r="C277" s="1" t="n">
        <v>45975</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6214-2025</t>
        </is>
      </c>
      <c r="B278" s="1" t="n">
        <v>45698.51711805556</v>
      </c>
      <c r="C278" s="1" t="n">
        <v>45975</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31013-2023</t>
        </is>
      </c>
      <c r="B279" s="1" t="n">
        <v>45113.56574074074</v>
      </c>
      <c r="C279" s="1" t="n">
        <v>45975</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29350-2023</t>
        </is>
      </c>
      <c r="B280" s="1" t="n">
        <v>45106</v>
      </c>
      <c r="C280" s="1" t="n">
        <v>45975</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29351-2023</t>
        </is>
      </c>
      <c r="B281" s="1" t="n">
        <v>45106.2610300926</v>
      </c>
      <c r="C281" s="1" t="n">
        <v>45975</v>
      </c>
      <c r="D281" t="inlineStr">
        <is>
          <t>KALMAR LÄN</t>
        </is>
      </c>
      <c r="E281" t="inlineStr">
        <is>
          <t>VIMMERBY</t>
        </is>
      </c>
      <c r="G281" t="n">
        <v>0.4</v>
      </c>
      <c r="H281" t="n">
        <v>0</v>
      </c>
      <c r="I281" t="n">
        <v>0</v>
      </c>
      <c r="J281" t="n">
        <v>0</v>
      </c>
      <c r="K281" t="n">
        <v>0</v>
      </c>
      <c r="L281" t="n">
        <v>0</v>
      </c>
      <c r="M281" t="n">
        <v>0</v>
      </c>
      <c r="N281" t="n">
        <v>0</v>
      </c>
      <c r="O281" t="n">
        <v>0</v>
      </c>
      <c r="P281" t="n">
        <v>0</v>
      </c>
      <c r="Q281" t="n">
        <v>0</v>
      </c>
      <c r="R281" s="2" t="inlineStr"/>
    </row>
    <row r="282" ht="15" customHeight="1">
      <c r="A282" t="inlineStr">
        <is>
          <t>A 15388-2025</t>
        </is>
      </c>
      <c r="B282" s="1" t="n">
        <v>45747.42633101852</v>
      </c>
      <c r="C282" s="1" t="n">
        <v>45975</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15391-2025</t>
        </is>
      </c>
      <c r="B283" s="1" t="n">
        <v>45747.42958333333</v>
      </c>
      <c r="C283" s="1" t="n">
        <v>45975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49408-2023</t>
        </is>
      </c>
      <c r="B284" s="1" t="n">
        <v>45211.43555555555</v>
      </c>
      <c r="C284" s="1" t="n">
        <v>45975</v>
      </c>
      <c r="D284" t="inlineStr">
        <is>
          <t>KALMAR LÄN</t>
        </is>
      </c>
      <c r="E284" t="inlineStr">
        <is>
          <t>VIMMERBY</t>
        </is>
      </c>
      <c r="G284" t="n">
        <v>13.1</v>
      </c>
      <c r="H284" t="n">
        <v>0</v>
      </c>
      <c r="I284" t="n">
        <v>0</v>
      </c>
      <c r="J284" t="n">
        <v>0</v>
      </c>
      <c r="K284" t="n">
        <v>0</v>
      </c>
      <c r="L284" t="n">
        <v>0</v>
      </c>
      <c r="M284" t="n">
        <v>0</v>
      </c>
      <c r="N284" t="n">
        <v>0</v>
      </c>
      <c r="O284" t="n">
        <v>0</v>
      </c>
      <c r="P284" t="n">
        <v>0</v>
      </c>
      <c r="Q284" t="n">
        <v>0</v>
      </c>
      <c r="R284" s="2" t="inlineStr"/>
    </row>
    <row r="285" ht="15" customHeight="1">
      <c r="A285" t="inlineStr">
        <is>
          <t>A 11303-2025</t>
        </is>
      </c>
      <c r="B285" s="1" t="n">
        <v>45726.44471064815</v>
      </c>
      <c r="C285" s="1" t="n">
        <v>45975</v>
      </c>
      <c r="D285" t="inlineStr">
        <is>
          <t>KALMAR LÄN</t>
        </is>
      </c>
      <c r="E285" t="inlineStr">
        <is>
          <t>VIMMERBY</t>
        </is>
      </c>
      <c r="G285" t="n">
        <v>2.1</v>
      </c>
      <c r="H285" t="n">
        <v>0</v>
      </c>
      <c r="I285" t="n">
        <v>0</v>
      </c>
      <c r="J285" t="n">
        <v>0</v>
      </c>
      <c r="K285" t="n">
        <v>0</v>
      </c>
      <c r="L285" t="n">
        <v>0</v>
      </c>
      <c r="M285" t="n">
        <v>0</v>
      </c>
      <c r="N285" t="n">
        <v>0</v>
      </c>
      <c r="O285" t="n">
        <v>0</v>
      </c>
      <c r="P285" t="n">
        <v>0</v>
      </c>
      <c r="Q285" t="n">
        <v>0</v>
      </c>
      <c r="R285" s="2" t="inlineStr"/>
    </row>
    <row r="286" ht="15" customHeight="1">
      <c r="A286" t="inlineStr">
        <is>
          <t>A 6474-2025</t>
        </is>
      </c>
      <c r="B286" s="1" t="n">
        <v>45699.60055555555</v>
      </c>
      <c r="C286" s="1" t="n">
        <v>45975</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33352-2022</t>
        </is>
      </c>
      <c r="B287" s="1" t="n">
        <v>44788</v>
      </c>
      <c r="C287" s="1" t="n">
        <v>45975</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27443-2023</t>
        </is>
      </c>
      <c r="B288" s="1" t="n">
        <v>45097.40524305555</v>
      </c>
      <c r="C288" s="1" t="n">
        <v>45975</v>
      </c>
      <c r="D288" t="inlineStr">
        <is>
          <t>KALMAR LÄN</t>
        </is>
      </c>
      <c r="E288" t="inlineStr">
        <is>
          <t>VIMMERBY</t>
        </is>
      </c>
      <c r="F288" t="inlineStr">
        <is>
          <t>Övriga Aktiebolag</t>
        </is>
      </c>
      <c r="G288" t="n">
        <v>2.3</v>
      </c>
      <c r="H288" t="n">
        <v>0</v>
      </c>
      <c r="I288" t="n">
        <v>0</v>
      </c>
      <c r="J288" t="n">
        <v>0</v>
      </c>
      <c r="K288" t="n">
        <v>0</v>
      </c>
      <c r="L288" t="n">
        <v>0</v>
      </c>
      <c r="M288" t="n">
        <v>0</v>
      </c>
      <c r="N288" t="n">
        <v>0</v>
      </c>
      <c r="O288" t="n">
        <v>0</v>
      </c>
      <c r="P288" t="n">
        <v>0</v>
      </c>
      <c r="Q288" t="n">
        <v>0</v>
      </c>
      <c r="R288" s="2" t="inlineStr"/>
    </row>
    <row r="289" ht="15" customHeight="1">
      <c r="A289" t="inlineStr">
        <is>
          <t>A 46234-2024</t>
        </is>
      </c>
      <c r="B289" s="1" t="n">
        <v>45581.57958333333</v>
      </c>
      <c r="C289" s="1" t="n">
        <v>45975</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39053-2024</t>
        </is>
      </c>
      <c r="B290" s="1" t="n">
        <v>45548</v>
      </c>
      <c r="C290" s="1" t="n">
        <v>45975</v>
      </c>
      <c r="D290" t="inlineStr">
        <is>
          <t>KALMAR LÄN</t>
        </is>
      </c>
      <c r="E290" t="inlineStr">
        <is>
          <t>VIMMERBY</t>
        </is>
      </c>
      <c r="G290" t="n">
        <v>5</v>
      </c>
      <c r="H290" t="n">
        <v>0</v>
      </c>
      <c r="I290" t="n">
        <v>0</v>
      </c>
      <c r="J290" t="n">
        <v>0</v>
      </c>
      <c r="K290" t="n">
        <v>0</v>
      </c>
      <c r="L290" t="n">
        <v>0</v>
      </c>
      <c r="M290" t="n">
        <v>0</v>
      </c>
      <c r="N290" t="n">
        <v>0</v>
      </c>
      <c r="O290" t="n">
        <v>0</v>
      </c>
      <c r="P290" t="n">
        <v>0</v>
      </c>
      <c r="Q290" t="n">
        <v>0</v>
      </c>
      <c r="R290" s="2" t="inlineStr"/>
    </row>
    <row r="291" ht="15" customHeight="1">
      <c r="A291" t="inlineStr">
        <is>
          <t>A 15449-2023</t>
        </is>
      </c>
      <c r="B291" s="1" t="n">
        <v>45020</v>
      </c>
      <c r="C291" s="1" t="n">
        <v>45975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11429-2022</t>
        </is>
      </c>
      <c r="B292" s="1" t="n">
        <v>44630</v>
      </c>
      <c r="C292" s="1" t="n">
        <v>45975</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56582-2022</t>
        </is>
      </c>
      <c r="B293" s="1" t="n">
        <v>44893</v>
      </c>
      <c r="C293" s="1" t="n">
        <v>45975</v>
      </c>
      <c r="D293" t="inlineStr">
        <is>
          <t>KALMAR LÄN</t>
        </is>
      </c>
      <c r="E293" t="inlineStr">
        <is>
          <t>VIMMERBY</t>
        </is>
      </c>
      <c r="G293" t="n">
        <v>2.2</v>
      </c>
      <c r="H293" t="n">
        <v>0</v>
      </c>
      <c r="I293" t="n">
        <v>0</v>
      </c>
      <c r="J293" t="n">
        <v>0</v>
      </c>
      <c r="K293" t="n">
        <v>0</v>
      </c>
      <c r="L293" t="n">
        <v>0</v>
      </c>
      <c r="M293" t="n">
        <v>0</v>
      </c>
      <c r="N293" t="n">
        <v>0</v>
      </c>
      <c r="O293" t="n">
        <v>0</v>
      </c>
      <c r="P293" t="n">
        <v>0</v>
      </c>
      <c r="Q293" t="n">
        <v>0</v>
      </c>
      <c r="R293" s="2" t="inlineStr"/>
    </row>
    <row r="294" ht="15" customHeight="1">
      <c r="A294" t="inlineStr">
        <is>
          <t>A 28395-2023</t>
        </is>
      </c>
      <c r="B294" s="1" t="n">
        <v>45100.4062962963</v>
      </c>
      <c r="C294" s="1" t="n">
        <v>45975</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43594-2024</t>
        </is>
      </c>
      <c r="B295" s="1" t="n">
        <v>45569.44295138889</v>
      </c>
      <c r="C295" s="1" t="n">
        <v>45975</v>
      </c>
      <c r="D295" t="inlineStr">
        <is>
          <t>KALMAR LÄN</t>
        </is>
      </c>
      <c r="E295" t="inlineStr">
        <is>
          <t>VIMMERBY</t>
        </is>
      </c>
      <c r="G295" t="n">
        <v>3.9</v>
      </c>
      <c r="H295" t="n">
        <v>0</v>
      </c>
      <c r="I295" t="n">
        <v>0</v>
      </c>
      <c r="J295" t="n">
        <v>0</v>
      </c>
      <c r="K295" t="n">
        <v>0</v>
      </c>
      <c r="L295" t="n">
        <v>0</v>
      </c>
      <c r="M295" t="n">
        <v>0</v>
      </c>
      <c r="N295" t="n">
        <v>0</v>
      </c>
      <c r="O295" t="n">
        <v>0</v>
      </c>
      <c r="P295" t="n">
        <v>0</v>
      </c>
      <c r="Q295" t="n">
        <v>0</v>
      </c>
      <c r="R295" s="2" t="inlineStr"/>
    </row>
    <row r="296" ht="15" customHeight="1">
      <c r="A296" t="inlineStr">
        <is>
          <t>A 17486-2024</t>
        </is>
      </c>
      <c r="B296" s="1" t="n">
        <v>45415.48979166667</v>
      </c>
      <c r="C296" s="1" t="n">
        <v>45975</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14248-2023</t>
        </is>
      </c>
      <c r="B297" s="1" t="n">
        <v>45009</v>
      </c>
      <c r="C297" s="1" t="n">
        <v>45975</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6408-2025</t>
        </is>
      </c>
      <c r="B298" s="1" t="n">
        <v>45699.45671296296</v>
      </c>
      <c r="C298" s="1" t="n">
        <v>45975</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18501-2024</t>
        </is>
      </c>
      <c r="B299" s="1" t="n">
        <v>45425.57538194444</v>
      </c>
      <c r="C299" s="1" t="n">
        <v>45975</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17-2025</t>
        </is>
      </c>
      <c r="B300" s="1" t="n">
        <v>45658.78774305555</v>
      </c>
      <c r="C300" s="1" t="n">
        <v>45975</v>
      </c>
      <c r="D300" t="inlineStr">
        <is>
          <t>KALMAR LÄN</t>
        </is>
      </c>
      <c r="E300" t="inlineStr">
        <is>
          <t>VIMMERBY</t>
        </is>
      </c>
      <c r="G300" t="n">
        <v>4.4</v>
      </c>
      <c r="H300" t="n">
        <v>0</v>
      </c>
      <c r="I300" t="n">
        <v>0</v>
      </c>
      <c r="J300" t="n">
        <v>0</v>
      </c>
      <c r="K300" t="n">
        <v>0</v>
      </c>
      <c r="L300" t="n">
        <v>0</v>
      </c>
      <c r="M300" t="n">
        <v>0</v>
      </c>
      <c r="N300" t="n">
        <v>0</v>
      </c>
      <c r="O300" t="n">
        <v>0</v>
      </c>
      <c r="P300" t="n">
        <v>0</v>
      </c>
      <c r="Q300" t="n">
        <v>0</v>
      </c>
      <c r="R300" s="2" t="inlineStr"/>
    </row>
    <row r="301" ht="15" customHeight="1">
      <c r="A301" t="inlineStr">
        <is>
          <t>A 57555-2024</t>
        </is>
      </c>
      <c r="B301" s="1" t="n">
        <v>45630.45069444444</v>
      </c>
      <c r="C301" s="1" t="n">
        <v>45975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11609-2023</t>
        </is>
      </c>
      <c r="B302" s="1" t="n">
        <v>44994.40635416667</v>
      </c>
      <c r="C302" s="1" t="n">
        <v>45975</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44464-2024</t>
        </is>
      </c>
      <c r="B303" s="1" t="n">
        <v>45574.35809027778</v>
      </c>
      <c r="C303" s="1" t="n">
        <v>45975</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25799-2023</t>
        </is>
      </c>
      <c r="B304" s="1" t="n">
        <v>45090</v>
      </c>
      <c r="C304" s="1" t="n">
        <v>45975</v>
      </c>
      <c r="D304" t="inlineStr">
        <is>
          <t>KALMAR LÄN</t>
        </is>
      </c>
      <c r="E304" t="inlineStr">
        <is>
          <t>VIMMERBY</t>
        </is>
      </c>
      <c r="G304" t="n">
        <v>7.7</v>
      </c>
      <c r="H304" t="n">
        <v>0</v>
      </c>
      <c r="I304" t="n">
        <v>0</v>
      </c>
      <c r="J304" t="n">
        <v>0</v>
      </c>
      <c r="K304" t="n">
        <v>0</v>
      </c>
      <c r="L304" t="n">
        <v>0</v>
      </c>
      <c r="M304" t="n">
        <v>0</v>
      </c>
      <c r="N304" t="n">
        <v>0</v>
      </c>
      <c r="O304" t="n">
        <v>0</v>
      </c>
      <c r="P304" t="n">
        <v>0</v>
      </c>
      <c r="Q304" t="n">
        <v>0</v>
      </c>
      <c r="R304" s="2" t="inlineStr"/>
    </row>
    <row r="305" ht="15" customHeight="1">
      <c r="A305" t="inlineStr">
        <is>
          <t>A 18411-2021</t>
        </is>
      </c>
      <c r="B305" s="1" t="n">
        <v>44302</v>
      </c>
      <c r="C305" s="1" t="n">
        <v>45975</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52279-2023</t>
        </is>
      </c>
      <c r="B306" s="1" t="n">
        <v>45224</v>
      </c>
      <c r="C306" s="1" t="n">
        <v>45975</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52324-2023</t>
        </is>
      </c>
      <c r="B307" s="1" t="n">
        <v>45224.64659722222</v>
      </c>
      <c r="C307" s="1" t="n">
        <v>45975</v>
      </c>
      <c r="D307" t="inlineStr">
        <is>
          <t>KALMAR LÄN</t>
        </is>
      </c>
      <c r="E307" t="inlineStr">
        <is>
          <t>VIMMERBY</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41066-2024</t>
        </is>
      </c>
      <c r="B308" s="1" t="n">
        <v>45559.38876157408</v>
      </c>
      <c r="C308" s="1" t="n">
        <v>45975</v>
      </c>
      <c r="D308" t="inlineStr">
        <is>
          <t>KALMAR LÄN</t>
        </is>
      </c>
      <c r="E308" t="inlineStr">
        <is>
          <t>VIMMERBY</t>
        </is>
      </c>
      <c r="G308" t="n">
        <v>2.4</v>
      </c>
      <c r="H308" t="n">
        <v>0</v>
      </c>
      <c r="I308" t="n">
        <v>0</v>
      </c>
      <c r="J308" t="n">
        <v>0</v>
      </c>
      <c r="K308" t="n">
        <v>0</v>
      </c>
      <c r="L308" t="n">
        <v>0</v>
      </c>
      <c r="M308" t="n">
        <v>0</v>
      </c>
      <c r="N308" t="n">
        <v>0</v>
      </c>
      <c r="O308" t="n">
        <v>0</v>
      </c>
      <c r="P308" t="n">
        <v>0</v>
      </c>
      <c r="Q308" t="n">
        <v>0</v>
      </c>
      <c r="R308" s="2" t="inlineStr"/>
    </row>
    <row r="309" ht="15" customHeight="1">
      <c r="A309" t="inlineStr">
        <is>
          <t>A 16015-2025</t>
        </is>
      </c>
      <c r="B309" s="1" t="n">
        <v>45749.60487268519</v>
      </c>
      <c r="C309" s="1" t="n">
        <v>45975</v>
      </c>
      <c r="D309" t="inlineStr">
        <is>
          <t>KALMAR LÄN</t>
        </is>
      </c>
      <c r="E309" t="inlineStr">
        <is>
          <t>VIMMERBY</t>
        </is>
      </c>
      <c r="F309" t="inlineStr">
        <is>
          <t>Kyrkan</t>
        </is>
      </c>
      <c r="G309" t="n">
        <v>2.7</v>
      </c>
      <c r="H309" t="n">
        <v>0</v>
      </c>
      <c r="I309" t="n">
        <v>0</v>
      </c>
      <c r="J309" t="n">
        <v>0</v>
      </c>
      <c r="K309" t="n">
        <v>0</v>
      </c>
      <c r="L309" t="n">
        <v>0</v>
      </c>
      <c r="M309" t="n">
        <v>0</v>
      </c>
      <c r="N309" t="n">
        <v>0</v>
      </c>
      <c r="O309" t="n">
        <v>0</v>
      </c>
      <c r="P309" t="n">
        <v>0</v>
      </c>
      <c r="Q309" t="n">
        <v>0</v>
      </c>
      <c r="R309" s="2" t="inlineStr"/>
    </row>
    <row r="310" ht="15" customHeight="1">
      <c r="A310" t="inlineStr">
        <is>
          <t>A 57256-2023</t>
        </is>
      </c>
      <c r="B310" s="1" t="n">
        <v>45245.5735300926</v>
      </c>
      <c r="C310" s="1" t="n">
        <v>45975</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23088-2024</t>
        </is>
      </c>
      <c r="B311" s="1" t="n">
        <v>45450.51092592593</v>
      </c>
      <c r="C311" s="1" t="n">
        <v>45975</v>
      </c>
      <c r="D311" t="inlineStr">
        <is>
          <t>KALMAR LÄN</t>
        </is>
      </c>
      <c r="E311" t="inlineStr">
        <is>
          <t>VIMMERBY</t>
        </is>
      </c>
      <c r="G311" t="n">
        <v>1.9</v>
      </c>
      <c r="H311" t="n">
        <v>0</v>
      </c>
      <c r="I311" t="n">
        <v>0</v>
      </c>
      <c r="J311" t="n">
        <v>0</v>
      </c>
      <c r="K311" t="n">
        <v>0</v>
      </c>
      <c r="L311" t="n">
        <v>0</v>
      </c>
      <c r="M311" t="n">
        <v>0</v>
      </c>
      <c r="N311" t="n">
        <v>0</v>
      </c>
      <c r="O311" t="n">
        <v>0</v>
      </c>
      <c r="P311" t="n">
        <v>0</v>
      </c>
      <c r="Q311" t="n">
        <v>0</v>
      </c>
      <c r="R311" s="2" t="inlineStr"/>
    </row>
    <row r="312" ht="15" customHeight="1">
      <c r="A312" t="inlineStr">
        <is>
          <t>A 30400-2023</t>
        </is>
      </c>
      <c r="B312" s="1" t="n">
        <v>45111.48225694444</v>
      </c>
      <c r="C312" s="1" t="n">
        <v>45975</v>
      </c>
      <c r="D312" t="inlineStr">
        <is>
          <t>KALMAR LÄN</t>
        </is>
      </c>
      <c r="E312" t="inlineStr">
        <is>
          <t>VIMMERBY</t>
        </is>
      </c>
      <c r="G312" t="n">
        <v>2.7</v>
      </c>
      <c r="H312" t="n">
        <v>0</v>
      </c>
      <c r="I312" t="n">
        <v>0</v>
      </c>
      <c r="J312" t="n">
        <v>0</v>
      </c>
      <c r="K312" t="n">
        <v>0</v>
      </c>
      <c r="L312" t="n">
        <v>0</v>
      </c>
      <c r="M312" t="n">
        <v>0</v>
      </c>
      <c r="N312" t="n">
        <v>0</v>
      </c>
      <c r="O312" t="n">
        <v>0</v>
      </c>
      <c r="P312" t="n">
        <v>0</v>
      </c>
      <c r="Q312" t="n">
        <v>0</v>
      </c>
      <c r="R312" s="2" t="inlineStr"/>
    </row>
    <row r="313" ht="15" customHeight="1">
      <c r="A313" t="inlineStr">
        <is>
          <t>A 30404-2023</t>
        </is>
      </c>
      <c r="B313" s="1" t="n">
        <v>45111.48636574074</v>
      </c>
      <c r="C313" s="1" t="n">
        <v>45975</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55123-2024</t>
        </is>
      </c>
      <c r="B314" s="1" t="n">
        <v>45621.46103009259</v>
      </c>
      <c r="C314" s="1" t="n">
        <v>45975</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31405-2023</t>
        </is>
      </c>
      <c r="B315" s="1" t="n">
        <v>45114.58148148148</v>
      </c>
      <c r="C315" s="1" t="n">
        <v>45975</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24707-2024</t>
        </is>
      </c>
      <c r="B316" s="1" t="n">
        <v>45460.62172453704</v>
      </c>
      <c r="C316" s="1" t="n">
        <v>45975</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36049-2024</t>
        </is>
      </c>
      <c r="B317" s="1" t="n">
        <v>45533.61996527778</v>
      </c>
      <c r="C317" s="1" t="n">
        <v>45975</v>
      </c>
      <c r="D317" t="inlineStr">
        <is>
          <t>KALMAR LÄN</t>
        </is>
      </c>
      <c r="E317" t="inlineStr">
        <is>
          <t>VIMMERBY</t>
        </is>
      </c>
      <c r="F317" t="inlineStr">
        <is>
          <t>Kommuner</t>
        </is>
      </c>
      <c r="G317" t="n">
        <v>2.6</v>
      </c>
      <c r="H317" t="n">
        <v>0</v>
      </c>
      <c r="I317" t="n">
        <v>0</v>
      </c>
      <c r="J317" t="n">
        <v>0</v>
      </c>
      <c r="K317" t="n">
        <v>0</v>
      </c>
      <c r="L317" t="n">
        <v>0</v>
      </c>
      <c r="M317" t="n">
        <v>0</v>
      </c>
      <c r="N317" t="n">
        <v>0</v>
      </c>
      <c r="O317" t="n">
        <v>0</v>
      </c>
      <c r="P317" t="n">
        <v>0</v>
      </c>
      <c r="Q317" t="n">
        <v>0</v>
      </c>
      <c r="R317" s="2" t="inlineStr"/>
    </row>
    <row r="318" ht="15" customHeight="1">
      <c r="A318" t="inlineStr">
        <is>
          <t>A 3816-2022</t>
        </is>
      </c>
      <c r="B318" s="1" t="n">
        <v>44587</v>
      </c>
      <c r="C318" s="1" t="n">
        <v>45975</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57189-2022</t>
        </is>
      </c>
      <c r="B319" s="1" t="n">
        <v>44895.62296296296</v>
      </c>
      <c r="C319" s="1" t="n">
        <v>45975</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32639-2023</t>
        </is>
      </c>
      <c r="B320" s="1" t="n">
        <v>45121.5965162037</v>
      </c>
      <c r="C320" s="1" t="n">
        <v>45975</v>
      </c>
      <c r="D320" t="inlineStr">
        <is>
          <t>KALMAR LÄN</t>
        </is>
      </c>
      <c r="E320" t="inlineStr">
        <is>
          <t>VIMMERBY</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32642-2023</t>
        </is>
      </c>
      <c r="B321" s="1" t="n">
        <v>45121.59954861111</v>
      </c>
      <c r="C321" s="1" t="n">
        <v>45975</v>
      </c>
      <c r="D321" t="inlineStr">
        <is>
          <t>KALMAR LÄN</t>
        </is>
      </c>
      <c r="E321" t="inlineStr">
        <is>
          <t>VIMMERBY</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32651-2023</t>
        </is>
      </c>
      <c r="B322" s="1" t="n">
        <v>45121.6096875</v>
      </c>
      <c r="C322" s="1" t="n">
        <v>45975</v>
      </c>
      <c r="D322" t="inlineStr">
        <is>
          <t>KALMAR LÄN</t>
        </is>
      </c>
      <c r="E322" t="inlineStr">
        <is>
          <t>VIMMERBY</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40730-2024</t>
        </is>
      </c>
      <c r="B323" s="1" t="n">
        <v>45558.44914351852</v>
      </c>
      <c r="C323" s="1" t="n">
        <v>45975</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58159-2024</t>
        </is>
      </c>
      <c r="B324" s="1" t="n">
        <v>45632.44886574074</v>
      </c>
      <c r="C324" s="1" t="n">
        <v>45975</v>
      </c>
      <c r="D324" t="inlineStr">
        <is>
          <t>KALMAR LÄN</t>
        </is>
      </c>
      <c r="E324" t="inlineStr">
        <is>
          <t>VIMMERBY</t>
        </is>
      </c>
      <c r="G324" t="n">
        <v>7.5</v>
      </c>
      <c r="H324" t="n">
        <v>0</v>
      </c>
      <c r="I324" t="n">
        <v>0</v>
      </c>
      <c r="J324" t="n">
        <v>0</v>
      </c>
      <c r="K324" t="n">
        <v>0</v>
      </c>
      <c r="L324" t="n">
        <v>0</v>
      </c>
      <c r="M324" t="n">
        <v>0</v>
      </c>
      <c r="N324" t="n">
        <v>0</v>
      </c>
      <c r="O324" t="n">
        <v>0</v>
      </c>
      <c r="P324" t="n">
        <v>0</v>
      </c>
      <c r="Q324" t="n">
        <v>0</v>
      </c>
      <c r="R324" s="2" t="inlineStr"/>
    </row>
    <row r="325" ht="15" customHeight="1">
      <c r="A325" t="inlineStr">
        <is>
          <t>A 9643-2023</t>
        </is>
      </c>
      <c r="B325" s="1" t="n">
        <v>44984</v>
      </c>
      <c r="C325" s="1" t="n">
        <v>45975</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14359-2025</t>
        </is>
      </c>
      <c r="B326" s="1" t="n">
        <v>45741.37270833334</v>
      </c>
      <c r="C326" s="1" t="n">
        <v>45975</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56213-2024</t>
        </is>
      </c>
      <c r="B327" s="1" t="n">
        <v>45624.60141203704</v>
      </c>
      <c r="C327" s="1" t="n">
        <v>45975</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1987-2024</t>
        </is>
      </c>
      <c r="B328" s="1" t="n">
        <v>45308.61152777778</v>
      </c>
      <c r="C328" s="1" t="n">
        <v>45975</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527-2024</t>
        </is>
      </c>
      <c r="B329" s="1" t="n">
        <v>45299.47513888889</v>
      </c>
      <c r="C329" s="1" t="n">
        <v>45975</v>
      </c>
      <c r="D329" t="inlineStr">
        <is>
          <t>KALMAR LÄN</t>
        </is>
      </c>
      <c r="E329" t="inlineStr">
        <is>
          <t>VIMMERBY</t>
        </is>
      </c>
      <c r="G329" t="n">
        <v>2.2</v>
      </c>
      <c r="H329" t="n">
        <v>0</v>
      </c>
      <c r="I329" t="n">
        <v>0</v>
      </c>
      <c r="J329" t="n">
        <v>0</v>
      </c>
      <c r="K329" t="n">
        <v>0</v>
      </c>
      <c r="L329" t="n">
        <v>0</v>
      </c>
      <c r="M329" t="n">
        <v>0</v>
      </c>
      <c r="N329" t="n">
        <v>0</v>
      </c>
      <c r="O329" t="n">
        <v>0</v>
      </c>
      <c r="P329" t="n">
        <v>0</v>
      </c>
      <c r="Q329" t="n">
        <v>0</v>
      </c>
      <c r="R329" s="2" t="inlineStr"/>
    </row>
    <row r="330" ht="15" customHeight="1">
      <c r="A330" t="inlineStr">
        <is>
          <t>A 20126-2024</t>
        </is>
      </c>
      <c r="B330" s="1" t="n">
        <v>45434.55471064815</v>
      </c>
      <c r="C330" s="1" t="n">
        <v>45975</v>
      </c>
      <c r="D330" t="inlineStr">
        <is>
          <t>KALMAR LÄN</t>
        </is>
      </c>
      <c r="E330" t="inlineStr">
        <is>
          <t>VIMMERBY</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19865-2021</t>
        </is>
      </c>
      <c r="B331" s="1" t="n">
        <v>44312</v>
      </c>
      <c r="C331" s="1" t="n">
        <v>45975</v>
      </c>
      <c r="D331" t="inlineStr">
        <is>
          <t>KALMAR LÄN</t>
        </is>
      </c>
      <c r="E331" t="inlineStr">
        <is>
          <t>VIMMERBY</t>
        </is>
      </c>
      <c r="G331" t="n">
        <v>8.6</v>
      </c>
      <c r="H331" t="n">
        <v>0</v>
      </c>
      <c r="I331" t="n">
        <v>0</v>
      </c>
      <c r="J331" t="n">
        <v>0</v>
      </c>
      <c r="K331" t="n">
        <v>0</v>
      </c>
      <c r="L331" t="n">
        <v>0</v>
      </c>
      <c r="M331" t="n">
        <v>0</v>
      </c>
      <c r="N331" t="n">
        <v>0</v>
      </c>
      <c r="O331" t="n">
        <v>0</v>
      </c>
      <c r="P331" t="n">
        <v>0</v>
      </c>
      <c r="Q331" t="n">
        <v>0</v>
      </c>
      <c r="R331" s="2" t="inlineStr"/>
    </row>
    <row r="332" ht="15" customHeight="1">
      <c r="A332" t="inlineStr">
        <is>
          <t>A 1081-2023</t>
        </is>
      </c>
      <c r="B332" s="1" t="n">
        <v>44935</v>
      </c>
      <c r="C332" s="1" t="n">
        <v>45975</v>
      </c>
      <c r="D332" t="inlineStr">
        <is>
          <t>KALMAR LÄN</t>
        </is>
      </c>
      <c r="E332" t="inlineStr">
        <is>
          <t>VIMMERBY</t>
        </is>
      </c>
      <c r="G332" t="n">
        <v>1.3</v>
      </c>
      <c r="H332" t="n">
        <v>0</v>
      </c>
      <c r="I332" t="n">
        <v>0</v>
      </c>
      <c r="J332" t="n">
        <v>0</v>
      </c>
      <c r="K332" t="n">
        <v>0</v>
      </c>
      <c r="L332" t="n">
        <v>0</v>
      </c>
      <c r="M332" t="n">
        <v>0</v>
      </c>
      <c r="N332" t="n">
        <v>0</v>
      </c>
      <c r="O332" t="n">
        <v>0</v>
      </c>
      <c r="P332" t="n">
        <v>0</v>
      </c>
      <c r="Q332" t="n">
        <v>0</v>
      </c>
      <c r="R332" s="2" t="inlineStr"/>
    </row>
    <row r="333" ht="15" customHeight="1">
      <c r="A333" t="inlineStr">
        <is>
          <t>A 7047-2022</t>
        </is>
      </c>
      <c r="B333" s="1" t="n">
        <v>44603</v>
      </c>
      <c r="C333" s="1" t="n">
        <v>45975</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9694-2023</t>
        </is>
      </c>
      <c r="B334" s="1" t="n">
        <v>44984.45895833334</v>
      </c>
      <c r="C334" s="1" t="n">
        <v>45975</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9710-2023</t>
        </is>
      </c>
      <c r="B335" s="1" t="n">
        <v>44984</v>
      </c>
      <c r="C335" s="1" t="n">
        <v>45975</v>
      </c>
      <c r="D335" t="inlineStr">
        <is>
          <t>KALMAR LÄN</t>
        </is>
      </c>
      <c r="E335" t="inlineStr">
        <is>
          <t>VIMMERBY</t>
        </is>
      </c>
      <c r="G335" t="n">
        <v>3.7</v>
      </c>
      <c r="H335" t="n">
        <v>0</v>
      </c>
      <c r="I335" t="n">
        <v>0</v>
      </c>
      <c r="J335" t="n">
        <v>0</v>
      </c>
      <c r="K335" t="n">
        <v>0</v>
      </c>
      <c r="L335" t="n">
        <v>0</v>
      </c>
      <c r="M335" t="n">
        <v>0</v>
      </c>
      <c r="N335" t="n">
        <v>0</v>
      </c>
      <c r="O335" t="n">
        <v>0</v>
      </c>
      <c r="P335" t="n">
        <v>0</v>
      </c>
      <c r="Q335" t="n">
        <v>0</v>
      </c>
      <c r="R335" s="2" t="inlineStr"/>
    </row>
    <row r="336" ht="15" customHeight="1">
      <c r="A336" t="inlineStr">
        <is>
          <t>A 12499-2023</t>
        </is>
      </c>
      <c r="B336" s="1" t="n">
        <v>44999.86172453704</v>
      </c>
      <c r="C336" s="1" t="n">
        <v>45975</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12500-2023</t>
        </is>
      </c>
      <c r="B337" s="1" t="n">
        <v>44999.8625</v>
      </c>
      <c r="C337" s="1" t="n">
        <v>45975</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39578-2024</t>
        </is>
      </c>
      <c r="B338" s="1" t="n">
        <v>45552.36484953704</v>
      </c>
      <c r="C338" s="1" t="n">
        <v>45975</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6216-2025</t>
        </is>
      </c>
      <c r="B339" s="1" t="n">
        <v>45698.52806712963</v>
      </c>
      <c r="C339" s="1" t="n">
        <v>45975</v>
      </c>
      <c r="D339" t="inlineStr">
        <is>
          <t>KALMAR LÄN</t>
        </is>
      </c>
      <c r="E339" t="inlineStr">
        <is>
          <t>VIMMERBY</t>
        </is>
      </c>
      <c r="G339" t="n">
        <v>1.2</v>
      </c>
      <c r="H339" t="n">
        <v>0</v>
      </c>
      <c r="I339" t="n">
        <v>0</v>
      </c>
      <c r="J339" t="n">
        <v>0</v>
      </c>
      <c r="K339" t="n">
        <v>0</v>
      </c>
      <c r="L339" t="n">
        <v>0</v>
      </c>
      <c r="M339" t="n">
        <v>0</v>
      </c>
      <c r="N339" t="n">
        <v>0</v>
      </c>
      <c r="O339" t="n">
        <v>0</v>
      </c>
      <c r="P339" t="n">
        <v>0</v>
      </c>
      <c r="Q339" t="n">
        <v>0</v>
      </c>
      <c r="R339" s="2" t="inlineStr"/>
    </row>
    <row r="340" ht="15" customHeight="1">
      <c r="A340" t="inlineStr">
        <is>
          <t>A 62779-2023</t>
        </is>
      </c>
      <c r="B340" s="1" t="n">
        <v>45271.66576388889</v>
      </c>
      <c r="C340" s="1" t="n">
        <v>45975</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46399-2024</t>
        </is>
      </c>
      <c r="B341" s="1" t="n">
        <v>45582.41200231481</v>
      </c>
      <c r="C341" s="1" t="n">
        <v>45975</v>
      </c>
      <c r="D341" t="inlineStr">
        <is>
          <t>KALMAR LÄN</t>
        </is>
      </c>
      <c r="E341" t="inlineStr">
        <is>
          <t>VIMMERBY</t>
        </is>
      </c>
      <c r="G341" t="n">
        <v>4.6</v>
      </c>
      <c r="H341" t="n">
        <v>0</v>
      </c>
      <c r="I341" t="n">
        <v>0</v>
      </c>
      <c r="J341" t="n">
        <v>0</v>
      </c>
      <c r="K341" t="n">
        <v>0</v>
      </c>
      <c r="L341" t="n">
        <v>0</v>
      </c>
      <c r="M341" t="n">
        <v>0</v>
      </c>
      <c r="N341" t="n">
        <v>0</v>
      </c>
      <c r="O341" t="n">
        <v>0</v>
      </c>
      <c r="P341" t="n">
        <v>0</v>
      </c>
      <c r="Q341" t="n">
        <v>0</v>
      </c>
      <c r="R341" s="2" t="inlineStr"/>
    </row>
    <row r="342" ht="15" customHeight="1">
      <c r="A342" t="inlineStr">
        <is>
          <t>A 37192-2024</t>
        </is>
      </c>
      <c r="B342" s="1" t="n">
        <v>45539.66027777778</v>
      </c>
      <c r="C342" s="1" t="n">
        <v>45975</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6066-2023</t>
        </is>
      </c>
      <c r="B343" s="1" t="n">
        <v>44964.50894675926</v>
      </c>
      <c r="C343" s="1" t="n">
        <v>45975</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3425-2022</t>
        </is>
      </c>
      <c r="B344" s="1" t="n">
        <v>44585.51060185185</v>
      </c>
      <c r="C344" s="1" t="n">
        <v>45975</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43962-2024</t>
        </is>
      </c>
      <c r="B345" s="1" t="n">
        <v>45572.48293981481</v>
      </c>
      <c r="C345" s="1" t="n">
        <v>45975</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12810-2023</t>
        </is>
      </c>
      <c r="B346" s="1" t="n">
        <v>45001.43854166667</v>
      </c>
      <c r="C346" s="1" t="n">
        <v>45975</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33103-2024</t>
        </is>
      </c>
      <c r="B347" s="1" t="n">
        <v>45517.8162037037</v>
      </c>
      <c r="C347" s="1" t="n">
        <v>45975</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33161-2024</t>
        </is>
      </c>
      <c r="B348" s="1" t="n">
        <v>45518.40657407408</v>
      </c>
      <c r="C348" s="1" t="n">
        <v>45975</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12510-2022</t>
        </is>
      </c>
      <c r="B349" s="1" t="n">
        <v>44638.55256944444</v>
      </c>
      <c r="C349" s="1" t="n">
        <v>45975</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43068-2023</t>
        </is>
      </c>
      <c r="B350" s="1" t="n">
        <v>45182.78834490741</v>
      </c>
      <c r="C350" s="1" t="n">
        <v>45975</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1146-2025</t>
        </is>
      </c>
      <c r="B351" s="1" t="n">
        <v>45666</v>
      </c>
      <c r="C351" s="1" t="n">
        <v>45975</v>
      </c>
      <c r="D351" t="inlineStr">
        <is>
          <t>KALMAR LÄN</t>
        </is>
      </c>
      <c r="E351" t="inlineStr">
        <is>
          <t>VIMMERBY</t>
        </is>
      </c>
      <c r="G351" t="n">
        <v>4</v>
      </c>
      <c r="H351" t="n">
        <v>0</v>
      </c>
      <c r="I351" t="n">
        <v>0</v>
      </c>
      <c r="J351" t="n">
        <v>0</v>
      </c>
      <c r="K351" t="n">
        <v>0</v>
      </c>
      <c r="L351" t="n">
        <v>0</v>
      </c>
      <c r="M351" t="n">
        <v>0</v>
      </c>
      <c r="N351" t="n">
        <v>0</v>
      </c>
      <c r="O351" t="n">
        <v>0</v>
      </c>
      <c r="P351" t="n">
        <v>0</v>
      </c>
      <c r="Q351" t="n">
        <v>0</v>
      </c>
      <c r="R351" s="2" t="inlineStr"/>
    </row>
    <row r="352" ht="15" customHeight="1">
      <c r="A352" t="inlineStr">
        <is>
          <t>A 47063-2022</t>
        </is>
      </c>
      <c r="B352" s="1" t="n">
        <v>44852</v>
      </c>
      <c r="C352" s="1" t="n">
        <v>45975</v>
      </c>
      <c r="D352" t="inlineStr">
        <is>
          <t>KALMAR LÄN</t>
        </is>
      </c>
      <c r="E352" t="inlineStr">
        <is>
          <t>VIMMERBY</t>
        </is>
      </c>
      <c r="G352" t="n">
        <v>2.5</v>
      </c>
      <c r="H352" t="n">
        <v>0</v>
      </c>
      <c r="I352" t="n">
        <v>0</v>
      </c>
      <c r="J352" t="n">
        <v>0</v>
      </c>
      <c r="K352" t="n">
        <v>0</v>
      </c>
      <c r="L352" t="n">
        <v>0</v>
      </c>
      <c r="M352" t="n">
        <v>0</v>
      </c>
      <c r="N352" t="n">
        <v>0</v>
      </c>
      <c r="O352" t="n">
        <v>0</v>
      </c>
      <c r="P352" t="n">
        <v>0</v>
      </c>
      <c r="Q352" t="n">
        <v>0</v>
      </c>
      <c r="R352" s="2" t="inlineStr"/>
    </row>
    <row r="353" ht="15" customHeight="1">
      <c r="A353" t="inlineStr">
        <is>
          <t>A 7944-2024</t>
        </is>
      </c>
      <c r="B353" s="1" t="n">
        <v>45350.53306712963</v>
      </c>
      <c r="C353" s="1" t="n">
        <v>45975</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12819-2024</t>
        </is>
      </c>
      <c r="B354" s="1" t="n">
        <v>45384.66917824074</v>
      </c>
      <c r="C354" s="1" t="n">
        <v>45975</v>
      </c>
      <c r="D354" t="inlineStr">
        <is>
          <t>KALMAR LÄN</t>
        </is>
      </c>
      <c r="E354" t="inlineStr">
        <is>
          <t>VIMMERBY</t>
        </is>
      </c>
      <c r="G354" t="n">
        <v>5.1</v>
      </c>
      <c r="H354" t="n">
        <v>0</v>
      </c>
      <c r="I354" t="n">
        <v>0</v>
      </c>
      <c r="J354" t="n">
        <v>0</v>
      </c>
      <c r="K354" t="n">
        <v>0</v>
      </c>
      <c r="L354" t="n">
        <v>0</v>
      </c>
      <c r="M354" t="n">
        <v>0</v>
      </c>
      <c r="N354" t="n">
        <v>0</v>
      </c>
      <c r="O354" t="n">
        <v>0</v>
      </c>
      <c r="P354" t="n">
        <v>0</v>
      </c>
      <c r="Q354" t="n">
        <v>0</v>
      </c>
      <c r="R354" s="2" t="inlineStr"/>
    </row>
    <row r="355" ht="15" customHeight="1">
      <c r="A355" t="inlineStr">
        <is>
          <t>A 598-2025</t>
        </is>
      </c>
      <c r="B355" s="1" t="n">
        <v>45660</v>
      </c>
      <c r="C355" s="1" t="n">
        <v>45975</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12890-2023</t>
        </is>
      </c>
      <c r="B356" s="1" t="n">
        <v>45001.59209490741</v>
      </c>
      <c r="C356" s="1" t="n">
        <v>45975</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10674-2021</t>
        </is>
      </c>
      <c r="B357" s="1" t="n">
        <v>44258</v>
      </c>
      <c r="C357" s="1" t="n">
        <v>45975</v>
      </c>
      <c r="D357" t="inlineStr">
        <is>
          <t>KALMAR LÄN</t>
        </is>
      </c>
      <c r="E357" t="inlineStr">
        <is>
          <t>VIMMERBY</t>
        </is>
      </c>
      <c r="G357" t="n">
        <v>8.4</v>
      </c>
      <c r="H357" t="n">
        <v>0</v>
      </c>
      <c r="I357" t="n">
        <v>0</v>
      </c>
      <c r="J357" t="n">
        <v>0</v>
      </c>
      <c r="K357" t="n">
        <v>0</v>
      </c>
      <c r="L357" t="n">
        <v>0</v>
      </c>
      <c r="M357" t="n">
        <v>0</v>
      </c>
      <c r="N357" t="n">
        <v>0</v>
      </c>
      <c r="O357" t="n">
        <v>0</v>
      </c>
      <c r="P357" t="n">
        <v>0</v>
      </c>
      <c r="Q357" t="n">
        <v>0</v>
      </c>
      <c r="R357" s="2" t="inlineStr"/>
    </row>
    <row r="358" ht="15" customHeight="1">
      <c r="A358" t="inlineStr">
        <is>
          <t>A 3902-2022</t>
        </is>
      </c>
      <c r="B358" s="1" t="n">
        <v>44587.48847222222</v>
      </c>
      <c r="C358" s="1" t="n">
        <v>45975</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10807-2024</t>
        </is>
      </c>
      <c r="B359" s="1" t="n">
        <v>45369.62780092593</v>
      </c>
      <c r="C359" s="1" t="n">
        <v>45975</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31382-2023</t>
        </is>
      </c>
      <c r="B360" s="1" t="n">
        <v>45114.55136574074</v>
      </c>
      <c r="C360" s="1" t="n">
        <v>45975</v>
      </c>
      <c r="D360" t="inlineStr">
        <is>
          <t>KALMAR LÄN</t>
        </is>
      </c>
      <c r="E360" t="inlineStr">
        <is>
          <t>VIMMERBY</t>
        </is>
      </c>
      <c r="G360" t="n">
        <v>3.7</v>
      </c>
      <c r="H360" t="n">
        <v>0</v>
      </c>
      <c r="I360" t="n">
        <v>0</v>
      </c>
      <c r="J360" t="n">
        <v>0</v>
      </c>
      <c r="K360" t="n">
        <v>0</v>
      </c>
      <c r="L360" t="n">
        <v>0</v>
      </c>
      <c r="M360" t="n">
        <v>0</v>
      </c>
      <c r="N360" t="n">
        <v>0</v>
      </c>
      <c r="O360" t="n">
        <v>0</v>
      </c>
      <c r="P360" t="n">
        <v>0</v>
      </c>
      <c r="Q360" t="n">
        <v>0</v>
      </c>
      <c r="R360" s="2" t="inlineStr"/>
    </row>
    <row r="361" ht="15" customHeight="1">
      <c r="A361" t="inlineStr">
        <is>
          <t>A 11073-2023</t>
        </is>
      </c>
      <c r="B361" s="1" t="n">
        <v>44992</v>
      </c>
      <c r="C361" s="1" t="n">
        <v>45975</v>
      </c>
      <c r="D361" t="inlineStr">
        <is>
          <t>KALMAR LÄN</t>
        </is>
      </c>
      <c r="E361" t="inlineStr">
        <is>
          <t>VIMMERBY</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12075-2024</t>
        </is>
      </c>
      <c r="B362" s="1" t="n">
        <v>45377</v>
      </c>
      <c r="C362" s="1" t="n">
        <v>45975</v>
      </c>
      <c r="D362" t="inlineStr">
        <is>
          <t>KALMAR LÄN</t>
        </is>
      </c>
      <c r="E362" t="inlineStr">
        <is>
          <t>VIMMERBY</t>
        </is>
      </c>
      <c r="G362" t="n">
        <v>3.7</v>
      </c>
      <c r="H362" t="n">
        <v>0</v>
      </c>
      <c r="I362" t="n">
        <v>0</v>
      </c>
      <c r="J362" t="n">
        <v>0</v>
      </c>
      <c r="K362" t="n">
        <v>0</v>
      </c>
      <c r="L362" t="n">
        <v>0</v>
      </c>
      <c r="M362" t="n">
        <v>0</v>
      </c>
      <c r="N362" t="n">
        <v>0</v>
      </c>
      <c r="O362" t="n">
        <v>0</v>
      </c>
      <c r="P362" t="n">
        <v>0</v>
      </c>
      <c r="Q362" t="n">
        <v>0</v>
      </c>
      <c r="R362" s="2" t="inlineStr"/>
    </row>
    <row r="363" ht="15" customHeight="1">
      <c r="A363" t="inlineStr">
        <is>
          <t>A 89-2023</t>
        </is>
      </c>
      <c r="B363" s="1" t="n">
        <v>44918</v>
      </c>
      <c r="C363" s="1" t="n">
        <v>45975</v>
      </c>
      <c r="D363" t="inlineStr">
        <is>
          <t>KALMAR LÄN</t>
        </is>
      </c>
      <c r="E363" t="inlineStr">
        <is>
          <t>VIMMERBY</t>
        </is>
      </c>
      <c r="G363" t="n">
        <v>16.1</v>
      </c>
      <c r="H363" t="n">
        <v>0</v>
      </c>
      <c r="I363" t="n">
        <v>0</v>
      </c>
      <c r="J363" t="n">
        <v>0</v>
      </c>
      <c r="K363" t="n">
        <v>0</v>
      </c>
      <c r="L363" t="n">
        <v>0</v>
      </c>
      <c r="M363" t="n">
        <v>0</v>
      </c>
      <c r="N363" t="n">
        <v>0</v>
      </c>
      <c r="O363" t="n">
        <v>0</v>
      </c>
      <c r="P363" t="n">
        <v>0</v>
      </c>
      <c r="Q363" t="n">
        <v>0</v>
      </c>
      <c r="R363" s="2" t="inlineStr"/>
    </row>
    <row r="364" ht="15" customHeight="1">
      <c r="A364" t="inlineStr">
        <is>
          <t>A 40260-2024</t>
        </is>
      </c>
      <c r="B364" s="1" t="n">
        <v>45554.63225694445</v>
      </c>
      <c r="C364" s="1" t="n">
        <v>45975</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5382-2023</t>
        </is>
      </c>
      <c r="B365" s="1" t="n">
        <v>44959.66407407408</v>
      </c>
      <c r="C365" s="1" t="n">
        <v>45975</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10787-2025</t>
        </is>
      </c>
      <c r="B366" s="1" t="n">
        <v>45722.48915509259</v>
      </c>
      <c r="C366" s="1" t="n">
        <v>45975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58577-2024</t>
        </is>
      </c>
      <c r="B367" s="1" t="n">
        <v>45635.4874537037</v>
      </c>
      <c r="C367" s="1" t="n">
        <v>45975</v>
      </c>
      <c r="D367" t="inlineStr">
        <is>
          <t>KALMAR LÄN</t>
        </is>
      </c>
      <c r="E367" t="inlineStr">
        <is>
          <t>VIMMERBY</t>
        </is>
      </c>
      <c r="G367" t="n">
        <v>1.1</v>
      </c>
      <c r="H367" t="n">
        <v>0</v>
      </c>
      <c r="I367" t="n">
        <v>0</v>
      </c>
      <c r="J367" t="n">
        <v>0</v>
      </c>
      <c r="K367" t="n">
        <v>0</v>
      </c>
      <c r="L367" t="n">
        <v>0</v>
      </c>
      <c r="M367" t="n">
        <v>0</v>
      </c>
      <c r="N367" t="n">
        <v>0</v>
      </c>
      <c r="O367" t="n">
        <v>0</v>
      </c>
      <c r="P367" t="n">
        <v>0</v>
      </c>
      <c r="Q367" t="n">
        <v>0</v>
      </c>
      <c r="R367" s="2" t="inlineStr"/>
    </row>
    <row r="368" ht="15" customHeight="1">
      <c r="A368" t="inlineStr">
        <is>
          <t>A 38198-2024</t>
        </is>
      </c>
      <c r="B368" s="1" t="n">
        <v>45545.49508101852</v>
      </c>
      <c r="C368" s="1" t="n">
        <v>45975</v>
      </c>
      <c r="D368" t="inlineStr">
        <is>
          <t>KALMAR LÄN</t>
        </is>
      </c>
      <c r="E368" t="inlineStr">
        <is>
          <t>VIMMERBY</t>
        </is>
      </c>
      <c r="G368" t="n">
        <v>7.9</v>
      </c>
      <c r="H368" t="n">
        <v>0</v>
      </c>
      <c r="I368" t="n">
        <v>0</v>
      </c>
      <c r="J368" t="n">
        <v>0</v>
      </c>
      <c r="K368" t="n">
        <v>0</v>
      </c>
      <c r="L368" t="n">
        <v>0</v>
      </c>
      <c r="M368" t="n">
        <v>0</v>
      </c>
      <c r="N368" t="n">
        <v>0</v>
      </c>
      <c r="O368" t="n">
        <v>0</v>
      </c>
      <c r="P368" t="n">
        <v>0</v>
      </c>
      <c r="Q368" t="n">
        <v>0</v>
      </c>
      <c r="R368" s="2" t="inlineStr"/>
    </row>
    <row r="369" ht="15" customHeight="1">
      <c r="A369" t="inlineStr">
        <is>
          <t>A 59955-2023</t>
        </is>
      </c>
      <c r="B369" s="1" t="n">
        <v>45257.70313657408</v>
      </c>
      <c r="C369" s="1" t="n">
        <v>45975</v>
      </c>
      <c r="D369" t="inlineStr">
        <is>
          <t>KALMAR LÄN</t>
        </is>
      </c>
      <c r="E369" t="inlineStr">
        <is>
          <t>VIMMERBY</t>
        </is>
      </c>
      <c r="G369" t="n">
        <v>13.8</v>
      </c>
      <c r="H369" t="n">
        <v>0</v>
      </c>
      <c r="I369" t="n">
        <v>0</v>
      </c>
      <c r="J369" t="n">
        <v>0</v>
      </c>
      <c r="K369" t="n">
        <v>0</v>
      </c>
      <c r="L369" t="n">
        <v>0</v>
      </c>
      <c r="M369" t="n">
        <v>0</v>
      </c>
      <c r="N369" t="n">
        <v>0</v>
      </c>
      <c r="O369" t="n">
        <v>0</v>
      </c>
      <c r="P369" t="n">
        <v>0</v>
      </c>
      <c r="Q369" t="n">
        <v>0</v>
      </c>
      <c r="R369" s="2" t="inlineStr"/>
    </row>
    <row r="370" ht="15" customHeight="1">
      <c r="A370" t="inlineStr">
        <is>
          <t>A 1799-2025</t>
        </is>
      </c>
      <c r="B370" s="1" t="n">
        <v>45671.46746527778</v>
      </c>
      <c r="C370" s="1" t="n">
        <v>45975</v>
      </c>
      <c r="D370" t="inlineStr">
        <is>
          <t>KALMAR LÄN</t>
        </is>
      </c>
      <c r="E370" t="inlineStr">
        <is>
          <t>VIMMERBY</t>
        </is>
      </c>
      <c r="G370" t="n">
        <v>3.3</v>
      </c>
      <c r="H370" t="n">
        <v>0</v>
      </c>
      <c r="I370" t="n">
        <v>0</v>
      </c>
      <c r="J370" t="n">
        <v>0</v>
      </c>
      <c r="K370" t="n">
        <v>0</v>
      </c>
      <c r="L370" t="n">
        <v>0</v>
      </c>
      <c r="M370" t="n">
        <v>0</v>
      </c>
      <c r="N370" t="n">
        <v>0</v>
      </c>
      <c r="O370" t="n">
        <v>0</v>
      </c>
      <c r="P370" t="n">
        <v>0</v>
      </c>
      <c r="Q370" t="n">
        <v>0</v>
      </c>
      <c r="R370" s="2" t="inlineStr"/>
    </row>
    <row r="371" ht="15" customHeight="1">
      <c r="A371" t="inlineStr">
        <is>
          <t>A 6668-2023</t>
        </is>
      </c>
      <c r="B371" s="1" t="n">
        <v>44966</v>
      </c>
      <c r="C371" s="1" t="n">
        <v>45975</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172-2022</t>
        </is>
      </c>
      <c r="B372" s="1" t="n">
        <v>44564.62598379629</v>
      </c>
      <c r="C372" s="1" t="n">
        <v>45975</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43617-2024</t>
        </is>
      </c>
      <c r="B373" s="1" t="n">
        <v>45569.47494212963</v>
      </c>
      <c r="C373" s="1" t="n">
        <v>45975</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30634-2024</t>
        </is>
      </c>
      <c r="B374" s="1" t="n">
        <v>45495</v>
      </c>
      <c r="C374" s="1" t="n">
        <v>45975</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36802-2021</t>
        </is>
      </c>
      <c r="B375" s="1" t="n">
        <v>44392</v>
      </c>
      <c r="C375" s="1" t="n">
        <v>45975</v>
      </c>
      <c r="D375" t="inlineStr">
        <is>
          <t>KALMAR LÄN</t>
        </is>
      </c>
      <c r="E375" t="inlineStr">
        <is>
          <t>VIMMERBY</t>
        </is>
      </c>
      <c r="F375" t="inlineStr">
        <is>
          <t>Sveaskog</t>
        </is>
      </c>
      <c r="G375" t="n">
        <v>4.6</v>
      </c>
      <c r="H375" t="n">
        <v>0</v>
      </c>
      <c r="I375" t="n">
        <v>0</v>
      </c>
      <c r="J375" t="n">
        <v>0</v>
      </c>
      <c r="K375" t="n">
        <v>0</v>
      </c>
      <c r="L375" t="n">
        <v>0</v>
      </c>
      <c r="M375" t="n">
        <v>0</v>
      </c>
      <c r="N375" t="n">
        <v>0</v>
      </c>
      <c r="O375" t="n">
        <v>0</v>
      </c>
      <c r="P375" t="n">
        <v>0</v>
      </c>
      <c r="Q375" t="n">
        <v>0</v>
      </c>
      <c r="R375" s="2" t="inlineStr"/>
    </row>
    <row r="376" ht="15" customHeight="1">
      <c r="A376" t="inlineStr">
        <is>
          <t>A 6355-2022</t>
        </is>
      </c>
      <c r="B376" s="1" t="n">
        <v>44600</v>
      </c>
      <c r="C376" s="1" t="n">
        <v>45975</v>
      </c>
      <c r="D376" t="inlineStr">
        <is>
          <t>KALMAR LÄN</t>
        </is>
      </c>
      <c r="E376" t="inlineStr">
        <is>
          <t>VIMMERBY</t>
        </is>
      </c>
      <c r="G376" t="n">
        <v>4.9</v>
      </c>
      <c r="H376" t="n">
        <v>0</v>
      </c>
      <c r="I376" t="n">
        <v>0</v>
      </c>
      <c r="J376" t="n">
        <v>0</v>
      </c>
      <c r="K376" t="n">
        <v>0</v>
      </c>
      <c r="L376" t="n">
        <v>0</v>
      </c>
      <c r="M376" t="n">
        <v>0</v>
      </c>
      <c r="N376" t="n">
        <v>0</v>
      </c>
      <c r="O376" t="n">
        <v>0</v>
      </c>
      <c r="P376" t="n">
        <v>0</v>
      </c>
      <c r="Q376" t="n">
        <v>0</v>
      </c>
      <c r="R376" s="2" t="inlineStr"/>
    </row>
    <row r="377" ht="15" customHeight="1">
      <c r="A377" t="inlineStr">
        <is>
          <t>A 2462-2022</t>
        </is>
      </c>
      <c r="B377" s="1" t="n">
        <v>44579.62225694444</v>
      </c>
      <c r="C377" s="1" t="n">
        <v>45975</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16020-2023</t>
        </is>
      </c>
      <c r="B378" s="1" t="n">
        <v>45026.82216435186</v>
      </c>
      <c r="C378" s="1" t="n">
        <v>45975</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61820-2023</t>
        </is>
      </c>
      <c r="B379" s="1" t="n">
        <v>45266.32614583334</v>
      </c>
      <c r="C379" s="1" t="n">
        <v>45975</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3269-2024</t>
        </is>
      </c>
      <c r="B380" s="1" t="n">
        <v>45317.40372685185</v>
      </c>
      <c r="C380" s="1" t="n">
        <v>45975</v>
      </c>
      <c r="D380" t="inlineStr">
        <is>
          <t>KALMAR LÄN</t>
        </is>
      </c>
      <c r="E380" t="inlineStr">
        <is>
          <t>VIMMERBY</t>
        </is>
      </c>
      <c r="F380" t="inlineStr">
        <is>
          <t>Övriga Aktiebolag</t>
        </is>
      </c>
      <c r="G380" t="n">
        <v>1.7</v>
      </c>
      <c r="H380" t="n">
        <v>0</v>
      </c>
      <c r="I380" t="n">
        <v>0</v>
      </c>
      <c r="J380" t="n">
        <v>0</v>
      </c>
      <c r="K380" t="n">
        <v>0</v>
      </c>
      <c r="L380" t="n">
        <v>0</v>
      </c>
      <c r="M380" t="n">
        <v>0</v>
      </c>
      <c r="N380" t="n">
        <v>0</v>
      </c>
      <c r="O380" t="n">
        <v>0</v>
      </c>
      <c r="P380" t="n">
        <v>0</v>
      </c>
      <c r="Q380" t="n">
        <v>0</v>
      </c>
      <c r="R380" s="2" t="inlineStr"/>
    </row>
    <row r="381" ht="15" customHeight="1">
      <c r="A381" t="inlineStr">
        <is>
          <t>A 2157-2024</t>
        </is>
      </c>
      <c r="B381" s="1" t="n">
        <v>45309.59487268519</v>
      </c>
      <c r="C381" s="1" t="n">
        <v>45975</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22264-2023</t>
        </is>
      </c>
      <c r="B382" s="1" t="n">
        <v>45070.3665625</v>
      </c>
      <c r="C382" s="1" t="n">
        <v>45975</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22266-2023</t>
        </is>
      </c>
      <c r="B383" s="1" t="n">
        <v>45070</v>
      </c>
      <c r="C383" s="1" t="n">
        <v>45975</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9416-2024</t>
        </is>
      </c>
      <c r="B384" s="1" t="n">
        <v>45359.44837962963</v>
      </c>
      <c r="C384" s="1" t="n">
        <v>45975</v>
      </c>
      <c r="D384" t="inlineStr">
        <is>
          <t>KALMAR LÄN</t>
        </is>
      </c>
      <c r="E384" t="inlineStr">
        <is>
          <t>VIMMERBY</t>
        </is>
      </c>
      <c r="G384" t="n">
        <v>3.2</v>
      </c>
      <c r="H384" t="n">
        <v>0</v>
      </c>
      <c r="I384" t="n">
        <v>0</v>
      </c>
      <c r="J384" t="n">
        <v>0</v>
      </c>
      <c r="K384" t="n">
        <v>0</v>
      </c>
      <c r="L384" t="n">
        <v>0</v>
      </c>
      <c r="M384" t="n">
        <v>0</v>
      </c>
      <c r="N384" t="n">
        <v>0</v>
      </c>
      <c r="O384" t="n">
        <v>0</v>
      </c>
      <c r="P384" t="n">
        <v>0</v>
      </c>
      <c r="Q384" t="n">
        <v>0</v>
      </c>
      <c r="R384" s="2" t="inlineStr"/>
    </row>
    <row r="385" ht="15" customHeight="1">
      <c r="A385" t="inlineStr">
        <is>
          <t>A 60292-2022</t>
        </is>
      </c>
      <c r="B385" s="1" t="n">
        <v>44910.54231481482</v>
      </c>
      <c r="C385" s="1" t="n">
        <v>45975</v>
      </c>
      <c r="D385" t="inlineStr">
        <is>
          <t>KALMAR LÄN</t>
        </is>
      </c>
      <c r="E385" t="inlineStr">
        <is>
          <t>VIMMERBY</t>
        </is>
      </c>
      <c r="G385" t="n">
        <v>4.4</v>
      </c>
      <c r="H385" t="n">
        <v>0</v>
      </c>
      <c r="I385" t="n">
        <v>0</v>
      </c>
      <c r="J385" t="n">
        <v>0</v>
      </c>
      <c r="K385" t="n">
        <v>0</v>
      </c>
      <c r="L385" t="n">
        <v>0</v>
      </c>
      <c r="M385" t="n">
        <v>0</v>
      </c>
      <c r="N385" t="n">
        <v>0</v>
      </c>
      <c r="O385" t="n">
        <v>0</v>
      </c>
      <c r="P385" t="n">
        <v>0</v>
      </c>
      <c r="Q385" t="n">
        <v>0</v>
      </c>
      <c r="R385" s="2" t="inlineStr"/>
    </row>
    <row r="386" ht="15" customHeight="1">
      <c r="A386" t="inlineStr">
        <is>
          <t>A 58318-2021</t>
        </is>
      </c>
      <c r="B386" s="1" t="n">
        <v>44488.35878472222</v>
      </c>
      <c r="C386" s="1" t="n">
        <v>45975</v>
      </c>
      <c r="D386" t="inlineStr">
        <is>
          <t>KALMAR LÄN</t>
        </is>
      </c>
      <c r="E386" t="inlineStr">
        <is>
          <t>VIMMERBY</t>
        </is>
      </c>
      <c r="G386" t="n">
        <v>4</v>
      </c>
      <c r="H386" t="n">
        <v>0</v>
      </c>
      <c r="I386" t="n">
        <v>0</v>
      </c>
      <c r="J386" t="n">
        <v>0</v>
      </c>
      <c r="K386" t="n">
        <v>0</v>
      </c>
      <c r="L386" t="n">
        <v>0</v>
      </c>
      <c r="M386" t="n">
        <v>0</v>
      </c>
      <c r="N386" t="n">
        <v>0</v>
      </c>
      <c r="O386" t="n">
        <v>0</v>
      </c>
      <c r="P386" t="n">
        <v>0</v>
      </c>
      <c r="Q386" t="n">
        <v>0</v>
      </c>
      <c r="R386" s="2" t="inlineStr"/>
    </row>
    <row r="387" ht="15" customHeight="1">
      <c r="A387" t="inlineStr">
        <is>
          <t>A 53083-2021</t>
        </is>
      </c>
      <c r="B387" s="1" t="n">
        <v>44467.83386574074</v>
      </c>
      <c r="C387" s="1" t="n">
        <v>45975</v>
      </c>
      <c r="D387" t="inlineStr">
        <is>
          <t>KALMAR LÄN</t>
        </is>
      </c>
      <c r="E387" t="inlineStr">
        <is>
          <t>VIMMERBY</t>
        </is>
      </c>
      <c r="G387" t="n">
        <v>6.8</v>
      </c>
      <c r="H387" t="n">
        <v>0</v>
      </c>
      <c r="I387" t="n">
        <v>0</v>
      </c>
      <c r="J387" t="n">
        <v>0</v>
      </c>
      <c r="K387" t="n">
        <v>0</v>
      </c>
      <c r="L387" t="n">
        <v>0</v>
      </c>
      <c r="M387" t="n">
        <v>0</v>
      </c>
      <c r="N387" t="n">
        <v>0</v>
      </c>
      <c r="O387" t="n">
        <v>0</v>
      </c>
      <c r="P387" t="n">
        <v>0</v>
      </c>
      <c r="Q387" t="n">
        <v>0</v>
      </c>
      <c r="R387" s="2" t="inlineStr"/>
    </row>
    <row r="388" ht="15" customHeight="1">
      <c r="A388" t="inlineStr">
        <is>
          <t>A 29173-2024</t>
        </is>
      </c>
      <c r="B388" s="1" t="n">
        <v>45482.52887731481</v>
      </c>
      <c r="C388" s="1" t="n">
        <v>45975</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50091-2023</t>
        </is>
      </c>
      <c r="B389" s="1" t="n">
        <v>45215.60199074074</v>
      </c>
      <c r="C389" s="1" t="n">
        <v>45975</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11111-2024</t>
        </is>
      </c>
      <c r="B390" s="1" t="n">
        <v>45371.36359953704</v>
      </c>
      <c r="C390" s="1" t="n">
        <v>45975</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11141-2024</t>
        </is>
      </c>
      <c r="B391" s="1" t="n">
        <v>45371.45865740741</v>
      </c>
      <c r="C391" s="1" t="n">
        <v>45975</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10303-2025</t>
        </is>
      </c>
      <c r="B392" s="1" t="n">
        <v>45720.44217592593</v>
      </c>
      <c r="C392" s="1" t="n">
        <v>45975</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43034-2024</t>
        </is>
      </c>
      <c r="B393" s="1" t="n">
        <v>45567.42011574074</v>
      </c>
      <c r="C393" s="1" t="n">
        <v>45975</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40256-2024</t>
        </is>
      </c>
      <c r="B394" s="1" t="n">
        <v>45554.62944444444</v>
      </c>
      <c r="C394" s="1" t="n">
        <v>45975</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11027-2023</t>
        </is>
      </c>
      <c r="B395" s="1" t="n">
        <v>44991.89657407408</v>
      </c>
      <c r="C395" s="1" t="n">
        <v>45975</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9418-2024</t>
        </is>
      </c>
      <c r="B396" s="1" t="n">
        <v>45359.45038194444</v>
      </c>
      <c r="C396" s="1" t="n">
        <v>45975</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13015-2022</t>
        </is>
      </c>
      <c r="B397" s="1" t="n">
        <v>44643</v>
      </c>
      <c r="C397" s="1" t="n">
        <v>45975</v>
      </c>
      <c r="D397" t="inlineStr">
        <is>
          <t>KALMAR LÄN</t>
        </is>
      </c>
      <c r="E397" t="inlineStr">
        <is>
          <t>VIMMERBY</t>
        </is>
      </c>
      <c r="G397" t="n">
        <v>2.4</v>
      </c>
      <c r="H397" t="n">
        <v>0</v>
      </c>
      <c r="I397" t="n">
        <v>0</v>
      </c>
      <c r="J397" t="n">
        <v>0</v>
      </c>
      <c r="K397" t="n">
        <v>0</v>
      </c>
      <c r="L397" t="n">
        <v>0</v>
      </c>
      <c r="M397" t="n">
        <v>0</v>
      </c>
      <c r="N397" t="n">
        <v>0</v>
      </c>
      <c r="O397" t="n">
        <v>0</v>
      </c>
      <c r="P397" t="n">
        <v>0</v>
      </c>
      <c r="Q397" t="n">
        <v>0</v>
      </c>
      <c r="R397" s="2" t="inlineStr"/>
    </row>
    <row r="398" ht="15" customHeight="1">
      <c r="A398" t="inlineStr">
        <is>
          <t>A 4624-2024</t>
        </is>
      </c>
      <c r="B398" s="1" t="n">
        <v>45328.38755787037</v>
      </c>
      <c r="C398" s="1" t="n">
        <v>45975</v>
      </c>
      <c r="D398" t="inlineStr">
        <is>
          <t>KALMAR LÄN</t>
        </is>
      </c>
      <c r="E398" t="inlineStr">
        <is>
          <t>VIMMERBY</t>
        </is>
      </c>
      <c r="G398" t="n">
        <v>1.7</v>
      </c>
      <c r="H398" t="n">
        <v>0</v>
      </c>
      <c r="I398" t="n">
        <v>0</v>
      </c>
      <c r="J398" t="n">
        <v>0</v>
      </c>
      <c r="K398" t="n">
        <v>0</v>
      </c>
      <c r="L398" t="n">
        <v>0</v>
      </c>
      <c r="M398" t="n">
        <v>0</v>
      </c>
      <c r="N398" t="n">
        <v>0</v>
      </c>
      <c r="O398" t="n">
        <v>0</v>
      </c>
      <c r="P398" t="n">
        <v>0</v>
      </c>
      <c r="Q398" t="n">
        <v>0</v>
      </c>
      <c r="R398" s="2" t="inlineStr"/>
    </row>
    <row r="399" ht="15" customHeight="1">
      <c r="A399" t="inlineStr">
        <is>
          <t>A 9129-2025</t>
        </is>
      </c>
      <c r="B399" s="1" t="n">
        <v>45713.92412037037</v>
      </c>
      <c r="C399" s="1" t="n">
        <v>45975</v>
      </c>
      <c r="D399" t="inlineStr">
        <is>
          <t>KALMAR LÄN</t>
        </is>
      </c>
      <c r="E399" t="inlineStr">
        <is>
          <t>VIMMERBY</t>
        </is>
      </c>
      <c r="G399" t="n">
        <v>2.8</v>
      </c>
      <c r="H399" t="n">
        <v>0</v>
      </c>
      <c r="I399" t="n">
        <v>0</v>
      </c>
      <c r="J399" t="n">
        <v>0</v>
      </c>
      <c r="K399" t="n">
        <v>0</v>
      </c>
      <c r="L399" t="n">
        <v>0</v>
      </c>
      <c r="M399" t="n">
        <v>0</v>
      </c>
      <c r="N399" t="n">
        <v>0</v>
      </c>
      <c r="O399" t="n">
        <v>0</v>
      </c>
      <c r="P399" t="n">
        <v>0</v>
      </c>
      <c r="Q399" t="n">
        <v>0</v>
      </c>
      <c r="R399" s="2" t="inlineStr"/>
    </row>
    <row r="400" ht="15" customHeight="1">
      <c r="A400" t="inlineStr">
        <is>
          <t>A 49313-2022</t>
        </is>
      </c>
      <c r="B400" s="1" t="n">
        <v>44861.52505787037</v>
      </c>
      <c r="C400" s="1" t="n">
        <v>45975</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35998-2024</t>
        </is>
      </c>
      <c r="B401" s="1" t="n">
        <v>45533.54429398148</v>
      </c>
      <c r="C401" s="1" t="n">
        <v>45975</v>
      </c>
      <c r="D401" t="inlineStr">
        <is>
          <t>KALMAR LÄN</t>
        </is>
      </c>
      <c r="E401" t="inlineStr">
        <is>
          <t>VIMMERBY</t>
        </is>
      </c>
      <c r="G401" t="n">
        <v>8.6</v>
      </c>
      <c r="H401" t="n">
        <v>0</v>
      </c>
      <c r="I401" t="n">
        <v>0</v>
      </c>
      <c r="J401" t="n">
        <v>0</v>
      </c>
      <c r="K401" t="n">
        <v>0</v>
      </c>
      <c r="L401" t="n">
        <v>0</v>
      </c>
      <c r="M401" t="n">
        <v>0</v>
      </c>
      <c r="N401" t="n">
        <v>0</v>
      </c>
      <c r="O401" t="n">
        <v>0</v>
      </c>
      <c r="P401" t="n">
        <v>0</v>
      </c>
      <c r="Q401" t="n">
        <v>0</v>
      </c>
      <c r="R401" s="2" t="inlineStr"/>
    </row>
    <row r="402" ht="15" customHeight="1">
      <c r="A402" t="inlineStr">
        <is>
          <t>A 36040-2024</t>
        </is>
      </c>
      <c r="B402" s="1" t="n">
        <v>45533.60232638889</v>
      </c>
      <c r="C402" s="1" t="n">
        <v>45975</v>
      </c>
      <c r="D402" t="inlineStr">
        <is>
          <t>KALMAR LÄN</t>
        </is>
      </c>
      <c r="E402" t="inlineStr">
        <is>
          <t>VIMMERBY</t>
        </is>
      </c>
      <c r="F402" t="inlineStr">
        <is>
          <t>Kommuner</t>
        </is>
      </c>
      <c r="G402" t="n">
        <v>3.6</v>
      </c>
      <c r="H402" t="n">
        <v>0</v>
      </c>
      <c r="I402" t="n">
        <v>0</v>
      </c>
      <c r="J402" t="n">
        <v>0</v>
      </c>
      <c r="K402" t="n">
        <v>0</v>
      </c>
      <c r="L402" t="n">
        <v>0</v>
      </c>
      <c r="M402" t="n">
        <v>0</v>
      </c>
      <c r="N402" t="n">
        <v>0</v>
      </c>
      <c r="O402" t="n">
        <v>0</v>
      </c>
      <c r="P402" t="n">
        <v>0</v>
      </c>
      <c r="Q402" t="n">
        <v>0</v>
      </c>
      <c r="R402" s="2" t="inlineStr"/>
    </row>
    <row r="403" ht="15" customHeight="1">
      <c r="A403" t="inlineStr">
        <is>
          <t>A 36043-2024</t>
        </is>
      </c>
      <c r="B403" s="1" t="n">
        <v>45533.60770833334</v>
      </c>
      <c r="C403" s="1" t="n">
        <v>45975</v>
      </c>
      <c r="D403" t="inlineStr">
        <is>
          <t>KALMAR LÄN</t>
        </is>
      </c>
      <c r="E403" t="inlineStr">
        <is>
          <t>VIMMERBY</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11661-2023</t>
        </is>
      </c>
      <c r="B404" s="1" t="n">
        <v>44994.46908564815</v>
      </c>
      <c r="C404" s="1" t="n">
        <v>45975</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36155-2023</t>
        </is>
      </c>
      <c r="B405" s="1" t="n">
        <v>45149.60917824074</v>
      </c>
      <c r="C405" s="1" t="n">
        <v>45975</v>
      </c>
      <c r="D405" t="inlineStr">
        <is>
          <t>KALMAR LÄN</t>
        </is>
      </c>
      <c r="E405" t="inlineStr">
        <is>
          <t>VIMMERBY</t>
        </is>
      </c>
      <c r="G405" t="n">
        <v>5</v>
      </c>
      <c r="H405" t="n">
        <v>0</v>
      </c>
      <c r="I405" t="n">
        <v>0</v>
      </c>
      <c r="J405" t="n">
        <v>0</v>
      </c>
      <c r="K405" t="n">
        <v>0</v>
      </c>
      <c r="L405" t="n">
        <v>0</v>
      </c>
      <c r="M405" t="n">
        <v>0</v>
      </c>
      <c r="N405" t="n">
        <v>0</v>
      </c>
      <c r="O405" t="n">
        <v>0</v>
      </c>
      <c r="P405" t="n">
        <v>0</v>
      </c>
      <c r="Q405" t="n">
        <v>0</v>
      </c>
      <c r="R405" s="2" t="inlineStr"/>
    </row>
    <row r="406" ht="15" customHeight="1">
      <c r="A406" t="inlineStr">
        <is>
          <t>A 40147-2023</t>
        </is>
      </c>
      <c r="B406" s="1" t="n">
        <v>45169</v>
      </c>
      <c r="C406" s="1" t="n">
        <v>45975</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43093-2024</t>
        </is>
      </c>
      <c r="B407" s="1" t="n">
        <v>45567</v>
      </c>
      <c r="C407" s="1" t="n">
        <v>45975</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63950-2023</t>
        </is>
      </c>
      <c r="B408" s="1" t="n">
        <v>45278</v>
      </c>
      <c r="C408" s="1" t="n">
        <v>45975</v>
      </c>
      <c r="D408" t="inlineStr">
        <is>
          <t>KALMAR LÄN</t>
        </is>
      </c>
      <c r="E408" t="inlineStr">
        <is>
          <t>VIMMERBY</t>
        </is>
      </c>
      <c r="F408" t="inlineStr">
        <is>
          <t>Kyrkan</t>
        </is>
      </c>
      <c r="G408" t="n">
        <v>2.7</v>
      </c>
      <c r="H408" t="n">
        <v>0</v>
      </c>
      <c r="I408" t="n">
        <v>0</v>
      </c>
      <c r="J408" t="n">
        <v>0</v>
      </c>
      <c r="K408" t="n">
        <v>0</v>
      </c>
      <c r="L408" t="n">
        <v>0</v>
      </c>
      <c r="M408" t="n">
        <v>0</v>
      </c>
      <c r="N408" t="n">
        <v>0</v>
      </c>
      <c r="O408" t="n">
        <v>0</v>
      </c>
      <c r="P408" t="n">
        <v>0</v>
      </c>
      <c r="Q408" t="n">
        <v>0</v>
      </c>
      <c r="R408" s="2" t="inlineStr"/>
    </row>
    <row r="409" ht="15" customHeight="1">
      <c r="A409" t="inlineStr">
        <is>
          <t>A 24096-2024</t>
        </is>
      </c>
      <c r="B409" s="1" t="n">
        <v>45456.59289351852</v>
      </c>
      <c r="C409" s="1" t="n">
        <v>45975</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13015-2023</t>
        </is>
      </c>
      <c r="B410" s="1" t="n">
        <v>45002</v>
      </c>
      <c r="C410" s="1" t="n">
        <v>45975</v>
      </c>
      <c r="D410" t="inlineStr">
        <is>
          <t>KALMAR LÄN</t>
        </is>
      </c>
      <c r="E410" t="inlineStr">
        <is>
          <t>VIMMERBY</t>
        </is>
      </c>
      <c r="G410" t="n">
        <v>3.2</v>
      </c>
      <c r="H410" t="n">
        <v>0</v>
      </c>
      <c r="I410" t="n">
        <v>0</v>
      </c>
      <c r="J410" t="n">
        <v>0</v>
      </c>
      <c r="K410" t="n">
        <v>0</v>
      </c>
      <c r="L410" t="n">
        <v>0</v>
      </c>
      <c r="M410" t="n">
        <v>0</v>
      </c>
      <c r="N410" t="n">
        <v>0</v>
      </c>
      <c r="O410" t="n">
        <v>0</v>
      </c>
      <c r="P410" t="n">
        <v>0</v>
      </c>
      <c r="Q410" t="n">
        <v>0</v>
      </c>
      <c r="R410" s="2" t="inlineStr"/>
    </row>
    <row r="411" ht="15" customHeight="1">
      <c r="A411" t="inlineStr">
        <is>
          <t>A 35198-2023</t>
        </is>
      </c>
      <c r="B411" s="1" t="n">
        <v>45145</v>
      </c>
      <c r="C411" s="1" t="n">
        <v>45975</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41199-2023</t>
        </is>
      </c>
      <c r="B412" s="1" t="n">
        <v>45174.40454861111</v>
      </c>
      <c r="C412" s="1" t="n">
        <v>45975</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36014-2024</t>
        </is>
      </c>
      <c r="B413" s="1" t="n">
        <v>45533.56108796296</v>
      </c>
      <c r="C413" s="1" t="n">
        <v>45975</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36030-2024</t>
        </is>
      </c>
      <c r="B414" s="1" t="n">
        <v>45533.58302083334</v>
      </c>
      <c r="C414" s="1" t="n">
        <v>45975</v>
      </c>
      <c r="D414" t="inlineStr">
        <is>
          <t>KALMAR LÄN</t>
        </is>
      </c>
      <c r="E414" t="inlineStr">
        <is>
          <t>VIMMERBY</t>
        </is>
      </c>
      <c r="F414" t="inlineStr">
        <is>
          <t>Kommuner</t>
        </is>
      </c>
      <c r="G414" t="n">
        <v>4</v>
      </c>
      <c r="H414" t="n">
        <v>0</v>
      </c>
      <c r="I414" t="n">
        <v>0</v>
      </c>
      <c r="J414" t="n">
        <v>0</v>
      </c>
      <c r="K414" t="n">
        <v>0</v>
      </c>
      <c r="L414" t="n">
        <v>0</v>
      </c>
      <c r="M414" t="n">
        <v>0</v>
      </c>
      <c r="N414" t="n">
        <v>0</v>
      </c>
      <c r="O414" t="n">
        <v>0</v>
      </c>
      <c r="P414" t="n">
        <v>0</v>
      </c>
      <c r="Q414" t="n">
        <v>0</v>
      </c>
      <c r="R414" s="2" t="inlineStr"/>
    </row>
    <row r="415" ht="15" customHeight="1">
      <c r="A415" t="inlineStr">
        <is>
          <t>A 36934-2025</t>
        </is>
      </c>
      <c r="B415" s="1" t="n">
        <v>45874.57109953704</v>
      </c>
      <c r="C415" s="1" t="n">
        <v>45975</v>
      </c>
      <c r="D415" t="inlineStr">
        <is>
          <t>KALMAR LÄN</t>
        </is>
      </c>
      <c r="E415" t="inlineStr">
        <is>
          <t>VIMMERBY</t>
        </is>
      </c>
      <c r="G415" t="n">
        <v>4.2</v>
      </c>
      <c r="H415" t="n">
        <v>0</v>
      </c>
      <c r="I415" t="n">
        <v>0</v>
      </c>
      <c r="J415" t="n">
        <v>0</v>
      </c>
      <c r="K415" t="n">
        <v>0</v>
      </c>
      <c r="L415" t="n">
        <v>0</v>
      </c>
      <c r="M415" t="n">
        <v>0</v>
      </c>
      <c r="N415" t="n">
        <v>0</v>
      </c>
      <c r="O415" t="n">
        <v>0</v>
      </c>
      <c r="P415" t="n">
        <v>0</v>
      </c>
      <c r="Q415" t="n">
        <v>0</v>
      </c>
      <c r="R415" s="2" t="inlineStr"/>
    </row>
    <row r="416" ht="15" customHeight="1">
      <c r="A416" t="inlineStr">
        <is>
          <t>A 58374-2024</t>
        </is>
      </c>
      <c r="B416" s="1" t="n">
        <v>45632.72635416667</v>
      </c>
      <c r="C416" s="1" t="n">
        <v>45975</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6321-2023</t>
        </is>
      </c>
      <c r="B417" s="1" t="n">
        <v>44965.4815162037</v>
      </c>
      <c r="C417" s="1" t="n">
        <v>45975</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37088-2025</t>
        </is>
      </c>
      <c r="B418" s="1" t="n">
        <v>45875.45716435185</v>
      </c>
      <c r="C418" s="1" t="n">
        <v>45975</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37102-2025</t>
        </is>
      </c>
      <c r="B419" s="1" t="n">
        <v>45875.47454861111</v>
      </c>
      <c r="C419" s="1" t="n">
        <v>45975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55300-2021</t>
        </is>
      </c>
      <c r="B420" s="1" t="n">
        <v>44475</v>
      </c>
      <c r="C420" s="1" t="n">
        <v>45975</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52755-2022</t>
        </is>
      </c>
      <c r="B421" s="1" t="n">
        <v>44875.27736111111</v>
      </c>
      <c r="C421" s="1" t="n">
        <v>45975</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37079-2025</t>
        </is>
      </c>
      <c r="B422" s="1" t="n">
        <v>45875.42716435185</v>
      </c>
      <c r="C422" s="1" t="n">
        <v>45975</v>
      </c>
      <c r="D422" t="inlineStr">
        <is>
          <t>KALMAR LÄN</t>
        </is>
      </c>
      <c r="E422" t="inlineStr">
        <is>
          <t>VIMMERBY</t>
        </is>
      </c>
      <c r="G422" t="n">
        <v>0.8</v>
      </c>
      <c r="H422" t="n">
        <v>0</v>
      </c>
      <c r="I422" t="n">
        <v>0</v>
      </c>
      <c r="J422" t="n">
        <v>0</v>
      </c>
      <c r="K422" t="n">
        <v>0</v>
      </c>
      <c r="L422" t="n">
        <v>0</v>
      </c>
      <c r="M422" t="n">
        <v>0</v>
      </c>
      <c r="N422" t="n">
        <v>0</v>
      </c>
      <c r="O422" t="n">
        <v>0</v>
      </c>
      <c r="P422" t="n">
        <v>0</v>
      </c>
      <c r="Q422" t="n">
        <v>0</v>
      </c>
      <c r="R422" s="2" t="inlineStr"/>
    </row>
    <row r="423" ht="15" customHeight="1">
      <c r="A423" t="inlineStr">
        <is>
          <t>A 47263-2023</t>
        </is>
      </c>
      <c r="B423" s="1" t="n">
        <v>45202.4209837963</v>
      </c>
      <c r="C423" s="1" t="n">
        <v>45975</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37668-2025</t>
        </is>
      </c>
      <c r="B424" s="1" t="n">
        <v>45880.51550925926</v>
      </c>
      <c r="C424" s="1" t="n">
        <v>45975</v>
      </c>
      <c r="D424" t="inlineStr">
        <is>
          <t>KALMAR LÄN</t>
        </is>
      </c>
      <c r="E424" t="inlineStr">
        <is>
          <t>VIMMERBY</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37578-2025</t>
        </is>
      </c>
      <c r="B425" s="1" t="n">
        <v>45880.38380787037</v>
      </c>
      <c r="C425" s="1" t="n">
        <v>45975</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40823-2023</t>
        </is>
      </c>
      <c r="B426" s="1" t="n">
        <v>45171.77335648148</v>
      </c>
      <c r="C426" s="1" t="n">
        <v>45975</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2536-2023</t>
        </is>
      </c>
      <c r="B427" s="1" t="n">
        <v>44943.62954861111</v>
      </c>
      <c r="C427" s="1" t="n">
        <v>45975</v>
      </c>
      <c r="D427" t="inlineStr">
        <is>
          <t>KALMAR LÄN</t>
        </is>
      </c>
      <c r="E427" t="inlineStr">
        <is>
          <t>VIMMERBY</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2801-2023</t>
        </is>
      </c>
      <c r="B428" s="1" t="n">
        <v>44944.73487268519</v>
      </c>
      <c r="C428" s="1" t="n">
        <v>45975</v>
      </c>
      <c r="D428" t="inlineStr">
        <is>
          <t>KALMAR LÄN</t>
        </is>
      </c>
      <c r="E428" t="inlineStr">
        <is>
          <t>VIMMERBY</t>
        </is>
      </c>
      <c r="G428" t="n">
        <v>0.6</v>
      </c>
      <c r="H428" t="n">
        <v>0</v>
      </c>
      <c r="I428" t="n">
        <v>0</v>
      </c>
      <c r="J428" t="n">
        <v>0</v>
      </c>
      <c r="K428" t="n">
        <v>0</v>
      </c>
      <c r="L428" t="n">
        <v>0</v>
      </c>
      <c r="M428" t="n">
        <v>0</v>
      </c>
      <c r="N428" t="n">
        <v>0</v>
      </c>
      <c r="O428" t="n">
        <v>0</v>
      </c>
      <c r="P428" t="n">
        <v>0</v>
      </c>
      <c r="Q428" t="n">
        <v>0</v>
      </c>
      <c r="R428" s="2" t="inlineStr"/>
    </row>
    <row r="429" ht="15" customHeight="1">
      <c r="A429" t="inlineStr">
        <is>
          <t>A 17968-2025</t>
        </is>
      </c>
      <c r="B429" s="1" t="n">
        <v>45761.35990740741</v>
      </c>
      <c r="C429" s="1" t="n">
        <v>45975</v>
      </c>
      <c r="D429" t="inlineStr">
        <is>
          <t>KALMAR LÄN</t>
        </is>
      </c>
      <c r="E429" t="inlineStr">
        <is>
          <t>VIMMERBY</t>
        </is>
      </c>
      <c r="G429" t="n">
        <v>3.3</v>
      </c>
      <c r="H429" t="n">
        <v>0</v>
      </c>
      <c r="I429" t="n">
        <v>0</v>
      </c>
      <c r="J429" t="n">
        <v>0</v>
      </c>
      <c r="K429" t="n">
        <v>0</v>
      </c>
      <c r="L429" t="n">
        <v>0</v>
      </c>
      <c r="M429" t="n">
        <v>0</v>
      </c>
      <c r="N429" t="n">
        <v>0</v>
      </c>
      <c r="O429" t="n">
        <v>0</v>
      </c>
      <c r="P429" t="n">
        <v>0</v>
      </c>
      <c r="Q429" t="n">
        <v>0</v>
      </c>
      <c r="R429" s="2" t="inlineStr"/>
    </row>
    <row r="430" ht="15" customHeight="1">
      <c r="A430" t="inlineStr">
        <is>
          <t>A 27761-2024</t>
        </is>
      </c>
      <c r="B430" s="1" t="n">
        <v>45475.49018518518</v>
      </c>
      <c r="C430" s="1" t="n">
        <v>45975</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21028-2023</t>
        </is>
      </c>
      <c r="B431" s="1" t="n">
        <v>45061</v>
      </c>
      <c r="C431" s="1" t="n">
        <v>45975</v>
      </c>
      <c r="D431" t="inlineStr">
        <is>
          <t>KALMAR LÄN</t>
        </is>
      </c>
      <c r="E431" t="inlineStr">
        <is>
          <t>VIMMERBY</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64203-2021</t>
        </is>
      </c>
      <c r="B432" s="1" t="n">
        <v>44510.60921296296</v>
      </c>
      <c r="C432" s="1" t="n">
        <v>45975</v>
      </c>
      <c r="D432" t="inlineStr">
        <is>
          <t>KALMAR LÄN</t>
        </is>
      </c>
      <c r="E432" t="inlineStr">
        <is>
          <t>VIMMERBY</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1016-2024</t>
        </is>
      </c>
      <c r="B433" s="1" t="n">
        <v>45301</v>
      </c>
      <c r="C433" s="1" t="n">
        <v>45975</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1024-2024</t>
        </is>
      </c>
      <c r="B434" s="1" t="n">
        <v>45301.68237268519</v>
      </c>
      <c r="C434" s="1" t="n">
        <v>45975</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27758-2024</t>
        </is>
      </c>
      <c r="B435" s="1" t="n">
        <v>45475.48303240741</v>
      </c>
      <c r="C435" s="1" t="n">
        <v>45975</v>
      </c>
      <c r="D435" t="inlineStr">
        <is>
          <t>KALMAR LÄN</t>
        </is>
      </c>
      <c r="E435" t="inlineStr">
        <is>
          <t>VIMMERBY</t>
        </is>
      </c>
      <c r="G435" t="n">
        <v>2.6</v>
      </c>
      <c r="H435" t="n">
        <v>0</v>
      </c>
      <c r="I435" t="n">
        <v>0</v>
      </c>
      <c r="J435" t="n">
        <v>0</v>
      </c>
      <c r="K435" t="n">
        <v>0</v>
      </c>
      <c r="L435" t="n">
        <v>0</v>
      </c>
      <c r="M435" t="n">
        <v>0</v>
      </c>
      <c r="N435" t="n">
        <v>0</v>
      </c>
      <c r="O435" t="n">
        <v>0</v>
      </c>
      <c r="P435" t="n">
        <v>0</v>
      </c>
      <c r="Q435" t="n">
        <v>0</v>
      </c>
      <c r="R435" s="2" t="inlineStr"/>
    </row>
    <row r="436" ht="15" customHeight="1">
      <c r="A436" t="inlineStr">
        <is>
          <t>A 14451-2024</t>
        </is>
      </c>
      <c r="B436" s="1" t="n">
        <v>45394.50028935185</v>
      </c>
      <c r="C436" s="1" t="n">
        <v>45975</v>
      </c>
      <c r="D436" t="inlineStr">
        <is>
          <t>KALMAR LÄN</t>
        </is>
      </c>
      <c r="E436" t="inlineStr">
        <is>
          <t>VIMMERBY</t>
        </is>
      </c>
      <c r="G436" t="n">
        <v>1.9</v>
      </c>
      <c r="H436" t="n">
        <v>0</v>
      </c>
      <c r="I436" t="n">
        <v>0</v>
      </c>
      <c r="J436" t="n">
        <v>0</v>
      </c>
      <c r="K436" t="n">
        <v>0</v>
      </c>
      <c r="L436" t="n">
        <v>0</v>
      </c>
      <c r="M436" t="n">
        <v>0</v>
      </c>
      <c r="N436" t="n">
        <v>0</v>
      </c>
      <c r="O436" t="n">
        <v>0</v>
      </c>
      <c r="P436" t="n">
        <v>0</v>
      </c>
      <c r="Q436" t="n">
        <v>0</v>
      </c>
      <c r="R436" s="2" t="inlineStr"/>
    </row>
    <row r="437" ht="15" customHeight="1">
      <c r="A437" t="inlineStr">
        <is>
          <t>A 37866-2025</t>
        </is>
      </c>
      <c r="B437" s="1" t="n">
        <v>45881</v>
      </c>
      <c r="C437" s="1" t="n">
        <v>45975</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46238-2024</t>
        </is>
      </c>
      <c r="B438" s="1" t="n">
        <v>45581.58418981481</v>
      </c>
      <c r="C438" s="1" t="n">
        <v>45975</v>
      </c>
      <c r="D438" t="inlineStr">
        <is>
          <t>KALMAR LÄN</t>
        </is>
      </c>
      <c r="E438" t="inlineStr">
        <is>
          <t>VIMMERBY</t>
        </is>
      </c>
      <c r="G438" t="n">
        <v>2.1</v>
      </c>
      <c r="H438" t="n">
        <v>0</v>
      </c>
      <c r="I438" t="n">
        <v>0</v>
      </c>
      <c r="J438" t="n">
        <v>0</v>
      </c>
      <c r="K438" t="n">
        <v>0</v>
      </c>
      <c r="L438" t="n">
        <v>0</v>
      </c>
      <c r="M438" t="n">
        <v>0</v>
      </c>
      <c r="N438" t="n">
        <v>0</v>
      </c>
      <c r="O438" t="n">
        <v>0</v>
      </c>
      <c r="P438" t="n">
        <v>0</v>
      </c>
      <c r="Q438" t="n">
        <v>0</v>
      </c>
      <c r="R438" s="2" t="inlineStr"/>
    </row>
    <row r="439" ht="15" customHeight="1">
      <c r="A439" t="inlineStr">
        <is>
          <t>A 32865-2023</t>
        </is>
      </c>
      <c r="B439" s="1" t="n">
        <v>45124</v>
      </c>
      <c r="C439" s="1" t="n">
        <v>45975</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37939-2025</t>
        </is>
      </c>
      <c r="B440" s="1" t="n">
        <v>45881.59877314815</v>
      </c>
      <c r="C440" s="1" t="n">
        <v>45975</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22194-2024</t>
        </is>
      </c>
      <c r="B441" s="1" t="n">
        <v>45446.36482638889</v>
      </c>
      <c r="C441" s="1" t="n">
        <v>45975</v>
      </c>
      <c r="D441" t="inlineStr">
        <is>
          <t>KALMAR LÄN</t>
        </is>
      </c>
      <c r="E441" t="inlineStr">
        <is>
          <t>VIMMERBY</t>
        </is>
      </c>
      <c r="F441" t="inlineStr">
        <is>
          <t>Sveaskog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50993-2022</t>
        </is>
      </c>
      <c r="B442" s="1" t="n">
        <v>44867</v>
      </c>
      <c r="C442" s="1" t="n">
        <v>45975</v>
      </c>
      <c r="D442" t="inlineStr">
        <is>
          <t>KALMAR LÄN</t>
        </is>
      </c>
      <c r="E442" t="inlineStr">
        <is>
          <t>VIMMERBY</t>
        </is>
      </c>
      <c r="G442" t="n">
        <v>1.7</v>
      </c>
      <c r="H442" t="n">
        <v>0</v>
      </c>
      <c r="I442" t="n">
        <v>0</v>
      </c>
      <c r="J442" t="n">
        <v>0</v>
      </c>
      <c r="K442" t="n">
        <v>0</v>
      </c>
      <c r="L442" t="n">
        <v>0</v>
      </c>
      <c r="M442" t="n">
        <v>0</v>
      </c>
      <c r="N442" t="n">
        <v>0</v>
      </c>
      <c r="O442" t="n">
        <v>0</v>
      </c>
      <c r="P442" t="n">
        <v>0</v>
      </c>
      <c r="Q442" t="n">
        <v>0</v>
      </c>
      <c r="R442" s="2" t="inlineStr"/>
    </row>
    <row r="443" ht="15" customHeight="1">
      <c r="A443" t="inlineStr">
        <is>
          <t>A 46225-2024</t>
        </is>
      </c>
      <c r="B443" s="1" t="n">
        <v>45581.57333333333</v>
      </c>
      <c r="C443" s="1" t="n">
        <v>45975</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17926-2025</t>
        </is>
      </c>
      <c r="B444" s="1" t="n">
        <v>45759.38987268518</v>
      </c>
      <c r="C444" s="1" t="n">
        <v>45975</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35127-2024</t>
        </is>
      </c>
      <c r="B445" s="1" t="n">
        <v>45530.33202546297</v>
      </c>
      <c r="C445" s="1" t="n">
        <v>45975</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36055-2024</t>
        </is>
      </c>
      <c r="B446" s="1" t="n">
        <v>45533.63056712963</v>
      </c>
      <c r="C446" s="1" t="n">
        <v>45975</v>
      </c>
      <c r="D446" t="inlineStr">
        <is>
          <t>KALMAR LÄN</t>
        </is>
      </c>
      <c r="E446" t="inlineStr">
        <is>
          <t>VIMMERBY</t>
        </is>
      </c>
      <c r="F446" t="inlineStr">
        <is>
          <t>Kommuner</t>
        </is>
      </c>
      <c r="G446" t="n">
        <v>1.9</v>
      </c>
      <c r="H446" t="n">
        <v>0</v>
      </c>
      <c r="I446" t="n">
        <v>0</v>
      </c>
      <c r="J446" t="n">
        <v>0</v>
      </c>
      <c r="K446" t="n">
        <v>0</v>
      </c>
      <c r="L446" t="n">
        <v>0</v>
      </c>
      <c r="M446" t="n">
        <v>0</v>
      </c>
      <c r="N446" t="n">
        <v>0</v>
      </c>
      <c r="O446" t="n">
        <v>0</v>
      </c>
      <c r="P446" t="n">
        <v>0</v>
      </c>
      <c r="Q446" t="n">
        <v>0</v>
      </c>
      <c r="R446" s="2" t="inlineStr"/>
    </row>
    <row r="447" ht="15" customHeight="1">
      <c r="A447" t="inlineStr">
        <is>
          <t>A 22643-2023</t>
        </is>
      </c>
      <c r="B447" s="1" t="n">
        <v>45071</v>
      </c>
      <c r="C447" s="1" t="n">
        <v>45975</v>
      </c>
      <c r="D447" t="inlineStr">
        <is>
          <t>KALMAR LÄN</t>
        </is>
      </c>
      <c r="E447" t="inlineStr">
        <is>
          <t>VIMMERBY</t>
        </is>
      </c>
      <c r="G447" t="n">
        <v>3.9</v>
      </c>
      <c r="H447" t="n">
        <v>0</v>
      </c>
      <c r="I447" t="n">
        <v>0</v>
      </c>
      <c r="J447" t="n">
        <v>0</v>
      </c>
      <c r="K447" t="n">
        <v>0</v>
      </c>
      <c r="L447" t="n">
        <v>0</v>
      </c>
      <c r="M447" t="n">
        <v>0</v>
      </c>
      <c r="N447" t="n">
        <v>0</v>
      </c>
      <c r="O447" t="n">
        <v>0</v>
      </c>
      <c r="P447" t="n">
        <v>0</v>
      </c>
      <c r="Q447" t="n">
        <v>0</v>
      </c>
      <c r="R447" s="2" t="inlineStr"/>
    </row>
    <row r="448" ht="15" customHeight="1">
      <c r="A448" t="inlineStr">
        <is>
          <t>A 47859-2024</t>
        </is>
      </c>
      <c r="B448" s="1" t="n">
        <v>45588.67070601852</v>
      </c>
      <c r="C448" s="1" t="n">
        <v>45975</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32835-2022</t>
        </is>
      </c>
      <c r="B449" s="1" t="n">
        <v>44784.42528935185</v>
      </c>
      <c r="C449" s="1" t="n">
        <v>45975</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33383-2023</t>
        </is>
      </c>
      <c r="B450" s="1" t="n">
        <v>45128.58414351852</v>
      </c>
      <c r="C450" s="1" t="n">
        <v>45975</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4297-2022</t>
        </is>
      </c>
      <c r="B451" s="1" t="n">
        <v>44588</v>
      </c>
      <c r="C451" s="1" t="n">
        <v>45975</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41896-2023</t>
        </is>
      </c>
      <c r="B452" s="1" t="n">
        <v>45176.72427083334</v>
      </c>
      <c r="C452" s="1" t="n">
        <v>45975</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43606-2024</t>
        </is>
      </c>
      <c r="B453" s="1" t="n">
        <v>45569.45017361111</v>
      </c>
      <c r="C453" s="1" t="n">
        <v>45975</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34597-2022</t>
        </is>
      </c>
      <c r="B454" s="1" t="n">
        <v>44795</v>
      </c>
      <c r="C454" s="1" t="n">
        <v>45975</v>
      </c>
      <c r="D454" t="inlineStr">
        <is>
          <t>KALMAR LÄN</t>
        </is>
      </c>
      <c r="E454" t="inlineStr">
        <is>
          <t>VIMMERBY</t>
        </is>
      </c>
      <c r="G454" t="n">
        <v>2.2</v>
      </c>
      <c r="H454" t="n">
        <v>0</v>
      </c>
      <c r="I454" t="n">
        <v>0</v>
      </c>
      <c r="J454" t="n">
        <v>0</v>
      </c>
      <c r="K454" t="n">
        <v>0</v>
      </c>
      <c r="L454" t="n">
        <v>0</v>
      </c>
      <c r="M454" t="n">
        <v>0</v>
      </c>
      <c r="N454" t="n">
        <v>0</v>
      </c>
      <c r="O454" t="n">
        <v>0</v>
      </c>
      <c r="P454" t="n">
        <v>0</v>
      </c>
      <c r="Q454" t="n">
        <v>0</v>
      </c>
      <c r="R454" s="2" t="inlineStr"/>
    </row>
    <row r="455" ht="15" customHeight="1">
      <c r="A455" t="inlineStr">
        <is>
          <t>A 40079-2023</t>
        </is>
      </c>
      <c r="B455" s="1" t="n">
        <v>45168.89298611111</v>
      </c>
      <c r="C455" s="1" t="n">
        <v>45975</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55716-2023</t>
        </is>
      </c>
      <c r="B456" s="1" t="n">
        <v>45232</v>
      </c>
      <c r="C456" s="1" t="n">
        <v>45975</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12325-2023</t>
        </is>
      </c>
      <c r="B457" s="1" t="n">
        <v>44999.35858796296</v>
      </c>
      <c r="C457" s="1" t="n">
        <v>45975</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34386-2024</t>
        </is>
      </c>
      <c r="B458" s="1" t="n">
        <v>45525.41762731481</v>
      </c>
      <c r="C458" s="1" t="n">
        <v>45975</v>
      </c>
      <c r="D458" t="inlineStr">
        <is>
          <t>KALMAR LÄN</t>
        </is>
      </c>
      <c r="E458" t="inlineStr">
        <is>
          <t>VIMMERBY</t>
        </is>
      </c>
      <c r="G458" t="n">
        <v>0.3</v>
      </c>
      <c r="H458" t="n">
        <v>0</v>
      </c>
      <c r="I458" t="n">
        <v>0</v>
      </c>
      <c r="J458" t="n">
        <v>0</v>
      </c>
      <c r="K458" t="n">
        <v>0</v>
      </c>
      <c r="L458" t="n">
        <v>0</v>
      </c>
      <c r="M458" t="n">
        <v>0</v>
      </c>
      <c r="N458" t="n">
        <v>0</v>
      </c>
      <c r="O458" t="n">
        <v>0</v>
      </c>
      <c r="P458" t="n">
        <v>0</v>
      </c>
      <c r="Q458" t="n">
        <v>0</v>
      </c>
      <c r="R458" s="2" t="inlineStr"/>
    </row>
    <row r="459" ht="15" customHeight="1">
      <c r="A459" t="inlineStr">
        <is>
          <t>A 19833-2023</t>
        </is>
      </c>
      <c r="B459" s="1" t="n">
        <v>45052</v>
      </c>
      <c r="C459" s="1" t="n">
        <v>45975</v>
      </c>
      <c r="D459" t="inlineStr">
        <is>
          <t>KALMAR LÄN</t>
        </is>
      </c>
      <c r="E459" t="inlineStr">
        <is>
          <t>VIMMERBY</t>
        </is>
      </c>
      <c r="G459" t="n">
        <v>6.7</v>
      </c>
      <c r="H459" t="n">
        <v>0</v>
      </c>
      <c r="I459" t="n">
        <v>0</v>
      </c>
      <c r="J459" t="n">
        <v>0</v>
      </c>
      <c r="K459" t="n">
        <v>0</v>
      </c>
      <c r="L459" t="n">
        <v>0</v>
      </c>
      <c r="M459" t="n">
        <v>0</v>
      </c>
      <c r="N459" t="n">
        <v>0</v>
      </c>
      <c r="O459" t="n">
        <v>0</v>
      </c>
      <c r="P459" t="n">
        <v>0</v>
      </c>
      <c r="Q459" t="n">
        <v>0</v>
      </c>
      <c r="R459" s="2" t="inlineStr"/>
    </row>
    <row r="460" ht="15" customHeight="1">
      <c r="A460" t="inlineStr">
        <is>
          <t>A 8945-2025</t>
        </is>
      </c>
      <c r="B460" s="1" t="n">
        <v>45713.45311342592</v>
      </c>
      <c r="C460" s="1" t="n">
        <v>45975</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42429-2024</t>
        </is>
      </c>
      <c r="B461" s="1" t="n">
        <v>45565.40657407408</v>
      </c>
      <c r="C461" s="1" t="n">
        <v>45975</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11946-2025</t>
        </is>
      </c>
      <c r="B462" s="1" t="n">
        <v>45728.54832175926</v>
      </c>
      <c r="C462" s="1" t="n">
        <v>45975</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40665-2023</t>
        </is>
      </c>
      <c r="B463" s="1" t="n">
        <v>45170</v>
      </c>
      <c r="C463" s="1" t="n">
        <v>45975</v>
      </c>
      <c r="D463" t="inlineStr">
        <is>
          <t>KALMAR LÄN</t>
        </is>
      </c>
      <c r="E463" t="inlineStr">
        <is>
          <t>VIMMERBY</t>
        </is>
      </c>
      <c r="G463" t="n">
        <v>2.6</v>
      </c>
      <c r="H463" t="n">
        <v>0</v>
      </c>
      <c r="I463" t="n">
        <v>0</v>
      </c>
      <c r="J463" t="n">
        <v>0</v>
      </c>
      <c r="K463" t="n">
        <v>0</v>
      </c>
      <c r="L463" t="n">
        <v>0</v>
      </c>
      <c r="M463" t="n">
        <v>0</v>
      </c>
      <c r="N463" t="n">
        <v>0</v>
      </c>
      <c r="O463" t="n">
        <v>0</v>
      </c>
      <c r="P463" t="n">
        <v>0</v>
      </c>
      <c r="Q463" t="n">
        <v>0</v>
      </c>
      <c r="R463" s="2" t="inlineStr"/>
    </row>
    <row r="464" ht="15" customHeight="1">
      <c r="A464" t="inlineStr">
        <is>
          <t>A 13307-2025</t>
        </is>
      </c>
      <c r="B464" s="1" t="n">
        <v>45735.58024305556</v>
      </c>
      <c r="C464" s="1" t="n">
        <v>45975</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28034-2022</t>
        </is>
      </c>
      <c r="B465" s="1" t="n">
        <v>44746.38834490741</v>
      </c>
      <c r="C465" s="1" t="n">
        <v>45975</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59943-2023</t>
        </is>
      </c>
      <c r="B466" s="1" t="n">
        <v>45257.67958333333</v>
      </c>
      <c r="C466" s="1" t="n">
        <v>45975</v>
      </c>
      <c r="D466" t="inlineStr">
        <is>
          <t>KALMAR LÄN</t>
        </is>
      </c>
      <c r="E466" t="inlineStr">
        <is>
          <t>VIMMERBY</t>
        </is>
      </c>
      <c r="G466" t="n">
        <v>6.4</v>
      </c>
      <c r="H466" t="n">
        <v>0</v>
      </c>
      <c r="I466" t="n">
        <v>0</v>
      </c>
      <c r="J466" t="n">
        <v>0</v>
      </c>
      <c r="K466" t="n">
        <v>0</v>
      </c>
      <c r="L466" t="n">
        <v>0</v>
      </c>
      <c r="M466" t="n">
        <v>0</v>
      </c>
      <c r="N466" t="n">
        <v>0</v>
      </c>
      <c r="O466" t="n">
        <v>0</v>
      </c>
      <c r="P466" t="n">
        <v>0</v>
      </c>
      <c r="Q466" t="n">
        <v>0</v>
      </c>
      <c r="R466" s="2" t="inlineStr"/>
    </row>
    <row r="467" ht="15" customHeight="1">
      <c r="A467" t="inlineStr">
        <is>
          <t>A 17084-2025</t>
        </is>
      </c>
      <c r="B467" s="1" t="n">
        <v>45755.64450231481</v>
      </c>
      <c r="C467" s="1" t="n">
        <v>45975</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56022-2024</t>
        </is>
      </c>
      <c r="B468" s="1" t="n">
        <v>45623.95947916667</v>
      </c>
      <c r="C468" s="1" t="n">
        <v>45975</v>
      </c>
      <c r="D468" t="inlineStr">
        <is>
          <t>KALMAR LÄN</t>
        </is>
      </c>
      <c r="E468" t="inlineStr">
        <is>
          <t>VIMMERBY</t>
        </is>
      </c>
      <c r="G468" t="n">
        <v>0.3</v>
      </c>
      <c r="H468" t="n">
        <v>0</v>
      </c>
      <c r="I468" t="n">
        <v>0</v>
      </c>
      <c r="J468" t="n">
        <v>0</v>
      </c>
      <c r="K468" t="n">
        <v>0</v>
      </c>
      <c r="L468" t="n">
        <v>0</v>
      </c>
      <c r="M468" t="n">
        <v>0</v>
      </c>
      <c r="N468" t="n">
        <v>0</v>
      </c>
      <c r="O468" t="n">
        <v>0</v>
      </c>
      <c r="P468" t="n">
        <v>0</v>
      </c>
      <c r="Q468" t="n">
        <v>0</v>
      </c>
      <c r="R468" s="2" t="inlineStr"/>
    </row>
    <row r="469" ht="15" customHeight="1">
      <c r="A469" t="inlineStr">
        <is>
          <t>A 11928-2022</t>
        </is>
      </c>
      <c r="B469" s="1" t="n">
        <v>44635</v>
      </c>
      <c r="C469" s="1" t="n">
        <v>45975</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15493-2023</t>
        </is>
      </c>
      <c r="B470" s="1" t="n">
        <v>45018</v>
      </c>
      <c r="C470" s="1" t="n">
        <v>45975</v>
      </c>
      <c r="D470" t="inlineStr">
        <is>
          <t>KALMAR LÄN</t>
        </is>
      </c>
      <c r="E470" t="inlineStr">
        <is>
          <t>VIMMERBY</t>
        </is>
      </c>
      <c r="G470" t="n">
        <v>1</v>
      </c>
      <c r="H470" t="n">
        <v>0</v>
      </c>
      <c r="I470" t="n">
        <v>0</v>
      </c>
      <c r="J470" t="n">
        <v>0</v>
      </c>
      <c r="K470" t="n">
        <v>0</v>
      </c>
      <c r="L470" t="n">
        <v>0</v>
      </c>
      <c r="M470" t="n">
        <v>0</v>
      </c>
      <c r="N470" t="n">
        <v>0</v>
      </c>
      <c r="O470" t="n">
        <v>0</v>
      </c>
      <c r="P470" t="n">
        <v>0</v>
      </c>
      <c r="Q470" t="n">
        <v>0</v>
      </c>
      <c r="R470" s="2" t="inlineStr"/>
    </row>
    <row r="471" ht="15" customHeight="1">
      <c r="A471" t="inlineStr">
        <is>
          <t>A 51881-2024</t>
        </is>
      </c>
      <c r="B471" s="1" t="n">
        <v>45607.56773148148</v>
      </c>
      <c r="C471" s="1" t="n">
        <v>45975</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1021-2024</t>
        </is>
      </c>
      <c r="B472" s="1" t="n">
        <v>45301.67736111111</v>
      </c>
      <c r="C472" s="1" t="n">
        <v>45975</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55605-2024</t>
        </is>
      </c>
      <c r="B473" s="1" t="n">
        <v>45622</v>
      </c>
      <c r="C473" s="1" t="n">
        <v>45975</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32569-2024</t>
        </is>
      </c>
      <c r="B474" s="1" t="n">
        <v>45513.55840277778</v>
      </c>
      <c r="C474" s="1" t="n">
        <v>45975</v>
      </c>
      <c r="D474" t="inlineStr">
        <is>
          <t>KALMAR LÄN</t>
        </is>
      </c>
      <c r="E474" t="inlineStr">
        <is>
          <t>VIMMERBY</t>
        </is>
      </c>
      <c r="G474" t="n">
        <v>3.7</v>
      </c>
      <c r="H474" t="n">
        <v>0</v>
      </c>
      <c r="I474" t="n">
        <v>0</v>
      </c>
      <c r="J474" t="n">
        <v>0</v>
      </c>
      <c r="K474" t="n">
        <v>0</v>
      </c>
      <c r="L474" t="n">
        <v>0</v>
      </c>
      <c r="M474" t="n">
        <v>0</v>
      </c>
      <c r="N474" t="n">
        <v>0</v>
      </c>
      <c r="O474" t="n">
        <v>0</v>
      </c>
      <c r="P474" t="n">
        <v>0</v>
      </c>
      <c r="Q474" t="n">
        <v>0</v>
      </c>
      <c r="R474" s="2" t="inlineStr"/>
    </row>
    <row r="475" ht="15" customHeight="1">
      <c r="A475" t="inlineStr">
        <is>
          <t>A 32575-2024</t>
        </is>
      </c>
      <c r="B475" s="1" t="n">
        <v>45513.56527777778</v>
      </c>
      <c r="C475" s="1" t="n">
        <v>45975</v>
      </c>
      <c r="D475" t="inlineStr">
        <is>
          <t>KALMAR LÄN</t>
        </is>
      </c>
      <c r="E475" t="inlineStr">
        <is>
          <t>VIMMERBY</t>
        </is>
      </c>
      <c r="G475" t="n">
        <v>1.5</v>
      </c>
      <c r="H475" t="n">
        <v>0</v>
      </c>
      <c r="I475" t="n">
        <v>0</v>
      </c>
      <c r="J475" t="n">
        <v>0</v>
      </c>
      <c r="K475" t="n">
        <v>0</v>
      </c>
      <c r="L475" t="n">
        <v>0</v>
      </c>
      <c r="M475" t="n">
        <v>0</v>
      </c>
      <c r="N475" t="n">
        <v>0</v>
      </c>
      <c r="O475" t="n">
        <v>0</v>
      </c>
      <c r="P475" t="n">
        <v>0</v>
      </c>
      <c r="Q475" t="n">
        <v>0</v>
      </c>
      <c r="R475" s="2" t="inlineStr"/>
    </row>
    <row r="476" ht="15" customHeight="1">
      <c r="A476" t="inlineStr">
        <is>
          <t>A 30063-2023</t>
        </is>
      </c>
      <c r="B476" s="1" t="n">
        <v>45110.4184375</v>
      </c>
      <c r="C476" s="1" t="n">
        <v>45975</v>
      </c>
      <c r="D476" t="inlineStr">
        <is>
          <t>KALMAR LÄN</t>
        </is>
      </c>
      <c r="E476" t="inlineStr">
        <is>
          <t>VIMMERBY</t>
        </is>
      </c>
      <c r="G476" t="n">
        <v>1.2</v>
      </c>
      <c r="H476" t="n">
        <v>0</v>
      </c>
      <c r="I476" t="n">
        <v>0</v>
      </c>
      <c r="J476" t="n">
        <v>0</v>
      </c>
      <c r="K476" t="n">
        <v>0</v>
      </c>
      <c r="L476" t="n">
        <v>0</v>
      </c>
      <c r="M476" t="n">
        <v>0</v>
      </c>
      <c r="N476" t="n">
        <v>0</v>
      </c>
      <c r="O476" t="n">
        <v>0</v>
      </c>
      <c r="P476" t="n">
        <v>0</v>
      </c>
      <c r="Q476" t="n">
        <v>0</v>
      </c>
      <c r="R476" s="2" t="inlineStr"/>
    </row>
    <row r="477" ht="15" customHeight="1">
      <c r="A477" t="inlineStr">
        <is>
          <t>A 42165-2024</t>
        </is>
      </c>
      <c r="B477" s="1" t="n">
        <v>45562.46342592593</v>
      </c>
      <c r="C477" s="1" t="n">
        <v>45975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38604-2025</t>
        </is>
      </c>
      <c r="B478" s="1" t="n">
        <v>45884.50613425926</v>
      </c>
      <c r="C478" s="1" t="n">
        <v>45975</v>
      </c>
      <c r="D478" t="inlineStr">
        <is>
          <t>KALMAR LÄN</t>
        </is>
      </c>
      <c r="E478" t="inlineStr">
        <is>
          <t>VIMMERBY</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5527-2022</t>
        </is>
      </c>
      <c r="B479" s="1" t="n">
        <v>44595.583125</v>
      </c>
      <c r="C479" s="1" t="n">
        <v>45975</v>
      </c>
      <c r="D479" t="inlineStr">
        <is>
          <t>KALMAR LÄN</t>
        </is>
      </c>
      <c r="E479" t="inlineStr">
        <is>
          <t>VIMMERBY</t>
        </is>
      </c>
      <c r="G479" t="n">
        <v>3.6</v>
      </c>
      <c r="H479" t="n">
        <v>0</v>
      </c>
      <c r="I479" t="n">
        <v>0</v>
      </c>
      <c r="J479" t="n">
        <v>0</v>
      </c>
      <c r="K479" t="n">
        <v>0</v>
      </c>
      <c r="L479" t="n">
        <v>0</v>
      </c>
      <c r="M479" t="n">
        <v>0</v>
      </c>
      <c r="N479" t="n">
        <v>0</v>
      </c>
      <c r="O479" t="n">
        <v>0</v>
      </c>
      <c r="P479" t="n">
        <v>0</v>
      </c>
      <c r="Q479" t="n">
        <v>0</v>
      </c>
      <c r="R479" s="2" t="inlineStr"/>
    </row>
    <row r="480" ht="15" customHeight="1">
      <c r="A480" t="inlineStr">
        <is>
          <t>A 17482-2024</t>
        </is>
      </c>
      <c r="B480" s="1" t="n">
        <v>45415.47848379629</v>
      </c>
      <c r="C480" s="1" t="n">
        <v>45975</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20129-2024</t>
        </is>
      </c>
      <c r="B481" s="1" t="n">
        <v>45434.55831018519</v>
      </c>
      <c r="C481" s="1" t="n">
        <v>45975</v>
      </c>
      <c r="D481" t="inlineStr">
        <is>
          <t>KALMAR LÄN</t>
        </is>
      </c>
      <c r="E481" t="inlineStr">
        <is>
          <t>VIMMERBY</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20137-2024</t>
        </is>
      </c>
      <c r="B482" s="1" t="n">
        <v>45434.56398148148</v>
      </c>
      <c r="C482" s="1" t="n">
        <v>45975</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49461-2023</t>
        </is>
      </c>
      <c r="B483" s="1" t="n">
        <v>45211.52642361111</v>
      </c>
      <c r="C483" s="1" t="n">
        <v>45975</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49474-2023</t>
        </is>
      </c>
      <c r="B484" s="1" t="n">
        <v>45211.541875</v>
      </c>
      <c r="C484" s="1" t="n">
        <v>45975</v>
      </c>
      <c r="D484" t="inlineStr">
        <is>
          <t>KALMAR LÄN</t>
        </is>
      </c>
      <c r="E484" t="inlineStr">
        <is>
          <t>VIMMERBY</t>
        </is>
      </c>
      <c r="G484" t="n">
        <v>3.6</v>
      </c>
      <c r="H484" t="n">
        <v>0</v>
      </c>
      <c r="I484" t="n">
        <v>0</v>
      </c>
      <c r="J484" t="n">
        <v>0</v>
      </c>
      <c r="K484" t="n">
        <v>0</v>
      </c>
      <c r="L484" t="n">
        <v>0</v>
      </c>
      <c r="M484" t="n">
        <v>0</v>
      </c>
      <c r="N484" t="n">
        <v>0</v>
      </c>
      <c r="O484" t="n">
        <v>0</v>
      </c>
      <c r="P484" t="n">
        <v>0</v>
      </c>
      <c r="Q484" t="n">
        <v>0</v>
      </c>
      <c r="R484" s="2" t="inlineStr"/>
    </row>
    <row r="485" ht="15" customHeight="1">
      <c r="A485" t="inlineStr">
        <is>
          <t>A 61861-2024</t>
        </is>
      </c>
      <c r="B485" s="1" t="n">
        <v>45650.37370370371</v>
      </c>
      <c r="C485" s="1" t="n">
        <v>45975</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45846-2023</t>
        </is>
      </c>
      <c r="B486" s="1" t="n">
        <v>45195.58452546296</v>
      </c>
      <c r="C486" s="1" t="n">
        <v>45975</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23095-2023</t>
        </is>
      </c>
      <c r="B487" s="1" t="n">
        <v>45075.43059027778</v>
      </c>
      <c r="C487" s="1" t="n">
        <v>45975</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8167-2024</t>
        </is>
      </c>
      <c r="B488" s="1" t="n">
        <v>45351.6062962963</v>
      </c>
      <c r="C488" s="1" t="n">
        <v>45975</v>
      </c>
      <c r="D488" t="inlineStr">
        <is>
          <t>KALMAR LÄN</t>
        </is>
      </c>
      <c r="E488" t="inlineStr">
        <is>
          <t>VIMMERBY</t>
        </is>
      </c>
      <c r="G488" t="n">
        <v>3.8</v>
      </c>
      <c r="H488" t="n">
        <v>0</v>
      </c>
      <c r="I488" t="n">
        <v>0</v>
      </c>
      <c r="J488" t="n">
        <v>0</v>
      </c>
      <c r="K488" t="n">
        <v>0</v>
      </c>
      <c r="L488" t="n">
        <v>0</v>
      </c>
      <c r="M488" t="n">
        <v>0</v>
      </c>
      <c r="N488" t="n">
        <v>0</v>
      </c>
      <c r="O488" t="n">
        <v>0</v>
      </c>
      <c r="P488" t="n">
        <v>0</v>
      </c>
      <c r="Q488" t="n">
        <v>0</v>
      </c>
      <c r="R488" s="2" t="inlineStr"/>
    </row>
    <row r="489" ht="15" customHeight="1">
      <c r="A489" t="inlineStr">
        <is>
          <t>A 13817-2024</t>
        </is>
      </c>
      <c r="B489" s="1" t="n">
        <v>45391.41976851852</v>
      </c>
      <c r="C489" s="1" t="n">
        <v>45975</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30406-2023</t>
        </is>
      </c>
      <c r="B490" s="1" t="n">
        <v>45111.48787037037</v>
      </c>
      <c r="C490" s="1" t="n">
        <v>45975</v>
      </c>
      <c r="D490" t="inlineStr">
        <is>
          <t>KALMAR LÄN</t>
        </is>
      </c>
      <c r="E490" t="inlineStr">
        <is>
          <t>VIMMERBY</t>
        </is>
      </c>
      <c r="G490" t="n">
        <v>2.4</v>
      </c>
      <c r="H490" t="n">
        <v>0</v>
      </c>
      <c r="I490" t="n">
        <v>0</v>
      </c>
      <c r="J490" t="n">
        <v>0</v>
      </c>
      <c r="K490" t="n">
        <v>0</v>
      </c>
      <c r="L490" t="n">
        <v>0</v>
      </c>
      <c r="M490" t="n">
        <v>0</v>
      </c>
      <c r="N490" t="n">
        <v>0</v>
      </c>
      <c r="O490" t="n">
        <v>0</v>
      </c>
      <c r="P490" t="n">
        <v>0</v>
      </c>
      <c r="Q490" t="n">
        <v>0</v>
      </c>
      <c r="R490" s="2" t="inlineStr"/>
    </row>
    <row r="491" ht="15" customHeight="1">
      <c r="A491" t="inlineStr">
        <is>
          <t>A 32919-2022</t>
        </is>
      </c>
      <c r="B491" s="1" t="n">
        <v>44784.62724537037</v>
      </c>
      <c r="C491" s="1" t="n">
        <v>45975</v>
      </c>
      <c r="D491" t="inlineStr">
        <is>
          <t>KALMAR LÄN</t>
        </is>
      </c>
      <c r="E491" t="inlineStr">
        <is>
          <t>VIMMERBY</t>
        </is>
      </c>
      <c r="G491" t="n">
        <v>1.7</v>
      </c>
      <c r="H491" t="n">
        <v>0</v>
      </c>
      <c r="I491" t="n">
        <v>0</v>
      </c>
      <c r="J491" t="n">
        <v>0</v>
      </c>
      <c r="K491" t="n">
        <v>0</v>
      </c>
      <c r="L491" t="n">
        <v>0</v>
      </c>
      <c r="M491" t="n">
        <v>0</v>
      </c>
      <c r="N491" t="n">
        <v>0</v>
      </c>
      <c r="O491" t="n">
        <v>0</v>
      </c>
      <c r="P491" t="n">
        <v>0</v>
      </c>
      <c r="Q491" t="n">
        <v>0</v>
      </c>
      <c r="R491" s="2" t="inlineStr"/>
    </row>
    <row r="492" ht="15" customHeight="1">
      <c r="A492" t="inlineStr">
        <is>
          <t>A 49382-2023</t>
        </is>
      </c>
      <c r="B492" s="1" t="n">
        <v>45208</v>
      </c>
      <c r="C492" s="1" t="n">
        <v>45975</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12121-2025</t>
        </is>
      </c>
      <c r="B493" s="1" t="n">
        <v>45729.36868055556</v>
      </c>
      <c r="C493" s="1" t="n">
        <v>45975</v>
      </c>
      <c r="D493" t="inlineStr">
        <is>
          <t>KALMAR LÄN</t>
        </is>
      </c>
      <c r="E493" t="inlineStr">
        <is>
          <t>VIMMERBY</t>
        </is>
      </c>
      <c r="G493" t="n">
        <v>4.3</v>
      </c>
      <c r="H493" t="n">
        <v>0</v>
      </c>
      <c r="I493" t="n">
        <v>0</v>
      </c>
      <c r="J493" t="n">
        <v>0</v>
      </c>
      <c r="K493" t="n">
        <v>0</v>
      </c>
      <c r="L493" t="n">
        <v>0</v>
      </c>
      <c r="M493" t="n">
        <v>0</v>
      </c>
      <c r="N493" t="n">
        <v>0</v>
      </c>
      <c r="O493" t="n">
        <v>0</v>
      </c>
      <c r="P493" t="n">
        <v>0</v>
      </c>
      <c r="Q493" t="n">
        <v>0</v>
      </c>
      <c r="R493" s="2" t="inlineStr"/>
    </row>
    <row r="494" ht="15" customHeight="1">
      <c r="A494" t="inlineStr">
        <is>
          <t>A 29020-2024</t>
        </is>
      </c>
      <c r="B494" s="1" t="n">
        <v>45481.58048611111</v>
      </c>
      <c r="C494" s="1" t="n">
        <v>45975</v>
      </c>
      <c r="D494" t="inlineStr">
        <is>
          <t>KALMAR LÄN</t>
        </is>
      </c>
      <c r="E494" t="inlineStr">
        <is>
          <t>VIMMERBY</t>
        </is>
      </c>
      <c r="G494" t="n">
        <v>2.3</v>
      </c>
      <c r="H494" t="n">
        <v>0</v>
      </c>
      <c r="I494" t="n">
        <v>0</v>
      </c>
      <c r="J494" t="n">
        <v>0</v>
      </c>
      <c r="K494" t="n">
        <v>0</v>
      </c>
      <c r="L494" t="n">
        <v>0</v>
      </c>
      <c r="M494" t="n">
        <v>0</v>
      </c>
      <c r="N494" t="n">
        <v>0</v>
      </c>
      <c r="O494" t="n">
        <v>0</v>
      </c>
      <c r="P494" t="n">
        <v>0</v>
      </c>
      <c r="Q494" t="n">
        <v>0</v>
      </c>
      <c r="R494" s="2" t="inlineStr"/>
    </row>
    <row r="495" ht="15" customHeight="1">
      <c r="A495" t="inlineStr">
        <is>
          <t>A 35846-2023</t>
        </is>
      </c>
      <c r="B495" s="1" t="n">
        <v>45148</v>
      </c>
      <c r="C495" s="1" t="n">
        <v>45975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35913-2023</t>
        </is>
      </c>
      <c r="B496" s="1" t="n">
        <v>45148</v>
      </c>
      <c r="C496" s="1" t="n">
        <v>45975</v>
      </c>
      <c r="D496" t="inlineStr">
        <is>
          <t>KALMAR LÄN</t>
        </is>
      </c>
      <c r="E496" t="inlineStr">
        <is>
          <t>VIMMERBY</t>
        </is>
      </c>
      <c r="G496" t="n">
        <v>6.9</v>
      </c>
      <c r="H496" t="n">
        <v>0</v>
      </c>
      <c r="I496" t="n">
        <v>0</v>
      </c>
      <c r="J496" t="n">
        <v>0</v>
      </c>
      <c r="K496" t="n">
        <v>0</v>
      </c>
      <c r="L496" t="n">
        <v>0</v>
      </c>
      <c r="M496" t="n">
        <v>0</v>
      </c>
      <c r="N496" t="n">
        <v>0</v>
      </c>
      <c r="O496" t="n">
        <v>0</v>
      </c>
      <c r="P496" t="n">
        <v>0</v>
      </c>
      <c r="Q496" t="n">
        <v>0</v>
      </c>
      <c r="R496" s="2" t="inlineStr"/>
    </row>
    <row r="497" ht="15" customHeight="1">
      <c r="A497" t="inlineStr">
        <is>
          <t>A 38757-2023</t>
        </is>
      </c>
      <c r="B497" s="1" t="n">
        <v>45163.41376157408</v>
      </c>
      <c r="C497" s="1" t="n">
        <v>45975</v>
      </c>
      <c r="D497" t="inlineStr">
        <is>
          <t>KALMAR LÄN</t>
        </is>
      </c>
      <c r="E497" t="inlineStr">
        <is>
          <t>VIMMERBY</t>
        </is>
      </c>
      <c r="G497" t="n">
        <v>2.5</v>
      </c>
      <c r="H497" t="n">
        <v>0</v>
      </c>
      <c r="I497" t="n">
        <v>0</v>
      </c>
      <c r="J497" t="n">
        <v>0</v>
      </c>
      <c r="K497" t="n">
        <v>0</v>
      </c>
      <c r="L497" t="n">
        <v>0</v>
      </c>
      <c r="M497" t="n">
        <v>0</v>
      </c>
      <c r="N497" t="n">
        <v>0</v>
      </c>
      <c r="O497" t="n">
        <v>0</v>
      </c>
      <c r="P497" t="n">
        <v>0</v>
      </c>
      <c r="Q497" t="n">
        <v>0</v>
      </c>
      <c r="R497" s="2" t="inlineStr"/>
    </row>
    <row r="498" ht="15" customHeight="1">
      <c r="A498" t="inlineStr">
        <is>
          <t>A 7068-2024</t>
        </is>
      </c>
      <c r="B498" s="1" t="n">
        <v>45343.68038194445</v>
      </c>
      <c r="C498" s="1" t="n">
        <v>45975</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12596-2021</t>
        </is>
      </c>
      <c r="B499" s="1" t="n">
        <v>44270.39765046296</v>
      </c>
      <c r="C499" s="1" t="n">
        <v>45975</v>
      </c>
      <c r="D499" t="inlineStr">
        <is>
          <t>KALMAR LÄN</t>
        </is>
      </c>
      <c r="E499" t="inlineStr">
        <is>
          <t>VIMMERBY</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20136-2024</t>
        </is>
      </c>
      <c r="B500" s="1" t="n">
        <v>45434.56291666667</v>
      </c>
      <c r="C500" s="1" t="n">
        <v>45975</v>
      </c>
      <c r="D500" t="inlineStr">
        <is>
          <t>KALMAR LÄN</t>
        </is>
      </c>
      <c r="E500" t="inlineStr">
        <is>
          <t>VIMMERBY</t>
        </is>
      </c>
      <c r="F500" t="inlineStr">
        <is>
          <t>Sveaskog</t>
        </is>
      </c>
      <c r="G500" t="n">
        <v>8.4</v>
      </c>
      <c r="H500" t="n">
        <v>0</v>
      </c>
      <c r="I500" t="n">
        <v>0</v>
      </c>
      <c r="J500" t="n">
        <v>0</v>
      </c>
      <c r="K500" t="n">
        <v>0</v>
      </c>
      <c r="L500" t="n">
        <v>0</v>
      </c>
      <c r="M500" t="n">
        <v>0</v>
      </c>
      <c r="N500" t="n">
        <v>0</v>
      </c>
      <c r="O500" t="n">
        <v>0</v>
      </c>
      <c r="P500" t="n">
        <v>0</v>
      </c>
      <c r="Q500" t="n">
        <v>0</v>
      </c>
      <c r="R500" s="2" t="inlineStr"/>
    </row>
    <row r="501" ht="15" customHeight="1">
      <c r="A501" t="inlineStr">
        <is>
          <t>A 32655-2023</t>
        </is>
      </c>
      <c r="B501" s="1" t="n">
        <v>45121.61318287037</v>
      </c>
      <c r="C501" s="1" t="n">
        <v>45975</v>
      </c>
      <c r="D501" t="inlineStr">
        <is>
          <t>KALMAR LÄN</t>
        </is>
      </c>
      <c r="E501" t="inlineStr">
        <is>
          <t>VIMMERBY</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54409-2024</t>
        </is>
      </c>
      <c r="B502" s="1" t="n">
        <v>45617.47570601852</v>
      </c>
      <c r="C502" s="1" t="n">
        <v>45975</v>
      </c>
      <c r="D502" t="inlineStr">
        <is>
          <t>KALMAR LÄN</t>
        </is>
      </c>
      <c r="E502" t="inlineStr">
        <is>
          <t>VIMMERBY</t>
        </is>
      </c>
      <c r="G502" t="n">
        <v>4.3</v>
      </c>
      <c r="H502" t="n">
        <v>0</v>
      </c>
      <c r="I502" t="n">
        <v>0</v>
      </c>
      <c r="J502" t="n">
        <v>0</v>
      </c>
      <c r="K502" t="n">
        <v>0</v>
      </c>
      <c r="L502" t="n">
        <v>0</v>
      </c>
      <c r="M502" t="n">
        <v>0</v>
      </c>
      <c r="N502" t="n">
        <v>0</v>
      </c>
      <c r="O502" t="n">
        <v>0</v>
      </c>
      <c r="P502" t="n">
        <v>0</v>
      </c>
      <c r="Q502" t="n">
        <v>0</v>
      </c>
      <c r="R502" s="2" t="inlineStr"/>
    </row>
    <row r="503" ht="15" customHeight="1">
      <c r="A503" t="inlineStr">
        <is>
          <t>A 24283-2023</t>
        </is>
      </c>
      <c r="B503" s="1" t="n">
        <v>45079.87827546296</v>
      </c>
      <c r="C503" s="1" t="n">
        <v>45975</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29726-2025</t>
        </is>
      </c>
      <c r="B504" s="1" t="n">
        <v>45825.57805555555</v>
      </c>
      <c r="C504" s="1" t="n">
        <v>45975</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9475-2023</t>
        </is>
      </c>
      <c r="B505" s="1" t="n">
        <v>44981.58834490741</v>
      </c>
      <c r="C505" s="1" t="n">
        <v>45975</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38964-2025</t>
        </is>
      </c>
      <c r="B506" s="1" t="n">
        <v>45887.68759259259</v>
      </c>
      <c r="C506" s="1" t="n">
        <v>45975</v>
      </c>
      <c r="D506" t="inlineStr">
        <is>
          <t>KALMAR LÄN</t>
        </is>
      </c>
      <c r="E506" t="inlineStr">
        <is>
          <t>VIMMERBY</t>
        </is>
      </c>
      <c r="G506" t="n">
        <v>7.5</v>
      </c>
      <c r="H506" t="n">
        <v>0</v>
      </c>
      <c r="I506" t="n">
        <v>0</v>
      </c>
      <c r="J506" t="n">
        <v>0</v>
      </c>
      <c r="K506" t="n">
        <v>0</v>
      </c>
      <c r="L506" t="n">
        <v>0</v>
      </c>
      <c r="M506" t="n">
        <v>0</v>
      </c>
      <c r="N506" t="n">
        <v>0</v>
      </c>
      <c r="O506" t="n">
        <v>0</v>
      </c>
      <c r="P506" t="n">
        <v>0</v>
      </c>
      <c r="Q506" t="n">
        <v>0</v>
      </c>
      <c r="R506" s="2" t="inlineStr"/>
    </row>
    <row r="507" ht="15" customHeight="1">
      <c r="A507" t="inlineStr">
        <is>
          <t>A 25582-2024</t>
        </is>
      </c>
      <c r="B507" s="1" t="n">
        <v>45463</v>
      </c>
      <c r="C507" s="1" t="n">
        <v>45975</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57578-2024</t>
        </is>
      </c>
      <c r="B508" s="1" t="n">
        <v>45630.47564814815</v>
      </c>
      <c r="C508" s="1" t="n">
        <v>45975</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43092-2024</t>
        </is>
      </c>
      <c r="B509" s="1" t="n">
        <v>45567</v>
      </c>
      <c r="C509" s="1" t="n">
        <v>45975</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11619-2023</t>
        </is>
      </c>
      <c r="B510" s="1" t="n">
        <v>44994.42113425926</v>
      </c>
      <c r="C510" s="1" t="n">
        <v>45975</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5074-2023</t>
        </is>
      </c>
      <c r="B511" s="1" t="n">
        <v>44958.61047453704</v>
      </c>
      <c r="C511" s="1" t="n">
        <v>45975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6368-2023</t>
        </is>
      </c>
      <c r="B512" s="1" t="n">
        <v>44965</v>
      </c>
      <c r="C512" s="1" t="n">
        <v>45975</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5701-2024</t>
        </is>
      </c>
      <c r="B513" s="1" t="n">
        <v>45334.78826388889</v>
      </c>
      <c r="C513" s="1" t="n">
        <v>45975</v>
      </c>
      <c r="D513" t="inlineStr">
        <is>
          <t>KALMAR LÄN</t>
        </is>
      </c>
      <c r="E513" t="inlineStr">
        <is>
          <t>VIMMERBY</t>
        </is>
      </c>
      <c r="G513" t="n">
        <v>2.3</v>
      </c>
      <c r="H513" t="n">
        <v>0</v>
      </c>
      <c r="I513" t="n">
        <v>0</v>
      </c>
      <c r="J513" t="n">
        <v>0</v>
      </c>
      <c r="K513" t="n">
        <v>0</v>
      </c>
      <c r="L513" t="n">
        <v>0</v>
      </c>
      <c r="M513" t="n">
        <v>0</v>
      </c>
      <c r="N513" t="n">
        <v>0</v>
      </c>
      <c r="O513" t="n">
        <v>0</v>
      </c>
      <c r="P513" t="n">
        <v>0</v>
      </c>
      <c r="Q513" t="n">
        <v>0</v>
      </c>
      <c r="R513" s="2" t="inlineStr"/>
    </row>
    <row r="514" ht="15" customHeight="1">
      <c r="A514" t="inlineStr">
        <is>
          <t>A 22399-2025</t>
        </is>
      </c>
      <c r="B514" s="1" t="n">
        <v>45786.52996527778</v>
      </c>
      <c r="C514" s="1" t="n">
        <v>45975</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48600-2025</t>
        </is>
      </c>
      <c r="B515" s="1" t="n">
        <v>45935</v>
      </c>
      <c r="C515" s="1" t="n">
        <v>45975</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39801-2025</t>
        </is>
      </c>
      <c r="B516" s="1" t="n">
        <v>45891.50216435185</v>
      </c>
      <c r="C516" s="1" t="n">
        <v>45975</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7797-2023</t>
        </is>
      </c>
      <c r="B517" s="1" t="n">
        <v>44973.43075231482</v>
      </c>
      <c r="C517" s="1" t="n">
        <v>45975</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39807-2025</t>
        </is>
      </c>
      <c r="B518" s="1" t="n">
        <v>45891.50986111111</v>
      </c>
      <c r="C518" s="1" t="n">
        <v>45975</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24655-2021</t>
        </is>
      </c>
      <c r="B519" s="1" t="n">
        <v>44340</v>
      </c>
      <c r="C519" s="1" t="n">
        <v>45975</v>
      </c>
      <c r="D519" t="inlineStr">
        <is>
          <t>KALMAR LÄN</t>
        </is>
      </c>
      <c r="E519" t="inlineStr">
        <is>
          <t>VIMMERBY</t>
        </is>
      </c>
      <c r="G519" t="n">
        <v>14.9</v>
      </c>
      <c r="H519" t="n">
        <v>0</v>
      </c>
      <c r="I519" t="n">
        <v>0</v>
      </c>
      <c r="J519" t="n">
        <v>0</v>
      </c>
      <c r="K519" t="n">
        <v>0</v>
      </c>
      <c r="L519" t="n">
        <v>0</v>
      </c>
      <c r="M519" t="n">
        <v>0</v>
      </c>
      <c r="N519" t="n">
        <v>0</v>
      </c>
      <c r="O519" t="n">
        <v>0</v>
      </c>
      <c r="P519" t="n">
        <v>0</v>
      </c>
      <c r="Q519" t="n">
        <v>0</v>
      </c>
      <c r="R519" s="2" t="inlineStr"/>
    </row>
    <row r="520" ht="15" customHeight="1">
      <c r="A520" t="inlineStr">
        <is>
          <t>A 48408-2025</t>
        </is>
      </c>
      <c r="B520" s="1" t="n">
        <v>45934.40527777778</v>
      </c>
      <c r="C520" s="1" t="n">
        <v>45975</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22397-2025</t>
        </is>
      </c>
      <c r="B521" s="1" t="n">
        <v>45786.52878472222</v>
      </c>
      <c r="C521" s="1" t="n">
        <v>45975</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8410-2023</t>
        </is>
      </c>
      <c r="B522" s="1" t="n">
        <v>44977</v>
      </c>
      <c r="C522" s="1" t="n">
        <v>45975</v>
      </c>
      <c r="D522" t="inlineStr">
        <is>
          <t>KALMAR LÄN</t>
        </is>
      </c>
      <c r="E522" t="inlineStr">
        <is>
          <t>VIMMERBY</t>
        </is>
      </c>
      <c r="G522" t="n">
        <v>0.9</v>
      </c>
      <c r="H522" t="n">
        <v>0</v>
      </c>
      <c r="I522" t="n">
        <v>0</v>
      </c>
      <c r="J522" t="n">
        <v>0</v>
      </c>
      <c r="K522" t="n">
        <v>0</v>
      </c>
      <c r="L522" t="n">
        <v>0</v>
      </c>
      <c r="M522" t="n">
        <v>0</v>
      </c>
      <c r="N522" t="n">
        <v>0</v>
      </c>
      <c r="O522" t="n">
        <v>0</v>
      </c>
      <c r="P522" t="n">
        <v>0</v>
      </c>
      <c r="Q522" t="n">
        <v>0</v>
      </c>
      <c r="R522" s="2" t="inlineStr"/>
    </row>
    <row r="523" ht="15" customHeight="1">
      <c r="A523" t="inlineStr">
        <is>
          <t>A 48409-2025</t>
        </is>
      </c>
      <c r="B523" s="1" t="n">
        <v>45934.41387731482</v>
      </c>
      <c r="C523" s="1" t="n">
        <v>45975</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59598-2023</t>
        </is>
      </c>
      <c r="B524" s="1" t="n">
        <v>45254.62489583333</v>
      </c>
      <c r="C524" s="1" t="n">
        <v>45975</v>
      </c>
      <c r="D524" t="inlineStr">
        <is>
          <t>KALMAR LÄN</t>
        </is>
      </c>
      <c r="E524" t="inlineStr">
        <is>
          <t>VIMMERBY</t>
        </is>
      </c>
      <c r="F524" t="inlineStr">
        <is>
          <t>Övriga Aktiebolag</t>
        </is>
      </c>
      <c r="G524" t="n">
        <v>4</v>
      </c>
      <c r="H524" t="n">
        <v>0</v>
      </c>
      <c r="I524" t="n">
        <v>0</v>
      </c>
      <c r="J524" t="n">
        <v>0</v>
      </c>
      <c r="K524" t="n">
        <v>0</v>
      </c>
      <c r="L524" t="n">
        <v>0</v>
      </c>
      <c r="M524" t="n">
        <v>0</v>
      </c>
      <c r="N524" t="n">
        <v>0</v>
      </c>
      <c r="O524" t="n">
        <v>0</v>
      </c>
      <c r="P524" t="n">
        <v>0</v>
      </c>
      <c r="Q524" t="n">
        <v>0</v>
      </c>
      <c r="R524" s="2" t="inlineStr"/>
    </row>
    <row r="525" ht="15" customHeight="1">
      <c r="A525" t="inlineStr">
        <is>
          <t>A 6028-2023</t>
        </is>
      </c>
      <c r="B525" s="1" t="n">
        <v>44964.44356481481</v>
      </c>
      <c r="C525" s="1" t="n">
        <v>45975</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39736-2025</t>
        </is>
      </c>
      <c r="B526" s="1" t="n">
        <v>45891</v>
      </c>
      <c r="C526" s="1" t="n">
        <v>45975</v>
      </c>
      <c r="D526" t="inlineStr">
        <is>
          <t>KALMAR LÄN</t>
        </is>
      </c>
      <c r="E526" t="inlineStr">
        <is>
          <t>VIMMERBY</t>
        </is>
      </c>
      <c r="G526" t="n">
        <v>12.8</v>
      </c>
      <c r="H526" t="n">
        <v>0</v>
      </c>
      <c r="I526" t="n">
        <v>0</v>
      </c>
      <c r="J526" t="n">
        <v>0</v>
      </c>
      <c r="K526" t="n">
        <v>0</v>
      </c>
      <c r="L526" t="n">
        <v>0</v>
      </c>
      <c r="M526" t="n">
        <v>0</v>
      </c>
      <c r="N526" t="n">
        <v>0</v>
      </c>
      <c r="O526" t="n">
        <v>0</v>
      </c>
      <c r="P526" t="n">
        <v>0</v>
      </c>
      <c r="Q526" t="n">
        <v>0</v>
      </c>
      <c r="R526" s="2" t="inlineStr"/>
    </row>
    <row r="527" ht="15" customHeight="1">
      <c r="A527" t="inlineStr">
        <is>
          <t>A 52823-2024</t>
        </is>
      </c>
      <c r="B527" s="1" t="n">
        <v>45610.59094907407</v>
      </c>
      <c r="C527" s="1" t="n">
        <v>45975</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30920-2023</t>
        </is>
      </c>
      <c r="B528" s="1" t="n">
        <v>45113.43921296296</v>
      </c>
      <c r="C528" s="1" t="n">
        <v>45975</v>
      </c>
      <c r="D528" t="inlineStr">
        <is>
          <t>KALMAR LÄN</t>
        </is>
      </c>
      <c r="E528" t="inlineStr">
        <is>
          <t>VIMMERBY</t>
        </is>
      </c>
      <c r="G528" t="n">
        <v>3.1</v>
      </c>
      <c r="H528" t="n">
        <v>0</v>
      </c>
      <c r="I528" t="n">
        <v>0</v>
      </c>
      <c r="J528" t="n">
        <v>0</v>
      </c>
      <c r="K528" t="n">
        <v>0</v>
      </c>
      <c r="L528" t="n">
        <v>0</v>
      </c>
      <c r="M528" t="n">
        <v>0</v>
      </c>
      <c r="N528" t="n">
        <v>0</v>
      </c>
      <c r="O528" t="n">
        <v>0</v>
      </c>
      <c r="P528" t="n">
        <v>0</v>
      </c>
      <c r="Q528" t="n">
        <v>0</v>
      </c>
      <c r="R528" s="2" t="inlineStr"/>
    </row>
    <row r="529" ht="15" customHeight="1">
      <c r="A529" t="inlineStr">
        <is>
          <t>A 48723-2025</t>
        </is>
      </c>
      <c r="B529" s="1" t="n">
        <v>45936.65121527778</v>
      </c>
      <c r="C529" s="1" t="n">
        <v>45975</v>
      </c>
      <c r="D529" t="inlineStr">
        <is>
          <t>KALMAR LÄN</t>
        </is>
      </c>
      <c r="E529" t="inlineStr">
        <is>
          <t>VIMMERBY</t>
        </is>
      </c>
      <c r="G529" t="n">
        <v>3</v>
      </c>
      <c r="H529" t="n">
        <v>0</v>
      </c>
      <c r="I529" t="n">
        <v>0</v>
      </c>
      <c r="J529" t="n">
        <v>0</v>
      </c>
      <c r="K529" t="n">
        <v>0</v>
      </c>
      <c r="L529" t="n">
        <v>0</v>
      </c>
      <c r="M529" t="n">
        <v>0</v>
      </c>
      <c r="N529" t="n">
        <v>0</v>
      </c>
      <c r="O529" t="n">
        <v>0</v>
      </c>
      <c r="P529" t="n">
        <v>0</v>
      </c>
      <c r="Q529" t="n">
        <v>0</v>
      </c>
      <c r="R529" s="2" t="inlineStr"/>
    </row>
    <row r="530" ht="15" customHeight="1">
      <c r="A530" t="inlineStr">
        <is>
          <t>A 48712-2025</t>
        </is>
      </c>
      <c r="B530" s="1" t="n">
        <v>45936.63373842592</v>
      </c>
      <c r="C530" s="1" t="n">
        <v>45975</v>
      </c>
      <c r="D530" t="inlineStr">
        <is>
          <t>KALMAR LÄN</t>
        </is>
      </c>
      <c r="E530" t="inlineStr">
        <is>
          <t>VIMMERBY</t>
        </is>
      </c>
      <c r="G530" t="n">
        <v>3</v>
      </c>
      <c r="H530" t="n">
        <v>0</v>
      </c>
      <c r="I530" t="n">
        <v>0</v>
      </c>
      <c r="J530" t="n">
        <v>0</v>
      </c>
      <c r="K530" t="n">
        <v>0</v>
      </c>
      <c r="L530" t="n">
        <v>0</v>
      </c>
      <c r="M530" t="n">
        <v>0</v>
      </c>
      <c r="N530" t="n">
        <v>0</v>
      </c>
      <c r="O530" t="n">
        <v>0</v>
      </c>
      <c r="P530" t="n">
        <v>0</v>
      </c>
      <c r="Q530" t="n">
        <v>0</v>
      </c>
      <c r="R530" s="2" t="inlineStr"/>
    </row>
    <row r="531" ht="15" customHeight="1">
      <c r="A531" t="inlineStr">
        <is>
          <t>A 39803-2025</t>
        </is>
      </c>
      <c r="B531" s="1" t="n">
        <v>45891.50525462963</v>
      </c>
      <c r="C531" s="1" t="n">
        <v>45975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39889-2025</t>
        </is>
      </c>
      <c r="B532" s="1" t="n">
        <v>45891</v>
      </c>
      <c r="C532" s="1" t="n">
        <v>45975</v>
      </c>
      <c r="D532" t="inlineStr">
        <is>
          <t>KALMAR LÄN</t>
        </is>
      </c>
      <c r="E532" t="inlineStr">
        <is>
          <t>VIMMERBY</t>
        </is>
      </c>
      <c r="G532" t="n">
        <v>4.5</v>
      </c>
      <c r="H532" t="n">
        <v>0</v>
      </c>
      <c r="I532" t="n">
        <v>0</v>
      </c>
      <c r="J532" t="n">
        <v>0</v>
      </c>
      <c r="K532" t="n">
        <v>0</v>
      </c>
      <c r="L532" t="n">
        <v>0</v>
      </c>
      <c r="M532" t="n">
        <v>0</v>
      </c>
      <c r="N532" t="n">
        <v>0</v>
      </c>
      <c r="O532" t="n">
        <v>0</v>
      </c>
      <c r="P532" t="n">
        <v>0</v>
      </c>
      <c r="Q532" t="n">
        <v>0</v>
      </c>
      <c r="R532" s="2" t="inlineStr"/>
    </row>
    <row r="533" ht="15" customHeight="1">
      <c r="A533" t="inlineStr">
        <is>
          <t>A 56853-2022</t>
        </is>
      </c>
      <c r="B533" s="1" t="n">
        <v>44894.49538194444</v>
      </c>
      <c r="C533" s="1" t="n">
        <v>45975</v>
      </c>
      <c r="D533" t="inlineStr">
        <is>
          <t>KALMAR LÄN</t>
        </is>
      </c>
      <c r="E533" t="inlineStr">
        <is>
          <t>VIMMERBY</t>
        </is>
      </c>
      <c r="G533" t="n">
        <v>4.3</v>
      </c>
      <c r="H533" t="n">
        <v>0</v>
      </c>
      <c r="I533" t="n">
        <v>0</v>
      </c>
      <c r="J533" t="n">
        <v>0</v>
      </c>
      <c r="K533" t="n">
        <v>0</v>
      </c>
      <c r="L533" t="n">
        <v>0</v>
      </c>
      <c r="M533" t="n">
        <v>0</v>
      </c>
      <c r="N533" t="n">
        <v>0</v>
      </c>
      <c r="O533" t="n">
        <v>0</v>
      </c>
      <c r="P533" t="n">
        <v>0</v>
      </c>
      <c r="Q533" t="n">
        <v>0</v>
      </c>
      <c r="R533" s="2" t="inlineStr"/>
    </row>
    <row r="534" ht="15" customHeight="1">
      <c r="A534" t="inlineStr">
        <is>
          <t>A 11152-2023</t>
        </is>
      </c>
      <c r="B534" s="1" t="n">
        <v>44992</v>
      </c>
      <c r="C534" s="1" t="n">
        <v>45975</v>
      </c>
      <c r="D534" t="inlineStr">
        <is>
          <t>KALMAR LÄN</t>
        </is>
      </c>
      <c r="E534" t="inlineStr">
        <is>
          <t>VIMMERBY</t>
        </is>
      </c>
      <c r="G534" t="n">
        <v>10.6</v>
      </c>
      <c r="H534" t="n">
        <v>0</v>
      </c>
      <c r="I534" t="n">
        <v>0</v>
      </c>
      <c r="J534" t="n">
        <v>0</v>
      </c>
      <c r="K534" t="n">
        <v>0</v>
      </c>
      <c r="L534" t="n">
        <v>0</v>
      </c>
      <c r="M534" t="n">
        <v>0</v>
      </c>
      <c r="N534" t="n">
        <v>0</v>
      </c>
      <c r="O534" t="n">
        <v>0</v>
      </c>
      <c r="P534" t="n">
        <v>0</v>
      </c>
      <c r="Q534" t="n">
        <v>0</v>
      </c>
      <c r="R534" s="2" t="inlineStr"/>
    </row>
    <row r="535" ht="15" customHeight="1">
      <c r="A535" t="inlineStr">
        <is>
          <t>A 15550-2023</t>
        </is>
      </c>
      <c r="B535" s="1" t="n">
        <v>45020</v>
      </c>
      <c r="C535" s="1" t="n">
        <v>45975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48299-2025</t>
        </is>
      </c>
      <c r="B536" s="1" t="n">
        <v>45933.60982638889</v>
      </c>
      <c r="C536" s="1" t="n">
        <v>45975</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11442-2025</t>
        </is>
      </c>
      <c r="B537" s="1" t="n">
        <v>45726.62721064815</v>
      </c>
      <c r="C537" s="1" t="n">
        <v>45975</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6307-2025</t>
        </is>
      </c>
      <c r="B538" s="1" t="n">
        <v>45698.69016203703</v>
      </c>
      <c r="C538" s="1" t="n">
        <v>45975</v>
      </c>
      <c r="D538" t="inlineStr">
        <is>
          <t>KALMAR LÄN</t>
        </is>
      </c>
      <c r="E538" t="inlineStr">
        <is>
          <t>VIMMERBY</t>
        </is>
      </c>
      <c r="G538" t="n">
        <v>3</v>
      </c>
      <c r="H538" t="n">
        <v>0</v>
      </c>
      <c r="I538" t="n">
        <v>0</v>
      </c>
      <c r="J538" t="n">
        <v>0</v>
      </c>
      <c r="K538" t="n">
        <v>0</v>
      </c>
      <c r="L538" t="n">
        <v>0</v>
      </c>
      <c r="M538" t="n">
        <v>0</v>
      </c>
      <c r="N538" t="n">
        <v>0</v>
      </c>
      <c r="O538" t="n">
        <v>0</v>
      </c>
      <c r="P538" t="n">
        <v>0</v>
      </c>
      <c r="Q538" t="n">
        <v>0</v>
      </c>
      <c r="R538" s="2" t="inlineStr"/>
    </row>
    <row r="539" ht="15" customHeight="1">
      <c r="A539" t="inlineStr">
        <is>
          <t>A 40929-2022</t>
        </is>
      </c>
      <c r="B539" s="1" t="n">
        <v>44825.4336574074</v>
      </c>
      <c r="C539" s="1" t="n">
        <v>45975</v>
      </c>
      <c r="D539" t="inlineStr">
        <is>
          <t>KALMAR LÄN</t>
        </is>
      </c>
      <c r="E539" t="inlineStr">
        <is>
          <t>VIMMERBY</t>
        </is>
      </c>
      <c r="G539" t="n">
        <v>2.5</v>
      </c>
      <c r="H539" t="n">
        <v>0</v>
      </c>
      <c r="I539" t="n">
        <v>0</v>
      </c>
      <c r="J539" t="n">
        <v>0</v>
      </c>
      <c r="K539" t="n">
        <v>0</v>
      </c>
      <c r="L539" t="n">
        <v>0</v>
      </c>
      <c r="M539" t="n">
        <v>0</v>
      </c>
      <c r="N539" t="n">
        <v>0</v>
      </c>
      <c r="O539" t="n">
        <v>0</v>
      </c>
      <c r="P539" t="n">
        <v>0</v>
      </c>
      <c r="Q539" t="n">
        <v>0</v>
      </c>
      <c r="R539" s="2" t="inlineStr"/>
    </row>
    <row r="540" ht="15" customHeight="1">
      <c r="A540" t="inlineStr">
        <is>
          <t>A 33380-2023</t>
        </is>
      </c>
      <c r="B540" s="1" t="n">
        <v>45128</v>
      </c>
      <c r="C540" s="1" t="n">
        <v>45975</v>
      </c>
      <c r="D540" t="inlineStr">
        <is>
          <t>KALMAR LÄN</t>
        </is>
      </c>
      <c r="E540" t="inlineStr">
        <is>
          <t>VIMMERBY</t>
        </is>
      </c>
      <c r="G540" t="n">
        <v>5.2</v>
      </c>
      <c r="H540" t="n">
        <v>0</v>
      </c>
      <c r="I540" t="n">
        <v>0</v>
      </c>
      <c r="J540" t="n">
        <v>0</v>
      </c>
      <c r="K540" t="n">
        <v>0</v>
      </c>
      <c r="L540" t="n">
        <v>0</v>
      </c>
      <c r="M540" t="n">
        <v>0</v>
      </c>
      <c r="N540" t="n">
        <v>0</v>
      </c>
      <c r="O540" t="n">
        <v>0</v>
      </c>
      <c r="P540" t="n">
        <v>0</v>
      </c>
      <c r="Q540" t="n">
        <v>0</v>
      </c>
      <c r="R540" s="2" t="inlineStr"/>
    </row>
    <row r="541" ht="15" customHeight="1">
      <c r="A541" t="inlineStr">
        <is>
          <t>A 46144-2023</t>
        </is>
      </c>
      <c r="B541" s="1" t="n">
        <v>45196.57247685185</v>
      </c>
      <c r="C541" s="1" t="n">
        <v>45975</v>
      </c>
      <c r="D541" t="inlineStr">
        <is>
          <t>KALMAR LÄN</t>
        </is>
      </c>
      <c r="E541" t="inlineStr">
        <is>
          <t>VIMMERBY</t>
        </is>
      </c>
      <c r="G541" t="n">
        <v>6.5</v>
      </c>
      <c r="H541" t="n">
        <v>0</v>
      </c>
      <c r="I541" t="n">
        <v>0</v>
      </c>
      <c r="J541" t="n">
        <v>0</v>
      </c>
      <c r="K541" t="n">
        <v>0</v>
      </c>
      <c r="L541" t="n">
        <v>0</v>
      </c>
      <c r="M541" t="n">
        <v>0</v>
      </c>
      <c r="N541" t="n">
        <v>0</v>
      </c>
      <c r="O541" t="n">
        <v>0</v>
      </c>
      <c r="P541" t="n">
        <v>0</v>
      </c>
      <c r="Q541" t="n">
        <v>0</v>
      </c>
      <c r="R541" s="2" t="inlineStr"/>
    </row>
    <row r="542" ht="15" customHeight="1">
      <c r="A542" t="inlineStr">
        <is>
          <t>A 54787-2023</t>
        </is>
      </c>
      <c r="B542" s="1" t="n">
        <v>45236</v>
      </c>
      <c r="C542" s="1" t="n">
        <v>45975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15715-2022</t>
        </is>
      </c>
      <c r="B543" s="1" t="n">
        <v>44663</v>
      </c>
      <c r="C543" s="1" t="n">
        <v>45975</v>
      </c>
      <c r="D543" t="inlineStr">
        <is>
          <t>KALMAR LÄN</t>
        </is>
      </c>
      <c r="E543" t="inlineStr">
        <is>
          <t>VIMMERBY</t>
        </is>
      </c>
      <c r="G543" t="n">
        <v>2.3</v>
      </c>
      <c r="H543" t="n">
        <v>0</v>
      </c>
      <c r="I543" t="n">
        <v>0</v>
      </c>
      <c r="J543" t="n">
        <v>0</v>
      </c>
      <c r="K543" t="n">
        <v>0</v>
      </c>
      <c r="L543" t="n">
        <v>0</v>
      </c>
      <c r="M543" t="n">
        <v>0</v>
      </c>
      <c r="N543" t="n">
        <v>0</v>
      </c>
      <c r="O543" t="n">
        <v>0</v>
      </c>
      <c r="P543" t="n">
        <v>0</v>
      </c>
      <c r="Q543" t="n">
        <v>0</v>
      </c>
      <c r="R543" s="2" t="inlineStr"/>
    </row>
    <row r="544" ht="15" customHeight="1">
      <c r="A544" t="inlineStr">
        <is>
          <t>A 43774-2023</t>
        </is>
      </c>
      <c r="B544" s="1" t="n">
        <v>45187</v>
      </c>
      <c r="C544" s="1" t="n">
        <v>45975</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43705-2023</t>
        </is>
      </c>
      <c r="B545" s="1" t="n">
        <v>45187.42854166667</v>
      </c>
      <c r="C545" s="1" t="n">
        <v>45975</v>
      </c>
      <c r="D545" t="inlineStr">
        <is>
          <t>KALMAR LÄN</t>
        </is>
      </c>
      <c r="E545" t="inlineStr">
        <is>
          <t>VIMMERBY</t>
        </is>
      </c>
      <c r="G545" t="n">
        <v>1.2</v>
      </c>
      <c r="H545" t="n">
        <v>0</v>
      </c>
      <c r="I545" t="n">
        <v>0</v>
      </c>
      <c r="J545" t="n">
        <v>0</v>
      </c>
      <c r="K545" t="n">
        <v>0</v>
      </c>
      <c r="L545" t="n">
        <v>0</v>
      </c>
      <c r="M545" t="n">
        <v>0</v>
      </c>
      <c r="N545" t="n">
        <v>0</v>
      </c>
      <c r="O545" t="n">
        <v>0</v>
      </c>
      <c r="P545" t="n">
        <v>0</v>
      </c>
      <c r="Q545" t="n">
        <v>0</v>
      </c>
      <c r="R545" s="2" t="inlineStr"/>
    </row>
    <row r="546" ht="15" customHeight="1">
      <c r="A546" t="inlineStr">
        <is>
          <t>A 7932-2025</t>
        </is>
      </c>
      <c r="B546" s="1" t="n">
        <v>45707.3793287037</v>
      </c>
      <c r="C546" s="1" t="n">
        <v>45975</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31355-2023</t>
        </is>
      </c>
      <c r="B547" s="1" t="n">
        <v>45114.49505787037</v>
      </c>
      <c r="C547" s="1" t="n">
        <v>45975</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13532-2025</t>
        </is>
      </c>
      <c r="B548" s="1" t="n">
        <v>45736.50743055555</v>
      </c>
      <c r="C548" s="1" t="n">
        <v>45975</v>
      </c>
      <c r="D548" t="inlineStr">
        <is>
          <t>KALMAR LÄN</t>
        </is>
      </c>
      <c r="E548" t="inlineStr">
        <is>
          <t>VIMMERBY</t>
        </is>
      </c>
      <c r="G548" t="n">
        <v>3.6</v>
      </c>
      <c r="H548" t="n">
        <v>0</v>
      </c>
      <c r="I548" t="n">
        <v>0</v>
      </c>
      <c r="J548" t="n">
        <v>0</v>
      </c>
      <c r="K548" t="n">
        <v>0</v>
      </c>
      <c r="L548" t="n">
        <v>0</v>
      </c>
      <c r="M548" t="n">
        <v>0</v>
      </c>
      <c r="N548" t="n">
        <v>0</v>
      </c>
      <c r="O548" t="n">
        <v>0</v>
      </c>
      <c r="P548" t="n">
        <v>0</v>
      </c>
      <c r="Q548" t="n">
        <v>0</v>
      </c>
      <c r="R548" s="2" t="inlineStr"/>
    </row>
    <row r="549" ht="15" customHeight="1">
      <c r="A549" t="inlineStr">
        <is>
          <t>A 65049-2020</t>
        </is>
      </c>
      <c r="B549" s="1" t="n">
        <v>44172</v>
      </c>
      <c r="C549" s="1" t="n">
        <v>45975</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18330-2023</t>
        </is>
      </c>
      <c r="B550" s="1" t="n">
        <v>45041</v>
      </c>
      <c r="C550" s="1" t="n">
        <v>45975</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23394-2025</t>
        </is>
      </c>
      <c r="B551" s="1" t="n">
        <v>45791.89865740741</v>
      </c>
      <c r="C551" s="1" t="n">
        <v>45975</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58100-2024</t>
        </is>
      </c>
      <c r="B552" s="1" t="n">
        <v>45632.36706018518</v>
      </c>
      <c r="C552" s="1" t="n">
        <v>45975</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27993-2022</t>
        </is>
      </c>
      <c r="B553" s="1" t="n">
        <v>44745.84396990741</v>
      </c>
      <c r="C553" s="1" t="n">
        <v>45975</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38969-2023</t>
        </is>
      </c>
      <c r="B554" s="1" t="n">
        <v>45163.63621527778</v>
      </c>
      <c r="C554" s="1" t="n">
        <v>45975</v>
      </c>
      <c r="D554" t="inlineStr">
        <is>
          <t>KALMAR LÄN</t>
        </is>
      </c>
      <c r="E554" t="inlineStr">
        <is>
          <t>VIMMERBY</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53752-2024</t>
        </is>
      </c>
      <c r="B555" s="1" t="n">
        <v>45615.48927083334</v>
      </c>
      <c r="C555" s="1" t="n">
        <v>45975</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40970-2025</t>
        </is>
      </c>
      <c r="B556" s="1" t="n">
        <v>45897.88706018519</v>
      </c>
      <c r="C556" s="1" t="n">
        <v>45975</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40973-2025</t>
        </is>
      </c>
      <c r="B557" s="1" t="n">
        <v>45897.89737268518</v>
      </c>
      <c r="C557" s="1" t="n">
        <v>45975</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41224-2025</t>
        </is>
      </c>
      <c r="B558" s="1" t="n">
        <v>45898.58861111111</v>
      </c>
      <c r="C558" s="1" t="n">
        <v>45975</v>
      </c>
      <c r="D558" t="inlineStr">
        <is>
          <t>KALMAR LÄN</t>
        </is>
      </c>
      <c r="E558" t="inlineStr">
        <is>
          <t>VIMMERBY</t>
        </is>
      </c>
      <c r="G558" t="n">
        <v>4.4</v>
      </c>
      <c r="H558" t="n">
        <v>0</v>
      </c>
      <c r="I558" t="n">
        <v>0</v>
      </c>
      <c r="J558" t="n">
        <v>0</v>
      </c>
      <c r="K558" t="n">
        <v>0</v>
      </c>
      <c r="L558" t="n">
        <v>0</v>
      </c>
      <c r="M558" t="n">
        <v>0</v>
      </c>
      <c r="N558" t="n">
        <v>0</v>
      </c>
      <c r="O558" t="n">
        <v>0</v>
      </c>
      <c r="P558" t="n">
        <v>0</v>
      </c>
      <c r="Q558" t="n">
        <v>0</v>
      </c>
      <c r="R558" s="2" t="inlineStr"/>
    </row>
    <row r="559" ht="15" customHeight="1">
      <c r="A559" t="inlineStr">
        <is>
          <t>A 1978-2024</t>
        </is>
      </c>
      <c r="B559" s="1" t="n">
        <v>45308.59001157407</v>
      </c>
      <c r="C559" s="1" t="n">
        <v>45975</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6399-2025</t>
        </is>
      </c>
      <c r="B560" s="1" t="n">
        <v>45699.44291666667</v>
      </c>
      <c r="C560" s="1" t="n">
        <v>45975</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41311-2023</t>
        </is>
      </c>
      <c r="B561" s="1" t="n">
        <v>45174</v>
      </c>
      <c r="C561" s="1" t="n">
        <v>45975</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58728-2024</t>
        </is>
      </c>
      <c r="B562" s="1" t="n">
        <v>45635.66695601852</v>
      </c>
      <c r="C562" s="1" t="n">
        <v>45975</v>
      </c>
      <c r="D562" t="inlineStr">
        <is>
          <t>KALMAR LÄN</t>
        </is>
      </c>
      <c r="E562" t="inlineStr">
        <is>
          <t>VIMMERBY</t>
        </is>
      </c>
      <c r="G562" t="n">
        <v>0.4</v>
      </c>
      <c r="H562" t="n">
        <v>0</v>
      </c>
      <c r="I562" t="n">
        <v>0</v>
      </c>
      <c r="J562" t="n">
        <v>0</v>
      </c>
      <c r="K562" t="n">
        <v>0</v>
      </c>
      <c r="L562" t="n">
        <v>0</v>
      </c>
      <c r="M562" t="n">
        <v>0</v>
      </c>
      <c r="N562" t="n">
        <v>0</v>
      </c>
      <c r="O562" t="n">
        <v>0</v>
      </c>
      <c r="P562" t="n">
        <v>0</v>
      </c>
      <c r="Q562" t="n">
        <v>0</v>
      </c>
      <c r="R562" s="2" t="inlineStr"/>
    </row>
    <row r="563" ht="15" customHeight="1">
      <c r="A563" t="inlineStr">
        <is>
          <t>A 23984-2025</t>
        </is>
      </c>
      <c r="B563" s="1" t="n">
        <v>45796</v>
      </c>
      <c r="C563" s="1" t="n">
        <v>45975</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43242-2024</t>
        </is>
      </c>
      <c r="B564" s="1" t="n">
        <v>45568.30189814815</v>
      </c>
      <c r="C564" s="1" t="n">
        <v>45975</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16983-2023</t>
        </is>
      </c>
      <c r="B565" s="1" t="n">
        <v>45033.76043981482</v>
      </c>
      <c r="C565" s="1" t="n">
        <v>45975</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49871-2025</t>
        </is>
      </c>
      <c r="B566" s="1" t="n">
        <v>45940.54104166666</v>
      </c>
      <c r="C566" s="1" t="n">
        <v>45975</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6405-2025</t>
        </is>
      </c>
      <c r="B567" s="1" t="n">
        <v>45699.45392361111</v>
      </c>
      <c r="C567" s="1" t="n">
        <v>45975</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36843-2023</t>
        </is>
      </c>
      <c r="B568" s="1" t="n">
        <v>45154.49831018518</v>
      </c>
      <c r="C568" s="1" t="n">
        <v>45975</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57486-2024</t>
        </is>
      </c>
      <c r="B569" s="1" t="n">
        <v>45630.35827546296</v>
      </c>
      <c r="C569" s="1" t="n">
        <v>45975</v>
      </c>
      <c r="D569" t="inlineStr">
        <is>
          <t>KALMAR LÄN</t>
        </is>
      </c>
      <c r="E569" t="inlineStr">
        <is>
          <t>VIMMERBY</t>
        </is>
      </c>
      <c r="G569" t="n">
        <v>0.4</v>
      </c>
      <c r="H569" t="n">
        <v>0</v>
      </c>
      <c r="I569" t="n">
        <v>0</v>
      </c>
      <c r="J569" t="n">
        <v>0</v>
      </c>
      <c r="K569" t="n">
        <v>0</v>
      </c>
      <c r="L569" t="n">
        <v>0</v>
      </c>
      <c r="M569" t="n">
        <v>0</v>
      </c>
      <c r="N569" t="n">
        <v>0</v>
      </c>
      <c r="O569" t="n">
        <v>0</v>
      </c>
      <c r="P569" t="n">
        <v>0</v>
      </c>
      <c r="Q569" t="n">
        <v>0</v>
      </c>
      <c r="R569" s="2" t="inlineStr"/>
    </row>
    <row r="570" ht="15" customHeight="1">
      <c r="A570" t="inlineStr">
        <is>
          <t>A 66295-2020</t>
        </is>
      </c>
      <c r="B570" s="1" t="n">
        <v>44176</v>
      </c>
      <c r="C570" s="1" t="n">
        <v>45975</v>
      </c>
      <c r="D570" t="inlineStr">
        <is>
          <t>KALMAR LÄN</t>
        </is>
      </c>
      <c r="E570" t="inlineStr">
        <is>
          <t>VIMMERBY</t>
        </is>
      </c>
      <c r="G570" t="n">
        <v>4.1</v>
      </c>
      <c r="H570" t="n">
        <v>0</v>
      </c>
      <c r="I570" t="n">
        <v>0</v>
      </c>
      <c r="J570" t="n">
        <v>0</v>
      </c>
      <c r="K570" t="n">
        <v>0</v>
      </c>
      <c r="L570" t="n">
        <v>0</v>
      </c>
      <c r="M570" t="n">
        <v>0</v>
      </c>
      <c r="N570" t="n">
        <v>0</v>
      </c>
      <c r="O570" t="n">
        <v>0</v>
      </c>
      <c r="P570" t="n">
        <v>0</v>
      </c>
      <c r="Q570" t="n">
        <v>0</v>
      </c>
      <c r="R570" s="2" t="inlineStr"/>
    </row>
    <row r="571" ht="15" customHeight="1">
      <c r="A571" t="inlineStr">
        <is>
          <t>A 10785-2025</t>
        </is>
      </c>
      <c r="B571" s="1" t="n">
        <v>45722.48634259259</v>
      </c>
      <c r="C571" s="1" t="n">
        <v>45975</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40925-2025</t>
        </is>
      </c>
      <c r="B572" s="1" t="n">
        <v>45897.64208333333</v>
      </c>
      <c r="C572" s="1" t="n">
        <v>45975</v>
      </c>
      <c r="D572" t="inlineStr">
        <is>
          <t>KALMAR LÄN</t>
        </is>
      </c>
      <c r="E572" t="inlineStr">
        <is>
          <t>VIMMERBY</t>
        </is>
      </c>
      <c r="G572" t="n">
        <v>1.9</v>
      </c>
      <c r="H572" t="n">
        <v>0</v>
      </c>
      <c r="I572" t="n">
        <v>0</v>
      </c>
      <c r="J572" t="n">
        <v>0</v>
      </c>
      <c r="K572" t="n">
        <v>0</v>
      </c>
      <c r="L572" t="n">
        <v>0</v>
      </c>
      <c r="M572" t="n">
        <v>0</v>
      </c>
      <c r="N572" t="n">
        <v>0</v>
      </c>
      <c r="O572" t="n">
        <v>0</v>
      </c>
      <c r="P572" t="n">
        <v>0</v>
      </c>
      <c r="Q572" t="n">
        <v>0</v>
      </c>
      <c r="R572" s="2" t="inlineStr"/>
    </row>
    <row r="573" ht="15" customHeight="1">
      <c r="A573" t="inlineStr">
        <is>
          <t>A 44423-2023</t>
        </is>
      </c>
      <c r="B573" s="1" t="n">
        <v>45189</v>
      </c>
      <c r="C573" s="1" t="n">
        <v>45975</v>
      </c>
      <c r="D573" t="inlineStr">
        <is>
          <t>KALMAR LÄN</t>
        </is>
      </c>
      <c r="E573" t="inlineStr">
        <is>
          <t>VIMMERBY</t>
        </is>
      </c>
      <c r="G573" t="n">
        <v>0.7</v>
      </c>
      <c r="H573" t="n">
        <v>0</v>
      </c>
      <c r="I573" t="n">
        <v>0</v>
      </c>
      <c r="J573" t="n">
        <v>0</v>
      </c>
      <c r="K573" t="n">
        <v>0</v>
      </c>
      <c r="L573" t="n">
        <v>0</v>
      </c>
      <c r="M573" t="n">
        <v>0</v>
      </c>
      <c r="N573" t="n">
        <v>0</v>
      </c>
      <c r="O573" t="n">
        <v>0</v>
      </c>
      <c r="P573" t="n">
        <v>0</v>
      </c>
      <c r="Q573" t="n">
        <v>0</v>
      </c>
      <c r="R573" s="2" t="inlineStr"/>
    </row>
    <row r="574" ht="15" customHeight="1">
      <c r="A574" t="inlineStr">
        <is>
          <t>A 20-2025</t>
        </is>
      </c>
      <c r="B574" s="1" t="n">
        <v>45658.80232638889</v>
      </c>
      <c r="C574" s="1" t="n">
        <v>45975</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23-2025</t>
        </is>
      </c>
      <c r="B575" s="1" t="n">
        <v>45658.80827546296</v>
      </c>
      <c r="C575" s="1" t="n">
        <v>45975</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18020-2025</t>
        </is>
      </c>
      <c r="B576" s="1" t="n">
        <v>45761.4437962963</v>
      </c>
      <c r="C576" s="1" t="n">
        <v>45975</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21496-2023</t>
        </is>
      </c>
      <c r="B577" s="1" t="n">
        <v>45063.49936342592</v>
      </c>
      <c r="C577" s="1" t="n">
        <v>45975</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40921-2025</t>
        </is>
      </c>
      <c r="B578" s="1" t="n">
        <v>45897.63520833333</v>
      </c>
      <c r="C578" s="1" t="n">
        <v>45975</v>
      </c>
      <c r="D578" t="inlineStr">
        <is>
          <t>KALMAR LÄN</t>
        </is>
      </c>
      <c r="E578" t="inlineStr">
        <is>
          <t>VIMMERBY</t>
        </is>
      </c>
      <c r="G578" t="n">
        <v>4.2</v>
      </c>
      <c r="H578" t="n">
        <v>0</v>
      </c>
      <c r="I578" t="n">
        <v>0</v>
      </c>
      <c r="J578" t="n">
        <v>0</v>
      </c>
      <c r="K578" t="n">
        <v>0</v>
      </c>
      <c r="L578" t="n">
        <v>0</v>
      </c>
      <c r="M578" t="n">
        <v>0</v>
      </c>
      <c r="N578" t="n">
        <v>0</v>
      </c>
      <c r="O578" t="n">
        <v>0</v>
      </c>
      <c r="P578" t="n">
        <v>0</v>
      </c>
      <c r="Q578" t="n">
        <v>0</v>
      </c>
      <c r="R578" s="2" t="inlineStr"/>
    </row>
    <row r="579" ht="15" customHeight="1">
      <c r="A579" t="inlineStr">
        <is>
          <t>A 40971-2025</t>
        </is>
      </c>
      <c r="B579" s="1" t="n">
        <v>45897.88836805556</v>
      </c>
      <c r="C579" s="1" t="n">
        <v>45975</v>
      </c>
      <c r="D579" t="inlineStr">
        <is>
          <t>KALMAR LÄN</t>
        </is>
      </c>
      <c r="E579" t="inlineStr">
        <is>
          <t>VIMMERBY</t>
        </is>
      </c>
      <c r="G579" t="n">
        <v>1.5</v>
      </c>
      <c r="H579" t="n">
        <v>0</v>
      </c>
      <c r="I579" t="n">
        <v>0</v>
      </c>
      <c r="J579" t="n">
        <v>0</v>
      </c>
      <c r="K579" t="n">
        <v>0</v>
      </c>
      <c r="L579" t="n">
        <v>0</v>
      </c>
      <c r="M579" t="n">
        <v>0</v>
      </c>
      <c r="N579" t="n">
        <v>0</v>
      </c>
      <c r="O579" t="n">
        <v>0</v>
      </c>
      <c r="P579" t="n">
        <v>0</v>
      </c>
      <c r="Q579" t="n">
        <v>0</v>
      </c>
      <c r="R579" s="2" t="inlineStr"/>
    </row>
    <row r="580" ht="15" customHeight="1">
      <c r="A580" t="inlineStr">
        <is>
          <t>A 585-2024</t>
        </is>
      </c>
      <c r="B580" s="1" t="n">
        <v>45299.62576388889</v>
      </c>
      <c r="C580" s="1" t="n">
        <v>45975</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31056-2022</t>
        </is>
      </c>
      <c r="B581" s="1" t="n">
        <v>44769.45805555556</v>
      </c>
      <c r="C581" s="1" t="n">
        <v>45975</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6802-2025</t>
        </is>
      </c>
      <c r="B582" s="1" t="n">
        <v>45700.68289351852</v>
      </c>
      <c r="C582" s="1" t="n">
        <v>45975</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41591-2025</t>
        </is>
      </c>
      <c r="B583" s="1" t="n">
        <v>45901.6327662037</v>
      </c>
      <c r="C583" s="1" t="n">
        <v>45975</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56020-2024</t>
        </is>
      </c>
      <c r="B584" s="1" t="n">
        <v>45623.9525462963</v>
      </c>
      <c r="C584" s="1" t="n">
        <v>45975</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72701-2021</t>
        </is>
      </c>
      <c r="B585" s="1" t="n">
        <v>44546</v>
      </c>
      <c r="C585" s="1" t="n">
        <v>45975</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33842-2022</t>
        </is>
      </c>
      <c r="B586" s="1" t="n">
        <v>44790.49523148148</v>
      </c>
      <c r="C586" s="1" t="n">
        <v>45975</v>
      </c>
      <c r="D586" t="inlineStr">
        <is>
          <t>KALMAR LÄN</t>
        </is>
      </c>
      <c r="E586" t="inlineStr">
        <is>
          <t>VIMMERBY</t>
        </is>
      </c>
      <c r="G586" t="n">
        <v>1.6</v>
      </c>
      <c r="H586" t="n">
        <v>0</v>
      </c>
      <c r="I586" t="n">
        <v>0</v>
      </c>
      <c r="J586" t="n">
        <v>0</v>
      </c>
      <c r="K586" t="n">
        <v>0</v>
      </c>
      <c r="L586" t="n">
        <v>0</v>
      </c>
      <c r="M586" t="n">
        <v>0</v>
      </c>
      <c r="N586" t="n">
        <v>0</v>
      </c>
      <c r="O586" t="n">
        <v>0</v>
      </c>
      <c r="P586" t="n">
        <v>0</v>
      </c>
      <c r="Q586" t="n">
        <v>0</v>
      </c>
      <c r="R586" s="2" t="inlineStr"/>
    </row>
    <row r="587" ht="15" customHeight="1">
      <c r="A587" t="inlineStr">
        <is>
          <t>A 60675-2023</t>
        </is>
      </c>
      <c r="B587" s="1" t="n">
        <v>45260.4716550926</v>
      </c>
      <c r="C587" s="1" t="n">
        <v>45975</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52294-2023</t>
        </is>
      </c>
      <c r="B588" s="1" t="n">
        <v>45224.60075231481</v>
      </c>
      <c r="C588" s="1" t="n">
        <v>45975</v>
      </c>
      <c r="D588" t="inlineStr">
        <is>
          <t>KALMAR LÄN</t>
        </is>
      </c>
      <c r="E588" t="inlineStr">
        <is>
          <t>VIMMERBY</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61355-2024</t>
        </is>
      </c>
      <c r="B589" s="1" t="n">
        <v>45646.38200231481</v>
      </c>
      <c r="C589" s="1" t="n">
        <v>45975</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40095-2022</t>
        </is>
      </c>
      <c r="B590" s="1" t="n">
        <v>44820</v>
      </c>
      <c r="C590" s="1" t="n">
        <v>45975</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41589-2025</t>
        </is>
      </c>
      <c r="B591" s="1" t="n">
        <v>45901.63219907408</v>
      </c>
      <c r="C591" s="1" t="n">
        <v>45975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19537-2022</t>
        </is>
      </c>
      <c r="B592" s="1" t="n">
        <v>44693.62822916666</v>
      </c>
      <c r="C592" s="1" t="n">
        <v>45975</v>
      </c>
      <c r="D592" t="inlineStr">
        <is>
          <t>KALMAR LÄN</t>
        </is>
      </c>
      <c r="E592" t="inlineStr">
        <is>
          <t>VIMMERBY</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51278-2024</t>
        </is>
      </c>
      <c r="B593" s="1" t="n">
        <v>45603.74959490741</v>
      </c>
      <c r="C593" s="1" t="n">
        <v>45975</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57311-2023</t>
        </is>
      </c>
      <c r="B594" s="1" t="n">
        <v>45245.63574074074</v>
      </c>
      <c r="C594" s="1" t="n">
        <v>45975</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64428-2023</t>
        </is>
      </c>
      <c r="B595" s="1" t="n">
        <v>45280.66769675926</v>
      </c>
      <c r="C595" s="1" t="n">
        <v>45975</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33374-2021</t>
        </is>
      </c>
      <c r="B596" s="1" t="n">
        <v>44377</v>
      </c>
      <c r="C596" s="1" t="n">
        <v>45975</v>
      </c>
      <c r="D596" t="inlineStr">
        <is>
          <t>KALMAR LÄN</t>
        </is>
      </c>
      <c r="E596" t="inlineStr">
        <is>
          <t>VIMMERBY</t>
        </is>
      </c>
      <c r="G596" t="n">
        <v>3.3</v>
      </c>
      <c r="H596" t="n">
        <v>0</v>
      </c>
      <c r="I596" t="n">
        <v>0</v>
      </c>
      <c r="J596" t="n">
        <v>0</v>
      </c>
      <c r="K596" t="n">
        <v>0</v>
      </c>
      <c r="L596" t="n">
        <v>0</v>
      </c>
      <c r="M596" t="n">
        <v>0</v>
      </c>
      <c r="N596" t="n">
        <v>0</v>
      </c>
      <c r="O596" t="n">
        <v>0</v>
      </c>
      <c r="P596" t="n">
        <v>0</v>
      </c>
      <c r="Q596" t="n">
        <v>0</v>
      </c>
      <c r="R596" s="2" t="inlineStr"/>
    </row>
    <row r="597" ht="15" customHeight="1">
      <c r="A597" t="inlineStr">
        <is>
          <t>A 4527-2023</t>
        </is>
      </c>
      <c r="B597" s="1" t="n">
        <v>44956</v>
      </c>
      <c r="C597" s="1" t="n">
        <v>45975</v>
      </c>
      <c r="D597" t="inlineStr">
        <is>
          <t>KALMAR LÄN</t>
        </is>
      </c>
      <c r="E597" t="inlineStr">
        <is>
          <t>VIMMERBY</t>
        </is>
      </c>
      <c r="F597" t="inlineStr">
        <is>
          <t>Kommuner</t>
        </is>
      </c>
      <c r="G597" t="n">
        <v>8.5</v>
      </c>
      <c r="H597" t="n">
        <v>0</v>
      </c>
      <c r="I597" t="n">
        <v>0</v>
      </c>
      <c r="J597" t="n">
        <v>0</v>
      </c>
      <c r="K597" t="n">
        <v>0</v>
      </c>
      <c r="L597" t="n">
        <v>0</v>
      </c>
      <c r="M597" t="n">
        <v>0</v>
      </c>
      <c r="N597" t="n">
        <v>0</v>
      </c>
      <c r="O597" t="n">
        <v>0</v>
      </c>
      <c r="P597" t="n">
        <v>0</v>
      </c>
      <c r="Q597" t="n">
        <v>0</v>
      </c>
      <c r="R597" s="2" t="inlineStr"/>
    </row>
    <row r="598" ht="15" customHeight="1">
      <c r="A598" t="inlineStr">
        <is>
          <t>A 10759-2023</t>
        </is>
      </c>
      <c r="B598" s="1" t="n">
        <v>44988</v>
      </c>
      <c r="C598" s="1" t="n">
        <v>45975</v>
      </c>
      <c r="D598" t="inlineStr">
        <is>
          <t>KALMAR LÄN</t>
        </is>
      </c>
      <c r="E598" t="inlineStr">
        <is>
          <t>VIMMERBY</t>
        </is>
      </c>
      <c r="G598" t="n">
        <v>0.4</v>
      </c>
      <c r="H598" t="n">
        <v>0</v>
      </c>
      <c r="I598" t="n">
        <v>0</v>
      </c>
      <c r="J598" t="n">
        <v>0</v>
      </c>
      <c r="K598" t="n">
        <v>0</v>
      </c>
      <c r="L598" t="n">
        <v>0</v>
      </c>
      <c r="M598" t="n">
        <v>0</v>
      </c>
      <c r="N598" t="n">
        <v>0</v>
      </c>
      <c r="O598" t="n">
        <v>0</v>
      </c>
      <c r="P598" t="n">
        <v>0</v>
      </c>
      <c r="Q598" t="n">
        <v>0</v>
      </c>
      <c r="R598" s="2" t="inlineStr"/>
    </row>
    <row r="599" ht="15" customHeight="1">
      <c r="A599" t="inlineStr">
        <is>
          <t>A 3268-2024</t>
        </is>
      </c>
      <c r="B599" s="1" t="n">
        <v>45317</v>
      </c>
      <c r="C599" s="1" t="n">
        <v>45975</v>
      </c>
      <c r="D599" t="inlineStr">
        <is>
          <t>KALMAR LÄN</t>
        </is>
      </c>
      <c r="E599" t="inlineStr">
        <is>
          <t>VIMMERBY</t>
        </is>
      </c>
      <c r="F599" t="inlineStr">
        <is>
          <t>Övriga Aktiebolag</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18899-2025</t>
        </is>
      </c>
      <c r="B600" s="1" t="n">
        <v>45764.44931712963</v>
      </c>
      <c r="C600" s="1" t="n">
        <v>45975</v>
      </c>
      <c r="D600" t="inlineStr">
        <is>
          <t>KALMAR LÄN</t>
        </is>
      </c>
      <c r="E600" t="inlineStr">
        <is>
          <t>VIMMERBY</t>
        </is>
      </c>
      <c r="F600" t="inlineStr">
        <is>
          <t>Kommuner</t>
        </is>
      </c>
      <c r="G600" t="n">
        <v>4</v>
      </c>
      <c r="H600" t="n">
        <v>0</v>
      </c>
      <c r="I600" t="n">
        <v>0</v>
      </c>
      <c r="J600" t="n">
        <v>0</v>
      </c>
      <c r="K600" t="n">
        <v>0</v>
      </c>
      <c r="L600" t="n">
        <v>0</v>
      </c>
      <c r="M600" t="n">
        <v>0</v>
      </c>
      <c r="N600" t="n">
        <v>0</v>
      </c>
      <c r="O600" t="n">
        <v>0</v>
      </c>
      <c r="P600" t="n">
        <v>0</v>
      </c>
      <c r="Q600" t="n">
        <v>0</v>
      </c>
      <c r="R600" s="2" t="inlineStr"/>
    </row>
    <row r="601" ht="15" customHeight="1">
      <c r="A601" t="inlineStr">
        <is>
          <t>A 35082-2024</t>
        </is>
      </c>
      <c r="B601" s="1" t="n">
        <v>45527.68784722222</v>
      </c>
      <c r="C601" s="1" t="n">
        <v>45975</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50324-2025</t>
        </is>
      </c>
      <c r="B602" s="1" t="n">
        <v>45944.45962962963</v>
      </c>
      <c r="C602" s="1" t="n">
        <v>45975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44582-2024</t>
        </is>
      </c>
      <c r="B603" s="1" t="n">
        <v>45574.49298611111</v>
      </c>
      <c r="C603" s="1" t="n">
        <v>45975</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9456-2025</t>
        </is>
      </c>
      <c r="B604" s="1" t="n">
        <v>45715.44159722222</v>
      </c>
      <c r="C604" s="1" t="n">
        <v>45975</v>
      </c>
      <c r="D604" t="inlineStr">
        <is>
          <t>KALMAR LÄN</t>
        </is>
      </c>
      <c r="E604" t="inlineStr">
        <is>
          <t>VIMMERBY</t>
        </is>
      </c>
      <c r="G604" t="n">
        <v>1.5</v>
      </c>
      <c r="H604" t="n">
        <v>0</v>
      </c>
      <c r="I604" t="n">
        <v>0</v>
      </c>
      <c r="J604" t="n">
        <v>0</v>
      </c>
      <c r="K604" t="n">
        <v>0</v>
      </c>
      <c r="L604" t="n">
        <v>0</v>
      </c>
      <c r="M604" t="n">
        <v>0</v>
      </c>
      <c r="N604" t="n">
        <v>0</v>
      </c>
      <c r="O604" t="n">
        <v>0</v>
      </c>
      <c r="P604" t="n">
        <v>0</v>
      </c>
      <c r="Q604" t="n">
        <v>0</v>
      </c>
      <c r="R604" s="2" t="inlineStr"/>
    </row>
    <row r="605" ht="15" customHeight="1">
      <c r="A605" t="inlineStr">
        <is>
          <t>A 12586-2021</t>
        </is>
      </c>
      <c r="B605" s="1" t="n">
        <v>44270.38002314815</v>
      </c>
      <c r="C605" s="1" t="n">
        <v>45975</v>
      </c>
      <c r="D605" t="inlineStr">
        <is>
          <t>KALMAR LÄN</t>
        </is>
      </c>
      <c r="E605" t="inlineStr">
        <is>
          <t>VIMMERBY</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11111-2023</t>
        </is>
      </c>
      <c r="B606" s="1" t="n">
        <v>44992.4255787037</v>
      </c>
      <c r="C606" s="1" t="n">
        <v>45975</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34090-2025</t>
        </is>
      </c>
      <c r="B607" s="1" t="n">
        <v>45845</v>
      </c>
      <c r="C607" s="1" t="n">
        <v>45975</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32614-2023</t>
        </is>
      </c>
      <c r="B608" s="1" t="n">
        <v>45121</v>
      </c>
      <c r="C608" s="1" t="n">
        <v>45975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61939-2021</t>
        </is>
      </c>
      <c r="B609" s="1" t="n">
        <v>44502</v>
      </c>
      <c r="C609" s="1" t="n">
        <v>45975</v>
      </c>
      <c r="D609" t="inlineStr">
        <is>
          <t>KALMAR LÄN</t>
        </is>
      </c>
      <c r="E609" t="inlineStr">
        <is>
          <t>VIMMERBY</t>
        </is>
      </c>
      <c r="G609" t="n">
        <v>2.7</v>
      </c>
      <c r="H609" t="n">
        <v>0</v>
      </c>
      <c r="I609" t="n">
        <v>0</v>
      </c>
      <c r="J609" t="n">
        <v>0</v>
      </c>
      <c r="K609" t="n">
        <v>0</v>
      </c>
      <c r="L609" t="n">
        <v>0</v>
      </c>
      <c r="M609" t="n">
        <v>0</v>
      </c>
      <c r="N609" t="n">
        <v>0</v>
      </c>
      <c r="O609" t="n">
        <v>0</v>
      </c>
      <c r="P609" t="n">
        <v>0</v>
      </c>
      <c r="Q609" t="n">
        <v>0</v>
      </c>
      <c r="R609" s="2" t="inlineStr"/>
    </row>
    <row r="610" ht="15" customHeight="1">
      <c r="A610" t="inlineStr">
        <is>
          <t>A 58724-2024</t>
        </is>
      </c>
      <c r="B610" s="1" t="n">
        <v>45635.66409722222</v>
      </c>
      <c r="C610" s="1" t="n">
        <v>45975</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41735-2025</t>
        </is>
      </c>
      <c r="B611" s="1" t="n">
        <v>45902.47164351852</v>
      </c>
      <c r="C611" s="1" t="n">
        <v>45975</v>
      </c>
      <c r="D611" t="inlineStr">
        <is>
          <t>KALMAR LÄN</t>
        </is>
      </c>
      <c r="E611" t="inlineStr">
        <is>
          <t>VIMMERBY</t>
        </is>
      </c>
      <c r="G611" t="n">
        <v>3</v>
      </c>
      <c r="H611" t="n">
        <v>0</v>
      </c>
      <c r="I611" t="n">
        <v>0</v>
      </c>
      <c r="J611" t="n">
        <v>0</v>
      </c>
      <c r="K611" t="n">
        <v>0</v>
      </c>
      <c r="L611" t="n">
        <v>0</v>
      </c>
      <c r="M611" t="n">
        <v>0</v>
      </c>
      <c r="N611" t="n">
        <v>0</v>
      </c>
      <c r="O611" t="n">
        <v>0</v>
      </c>
      <c r="P611" t="n">
        <v>0</v>
      </c>
      <c r="Q611" t="n">
        <v>0</v>
      </c>
      <c r="R611" s="2" t="inlineStr"/>
    </row>
    <row r="612" ht="15" customHeight="1">
      <c r="A612" t="inlineStr">
        <is>
          <t>A 15494-2024</t>
        </is>
      </c>
      <c r="B612" s="1" t="n">
        <v>45401.53033564815</v>
      </c>
      <c r="C612" s="1" t="n">
        <v>45975</v>
      </c>
      <c r="D612" t="inlineStr">
        <is>
          <t>KALMAR LÄN</t>
        </is>
      </c>
      <c r="E612" t="inlineStr">
        <is>
          <t>VIMMERBY</t>
        </is>
      </c>
      <c r="G612" t="n">
        <v>3.2</v>
      </c>
      <c r="H612" t="n">
        <v>0</v>
      </c>
      <c r="I612" t="n">
        <v>0</v>
      </c>
      <c r="J612" t="n">
        <v>0</v>
      </c>
      <c r="K612" t="n">
        <v>0</v>
      </c>
      <c r="L612" t="n">
        <v>0</v>
      </c>
      <c r="M612" t="n">
        <v>0</v>
      </c>
      <c r="N612" t="n">
        <v>0</v>
      </c>
      <c r="O612" t="n">
        <v>0</v>
      </c>
      <c r="P612" t="n">
        <v>0</v>
      </c>
      <c r="Q612" t="n">
        <v>0</v>
      </c>
      <c r="R612" s="2" t="inlineStr"/>
    </row>
    <row r="613" ht="15" customHeight="1">
      <c r="A613" t="inlineStr">
        <is>
          <t>A 26039-2025</t>
        </is>
      </c>
      <c r="B613" s="1" t="n">
        <v>45804.6953587963</v>
      </c>
      <c r="C613" s="1" t="n">
        <v>45975</v>
      </c>
      <c r="D613" t="inlineStr">
        <is>
          <t>KALMAR LÄN</t>
        </is>
      </c>
      <c r="E613" t="inlineStr">
        <is>
          <t>VIMMERBY</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26046-2025</t>
        </is>
      </c>
      <c r="B614" s="1" t="n">
        <v>45804.708125</v>
      </c>
      <c r="C614" s="1" t="n">
        <v>45975</v>
      </c>
      <c r="D614" t="inlineStr">
        <is>
          <t>KALMAR LÄN</t>
        </is>
      </c>
      <c r="E614" t="inlineStr">
        <is>
          <t>VIMMERBY</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51408-2023</t>
        </is>
      </c>
      <c r="B615" s="1" t="n">
        <v>45219.69356481481</v>
      </c>
      <c r="C615" s="1" t="n">
        <v>45975</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25792-2025</t>
        </is>
      </c>
      <c r="B616" s="1" t="n">
        <v>45804.39141203704</v>
      </c>
      <c r="C616" s="1" t="n">
        <v>45975</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50544-2025</t>
        </is>
      </c>
      <c r="B617" s="1" t="n">
        <v>45945.50736111111</v>
      </c>
      <c r="C617" s="1" t="n">
        <v>45975</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12480-2024</t>
        </is>
      </c>
      <c r="B618" s="1" t="n">
        <v>45379</v>
      </c>
      <c r="C618" s="1" t="n">
        <v>45975</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25830-2025</t>
        </is>
      </c>
      <c r="B619" s="1" t="n">
        <v>45804.44519675926</v>
      </c>
      <c r="C619" s="1" t="n">
        <v>45975</v>
      </c>
      <c r="D619" t="inlineStr">
        <is>
          <t>KALMAR LÄN</t>
        </is>
      </c>
      <c r="E619" t="inlineStr">
        <is>
          <t>VIMMERBY</t>
        </is>
      </c>
      <c r="G619" t="n">
        <v>4.9</v>
      </c>
      <c r="H619" t="n">
        <v>0</v>
      </c>
      <c r="I619" t="n">
        <v>0</v>
      </c>
      <c r="J619" t="n">
        <v>0</v>
      </c>
      <c r="K619" t="n">
        <v>0</v>
      </c>
      <c r="L619" t="n">
        <v>0</v>
      </c>
      <c r="M619" t="n">
        <v>0</v>
      </c>
      <c r="N619" t="n">
        <v>0</v>
      </c>
      <c r="O619" t="n">
        <v>0</v>
      </c>
      <c r="P619" t="n">
        <v>0</v>
      </c>
      <c r="Q619" t="n">
        <v>0</v>
      </c>
      <c r="R619" s="2" t="inlineStr"/>
    </row>
    <row r="620" ht="15" customHeight="1">
      <c r="A620" t="inlineStr">
        <is>
          <t>A 52588-2023</t>
        </is>
      </c>
      <c r="B620" s="1" t="n">
        <v>45225.60192129629</v>
      </c>
      <c r="C620" s="1" t="n">
        <v>45975</v>
      </c>
      <c r="D620" t="inlineStr">
        <is>
          <t>KALMAR LÄN</t>
        </is>
      </c>
      <c r="E620" t="inlineStr">
        <is>
          <t>VIMMERBY</t>
        </is>
      </c>
      <c r="G620" t="n">
        <v>2.9</v>
      </c>
      <c r="H620" t="n">
        <v>0</v>
      </c>
      <c r="I620" t="n">
        <v>0</v>
      </c>
      <c r="J620" t="n">
        <v>0</v>
      </c>
      <c r="K620" t="n">
        <v>0</v>
      </c>
      <c r="L620" t="n">
        <v>0</v>
      </c>
      <c r="M620" t="n">
        <v>0</v>
      </c>
      <c r="N620" t="n">
        <v>0</v>
      </c>
      <c r="O620" t="n">
        <v>0</v>
      </c>
      <c r="P620" t="n">
        <v>0</v>
      </c>
      <c r="Q620" t="n">
        <v>0</v>
      </c>
      <c r="R620" s="2" t="inlineStr"/>
    </row>
    <row r="621" ht="15" customHeight="1">
      <c r="A621" t="inlineStr">
        <is>
          <t>A 55236-2023</t>
        </is>
      </c>
      <c r="B621" s="1" t="n">
        <v>45237.63225694445</v>
      </c>
      <c r="C621" s="1" t="n">
        <v>45975</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55245-2023</t>
        </is>
      </c>
      <c r="B622" s="1" t="n">
        <v>45237.64408564815</v>
      </c>
      <c r="C622" s="1" t="n">
        <v>45975</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6218-2025</t>
        </is>
      </c>
      <c r="B623" s="1" t="n">
        <v>45698.53336805556</v>
      </c>
      <c r="C623" s="1" t="n">
        <v>45975</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40076-2021</t>
        </is>
      </c>
      <c r="B624" s="1" t="n">
        <v>44418</v>
      </c>
      <c r="C624" s="1" t="n">
        <v>45975</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26124-2025</t>
        </is>
      </c>
      <c r="B625" s="1" t="n">
        <v>45805.39247685186</v>
      </c>
      <c r="C625" s="1" t="n">
        <v>45975</v>
      </c>
      <c r="D625" t="inlineStr">
        <is>
          <t>KALMAR LÄN</t>
        </is>
      </c>
      <c r="E625" t="inlineStr">
        <is>
          <t>VIMMERBY</t>
        </is>
      </c>
      <c r="G625" t="n">
        <v>6.6</v>
      </c>
      <c r="H625" t="n">
        <v>0</v>
      </c>
      <c r="I625" t="n">
        <v>0</v>
      </c>
      <c r="J625" t="n">
        <v>0</v>
      </c>
      <c r="K625" t="n">
        <v>0</v>
      </c>
      <c r="L625" t="n">
        <v>0</v>
      </c>
      <c r="M625" t="n">
        <v>0</v>
      </c>
      <c r="N625" t="n">
        <v>0</v>
      </c>
      <c r="O625" t="n">
        <v>0</v>
      </c>
      <c r="P625" t="n">
        <v>0</v>
      </c>
      <c r="Q625" t="n">
        <v>0</v>
      </c>
      <c r="R625" s="2" t="inlineStr"/>
    </row>
    <row r="626" ht="15" customHeight="1">
      <c r="A626" t="inlineStr">
        <is>
          <t>A 26254-2025</t>
        </is>
      </c>
      <c r="B626" s="1" t="n">
        <v>45805</v>
      </c>
      <c r="C626" s="1" t="n">
        <v>45975</v>
      </c>
      <c r="D626" t="inlineStr">
        <is>
          <t>KALMAR LÄN</t>
        </is>
      </c>
      <c r="E626" t="inlineStr">
        <is>
          <t>VIMMERBY</t>
        </is>
      </c>
      <c r="G626" t="n">
        <v>2</v>
      </c>
      <c r="H626" t="n">
        <v>0</v>
      </c>
      <c r="I626" t="n">
        <v>0</v>
      </c>
      <c r="J626" t="n">
        <v>0</v>
      </c>
      <c r="K626" t="n">
        <v>0</v>
      </c>
      <c r="L626" t="n">
        <v>0</v>
      </c>
      <c r="M626" t="n">
        <v>0</v>
      </c>
      <c r="N626" t="n">
        <v>0</v>
      </c>
      <c r="O626" t="n">
        <v>0</v>
      </c>
      <c r="P626" t="n">
        <v>0</v>
      </c>
      <c r="Q626" t="n">
        <v>0</v>
      </c>
      <c r="R626" s="2" t="inlineStr"/>
    </row>
    <row r="627" ht="15" customHeight="1">
      <c r="A627" t="inlineStr">
        <is>
          <t>A 19111-2025</t>
        </is>
      </c>
      <c r="B627" s="1" t="n">
        <v>45768.65611111111</v>
      </c>
      <c r="C627" s="1" t="n">
        <v>45975</v>
      </c>
      <c r="D627" t="inlineStr">
        <is>
          <t>KALMAR LÄN</t>
        </is>
      </c>
      <c r="E627" t="inlineStr">
        <is>
          <t>VIMMERBY</t>
        </is>
      </c>
      <c r="G627" t="n">
        <v>6.2</v>
      </c>
      <c r="H627" t="n">
        <v>0</v>
      </c>
      <c r="I627" t="n">
        <v>0</v>
      </c>
      <c r="J627" t="n">
        <v>0</v>
      </c>
      <c r="K627" t="n">
        <v>0</v>
      </c>
      <c r="L627" t="n">
        <v>0</v>
      </c>
      <c r="M627" t="n">
        <v>0</v>
      </c>
      <c r="N627" t="n">
        <v>0</v>
      </c>
      <c r="O627" t="n">
        <v>0</v>
      </c>
      <c r="P627" t="n">
        <v>0</v>
      </c>
      <c r="Q627" t="n">
        <v>0</v>
      </c>
      <c r="R627" s="2" t="inlineStr"/>
    </row>
    <row r="628" ht="15" customHeight="1">
      <c r="A628" t="inlineStr">
        <is>
          <t>A 26207-2025</t>
        </is>
      </c>
      <c r="B628" s="1" t="n">
        <v>45805.52983796296</v>
      </c>
      <c r="C628" s="1" t="n">
        <v>45975</v>
      </c>
      <c r="D628" t="inlineStr">
        <is>
          <t>KALMAR LÄN</t>
        </is>
      </c>
      <c r="E628" t="inlineStr">
        <is>
          <t>VIMMERBY</t>
        </is>
      </c>
      <c r="G628" t="n">
        <v>0.7</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44732.3659837963</v>
      </c>
      <c r="C629" s="1" t="n">
        <v>45975</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33838-2022</t>
        </is>
      </c>
      <c r="B630" s="1" t="n">
        <v>44790.49040509259</v>
      </c>
      <c r="C630" s="1" t="n">
        <v>45975</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4058-2024</t>
        </is>
      </c>
      <c r="B631" s="1" t="n">
        <v>45323.53744212963</v>
      </c>
      <c r="C631" s="1" t="n">
        <v>45975</v>
      </c>
      <c r="D631" t="inlineStr">
        <is>
          <t>KALMAR LÄN</t>
        </is>
      </c>
      <c r="E631" t="inlineStr">
        <is>
          <t>VIMMERBY</t>
        </is>
      </c>
      <c r="G631" t="n">
        <v>6.5</v>
      </c>
      <c r="H631" t="n">
        <v>0</v>
      </c>
      <c r="I631" t="n">
        <v>0</v>
      </c>
      <c r="J631" t="n">
        <v>0</v>
      </c>
      <c r="K631" t="n">
        <v>0</v>
      </c>
      <c r="L631" t="n">
        <v>0</v>
      </c>
      <c r="M631" t="n">
        <v>0</v>
      </c>
      <c r="N631" t="n">
        <v>0</v>
      </c>
      <c r="O631" t="n">
        <v>0</v>
      </c>
      <c r="P631" t="n">
        <v>0</v>
      </c>
      <c r="Q631" t="n">
        <v>0</v>
      </c>
      <c r="R631" s="2" t="inlineStr"/>
    </row>
    <row r="632" ht="15" customHeight="1">
      <c r="A632" t="inlineStr">
        <is>
          <t>A 36008-2024</t>
        </is>
      </c>
      <c r="B632" s="1" t="n">
        <v>45533.55362268518</v>
      </c>
      <c r="C632" s="1" t="n">
        <v>45975</v>
      </c>
      <c r="D632" t="inlineStr">
        <is>
          <t>KALMAR LÄN</t>
        </is>
      </c>
      <c r="E632" t="inlineStr">
        <is>
          <t>VIMMERBY</t>
        </is>
      </c>
      <c r="G632" t="n">
        <v>3.7</v>
      </c>
      <c r="H632" t="n">
        <v>0</v>
      </c>
      <c r="I632" t="n">
        <v>0</v>
      </c>
      <c r="J632" t="n">
        <v>0</v>
      </c>
      <c r="K632" t="n">
        <v>0</v>
      </c>
      <c r="L632" t="n">
        <v>0</v>
      </c>
      <c r="M632" t="n">
        <v>0</v>
      </c>
      <c r="N632" t="n">
        <v>0</v>
      </c>
      <c r="O632" t="n">
        <v>0</v>
      </c>
      <c r="P632" t="n">
        <v>0</v>
      </c>
      <c r="Q632" t="n">
        <v>0</v>
      </c>
      <c r="R632" s="2" t="inlineStr"/>
    </row>
    <row r="633" ht="15" customHeight="1">
      <c r="A633" t="inlineStr">
        <is>
          <t>A 42828-2025</t>
        </is>
      </c>
      <c r="B633" s="1" t="n">
        <v>45908.57716435185</v>
      </c>
      <c r="C633" s="1" t="n">
        <v>45975</v>
      </c>
      <c r="D633" t="inlineStr">
        <is>
          <t>KALMAR LÄN</t>
        </is>
      </c>
      <c r="E633" t="inlineStr">
        <is>
          <t>VIMMERBY</t>
        </is>
      </c>
      <c r="G633" t="n">
        <v>5.2</v>
      </c>
      <c r="H633" t="n">
        <v>0</v>
      </c>
      <c r="I633" t="n">
        <v>0</v>
      </c>
      <c r="J633" t="n">
        <v>0</v>
      </c>
      <c r="K633" t="n">
        <v>0</v>
      </c>
      <c r="L633" t="n">
        <v>0</v>
      </c>
      <c r="M633" t="n">
        <v>0</v>
      </c>
      <c r="N633" t="n">
        <v>0</v>
      </c>
      <c r="O633" t="n">
        <v>0</v>
      </c>
      <c r="P633" t="n">
        <v>0</v>
      </c>
      <c r="Q633" t="n">
        <v>0</v>
      </c>
      <c r="R633" s="2" t="inlineStr"/>
    </row>
    <row r="634" ht="15" customHeight="1">
      <c r="A634" t="inlineStr">
        <is>
          <t>A 18669-2025</t>
        </is>
      </c>
      <c r="B634" s="1" t="n">
        <v>45763.59436342592</v>
      </c>
      <c r="C634" s="1" t="n">
        <v>45975</v>
      </c>
      <c r="D634" t="inlineStr">
        <is>
          <t>KALMAR LÄN</t>
        </is>
      </c>
      <c r="E634" t="inlineStr">
        <is>
          <t>VIMMERBY</t>
        </is>
      </c>
      <c r="G634" t="n">
        <v>2.7</v>
      </c>
      <c r="H634" t="n">
        <v>0</v>
      </c>
      <c r="I634" t="n">
        <v>0</v>
      </c>
      <c r="J634" t="n">
        <v>0</v>
      </c>
      <c r="K634" t="n">
        <v>0</v>
      </c>
      <c r="L634" t="n">
        <v>0</v>
      </c>
      <c r="M634" t="n">
        <v>0</v>
      </c>
      <c r="N634" t="n">
        <v>0</v>
      </c>
      <c r="O634" t="n">
        <v>0</v>
      </c>
      <c r="P634" t="n">
        <v>0</v>
      </c>
      <c r="Q634" t="n">
        <v>0</v>
      </c>
      <c r="R634" s="2" t="inlineStr"/>
    </row>
    <row r="635" ht="15" customHeight="1">
      <c r="A635" t="inlineStr">
        <is>
          <t>A 8540-2024</t>
        </is>
      </c>
      <c r="B635" s="1" t="n">
        <v>45355.54138888889</v>
      </c>
      <c r="C635" s="1" t="n">
        <v>45975</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9623-2024</t>
        </is>
      </c>
      <c r="B636" s="1" t="n">
        <v>45361.87975694444</v>
      </c>
      <c r="C636" s="1" t="n">
        <v>45975</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5146-2024</t>
        </is>
      </c>
      <c r="B637" s="1" t="n">
        <v>45330</v>
      </c>
      <c r="C637" s="1" t="n">
        <v>45975</v>
      </c>
      <c r="D637" t="inlineStr">
        <is>
          <t>KALMAR LÄN</t>
        </is>
      </c>
      <c r="E637" t="inlineStr">
        <is>
          <t>VIMMERBY</t>
        </is>
      </c>
      <c r="G637" t="n">
        <v>5.3</v>
      </c>
      <c r="H637" t="n">
        <v>0</v>
      </c>
      <c r="I637" t="n">
        <v>0</v>
      </c>
      <c r="J637" t="n">
        <v>0</v>
      </c>
      <c r="K637" t="n">
        <v>0</v>
      </c>
      <c r="L637" t="n">
        <v>0</v>
      </c>
      <c r="M637" t="n">
        <v>0</v>
      </c>
      <c r="N637" t="n">
        <v>0</v>
      </c>
      <c r="O637" t="n">
        <v>0</v>
      </c>
      <c r="P637" t="n">
        <v>0</v>
      </c>
      <c r="Q637" t="n">
        <v>0</v>
      </c>
      <c r="R637" s="2" t="inlineStr"/>
    </row>
    <row r="638" ht="15" customHeight="1">
      <c r="A638" t="inlineStr">
        <is>
          <t>A 5148-2024</t>
        </is>
      </c>
      <c r="B638" s="1" t="n">
        <v>45330</v>
      </c>
      <c r="C638" s="1" t="n">
        <v>45975</v>
      </c>
      <c r="D638" t="inlineStr">
        <is>
          <t>KALMAR LÄN</t>
        </is>
      </c>
      <c r="E638" t="inlineStr">
        <is>
          <t>VIMMERBY</t>
        </is>
      </c>
      <c r="G638" t="n">
        <v>5.6</v>
      </c>
      <c r="H638" t="n">
        <v>0</v>
      </c>
      <c r="I638" t="n">
        <v>0</v>
      </c>
      <c r="J638" t="n">
        <v>0</v>
      </c>
      <c r="K638" t="n">
        <v>0</v>
      </c>
      <c r="L638" t="n">
        <v>0</v>
      </c>
      <c r="M638" t="n">
        <v>0</v>
      </c>
      <c r="N638" t="n">
        <v>0</v>
      </c>
      <c r="O638" t="n">
        <v>0</v>
      </c>
      <c r="P638" t="n">
        <v>0</v>
      </c>
      <c r="Q638" t="n">
        <v>0</v>
      </c>
      <c r="R638" s="2" t="inlineStr"/>
    </row>
    <row r="639" ht="15" customHeight="1">
      <c r="A639" t="inlineStr">
        <is>
          <t>A 44179-2022</t>
        </is>
      </c>
      <c r="B639" s="1" t="n">
        <v>44839.4528125</v>
      </c>
      <c r="C639" s="1" t="n">
        <v>45975</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12588-2025</t>
        </is>
      </c>
      <c r="B640" s="1" t="n">
        <v>45732.76936342593</v>
      </c>
      <c r="C640" s="1" t="n">
        <v>45975</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25979-2023</t>
        </is>
      </c>
      <c r="B641" s="1" t="n">
        <v>45090.89653935185</v>
      </c>
      <c r="C641" s="1" t="n">
        <v>45975</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25980-2023</t>
        </is>
      </c>
      <c r="B642" s="1" t="n">
        <v>45090.89880787037</v>
      </c>
      <c r="C642" s="1" t="n">
        <v>45975</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42794-2025</t>
        </is>
      </c>
      <c r="B643" s="1" t="n">
        <v>45908</v>
      </c>
      <c r="C643" s="1" t="n">
        <v>45975</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46921-2023</t>
        </is>
      </c>
      <c r="B644" s="1" t="n">
        <v>45201.39996527778</v>
      </c>
      <c r="C644" s="1" t="n">
        <v>45975</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10837-2023</t>
        </is>
      </c>
      <c r="B645" s="1" t="n">
        <v>44991.30547453704</v>
      </c>
      <c r="C645" s="1" t="n">
        <v>45975</v>
      </c>
      <c r="D645" t="inlineStr">
        <is>
          <t>KALMAR LÄN</t>
        </is>
      </c>
      <c r="E645" t="inlineStr">
        <is>
          <t>VIMMERBY</t>
        </is>
      </c>
      <c r="G645" t="n">
        <v>7.3</v>
      </c>
      <c r="H645" t="n">
        <v>0</v>
      </c>
      <c r="I645" t="n">
        <v>0</v>
      </c>
      <c r="J645" t="n">
        <v>0</v>
      </c>
      <c r="K645" t="n">
        <v>0</v>
      </c>
      <c r="L645" t="n">
        <v>0</v>
      </c>
      <c r="M645" t="n">
        <v>0</v>
      </c>
      <c r="N645" t="n">
        <v>0</v>
      </c>
      <c r="O645" t="n">
        <v>0</v>
      </c>
      <c r="P645" t="n">
        <v>0</v>
      </c>
      <c r="Q645" t="n">
        <v>0</v>
      </c>
      <c r="R645" s="2" t="inlineStr"/>
    </row>
    <row r="646" ht="15" customHeight="1">
      <c r="A646" t="inlineStr">
        <is>
          <t>A 10838-2023</t>
        </is>
      </c>
      <c r="B646" s="1" t="n">
        <v>44991</v>
      </c>
      <c r="C646" s="1" t="n">
        <v>45975</v>
      </c>
      <c r="D646" t="inlineStr">
        <is>
          <t>KALMAR LÄN</t>
        </is>
      </c>
      <c r="E646" t="inlineStr">
        <is>
          <t>VIMMERBY</t>
        </is>
      </c>
      <c r="G646" t="n">
        <v>5.1</v>
      </c>
      <c r="H646" t="n">
        <v>0</v>
      </c>
      <c r="I646" t="n">
        <v>0</v>
      </c>
      <c r="J646" t="n">
        <v>0</v>
      </c>
      <c r="K646" t="n">
        <v>0</v>
      </c>
      <c r="L646" t="n">
        <v>0</v>
      </c>
      <c r="M646" t="n">
        <v>0</v>
      </c>
      <c r="N646" t="n">
        <v>0</v>
      </c>
      <c r="O646" t="n">
        <v>0</v>
      </c>
      <c r="P646" t="n">
        <v>0</v>
      </c>
      <c r="Q646" t="n">
        <v>0</v>
      </c>
      <c r="R646" s="2" t="inlineStr"/>
    </row>
    <row r="647" ht="15" customHeight="1">
      <c r="A647" t="inlineStr">
        <is>
          <t>A 30912-2023</t>
        </is>
      </c>
      <c r="B647" s="1" t="n">
        <v>45113.41633101852</v>
      </c>
      <c r="C647" s="1" t="n">
        <v>45975</v>
      </c>
      <c r="D647" t="inlineStr">
        <is>
          <t>KALMAR LÄN</t>
        </is>
      </c>
      <c r="E647" t="inlineStr">
        <is>
          <t>VIMMERBY</t>
        </is>
      </c>
      <c r="G647" t="n">
        <v>5</v>
      </c>
      <c r="H647" t="n">
        <v>0</v>
      </c>
      <c r="I647" t="n">
        <v>0</v>
      </c>
      <c r="J647" t="n">
        <v>0</v>
      </c>
      <c r="K647" t="n">
        <v>0</v>
      </c>
      <c r="L647" t="n">
        <v>0</v>
      </c>
      <c r="M647" t="n">
        <v>0</v>
      </c>
      <c r="N647" t="n">
        <v>0</v>
      </c>
      <c r="O647" t="n">
        <v>0</v>
      </c>
      <c r="P647" t="n">
        <v>0</v>
      </c>
      <c r="Q647" t="n">
        <v>0</v>
      </c>
      <c r="R647" s="2" t="inlineStr"/>
    </row>
    <row r="648" ht="15" customHeight="1">
      <c r="A648" t="inlineStr">
        <is>
          <t>A 55436-2023</t>
        </is>
      </c>
      <c r="B648" s="1" t="n">
        <v>45238.4328587963</v>
      </c>
      <c r="C648" s="1" t="n">
        <v>45975</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51062-2025</t>
        </is>
      </c>
      <c r="B649" s="1" t="n">
        <v>45947.44685185186</v>
      </c>
      <c r="C649" s="1" t="n">
        <v>45975</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50648-2023</t>
        </is>
      </c>
      <c r="B650" s="1" t="n">
        <v>45217.47834490741</v>
      </c>
      <c r="C650" s="1" t="n">
        <v>45975</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21507-2023</t>
        </is>
      </c>
      <c r="B651" s="1" t="n">
        <v>45063.508125</v>
      </c>
      <c r="C651" s="1" t="n">
        <v>45975</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51187-2023</t>
        </is>
      </c>
      <c r="B652" s="1" t="n">
        <v>45219.40528935185</v>
      </c>
      <c r="C652" s="1" t="n">
        <v>45975</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42820-2025</t>
        </is>
      </c>
      <c r="B653" s="1" t="n">
        <v>45908</v>
      </c>
      <c r="C653" s="1" t="n">
        <v>45975</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13290-2025</t>
        </is>
      </c>
      <c r="B654" s="1" t="n">
        <v>45735.56751157407</v>
      </c>
      <c r="C654" s="1" t="n">
        <v>45975</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45560-2021</t>
        </is>
      </c>
      <c r="B655" s="1" t="n">
        <v>44440</v>
      </c>
      <c r="C655" s="1" t="n">
        <v>45975</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16622-2025</t>
        </is>
      </c>
      <c r="B656" s="1" t="n">
        <v>45754.33641203704</v>
      </c>
      <c r="C656" s="1" t="n">
        <v>45975</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34060-2025</t>
        </is>
      </c>
      <c r="B657" s="1" t="n">
        <v>45845.42015046296</v>
      </c>
      <c r="C657" s="1" t="n">
        <v>45975</v>
      </c>
      <c r="D657" t="inlineStr">
        <is>
          <t>KALMAR LÄN</t>
        </is>
      </c>
      <c r="E657" t="inlineStr">
        <is>
          <t>VIMMERBY</t>
        </is>
      </c>
      <c r="G657" t="n">
        <v>5.7</v>
      </c>
      <c r="H657" t="n">
        <v>0</v>
      </c>
      <c r="I657" t="n">
        <v>0</v>
      </c>
      <c r="J657" t="n">
        <v>0</v>
      </c>
      <c r="K657" t="n">
        <v>0</v>
      </c>
      <c r="L657" t="n">
        <v>0</v>
      </c>
      <c r="M657" t="n">
        <v>0</v>
      </c>
      <c r="N657" t="n">
        <v>0</v>
      </c>
      <c r="O657" t="n">
        <v>0</v>
      </c>
      <c r="P657" t="n">
        <v>0</v>
      </c>
      <c r="Q657" t="n">
        <v>0</v>
      </c>
      <c r="R657" s="2" t="inlineStr"/>
    </row>
    <row r="658" ht="15" customHeight="1">
      <c r="A658" t="inlineStr">
        <is>
          <t>A 28290-2025</t>
        </is>
      </c>
      <c r="B658" s="1" t="n">
        <v>45818.59261574074</v>
      </c>
      <c r="C658" s="1" t="n">
        <v>45975</v>
      </c>
      <c r="D658" t="inlineStr">
        <is>
          <t>KALMAR LÄN</t>
        </is>
      </c>
      <c r="E658" t="inlineStr">
        <is>
          <t>VIMMERBY</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28280-2025</t>
        </is>
      </c>
      <c r="B659" s="1" t="n">
        <v>45818.5862037037</v>
      </c>
      <c r="C659" s="1" t="n">
        <v>45975</v>
      </c>
      <c r="D659" t="inlineStr">
        <is>
          <t>KALMAR LÄN</t>
        </is>
      </c>
      <c r="E659" t="inlineStr">
        <is>
          <t>VIMMERBY</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28286-2025</t>
        </is>
      </c>
      <c r="B660" s="1" t="n">
        <v>45818.58993055556</v>
      </c>
      <c r="C660" s="1" t="n">
        <v>45975</v>
      </c>
      <c r="D660" t="inlineStr">
        <is>
          <t>KALMAR LÄN</t>
        </is>
      </c>
      <c r="E660" t="inlineStr">
        <is>
          <t>VIMMERBY</t>
        </is>
      </c>
      <c r="F660" t="inlineStr">
        <is>
          <t>Sveaskog</t>
        </is>
      </c>
      <c r="G660" t="n">
        <v>8</v>
      </c>
      <c r="H660" t="n">
        <v>0</v>
      </c>
      <c r="I660" t="n">
        <v>0</v>
      </c>
      <c r="J660" t="n">
        <v>0</v>
      </c>
      <c r="K660" t="n">
        <v>0</v>
      </c>
      <c r="L660" t="n">
        <v>0</v>
      </c>
      <c r="M660" t="n">
        <v>0</v>
      </c>
      <c r="N660" t="n">
        <v>0</v>
      </c>
      <c r="O660" t="n">
        <v>0</v>
      </c>
      <c r="P660" t="n">
        <v>0</v>
      </c>
      <c r="Q660" t="n">
        <v>0</v>
      </c>
      <c r="R660" s="2" t="inlineStr"/>
    </row>
    <row r="661" ht="15" customHeight="1">
      <c r="A661" t="inlineStr">
        <is>
          <t>A 2121-2022</t>
        </is>
      </c>
      <c r="B661" s="1" t="n">
        <v>44578.32717592592</v>
      </c>
      <c r="C661" s="1" t="n">
        <v>45975</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51990-2025</t>
        </is>
      </c>
      <c r="B662" s="1" t="n">
        <v>45952.58061342593</v>
      </c>
      <c r="C662" s="1" t="n">
        <v>45975</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57799-2022</t>
        </is>
      </c>
      <c r="B663" s="1" t="n">
        <v>44897</v>
      </c>
      <c r="C663" s="1" t="n">
        <v>45975</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31340-2023</t>
        </is>
      </c>
      <c r="B664" s="1" t="n">
        <v>45114.47895833333</v>
      </c>
      <c r="C664" s="1" t="n">
        <v>45975</v>
      </c>
      <c r="D664" t="inlineStr">
        <is>
          <t>KALMAR LÄN</t>
        </is>
      </c>
      <c r="E664" t="inlineStr">
        <is>
          <t>VIMMERBY</t>
        </is>
      </c>
      <c r="G664" t="n">
        <v>1.8</v>
      </c>
      <c r="H664" t="n">
        <v>0</v>
      </c>
      <c r="I664" t="n">
        <v>0</v>
      </c>
      <c r="J664" t="n">
        <v>0</v>
      </c>
      <c r="K664" t="n">
        <v>0</v>
      </c>
      <c r="L664" t="n">
        <v>0</v>
      </c>
      <c r="M664" t="n">
        <v>0</v>
      </c>
      <c r="N664" t="n">
        <v>0</v>
      </c>
      <c r="O664" t="n">
        <v>0</v>
      </c>
      <c r="P664" t="n">
        <v>0</v>
      </c>
      <c r="Q664" t="n">
        <v>0</v>
      </c>
      <c r="R664" s="2" t="inlineStr"/>
    </row>
    <row r="665" ht="15" customHeight="1">
      <c r="A665" t="inlineStr">
        <is>
          <t>A 15394-2025</t>
        </is>
      </c>
      <c r="B665" s="1" t="n">
        <v>45747.43196759259</v>
      </c>
      <c r="C665" s="1" t="n">
        <v>45975</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29168-2024</t>
        </is>
      </c>
      <c r="B666" s="1" t="n">
        <v>45482.49870370371</v>
      </c>
      <c r="C666" s="1" t="n">
        <v>45975</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29186-2024</t>
        </is>
      </c>
      <c r="B667" s="1" t="n">
        <v>45482.54844907407</v>
      </c>
      <c r="C667" s="1" t="n">
        <v>45975</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35895-2024</t>
        </is>
      </c>
      <c r="B668" s="1" t="n">
        <v>45533.38870370371</v>
      </c>
      <c r="C668" s="1" t="n">
        <v>45975</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12590-2025</t>
        </is>
      </c>
      <c r="B669" s="1" t="n">
        <v>45732.79925925926</v>
      </c>
      <c r="C669" s="1" t="n">
        <v>45975</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30318-2023</t>
        </is>
      </c>
      <c r="B670" s="1" t="n">
        <v>45111.30824074074</v>
      </c>
      <c r="C670" s="1" t="n">
        <v>45975</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51993-2025</t>
        </is>
      </c>
      <c r="B671" s="1" t="n">
        <v>45952.58194444444</v>
      </c>
      <c r="C671" s="1" t="n">
        <v>45975</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28282-2025</t>
        </is>
      </c>
      <c r="B672" s="1" t="n">
        <v>45818.58769675926</v>
      </c>
      <c r="C672" s="1" t="n">
        <v>45975</v>
      </c>
      <c r="D672" t="inlineStr">
        <is>
          <t>KALMAR LÄN</t>
        </is>
      </c>
      <c r="E672" t="inlineStr">
        <is>
          <t>VIMMERBY</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28294-2025</t>
        </is>
      </c>
      <c r="B673" s="1" t="n">
        <v>45818.595625</v>
      </c>
      <c r="C673" s="1" t="n">
        <v>45975</v>
      </c>
      <c r="D673" t="inlineStr">
        <is>
          <t>KALMAR LÄN</t>
        </is>
      </c>
      <c r="E673" t="inlineStr">
        <is>
          <t>VIMMERBY</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43186-2021</t>
        </is>
      </c>
      <c r="B674" s="1" t="n">
        <v>44431.84840277778</v>
      </c>
      <c r="C674" s="1" t="n">
        <v>45975</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60215-2022</t>
        </is>
      </c>
      <c r="B675" s="1" t="n">
        <v>44910.41346064815</v>
      </c>
      <c r="C675" s="1" t="n">
        <v>45975</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60230-2022</t>
        </is>
      </c>
      <c r="B676" s="1" t="n">
        <v>44910</v>
      </c>
      <c r="C676" s="1" t="n">
        <v>45975</v>
      </c>
      <c r="D676" t="inlineStr">
        <is>
          <t>KALMAR LÄN</t>
        </is>
      </c>
      <c r="E676" t="inlineStr">
        <is>
          <t>VIMMERBY</t>
        </is>
      </c>
      <c r="G676" t="n">
        <v>11.3</v>
      </c>
      <c r="H676" t="n">
        <v>0</v>
      </c>
      <c r="I676" t="n">
        <v>0</v>
      </c>
      <c r="J676" t="n">
        <v>0</v>
      </c>
      <c r="K676" t="n">
        <v>0</v>
      </c>
      <c r="L676" t="n">
        <v>0</v>
      </c>
      <c r="M676" t="n">
        <v>0</v>
      </c>
      <c r="N676" t="n">
        <v>0</v>
      </c>
      <c r="O676" t="n">
        <v>0</v>
      </c>
      <c r="P676" t="n">
        <v>0</v>
      </c>
      <c r="Q676" t="n">
        <v>0</v>
      </c>
      <c r="R676" s="2" t="inlineStr"/>
    </row>
    <row r="677" ht="15" customHeight="1">
      <c r="A677" t="inlineStr">
        <is>
          <t>A 26318-2023</t>
        </is>
      </c>
      <c r="B677" s="1" t="n">
        <v>45091.67936342592</v>
      </c>
      <c r="C677" s="1" t="n">
        <v>45975</v>
      </c>
      <c r="D677" t="inlineStr">
        <is>
          <t>KALMAR LÄN</t>
        </is>
      </c>
      <c r="E677" t="inlineStr">
        <is>
          <t>VIMMERBY</t>
        </is>
      </c>
      <c r="G677" t="n">
        <v>3.8</v>
      </c>
      <c r="H677" t="n">
        <v>0</v>
      </c>
      <c r="I677" t="n">
        <v>0</v>
      </c>
      <c r="J677" t="n">
        <v>0</v>
      </c>
      <c r="K677" t="n">
        <v>0</v>
      </c>
      <c r="L677" t="n">
        <v>0</v>
      </c>
      <c r="M677" t="n">
        <v>0</v>
      </c>
      <c r="N677" t="n">
        <v>0</v>
      </c>
      <c r="O677" t="n">
        <v>0</v>
      </c>
      <c r="P677" t="n">
        <v>0</v>
      </c>
      <c r="Q677" t="n">
        <v>0</v>
      </c>
      <c r="R677" s="2" t="inlineStr"/>
    </row>
    <row r="678" ht="15" customHeight="1">
      <c r="A678" t="inlineStr">
        <is>
          <t>A 5925-2022</t>
        </is>
      </c>
      <c r="B678" s="1" t="n">
        <v>44598.7384837963</v>
      </c>
      <c r="C678" s="1" t="n">
        <v>45975</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845-2023</t>
        </is>
      </c>
      <c r="B679" s="1" t="n">
        <v>44931</v>
      </c>
      <c r="C679" s="1" t="n">
        <v>45975</v>
      </c>
      <c r="D679" t="inlineStr">
        <is>
          <t>KALMAR LÄN</t>
        </is>
      </c>
      <c r="E679" t="inlineStr">
        <is>
          <t>VIMMERBY</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60437-2023</t>
        </is>
      </c>
      <c r="B680" s="1" t="n">
        <v>45259.51916666667</v>
      </c>
      <c r="C680" s="1" t="n">
        <v>45975</v>
      </c>
      <c r="D680" t="inlineStr">
        <is>
          <t>KALMAR LÄN</t>
        </is>
      </c>
      <c r="E680" t="inlineStr">
        <is>
          <t>VIMMERBY</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60438-2023</t>
        </is>
      </c>
      <c r="B681" s="1" t="n">
        <v>45259.52020833334</v>
      </c>
      <c r="C681" s="1" t="n">
        <v>45975</v>
      </c>
      <c r="D681" t="inlineStr">
        <is>
          <t>KALMAR LÄN</t>
        </is>
      </c>
      <c r="E681" t="inlineStr">
        <is>
          <t>VIMMERBY</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16119-2023</t>
        </is>
      </c>
      <c r="B682" s="1" t="n">
        <v>45027.59450231482</v>
      </c>
      <c r="C682" s="1" t="n">
        <v>45975</v>
      </c>
      <c r="D682" t="inlineStr">
        <is>
          <t>KALMAR LÄN</t>
        </is>
      </c>
      <c r="E682" t="inlineStr">
        <is>
          <t>VIMMERBY</t>
        </is>
      </c>
      <c r="F682" t="inlineStr">
        <is>
          <t>Kommuner</t>
        </is>
      </c>
      <c r="G682" t="n">
        <v>4.4</v>
      </c>
      <c r="H682" t="n">
        <v>0</v>
      </c>
      <c r="I682" t="n">
        <v>0</v>
      </c>
      <c r="J682" t="n">
        <v>0</v>
      </c>
      <c r="K682" t="n">
        <v>0</v>
      </c>
      <c r="L682" t="n">
        <v>0</v>
      </c>
      <c r="M682" t="n">
        <v>0</v>
      </c>
      <c r="N682" t="n">
        <v>0</v>
      </c>
      <c r="O682" t="n">
        <v>0</v>
      </c>
      <c r="P682" t="n">
        <v>0</v>
      </c>
      <c r="Q682" t="n">
        <v>0</v>
      </c>
      <c r="R682" s="2" t="inlineStr"/>
    </row>
    <row r="683" ht="15" customHeight="1">
      <c r="A683" t="inlineStr">
        <is>
          <t>A 30588-2023</t>
        </is>
      </c>
      <c r="B683" s="1" t="n">
        <v>45112.33599537037</v>
      </c>
      <c r="C683" s="1" t="n">
        <v>45975</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43617-2025</t>
        </is>
      </c>
      <c r="B684" s="1" t="n">
        <v>45911.67798611111</v>
      </c>
      <c r="C684" s="1" t="n">
        <v>45975</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28713-2025</t>
        </is>
      </c>
      <c r="B685" s="1" t="n">
        <v>45820.33930555556</v>
      </c>
      <c r="C685" s="1" t="n">
        <v>45975</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52465-2025</t>
        </is>
      </c>
      <c r="B686" s="1" t="n">
        <v>45954.44543981482</v>
      </c>
      <c r="C686" s="1" t="n">
        <v>45975</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45528-2021</t>
        </is>
      </c>
      <c r="B687" s="1" t="n">
        <v>44440.60415509259</v>
      </c>
      <c r="C687" s="1" t="n">
        <v>45975</v>
      </c>
      <c r="D687" t="inlineStr">
        <is>
          <t>KALMAR LÄN</t>
        </is>
      </c>
      <c r="E687" t="inlineStr">
        <is>
          <t>VIMMERBY</t>
        </is>
      </c>
      <c r="G687" t="n">
        <v>2.2</v>
      </c>
      <c r="H687" t="n">
        <v>0</v>
      </c>
      <c r="I687" t="n">
        <v>0</v>
      </c>
      <c r="J687" t="n">
        <v>0</v>
      </c>
      <c r="K687" t="n">
        <v>0</v>
      </c>
      <c r="L687" t="n">
        <v>0</v>
      </c>
      <c r="M687" t="n">
        <v>0</v>
      </c>
      <c r="N687" t="n">
        <v>0</v>
      </c>
      <c r="O687" t="n">
        <v>0</v>
      </c>
      <c r="P687" t="n">
        <v>0</v>
      </c>
      <c r="Q687" t="n">
        <v>0</v>
      </c>
      <c r="R687" s="2" t="inlineStr"/>
    </row>
    <row r="688" ht="15" customHeight="1">
      <c r="A688" t="inlineStr">
        <is>
          <t>A 52451-2025</t>
        </is>
      </c>
      <c r="B688" s="1" t="n">
        <v>45954.42326388889</v>
      </c>
      <c r="C688" s="1" t="n">
        <v>45975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28712-2025</t>
        </is>
      </c>
      <c r="B689" s="1" t="n">
        <v>45820.33708333333</v>
      </c>
      <c r="C689" s="1" t="n">
        <v>45975</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28714-2025</t>
        </is>
      </c>
      <c r="B690" s="1" t="n">
        <v>45820.34128472222</v>
      </c>
      <c r="C690" s="1" t="n">
        <v>45975</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28620-2025</t>
        </is>
      </c>
      <c r="B691" s="1" t="n">
        <v>45819.61060185185</v>
      </c>
      <c r="C691" s="1" t="n">
        <v>45975</v>
      </c>
      <c r="D691" t="inlineStr">
        <is>
          <t>KALMAR LÄN</t>
        </is>
      </c>
      <c r="E691" t="inlineStr">
        <is>
          <t>VIMMERBY</t>
        </is>
      </c>
      <c r="G691" t="n">
        <v>5.6</v>
      </c>
      <c r="H691" t="n">
        <v>0</v>
      </c>
      <c r="I691" t="n">
        <v>0</v>
      </c>
      <c r="J691" t="n">
        <v>0</v>
      </c>
      <c r="K691" t="n">
        <v>0</v>
      </c>
      <c r="L691" t="n">
        <v>0</v>
      </c>
      <c r="M691" t="n">
        <v>0</v>
      </c>
      <c r="N691" t="n">
        <v>0</v>
      </c>
      <c r="O691" t="n">
        <v>0</v>
      </c>
      <c r="P691" t="n">
        <v>0</v>
      </c>
      <c r="Q691" t="n">
        <v>0</v>
      </c>
      <c r="R691" s="2" t="inlineStr"/>
    </row>
    <row r="692" ht="15" customHeight="1">
      <c r="A692" t="inlineStr">
        <is>
          <t>A 43465-2025</t>
        </is>
      </c>
      <c r="B692" s="1" t="n">
        <v>45911.47138888889</v>
      </c>
      <c r="C692" s="1" t="n">
        <v>45975</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16516-2023</t>
        </is>
      </c>
      <c r="B693" s="1" t="n">
        <v>45029</v>
      </c>
      <c r="C693" s="1" t="n">
        <v>45975</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52473-2025</t>
        </is>
      </c>
      <c r="B694" s="1" t="n">
        <v>45954.45947916667</v>
      </c>
      <c r="C694" s="1" t="n">
        <v>45975</v>
      </c>
      <c r="D694" t="inlineStr">
        <is>
          <t>KALMAR LÄN</t>
        </is>
      </c>
      <c r="E694" t="inlineStr">
        <is>
          <t>VIMMERBY</t>
        </is>
      </c>
      <c r="G694" t="n">
        <v>2.4</v>
      </c>
      <c r="H694" t="n">
        <v>0</v>
      </c>
      <c r="I694" t="n">
        <v>0</v>
      </c>
      <c r="J694" t="n">
        <v>0</v>
      </c>
      <c r="K694" t="n">
        <v>0</v>
      </c>
      <c r="L694" t="n">
        <v>0</v>
      </c>
      <c r="M694" t="n">
        <v>0</v>
      </c>
      <c r="N694" t="n">
        <v>0</v>
      </c>
      <c r="O694" t="n">
        <v>0</v>
      </c>
      <c r="P694" t="n">
        <v>0</v>
      </c>
      <c r="Q694" t="n">
        <v>0</v>
      </c>
      <c r="R694" s="2" t="inlineStr"/>
    </row>
    <row r="695" ht="15" customHeight="1">
      <c r="A695" t="inlineStr">
        <is>
          <t>A 52480-2025</t>
        </is>
      </c>
      <c r="B695" s="1" t="n">
        <v>45954.47172453703</v>
      </c>
      <c r="C695" s="1" t="n">
        <v>45975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52466-2025</t>
        </is>
      </c>
      <c r="B696" s="1" t="n">
        <v>45954.44707175926</v>
      </c>
      <c r="C696" s="1" t="n">
        <v>45975</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2510-2023</t>
        </is>
      </c>
      <c r="B697" s="1" t="n">
        <v>44943.57309027778</v>
      </c>
      <c r="C697" s="1" t="n">
        <v>45975</v>
      </c>
      <c r="D697" t="inlineStr">
        <is>
          <t>KALMAR LÄN</t>
        </is>
      </c>
      <c r="E697" t="inlineStr">
        <is>
          <t>VIMMERBY</t>
        </is>
      </c>
      <c r="G697" t="n">
        <v>8.6</v>
      </c>
      <c r="H697" t="n">
        <v>0</v>
      </c>
      <c r="I697" t="n">
        <v>0</v>
      </c>
      <c r="J697" t="n">
        <v>0</v>
      </c>
      <c r="K697" t="n">
        <v>0</v>
      </c>
      <c r="L697" t="n">
        <v>0</v>
      </c>
      <c r="M697" t="n">
        <v>0</v>
      </c>
      <c r="N697" t="n">
        <v>0</v>
      </c>
      <c r="O697" t="n">
        <v>0</v>
      </c>
      <c r="P697" t="n">
        <v>0</v>
      </c>
      <c r="Q697" t="n">
        <v>0</v>
      </c>
      <c r="R697" s="2" t="inlineStr"/>
    </row>
    <row r="698" ht="15" customHeight="1">
      <c r="A698" t="inlineStr">
        <is>
          <t>A 7758-2024</t>
        </is>
      </c>
      <c r="B698" s="1" t="n">
        <v>45349.54434027777</v>
      </c>
      <c r="C698" s="1" t="n">
        <v>45975</v>
      </c>
      <c r="D698" t="inlineStr">
        <is>
          <t>KALMAR LÄN</t>
        </is>
      </c>
      <c r="E698" t="inlineStr">
        <is>
          <t>VIMMERBY</t>
        </is>
      </c>
      <c r="G698" t="n">
        <v>3.5</v>
      </c>
      <c r="H698" t="n">
        <v>0</v>
      </c>
      <c r="I698" t="n">
        <v>0</v>
      </c>
      <c r="J698" t="n">
        <v>0</v>
      </c>
      <c r="K698" t="n">
        <v>0</v>
      </c>
      <c r="L698" t="n">
        <v>0</v>
      </c>
      <c r="M698" t="n">
        <v>0</v>
      </c>
      <c r="N698" t="n">
        <v>0</v>
      </c>
      <c r="O698" t="n">
        <v>0</v>
      </c>
      <c r="P698" t="n">
        <v>0</v>
      </c>
      <c r="Q698" t="n">
        <v>0</v>
      </c>
      <c r="R698" s="2" t="inlineStr"/>
    </row>
    <row r="699" ht="15" customHeight="1">
      <c r="A699" t="inlineStr">
        <is>
          <t>A 7456-2024</t>
        </is>
      </c>
      <c r="B699" s="1" t="n">
        <v>45345.83557870371</v>
      </c>
      <c r="C699" s="1" t="n">
        <v>45975</v>
      </c>
      <c r="D699" t="inlineStr">
        <is>
          <t>KALMAR LÄN</t>
        </is>
      </c>
      <c r="E699" t="inlineStr">
        <is>
          <t>VIMMERBY</t>
        </is>
      </c>
      <c r="G699" t="n">
        <v>4.1</v>
      </c>
      <c r="H699" t="n">
        <v>0</v>
      </c>
      <c r="I699" t="n">
        <v>0</v>
      </c>
      <c r="J699" t="n">
        <v>0</v>
      </c>
      <c r="K699" t="n">
        <v>0</v>
      </c>
      <c r="L699" t="n">
        <v>0</v>
      </c>
      <c r="M699" t="n">
        <v>0</v>
      </c>
      <c r="N699" t="n">
        <v>0</v>
      </c>
      <c r="O699" t="n">
        <v>0</v>
      </c>
      <c r="P699" t="n">
        <v>0</v>
      </c>
      <c r="Q699" t="n">
        <v>0</v>
      </c>
      <c r="R699" s="2" t="inlineStr"/>
    </row>
    <row r="700" ht="15" customHeight="1">
      <c r="A700" t="inlineStr">
        <is>
          <t>A 48373-2021</t>
        </is>
      </c>
      <c r="B700" s="1" t="n">
        <v>44451</v>
      </c>
      <c r="C700" s="1" t="n">
        <v>45975</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6082-2022</t>
        </is>
      </c>
      <c r="B701" s="1" t="n">
        <v>44599</v>
      </c>
      <c r="C701" s="1" t="n">
        <v>45975</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29727-2025</t>
        </is>
      </c>
      <c r="B702" s="1" t="n">
        <v>45825.5796875</v>
      </c>
      <c r="C702" s="1" t="n">
        <v>45975</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46979-2023</t>
        </is>
      </c>
      <c r="B703" s="1" t="n">
        <v>45201</v>
      </c>
      <c r="C703" s="1" t="n">
        <v>45975</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29737-2025</t>
        </is>
      </c>
      <c r="B704" s="1" t="n">
        <v>45825.58672453704</v>
      </c>
      <c r="C704" s="1" t="n">
        <v>45975</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7485-2024</t>
        </is>
      </c>
      <c r="B705" s="1" t="n">
        <v>45346.67184027778</v>
      </c>
      <c r="C705" s="1" t="n">
        <v>45975</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2596-2025</t>
        </is>
      </c>
      <c r="B706" s="1" t="n">
        <v>45674.71810185185</v>
      </c>
      <c r="C706" s="1" t="n">
        <v>45975</v>
      </c>
      <c r="D706" t="inlineStr">
        <is>
          <t>KALMAR LÄN</t>
        </is>
      </c>
      <c r="E706" t="inlineStr">
        <is>
          <t>VIMMERBY</t>
        </is>
      </c>
      <c r="G706" t="n">
        <v>9</v>
      </c>
      <c r="H706" t="n">
        <v>0</v>
      </c>
      <c r="I706" t="n">
        <v>0</v>
      </c>
      <c r="J706" t="n">
        <v>0</v>
      </c>
      <c r="K706" t="n">
        <v>0</v>
      </c>
      <c r="L706" t="n">
        <v>0</v>
      </c>
      <c r="M706" t="n">
        <v>0</v>
      </c>
      <c r="N706" t="n">
        <v>0</v>
      </c>
      <c r="O706" t="n">
        <v>0</v>
      </c>
      <c r="P706" t="n">
        <v>0</v>
      </c>
      <c r="Q706" t="n">
        <v>0</v>
      </c>
      <c r="R706" s="2" t="inlineStr"/>
    </row>
    <row r="707" ht="15" customHeight="1">
      <c r="A707" t="inlineStr">
        <is>
          <t>A 47855-2024</t>
        </is>
      </c>
      <c r="B707" s="1" t="n">
        <v>45588.66457175926</v>
      </c>
      <c r="C707" s="1" t="n">
        <v>45975</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52475-2025</t>
        </is>
      </c>
      <c r="B708" s="1" t="n">
        <v>45954.468125</v>
      </c>
      <c r="C708" s="1" t="n">
        <v>45975</v>
      </c>
      <c r="D708" t="inlineStr">
        <is>
          <t>KALMAR LÄN</t>
        </is>
      </c>
      <c r="E708" t="inlineStr">
        <is>
          <t>VIMMERBY</t>
        </is>
      </c>
      <c r="G708" t="n">
        <v>1.5</v>
      </c>
      <c r="H708" t="n">
        <v>0</v>
      </c>
      <c r="I708" t="n">
        <v>0</v>
      </c>
      <c r="J708" t="n">
        <v>0</v>
      </c>
      <c r="K708" t="n">
        <v>0</v>
      </c>
      <c r="L708" t="n">
        <v>0</v>
      </c>
      <c r="M708" t="n">
        <v>0</v>
      </c>
      <c r="N708" t="n">
        <v>0</v>
      </c>
      <c r="O708" t="n">
        <v>0</v>
      </c>
      <c r="P708" t="n">
        <v>0</v>
      </c>
      <c r="Q708" t="n">
        <v>0</v>
      </c>
      <c r="R708" s="2" t="inlineStr"/>
    </row>
    <row r="709" ht="15" customHeight="1">
      <c r="A709" t="inlineStr">
        <is>
          <t>A 52516-2025</t>
        </is>
      </c>
      <c r="B709" s="1" t="n">
        <v>45954.51412037037</v>
      </c>
      <c r="C709" s="1" t="n">
        <v>45975</v>
      </c>
      <c r="D709" t="inlineStr">
        <is>
          <t>KALMAR LÄN</t>
        </is>
      </c>
      <c r="E709" t="inlineStr">
        <is>
          <t>VIMMERBY</t>
        </is>
      </c>
      <c r="G709" t="n">
        <v>2.8</v>
      </c>
      <c r="H709" t="n">
        <v>0</v>
      </c>
      <c r="I709" t="n">
        <v>0</v>
      </c>
      <c r="J709" t="n">
        <v>0</v>
      </c>
      <c r="K709" t="n">
        <v>0</v>
      </c>
      <c r="L709" t="n">
        <v>0</v>
      </c>
      <c r="M709" t="n">
        <v>0</v>
      </c>
      <c r="N709" t="n">
        <v>0</v>
      </c>
      <c r="O709" t="n">
        <v>0</v>
      </c>
      <c r="P709" t="n">
        <v>0</v>
      </c>
      <c r="Q709" t="n">
        <v>0</v>
      </c>
      <c r="R709" s="2" t="inlineStr"/>
    </row>
    <row r="710" ht="15" customHeight="1">
      <c r="A710" t="inlineStr">
        <is>
          <t>A 63583-2023</t>
        </is>
      </c>
      <c r="B710" s="1" t="n">
        <v>45275.41833333333</v>
      </c>
      <c r="C710" s="1" t="n">
        <v>45975</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44329-2025</t>
        </is>
      </c>
      <c r="B711" s="1" t="n">
        <v>45916.41019675926</v>
      </c>
      <c r="C711" s="1" t="n">
        <v>45975</v>
      </c>
      <c r="D711" t="inlineStr">
        <is>
          <t>KALMAR LÄN</t>
        </is>
      </c>
      <c r="E711" t="inlineStr">
        <is>
          <t>VIMMERBY</t>
        </is>
      </c>
      <c r="G711" t="n">
        <v>4.3</v>
      </c>
      <c r="H711" t="n">
        <v>0</v>
      </c>
      <c r="I711" t="n">
        <v>0</v>
      </c>
      <c r="J711" t="n">
        <v>0</v>
      </c>
      <c r="K711" t="n">
        <v>0</v>
      </c>
      <c r="L711" t="n">
        <v>0</v>
      </c>
      <c r="M711" t="n">
        <v>0</v>
      </c>
      <c r="N711" t="n">
        <v>0</v>
      </c>
      <c r="O711" t="n">
        <v>0</v>
      </c>
      <c r="P711" t="n">
        <v>0</v>
      </c>
      <c r="Q711" t="n">
        <v>0</v>
      </c>
      <c r="R711" s="2" t="inlineStr"/>
    </row>
    <row r="712" ht="15" customHeight="1">
      <c r="A712" t="inlineStr">
        <is>
          <t>A 60228-2021</t>
        </is>
      </c>
      <c r="B712" s="1" t="n">
        <v>44495</v>
      </c>
      <c r="C712" s="1" t="n">
        <v>45975</v>
      </c>
      <c r="D712" t="inlineStr">
        <is>
          <t>KALMAR LÄN</t>
        </is>
      </c>
      <c r="E712" t="inlineStr">
        <is>
          <t>VIMMERBY</t>
        </is>
      </c>
      <c r="G712" t="n">
        <v>4.1</v>
      </c>
      <c r="H712" t="n">
        <v>0</v>
      </c>
      <c r="I712" t="n">
        <v>0</v>
      </c>
      <c r="J712" t="n">
        <v>0</v>
      </c>
      <c r="K712" t="n">
        <v>0</v>
      </c>
      <c r="L712" t="n">
        <v>0</v>
      </c>
      <c r="M712" t="n">
        <v>0</v>
      </c>
      <c r="N712" t="n">
        <v>0</v>
      </c>
      <c r="O712" t="n">
        <v>0</v>
      </c>
      <c r="P712" t="n">
        <v>0</v>
      </c>
      <c r="Q712" t="n">
        <v>0</v>
      </c>
      <c r="R712" s="2" t="inlineStr"/>
    </row>
    <row r="713" ht="15" customHeight="1">
      <c r="A713" t="inlineStr">
        <is>
          <t>A 46522-2022</t>
        </is>
      </c>
      <c r="B713" s="1" t="n">
        <v>44848.59133101852</v>
      </c>
      <c r="C713" s="1" t="n">
        <v>45975</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21109-2024</t>
        </is>
      </c>
      <c r="B714" s="1" t="n">
        <v>45440.28329861111</v>
      </c>
      <c r="C714" s="1" t="n">
        <v>45975</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33815-2022</t>
        </is>
      </c>
      <c r="B715" s="1" t="n">
        <v>44790.45876157407</v>
      </c>
      <c r="C715" s="1" t="n">
        <v>45975</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45975</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53542-2022</t>
        </is>
      </c>
      <c r="B717" s="1" t="n">
        <v>44879.62173611111</v>
      </c>
      <c r="C717" s="1" t="n">
        <v>45975</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35713-2023</t>
        </is>
      </c>
      <c r="B718" s="1" t="n">
        <v>45147</v>
      </c>
      <c r="C718" s="1" t="n">
        <v>45975</v>
      </c>
      <c r="D718" t="inlineStr">
        <is>
          <t>KALMAR LÄN</t>
        </is>
      </c>
      <c r="E718" t="inlineStr">
        <is>
          <t>VIMMERBY</t>
        </is>
      </c>
      <c r="G718" t="n">
        <v>1.6</v>
      </c>
      <c r="H718" t="n">
        <v>0</v>
      </c>
      <c r="I718" t="n">
        <v>0</v>
      </c>
      <c r="J718" t="n">
        <v>0</v>
      </c>
      <c r="K718" t="n">
        <v>0</v>
      </c>
      <c r="L718" t="n">
        <v>0</v>
      </c>
      <c r="M718" t="n">
        <v>0</v>
      </c>
      <c r="N718" t="n">
        <v>0</v>
      </c>
      <c r="O718" t="n">
        <v>0</v>
      </c>
      <c r="P718" t="n">
        <v>0</v>
      </c>
      <c r="Q718" t="n">
        <v>0</v>
      </c>
      <c r="R718" s="2" t="inlineStr"/>
    </row>
    <row r="719" ht="15" customHeight="1">
      <c r="A719" t="inlineStr">
        <is>
          <t>A 10424-2023</t>
        </is>
      </c>
      <c r="B719" s="1" t="n">
        <v>44987.54104166666</v>
      </c>
      <c r="C719" s="1" t="n">
        <v>45975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33340-2023</t>
        </is>
      </c>
      <c r="B720" s="1" t="n">
        <v>45128.37305555555</v>
      </c>
      <c r="C720" s="1" t="n">
        <v>45975</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29017-2024</t>
        </is>
      </c>
      <c r="B721" s="1" t="n">
        <v>45481.56722222222</v>
      </c>
      <c r="C721" s="1" t="n">
        <v>45975</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44900.57393518519</v>
      </c>
      <c r="C722" s="1" t="n">
        <v>45975</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14548-2024</t>
        </is>
      </c>
      <c r="B723" s="1" t="n">
        <v>45394.66887731481</v>
      </c>
      <c r="C723" s="1" t="n">
        <v>45975</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6574-2023</t>
        </is>
      </c>
      <c r="B724" s="1" t="n">
        <v>44966</v>
      </c>
      <c r="C724" s="1" t="n">
        <v>45975</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20054-2023</t>
        </is>
      </c>
      <c r="B725" s="1" t="n">
        <v>45054.6750462963</v>
      </c>
      <c r="C725" s="1" t="n">
        <v>45975</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44517-2025</t>
        </is>
      </c>
      <c r="B726" s="1" t="n">
        <v>45916.7103587963</v>
      </c>
      <c r="C726" s="1" t="n">
        <v>45975</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48120-2022</t>
        </is>
      </c>
      <c r="B727" s="1" t="n">
        <v>44857.65989583333</v>
      </c>
      <c r="C727" s="1" t="n">
        <v>45975</v>
      </c>
      <c r="D727" t="inlineStr">
        <is>
          <t>KALMAR LÄN</t>
        </is>
      </c>
      <c r="E727" t="inlineStr">
        <is>
          <t>VIMMERBY</t>
        </is>
      </c>
      <c r="G727" t="n">
        <v>1.7</v>
      </c>
      <c r="H727" t="n">
        <v>0</v>
      </c>
      <c r="I727" t="n">
        <v>0</v>
      </c>
      <c r="J727" t="n">
        <v>0</v>
      </c>
      <c r="K727" t="n">
        <v>0</v>
      </c>
      <c r="L727" t="n">
        <v>0</v>
      </c>
      <c r="M727" t="n">
        <v>0</v>
      </c>
      <c r="N727" t="n">
        <v>0</v>
      </c>
      <c r="O727" t="n">
        <v>0</v>
      </c>
      <c r="P727" t="n">
        <v>0</v>
      </c>
      <c r="Q727" t="n">
        <v>0</v>
      </c>
      <c r="R727" s="2" t="inlineStr"/>
    </row>
    <row r="728" ht="15" customHeight="1">
      <c r="A728" t="inlineStr">
        <is>
          <t>A 3423-2022</t>
        </is>
      </c>
      <c r="B728" s="1" t="n">
        <v>44585.50431712963</v>
      </c>
      <c r="C728" s="1" t="n">
        <v>45975</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11074-2023</t>
        </is>
      </c>
      <c r="B729" s="1" t="n">
        <v>44992.34151620371</v>
      </c>
      <c r="C729" s="1" t="n">
        <v>45975</v>
      </c>
      <c r="D729" t="inlineStr">
        <is>
          <t>KALMAR LÄN</t>
        </is>
      </c>
      <c r="E729" t="inlineStr">
        <is>
          <t>VIMMERBY</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71631-2021</t>
        </is>
      </c>
      <c r="B730" s="1" t="n">
        <v>44542.90072916666</v>
      </c>
      <c r="C730" s="1" t="n">
        <v>45975</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44903.33363425926</v>
      </c>
      <c r="C731" s="1" t="n">
        <v>45975</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30293-2025</t>
        </is>
      </c>
      <c r="B732" s="1" t="n">
        <v>45827</v>
      </c>
      <c r="C732" s="1" t="n">
        <v>45975</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49039-2021</t>
        </is>
      </c>
      <c r="B733" s="1" t="n">
        <v>44453.56578703703</v>
      </c>
      <c r="C733" s="1" t="n">
        <v>45975</v>
      </c>
      <c r="D733" t="inlineStr">
        <is>
          <t>KALMAR LÄN</t>
        </is>
      </c>
      <c r="E733" t="inlineStr">
        <is>
          <t>VIMMERBY</t>
        </is>
      </c>
      <c r="G733" t="n">
        <v>0.6</v>
      </c>
      <c r="H733" t="n">
        <v>0</v>
      </c>
      <c r="I733" t="n">
        <v>0</v>
      </c>
      <c r="J733" t="n">
        <v>0</v>
      </c>
      <c r="K733" t="n">
        <v>0</v>
      </c>
      <c r="L733" t="n">
        <v>0</v>
      </c>
      <c r="M733" t="n">
        <v>0</v>
      </c>
      <c r="N733" t="n">
        <v>0</v>
      </c>
      <c r="O733" t="n">
        <v>0</v>
      </c>
      <c r="P733" t="n">
        <v>0</v>
      </c>
      <c r="Q733" t="n">
        <v>0</v>
      </c>
      <c r="R733" s="2" t="inlineStr"/>
    </row>
    <row r="734" ht="15" customHeight="1">
      <c r="A734" t="inlineStr">
        <is>
          <t>A 53220-2025</t>
        </is>
      </c>
      <c r="B734" s="1" t="n">
        <v>45958.60146990741</v>
      </c>
      <c r="C734" s="1" t="n">
        <v>45975</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30290-2025</t>
        </is>
      </c>
      <c r="B735" s="1" t="n">
        <v>45827</v>
      </c>
      <c r="C735" s="1" t="n">
        <v>45975</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44091-2025</t>
        </is>
      </c>
      <c r="B736" s="1" t="n">
        <v>45915.55950231481</v>
      </c>
      <c r="C736" s="1" t="n">
        <v>45975</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42918-2021</t>
        </is>
      </c>
      <c r="B737" s="1" t="n">
        <v>44431</v>
      </c>
      <c r="C737" s="1" t="n">
        <v>45975</v>
      </c>
      <c r="D737" t="inlineStr">
        <is>
          <t>KALMAR LÄN</t>
        </is>
      </c>
      <c r="E737" t="inlineStr">
        <is>
          <t>VIMMERBY</t>
        </is>
      </c>
      <c r="G737" t="n">
        <v>1.6</v>
      </c>
      <c r="H737" t="n">
        <v>0</v>
      </c>
      <c r="I737" t="n">
        <v>0</v>
      </c>
      <c r="J737" t="n">
        <v>0</v>
      </c>
      <c r="K737" t="n">
        <v>0</v>
      </c>
      <c r="L737" t="n">
        <v>0</v>
      </c>
      <c r="M737" t="n">
        <v>0</v>
      </c>
      <c r="N737" t="n">
        <v>0</v>
      </c>
      <c r="O737" t="n">
        <v>0</v>
      </c>
      <c r="P737" t="n">
        <v>0</v>
      </c>
      <c r="Q737" t="n">
        <v>0</v>
      </c>
      <c r="R737" s="2" t="inlineStr"/>
    </row>
    <row r="738" ht="15" customHeight="1">
      <c r="A738" t="inlineStr">
        <is>
          <t>A 44095-2025</t>
        </is>
      </c>
      <c r="B738" s="1" t="n">
        <v>45915.56430555556</v>
      </c>
      <c r="C738" s="1" t="n">
        <v>45975</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30850-2025</t>
        </is>
      </c>
      <c r="B739" s="1" t="n">
        <v>45831</v>
      </c>
      <c r="C739" s="1" t="n">
        <v>45975</v>
      </c>
      <c r="D739" t="inlineStr">
        <is>
          <t>KALMAR LÄN</t>
        </is>
      </c>
      <c r="E739" t="inlineStr">
        <is>
          <t>VIMMERBY</t>
        </is>
      </c>
      <c r="G739" t="n">
        <v>2.7</v>
      </c>
      <c r="H739" t="n">
        <v>0</v>
      </c>
      <c r="I739" t="n">
        <v>0</v>
      </c>
      <c r="J739" t="n">
        <v>0</v>
      </c>
      <c r="K739" t="n">
        <v>0</v>
      </c>
      <c r="L739" t="n">
        <v>0</v>
      </c>
      <c r="M739" t="n">
        <v>0</v>
      </c>
      <c r="N739" t="n">
        <v>0</v>
      </c>
      <c r="O739" t="n">
        <v>0</v>
      </c>
      <c r="P739" t="n">
        <v>0</v>
      </c>
      <c r="Q739" t="n">
        <v>0</v>
      </c>
      <c r="R739" s="2" t="inlineStr"/>
    </row>
    <row r="740" ht="15" customHeight="1">
      <c r="A740" t="inlineStr">
        <is>
          <t>A 2260-2022</t>
        </is>
      </c>
      <c r="B740" s="1" t="n">
        <v>44578.62943287037</v>
      </c>
      <c r="C740" s="1" t="n">
        <v>45975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529-2022</t>
        </is>
      </c>
      <c r="B741" s="1" t="n">
        <v>44566</v>
      </c>
      <c r="C741" s="1" t="n">
        <v>45975</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50860-2022</t>
        </is>
      </c>
      <c r="B742" s="1" t="n">
        <v>44867</v>
      </c>
      <c r="C742" s="1" t="n">
        <v>45975</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53483-2022</t>
        </is>
      </c>
      <c r="B743" s="1" t="n">
        <v>44879.55940972222</v>
      </c>
      <c r="C743" s="1" t="n">
        <v>45975</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45975</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30882-2025</t>
        </is>
      </c>
      <c r="B745" s="1" t="n">
        <v>45832.34540509259</v>
      </c>
      <c r="C745" s="1" t="n">
        <v>45975</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58967-2022</t>
        </is>
      </c>
      <c r="B746" s="1" t="n">
        <v>44896</v>
      </c>
      <c r="C746" s="1" t="n">
        <v>45975</v>
      </c>
      <c r="D746" t="inlineStr">
        <is>
          <t>KALMAR LÄN</t>
        </is>
      </c>
      <c r="E746" t="inlineStr">
        <is>
          <t>VIMMERBY</t>
        </is>
      </c>
      <c r="G746" t="n">
        <v>5</v>
      </c>
      <c r="H746" t="n">
        <v>0</v>
      </c>
      <c r="I746" t="n">
        <v>0</v>
      </c>
      <c r="J746" t="n">
        <v>0</v>
      </c>
      <c r="K746" t="n">
        <v>0</v>
      </c>
      <c r="L746" t="n">
        <v>0</v>
      </c>
      <c r="M746" t="n">
        <v>0</v>
      </c>
      <c r="N746" t="n">
        <v>0</v>
      </c>
      <c r="O746" t="n">
        <v>0</v>
      </c>
      <c r="P746" t="n">
        <v>0</v>
      </c>
      <c r="Q746" t="n">
        <v>0</v>
      </c>
      <c r="R746" s="2" t="inlineStr"/>
    </row>
    <row r="747" ht="15" customHeight="1">
      <c r="A747" t="inlineStr">
        <is>
          <t>A 57682-2022</t>
        </is>
      </c>
      <c r="B747" s="1" t="n">
        <v>44890</v>
      </c>
      <c r="C747" s="1" t="n">
        <v>45975</v>
      </c>
      <c r="D747" t="inlineStr">
        <is>
          <t>KALMAR LÄN</t>
        </is>
      </c>
      <c r="E747" t="inlineStr">
        <is>
          <t>VIMMERBY</t>
        </is>
      </c>
      <c r="G747" t="n">
        <v>1.5</v>
      </c>
      <c r="H747" t="n">
        <v>0</v>
      </c>
      <c r="I747" t="n">
        <v>0</v>
      </c>
      <c r="J747" t="n">
        <v>0</v>
      </c>
      <c r="K747" t="n">
        <v>0</v>
      </c>
      <c r="L747" t="n">
        <v>0</v>
      </c>
      <c r="M747" t="n">
        <v>0</v>
      </c>
      <c r="N747" t="n">
        <v>0</v>
      </c>
      <c r="O747" t="n">
        <v>0</v>
      </c>
      <c r="P747" t="n">
        <v>0</v>
      </c>
      <c r="Q747" t="n">
        <v>0</v>
      </c>
      <c r="R747" s="2" t="inlineStr"/>
    </row>
    <row r="748" ht="15" customHeight="1">
      <c r="A748" t="inlineStr">
        <is>
          <t>A 30971-2025</t>
        </is>
      </c>
      <c r="B748" s="1" t="n">
        <v>45832.46146990741</v>
      </c>
      <c r="C748" s="1" t="n">
        <v>45975</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44742-2025</t>
        </is>
      </c>
      <c r="B749" s="1" t="n">
        <v>45917.67054398148</v>
      </c>
      <c r="C749" s="1" t="n">
        <v>45975</v>
      </c>
      <c r="D749" t="inlineStr">
        <is>
          <t>KALMAR LÄN</t>
        </is>
      </c>
      <c r="E749" t="inlineStr">
        <is>
          <t>VIMMERBY</t>
        </is>
      </c>
      <c r="G749" t="n">
        <v>4.7</v>
      </c>
      <c r="H749" t="n">
        <v>0</v>
      </c>
      <c r="I749" t="n">
        <v>0</v>
      </c>
      <c r="J749" t="n">
        <v>0</v>
      </c>
      <c r="K749" t="n">
        <v>0</v>
      </c>
      <c r="L749" t="n">
        <v>0</v>
      </c>
      <c r="M749" t="n">
        <v>0</v>
      </c>
      <c r="N749" t="n">
        <v>0</v>
      </c>
      <c r="O749" t="n">
        <v>0</v>
      </c>
      <c r="P749" t="n">
        <v>0</v>
      </c>
      <c r="Q749" t="n">
        <v>0</v>
      </c>
      <c r="R749" s="2" t="inlineStr"/>
    </row>
    <row r="750" ht="15" customHeight="1">
      <c r="A750" t="inlineStr">
        <is>
          <t>A 53397-2025</t>
        </is>
      </c>
      <c r="B750" s="1" t="n">
        <v>45959.55918981481</v>
      </c>
      <c r="C750" s="1" t="n">
        <v>45975</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53413-2025</t>
        </is>
      </c>
      <c r="B751" s="1" t="n">
        <v>45959.5787037037</v>
      </c>
      <c r="C751" s="1" t="n">
        <v>45975</v>
      </c>
      <c r="D751" t="inlineStr">
        <is>
          <t>KALMAR LÄN</t>
        </is>
      </c>
      <c r="E751" t="inlineStr">
        <is>
          <t>VIMMERBY</t>
        </is>
      </c>
      <c r="G751" t="n">
        <v>4.3</v>
      </c>
      <c r="H751" t="n">
        <v>0</v>
      </c>
      <c r="I751" t="n">
        <v>0</v>
      </c>
      <c r="J751" t="n">
        <v>0</v>
      </c>
      <c r="K751" t="n">
        <v>0</v>
      </c>
      <c r="L751" t="n">
        <v>0</v>
      </c>
      <c r="M751" t="n">
        <v>0</v>
      </c>
      <c r="N751" t="n">
        <v>0</v>
      </c>
      <c r="O751" t="n">
        <v>0</v>
      </c>
      <c r="P751" t="n">
        <v>0</v>
      </c>
      <c r="Q751" t="n">
        <v>0</v>
      </c>
      <c r="R751" s="2" t="inlineStr"/>
    </row>
    <row r="752" ht="15" customHeight="1">
      <c r="A752" t="inlineStr">
        <is>
          <t>A 31552-2025</t>
        </is>
      </c>
      <c r="B752" s="1" t="n">
        <v>45833.64563657407</v>
      </c>
      <c r="C752" s="1" t="n">
        <v>45975</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31555-2025</t>
        </is>
      </c>
      <c r="B753" s="1" t="n">
        <v>45833.64814814815</v>
      </c>
      <c r="C753" s="1" t="n">
        <v>45975</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14855-2025</t>
        </is>
      </c>
      <c r="B754" s="1" t="n">
        <v>45743.41148148148</v>
      </c>
      <c r="C754" s="1" t="n">
        <v>45975</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60951-2023</t>
        </is>
      </c>
      <c r="B755" s="1" t="n">
        <v>45261.44914351852</v>
      </c>
      <c r="C755" s="1" t="n">
        <v>45975</v>
      </c>
      <c r="D755" t="inlineStr">
        <is>
          <t>KALMAR LÄN</t>
        </is>
      </c>
      <c r="E755" t="inlineStr">
        <is>
          <t>VIMMERBY</t>
        </is>
      </c>
      <c r="G755" t="n">
        <v>4.3</v>
      </c>
      <c r="H755" t="n">
        <v>0</v>
      </c>
      <c r="I755" t="n">
        <v>0</v>
      </c>
      <c r="J755" t="n">
        <v>0</v>
      </c>
      <c r="K755" t="n">
        <v>0</v>
      </c>
      <c r="L755" t="n">
        <v>0</v>
      </c>
      <c r="M755" t="n">
        <v>0</v>
      </c>
      <c r="N755" t="n">
        <v>0</v>
      </c>
      <c r="O755" t="n">
        <v>0</v>
      </c>
      <c r="P755" t="n">
        <v>0</v>
      </c>
      <c r="Q755" t="n">
        <v>0</v>
      </c>
      <c r="R755" s="2" t="inlineStr"/>
    </row>
    <row r="756" ht="15" customHeight="1">
      <c r="A756" t="inlineStr">
        <is>
          <t>A 41896-2025</t>
        </is>
      </c>
      <c r="B756" s="1" t="n">
        <v>45903.38800925926</v>
      </c>
      <c r="C756" s="1" t="n">
        <v>45975</v>
      </c>
      <c r="D756" t="inlineStr">
        <is>
          <t>KALMAR LÄN</t>
        </is>
      </c>
      <c r="E756" t="inlineStr">
        <is>
          <t>VIMMERBY</t>
        </is>
      </c>
      <c r="G756" t="n">
        <v>2.9</v>
      </c>
      <c r="H756" t="n">
        <v>0</v>
      </c>
      <c r="I756" t="n">
        <v>0</v>
      </c>
      <c r="J756" t="n">
        <v>0</v>
      </c>
      <c r="K756" t="n">
        <v>0</v>
      </c>
      <c r="L756" t="n">
        <v>0</v>
      </c>
      <c r="M756" t="n">
        <v>0</v>
      </c>
      <c r="N756" t="n">
        <v>0</v>
      </c>
      <c r="O756" t="n">
        <v>0</v>
      </c>
      <c r="P756" t="n">
        <v>0</v>
      </c>
      <c r="Q756" t="n">
        <v>0</v>
      </c>
      <c r="R756" s="2" t="inlineStr"/>
    </row>
    <row r="757" ht="15" customHeight="1">
      <c r="A757" t="inlineStr">
        <is>
          <t>A 4076-2022</t>
        </is>
      </c>
      <c r="B757" s="1" t="n">
        <v>44588.37998842593</v>
      </c>
      <c r="C757" s="1" t="n">
        <v>45975</v>
      </c>
      <c r="D757" t="inlineStr">
        <is>
          <t>KALMAR LÄN</t>
        </is>
      </c>
      <c r="E757" t="inlineStr">
        <is>
          <t>VIMMERBY</t>
        </is>
      </c>
      <c r="G757" t="n">
        <v>3</v>
      </c>
      <c r="H757" t="n">
        <v>0</v>
      </c>
      <c r="I757" t="n">
        <v>0</v>
      </c>
      <c r="J757" t="n">
        <v>0</v>
      </c>
      <c r="K757" t="n">
        <v>0</v>
      </c>
      <c r="L757" t="n">
        <v>0</v>
      </c>
      <c r="M757" t="n">
        <v>0</v>
      </c>
      <c r="N757" t="n">
        <v>0</v>
      </c>
      <c r="O757" t="n">
        <v>0</v>
      </c>
      <c r="P757" t="n">
        <v>0</v>
      </c>
      <c r="Q757" t="n">
        <v>0</v>
      </c>
      <c r="R757" s="2" t="inlineStr"/>
    </row>
    <row r="758" ht="15" customHeight="1">
      <c r="A758" t="inlineStr">
        <is>
          <t>A 4122-2022</t>
        </is>
      </c>
      <c r="B758" s="1" t="n">
        <v>44588</v>
      </c>
      <c r="C758" s="1" t="n">
        <v>45975</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19162-2023</t>
        </is>
      </c>
      <c r="B759" s="1" t="n">
        <v>45048.59699074074</v>
      </c>
      <c r="C759" s="1" t="n">
        <v>45975</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53396-2025</t>
        </is>
      </c>
      <c r="B760" s="1" t="n">
        <v>45959.55577546296</v>
      </c>
      <c r="C760" s="1" t="n">
        <v>45975</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53416-2025</t>
        </is>
      </c>
      <c r="B761" s="1" t="n">
        <v>45959.58387731481</v>
      </c>
      <c r="C761" s="1" t="n">
        <v>45975</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65961-2020</t>
        </is>
      </c>
      <c r="B762" s="1" t="n">
        <v>44175.39748842592</v>
      </c>
      <c r="C762" s="1" t="n">
        <v>45975</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31870-2025</t>
        </is>
      </c>
      <c r="B763" s="1" t="n">
        <v>45834.64667824074</v>
      </c>
      <c r="C763" s="1" t="n">
        <v>45975</v>
      </c>
      <c r="D763" t="inlineStr">
        <is>
          <t>KALMAR LÄN</t>
        </is>
      </c>
      <c r="E763" t="inlineStr">
        <is>
          <t>VIMMERBY</t>
        </is>
      </c>
      <c r="F763" t="inlineStr">
        <is>
          <t>Sveaskog</t>
        </is>
      </c>
      <c r="G763" t="n">
        <v>3.5</v>
      </c>
      <c r="H763" t="n">
        <v>0</v>
      </c>
      <c r="I763" t="n">
        <v>0</v>
      </c>
      <c r="J763" t="n">
        <v>0</v>
      </c>
      <c r="K763" t="n">
        <v>0</v>
      </c>
      <c r="L763" t="n">
        <v>0</v>
      </c>
      <c r="M763" t="n">
        <v>0</v>
      </c>
      <c r="N763" t="n">
        <v>0</v>
      </c>
      <c r="O763" t="n">
        <v>0</v>
      </c>
      <c r="P763" t="n">
        <v>0</v>
      </c>
      <c r="Q763" t="n">
        <v>0</v>
      </c>
      <c r="R763" s="2" t="inlineStr"/>
    </row>
    <row r="764" ht="15" customHeight="1">
      <c r="A764" t="inlineStr">
        <is>
          <t>A 31209-2024</t>
        </is>
      </c>
      <c r="B764" s="1" t="n">
        <v>45503.5658912037</v>
      </c>
      <c r="C764" s="1" t="n">
        <v>45975</v>
      </c>
      <c r="D764" t="inlineStr">
        <is>
          <t>KALMAR LÄN</t>
        </is>
      </c>
      <c r="E764" t="inlineStr">
        <is>
          <t>VIMMERBY</t>
        </is>
      </c>
      <c r="G764" t="n">
        <v>1.7</v>
      </c>
      <c r="H764" t="n">
        <v>0</v>
      </c>
      <c r="I764" t="n">
        <v>0</v>
      </c>
      <c r="J764" t="n">
        <v>0</v>
      </c>
      <c r="K764" t="n">
        <v>0</v>
      </c>
      <c r="L764" t="n">
        <v>0</v>
      </c>
      <c r="M764" t="n">
        <v>0</v>
      </c>
      <c r="N764" t="n">
        <v>0</v>
      </c>
      <c r="O764" t="n">
        <v>0</v>
      </c>
      <c r="P764" t="n">
        <v>0</v>
      </c>
      <c r="Q764" t="n">
        <v>0</v>
      </c>
      <c r="R764" s="2" t="inlineStr"/>
    </row>
    <row r="765" ht="15" customHeight="1">
      <c r="A765" t="inlineStr">
        <is>
          <t>A 8559-2025</t>
        </is>
      </c>
      <c r="B765" s="1" t="n">
        <v>45709.62280092593</v>
      </c>
      <c r="C765" s="1" t="n">
        <v>45975</v>
      </c>
      <c r="D765" t="inlineStr">
        <is>
          <t>KALMAR LÄN</t>
        </is>
      </c>
      <c r="E765" t="inlineStr">
        <is>
          <t>VIMMERBY</t>
        </is>
      </c>
      <c r="G765" t="n">
        <v>8.9</v>
      </c>
      <c r="H765" t="n">
        <v>0</v>
      </c>
      <c r="I765" t="n">
        <v>0</v>
      </c>
      <c r="J765" t="n">
        <v>0</v>
      </c>
      <c r="K765" t="n">
        <v>0</v>
      </c>
      <c r="L765" t="n">
        <v>0</v>
      </c>
      <c r="M765" t="n">
        <v>0</v>
      </c>
      <c r="N765" t="n">
        <v>0</v>
      </c>
      <c r="O765" t="n">
        <v>0</v>
      </c>
      <c r="P765" t="n">
        <v>0</v>
      </c>
      <c r="Q765" t="n">
        <v>0</v>
      </c>
      <c r="R765" s="2" t="inlineStr"/>
    </row>
    <row r="766" ht="15" customHeight="1">
      <c r="A766" t="inlineStr">
        <is>
          <t>A 31872-2025</t>
        </is>
      </c>
      <c r="B766" s="1" t="n">
        <v>45834.65040509259</v>
      </c>
      <c r="C766" s="1" t="n">
        <v>45975</v>
      </c>
      <c r="D766" t="inlineStr">
        <is>
          <t>KALMAR LÄN</t>
        </is>
      </c>
      <c r="E766" t="inlineStr">
        <is>
          <t>VIMMERBY</t>
        </is>
      </c>
      <c r="F766" t="inlineStr">
        <is>
          <t>Sveaskog</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31876-2025</t>
        </is>
      </c>
      <c r="B767" s="1" t="n">
        <v>45834.65197916667</v>
      </c>
      <c r="C767" s="1" t="n">
        <v>45975</v>
      </c>
      <c r="D767" t="inlineStr">
        <is>
          <t>KALMAR LÄN</t>
        </is>
      </c>
      <c r="E767" t="inlineStr">
        <is>
          <t>VIMMERBY</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9624-2024</t>
        </is>
      </c>
      <c r="B768" s="1" t="n">
        <v>45361.90282407407</v>
      </c>
      <c r="C768" s="1" t="n">
        <v>45975</v>
      </c>
      <c r="D768" t="inlineStr">
        <is>
          <t>KALMAR LÄN</t>
        </is>
      </c>
      <c r="E768" t="inlineStr">
        <is>
          <t>VIMMERBY</t>
        </is>
      </c>
      <c r="G768" t="n">
        <v>3.8</v>
      </c>
      <c r="H768" t="n">
        <v>0</v>
      </c>
      <c r="I768" t="n">
        <v>0</v>
      </c>
      <c r="J768" t="n">
        <v>0</v>
      </c>
      <c r="K768" t="n">
        <v>0</v>
      </c>
      <c r="L768" t="n">
        <v>0</v>
      </c>
      <c r="M768" t="n">
        <v>0</v>
      </c>
      <c r="N768" t="n">
        <v>0</v>
      </c>
      <c r="O768" t="n">
        <v>0</v>
      </c>
      <c r="P768" t="n">
        <v>0</v>
      </c>
      <c r="Q768" t="n">
        <v>0</v>
      </c>
      <c r="R768" s="2" t="inlineStr"/>
    </row>
    <row r="769" ht="15" customHeight="1">
      <c r="A769" t="inlineStr">
        <is>
          <t>A 5864-2022</t>
        </is>
      </c>
      <c r="B769" s="1" t="n">
        <v>44596</v>
      </c>
      <c r="C769" s="1" t="n">
        <v>45975</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31551-2025</t>
        </is>
      </c>
      <c r="B770" s="1" t="n">
        <v>45833.64237268519</v>
      </c>
      <c r="C770" s="1" t="n">
        <v>45975</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52327-2023</t>
        </is>
      </c>
      <c r="B771" s="1" t="n">
        <v>45224.6515162037</v>
      </c>
      <c r="C771" s="1" t="n">
        <v>45975</v>
      </c>
      <c r="D771" t="inlineStr">
        <is>
          <t>KALMAR LÄN</t>
        </is>
      </c>
      <c r="E771" t="inlineStr">
        <is>
          <t>VIMMERBY</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31987-2025</t>
        </is>
      </c>
      <c r="B772" s="1" t="n">
        <v>45835.36229166666</v>
      </c>
      <c r="C772" s="1" t="n">
        <v>45975</v>
      </c>
      <c r="D772" t="inlineStr">
        <is>
          <t>KALMAR LÄN</t>
        </is>
      </c>
      <c r="E772" t="inlineStr">
        <is>
          <t>VIMMERBY</t>
        </is>
      </c>
      <c r="F772" t="inlineStr">
        <is>
          <t>Kyrkan</t>
        </is>
      </c>
      <c r="G772" t="n">
        <v>1.2</v>
      </c>
      <c r="H772" t="n">
        <v>0</v>
      </c>
      <c r="I772" t="n">
        <v>0</v>
      </c>
      <c r="J772" t="n">
        <v>0</v>
      </c>
      <c r="K772" t="n">
        <v>0</v>
      </c>
      <c r="L772" t="n">
        <v>0</v>
      </c>
      <c r="M772" t="n">
        <v>0</v>
      </c>
      <c r="N772" t="n">
        <v>0</v>
      </c>
      <c r="O772" t="n">
        <v>0</v>
      </c>
      <c r="P772" t="n">
        <v>0</v>
      </c>
      <c r="Q772" t="n">
        <v>0</v>
      </c>
      <c r="R772" s="2" t="inlineStr"/>
    </row>
    <row r="773" ht="15" customHeight="1">
      <c r="A773" t="inlineStr">
        <is>
          <t>A 32120-2025</t>
        </is>
      </c>
      <c r="B773" s="1" t="n">
        <v>45835.4924537037</v>
      </c>
      <c r="C773" s="1" t="n">
        <v>45975</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53393-2025</t>
        </is>
      </c>
      <c r="B774" s="1" t="n">
        <v>45959.55284722222</v>
      </c>
      <c r="C774" s="1" t="n">
        <v>45975</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53398-2025</t>
        </is>
      </c>
      <c r="B775" s="1" t="n">
        <v>45959.56247685185</v>
      </c>
      <c r="C775" s="1" t="n">
        <v>45975</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29616-2022</t>
        </is>
      </c>
      <c r="B776" s="1" t="n">
        <v>44754</v>
      </c>
      <c r="C776" s="1" t="n">
        <v>45975</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29348-2023</t>
        </is>
      </c>
      <c r="B777" s="1" t="n">
        <v>45106.25025462963</v>
      </c>
      <c r="C777" s="1" t="n">
        <v>45975</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28403-2023</t>
        </is>
      </c>
      <c r="B778" s="1" t="n">
        <v>45100.85270833333</v>
      </c>
      <c r="C778" s="1" t="n">
        <v>45975</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3938-2023</t>
        </is>
      </c>
      <c r="B779" s="1" t="n">
        <v>44952.35775462963</v>
      </c>
      <c r="C779" s="1" t="n">
        <v>45975</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53903-2025</t>
        </is>
      </c>
      <c r="B780" s="1" t="n">
        <v>45961.43738425926</v>
      </c>
      <c r="C780" s="1" t="n">
        <v>45975</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17511-2024</t>
        </is>
      </c>
      <c r="B781" s="1" t="n">
        <v>45415.57682870371</v>
      </c>
      <c r="C781" s="1" t="n">
        <v>45975</v>
      </c>
      <c r="D781" t="inlineStr">
        <is>
          <t>KALMAR LÄN</t>
        </is>
      </c>
      <c r="E781" t="inlineStr">
        <is>
          <t>VIMMERBY</t>
        </is>
      </c>
      <c r="G781" t="n">
        <v>5.3</v>
      </c>
      <c r="H781" t="n">
        <v>0</v>
      </c>
      <c r="I781" t="n">
        <v>0</v>
      </c>
      <c r="J781" t="n">
        <v>0</v>
      </c>
      <c r="K781" t="n">
        <v>0</v>
      </c>
      <c r="L781" t="n">
        <v>0</v>
      </c>
      <c r="M781" t="n">
        <v>0</v>
      </c>
      <c r="N781" t="n">
        <v>0</v>
      </c>
      <c r="O781" t="n">
        <v>0</v>
      </c>
      <c r="P781" t="n">
        <v>0</v>
      </c>
      <c r="Q781" t="n">
        <v>0</v>
      </c>
      <c r="R781" s="2" t="inlineStr"/>
    </row>
    <row r="782" ht="15" customHeight="1">
      <c r="A782" t="inlineStr">
        <is>
          <t>A 53920-2025</t>
        </is>
      </c>
      <c r="B782" s="1" t="n">
        <v>45961.44951388889</v>
      </c>
      <c r="C782" s="1" t="n">
        <v>45975</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32116-2025</t>
        </is>
      </c>
      <c r="B783" s="1" t="n">
        <v>45835.48862268519</v>
      </c>
      <c r="C783" s="1" t="n">
        <v>45975</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54234-2025</t>
        </is>
      </c>
      <c r="B784" s="1" t="n">
        <v>45964.62486111111</v>
      </c>
      <c r="C784" s="1" t="n">
        <v>45975</v>
      </c>
      <c r="D784" t="inlineStr">
        <is>
          <t>KALMAR LÄN</t>
        </is>
      </c>
      <c r="E784" t="inlineStr">
        <is>
          <t>VIMMERBY</t>
        </is>
      </c>
      <c r="G784" t="n">
        <v>4.1</v>
      </c>
      <c r="H784" t="n">
        <v>0</v>
      </c>
      <c r="I784" t="n">
        <v>0</v>
      </c>
      <c r="J784" t="n">
        <v>0</v>
      </c>
      <c r="K784" t="n">
        <v>0</v>
      </c>
      <c r="L784" t="n">
        <v>0</v>
      </c>
      <c r="M784" t="n">
        <v>0</v>
      </c>
      <c r="N784" t="n">
        <v>0</v>
      </c>
      <c r="O784" t="n">
        <v>0</v>
      </c>
      <c r="P784" t="n">
        <v>0</v>
      </c>
      <c r="Q784" t="n">
        <v>0</v>
      </c>
      <c r="R784" s="2" t="inlineStr"/>
    </row>
    <row r="785" ht="15" customHeight="1">
      <c r="A785" t="inlineStr">
        <is>
          <t>A 66022-2021</t>
        </is>
      </c>
      <c r="B785" s="1" t="n">
        <v>44517</v>
      </c>
      <c r="C785" s="1" t="n">
        <v>45975</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29973-2023</t>
        </is>
      </c>
      <c r="B786" s="1" t="n">
        <v>45108.703125</v>
      </c>
      <c r="C786" s="1" t="n">
        <v>45975</v>
      </c>
      <c r="D786" t="inlineStr">
        <is>
          <t>KALMAR LÄN</t>
        </is>
      </c>
      <c r="E786" t="inlineStr">
        <is>
          <t>VIMMERBY</t>
        </is>
      </c>
      <c r="G786" t="n">
        <v>4</v>
      </c>
      <c r="H786" t="n">
        <v>0</v>
      </c>
      <c r="I786" t="n">
        <v>0</v>
      </c>
      <c r="J786" t="n">
        <v>0</v>
      </c>
      <c r="K786" t="n">
        <v>0</v>
      </c>
      <c r="L786" t="n">
        <v>0</v>
      </c>
      <c r="M786" t="n">
        <v>0</v>
      </c>
      <c r="N786" t="n">
        <v>0</v>
      </c>
      <c r="O786" t="n">
        <v>0</v>
      </c>
      <c r="P786" t="n">
        <v>0</v>
      </c>
      <c r="Q786" t="n">
        <v>0</v>
      </c>
      <c r="R786" s="2" t="inlineStr"/>
    </row>
    <row r="787" ht="15" customHeight="1">
      <c r="A787" t="inlineStr">
        <is>
          <t>A 53923-2025</t>
        </is>
      </c>
      <c r="B787" s="1" t="n">
        <v>45961.4569212963</v>
      </c>
      <c r="C787" s="1" t="n">
        <v>45975</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26937-2023</t>
        </is>
      </c>
      <c r="B788" s="1" t="n">
        <v>45093.62777777778</v>
      </c>
      <c r="C788" s="1" t="n">
        <v>45975</v>
      </c>
      <c r="D788" t="inlineStr">
        <is>
          <t>KALMAR LÄN</t>
        </is>
      </c>
      <c r="E788" t="inlineStr">
        <is>
          <t>VIMMERBY</t>
        </is>
      </c>
      <c r="F788" t="inlineStr">
        <is>
          <t>Sveaskog</t>
        </is>
      </c>
      <c r="G788" t="n">
        <v>14.5</v>
      </c>
      <c r="H788" t="n">
        <v>0</v>
      </c>
      <c r="I788" t="n">
        <v>0</v>
      </c>
      <c r="J788" t="n">
        <v>0</v>
      </c>
      <c r="K788" t="n">
        <v>0</v>
      </c>
      <c r="L788" t="n">
        <v>0</v>
      </c>
      <c r="M788" t="n">
        <v>0</v>
      </c>
      <c r="N788" t="n">
        <v>0</v>
      </c>
      <c r="O788" t="n">
        <v>0</v>
      </c>
      <c r="P788" t="n">
        <v>0</v>
      </c>
      <c r="Q788" t="n">
        <v>0</v>
      </c>
      <c r="R788" s="2" t="inlineStr"/>
    </row>
    <row r="789" ht="15" customHeight="1">
      <c r="A789" t="inlineStr">
        <is>
          <t>A 30070-2023</t>
        </is>
      </c>
      <c r="B789" s="1" t="n">
        <v>45110.4275</v>
      </c>
      <c r="C789" s="1" t="n">
        <v>45975</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45319-2025</t>
        </is>
      </c>
      <c r="B790" s="1" t="n">
        <v>45921.95611111111</v>
      </c>
      <c r="C790" s="1" t="n">
        <v>45975</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45320-2025</t>
        </is>
      </c>
      <c r="B791" s="1" t="n">
        <v>45921.96395833333</v>
      </c>
      <c r="C791" s="1" t="n">
        <v>45975</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50085-2023</t>
        </is>
      </c>
      <c r="B792" s="1" t="n">
        <v>45215.5959375</v>
      </c>
      <c r="C792" s="1" t="n">
        <v>45975</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32380-2025</t>
        </is>
      </c>
      <c r="B793" s="1" t="n">
        <v>45837.77701388889</v>
      </c>
      <c r="C793" s="1" t="n">
        <v>45975</v>
      </c>
      <c r="D793" t="inlineStr">
        <is>
          <t>KALMAR LÄN</t>
        </is>
      </c>
      <c r="E793" t="inlineStr">
        <is>
          <t>VIMMERBY</t>
        </is>
      </c>
      <c r="G793" t="n">
        <v>3.1</v>
      </c>
      <c r="H793" t="n">
        <v>0</v>
      </c>
      <c r="I793" t="n">
        <v>0</v>
      </c>
      <c r="J793" t="n">
        <v>0</v>
      </c>
      <c r="K793" t="n">
        <v>0</v>
      </c>
      <c r="L793" t="n">
        <v>0</v>
      </c>
      <c r="M793" t="n">
        <v>0</v>
      </c>
      <c r="N793" t="n">
        <v>0</v>
      </c>
      <c r="O793" t="n">
        <v>0</v>
      </c>
      <c r="P793" t="n">
        <v>0</v>
      </c>
      <c r="Q793" t="n">
        <v>0</v>
      </c>
      <c r="R793" s="2" t="inlineStr"/>
    </row>
    <row r="794" ht="15" customHeight="1">
      <c r="A794" t="inlineStr">
        <is>
          <t>A 32109-2025</t>
        </is>
      </c>
      <c r="B794" s="1" t="n">
        <v>45835.48267361111</v>
      </c>
      <c r="C794" s="1" t="n">
        <v>45975</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32113-2025</t>
        </is>
      </c>
      <c r="B795" s="1" t="n">
        <v>45835.48445601852</v>
      </c>
      <c r="C795" s="1" t="n">
        <v>45975</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54236-2025</t>
        </is>
      </c>
      <c r="B796" s="1" t="n">
        <v>45964.62671296296</v>
      </c>
      <c r="C796" s="1" t="n">
        <v>45975</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32077-2025</t>
        </is>
      </c>
      <c r="B797" s="1" t="n">
        <v>45835.45099537037</v>
      </c>
      <c r="C797" s="1" t="n">
        <v>45975</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11219-2023</t>
        </is>
      </c>
      <c r="B798" s="1" t="n">
        <v>44992.62498842592</v>
      </c>
      <c r="C798" s="1" t="n">
        <v>45975</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53927-2025</t>
        </is>
      </c>
      <c r="B799" s="1" t="n">
        <v>45961.46740740741</v>
      </c>
      <c r="C799" s="1" t="n">
        <v>45975</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32064-2025</t>
        </is>
      </c>
      <c r="B800" s="1" t="n">
        <v>45835.44709490741</v>
      </c>
      <c r="C800" s="1" t="n">
        <v>45975</v>
      </c>
      <c r="D800" t="inlineStr">
        <is>
          <t>KALMAR LÄN</t>
        </is>
      </c>
      <c r="E800" t="inlineStr">
        <is>
          <t>VIMMERBY</t>
        </is>
      </c>
      <c r="G800" t="n">
        <v>2.6</v>
      </c>
      <c r="H800" t="n">
        <v>0</v>
      </c>
      <c r="I800" t="n">
        <v>0</v>
      </c>
      <c r="J800" t="n">
        <v>0</v>
      </c>
      <c r="K800" t="n">
        <v>0</v>
      </c>
      <c r="L800" t="n">
        <v>0</v>
      </c>
      <c r="M800" t="n">
        <v>0</v>
      </c>
      <c r="N800" t="n">
        <v>0</v>
      </c>
      <c r="O800" t="n">
        <v>0</v>
      </c>
      <c r="P800" t="n">
        <v>0</v>
      </c>
      <c r="Q800" t="n">
        <v>0</v>
      </c>
      <c r="R800" s="2" t="inlineStr"/>
    </row>
    <row r="801" ht="15" customHeight="1">
      <c r="A801" t="inlineStr">
        <is>
          <t>A 32065-2025</t>
        </is>
      </c>
      <c r="B801" s="1" t="n">
        <v>45835.44732638889</v>
      </c>
      <c r="C801" s="1" t="n">
        <v>45975</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45114-2025</t>
        </is>
      </c>
      <c r="B802" s="1" t="n">
        <v>45919.42387731482</v>
      </c>
      <c r="C802" s="1" t="n">
        <v>45975</v>
      </c>
      <c r="D802" t="inlineStr">
        <is>
          <t>KALMAR LÄN</t>
        </is>
      </c>
      <c r="E802" t="inlineStr">
        <is>
          <t>VIMMERBY</t>
        </is>
      </c>
      <c r="G802" t="n">
        <v>2.7</v>
      </c>
      <c r="H802" t="n">
        <v>0</v>
      </c>
      <c r="I802" t="n">
        <v>0</v>
      </c>
      <c r="J802" t="n">
        <v>0</v>
      </c>
      <c r="K802" t="n">
        <v>0</v>
      </c>
      <c r="L802" t="n">
        <v>0</v>
      </c>
      <c r="M802" t="n">
        <v>0</v>
      </c>
      <c r="N802" t="n">
        <v>0</v>
      </c>
      <c r="O802" t="n">
        <v>0</v>
      </c>
      <c r="P802" t="n">
        <v>0</v>
      </c>
      <c r="Q802" t="n">
        <v>0</v>
      </c>
      <c r="R802" s="2" t="inlineStr"/>
    </row>
    <row r="803" ht="15" customHeight="1">
      <c r="A803" t="inlineStr">
        <is>
          <t>A 53933-2025</t>
        </is>
      </c>
      <c r="B803" s="1" t="n">
        <v>45961.47650462963</v>
      </c>
      <c r="C803" s="1" t="n">
        <v>45975</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45854-2025</t>
        </is>
      </c>
      <c r="B804" s="1" t="n">
        <v>45923</v>
      </c>
      <c r="C804" s="1" t="n">
        <v>45975</v>
      </c>
      <c r="D804" t="inlineStr">
        <is>
          <t>KALMAR LÄN</t>
        </is>
      </c>
      <c r="E804" t="inlineStr">
        <is>
          <t>VIMMERBY</t>
        </is>
      </c>
      <c r="G804" t="n">
        <v>2.2</v>
      </c>
      <c r="H804" t="n">
        <v>0</v>
      </c>
      <c r="I804" t="n">
        <v>0</v>
      </c>
      <c r="J804" t="n">
        <v>0</v>
      </c>
      <c r="K804" t="n">
        <v>0</v>
      </c>
      <c r="L804" t="n">
        <v>0</v>
      </c>
      <c r="M804" t="n">
        <v>0</v>
      </c>
      <c r="N804" t="n">
        <v>0</v>
      </c>
      <c r="O804" t="n">
        <v>0</v>
      </c>
      <c r="P804" t="n">
        <v>0</v>
      </c>
      <c r="Q804" t="n">
        <v>0</v>
      </c>
      <c r="R804" s="2" t="inlineStr"/>
    </row>
    <row r="805" ht="15" customHeight="1">
      <c r="A805" t="inlineStr">
        <is>
          <t>A 45855-2025</t>
        </is>
      </c>
      <c r="B805" s="1" t="n">
        <v>45923</v>
      </c>
      <c r="C805" s="1" t="n">
        <v>45975</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46118-2025</t>
        </is>
      </c>
      <c r="B806" s="1" t="n">
        <v>45924.57697916667</v>
      </c>
      <c r="C806" s="1" t="n">
        <v>45975</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45975</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46365-2025</t>
        </is>
      </c>
      <c r="B808" s="1" t="n">
        <v>45925.50075231482</v>
      </c>
      <c r="C808" s="1" t="n">
        <v>45975</v>
      </c>
      <c r="D808" t="inlineStr">
        <is>
          <t>KALMAR LÄN</t>
        </is>
      </c>
      <c r="E808" t="inlineStr">
        <is>
          <t>VIMMERBY</t>
        </is>
      </c>
      <c r="G808" t="n">
        <v>5.6</v>
      </c>
      <c r="H808" t="n">
        <v>0</v>
      </c>
      <c r="I808" t="n">
        <v>0</v>
      </c>
      <c r="J808" t="n">
        <v>0</v>
      </c>
      <c r="K808" t="n">
        <v>0</v>
      </c>
      <c r="L808" t="n">
        <v>0</v>
      </c>
      <c r="M808" t="n">
        <v>0</v>
      </c>
      <c r="N808" t="n">
        <v>0</v>
      </c>
      <c r="O808" t="n">
        <v>0</v>
      </c>
      <c r="P808" t="n">
        <v>0</v>
      </c>
      <c r="Q808" t="n">
        <v>0</v>
      </c>
      <c r="R808" s="2" t="inlineStr"/>
    </row>
    <row r="809" ht="15" customHeight="1">
      <c r="A809" t="inlineStr">
        <is>
          <t>A 33186-2025</t>
        </is>
      </c>
      <c r="B809" s="1" t="n">
        <v>45840.59474537037</v>
      </c>
      <c r="C809" s="1" t="n">
        <v>45975</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54737-2025</t>
        </is>
      </c>
      <c r="B810" s="1" t="n">
        <v>45966.56826388889</v>
      </c>
      <c r="C810" s="1" t="n">
        <v>45975</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53789-2025</t>
        </is>
      </c>
      <c r="B811" s="1" t="n">
        <v>45960</v>
      </c>
      <c r="C811" s="1" t="n">
        <v>45975</v>
      </c>
      <c r="D811" t="inlineStr">
        <is>
          <t>KALMAR LÄN</t>
        </is>
      </c>
      <c r="E811" t="inlineStr">
        <is>
          <t>VIMMERBY</t>
        </is>
      </c>
      <c r="F811" t="inlineStr">
        <is>
          <t>Övriga statliga verk och myndigheter</t>
        </is>
      </c>
      <c r="G811" t="n">
        <v>1.6</v>
      </c>
      <c r="H811" t="n">
        <v>0</v>
      </c>
      <c r="I811" t="n">
        <v>0</v>
      </c>
      <c r="J811" t="n">
        <v>0</v>
      </c>
      <c r="K811" t="n">
        <v>0</v>
      </c>
      <c r="L811" t="n">
        <v>0</v>
      </c>
      <c r="M811" t="n">
        <v>0</v>
      </c>
      <c r="N811" t="n">
        <v>0</v>
      </c>
      <c r="O811" t="n">
        <v>0</v>
      </c>
      <c r="P811" t="n">
        <v>0</v>
      </c>
      <c r="Q811" t="n">
        <v>0</v>
      </c>
      <c r="R811" s="2" t="inlineStr"/>
    </row>
    <row r="812" ht="15" customHeight="1">
      <c r="A812" t="inlineStr">
        <is>
          <t>A 30977-2025</t>
        </is>
      </c>
      <c r="B812" s="1" t="n">
        <v>45832.46649305556</v>
      </c>
      <c r="C812" s="1" t="n">
        <v>45975</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33695-2025</t>
        </is>
      </c>
      <c r="B813" s="1" t="n">
        <v>45841.70569444444</v>
      </c>
      <c r="C813" s="1" t="n">
        <v>45975</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33698-2025</t>
        </is>
      </c>
      <c r="B814" s="1" t="n">
        <v>45841.70868055556</v>
      </c>
      <c r="C814" s="1" t="n">
        <v>45975</v>
      </c>
      <c r="D814" t="inlineStr">
        <is>
          <t>KALMAR LÄN</t>
        </is>
      </c>
      <c r="E814" t="inlineStr">
        <is>
          <t>VIMMERBY</t>
        </is>
      </c>
      <c r="G814" t="n">
        <v>3.7</v>
      </c>
      <c r="H814" t="n">
        <v>0</v>
      </c>
      <c r="I814" t="n">
        <v>0</v>
      </c>
      <c r="J814" t="n">
        <v>0</v>
      </c>
      <c r="K814" t="n">
        <v>0</v>
      </c>
      <c r="L814" t="n">
        <v>0</v>
      </c>
      <c r="M814" t="n">
        <v>0</v>
      </c>
      <c r="N814" t="n">
        <v>0</v>
      </c>
      <c r="O814" t="n">
        <v>0</v>
      </c>
      <c r="P814" t="n">
        <v>0</v>
      </c>
      <c r="Q814" t="n">
        <v>0</v>
      </c>
      <c r="R814" s="2" t="inlineStr"/>
    </row>
    <row r="815" ht="15" customHeight="1">
      <c r="A815" t="inlineStr">
        <is>
          <t>A 54813-2025</t>
        </is>
      </c>
      <c r="B815" s="1" t="n">
        <v>45966.64881944445</v>
      </c>
      <c r="C815" s="1" t="n">
        <v>45975</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45856-2025</t>
        </is>
      </c>
      <c r="B816" s="1" t="n">
        <v>45923</v>
      </c>
      <c r="C816" s="1" t="n">
        <v>45975</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53786-2025</t>
        </is>
      </c>
      <c r="B817" s="1" t="n">
        <v>45960</v>
      </c>
      <c r="C817" s="1" t="n">
        <v>45975</v>
      </c>
      <c r="D817" t="inlineStr">
        <is>
          <t>KALMAR LÄN</t>
        </is>
      </c>
      <c r="E817" t="inlineStr">
        <is>
          <t>VIMMERBY</t>
        </is>
      </c>
      <c r="F817" t="inlineStr">
        <is>
          <t>Övriga statliga verk och myndigheter</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33696-2025</t>
        </is>
      </c>
      <c r="B818" s="1" t="n">
        <v>45841.7072337963</v>
      </c>
      <c r="C818" s="1" t="n">
        <v>45975</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53586-2025</t>
        </is>
      </c>
      <c r="B819" s="1" t="n">
        <v>45960</v>
      </c>
      <c r="C819" s="1" t="n">
        <v>45975</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6850-2023</t>
        </is>
      </c>
      <c r="B820" s="1" t="n">
        <v>44967.44255787037</v>
      </c>
      <c r="C820" s="1" t="n">
        <v>45975</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28702-2025</t>
        </is>
      </c>
      <c r="B821" s="1" t="n">
        <v>45820.03976851852</v>
      </c>
      <c r="C821" s="1" t="n">
        <v>45975</v>
      </c>
      <c r="D821" t="inlineStr">
        <is>
          <t>KALMAR LÄN</t>
        </is>
      </c>
      <c r="E821" t="inlineStr">
        <is>
          <t>VIMMERBY</t>
        </is>
      </c>
      <c r="G821" t="n">
        <v>2.1</v>
      </c>
      <c r="H821" t="n">
        <v>0</v>
      </c>
      <c r="I821" t="n">
        <v>0</v>
      </c>
      <c r="J821" t="n">
        <v>0</v>
      </c>
      <c r="K821" t="n">
        <v>0</v>
      </c>
      <c r="L821" t="n">
        <v>0</v>
      </c>
      <c r="M821" t="n">
        <v>0</v>
      </c>
      <c r="N821" t="n">
        <v>0</v>
      </c>
      <c r="O821" t="n">
        <v>0</v>
      </c>
      <c r="P821" t="n">
        <v>0</v>
      </c>
      <c r="Q821" t="n">
        <v>0</v>
      </c>
      <c r="R821" s="2" t="inlineStr"/>
    </row>
    <row r="822" ht="15" customHeight="1">
      <c r="A822" t="inlineStr">
        <is>
          <t>A 46887-2025</t>
        </is>
      </c>
      <c r="B822" s="1" t="n">
        <v>45929.3672337963</v>
      </c>
      <c r="C822" s="1" t="n">
        <v>45975</v>
      </c>
      <c r="D822" t="inlineStr">
        <is>
          <t>KALMAR LÄN</t>
        </is>
      </c>
      <c r="E822" t="inlineStr">
        <is>
          <t>VIMMERBY</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53788-2025</t>
        </is>
      </c>
      <c r="B823" s="1" t="n">
        <v>45960</v>
      </c>
      <c r="C823" s="1" t="n">
        <v>45975</v>
      </c>
      <c r="D823" t="inlineStr">
        <is>
          <t>KALMAR LÄN</t>
        </is>
      </c>
      <c r="E823" t="inlineStr">
        <is>
          <t>VIMMERBY</t>
        </is>
      </c>
      <c r="F823" t="inlineStr">
        <is>
          <t>Övriga statliga verk och myndigheter</t>
        </is>
      </c>
      <c r="G823" t="n">
        <v>6.3</v>
      </c>
      <c r="H823" t="n">
        <v>0</v>
      </c>
      <c r="I823" t="n">
        <v>0</v>
      </c>
      <c r="J823" t="n">
        <v>0</v>
      </c>
      <c r="K823" t="n">
        <v>0</v>
      </c>
      <c r="L823" t="n">
        <v>0</v>
      </c>
      <c r="M823" t="n">
        <v>0</v>
      </c>
      <c r="N823" t="n">
        <v>0</v>
      </c>
      <c r="O823" t="n">
        <v>0</v>
      </c>
      <c r="P823" t="n">
        <v>0</v>
      </c>
      <c r="Q823" t="n">
        <v>0</v>
      </c>
      <c r="R823" s="2" t="inlineStr"/>
    </row>
    <row r="824" ht="15" customHeight="1">
      <c r="A824" t="inlineStr">
        <is>
          <t>A 47227-2025</t>
        </is>
      </c>
      <c r="B824" s="1" t="n">
        <v>45930.39769675926</v>
      </c>
      <c r="C824" s="1" t="n">
        <v>45975</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34071-2025</t>
        </is>
      </c>
      <c r="B825" s="1" t="n">
        <v>45845.43803240741</v>
      </c>
      <c r="C825" s="1" t="n">
        <v>45975</v>
      </c>
      <c r="D825" t="inlineStr">
        <is>
          <t>KALMAR LÄN</t>
        </is>
      </c>
      <c r="E825" t="inlineStr">
        <is>
          <t>VIMMERBY</t>
        </is>
      </c>
      <c r="G825" t="n">
        <v>6.8</v>
      </c>
      <c r="H825" t="n">
        <v>0</v>
      </c>
      <c r="I825" t="n">
        <v>0</v>
      </c>
      <c r="J825" t="n">
        <v>0</v>
      </c>
      <c r="K825" t="n">
        <v>0</v>
      </c>
      <c r="L825" t="n">
        <v>0</v>
      </c>
      <c r="M825" t="n">
        <v>0</v>
      </c>
      <c r="N825" t="n">
        <v>0</v>
      </c>
      <c r="O825" t="n">
        <v>0</v>
      </c>
      <c r="P825" t="n">
        <v>0</v>
      </c>
      <c r="Q825" t="n">
        <v>0</v>
      </c>
      <c r="R825" s="2" t="inlineStr"/>
    </row>
    <row r="826" ht="15" customHeight="1">
      <c r="A826" t="inlineStr">
        <is>
          <t>A 34106-2025</t>
        </is>
      </c>
      <c r="B826" s="1" t="n">
        <v>45845.49414351852</v>
      </c>
      <c r="C826" s="1" t="n">
        <v>45975</v>
      </c>
      <c r="D826" t="inlineStr">
        <is>
          <t>KALMAR LÄN</t>
        </is>
      </c>
      <c r="E826" t="inlineStr">
        <is>
          <t>VIMMERBY</t>
        </is>
      </c>
      <c r="G826" t="n">
        <v>6</v>
      </c>
      <c r="H826" t="n">
        <v>0</v>
      </c>
      <c r="I826" t="n">
        <v>0</v>
      </c>
      <c r="J826" t="n">
        <v>0</v>
      </c>
      <c r="K826" t="n">
        <v>0</v>
      </c>
      <c r="L826" t="n">
        <v>0</v>
      </c>
      <c r="M826" t="n">
        <v>0</v>
      </c>
      <c r="N826" t="n">
        <v>0</v>
      </c>
      <c r="O826" t="n">
        <v>0</v>
      </c>
      <c r="P826" t="n">
        <v>0</v>
      </c>
      <c r="Q826" t="n">
        <v>0</v>
      </c>
      <c r="R826" s="2" t="inlineStr"/>
    </row>
    <row r="827" ht="15" customHeight="1">
      <c r="A827" t="inlineStr">
        <is>
          <t>A 55384-2025</t>
        </is>
      </c>
      <c r="B827" s="1" t="n">
        <v>45971.43178240741</v>
      </c>
      <c r="C827" s="1" t="n">
        <v>45975</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55385-2025</t>
        </is>
      </c>
      <c r="B828" s="1" t="n">
        <v>45971.43350694444</v>
      </c>
      <c r="C828" s="1" t="n">
        <v>45975</v>
      </c>
      <c r="D828" t="inlineStr">
        <is>
          <t>KALMAR LÄN</t>
        </is>
      </c>
      <c r="E828" t="inlineStr">
        <is>
          <t>VIMMERBY</t>
        </is>
      </c>
      <c r="G828" t="n">
        <v>5</v>
      </c>
      <c r="H828" t="n">
        <v>0</v>
      </c>
      <c r="I828" t="n">
        <v>0</v>
      </c>
      <c r="J828" t="n">
        <v>0</v>
      </c>
      <c r="K828" t="n">
        <v>0</v>
      </c>
      <c r="L828" t="n">
        <v>0</v>
      </c>
      <c r="M828" t="n">
        <v>0</v>
      </c>
      <c r="N828" t="n">
        <v>0</v>
      </c>
      <c r="O828" t="n">
        <v>0</v>
      </c>
      <c r="P828" t="n">
        <v>0</v>
      </c>
      <c r="Q828" t="n">
        <v>0</v>
      </c>
      <c r="R828" s="2" t="inlineStr"/>
    </row>
    <row r="829" ht="15" customHeight="1">
      <c r="A829" t="inlineStr">
        <is>
          <t>A 6358-2022</t>
        </is>
      </c>
      <c r="B829" s="1" t="n">
        <v>44600</v>
      </c>
      <c r="C829" s="1" t="n">
        <v>45975</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26956-2025</t>
        </is>
      </c>
      <c r="B830" s="1" t="n">
        <v>45811.45460648148</v>
      </c>
      <c r="C830" s="1" t="n">
        <v>45975</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55604-2025</t>
        </is>
      </c>
      <c r="B831" s="1" t="n">
        <v>45971</v>
      </c>
      <c r="C831" s="1" t="n">
        <v>45975</v>
      </c>
      <c r="D831" t="inlineStr">
        <is>
          <t>KALMAR LÄN</t>
        </is>
      </c>
      <c r="E831" t="inlineStr">
        <is>
          <t>VIMMERBY</t>
        </is>
      </c>
      <c r="G831" t="n">
        <v>4.4</v>
      </c>
      <c r="H831" t="n">
        <v>0</v>
      </c>
      <c r="I831" t="n">
        <v>0</v>
      </c>
      <c r="J831" t="n">
        <v>0</v>
      </c>
      <c r="K831" t="n">
        <v>0</v>
      </c>
      <c r="L831" t="n">
        <v>0</v>
      </c>
      <c r="M831" t="n">
        <v>0</v>
      </c>
      <c r="N831" t="n">
        <v>0</v>
      </c>
      <c r="O831" t="n">
        <v>0</v>
      </c>
      <c r="P831" t="n">
        <v>0</v>
      </c>
      <c r="Q831" t="n">
        <v>0</v>
      </c>
      <c r="R831" s="2" t="inlineStr"/>
    </row>
    <row r="832" ht="15" customHeight="1">
      <c r="A832" t="inlineStr">
        <is>
          <t>A 55602-2025</t>
        </is>
      </c>
      <c r="B832" s="1" t="n">
        <v>45971</v>
      </c>
      <c r="C832" s="1" t="n">
        <v>45975</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55603-2025</t>
        </is>
      </c>
      <c r="B833" s="1" t="n">
        <v>45971</v>
      </c>
      <c r="C833" s="1" t="n">
        <v>45975</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55605-2025</t>
        </is>
      </c>
      <c r="B834" s="1" t="n">
        <v>45971</v>
      </c>
      <c r="C834" s="1" t="n">
        <v>45975</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34628-2025</t>
        </is>
      </c>
      <c r="B835" s="1" t="n">
        <v>45847.91280092593</v>
      </c>
      <c r="C835" s="1" t="n">
        <v>45975</v>
      </c>
      <c r="D835" t="inlineStr">
        <is>
          <t>KALMAR LÄN</t>
        </is>
      </c>
      <c r="E835" t="inlineStr">
        <is>
          <t>VIMMERBY</t>
        </is>
      </c>
      <c r="G835" t="n">
        <v>4.2</v>
      </c>
      <c r="H835" t="n">
        <v>0</v>
      </c>
      <c r="I835" t="n">
        <v>0</v>
      </c>
      <c r="J835" t="n">
        <v>0</v>
      </c>
      <c r="K835" t="n">
        <v>0</v>
      </c>
      <c r="L835" t="n">
        <v>0</v>
      </c>
      <c r="M835" t="n">
        <v>0</v>
      </c>
      <c r="N835" t="n">
        <v>0</v>
      </c>
      <c r="O835" t="n">
        <v>0</v>
      </c>
      <c r="P835" t="n">
        <v>0</v>
      </c>
      <c r="Q835" t="n">
        <v>0</v>
      </c>
      <c r="R835" s="2" t="inlineStr"/>
    </row>
    <row r="836" ht="15" customHeight="1">
      <c r="A836" t="inlineStr">
        <is>
          <t>A 35270-2025</t>
        </is>
      </c>
      <c r="B836" s="1" t="n">
        <v>45853.87112268519</v>
      </c>
      <c r="C836" s="1" t="n">
        <v>45975</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43853-2023</t>
        </is>
      </c>
      <c r="B837" s="1" t="n">
        <v>45187.60813657408</v>
      </c>
      <c r="C837" s="1" t="n">
        <v>45975</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7075-2021</t>
        </is>
      </c>
      <c r="B838" s="1" t="n">
        <v>44237</v>
      </c>
      <c r="C838" s="1" t="n">
        <v>45975</v>
      </c>
      <c r="D838" t="inlineStr">
        <is>
          <t>KALMAR LÄN</t>
        </is>
      </c>
      <c r="E838" t="inlineStr">
        <is>
          <t>VIMMERBY</t>
        </is>
      </c>
      <c r="G838" t="n">
        <v>3.6</v>
      </c>
      <c r="H838" t="n">
        <v>0</v>
      </c>
      <c r="I838" t="n">
        <v>0</v>
      </c>
      <c r="J838" t="n">
        <v>0</v>
      </c>
      <c r="K838" t="n">
        <v>0</v>
      </c>
      <c r="L838" t="n">
        <v>0</v>
      </c>
      <c r="M838" t="n">
        <v>0</v>
      </c>
      <c r="N838" t="n">
        <v>0</v>
      </c>
      <c r="O838" t="n">
        <v>0</v>
      </c>
      <c r="P838" t="n">
        <v>0</v>
      </c>
      <c r="Q838" t="n">
        <v>0</v>
      </c>
      <c r="R838" s="2" t="inlineStr"/>
    </row>
    <row r="839" ht="15" customHeight="1">
      <c r="A839" t="inlineStr">
        <is>
          <t>A 35271-2025</t>
        </is>
      </c>
      <c r="B839" s="1" t="n">
        <v>45853.87599537037</v>
      </c>
      <c r="C839" s="1" t="n">
        <v>45975</v>
      </c>
      <c r="D839" t="inlineStr">
        <is>
          <t>KALMAR LÄN</t>
        </is>
      </c>
      <c r="E839" t="inlineStr">
        <is>
          <t>VIMMERBY</t>
        </is>
      </c>
      <c r="G839" t="n">
        <v>0.4</v>
      </c>
      <c r="H839" t="n">
        <v>0</v>
      </c>
      <c r="I839" t="n">
        <v>0</v>
      </c>
      <c r="J839" t="n">
        <v>0</v>
      </c>
      <c r="K839" t="n">
        <v>0</v>
      </c>
      <c r="L839" t="n">
        <v>0</v>
      </c>
      <c r="M839" t="n">
        <v>0</v>
      </c>
      <c r="N839" t="n">
        <v>0</v>
      </c>
      <c r="O839" t="n">
        <v>0</v>
      </c>
      <c r="P839" t="n">
        <v>0</v>
      </c>
      <c r="Q839" t="n">
        <v>0</v>
      </c>
      <c r="R839" s="2" t="inlineStr"/>
    </row>
    <row r="840" ht="15" customHeight="1">
      <c r="A840" t="inlineStr">
        <is>
          <t>A 35272-2025</t>
        </is>
      </c>
      <c r="B840" s="1" t="n">
        <v>45853.88070601852</v>
      </c>
      <c r="C840" s="1" t="n">
        <v>45975</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16953-2025</t>
        </is>
      </c>
      <c r="B841" s="1" t="n">
        <v>45755.44333333334</v>
      </c>
      <c r="C841" s="1" t="n">
        <v>45975</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47965-2025</t>
        </is>
      </c>
      <c r="B842" s="1" t="n">
        <v>45932.59597222223</v>
      </c>
      <c r="C842" s="1" t="n">
        <v>45975</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35597-2025</t>
        </is>
      </c>
      <c r="B843" s="1" t="n">
        <v>45858.66019675926</v>
      </c>
      <c r="C843" s="1" t="n">
        <v>45975</v>
      </c>
      <c r="D843" t="inlineStr">
        <is>
          <t>KALMAR LÄN</t>
        </is>
      </c>
      <c r="E843" t="inlineStr">
        <is>
          <t>VIMMERBY</t>
        </is>
      </c>
      <c r="G843" t="n">
        <v>6.4</v>
      </c>
      <c r="H843" t="n">
        <v>0</v>
      </c>
      <c r="I843" t="n">
        <v>0</v>
      </c>
      <c r="J843" t="n">
        <v>0</v>
      </c>
      <c r="K843" t="n">
        <v>0</v>
      </c>
      <c r="L843" t="n">
        <v>0</v>
      </c>
      <c r="M843" t="n">
        <v>0</v>
      </c>
      <c r="N843" t="n">
        <v>0</v>
      </c>
      <c r="O843" t="n">
        <v>0</v>
      </c>
      <c r="P843" t="n">
        <v>0</v>
      </c>
      <c r="Q843" t="n">
        <v>0</v>
      </c>
      <c r="R843" s="2" t="inlineStr"/>
    </row>
    <row r="844" ht="15" customHeight="1">
      <c r="A844" t="inlineStr">
        <is>
          <t>A 35596-2025</t>
        </is>
      </c>
      <c r="B844" s="1" t="n">
        <v>45858.60641203704</v>
      </c>
      <c r="C844" s="1" t="n">
        <v>45975</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48673-2021</t>
        </is>
      </c>
      <c r="B845" s="1" t="n">
        <v>44452</v>
      </c>
      <c r="C845" s="1" t="n">
        <v>45975</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14137-2023</t>
        </is>
      </c>
      <c r="B846" s="1" t="n">
        <v>45009.4671875</v>
      </c>
      <c r="C846" s="1" t="n">
        <v>45975</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7630-2025</t>
        </is>
      </c>
      <c r="B847" s="1" t="n">
        <v>45705.74418981482</v>
      </c>
      <c r="C847" s="1" t="n">
        <v>45975</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19502-2025</t>
        </is>
      </c>
      <c r="B848" s="1" t="n">
        <v>45769</v>
      </c>
      <c r="C848" s="1" t="n">
        <v>45975</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47955-2025</t>
        </is>
      </c>
      <c r="B849" s="1" t="n">
        <v>45932.58896990741</v>
      </c>
      <c r="C849" s="1" t="n">
        <v>45975</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36273-2025</t>
        </is>
      </c>
      <c r="B850" s="1" t="n">
        <v>45867.63094907408</v>
      </c>
      <c r="C850" s="1" t="n">
        <v>45975</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38780-2021</t>
        </is>
      </c>
      <c r="B851" s="1" t="n">
        <v>44410</v>
      </c>
      <c r="C851" s="1" t="n">
        <v>45975</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30503-2023</t>
        </is>
      </c>
      <c r="B852" s="1" t="n">
        <v>45111</v>
      </c>
      <c r="C852" s="1" t="n">
        <v>45975</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36299-2025</t>
        </is>
      </c>
      <c r="B853" s="1" t="n">
        <v>45867.69346064814</v>
      </c>
      <c r="C853" s="1" t="n">
        <v>45975</v>
      </c>
      <c r="D853" t="inlineStr">
        <is>
          <t>KALMAR LÄN</t>
        </is>
      </c>
      <c r="E853" t="inlineStr">
        <is>
          <t>VIMMERBY</t>
        </is>
      </c>
      <c r="G853" t="n">
        <v>7.6</v>
      </c>
      <c r="H853" t="n">
        <v>0</v>
      </c>
      <c r="I853" t="n">
        <v>0</v>
      </c>
      <c r="J853" t="n">
        <v>0</v>
      </c>
      <c r="K853" t="n">
        <v>0</v>
      </c>
      <c r="L853" t="n">
        <v>0</v>
      </c>
      <c r="M853" t="n">
        <v>0</v>
      </c>
      <c r="N853" t="n">
        <v>0</v>
      </c>
      <c r="O853" t="n">
        <v>0</v>
      </c>
      <c r="P853" t="n">
        <v>0</v>
      </c>
      <c r="Q853" t="n">
        <v>0</v>
      </c>
      <c r="R853" s="2" t="inlineStr"/>
    </row>
    <row r="854" ht="15" customHeight="1">
      <c r="A854" t="inlineStr">
        <is>
          <t>A 36221-2025</t>
        </is>
      </c>
      <c r="B854" s="1" t="n">
        <v>45867.50792824074</v>
      </c>
      <c r="C854" s="1" t="n">
        <v>45975</v>
      </c>
      <c r="D854" t="inlineStr">
        <is>
          <t>KALMAR LÄN</t>
        </is>
      </c>
      <c r="E854" t="inlineStr">
        <is>
          <t>VIMMERBY</t>
        </is>
      </c>
      <c r="G854" t="n">
        <v>2.5</v>
      </c>
      <c r="H854" t="n">
        <v>0</v>
      </c>
      <c r="I854" t="n">
        <v>0</v>
      </c>
      <c r="J854" t="n">
        <v>0</v>
      </c>
      <c r="K854" t="n">
        <v>0</v>
      </c>
      <c r="L854" t="n">
        <v>0</v>
      </c>
      <c r="M854" t="n">
        <v>0</v>
      </c>
      <c r="N854" t="n">
        <v>0</v>
      </c>
      <c r="O854" t="n">
        <v>0</v>
      </c>
      <c r="P854" t="n">
        <v>0</v>
      </c>
      <c r="Q854" t="n">
        <v>0</v>
      </c>
      <c r="R854" s="2" t="inlineStr"/>
    </row>
    <row r="855" ht="15" customHeight="1">
      <c r="A855" t="inlineStr">
        <is>
          <t>A 36226-2025</t>
        </is>
      </c>
      <c r="B855" s="1" t="n">
        <v>45867.51630787037</v>
      </c>
      <c r="C855" s="1" t="n">
        <v>45975</v>
      </c>
      <c r="D855" t="inlineStr">
        <is>
          <t>KALMAR LÄN</t>
        </is>
      </c>
      <c r="E855" t="inlineStr">
        <is>
          <t>VIMMERBY</t>
        </is>
      </c>
      <c r="G855" t="n">
        <v>3.1</v>
      </c>
      <c r="H855" t="n">
        <v>0</v>
      </c>
      <c r="I855" t="n">
        <v>0</v>
      </c>
      <c r="J855" t="n">
        <v>0</v>
      </c>
      <c r="K855" t="n">
        <v>0</v>
      </c>
      <c r="L855" t="n">
        <v>0</v>
      </c>
      <c r="M855" t="n">
        <v>0</v>
      </c>
      <c r="N855" t="n">
        <v>0</v>
      </c>
      <c r="O855" t="n">
        <v>0</v>
      </c>
      <c r="P855" t="n">
        <v>0</v>
      </c>
      <c r="Q855" t="n">
        <v>0</v>
      </c>
      <c r="R855" s="2" t="inlineStr"/>
    </row>
    <row r="856" ht="15" customHeight="1">
      <c r="A856" t="inlineStr">
        <is>
          <t>A 36297-2025</t>
        </is>
      </c>
      <c r="B856" s="1" t="n">
        <v>45867.68625</v>
      </c>
      <c r="C856" s="1" t="n">
        <v>45975</v>
      </c>
      <c r="D856" t="inlineStr">
        <is>
          <t>KALMAR LÄN</t>
        </is>
      </c>
      <c r="E856" t="inlineStr">
        <is>
          <t>VIMMERBY</t>
        </is>
      </c>
      <c r="G856" t="n">
        <v>4.9</v>
      </c>
      <c r="H856" t="n">
        <v>0</v>
      </c>
      <c r="I856" t="n">
        <v>0</v>
      </c>
      <c r="J856" t="n">
        <v>0</v>
      </c>
      <c r="K856" t="n">
        <v>0</v>
      </c>
      <c r="L856" t="n">
        <v>0</v>
      </c>
      <c r="M856" t="n">
        <v>0</v>
      </c>
      <c r="N856" t="n">
        <v>0</v>
      </c>
      <c r="O856" t="n">
        <v>0</v>
      </c>
      <c r="P856" t="n">
        <v>0</v>
      </c>
      <c r="Q856" t="n">
        <v>0</v>
      </c>
      <c r="R856" s="2" t="inlineStr"/>
    </row>
    <row r="857" ht="15" customHeight="1">
      <c r="A857" t="inlineStr">
        <is>
          <t>A 36246-2025</t>
        </is>
      </c>
      <c r="B857" s="1" t="n">
        <v>45867.56320601852</v>
      </c>
      <c r="C857" s="1" t="n">
        <v>45975</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36282-2025</t>
        </is>
      </c>
      <c r="B858" s="1" t="n">
        <v>45867.64663194444</v>
      </c>
      <c r="C858" s="1" t="n">
        <v>45975</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60110-2022</t>
        </is>
      </c>
      <c r="B859" s="1" t="n">
        <v>44909</v>
      </c>
      <c r="C859" s="1" t="n">
        <v>45975</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36538-2025</t>
        </is>
      </c>
      <c r="B860" s="1" t="n">
        <v>45869.62276620371</v>
      </c>
      <c r="C860" s="1" t="n">
        <v>45975</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36598-2025</t>
        </is>
      </c>
      <c r="B861" s="1" t="n">
        <v>45870.51708333333</v>
      </c>
      <c r="C861" s="1" t="n">
        <v>45975</v>
      </c>
      <c r="D861" t="inlineStr">
        <is>
          <t>KALMAR LÄN</t>
        </is>
      </c>
      <c r="E861" t="inlineStr">
        <is>
          <t>VIMMERBY</t>
        </is>
      </c>
      <c r="G861" t="n">
        <v>3.7</v>
      </c>
      <c r="H861" t="n">
        <v>0</v>
      </c>
      <c r="I861" t="n">
        <v>0</v>
      </c>
      <c r="J861" t="n">
        <v>0</v>
      </c>
      <c r="K861" t="n">
        <v>0</v>
      </c>
      <c r="L861" t="n">
        <v>0</v>
      </c>
      <c r="M861" t="n">
        <v>0</v>
      </c>
      <c r="N861" t="n">
        <v>0</v>
      </c>
      <c r="O861" t="n">
        <v>0</v>
      </c>
      <c r="P861" t="n">
        <v>0</v>
      </c>
      <c r="Q861" t="n">
        <v>0</v>
      </c>
      <c r="R861" s="2" t="inlineStr"/>
    </row>
    <row r="862" ht="15" customHeight="1">
      <c r="A862" t="inlineStr">
        <is>
          <t>A 36602-2025</t>
        </is>
      </c>
      <c r="B862" s="1" t="n">
        <v>45870.52111111111</v>
      </c>
      <c r="C862" s="1" t="n">
        <v>45975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59300-2024</t>
        </is>
      </c>
      <c r="B863" s="1" t="n">
        <v>45637.66542824074</v>
      </c>
      <c r="C863" s="1" t="n">
        <v>45975</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36600-2025</t>
        </is>
      </c>
      <c r="B864" s="1" t="n">
        <v>45870.51958333333</v>
      </c>
      <c r="C864" s="1" t="n">
        <v>45975</v>
      </c>
      <c r="D864" t="inlineStr">
        <is>
          <t>KALMAR LÄN</t>
        </is>
      </c>
      <c r="E864" t="inlineStr">
        <is>
          <t>VIMMERBY</t>
        </is>
      </c>
      <c r="G864" t="n">
        <v>2</v>
      </c>
      <c r="H864" t="n">
        <v>0</v>
      </c>
      <c r="I864" t="n">
        <v>0</v>
      </c>
      <c r="J864" t="n">
        <v>0</v>
      </c>
      <c r="K864" t="n">
        <v>0</v>
      </c>
      <c r="L864" t="n">
        <v>0</v>
      </c>
      <c r="M864" t="n">
        <v>0</v>
      </c>
      <c r="N864" t="n">
        <v>0</v>
      </c>
      <c r="O864" t="n">
        <v>0</v>
      </c>
      <c r="P864" t="n">
        <v>0</v>
      </c>
      <c r="Q864" t="n">
        <v>0</v>
      </c>
      <c r="R864" s="2" t="inlineStr"/>
    </row>
    <row r="865" ht="15" customHeight="1">
      <c r="A865" t="inlineStr">
        <is>
          <t>A 36601-2025</t>
        </is>
      </c>
      <c r="B865" s="1" t="n">
        <v>45870.52005787037</v>
      </c>
      <c r="C865" s="1" t="n">
        <v>45975</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36603-2025</t>
        </is>
      </c>
      <c r="B866" s="1" t="n">
        <v>45870.52142361111</v>
      </c>
      <c r="C866" s="1" t="n">
        <v>45975</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19445-2021</t>
        </is>
      </c>
      <c r="B867" s="1" t="n">
        <v>44310</v>
      </c>
      <c r="C867" s="1" t="n">
        <v>45975</v>
      </c>
      <c r="D867" t="inlineStr">
        <is>
          <t>KALMAR LÄN</t>
        </is>
      </c>
      <c r="E867" t="inlineStr">
        <is>
          <t>VIMMERBY</t>
        </is>
      </c>
      <c r="G867" t="n">
        <v>6.8</v>
      </c>
      <c r="H867" t="n">
        <v>0</v>
      </c>
      <c r="I867" t="n">
        <v>0</v>
      </c>
      <c r="J867" t="n">
        <v>0</v>
      </c>
      <c r="K867" t="n">
        <v>0</v>
      </c>
      <c r="L867" t="n">
        <v>0</v>
      </c>
      <c r="M867" t="n">
        <v>0</v>
      </c>
      <c r="N867" t="n">
        <v>0</v>
      </c>
      <c r="O867" t="n">
        <v>0</v>
      </c>
      <c r="P867" t="n">
        <v>0</v>
      </c>
      <c r="Q867" t="n">
        <v>0</v>
      </c>
      <c r="R867" s="2" t="inlineStr"/>
    </row>
    <row r="868" ht="15" customHeight="1">
      <c r="A868" t="inlineStr">
        <is>
          <t>A 18329-2023</t>
        </is>
      </c>
      <c r="B868" s="1" t="n">
        <v>45041.63380787037</v>
      </c>
      <c r="C868" s="1" t="n">
        <v>45975</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5720-2023</t>
        </is>
      </c>
      <c r="B869" s="1" t="n">
        <v>44961</v>
      </c>
      <c r="C869" s="1" t="n">
        <v>45975</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61538-2022</t>
        </is>
      </c>
      <c r="B870" s="1" t="n">
        <v>44916.55414351852</v>
      </c>
      <c r="C870" s="1" t="n">
        <v>45975</v>
      </c>
      <c r="D870" t="inlineStr">
        <is>
          <t>KALMAR LÄN</t>
        </is>
      </c>
      <c r="E870" t="inlineStr">
        <is>
          <t>VIMMERBY</t>
        </is>
      </c>
      <c r="G870" t="n">
        <v>1.5</v>
      </c>
      <c r="H870" t="n">
        <v>0</v>
      </c>
      <c r="I870" t="n">
        <v>0</v>
      </c>
      <c r="J870" t="n">
        <v>0</v>
      </c>
      <c r="K870" t="n">
        <v>0</v>
      </c>
      <c r="L870" t="n">
        <v>0</v>
      </c>
      <c r="M870" t="n">
        <v>0</v>
      </c>
      <c r="N870" t="n">
        <v>0</v>
      </c>
      <c r="O870" t="n">
        <v>0</v>
      </c>
      <c r="P870" t="n">
        <v>0</v>
      </c>
      <c r="Q870" t="n">
        <v>0</v>
      </c>
      <c r="R870" s="2" t="inlineStr"/>
    </row>
    <row r="871" ht="15" customHeight="1">
      <c r="A871" t="inlineStr">
        <is>
          <t>A 694-2024</t>
        </is>
      </c>
      <c r="B871" s="1" t="n">
        <v>45300.3794212963</v>
      </c>
      <c r="C871" s="1" t="n">
        <v>45975</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57114-2023</t>
        </is>
      </c>
      <c r="B872" s="1" t="n">
        <v>45245.36174768519</v>
      </c>
      <c r="C872" s="1" t="n">
        <v>45975</v>
      </c>
      <c r="D872" t="inlineStr">
        <is>
          <t>KALMAR LÄN</t>
        </is>
      </c>
      <c r="E872" t="inlineStr">
        <is>
          <t>VIMMERBY</t>
        </is>
      </c>
      <c r="G872" t="n">
        <v>1.5</v>
      </c>
      <c r="H872" t="n">
        <v>0</v>
      </c>
      <c r="I872" t="n">
        <v>0</v>
      </c>
      <c r="J872" t="n">
        <v>0</v>
      </c>
      <c r="K872" t="n">
        <v>0</v>
      </c>
      <c r="L872" t="n">
        <v>0</v>
      </c>
      <c r="M872" t="n">
        <v>0</v>
      </c>
      <c r="N872" t="n">
        <v>0</v>
      </c>
      <c r="O872" t="n">
        <v>0</v>
      </c>
      <c r="P872" t="n">
        <v>0</v>
      </c>
      <c r="Q872" t="n">
        <v>0</v>
      </c>
      <c r="R872" s="2" t="inlineStr"/>
    </row>
    <row r="873" ht="15" customHeight="1">
      <c r="A873" t="inlineStr">
        <is>
          <t>A 12327-2023</t>
        </is>
      </c>
      <c r="B873" s="1" t="n">
        <v>44999.36081018519</v>
      </c>
      <c r="C873" s="1" t="n">
        <v>45975</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30633-2024</t>
        </is>
      </c>
      <c r="B874" s="1" t="n">
        <v>45495</v>
      </c>
      <c r="C874" s="1" t="n">
        <v>45975</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33424-2023</t>
        </is>
      </c>
      <c r="B875" s="1" t="n">
        <v>45128.9325</v>
      </c>
      <c r="C875" s="1" t="n">
        <v>45975</v>
      </c>
      <c r="D875" t="inlineStr">
        <is>
          <t>KALMAR LÄN</t>
        </is>
      </c>
      <c r="E875" t="inlineStr">
        <is>
          <t>VIMMERBY</t>
        </is>
      </c>
      <c r="G875" t="n">
        <v>2.4</v>
      </c>
      <c r="H875" t="n">
        <v>0</v>
      </c>
      <c r="I875" t="n">
        <v>0</v>
      </c>
      <c r="J875" t="n">
        <v>0</v>
      </c>
      <c r="K875" t="n">
        <v>0</v>
      </c>
      <c r="L875" t="n">
        <v>0</v>
      </c>
      <c r="M875" t="n">
        <v>0</v>
      </c>
      <c r="N875" t="n">
        <v>0</v>
      </c>
      <c r="O875" t="n">
        <v>0</v>
      </c>
      <c r="P875" t="n">
        <v>0</v>
      </c>
      <c r="Q875" t="n">
        <v>0</v>
      </c>
      <c r="R875" s="2" t="inlineStr"/>
    </row>
    <row r="876" ht="15" customHeight="1">
      <c r="A876" t="inlineStr">
        <is>
          <t>A 33425-2023</t>
        </is>
      </c>
      <c r="B876" s="1" t="n">
        <v>45128.93540509259</v>
      </c>
      <c r="C876" s="1" t="n">
        <v>45975</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3609-2024</t>
        </is>
      </c>
      <c r="B877" s="1" t="n">
        <v>45320.89128472222</v>
      </c>
      <c r="C877" s="1" t="n">
        <v>45975</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8650-2022</t>
        </is>
      </c>
      <c r="B878" s="1" t="n">
        <v>44613</v>
      </c>
      <c r="C878" s="1" t="n">
        <v>45975</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11147-2023</t>
        </is>
      </c>
      <c r="B879" s="1" t="n">
        <v>44992</v>
      </c>
      <c r="C879" s="1" t="n">
        <v>45975</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ht="15" customHeight="1">
      <c r="A880" t="inlineStr">
        <is>
          <t>A 16676-2023</t>
        </is>
      </c>
      <c r="B880" s="1" t="n">
        <v>45028</v>
      </c>
      <c r="C880" s="1" t="n">
        <v>45975</v>
      </c>
      <c r="D880" t="inlineStr">
        <is>
          <t>KALMAR LÄN</t>
        </is>
      </c>
      <c r="E880" t="inlineStr">
        <is>
          <t>VIMMERBY</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23263-2024</t>
        </is>
      </c>
      <c r="B881" s="1" t="n">
        <v>45453.36854166666</v>
      </c>
      <c r="C881" s="1" t="n">
        <v>45975</v>
      </c>
      <c r="D881" t="inlineStr">
        <is>
          <t>KALMAR LÄN</t>
        </is>
      </c>
      <c r="E881" t="inlineStr">
        <is>
          <t>VIMMERBY</t>
        </is>
      </c>
      <c r="G881" t="n">
        <v>0.7</v>
      </c>
      <c r="H881" t="n">
        <v>0</v>
      </c>
      <c r="I881" t="n">
        <v>0</v>
      </c>
      <c r="J881" t="n">
        <v>0</v>
      </c>
      <c r="K881" t="n">
        <v>0</v>
      </c>
      <c r="L881" t="n">
        <v>0</v>
      </c>
      <c r="M881" t="n">
        <v>0</v>
      </c>
      <c r="N881" t="n">
        <v>0</v>
      </c>
      <c r="O881" t="n">
        <v>0</v>
      </c>
      <c r="P881" t="n">
        <v>0</v>
      </c>
      <c r="Q881" t="n">
        <v>0</v>
      </c>
      <c r="R881" s="2" t="inlineStr"/>
    </row>
    <row r="882" ht="15" customHeight="1">
      <c r="A882" t="inlineStr">
        <is>
          <t>A 49488-2023</t>
        </is>
      </c>
      <c r="B882" s="1" t="n">
        <v>45211.55472222222</v>
      </c>
      <c r="C882" s="1" t="n">
        <v>45975</v>
      </c>
      <c r="D882" t="inlineStr">
        <is>
          <t>KALMAR LÄN</t>
        </is>
      </c>
      <c r="E882" t="inlineStr">
        <is>
          <t>VIMMERBY</t>
        </is>
      </c>
      <c r="F882" t="inlineStr">
        <is>
          <t>Sveaskog</t>
        </is>
      </c>
      <c r="G882" t="n">
        <v>6.2</v>
      </c>
      <c r="H882" t="n">
        <v>0</v>
      </c>
      <c r="I882" t="n">
        <v>0</v>
      </c>
      <c r="J882" t="n">
        <v>0</v>
      </c>
      <c r="K882" t="n">
        <v>0</v>
      </c>
      <c r="L882" t="n">
        <v>0</v>
      </c>
      <c r="M882" t="n">
        <v>0</v>
      </c>
      <c r="N882" t="n">
        <v>0</v>
      </c>
      <c r="O882" t="n">
        <v>0</v>
      </c>
      <c r="P882" t="n">
        <v>0</v>
      </c>
      <c r="Q882" t="n">
        <v>0</v>
      </c>
      <c r="R882" s="2" t="inlineStr"/>
    </row>
    <row r="883" ht="15" customHeight="1">
      <c r="A883" t="inlineStr">
        <is>
          <t>A 59768-2024</t>
        </is>
      </c>
      <c r="B883" s="1" t="n">
        <v>45639.56185185185</v>
      </c>
      <c r="C883" s="1" t="n">
        <v>45975</v>
      </c>
      <c r="D883" t="inlineStr">
        <is>
          <t>KALMAR LÄN</t>
        </is>
      </c>
      <c r="E883" t="inlineStr">
        <is>
          <t>VIMMERBY</t>
        </is>
      </c>
      <c r="G883" t="n">
        <v>5.9</v>
      </c>
      <c r="H883" t="n">
        <v>0</v>
      </c>
      <c r="I883" t="n">
        <v>0</v>
      </c>
      <c r="J883" t="n">
        <v>0</v>
      </c>
      <c r="K883" t="n">
        <v>0</v>
      </c>
      <c r="L883" t="n">
        <v>0</v>
      </c>
      <c r="M883" t="n">
        <v>0</v>
      </c>
      <c r="N883" t="n">
        <v>0</v>
      </c>
      <c r="O883" t="n">
        <v>0</v>
      </c>
      <c r="P883" t="n">
        <v>0</v>
      </c>
      <c r="Q883" t="n">
        <v>0</v>
      </c>
      <c r="R883" s="2" t="inlineStr"/>
    </row>
    <row r="884" ht="15" customHeight="1">
      <c r="A884" t="inlineStr">
        <is>
          <t>A 72067-2021</t>
        </is>
      </c>
      <c r="B884" s="1" t="n">
        <v>44540</v>
      </c>
      <c r="C884" s="1" t="n">
        <v>45975</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41158-2023</t>
        </is>
      </c>
      <c r="B885" s="1" t="n">
        <v>45174.31395833333</v>
      </c>
      <c r="C885" s="1" t="n">
        <v>45975</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22198-2024</t>
        </is>
      </c>
      <c r="B886" s="1" t="n">
        <v>45446.36865740741</v>
      </c>
      <c r="C886" s="1" t="n">
        <v>45975</v>
      </c>
      <c r="D886" t="inlineStr">
        <is>
          <t>KALMAR LÄN</t>
        </is>
      </c>
      <c r="E886" t="inlineStr">
        <is>
          <t>VIMMERBY</t>
        </is>
      </c>
      <c r="F886" t="inlineStr">
        <is>
          <t>Sveaskog</t>
        </is>
      </c>
      <c r="G886" t="n">
        <v>2.3</v>
      </c>
      <c r="H886" t="n">
        <v>0</v>
      </c>
      <c r="I886" t="n">
        <v>0</v>
      </c>
      <c r="J886" t="n">
        <v>0</v>
      </c>
      <c r="K886" t="n">
        <v>0</v>
      </c>
      <c r="L886" t="n">
        <v>0</v>
      </c>
      <c r="M886" t="n">
        <v>0</v>
      </c>
      <c r="N886" t="n">
        <v>0</v>
      </c>
      <c r="O886" t="n">
        <v>0</v>
      </c>
      <c r="P886" t="n">
        <v>0</v>
      </c>
      <c r="Q886" t="n">
        <v>0</v>
      </c>
      <c r="R886" s="2" t="inlineStr"/>
    </row>
    <row r="887">
      <c r="A887" t="inlineStr">
        <is>
          <t>A 9511-2023</t>
        </is>
      </c>
      <c r="B887" s="1" t="n">
        <v>44981.64725694444</v>
      </c>
      <c r="C887" s="1" t="n">
        <v>45975</v>
      </c>
      <c r="D887" t="inlineStr">
        <is>
          <t>KALMAR LÄN</t>
        </is>
      </c>
      <c r="E887" t="inlineStr">
        <is>
          <t>VIMMERBY</t>
        </is>
      </c>
      <c r="G887" t="n">
        <v>3.5</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2025-11-14T10:09:00Z</dcterms:created>
  <dcterms:modified xmlns:dcterms="http://purl.org/dc/terms/" xmlns:xsi="http://www.w3.org/2001/XMLSchema-instance" xsi:type="dcterms:W3CDTF">2025-11-14T10:09:01Z</dcterms:modified>
</cp:coreProperties>
</file>