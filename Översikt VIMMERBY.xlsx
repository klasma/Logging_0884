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46040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46040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46040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46040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46040</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46040</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46040</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46040</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46040</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46040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58997-2025</t>
        </is>
      </c>
      <c r="B13" s="1" t="n">
        <v>45987</v>
      </c>
      <c r="C13" s="1" t="n">
        <v>46040</v>
      </c>
      <c r="D13" t="inlineStr">
        <is>
          <t>KALMAR LÄN</t>
        </is>
      </c>
      <c r="E13" t="inlineStr">
        <is>
          <t>VIMMERBY</t>
        </is>
      </c>
      <c r="G13" t="n">
        <v>7.9</v>
      </c>
      <c r="H13" t="n">
        <v>1</v>
      </c>
      <c r="I13" t="n">
        <v>2</v>
      </c>
      <c r="J13" t="n">
        <v>1</v>
      </c>
      <c r="K13" t="n">
        <v>1</v>
      </c>
      <c r="L13" t="n">
        <v>0</v>
      </c>
      <c r="M13" t="n">
        <v>0</v>
      </c>
      <c r="N13" t="n">
        <v>0</v>
      </c>
      <c r="O13" t="n">
        <v>2</v>
      </c>
      <c r="P13" t="n">
        <v>1</v>
      </c>
      <c r="Q13" t="n">
        <v>4</v>
      </c>
      <c r="R13" s="2" t="inlineStr">
        <is>
          <t>Knärot
Tallticka
Brandticka
Dropptaggsvamp</t>
        </is>
      </c>
      <c r="S13">
        <f>HYPERLINK("https://klasma.github.io/Logging_0884/artfynd/A 58997-2025 artfynd.xlsx", "A 58997-2025")</f>
        <v/>
      </c>
      <c r="T13">
        <f>HYPERLINK("https://klasma.github.io/Logging_0884/kartor/A 58997-2025 karta.png", "A 58997-2025")</f>
        <v/>
      </c>
      <c r="U13">
        <f>HYPERLINK("https://klasma.github.io/Logging_0884/knärot/A 58997-2025 karta knärot.png", "A 58997-2025")</f>
        <v/>
      </c>
      <c r="V13">
        <f>HYPERLINK("https://klasma.github.io/Logging_0884/klagomål/A 58997-2025 FSC-klagomål.docx", "A 58997-2025")</f>
        <v/>
      </c>
      <c r="W13">
        <f>HYPERLINK("https://klasma.github.io/Logging_0884/klagomålsmail/A 58997-2025 FSC-klagomål mail.docx", "A 58997-2025")</f>
        <v/>
      </c>
      <c r="X13">
        <f>HYPERLINK("https://klasma.github.io/Logging_0884/tillsyn/A 58997-2025 tillsynsbegäran.docx", "A 58997-2025")</f>
        <v/>
      </c>
      <c r="Y13">
        <f>HYPERLINK("https://klasma.github.io/Logging_0884/tillsynsmail/A 58997-2025 tillsynsbegäran mail.docx", "A 58997-2025")</f>
        <v/>
      </c>
    </row>
    <row r="14" ht="15" customHeight="1">
      <c r="A14" t="inlineStr">
        <is>
          <t>A 55604-2025</t>
        </is>
      </c>
      <c r="B14" s="1" t="n">
        <v>45971</v>
      </c>
      <c r="C14" s="1" t="n">
        <v>46040</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3075-2025</t>
        </is>
      </c>
      <c r="B15" s="1" t="n">
        <v>45678</v>
      </c>
      <c r="C15" s="1" t="n">
        <v>46040</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46824-2025</t>
        </is>
      </c>
      <c r="B16" s="1" t="n">
        <v>45926.90006944445</v>
      </c>
      <c r="C16" s="1" t="n">
        <v>46040</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32645-2023</t>
        </is>
      </c>
      <c r="B17" s="1" t="n">
        <v>45121.60543981481</v>
      </c>
      <c r="C17" s="1" t="n">
        <v>46040</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46040</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46040</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46040</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46040</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46040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46040</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46040</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46040</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19158-2023</t>
        </is>
      </c>
      <c r="B26" s="1" t="n">
        <v>45048</v>
      </c>
      <c r="C26" s="1" t="n">
        <v>46040</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40684-2025</t>
        </is>
      </c>
      <c r="B27" s="1" t="n">
        <v>45896.86820601852</v>
      </c>
      <c r="C27" s="1" t="n">
        <v>46040</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46040</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14024-2023</t>
        </is>
      </c>
      <c r="B29" s="1" t="n">
        <v>45008.60878472222</v>
      </c>
      <c r="C29" s="1" t="n">
        <v>46040</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53787-2025</t>
        </is>
      </c>
      <c r="B30" s="1" t="n">
        <v>45960</v>
      </c>
      <c r="C30" s="1" t="n">
        <v>46040</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2518-2023</t>
        </is>
      </c>
      <c r="B31" s="1" t="n">
        <v>44943</v>
      </c>
      <c r="C31" s="1" t="n">
        <v>46040</v>
      </c>
      <c r="D31" t="inlineStr">
        <is>
          <t>KALMAR LÄN</t>
        </is>
      </c>
      <c r="E31" t="inlineStr">
        <is>
          <t>VIMMERBY</t>
        </is>
      </c>
      <c r="G31" t="n">
        <v>6.1</v>
      </c>
      <c r="H31" t="n">
        <v>1</v>
      </c>
      <c r="I31" t="n">
        <v>1</v>
      </c>
      <c r="J31" t="n">
        <v>0</v>
      </c>
      <c r="K31" t="n">
        <v>1</v>
      </c>
      <c r="L31" t="n">
        <v>0</v>
      </c>
      <c r="M31" t="n">
        <v>0</v>
      </c>
      <c r="N31" t="n">
        <v>0</v>
      </c>
      <c r="O31" t="n">
        <v>1</v>
      </c>
      <c r="P31" t="n">
        <v>1</v>
      </c>
      <c r="Q31" t="n">
        <v>2</v>
      </c>
      <c r="R31" s="2" t="inlineStr">
        <is>
          <t>Knärot
Grönpyrola</t>
        </is>
      </c>
      <c r="S31">
        <f>HYPERLINK("https://klasma.github.io/Logging_0884/artfynd/A 2518-2023 artfynd.xlsx", "A 2518-2023")</f>
        <v/>
      </c>
      <c r="T31">
        <f>HYPERLINK("https://klasma.github.io/Logging_0884/kartor/A 2518-2023 karta.png", "A 2518-2023")</f>
        <v/>
      </c>
      <c r="U31">
        <f>HYPERLINK("https://klasma.github.io/Logging_0884/knärot/A 2518-2023 karta knärot.png", "A 2518-2023")</f>
        <v/>
      </c>
      <c r="V31">
        <f>HYPERLINK("https://klasma.github.io/Logging_0884/klagomål/A 2518-2023 FSC-klagomål.docx", "A 2518-2023")</f>
        <v/>
      </c>
      <c r="W31">
        <f>HYPERLINK("https://klasma.github.io/Logging_0884/klagomålsmail/A 2518-2023 FSC-klagomål mail.docx", "A 2518-2023")</f>
        <v/>
      </c>
      <c r="X31">
        <f>HYPERLINK("https://klasma.github.io/Logging_0884/tillsyn/A 2518-2023 tillsynsbegäran.docx", "A 2518-2023")</f>
        <v/>
      </c>
      <c r="Y31">
        <f>HYPERLINK("https://klasma.github.io/Logging_0884/tillsynsmail/A 2518-2023 tillsynsbegäran mail.docx", "A 2518-2023")</f>
        <v/>
      </c>
    </row>
    <row r="32" ht="15" customHeight="1">
      <c r="A32" t="inlineStr">
        <is>
          <t>A 17935-2025</t>
        </is>
      </c>
      <c r="B32" s="1" t="n">
        <v>45760.34877314815</v>
      </c>
      <c r="C32" s="1" t="n">
        <v>46040</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22825-2023</t>
        </is>
      </c>
      <c r="B33" s="1" t="n">
        <v>45072</v>
      </c>
      <c r="C33" s="1" t="n">
        <v>46040</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22825-2023 artfynd.xlsx", "A 22825-2023")</f>
        <v/>
      </c>
      <c r="T33">
        <f>HYPERLINK("https://klasma.github.io/Logging_0884/kartor/A 22825-2023 karta.png", "A 22825-2023")</f>
        <v/>
      </c>
      <c r="V33">
        <f>HYPERLINK("https://klasma.github.io/Logging_0884/klagomål/A 22825-2023 FSC-klagomål.docx", "A 22825-2023")</f>
        <v/>
      </c>
      <c r="W33">
        <f>HYPERLINK("https://klasma.github.io/Logging_0884/klagomålsmail/A 22825-2023 FSC-klagomål mail.docx", "A 22825-2023")</f>
        <v/>
      </c>
      <c r="X33">
        <f>HYPERLINK("https://klasma.github.io/Logging_0884/tillsyn/A 22825-2023 tillsynsbegäran.docx", "A 22825-2023")</f>
        <v/>
      </c>
      <c r="Y33">
        <f>HYPERLINK("https://klasma.github.io/Logging_0884/tillsynsmail/A 22825-2023 tillsynsbegäran mail.docx", "A 22825-2023")</f>
        <v/>
      </c>
    </row>
    <row r="34" ht="15" customHeight="1">
      <c r="A34" t="inlineStr">
        <is>
          <t>A 22396-2025</t>
        </is>
      </c>
      <c r="B34" s="1" t="n">
        <v>45786.52827546297</v>
      </c>
      <c r="C34" s="1" t="n">
        <v>46040</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46040</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6841-2021</t>
        </is>
      </c>
      <c r="B36" s="1" t="n">
        <v>44236</v>
      </c>
      <c r="C36" s="1" t="n">
        <v>46040</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23602-2023</t>
        </is>
      </c>
      <c r="B37" s="1" t="n">
        <v>45077</v>
      </c>
      <c r="C37" s="1" t="n">
        <v>46040</v>
      </c>
      <c r="D37" t="inlineStr">
        <is>
          <t>KALMAR LÄN</t>
        </is>
      </c>
      <c r="E37" t="inlineStr">
        <is>
          <t>VIMMERBY</t>
        </is>
      </c>
      <c r="G37" t="n">
        <v>1.6</v>
      </c>
      <c r="H37" t="n">
        <v>0</v>
      </c>
      <c r="I37" t="n">
        <v>0</v>
      </c>
      <c r="J37" t="n">
        <v>1</v>
      </c>
      <c r="K37" t="n">
        <v>0</v>
      </c>
      <c r="L37" t="n">
        <v>0</v>
      </c>
      <c r="M37" t="n">
        <v>0</v>
      </c>
      <c r="N37" t="n">
        <v>0</v>
      </c>
      <c r="O37" t="n">
        <v>1</v>
      </c>
      <c r="P37" t="n">
        <v>0</v>
      </c>
      <c r="Q37" t="n">
        <v>1</v>
      </c>
      <c r="R37" s="2" t="inlineStr">
        <is>
          <t>Vedtrappmossa</t>
        </is>
      </c>
      <c r="S37">
        <f>HYPERLINK("https://klasma.github.io/Logging_0884/artfynd/A 23602-2023 artfynd.xlsx", "A 23602-2023")</f>
        <v/>
      </c>
      <c r="T37">
        <f>HYPERLINK("https://klasma.github.io/Logging_0884/kartor/A 23602-2023 karta.png", "A 23602-2023")</f>
        <v/>
      </c>
      <c r="V37">
        <f>HYPERLINK("https://klasma.github.io/Logging_0884/klagomål/A 23602-2023 FSC-klagomål.docx", "A 23602-2023")</f>
        <v/>
      </c>
      <c r="W37">
        <f>HYPERLINK("https://klasma.github.io/Logging_0884/klagomålsmail/A 23602-2023 FSC-klagomål mail.docx", "A 23602-2023")</f>
        <v/>
      </c>
      <c r="X37">
        <f>HYPERLINK("https://klasma.github.io/Logging_0884/tillsyn/A 23602-2023 tillsynsbegäran.docx", "A 23602-2023")</f>
        <v/>
      </c>
      <c r="Y37">
        <f>HYPERLINK("https://klasma.github.io/Logging_0884/tillsynsmail/A 23602-2023 tillsynsbegäran mail.docx", "A 23602-2023")</f>
        <v/>
      </c>
    </row>
    <row r="38" ht="15" customHeight="1">
      <c r="A38" t="inlineStr">
        <is>
          <t>A 61860-2024</t>
        </is>
      </c>
      <c r="B38" s="1" t="n">
        <v>45649</v>
      </c>
      <c r="C38" s="1" t="n">
        <v>46040</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57062-2025</t>
        </is>
      </c>
      <c r="B39" s="1" t="n">
        <v>45979.37598379629</v>
      </c>
      <c r="C39" s="1" t="n">
        <v>46040</v>
      </c>
      <c r="D39" t="inlineStr">
        <is>
          <t>KALMAR LÄN</t>
        </is>
      </c>
      <c r="E39" t="inlineStr">
        <is>
          <t>VIMMERBY</t>
        </is>
      </c>
      <c r="F39" t="inlineStr">
        <is>
          <t>Sveaskog</t>
        </is>
      </c>
      <c r="G39" t="n">
        <v>4.9</v>
      </c>
      <c r="H39" t="n">
        <v>1</v>
      </c>
      <c r="I39" t="n">
        <v>0</v>
      </c>
      <c r="J39" t="n">
        <v>0</v>
      </c>
      <c r="K39" t="n">
        <v>1</v>
      </c>
      <c r="L39" t="n">
        <v>0</v>
      </c>
      <c r="M39" t="n">
        <v>0</v>
      </c>
      <c r="N39" t="n">
        <v>0</v>
      </c>
      <c r="O39" t="n">
        <v>1</v>
      </c>
      <c r="P39" t="n">
        <v>1</v>
      </c>
      <c r="Q39" t="n">
        <v>1</v>
      </c>
      <c r="R39" s="2" t="inlineStr">
        <is>
          <t>Knärot</t>
        </is>
      </c>
      <c r="S39">
        <f>HYPERLINK("https://klasma.github.io/Logging_0884/artfynd/A 57062-2025 artfynd.xlsx", "A 57062-2025")</f>
        <v/>
      </c>
      <c r="T39">
        <f>HYPERLINK("https://klasma.github.io/Logging_0884/kartor/A 57062-2025 karta.png", "A 57062-2025")</f>
        <v/>
      </c>
      <c r="U39">
        <f>HYPERLINK("https://klasma.github.io/Logging_0884/knärot/A 57062-2025 karta knärot.png", "A 57062-2025")</f>
        <v/>
      </c>
      <c r="V39">
        <f>HYPERLINK("https://klasma.github.io/Logging_0884/klagomål/A 57062-2025 FSC-klagomål.docx", "A 57062-2025")</f>
        <v/>
      </c>
      <c r="W39">
        <f>HYPERLINK("https://klasma.github.io/Logging_0884/klagomålsmail/A 57062-2025 FSC-klagomål mail.docx", "A 57062-2025")</f>
        <v/>
      </c>
      <c r="X39">
        <f>HYPERLINK("https://klasma.github.io/Logging_0884/tillsyn/A 57062-2025 tillsynsbegäran.docx", "A 57062-2025")</f>
        <v/>
      </c>
      <c r="Y39">
        <f>HYPERLINK("https://klasma.github.io/Logging_0884/tillsynsmail/A 57062-2025 tillsynsbegäran mail.docx", "A 57062-2025")</f>
        <v/>
      </c>
    </row>
    <row r="40" ht="15" customHeight="1">
      <c r="A40" t="inlineStr">
        <is>
          <t>A 37930-2021</t>
        </is>
      </c>
      <c r="B40" s="1" t="n">
        <v>44403</v>
      </c>
      <c r="C40" s="1" t="n">
        <v>46040</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15122-2024</t>
        </is>
      </c>
      <c r="B41" s="1" t="n">
        <v>45399.71412037037</v>
      </c>
      <c r="C41" s="1" t="n">
        <v>46040</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32985-2023</t>
        </is>
      </c>
      <c r="B42" s="1" t="n">
        <v>45125</v>
      </c>
      <c r="C42" s="1" t="n">
        <v>46040</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28852-2023</t>
        </is>
      </c>
      <c r="B43" s="1" t="n">
        <v>45104</v>
      </c>
      <c r="C43" s="1" t="n">
        <v>46040</v>
      </c>
      <c r="D43" t="inlineStr">
        <is>
          <t>KALMAR LÄN</t>
        </is>
      </c>
      <c r="E43" t="inlineStr">
        <is>
          <t>VIMMERBY</t>
        </is>
      </c>
      <c r="G43" t="n">
        <v>0.7</v>
      </c>
      <c r="H43" t="n">
        <v>0</v>
      </c>
      <c r="I43" t="n">
        <v>1</v>
      </c>
      <c r="J43" t="n">
        <v>0</v>
      </c>
      <c r="K43" t="n">
        <v>0</v>
      </c>
      <c r="L43" t="n">
        <v>0</v>
      </c>
      <c r="M43" t="n">
        <v>0</v>
      </c>
      <c r="N43" t="n">
        <v>0</v>
      </c>
      <c r="O43" t="n">
        <v>0</v>
      </c>
      <c r="P43" t="n">
        <v>0</v>
      </c>
      <c r="Q43" t="n">
        <v>1</v>
      </c>
      <c r="R43" s="2" t="inlineStr">
        <is>
          <t>Tibast</t>
        </is>
      </c>
      <c r="S43">
        <f>HYPERLINK("https://klasma.github.io/Logging_0884/artfynd/A 28852-2023 artfynd.xlsx", "A 28852-2023")</f>
        <v/>
      </c>
      <c r="T43">
        <f>HYPERLINK("https://klasma.github.io/Logging_0884/kartor/A 28852-2023 karta.png", "A 28852-2023")</f>
        <v/>
      </c>
      <c r="V43">
        <f>HYPERLINK("https://klasma.github.io/Logging_0884/klagomål/A 28852-2023 FSC-klagomål.docx", "A 28852-2023")</f>
        <v/>
      </c>
      <c r="W43">
        <f>HYPERLINK("https://klasma.github.io/Logging_0884/klagomålsmail/A 28852-2023 FSC-klagomål mail.docx", "A 28852-2023")</f>
        <v/>
      </c>
      <c r="X43">
        <f>HYPERLINK("https://klasma.github.io/Logging_0884/tillsyn/A 28852-2023 tillsynsbegäran.docx", "A 28852-2023")</f>
        <v/>
      </c>
      <c r="Y43">
        <f>HYPERLINK("https://klasma.github.io/Logging_0884/tillsynsmail/A 28852-2023 tillsynsbegäran mail.docx", "A 28852-2023")</f>
        <v/>
      </c>
    </row>
    <row r="44" ht="15" customHeight="1">
      <c r="A44" t="inlineStr">
        <is>
          <t>A 44515-2024</t>
        </is>
      </c>
      <c r="B44" s="1" t="n">
        <v>45574.42767361111</v>
      </c>
      <c r="C44" s="1" t="n">
        <v>46040</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53400-2025</t>
        </is>
      </c>
      <c r="B45" s="1" t="n">
        <v>45959.56684027778</v>
      </c>
      <c r="C45" s="1" t="n">
        <v>46040</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53404-2025</t>
        </is>
      </c>
      <c r="B46" s="1" t="n">
        <v>45959.57126157408</v>
      </c>
      <c r="C46" s="1" t="n">
        <v>46040</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55384-2025</t>
        </is>
      </c>
      <c r="B47" s="1" t="n">
        <v>45971.43178240741</v>
      </c>
      <c r="C47" s="1" t="n">
        <v>46040</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9067-2025</t>
        </is>
      </c>
      <c r="B48" s="1" t="n">
        <v>45713</v>
      </c>
      <c r="C48" s="1" t="n">
        <v>46040</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40083-2023</t>
        </is>
      </c>
      <c r="B49" s="1" t="n">
        <v>45168</v>
      </c>
      <c r="C49" s="1" t="n">
        <v>46040</v>
      </c>
      <c r="D49" t="inlineStr">
        <is>
          <t>KALMAR LÄN</t>
        </is>
      </c>
      <c r="E49" t="inlineStr">
        <is>
          <t>VIMMERBY</t>
        </is>
      </c>
      <c r="G49" t="n">
        <v>2.2</v>
      </c>
      <c r="H49" t="n">
        <v>1</v>
      </c>
      <c r="I49" t="n">
        <v>0</v>
      </c>
      <c r="J49" t="n">
        <v>0</v>
      </c>
      <c r="K49" t="n">
        <v>0</v>
      </c>
      <c r="L49" t="n">
        <v>0</v>
      </c>
      <c r="M49" t="n">
        <v>0</v>
      </c>
      <c r="N49" t="n">
        <v>0</v>
      </c>
      <c r="O49" t="n">
        <v>0</v>
      </c>
      <c r="P49" t="n">
        <v>0</v>
      </c>
      <c r="Q49" t="n">
        <v>1</v>
      </c>
      <c r="R49" s="2" t="inlineStr">
        <is>
          <t>Revlummer</t>
        </is>
      </c>
      <c r="S49">
        <f>HYPERLINK("https://klasma.github.io/Logging_0884/artfynd/A 40083-2023 artfynd.xlsx", "A 40083-2023")</f>
        <v/>
      </c>
      <c r="T49">
        <f>HYPERLINK("https://klasma.github.io/Logging_0884/kartor/A 40083-2023 karta.png", "A 40083-2023")</f>
        <v/>
      </c>
      <c r="V49">
        <f>HYPERLINK("https://klasma.github.io/Logging_0884/klagomål/A 40083-2023 FSC-klagomål.docx", "A 40083-2023")</f>
        <v/>
      </c>
      <c r="W49">
        <f>HYPERLINK("https://klasma.github.io/Logging_0884/klagomålsmail/A 40083-2023 FSC-klagomål mail.docx", "A 40083-2023")</f>
        <v/>
      </c>
      <c r="X49">
        <f>HYPERLINK("https://klasma.github.io/Logging_0884/tillsyn/A 40083-2023 tillsynsbegäran.docx", "A 40083-2023")</f>
        <v/>
      </c>
      <c r="Y49">
        <f>HYPERLINK("https://klasma.github.io/Logging_0884/tillsynsmail/A 40083-2023 tillsynsbegäran mail.docx", "A 40083-2023")</f>
        <v/>
      </c>
    </row>
    <row r="50" ht="15" customHeight="1">
      <c r="A50" t="inlineStr">
        <is>
          <t>A 40084-2023</t>
        </is>
      </c>
      <c r="B50" s="1" t="n">
        <v>45168</v>
      </c>
      <c r="C50" s="1" t="n">
        <v>46040</v>
      </c>
      <c r="D50" t="inlineStr">
        <is>
          <t>KALMAR LÄN</t>
        </is>
      </c>
      <c r="E50" t="inlineStr">
        <is>
          <t>VIMMERBY</t>
        </is>
      </c>
      <c r="G50" t="n">
        <v>1.3</v>
      </c>
      <c r="H50" t="n">
        <v>1</v>
      </c>
      <c r="I50" t="n">
        <v>0</v>
      </c>
      <c r="J50" t="n">
        <v>1</v>
      </c>
      <c r="K50" t="n">
        <v>0</v>
      </c>
      <c r="L50" t="n">
        <v>0</v>
      </c>
      <c r="M50" t="n">
        <v>0</v>
      </c>
      <c r="N50" t="n">
        <v>0</v>
      </c>
      <c r="O50" t="n">
        <v>1</v>
      </c>
      <c r="P50" t="n">
        <v>0</v>
      </c>
      <c r="Q50" t="n">
        <v>1</v>
      </c>
      <c r="R50" s="2" t="inlineStr">
        <is>
          <t>Entita</t>
        </is>
      </c>
      <c r="S50">
        <f>HYPERLINK("https://klasma.github.io/Logging_0884/artfynd/A 40084-2023 artfynd.xlsx", "A 40084-2023")</f>
        <v/>
      </c>
      <c r="T50">
        <f>HYPERLINK("https://klasma.github.io/Logging_0884/kartor/A 40084-2023 karta.png", "A 40084-2023")</f>
        <v/>
      </c>
      <c r="V50">
        <f>HYPERLINK("https://klasma.github.io/Logging_0884/klagomål/A 40084-2023 FSC-klagomål.docx", "A 40084-2023")</f>
        <v/>
      </c>
      <c r="W50">
        <f>HYPERLINK("https://klasma.github.io/Logging_0884/klagomålsmail/A 40084-2023 FSC-klagomål mail.docx", "A 40084-2023")</f>
        <v/>
      </c>
      <c r="X50">
        <f>HYPERLINK("https://klasma.github.io/Logging_0884/tillsyn/A 40084-2023 tillsynsbegäran.docx", "A 40084-2023")</f>
        <v/>
      </c>
      <c r="Y50">
        <f>HYPERLINK("https://klasma.github.io/Logging_0884/tillsynsmail/A 40084-2023 tillsynsbegäran mail.docx", "A 40084-2023")</f>
        <v/>
      </c>
      <c r="Z50">
        <f>HYPERLINK("https://klasma.github.io/Logging_0884/fåglar/A 40084-2023 prioriterade fågelarter.docx", "A 40084-2023")</f>
        <v/>
      </c>
    </row>
    <row r="51" ht="15" customHeight="1">
      <c r="A51" t="inlineStr">
        <is>
          <t>A 52301-2023</t>
        </is>
      </c>
      <c r="B51" s="1" t="n">
        <v>45224</v>
      </c>
      <c r="C51" s="1" t="n">
        <v>46040</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46040</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1201-2025</t>
        </is>
      </c>
      <c r="B53" s="1" t="n">
        <v>45667</v>
      </c>
      <c r="C53" s="1" t="n">
        <v>46040</v>
      </c>
      <c r="D53" t="inlineStr">
        <is>
          <t>KALMAR LÄN</t>
        </is>
      </c>
      <c r="E53" t="inlineStr">
        <is>
          <t>VIMMERBY</t>
        </is>
      </c>
      <c r="G53" t="n">
        <v>6.4</v>
      </c>
      <c r="H53" t="n">
        <v>1</v>
      </c>
      <c r="I53" t="n">
        <v>0</v>
      </c>
      <c r="J53" t="n">
        <v>0</v>
      </c>
      <c r="K53" t="n">
        <v>1</v>
      </c>
      <c r="L53" t="n">
        <v>0</v>
      </c>
      <c r="M53" t="n">
        <v>0</v>
      </c>
      <c r="N53" t="n">
        <v>0</v>
      </c>
      <c r="O53" t="n">
        <v>1</v>
      </c>
      <c r="P53" t="n">
        <v>1</v>
      </c>
      <c r="Q53" t="n">
        <v>1</v>
      </c>
      <c r="R53" s="2" t="inlineStr">
        <is>
          <t>Knärot</t>
        </is>
      </c>
      <c r="S53">
        <f>HYPERLINK("https://klasma.github.io/Logging_0884/artfynd/A 1201-2025 artfynd.xlsx", "A 1201-2025")</f>
        <v/>
      </c>
      <c r="T53">
        <f>HYPERLINK("https://klasma.github.io/Logging_0884/kartor/A 1201-2025 karta.png", "A 1201-2025")</f>
        <v/>
      </c>
      <c r="U53">
        <f>HYPERLINK("https://klasma.github.io/Logging_0884/knärot/A 1201-2025 karta knärot.png", "A 1201-2025")</f>
        <v/>
      </c>
      <c r="V53">
        <f>HYPERLINK("https://klasma.github.io/Logging_0884/klagomål/A 1201-2025 FSC-klagomål.docx", "A 1201-2025")</f>
        <v/>
      </c>
      <c r="W53">
        <f>HYPERLINK("https://klasma.github.io/Logging_0884/klagomålsmail/A 1201-2025 FSC-klagomål mail.docx", "A 1201-2025")</f>
        <v/>
      </c>
      <c r="X53">
        <f>HYPERLINK("https://klasma.github.io/Logging_0884/tillsyn/A 1201-2025 tillsynsbegäran.docx", "A 1201-2025")</f>
        <v/>
      </c>
      <c r="Y53">
        <f>HYPERLINK("https://klasma.github.io/Logging_0884/tillsynsmail/A 1201-2025 tillsynsbegäran mail.docx", "A 1201-2025")</f>
        <v/>
      </c>
    </row>
    <row r="54" ht="15" customHeight="1">
      <c r="A54" t="inlineStr">
        <is>
          <t>A 29183-2025</t>
        </is>
      </c>
      <c r="B54" s="1" t="n">
        <v>45821</v>
      </c>
      <c r="C54" s="1" t="n">
        <v>46040</v>
      </c>
      <c r="D54" t="inlineStr">
        <is>
          <t>KALMAR LÄN</t>
        </is>
      </c>
      <c r="E54" t="inlineStr">
        <is>
          <t>VIMMERBY</t>
        </is>
      </c>
      <c r="G54" t="n">
        <v>2.7</v>
      </c>
      <c r="H54" t="n">
        <v>0</v>
      </c>
      <c r="I54" t="n">
        <v>1</v>
      </c>
      <c r="J54" t="n">
        <v>0</v>
      </c>
      <c r="K54" t="n">
        <v>0</v>
      </c>
      <c r="L54" t="n">
        <v>0</v>
      </c>
      <c r="M54" t="n">
        <v>0</v>
      </c>
      <c r="N54" t="n">
        <v>0</v>
      </c>
      <c r="O54" t="n">
        <v>0</v>
      </c>
      <c r="P54" t="n">
        <v>0</v>
      </c>
      <c r="Q54" t="n">
        <v>1</v>
      </c>
      <c r="R54" s="2" t="inlineStr">
        <is>
          <t>Sårläka</t>
        </is>
      </c>
      <c r="S54">
        <f>HYPERLINK("https://klasma.github.io/Logging_0884/artfynd/A 29183-2025 artfynd.xlsx", "A 29183-2025")</f>
        <v/>
      </c>
      <c r="T54">
        <f>HYPERLINK("https://klasma.github.io/Logging_0884/kartor/A 29183-2025 karta.png", "A 29183-2025")</f>
        <v/>
      </c>
      <c r="V54">
        <f>HYPERLINK("https://klasma.github.io/Logging_0884/klagomål/A 29183-2025 FSC-klagomål.docx", "A 29183-2025")</f>
        <v/>
      </c>
      <c r="W54">
        <f>HYPERLINK("https://klasma.github.io/Logging_0884/klagomålsmail/A 29183-2025 FSC-klagomål mail.docx", "A 29183-2025")</f>
        <v/>
      </c>
      <c r="X54">
        <f>HYPERLINK("https://klasma.github.io/Logging_0884/tillsyn/A 29183-2025 tillsynsbegäran.docx", "A 29183-2025")</f>
        <v/>
      </c>
      <c r="Y54">
        <f>HYPERLINK("https://klasma.github.io/Logging_0884/tillsynsmail/A 29183-2025 tillsynsbegäran mail.docx", "A 29183-2025")</f>
        <v/>
      </c>
    </row>
    <row r="55" ht="15" customHeight="1">
      <c r="A55" t="inlineStr">
        <is>
          <t>A 15092-2021</t>
        </is>
      </c>
      <c r="B55" s="1" t="n">
        <v>44281.79269675926</v>
      </c>
      <c r="C55" s="1" t="n">
        <v>46040</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46040</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46040</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46040</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46040</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46040</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46040</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46040</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2654-2021</t>
        </is>
      </c>
      <c r="B63" s="1" t="n">
        <v>44215</v>
      </c>
      <c r="C63" s="1" t="n">
        <v>46040</v>
      </c>
      <c r="D63" t="inlineStr">
        <is>
          <t>KALMAR LÄN</t>
        </is>
      </c>
      <c r="E63" t="inlineStr">
        <is>
          <t>VIMMERBY</t>
        </is>
      </c>
      <c r="G63" t="n">
        <v>1.2</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46040</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46040</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12757-2021</t>
        </is>
      </c>
      <c r="B66" s="1" t="n">
        <v>44270.67071759259</v>
      </c>
      <c r="C66" s="1" t="n">
        <v>46040</v>
      </c>
      <c r="D66" t="inlineStr">
        <is>
          <t>KALMAR LÄN</t>
        </is>
      </c>
      <c r="E66" t="inlineStr">
        <is>
          <t>VIMMERBY</t>
        </is>
      </c>
      <c r="G66" t="n">
        <v>1</v>
      </c>
      <c r="H66" t="n">
        <v>0</v>
      </c>
      <c r="I66" t="n">
        <v>0</v>
      </c>
      <c r="J66" t="n">
        <v>0</v>
      </c>
      <c r="K66" t="n">
        <v>0</v>
      </c>
      <c r="L66" t="n">
        <v>0</v>
      </c>
      <c r="M66" t="n">
        <v>0</v>
      </c>
      <c r="N66" t="n">
        <v>0</v>
      </c>
      <c r="O66" t="n">
        <v>0</v>
      </c>
      <c r="P66" t="n">
        <v>0</v>
      </c>
      <c r="Q66" t="n">
        <v>0</v>
      </c>
      <c r="R66" s="2" t="inlineStr"/>
    </row>
    <row r="67" ht="15" customHeight="1">
      <c r="A67" t="inlineStr">
        <is>
          <t>A 18756-2021</t>
        </is>
      </c>
      <c r="B67" s="1" t="n">
        <v>44307</v>
      </c>
      <c r="C67" s="1" t="n">
        <v>46040</v>
      </c>
      <c r="D67" t="inlineStr">
        <is>
          <t>KALMAR LÄN</t>
        </is>
      </c>
      <c r="E67" t="inlineStr">
        <is>
          <t>VIMMERBY</t>
        </is>
      </c>
      <c r="G67" t="n">
        <v>7.4</v>
      </c>
      <c r="H67" t="n">
        <v>0</v>
      </c>
      <c r="I67" t="n">
        <v>0</v>
      </c>
      <c r="J67" t="n">
        <v>0</v>
      </c>
      <c r="K67" t="n">
        <v>0</v>
      </c>
      <c r="L67" t="n">
        <v>0</v>
      </c>
      <c r="M67" t="n">
        <v>0</v>
      </c>
      <c r="N67" t="n">
        <v>0</v>
      </c>
      <c r="O67" t="n">
        <v>0</v>
      </c>
      <c r="P67" t="n">
        <v>0</v>
      </c>
      <c r="Q67" t="n">
        <v>0</v>
      </c>
      <c r="R67" s="2" t="inlineStr"/>
    </row>
    <row r="68" ht="15" customHeight="1">
      <c r="A68" t="inlineStr">
        <is>
          <t>A 27086-2021</t>
        </is>
      </c>
      <c r="B68" s="1" t="n">
        <v>44350</v>
      </c>
      <c r="C68" s="1" t="n">
        <v>46040</v>
      </c>
      <c r="D68" t="inlineStr">
        <is>
          <t>KALMAR LÄN</t>
        </is>
      </c>
      <c r="E68" t="inlineStr">
        <is>
          <t>VIMMERBY</t>
        </is>
      </c>
      <c r="G68" t="n">
        <v>0.6</v>
      </c>
      <c r="H68" t="n">
        <v>0</v>
      </c>
      <c r="I68" t="n">
        <v>0</v>
      </c>
      <c r="J68" t="n">
        <v>0</v>
      </c>
      <c r="K68" t="n">
        <v>0</v>
      </c>
      <c r="L68" t="n">
        <v>0</v>
      </c>
      <c r="M68" t="n">
        <v>0</v>
      </c>
      <c r="N68" t="n">
        <v>0</v>
      </c>
      <c r="O68" t="n">
        <v>0</v>
      </c>
      <c r="P68" t="n">
        <v>0</v>
      </c>
      <c r="Q68" t="n">
        <v>0</v>
      </c>
      <c r="R68" s="2" t="inlineStr"/>
    </row>
    <row r="69" ht="15" customHeight="1">
      <c r="A69" t="inlineStr">
        <is>
          <t>A 4762-2021</t>
        </is>
      </c>
      <c r="B69" s="1" t="n">
        <v>44225</v>
      </c>
      <c r="C69" s="1" t="n">
        <v>46040</v>
      </c>
      <c r="D69" t="inlineStr">
        <is>
          <t>KALMAR LÄN</t>
        </is>
      </c>
      <c r="E69" t="inlineStr">
        <is>
          <t>VIMMERBY</t>
        </is>
      </c>
      <c r="G69" t="n">
        <v>5.3</v>
      </c>
      <c r="H69" t="n">
        <v>0</v>
      </c>
      <c r="I69" t="n">
        <v>0</v>
      </c>
      <c r="J69" t="n">
        <v>0</v>
      </c>
      <c r="K69" t="n">
        <v>0</v>
      </c>
      <c r="L69" t="n">
        <v>0</v>
      </c>
      <c r="M69" t="n">
        <v>0</v>
      </c>
      <c r="N69" t="n">
        <v>0</v>
      </c>
      <c r="O69" t="n">
        <v>0</v>
      </c>
      <c r="P69" t="n">
        <v>0</v>
      </c>
      <c r="Q69" t="n">
        <v>0</v>
      </c>
      <c r="R69" s="2" t="inlineStr"/>
    </row>
    <row r="70" ht="15" customHeight="1">
      <c r="A70" t="inlineStr">
        <is>
          <t>A 22637-2021</t>
        </is>
      </c>
      <c r="B70" s="1" t="n">
        <v>44327.47658564815</v>
      </c>
      <c r="C70" s="1" t="n">
        <v>46040</v>
      </c>
      <c r="D70" t="inlineStr">
        <is>
          <t>KALMAR LÄN</t>
        </is>
      </c>
      <c r="E70" t="inlineStr">
        <is>
          <t>VIMMERBY</t>
        </is>
      </c>
      <c r="G70" t="n">
        <v>0.5</v>
      </c>
      <c r="H70" t="n">
        <v>0</v>
      </c>
      <c r="I70" t="n">
        <v>0</v>
      </c>
      <c r="J70" t="n">
        <v>0</v>
      </c>
      <c r="K70" t="n">
        <v>0</v>
      </c>
      <c r="L70" t="n">
        <v>0</v>
      </c>
      <c r="M70" t="n">
        <v>0</v>
      </c>
      <c r="N70" t="n">
        <v>0</v>
      </c>
      <c r="O70" t="n">
        <v>0</v>
      </c>
      <c r="P70" t="n">
        <v>0</v>
      </c>
      <c r="Q70" t="n">
        <v>0</v>
      </c>
      <c r="R70" s="2" t="inlineStr"/>
    </row>
    <row r="71" ht="15" customHeight="1">
      <c r="A71" t="inlineStr">
        <is>
          <t>A 63926-2021</t>
        </is>
      </c>
      <c r="B71" s="1" t="n">
        <v>44509</v>
      </c>
      <c r="C71" s="1" t="n">
        <v>46040</v>
      </c>
      <c r="D71" t="inlineStr">
        <is>
          <t>KALMAR LÄN</t>
        </is>
      </c>
      <c r="E71" t="inlineStr">
        <is>
          <t>VIMMERBY</t>
        </is>
      </c>
      <c r="G71" t="n">
        <v>0.7</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46040</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46040</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46040</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46040</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46040</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46040</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46040</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38348-2021</t>
        </is>
      </c>
      <c r="B79" s="1" t="n">
        <v>44406</v>
      </c>
      <c r="C79" s="1" t="n">
        <v>46040</v>
      </c>
      <c r="D79" t="inlineStr">
        <is>
          <t>KALMAR LÄN</t>
        </is>
      </c>
      <c r="E79" t="inlineStr">
        <is>
          <t>VIMMERBY</t>
        </is>
      </c>
      <c r="G79" t="n">
        <v>2.2</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46040</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2183-2022</t>
        </is>
      </c>
      <c r="B81" s="1" t="n">
        <v>44578.47597222222</v>
      </c>
      <c r="C81" s="1" t="n">
        <v>46040</v>
      </c>
      <c r="D81" t="inlineStr">
        <is>
          <t>KALMAR LÄN</t>
        </is>
      </c>
      <c r="E81" t="inlineStr">
        <is>
          <t>VIMMERBY</t>
        </is>
      </c>
      <c r="G81" t="n">
        <v>4.8</v>
      </c>
      <c r="H81" t="n">
        <v>0</v>
      </c>
      <c r="I81" t="n">
        <v>0</v>
      </c>
      <c r="J81" t="n">
        <v>0</v>
      </c>
      <c r="K81" t="n">
        <v>0</v>
      </c>
      <c r="L81" t="n">
        <v>0</v>
      </c>
      <c r="M81" t="n">
        <v>0</v>
      </c>
      <c r="N81" t="n">
        <v>0</v>
      </c>
      <c r="O81" t="n">
        <v>0</v>
      </c>
      <c r="P81" t="n">
        <v>0</v>
      </c>
      <c r="Q81" t="n">
        <v>0</v>
      </c>
      <c r="R81" s="2" t="inlineStr"/>
    </row>
    <row r="82" ht="15" customHeight="1">
      <c r="A82" t="inlineStr">
        <is>
          <t>A 65670-2021</t>
        </is>
      </c>
      <c r="B82" s="1" t="n">
        <v>44516.59703703703</v>
      </c>
      <c r="C82" s="1" t="n">
        <v>46040</v>
      </c>
      <c r="D82" t="inlineStr">
        <is>
          <t>KALMAR LÄN</t>
        </is>
      </c>
      <c r="E82" t="inlineStr">
        <is>
          <t>VIMMERBY</t>
        </is>
      </c>
      <c r="G82" t="n">
        <v>1.9</v>
      </c>
      <c r="H82" t="n">
        <v>0</v>
      </c>
      <c r="I82" t="n">
        <v>0</v>
      </c>
      <c r="J82" t="n">
        <v>0</v>
      </c>
      <c r="K82" t="n">
        <v>0</v>
      </c>
      <c r="L82" t="n">
        <v>0</v>
      </c>
      <c r="M82" t="n">
        <v>0</v>
      </c>
      <c r="N82" t="n">
        <v>0</v>
      </c>
      <c r="O82" t="n">
        <v>0</v>
      </c>
      <c r="P82" t="n">
        <v>0</v>
      </c>
      <c r="Q82" t="n">
        <v>0</v>
      </c>
      <c r="R82" s="2" t="inlineStr"/>
    </row>
    <row r="83" ht="15" customHeight="1">
      <c r="A83" t="inlineStr">
        <is>
          <t>A 50809-2022</t>
        </is>
      </c>
      <c r="B83" s="1" t="n">
        <v>44862</v>
      </c>
      <c r="C83" s="1" t="n">
        <v>46040</v>
      </c>
      <c r="D83" t="inlineStr">
        <is>
          <t>KALMAR LÄN</t>
        </is>
      </c>
      <c r="E83" t="inlineStr">
        <is>
          <t>VIMMERBY</t>
        </is>
      </c>
      <c r="G83" t="n">
        <v>3.7</v>
      </c>
      <c r="H83" t="n">
        <v>0</v>
      </c>
      <c r="I83" t="n">
        <v>0</v>
      </c>
      <c r="J83" t="n">
        <v>0</v>
      </c>
      <c r="K83" t="n">
        <v>0</v>
      </c>
      <c r="L83" t="n">
        <v>0</v>
      </c>
      <c r="M83" t="n">
        <v>0</v>
      </c>
      <c r="N83" t="n">
        <v>0</v>
      </c>
      <c r="O83" t="n">
        <v>0</v>
      </c>
      <c r="P83" t="n">
        <v>0</v>
      </c>
      <c r="Q83" t="n">
        <v>0</v>
      </c>
      <c r="R83" s="2" t="inlineStr"/>
    </row>
    <row r="84" ht="15" customHeight="1">
      <c r="A84" t="inlineStr">
        <is>
          <t>A 7049-2022</t>
        </is>
      </c>
      <c r="B84" s="1" t="n">
        <v>44603</v>
      </c>
      <c r="C84" s="1" t="n">
        <v>46040</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4296-2022</t>
        </is>
      </c>
      <c r="B85" s="1" t="n">
        <v>44588</v>
      </c>
      <c r="C85" s="1" t="n">
        <v>46040</v>
      </c>
      <c r="D85" t="inlineStr">
        <is>
          <t>KALMAR LÄN</t>
        </is>
      </c>
      <c r="E85" t="inlineStr">
        <is>
          <t>VIMMERBY</t>
        </is>
      </c>
      <c r="G85" t="n">
        <v>1.8</v>
      </c>
      <c r="H85" t="n">
        <v>0</v>
      </c>
      <c r="I85" t="n">
        <v>0</v>
      </c>
      <c r="J85" t="n">
        <v>0</v>
      </c>
      <c r="K85" t="n">
        <v>0</v>
      </c>
      <c r="L85" t="n">
        <v>0</v>
      </c>
      <c r="M85" t="n">
        <v>0</v>
      </c>
      <c r="N85" t="n">
        <v>0</v>
      </c>
      <c r="O85" t="n">
        <v>0</v>
      </c>
      <c r="P85" t="n">
        <v>0</v>
      </c>
      <c r="Q85" t="n">
        <v>0</v>
      </c>
      <c r="R85" s="2" t="inlineStr"/>
    </row>
    <row r="86" ht="15" customHeight="1">
      <c r="A86" t="inlineStr">
        <is>
          <t>A 38086-2021</t>
        </is>
      </c>
      <c r="B86" s="1" t="n">
        <v>44404.87505787037</v>
      </c>
      <c r="C86" s="1" t="n">
        <v>46040</v>
      </c>
      <c r="D86" t="inlineStr">
        <is>
          <t>KALMAR LÄN</t>
        </is>
      </c>
      <c r="E86" t="inlineStr">
        <is>
          <t>VIMMERBY</t>
        </is>
      </c>
      <c r="G86" t="n">
        <v>4.4</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46040</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46040</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46040</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46040</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46040</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3621-2021</t>
        </is>
      </c>
      <c r="B92" s="1" t="n">
        <v>44221.39408564815</v>
      </c>
      <c r="C92" s="1" t="n">
        <v>46040</v>
      </c>
      <c r="D92" t="inlineStr">
        <is>
          <t>KALMAR LÄN</t>
        </is>
      </c>
      <c r="E92" t="inlineStr">
        <is>
          <t>VIMMERBY</t>
        </is>
      </c>
      <c r="G92" t="n">
        <v>0.7</v>
      </c>
      <c r="H92" t="n">
        <v>0</v>
      </c>
      <c r="I92" t="n">
        <v>0</v>
      </c>
      <c r="J92" t="n">
        <v>0</v>
      </c>
      <c r="K92" t="n">
        <v>0</v>
      </c>
      <c r="L92" t="n">
        <v>0</v>
      </c>
      <c r="M92" t="n">
        <v>0</v>
      </c>
      <c r="N92" t="n">
        <v>0</v>
      </c>
      <c r="O92" t="n">
        <v>0</v>
      </c>
      <c r="P92" t="n">
        <v>0</v>
      </c>
      <c r="Q92" t="n">
        <v>0</v>
      </c>
      <c r="R92" s="2" t="inlineStr"/>
    </row>
    <row r="93" ht="15" customHeight="1">
      <c r="A93" t="inlineStr">
        <is>
          <t>A 64923-2021</t>
        </is>
      </c>
      <c r="B93" s="1" t="n">
        <v>44512.70245370371</v>
      </c>
      <c r="C93" s="1" t="n">
        <v>46040</v>
      </c>
      <c r="D93" t="inlineStr">
        <is>
          <t>KALMAR LÄN</t>
        </is>
      </c>
      <c r="E93" t="inlineStr">
        <is>
          <t>VIMMERBY</t>
        </is>
      </c>
      <c r="G93" t="n">
        <v>1</v>
      </c>
      <c r="H93" t="n">
        <v>0</v>
      </c>
      <c r="I93" t="n">
        <v>0</v>
      </c>
      <c r="J93" t="n">
        <v>0</v>
      </c>
      <c r="K93" t="n">
        <v>0</v>
      </c>
      <c r="L93" t="n">
        <v>0</v>
      </c>
      <c r="M93" t="n">
        <v>0</v>
      </c>
      <c r="N93" t="n">
        <v>0</v>
      </c>
      <c r="O93" t="n">
        <v>0</v>
      </c>
      <c r="P93" t="n">
        <v>0</v>
      </c>
      <c r="Q93" t="n">
        <v>0</v>
      </c>
      <c r="R93" s="2" t="inlineStr"/>
    </row>
    <row r="94" ht="15" customHeight="1">
      <c r="A94" t="inlineStr">
        <is>
          <t>A 11145-2021</t>
        </is>
      </c>
      <c r="B94" s="1" t="n">
        <v>44261</v>
      </c>
      <c r="C94" s="1" t="n">
        <v>46040</v>
      </c>
      <c r="D94" t="inlineStr">
        <is>
          <t>KALMAR LÄN</t>
        </is>
      </c>
      <c r="E94" t="inlineStr">
        <is>
          <t>VIMMERBY</t>
        </is>
      </c>
      <c r="G94" t="n">
        <v>3.5</v>
      </c>
      <c r="H94" t="n">
        <v>0</v>
      </c>
      <c r="I94" t="n">
        <v>0</v>
      </c>
      <c r="J94" t="n">
        <v>0</v>
      </c>
      <c r="K94" t="n">
        <v>0</v>
      </c>
      <c r="L94" t="n">
        <v>0</v>
      </c>
      <c r="M94" t="n">
        <v>0</v>
      </c>
      <c r="N94" t="n">
        <v>0</v>
      </c>
      <c r="O94" t="n">
        <v>0</v>
      </c>
      <c r="P94" t="n">
        <v>0</v>
      </c>
      <c r="Q94" t="n">
        <v>0</v>
      </c>
      <c r="R94" s="2" t="inlineStr"/>
    </row>
    <row r="95" ht="15" customHeight="1">
      <c r="A95" t="inlineStr">
        <is>
          <t>A 68840-2021</t>
        </is>
      </c>
      <c r="B95" s="1" t="n">
        <v>44530.38055555556</v>
      </c>
      <c r="C95" s="1" t="n">
        <v>46040</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4118-2022</t>
        </is>
      </c>
      <c r="B96" s="1" t="n">
        <v>44588</v>
      </c>
      <c r="C96" s="1" t="n">
        <v>46040</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4126-2022</t>
        </is>
      </c>
      <c r="B97" s="1" t="n">
        <v>44588</v>
      </c>
      <c r="C97" s="1" t="n">
        <v>46040</v>
      </c>
      <c r="D97" t="inlineStr">
        <is>
          <t>KALMAR LÄN</t>
        </is>
      </c>
      <c r="E97" t="inlineStr">
        <is>
          <t>VIMMERBY</t>
        </is>
      </c>
      <c r="G97" t="n">
        <v>0.6</v>
      </c>
      <c r="H97" t="n">
        <v>0</v>
      </c>
      <c r="I97" t="n">
        <v>0</v>
      </c>
      <c r="J97" t="n">
        <v>0</v>
      </c>
      <c r="K97" t="n">
        <v>0</v>
      </c>
      <c r="L97" t="n">
        <v>0</v>
      </c>
      <c r="M97" t="n">
        <v>0</v>
      </c>
      <c r="N97" t="n">
        <v>0</v>
      </c>
      <c r="O97" t="n">
        <v>0</v>
      </c>
      <c r="P97" t="n">
        <v>0</v>
      </c>
      <c r="Q97" t="n">
        <v>0</v>
      </c>
      <c r="R97" s="2" t="inlineStr"/>
    </row>
    <row r="98" ht="15" customHeight="1">
      <c r="A98" t="inlineStr">
        <is>
          <t>A 33820-2022</t>
        </is>
      </c>
      <c r="B98" s="1" t="n">
        <v>44790</v>
      </c>
      <c r="C98" s="1" t="n">
        <v>46040</v>
      </c>
      <c r="D98" t="inlineStr">
        <is>
          <t>KALMAR LÄN</t>
        </is>
      </c>
      <c r="E98" t="inlineStr">
        <is>
          <t>VIMMERBY</t>
        </is>
      </c>
      <c r="G98" t="n">
        <v>3</v>
      </c>
      <c r="H98" t="n">
        <v>0</v>
      </c>
      <c r="I98" t="n">
        <v>0</v>
      </c>
      <c r="J98" t="n">
        <v>0</v>
      </c>
      <c r="K98" t="n">
        <v>0</v>
      </c>
      <c r="L98" t="n">
        <v>0</v>
      </c>
      <c r="M98" t="n">
        <v>0</v>
      </c>
      <c r="N98" t="n">
        <v>0</v>
      </c>
      <c r="O98" t="n">
        <v>0</v>
      </c>
      <c r="P98" t="n">
        <v>0</v>
      </c>
      <c r="Q98" t="n">
        <v>0</v>
      </c>
      <c r="R98" s="2" t="inlineStr"/>
    </row>
    <row r="99" ht="15" customHeight="1">
      <c r="A99" t="inlineStr">
        <is>
          <t>A 33824-2022</t>
        </is>
      </c>
      <c r="B99" s="1" t="n">
        <v>44790.47628472222</v>
      </c>
      <c r="C99" s="1" t="n">
        <v>46040</v>
      </c>
      <c r="D99" t="inlineStr">
        <is>
          <t>KALMAR LÄN</t>
        </is>
      </c>
      <c r="E99" t="inlineStr">
        <is>
          <t>VIMMERBY</t>
        </is>
      </c>
      <c r="G99" t="n">
        <v>2.3</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46040</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46040</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46040</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46040</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46040</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46040</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7072-2021</t>
        </is>
      </c>
      <c r="B106" s="1" t="n">
        <v>44237.8550925926</v>
      </c>
      <c r="C106" s="1" t="n">
        <v>46040</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46040</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13492-2021</t>
        </is>
      </c>
      <c r="B108" s="1" t="n">
        <v>44273</v>
      </c>
      <c r="C108" s="1" t="n">
        <v>46040</v>
      </c>
      <c r="D108" t="inlineStr">
        <is>
          <t>KALMAR LÄN</t>
        </is>
      </c>
      <c r="E108" t="inlineStr">
        <is>
          <t>VIMMERBY</t>
        </is>
      </c>
      <c r="G108" t="n">
        <v>3.1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46040</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46040</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46040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46040</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46040</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46040</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46040</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46040</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46040</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46040</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46040</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46040</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46040</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46040</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46040</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46040</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46040</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46040</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46040</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11814-2022</t>
        </is>
      </c>
      <c r="B128" s="1" t="n">
        <v>44634.69703703704</v>
      </c>
      <c r="C128" s="1" t="n">
        <v>46040</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46040</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31053-2022</t>
        </is>
      </c>
      <c r="B130" s="1" t="n">
        <v>44769.45422453704</v>
      </c>
      <c r="C130" s="1" t="n">
        <v>46040</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46040</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8454-2022</t>
        </is>
      </c>
      <c r="B132" s="1" t="n">
        <v>44612.86762731482</v>
      </c>
      <c r="C132" s="1" t="n">
        <v>46040</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65887-2021</t>
        </is>
      </c>
      <c r="B133" s="1" t="n">
        <v>44517</v>
      </c>
      <c r="C133" s="1" t="n">
        <v>46040</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39959-2022</t>
        </is>
      </c>
      <c r="B134" s="1" t="n">
        <v>44819</v>
      </c>
      <c r="C134" s="1" t="n">
        <v>46040</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12661-2021</t>
        </is>
      </c>
      <c r="B135" s="1" t="n">
        <v>44270</v>
      </c>
      <c r="C135" s="1" t="n">
        <v>46040</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46040</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46040</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46040</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16705-2021</t>
        </is>
      </c>
      <c r="B139" s="1" t="n">
        <v>44294</v>
      </c>
      <c r="C139" s="1" t="n">
        <v>46040</v>
      </c>
      <c r="D139" t="inlineStr">
        <is>
          <t>KALMAR LÄN</t>
        </is>
      </c>
      <c r="E139" t="inlineStr">
        <is>
          <t>VIMMERBY</t>
        </is>
      </c>
      <c r="G139" t="n">
        <v>2.6</v>
      </c>
      <c r="H139" t="n">
        <v>0</v>
      </c>
      <c r="I139" t="n">
        <v>0</v>
      </c>
      <c r="J139" t="n">
        <v>0</v>
      </c>
      <c r="K139" t="n">
        <v>0</v>
      </c>
      <c r="L139" t="n">
        <v>0</v>
      </c>
      <c r="M139" t="n">
        <v>0</v>
      </c>
      <c r="N139" t="n">
        <v>0</v>
      </c>
      <c r="O139" t="n">
        <v>0</v>
      </c>
      <c r="P139" t="n">
        <v>0</v>
      </c>
      <c r="Q139" t="n">
        <v>0</v>
      </c>
      <c r="R139" s="2" t="inlineStr"/>
    </row>
    <row r="140" ht="15" customHeight="1">
      <c r="A140" t="inlineStr">
        <is>
          <t>A 56389-2021</t>
        </is>
      </c>
      <c r="B140" s="1" t="n">
        <v>44480</v>
      </c>
      <c r="C140" s="1" t="n">
        <v>46040</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67952-2021</t>
        </is>
      </c>
      <c r="B141" s="1" t="n">
        <v>44525.63913194444</v>
      </c>
      <c r="C141" s="1" t="n">
        <v>46040</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15533-2022</t>
        </is>
      </c>
      <c r="B142" s="1" t="n">
        <v>44662</v>
      </c>
      <c r="C142" s="1" t="n">
        <v>46040</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165-2022</t>
        </is>
      </c>
      <c r="B143" s="1" t="n">
        <v>44564</v>
      </c>
      <c r="C143" s="1" t="n">
        <v>46040</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34040-2021</t>
        </is>
      </c>
      <c r="B144" s="1" t="n">
        <v>44379</v>
      </c>
      <c r="C144" s="1" t="n">
        <v>46040</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15200-2021</t>
        </is>
      </c>
      <c r="B145" s="1" t="n">
        <v>44284.44574074074</v>
      </c>
      <c r="C145" s="1" t="n">
        <v>46040</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14521-2021</t>
        </is>
      </c>
      <c r="B146" s="1" t="n">
        <v>44279.64934027778</v>
      </c>
      <c r="C146" s="1" t="n">
        <v>46040</v>
      </c>
      <c r="D146" t="inlineStr">
        <is>
          <t>KALMAR LÄN</t>
        </is>
      </c>
      <c r="E146" t="inlineStr">
        <is>
          <t>VIMMERBY</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12107-2022</t>
        </is>
      </c>
      <c r="B147" s="1" t="n">
        <v>44636</v>
      </c>
      <c r="C147" s="1" t="n">
        <v>46040</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39225-2022</t>
        </is>
      </c>
      <c r="B148" s="1" t="n">
        <v>44817.57988425926</v>
      </c>
      <c r="C148" s="1" t="n">
        <v>46040</v>
      </c>
      <c r="D148" t="inlineStr">
        <is>
          <t>KALMAR LÄN</t>
        </is>
      </c>
      <c r="E148" t="inlineStr">
        <is>
          <t>VIMMERBY</t>
        </is>
      </c>
      <c r="G148" t="n">
        <v>2.2</v>
      </c>
      <c r="H148" t="n">
        <v>0</v>
      </c>
      <c r="I148" t="n">
        <v>0</v>
      </c>
      <c r="J148" t="n">
        <v>0</v>
      </c>
      <c r="K148" t="n">
        <v>0</v>
      </c>
      <c r="L148" t="n">
        <v>0</v>
      </c>
      <c r="M148" t="n">
        <v>0</v>
      </c>
      <c r="N148" t="n">
        <v>0</v>
      </c>
      <c r="O148" t="n">
        <v>0</v>
      </c>
      <c r="P148" t="n">
        <v>0</v>
      </c>
      <c r="Q148" t="n">
        <v>0</v>
      </c>
      <c r="R148" s="2" t="inlineStr"/>
    </row>
    <row r="149" ht="15" customHeight="1">
      <c r="A149" t="inlineStr">
        <is>
          <t>A 16602-2021</t>
        </is>
      </c>
      <c r="B149" s="1" t="n">
        <v>44294</v>
      </c>
      <c r="C149" s="1" t="n">
        <v>46040</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16607-2021</t>
        </is>
      </c>
      <c r="B150" s="1" t="n">
        <v>44294</v>
      </c>
      <c r="C150" s="1" t="n">
        <v>46040</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17029-2022</t>
        </is>
      </c>
      <c r="B151" s="1" t="n">
        <v>44676.85248842592</v>
      </c>
      <c r="C151" s="1" t="n">
        <v>46040</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18356-2021</t>
        </is>
      </c>
      <c r="B152" s="1" t="n">
        <v>44305</v>
      </c>
      <c r="C152" s="1" t="n">
        <v>46040</v>
      </c>
      <c r="D152" t="inlineStr">
        <is>
          <t>KALMAR LÄN</t>
        </is>
      </c>
      <c r="E152" t="inlineStr">
        <is>
          <t>VIMMERBY</t>
        </is>
      </c>
      <c r="G152" t="n">
        <v>3.4</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46040</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35001-2021</t>
        </is>
      </c>
      <c r="B154" s="1" t="n">
        <v>44383</v>
      </c>
      <c r="C154" s="1" t="n">
        <v>46040</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55674-2021</t>
        </is>
      </c>
      <c r="B155" s="1" t="n">
        <v>44476</v>
      </c>
      <c r="C155" s="1" t="n">
        <v>46040</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46040</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47769-2022</t>
        </is>
      </c>
      <c r="B157" s="1" t="n">
        <v>44854</v>
      </c>
      <c r="C157" s="1" t="n">
        <v>46040</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48377-2021</t>
        </is>
      </c>
      <c r="B158" s="1" t="n">
        <v>44451.8375</v>
      </c>
      <c r="C158" s="1" t="n">
        <v>46040</v>
      </c>
      <c r="D158" t="inlineStr">
        <is>
          <t>KALMAR LÄN</t>
        </is>
      </c>
      <c r="E158" t="inlineStr">
        <is>
          <t>VIMMERBY</t>
        </is>
      </c>
      <c r="G158" t="n">
        <v>0.4</v>
      </c>
      <c r="H158" t="n">
        <v>0</v>
      </c>
      <c r="I158" t="n">
        <v>0</v>
      </c>
      <c r="J158" t="n">
        <v>0</v>
      </c>
      <c r="K158" t="n">
        <v>0</v>
      </c>
      <c r="L158" t="n">
        <v>0</v>
      </c>
      <c r="M158" t="n">
        <v>0</v>
      </c>
      <c r="N158" t="n">
        <v>0</v>
      </c>
      <c r="O158" t="n">
        <v>0</v>
      </c>
      <c r="P158" t="n">
        <v>0</v>
      </c>
      <c r="Q158" t="n">
        <v>0</v>
      </c>
      <c r="R158" s="2" t="inlineStr"/>
    </row>
    <row r="159" ht="15" customHeight="1">
      <c r="A159" t="inlineStr">
        <is>
          <t>A 40472-2022</t>
        </is>
      </c>
      <c r="B159" s="1" t="n">
        <v>44823</v>
      </c>
      <c r="C159" s="1" t="n">
        <v>46040</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35316-2021</t>
        </is>
      </c>
      <c r="B160" s="1" t="n">
        <v>44384</v>
      </c>
      <c r="C160" s="1" t="n">
        <v>46040</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33831-2022</t>
        </is>
      </c>
      <c r="B161" s="1" t="n">
        <v>44790.48503472222</v>
      </c>
      <c r="C161" s="1" t="n">
        <v>46040</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47708-2022</t>
        </is>
      </c>
      <c r="B162" s="1" t="n">
        <v>44854.59157407407</v>
      </c>
      <c r="C162" s="1" t="n">
        <v>46040</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46040</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12241-2021</t>
        </is>
      </c>
      <c r="B164" s="1" t="n">
        <v>44266.7240625</v>
      </c>
      <c r="C164" s="1" t="n">
        <v>46040</v>
      </c>
      <c r="D164" t="inlineStr">
        <is>
          <t>KALMAR LÄN</t>
        </is>
      </c>
      <c r="E164" t="inlineStr">
        <is>
          <t>VIMMERBY</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46040</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23825-2022</t>
        </is>
      </c>
      <c r="B166" s="1" t="n">
        <v>44722.48768518519</v>
      </c>
      <c r="C166" s="1" t="n">
        <v>46040</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47473-2021</t>
        </is>
      </c>
      <c r="B167" s="1" t="n">
        <v>44447</v>
      </c>
      <c r="C167" s="1" t="n">
        <v>46040</v>
      </c>
      <c r="D167" t="inlineStr">
        <is>
          <t>KALMAR LÄN</t>
        </is>
      </c>
      <c r="E167" t="inlineStr">
        <is>
          <t>VIMMERBY</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46040</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41056-2022</t>
        </is>
      </c>
      <c r="B169" s="1" t="n">
        <v>44824</v>
      </c>
      <c r="C169" s="1" t="n">
        <v>46040</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31660-2021</t>
        </is>
      </c>
      <c r="B170" s="1" t="n">
        <v>44369</v>
      </c>
      <c r="C170" s="1" t="n">
        <v>46040</v>
      </c>
      <c r="D170" t="inlineStr">
        <is>
          <t>KALMAR LÄN</t>
        </is>
      </c>
      <c r="E170" t="inlineStr">
        <is>
          <t>VIMMERBY</t>
        </is>
      </c>
      <c r="G170" t="n">
        <v>4.2</v>
      </c>
      <c r="H170" t="n">
        <v>0</v>
      </c>
      <c r="I170" t="n">
        <v>0</v>
      </c>
      <c r="J170" t="n">
        <v>0</v>
      </c>
      <c r="K170" t="n">
        <v>0</v>
      </c>
      <c r="L170" t="n">
        <v>0</v>
      </c>
      <c r="M170" t="n">
        <v>0</v>
      </c>
      <c r="N170" t="n">
        <v>0</v>
      </c>
      <c r="O170" t="n">
        <v>0</v>
      </c>
      <c r="P170" t="n">
        <v>0</v>
      </c>
      <c r="Q170" t="n">
        <v>0</v>
      </c>
      <c r="R170" s="2" t="inlineStr"/>
    </row>
    <row r="171" ht="15" customHeight="1">
      <c r="A171" t="inlineStr">
        <is>
          <t>A 27455-2022</t>
        </is>
      </c>
      <c r="B171" s="1" t="n">
        <v>44742</v>
      </c>
      <c r="C171" s="1" t="n">
        <v>46040</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3330-2021</t>
        </is>
      </c>
      <c r="B172" s="1" t="n">
        <v>44217.79856481482</v>
      </c>
      <c r="C172" s="1" t="n">
        <v>46040</v>
      </c>
      <c r="D172" t="inlineStr">
        <is>
          <t>KALMAR LÄN</t>
        </is>
      </c>
      <c r="E172" t="inlineStr">
        <is>
          <t>VIMMERBY</t>
        </is>
      </c>
      <c r="G172" t="n">
        <v>11.1</v>
      </c>
      <c r="H172" t="n">
        <v>0</v>
      </c>
      <c r="I172" t="n">
        <v>0</v>
      </c>
      <c r="J172" t="n">
        <v>0</v>
      </c>
      <c r="K172" t="n">
        <v>0</v>
      </c>
      <c r="L172" t="n">
        <v>0</v>
      </c>
      <c r="M172" t="n">
        <v>0</v>
      </c>
      <c r="N172" t="n">
        <v>0</v>
      </c>
      <c r="O172" t="n">
        <v>0</v>
      </c>
      <c r="P172" t="n">
        <v>0</v>
      </c>
      <c r="Q172" t="n">
        <v>0</v>
      </c>
      <c r="R172" s="2" t="inlineStr"/>
    </row>
    <row r="173" ht="15" customHeight="1">
      <c r="A173" t="inlineStr">
        <is>
          <t>A 36117-2021</t>
        </is>
      </c>
      <c r="B173" s="1" t="n">
        <v>44386</v>
      </c>
      <c r="C173" s="1" t="n">
        <v>46040</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42521-2021</t>
        </is>
      </c>
      <c r="B174" s="1" t="n">
        <v>44427</v>
      </c>
      <c r="C174" s="1" t="n">
        <v>46040</v>
      </c>
      <c r="D174" t="inlineStr">
        <is>
          <t>KALMAR LÄN</t>
        </is>
      </c>
      <c r="E174" t="inlineStr">
        <is>
          <t>VIMMERBY</t>
        </is>
      </c>
      <c r="G174" t="n">
        <v>5.4</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46040</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46964-2022</t>
        </is>
      </c>
      <c r="B176" s="1" t="n">
        <v>44851.95016203704</v>
      </c>
      <c r="C176" s="1" t="n">
        <v>46040</v>
      </c>
      <c r="D176" t="inlineStr">
        <is>
          <t>KALMAR LÄN</t>
        </is>
      </c>
      <c r="E176" t="inlineStr">
        <is>
          <t>VIMMERBY</t>
        </is>
      </c>
      <c r="G176" t="n">
        <v>0.2</v>
      </c>
      <c r="H176" t="n">
        <v>0</v>
      </c>
      <c r="I176" t="n">
        <v>0</v>
      </c>
      <c r="J176" t="n">
        <v>0</v>
      </c>
      <c r="K176" t="n">
        <v>0</v>
      </c>
      <c r="L176" t="n">
        <v>0</v>
      </c>
      <c r="M176" t="n">
        <v>0</v>
      </c>
      <c r="N176" t="n">
        <v>0</v>
      </c>
      <c r="O176" t="n">
        <v>0</v>
      </c>
      <c r="P176" t="n">
        <v>0</v>
      </c>
      <c r="Q176" t="n">
        <v>0</v>
      </c>
      <c r="R176" s="2" t="inlineStr"/>
    </row>
    <row r="177" ht="15" customHeight="1">
      <c r="A177" t="inlineStr">
        <is>
          <t>A 13180-2022</t>
        </is>
      </c>
      <c r="B177" s="1" t="n">
        <v>44644</v>
      </c>
      <c r="C177" s="1" t="n">
        <v>46040</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46921-2023</t>
        </is>
      </c>
      <c r="B178" s="1" t="n">
        <v>45201.39996527778</v>
      </c>
      <c r="C178" s="1" t="n">
        <v>46040</v>
      </c>
      <c r="D178" t="inlineStr">
        <is>
          <t>KALMAR LÄN</t>
        </is>
      </c>
      <c r="E178" t="inlineStr">
        <is>
          <t>VIMMERBY</t>
        </is>
      </c>
      <c r="G178" t="n">
        <v>2.6</v>
      </c>
      <c r="H178" t="n">
        <v>0</v>
      </c>
      <c r="I178" t="n">
        <v>0</v>
      </c>
      <c r="J178" t="n">
        <v>0</v>
      </c>
      <c r="K178" t="n">
        <v>0</v>
      </c>
      <c r="L178" t="n">
        <v>0</v>
      </c>
      <c r="M178" t="n">
        <v>0</v>
      </c>
      <c r="N178" t="n">
        <v>0</v>
      </c>
      <c r="O178" t="n">
        <v>0</v>
      </c>
      <c r="P178" t="n">
        <v>0</v>
      </c>
      <c r="Q178" t="n">
        <v>0</v>
      </c>
      <c r="R178" s="2" t="inlineStr"/>
    </row>
    <row r="179" ht="15" customHeight="1">
      <c r="A179" t="inlineStr">
        <is>
          <t>A 10837-2023</t>
        </is>
      </c>
      <c r="B179" s="1" t="n">
        <v>44991.30547453704</v>
      </c>
      <c r="C179" s="1" t="n">
        <v>46040</v>
      </c>
      <c r="D179" t="inlineStr">
        <is>
          <t>KALMAR LÄN</t>
        </is>
      </c>
      <c r="E179" t="inlineStr">
        <is>
          <t>VIMMERBY</t>
        </is>
      </c>
      <c r="G179" t="n">
        <v>7.3</v>
      </c>
      <c r="H179" t="n">
        <v>0</v>
      </c>
      <c r="I179" t="n">
        <v>0</v>
      </c>
      <c r="J179" t="n">
        <v>0</v>
      </c>
      <c r="K179" t="n">
        <v>0</v>
      </c>
      <c r="L179" t="n">
        <v>0</v>
      </c>
      <c r="M179" t="n">
        <v>0</v>
      </c>
      <c r="N179" t="n">
        <v>0</v>
      </c>
      <c r="O179" t="n">
        <v>0</v>
      </c>
      <c r="P179" t="n">
        <v>0</v>
      </c>
      <c r="Q179" t="n">
        <v>0</v>
      </c>
      <c r="R179" s="2" t="inlineStr"/>
    </row>
    <row r="180" ht="15" customHeight="1">
      <c r="A180" t="inlineStr">
        <is>
          <t>A 10838-2023</t>
        </is>
      </c>
      <c r="B180" s="1" t="n">
        <v>44991</v>
      </c>
      <c r="C180" s="1" t="n">
        <v>46040</v>
      </c>
      <c r="D180" t="inlineStr">
        <is>
          <t>KALMAR LÄN</t>
        </is>
      </c>
      <c r="E180" t="inlineStr">
        <is>
          <t>VIMMERBY</t>
        </is>
      </c>
      <c r="G180" t="n">
        <v>5.1</v>
      </c>
      <c r="H180" t="n">
        <v>0</v>
      </c>
      <c r="I180" t="n">
        <v>0</v>
      </c>
      <c r="J180" t="n">
        <v>0</v>
      </c>
      <c r="K180" t="n">
        <v>0</v>
      </c>
      <c r="L180" t="n">
        <v>0</v>
      </c>
      <c r="M180" t="n">
        <v>0</v>
      </c>
      <c r="N180" t="n">
        <v>0</v>
      </c>
      <c r="O180" t="n">
        <v>0</v>
      </c>
      <c r="P180" t="n">
        <v>0</v>
      </c>
      <c r="Q180" t="n">
        <v>0</v>
      </c>
      <c r="R180" s="2" t="inlineStr"/>
    </row>
    <row r="181" ht="15" customHeight="1">
      <c r="A181" t="inlineStr">
        <is>
          <t>A 36273-2025</t>
        </is>
      </c>
      <c r="B181" s="1" t="n">
        <v>45867.63094907408</v>
      </c>
      <c r="C181" s="1" t="n">
        <v>46040</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30912-2023</t>
        </is>
      </c>
      <c r="B182" s="1" t="n">
        <v>45113.41633101852</v>
      </c>
      <c r="C182" s="1" t="n">
        <v>46040</v>
      </c>
      <c r="D182" t="inlineStr">
        <is>
          <t>KALMAR LÄN</t>
        </is>
      </c>
      <c r="E182" t="inlineStr">
        <is>
          <t>VIMMERBY</t>
        </is>
      </c>
      <c r="G182" t="n">
        <v>5</v>
      </c>
      <c r="H182" t="n">
        <v>0</v>
      </c>
      <c r="I182" t="n">
        <v>0</v>
      </c>
      <c r="J182" t="n">
        <v>0</v>
      </c>
      <c r="K182" t="n">
        <v>0</v>
      </c>
      <c r="L182" t="n">
        <v>0</v>
      </c>
      <c r="M182" t="n">
        <v>0</v>
      </c>
      <c r="N182" t="n">
        <v>0</v>
      </c>
      <c r="O182" t="n">
        <v>0</v>
      </c>
      <c r="P182" t="n">
        <v>0</v>
      </c>
      <c r="Q182" t="n">
        <v>0</v>
      </c>
      <c r="R182" s="2" t="inlineStr"/>
    </row>
    <row r="183" ht="15" customHeight="1">
      <c r="A183" t="inlineStr">
        <is>
          <t>A 36299-2025</t>
        </is>
      </c>
      <c r="B183" s="1" t="n">
        <v>45867.69346064814</v>
      </c>
      <c r="C183" s="1" t="n">
        <v>46040</v>
      </c>
      <c r="D183" t="inlineStr">
        <is>
          <t>KALMAR LÄN</t>
        </is>
      </c>
      <c r="E183" t="inlineStr">
        <is>
          <t>VIMMERBY</t>
        </is>
      </c>
      <c r="G183" t="n">
        <v>7.6</v>
      </c>
      <c r="H183" t="n">
        <v>0</v>
      </c>
      <c r="I183" t="n">
        <v>0</v>
      </c>
      <c r="J183" t="n">
        <v>0</v>
      </c>
      <c r="K183" t="n">
        <v>0</v>
      </c>
      <c r="L183" t="n">
        <v>0</v>
      </c>
      <c r="M183" t="n">
        <v>0</v>
      </c>
      <c r="N183" t="n">
        <v>0</v>
      </c>
      <c r="O183" t="n">
        <v>0</v>
      </c>
      <c r="P183" t="n">
        <v>0</v>
      </c>
      <c r="Q183" t="n">
        <v>0</v>
      </c>
      <c r="R183" s="2" t="inlineStr"/>
    </row>
    <row r="184" ht="15" customHeight="1">
      <c r="A184" t="inlineStr">
        <is>
          <t>A 55436-2023</t>
        </is>
      </c>
      <c r="B184" s="1" t="n">
        <v>45238.4328587963</v>
      </c>
      <c r="C184" s="1" t="n">
        <v>46040</v>
      </c>
      <c r="D184" t="inlineStr">
        <is>
          <t>KALMAR LÄN</t>
        </is>
      </c>
      <c r="E184" t="inlineStr">
        <is>
          <t>VIMMERBY</t>
        </is>
      </c>
      <c r="G184" t="n">
        <v>5.6</v>
      </c>
      <c r="H184" t="n">
        <v>0</v>
      </c>
      <c r="I184" t="n">
        <v>0</v>
      </c>
      <c r="J184" t="n">
        <v>0</v>
      </c>
      <c r="K184" t="n">
        <v>0</v>
      </c>
      <c r="L184" t="n">
        <v>0</v>
      </c>
      <c r="M184" t="n">
        <v>0</v>
      </c>
      <c r="N184" t="n">
        <v>0</v>
      </c>
      <c r="O184" t="n">
        <v>0</v>
      </c>
      <c r="P184" t="n">
        <v>0</v>
      </c>
      <c r="Q184" t="n">
        <v>0</v>
      </c>
      <c r="R184" s="2" t="inlineStr"/>
    </row>
    <row r="185" ht="15" customHeight="1">
      <c r="A185" t="inlineStr">
        <is>
          <t>A 36221-2025</t>
        </is>
      </c>
      <c r="B185" s="1" t="n">
        <v>45867.50792824074</v>
      </c>
      <c r="C185" s="1" t="n">
        <v>46040</v>
      </c>
      <c r="D185" t="inlineStr">
        <is>
          <t>KALMAR LÄN</t>
        </is>
      </c>
      <c r="E185" t="inlineStr">
        <is>
          <t>VIMMERBY</t>
        </is>
      </c>
      <c r="G185" t="n">
        <v>2.5</v>
      </c>
      <c r="H185" t="n">
        <v>0</v>
      </c>
      <c r="I185" t="n">
        <v>0</v>
      </c>
      <c r="J185" t="n">
        <v>0</v>
      </c>
      <c r="K185" t="n">
        <v>0</v>
      </c>
      <c r="L185" t="n">
        <v>0</v>
      </c>
      <c r="M185" t="n">
        <v>0</v>
      </c>
      <c r="N185" t="n">
        <v>0</v>
      </c>
      <c r="O185" t="n">
        <v>0</v>
      </c>
      <c r="P185" t="n">
        <v>0</v>
      </c>
      <c r="Q185" t="n">
        <v>0</v>
      </c>
      <c r="R185" s="2" t="inlineStr"/>
    </row>
    <row r="186" ht="15" customHeight="1">
      <c r="A186" t="inlineStr">
        <is>
          <t>A 36226-2025</t>
        </is>
      </c>
      <c r="B186" s="1" t="n">
        <v>45867.51630787037</v>
      </c>
      <c r="C186" s="1" t="n">
        <v>46040</v>
      </c>
      <c r="D186" t="inlineStr">
        <is>
          <t>KALMAR LÄN</t>
        </is>
      </c>
      <c r="E186" t="inlineStr">
        <is>
          <t>VIMMERBY</t>
        </is>
      </c>
      <c r="G186" t="n">
        <v>3.1</v>
      </c>
      <c r="H186" t="n">
        <v>0</v>
      </c>
      <c r="I186" t="n">
        <v>0</v>
      </c>
      <c r="J186" t="n">
        <v>0</v>
      </c>
      <c r="K186" t="n">
        <v>0</v>
      </c>
      <c r="L186" t="n">
        <v>0</v>
      </c>
      <c r="M186" t="n">
        <v>0</v>
      </c>
      <c r="N186" t="n">
        <v>0</v>
      </c>
      <c r="O186" t="n">
        <v>0</v>
      </c>
      <c r="P186" t="n">
        <v>0</v>
      </c>
      <c r="Q186" t="n">
        <v>0</v>
      </c>
      <c r="R186" s="2" t="inlineStr"/>
    </row>
    <row r="187" ht="15" customHeight="1">
      <c r="A187" t="inlineStr">
        <is>
          <t>A 36297-2025</t>
        </is>
      </c>
      <c r="B187" s="1" t="n">
        <v>45867.68625</v>
      </c>
      <c r="C187" s="1" t="n">
        <v>46040</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36246-2025</t>
        </is>
      </c>
      <c r="B188" s="1" t="n">
        <v>45867.56320601852</v>
      </c>
      <c r="C188" s="1" t="n">
        <v>46040</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36282-2025</t>
        </is>
      </c>
      <c r="B189" s="1" t="n">
        <v>45867.64663194444</v>
      </c>
      <c r="C189" s="1" t="n">
        <v>46040</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36538-2025</t>
        </is>
      </c>
      <c r="B190" s="1" t="n">
        <v>45869.62276620371</v>
      </c>
      <c r="C190" s="1" t="n">
        <v>46040</v>
      </c>
      <c r="D190" t="inlineStr">
        <is>
          <t>KALMAR LÄN</t>
        </is>
      </c>
      <c r="E190" t="inlineStr">
        <is>
          <t>VIMMERBY</t>
        </is>
      </c>
      <c r="G190" t="n">
        <v>2.6</v>
      </c>
      <c r="H190" t="n">
        <v>0</v>
      </c>
      <c r="I190" t="n">
        <v>0</v>
      </c>
      <c r="J190" t="n">
        <v>0</v>
      </c>
      <c r="K190" t="n">
        <v>0</v>
      </c>
      <c r="L190" t="n">
        <v>0</v>
      </c>
      <c r="M190" t="n">
        <v>0</v>
      </c>
      <c r="N190" t="n">
        <v>0</v>
      </c>
      <c r="O190" t="n">
        <v>0</v>
      </c>
      <c r="P190" t="n">
        <v>0</v>
      </c>
      <c r="Q190" t="n">
        <v>0</v>
      </c>
      <c r="R190" s="2" t="inlineStr"/>
    </row>
    <row r="191" ht="15" customHeight="1">
      <c r="A191" t="inlineStr">
        <is>
          <t>A 42850-2022</t>
        </is>
      </c>
      <c r="B191" s="1" t="n">
        <v>44832.67608796297</v>
      </c>
      <c r="C191" s="1" t="n">
        <v>46040</v>
      </c>
      <c r="D191" t="inlineStr">
        <is>
          <t>KALMAR LÄN</t>
        </is>
      </c>
      <c r="E191" t="inlineStr">
        <is>
          <t>VIMMERBY</t>
        </is>
      </c>
      <c r="G191" t="n">
        <v>5.9</v>
      </c>
      <c r="H191" t="n">
        <v>0</v>
      </c>
      <c r="I191" t="n">
        <v>0</v>
      </c>
      <c r="J191" t="n">
        <v>0</v>
      </c>
      <c r="K191" t="n">
        <v>0</v>
      </c>
      <c r="L191" t="n">
        <v>0</v>
      </c>
      <c r="M191" t="n">
        <v>0</v>
      </c>
      <c r="N191" t="n">
        <v>0</v>
      </c>
      <c r="O191" t="n">
        <v>0</v>
      </c>
      <c r="P191" t="n">
        <v>0</v>
      </c>
      <c r="Q191" t="n">
        <v>0</v>
      </c>
      <c r="R191" s="2" t="inlineStr"/>
    </row>
    <row r="192" ht="15" customHeight="1">
      <c r="A192" t="inlineStr">
        <is>
          <t>A 21507-2023</t>
        </is>
      </c>
      <c r="B192" s="1" t="n">
        <v>45063.508125</v>
      </c>
      <c r="C192" s="1" t="n">
        <v>46040</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51187-2023</t>
        </is>
      </c>
      <c r="B193" s="1" t="n">
        <v>45219.40528935185</v>
      </c>
      <c r="C193" s="1" t="n">
        <v>46040</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38604-2025</t>
        </is>
      </c>
      <c r="B194" s="1" t="n">
        <v>45884.50613425926</v>
      </c>
      <c r="C194" s="1" t="n">
        <v>46040</v>
      </c>
      <c r="D194" t="inlineStr">
        <is>
          <t>KALMAR LÄN</t>
        </is>
      </c>
      <c r="E194" t="inlineStr">
        <is>
          <t>VIMMERBY</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36598-2025</t>
        </is>
      </c>
      <c r="B195" s="1" t="n">
        <v>45870.51708333333</v>
      </c>
      <c r="C195" s="1" t="n">
        <v>46040</v>
      </c>
      <c r="D195" t="inlineStr">
        <is>
          <t>KALMAR LÄN</t>
        </is>
      </c>
      <c r="E195" t="inlineStr">
        <is>
          <t>VIMMERBY</t>
        </is>
      </c>
      <c r="G195" t="n">
        <v>3.7</v>
      </c>
      <c r="H195" t="n">
        <v>0</v>
      </c>
      <c r="I195" t="n">
        <v>0</v>
      </c>
      <c r="J195" t="n">
        <v>0</v>
      </c>
      <c r="K195" t="n">
        <v>0</v>
      </c>
      <c r="L195" t="n">
        <v>0</v>
      </c>
      <c r="M195" t="n">
        <v>0</v>
      </c>
      <c r="N195" t="n">
        <v>0</v>
      </c>
      <c r="O195" t="n">
        <v>0</v>
      </c>
      <c r="P195" t="n">
        <v>0</v>
      </c>
      <c r="Q195" t="n">
        <v>0</v>
      </c>
      <c r="R195" s="2" t="inlineStr"/>
    </row>
    <row r="196" ht="15" customHeight="1">
      <c r="A196" t="inlineStr">
        <is>
          <t>A 36602-2025</t>
        </is>
      </c>
      <c r="B196" s="1" t="n">
        <v>45870.52111111111</v>
      </c>
      <c r="C196" s="1" t="n">
        <v>46040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13290-2025</t>
        </is>
      </c>
      <c r="B197" s="1" t="n">
        <v>45735.56751157407</v>
      </c>
      <c r="C197" s="1" t="n">
        <v>46040</v>
      </c>
      <c r="D197" t="inlineStr">
        <is>
          <t>KALMAR LÄN</t>
        </is>
      </c>
      <c r="E197" t="inlineStr">
        <is>
          <t>VIMMERBY</t>
        </is>
      </c>
      <c r="G197" t="n">
        <v>0.8</v>
      </c>
      <c r="H197" t="n">
        <v>0</v>
      </c>
      <c r="I197" t="n">
        <v>0</v>
      </c>
      <c r="J197" t="n">
        <v>0</v>
      </c>
      <c r="K197" t="n">
        <v>0</v>
      </c>
      <c r="L197" t="n">
        <v>0</v>
      </c>
      <c r="M197" t="n">
        <v>0</v>
      </c>
      <c r="N197" t="n">
        <v>0</v>
      </c>
      <c r="O197" t="n">
        <v>0</v>
      </c>
      <c r="P197" t="n">
        <v>0</v>
      </c>
      <c r="Q197" t="n">
        <v>0</v>
      </c>
      <c r="R197" s="2" t="inlineStr"/>
    </row>
    <row r="198" ht="15" customHeight="1">
      <c r="A198" t="inlineStr">
        <is>
          <t>A 45560-2021</t>
        </is>
      </c>
      <c r="B198" s="1" t="n">
        <v>44440</v>
      </c>
      <c r="C198" s="1" t="n">
        <v>46040</v>
      </c>
      <c r="D198" t="inlineStr">
        <is>
          <t>KALMAR LÄN</t>
        </is>
      </c>
      <c r="E198" t="inlineStr">
        <is>
          <t>VIMMERBY</t>
        </is>
      </c>
      <c r="G198" t="n">
        <v>1.3</v>
      </c>
      <c r="H198" t="n">
        <v>0</v>
      </c>
      <c r="I198" t="n">
        <v>0</v>
      </c>
      <c r="J198" t="n">
        <v>0</v>
      </c>
      <c r="K198" t="n">
        <v>0</v>
      </c>
      <c r="L198" t="n">
        <v>0</v>
      </c>
      <c r="M198" t="n">
        <v>0</v>
      </c>
      <c r="N198" t="n">
        <v>0</v>
      </c>
      <c r="O198" t="n">
        <v>0</v>
      </c>
      <c r="P198" t="n">
        <v>0</v>
      </c>
      <c r="Q198" t="n">
        <v>0</v>
      </c>
      <c r="R198" s="2" t="inlineStr"/>
    </row>
    <row r="199" ht="15" customHeight="1">
      <c r="A199" t="inlineStr">
        <is>
          <t>A 36600-2025</t>
        </is>
      </c>
      <c r="B199" s="1" t="n">
        <v>45870.51958333333</v>
      </c>
      <c r="C199" s="1" t="n">
        <v>46040</v>
      </c>
      <c r="D199" t="inlineStr">
        <is>
          <t>KALMAR LÄN</t>
        </is>
      </c>
      <c r="E199" t="inlineStr">
        <is>
          <t>VIMMERBY</t>
        </is>
      </c>
      <c r="G199" t="n">
        <v>2</v>
      </c>
      <c r="H199" t="n">
        <v>0</v>
      </c>
      <c r="I199" t="n">
        <v>0</v>
      </c>
      <c r="J199" t="n">
        <v>0</v>
      </c>
      <c r="K199" t="n">
        <v>0</v>
      </c>
      <c r="L199" t="n">
        <v>0</v>
      </c>
      <c r="M199" t="n">
        <v>0</v>
      </c>
      <c r="N199" t="n">
        <v>0</v>
      </c>
      <c r="O199" t="n">
        <v>0</v>
      </c>
      <c r="P199" t="n">
        <v>0</v>
      </c>
      <c r="Q199" t="n">
        <v>0</v>
      </c>
      <c r="R199" s="2" t="inlineStr"/>
    </row>
    <row r="200" ht="15" customHeight="1">
      <c r="A200" t="inlineStr">
        <is>
          <t>A 36601-2025</t>
        </is>
      </c>
      <c r="B200" s="1" t="n">
        <v>45870.52005787037</v>
      </c>
      <c r="C200" s="1" t="n">
        <v>46040</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36603-2025</t>
        </is>
      </c>
      <c r="B201" s="1" t="n">
        <v>45870.52142361111</v>
      </c>
      <c r="C201" s="1" t="n">
        <v>46040</v>
      </c>
      <c r="D201" t="inlineStr">
        <is>
          <t>KALMAR LÄN</t>
        </is>
      </c>
      <c r="E201" t="inlineStr">
        <is>
          <t>VIMMERBY</t>
        </is>
      </c>
      <c r="G201" t="n">
        <v>1.6</v>
      </c>
      <c r="H201" t="n">
        <v>0</v>
      </c>
      <c r="I201" t="n">
        <v>0</v>
      </c>
      <c r="J201" t="n">
        <v>0</v>
      </c>
      <c r="K201" t="n">
        <v>0</v>
      </c>
      <c r="L201" t="n">
        <v>0</v>
      </c>
      <c r="M201" t="n">
        <v>0</v>
      </c>
      <c r="N201" t="n">
        <v>0</v>
      </c>
      <c r="O201" t="n">
        <v>0</v>
      </c>
      <c r="P201" t="n">
        <v>0</v>
      </c>
      <c r="Q201" t="n">
        <v>0</v>
      </c>
      <c r="R201" s="2" t="inlineStr"/>
    </row>
    <row r="202" ht="15" customHeight="1">
      <c r="A202" t="inlineStr">
        <is>
          <t>A 10086-2022</t>
        </is>
      </c>
      <c r="B202" s="1" t="n">
        <v>44621</v>
      </c>
      <c r="C202" s="1" t="n">
        <v>46040</v>
      </c>
      <c r="D202" t="inlineStr">
        <is>
          <t>KALMAR LÄN</t>
        </is>
      </c>
      <c r="E202" t="inlineStr">
        <is>
          <t>VIMMERBY</t>
        </is>
      </c>
      <c r="G202" t="n">
        <v>1.2</v>
      </c>
      <c r="H202" t="n">
        <v>0</v>
      </c>
      <c r="I202" t="n">
        <v>0</v>
      </c>
      <c r="J202" t="n">
        <v>0</v>
      </c>
      <c r="K202" t="n">
        <v>0</v>
      </c>
      <c r="L202" t="n">
        <v>0</v>
      </c>
      <c r="M202" t="n">
        <v>0</v>
      </c>
      <c r="N202" t="n">
        <v>0</v>
      </c>
      <c r="O202" t="n">
        <v>0</v>
      </c>
      <c r="P202" t="n">
        <v>0</v>
      </c>
      <c r="Q202" t="n">
        <v>0</v>
      </c>
      <c r="R202" s="2" t="inlineStr"/>
    </row>
    <row r="203" ht="15" customHeight="1">
      <c r="A203" t="inlineStr">
        <is>
          <t>A 16622-2025</t>
        </is>
      </c>
      <c r="B203" s="1" t="n">
        <v>45754.33641203704</v>
      </c>
      <c r="C203" s="1" t="n">
        <v>46040</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53145-2022</t>
        </is>
      </c>
      <c r="B204" s="1" t="n">
        <v>44876.48346064815</v>
      </c>
      <c r="C204" s="1" t="n">
        <v>46040</v>
      </c>
      <c r="D204" t="inlineStr">
        <is>
          <t>KALMAR LÄN</t>
        </is>
      </c>
      <c r="E204" t="inlineStr">
        <is>
          <t>VIMMERBY</t>
        </is>
      </c>
      <c r="G204" t="n">
        <v>0.4</v>
      </c>
      <c r="H204" t="n">
        <v>0</v>
      </c>
      <c r="I204" t="n">
        <v>0</v>
      </c>
      <c r="J204" t="n">
        <v>0</v>
      </c>
      <c r="K204" t="n">
        <v>0</v>
      </c>
      <c r="L204" t="n">
        <v>0</v>
      </c>
      <c r="M204" t="n">
        <v>0</v>
      </c>
      <c r="N204" t="n">
        <v>0</v>
      </c>
      <c r="O204" t="n">
        <v>0</v>
      </c>
      <c r="P204" t="n">
        <v>0</v>
      </c>
      <c r="Q204" t="n">
        <v>0</v>
      </c>
      <c r="R204" s="2" t="inlineStr"/>
    </row>
    <row r="205" ht="15" customHeight="1">
      <c r="A205" t="inlineStr">
        <is>
          <t>A 25738-2022</t>
        </is>
      </c>
      <c r="B205" s="1" t="n">
        <v>44733.43092592592</v>
      </c>
      <c r="C205" s="1" t="n">
        <v>46040</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8194-2022</t>
        </is>
      </c>
      <c r="B206" s="1" t="n">
        <v>44609</v>
      </c>
      <c r="C206" s="1" t="n">
        <v>46040</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15191-2021</t>
        </is>
      </c>
      <c r="B207" s="1" t="n">
        <v>44284.42348379629</v>
      </c>
      <c r="C207" s="1" t="n">
        <v>46040</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40971-2021</t>
        </is>
      </c>
      <c r="B208" s="1" t="n">
        <v>44421</v>
      </c>
      <c r="C208" s="1" t="n">
        <v>46040</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31340-2023</t>
        </is>
      </c>
      <c r="B209" s="1" t="n">
        <v>45114.47895833333</v>
      </c>
      <c r="C209" s="1" t="n">
        <v>46040</v>
      </c>
      <c r="D209" t="inlineStr">
        <is>
          <t>KALMAR LÄN</t>
        </is>
      </c>
      <c r="E209" t="inlineStr">
        <is>
          <t>VIMMERBY</t>
        </is>
      </c>
      <c r="G209" t="n">
        <v>1.8</v>
      </c>
      <c r="H209" t="n">
        <v>0</v>
      </c>
      <c r="I209" t="n">
        <v>0</v>
      </c>
      <c r="J209" t="n">
        <v>0</v>
      </c>
      <c r="K209" t="n">
        <v>0</v>
      </c>
      <c r="L209" t="n">
        <v>0</v>
      </c>
      <c r="M209" t="n">
        <v>0</v>
      </c>
      <c r="N209" t="n">
        <v>0</v>
      </c>
      <c r="O209" t="n">
        <v>0</v>
      </c>
      <c r="P209" t="n">
        <v>0</v>
      </c>
      <c r="Q209" t="n">
        <v>0</v>
      </c>
      <c r="R209" s="2" t="inlineStr"/>
    </row>
    <row r="210" ht="15" customHeight="1">
      <c r="A210" t="inlineStr">
        <is>
          <t>A 29168-2024</t>
        </is>
      </c>
      <c r="B210" s="1" t="n">
        <v>45482.49870370371</v>
      </c>
      <c r="C210" s="1" t="n">
        <v>46040</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29186-2024</t>
        </is>
      </c>
      <c r="B211" s="1" t="n">
        <v>45482.54844907407</v>
      </c>
      <c r="C211" s="1" t="n">
        <v>46040</v>
      </c>
      <c r="D211" t="inlineStr">
        <is>
          <t>KALMAR LÄN</t>
        </is>
      </c>
      <c r="E211" t="inlineStr">
        <is>
          <t>VIMMERBY</t>
        </is>
      </c>
      <c r="G211" t="n">
        <v>2.6</v>
      </c>
      <c r="H211" t="n">
        <v>0</v>
      </c>
      <c r="I211" t="n">
        <v>0</v>
      </c>
      <c r="J211" t="n">
        <v>0</v>
      </c>
      <c r="K211" t="n">
        <v>0</v>
      </c>
      <c r="L211" t="n">
        <v>0</v>
      </c>
      <c r="M211" t="n">
        <v>0</v>
      </c>
      <c r="N211" t="n">
        <v>0</v>
      </c>
      <c r="O211" t="n">
        <v>0</v>
      </c>
      <c r="P211" t="n">
        <v>0</v>
      </c>
      <c r="Q211" t="n">
        <v>0</v>
      </c>
      <c r="R211" s="2" t="inlineStr"/>
    </row>
    <row r="212" ht="15" customHeight="1">
      <c r="A212" t="inlineStr">
        <is>
          <t>A 35895-2024</t>
        </is>
      </c>
      <c r="B212" s="1" t="n">
        <v>45533.38870370371</v>
      </c>
      <c r="C212" s="1" t="n">
        <v>46040</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12590-2025</t>
        </is>
      </c>
      <c r="B213" s="1" t="n">
        <v>45732.79925925926</v>
      </c>
      <c r="C213" s="1" t="n">
        <v>46040</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13457-2021</t>
        </is>
      </c>
      <c r="B214" s="1" t="n">
        <v>44273</v>
      </c>
      <c r="C214" s="1" t="n">
        <v>46040</v>
      </c>
      <c r="D214" t="inlineStr">
        <is>
          <t>KALMAR LÄN</t>
        </is>
      </c>
      <c r="E214" t="inlineStr">
        <is>
          <t>VIMMERBY</t>
        </is>
      </c>
      <c r="G214" t="n">
        <v>1.4</v>
      </c>
      <c r="H214" t="n">
        <v>0</v>
      </c>
      <c r="I214" t="n">
        <v>0</v>
      </c>
      <c r="J214" t="n">
        <v>0</v>
      </c>
      <c r="K214" t="n">
        <v>0</v>
      </c>
      <c r="L214" t="n">
        <v>0</v>
      </c>
      <c r="M214" t="n">
        <v>0</v>
      </c>
      <c r="N214" t="n">
        <v>0</v>
      </c>
      <c r="O214" t="n">
        <v>0</v>
      </c>
      <c r="P214" t="n">
        <v>0</v>
      </c>
      <c r="Q214" t="n">
        <v>0</v>
      </c>
      <c r="R214" s="2" t="inlineStr"/>
    </row>
    <row r="215" ht="15" customHeight="1">
      <c r="A215" t="inlineStr">
        <is>
          <t>A 36934-2025</t>
        </is>
      </c>
      <c r="B215" s="1" t="n">
        <v>45874.57109953704</v>
      </c>
      <c r="C215" s="1" t="n">
        <v>46040</v>
      </c>
      <c r="D215" t="inlineStr">
        <is>
          <t>KALMAR LÄN</t>
        </is>
      </c>
      <c r="E215" t="inlineStr">
        <is>
          <t>VIMMERBY</t>
        </is>
      </c>
      <c r="G215" t="n">
        <v>4.2</v>
      </c>
      <c r="H215" t="n">
        <v>0</v>
      </c>
      <c r="I215" t="n">
        <v>0</v>
      </c>
      <c r="J215" t="n">
        <v>0</v>
      </c>
      <c r="K215" t="n">
        <v>0</v>
      </c>
      <c r="L215" t="n">
        <v>0</v>
      </c>
      <c r="M215" t="n">
        <v>0</v>
      </c>
      <c r="N215" t="n">
        <v>0</v>
      </c>
      <c r="O215" t="n">
        <v>0</v>
      </c>
      <c r="P215" t="n">
        <v>0</v>
      </c>
      <c r="Q215" t="n">
        <v>0</v>
      </c>
      <c r="R215" s="2" t="inlineStr"/>
    </row>
    <row r="216" ht="15" customHeight="1">
      <c r="A216" t="inlineStr">
        <is>
          <t>A 30318-2023</t>
        </is>
      </c>
      <c r="B216" s="1" t="n">
        <v>45111.30824074074</v>
      </c>
      <c r="C216" s="1" t="n">
        <v>46040</v>
      </c>
      <c r="D216" t="inlineStr">
        <is>
          <t>KALMAR LÄN</t>
        </is>
      </c>
      <c r="E216" t="inlineStr">
        <is>
          <t>VIMMERBY</t>
        </is>
      </c>
      <c r="G216" t="n">
        <v>2.6</v>
      </c>
      <c r="H216" t="n">
        <v>0</v>
      </c>
      <c r="I216" t="n">
        <v>0</v>
      </c>
      <c r="J216" t="n">
        <v>0</v>
      </c>
      <c r="K216" t="n">
        <v>0</v>
      </c>
      <c r="L216" t="n">
        <v>0</v>
      </c>
      <c r="M216" t="n">
        <v>0</v>
      </c>
      <c r="N216" t="n">
        <v>0</v>
      </c>
      <c r="O216" t="n">
        <v>0</v>
      </c>
      <c r="P216" t="n">
        <v>0</v>
      </c>
      <c r="Q216" t="n">
        <v>0</v>
      </c>
      <c r="R216" s="2" t="inlineStr"/>
    </row>
    <row r="217" ht="15" customHeight="1">
      <c r="A217" t="inlineStr">
        <is>
          <t>A 14278-2021</t>
        </is>
      </c>
      <c r="B217" s="1" t="n">
        <v>44278.63479166666</v>
      </c>
      <c r="C217" s="1" t="n">
        <v>46040</v>
      </c>
      <c r="D217" t="inlineStr">
        <is>
          <t>KALMAR LÄN</t>
        </is>
      </c>
      <c r="E217" t="inlineStr">
        <is>
          <t>VIMMERBY</t>
        </is>
      </c>
      <c r="F217" t="inlineStr">
        <is>
          <t>Övriga statliga verk och myndigheter</t>
        </is>
      </c>
      <c r="G217" t="n">
        <v>0.8</v>
      </c>
      <c r="H217" t="n">
        <v>0</v>
      </c>
      <c r="I217" t="n">
        <v>0</v>
      </c>
      <c r="J217" t="n">
        <v>0</v>
      </c>
      <c r="K217" t="n">
        <v>0</v>
      </c>
      <c r="L217" t="n">
        <v>0</v>
      </c>
      <c r="M217" t="n">
        <v>0</v>
      </c>
      <c r="N217" t="n">
        <v>0</v>
      </c>
      <c r="O217" t="n">
        <v>0</v>
      </c>
      <c r="P217" t="n">
        <v>0</v>
      </c>
      <c r="Q217" t="n">
        <v>0</v>
      </c>
      <c r="R217" s="2" t="inlineStr"/>
    </row>
    <row r="218" ht="15" customHeight="1">
      <c r="A218" t="inlineStr">
        <is>
          <t>A 37088-2025</t>
        </is>
      </c>
      <c r="B218" s="1" t="n">
        <v>45875.45716435185</v>
      </c>
      <c r="C218" s="1" t="n">
        <v>46040</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37102-2025</t>
        </is>
      </c>
      <c r="B219" s="1" t="n">
        <v>45875.47454861111</v>
      </c>
      <c r="C219" s="1" t="n">
        <v>46040</v>
      </c>
      <c r="D219" t="inlineStr">
        <is>
          <t>KALMAR LÄN</t>
        </is>
      </c>
      <c r="E219" t="inlineStr">
        <is>
          <t>VIMMERBY</t>
        </is>
      </c>
      <c r="G219" t="n">
        <v>1.3</v>
      </c>
      <c r="H219" t="n">
        <v>0</v>
      </c>
      <c r="I219" t="n">
        <v>0</v>
      </c>
      <c r="J219" t="n">
        <v>0</v>
      </c>
      <c r="K219" t="n">
        <v>0</v>
      </c>
      <c r="L219" t="n">
        <v>0</v>
      </c>
      <c r="M219" t="n">
        <v>0</v>
      </c>
      <c r="N219" t="n">
        <v>0</v>
      </c>
      <c r="O219" t="n">
        <v>0</v>
      </c>
      <c r="P219" t="n">
        <v>0</v>
      </c>
      <c r="Q219" t="n">
        <v>0</v>
      </c>
      <c r="R219" s="2" t="inlineStr"/>
    </row>
    <row r="220" ht="15" customHeight="1">
      <c r="A220" t="inlineStr">
        <is>
          <t>A 43186-2021</t>
        </is>
      </c>
      <c r="B220" s="1" t="n">
        <v>44431.84840277778</v>
      </c>
      <c r="C220" s="1" t="n">
        <v>46040</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60215-2022</t>
        </is>
      </c>
      <c r="B221" s="1" t="n">
        <v>44910.41346064815</v>
      </c>
      <c r="C221" s="1" t="n">
        <v>46040</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60230-2022</t>
        </is>
      </c>
      <c r="B222" s="1" t="n">
        <v>44910</v>
      </c>
      <c r="C222" s="1" t="n">
        <v>46040</v>
      </c>
      <c r="D222" t="inlineStr">
        <is>
          <t>KALMAR LÄN</t>
        </is>
      </c>
      <c r="E222" t="inlineStr">
        <is>
          <t>VIMMERBY</t>
        </is>
      </c>
      <c r="G222" t="n">
        <v>11.3</v>
      </c>
      <c r="H222" t="n">
        <v>0</v>
      </c>
      <c r="I222" t="n">
        <v>0</v>
      </c>
      <c r="J222" t="n">
        <v>0</v>
      </c>
      <c r="K222" t="n">
        <v>0</v>
      </c>
      <c r="L222" t="n">
        <v>0</v>
      </c>
      <c r="M222" t="n">
        <v>0</v>
      </c>
      <c r="N222" t="n">
        <v>0</v>
      </c>
      <c r="O222" t="n">
        <v>0</v>
      </c>
      <c r="P222" t="n">
        <v>0</v>
      </c>
      <c r="Q222" t="n">
        <v>0</v>
      </c>
      <c r="R222" s="2" t="inlineStr"/>
    </row>
    <row r="223" ht="15" customHeight="1">
      <c r="A223" t="inlineStr">
        <is>
          <t>A 5925-2022</t>
        </is>
      </c>
      <c r="B223" s="1" t="n">
        <v>44598.7384837963</v>
      </c>
      <c r="C223" s="1" t="n">
        <v>46040</v>
      </c>
      <c r="D223" t="inlineStr">
        <is>
          <t>KALMAR LÄN</t>
        </is>
      </c>
      <c r="E223" t="inlineStr">
        <is>
          <t>VIMMERBY</t>
        </is>
      </c>
      <c r="G223" t="n">
        <v>2.1</v>
      </c>
      <c r="H223" t="n">
        <v>0</v>
      </c>
      <c r="I223" t="n">
        <v>0</v>
      </c>
      <c r="J223" t="n">
        <v>0</v>
      </c>
      <c r="K223" t="n">
        <v>0</v>
      </c>
      <c r="L223" t="n">
        <v>0</v>
      </c>
      <c r="M223" t="n">
        <v>0</v>
      </c>
      <c r="N223" t="n">
        <v>0</v>
      </c>
      <c r="O223" t="n">
        <v>0</v>
      </c>
      <c r="P223" t="n">
        <v>0</v>
      </c>
      <c r="Q223" t="n">
        <v>0</v>
      </c>
      <c r="R223" s="2" t="inlineStr"/>
    </row>
    <row r="224" ht="15" customHeight="1">
      <c r="A224" t="inlineStr">
        <is>
          <t>A 845-2023</t>
        </is>
      </c>
      <c r="B224" s="1" t="n">
        <v>44931</v>
      </c>
      <c r="C224" s="1" t="n">
        <v>46040</v>
      </c>
      <c r="D224" t="inlineStr">
        <is>
          <t>KALMAR LÄN</t>
        </is>
      </c>
      <c r="E224" t="inlineStr">
        <is>
          <t>VIMMERBY</t>
        </is>
      </c>
      <c r="F224" t="inlineStr">
        <is>
          <t>Övriga Aktiebolag</t>
        </is>
      </c>
      <c r="G224" t="n">
        <v>19</v>
      </c>
      <c r="H224" t="n">
        <v>0</v>
      </c>
      <c r="I224" t="n">
        <v>0</v>
      </c>
      <c r="J224" t="n">
        <v>0</v>
      </c>
      <c r="K224" t="n">
        <v>0</v>
      </c>
      <c r="L224" t="n">
        <v>0</v>
      </c>
      <c r="M224" t="n">
        <v>0</v>
      </c>
      <c r="N224" t="n">
        <v>0</v>
      </c>
      <c r="O224" t="n">
        <v>0</v>
      </c>
      <c r="P224" t="n">
        <v>0</v>
      </c>
      <c r="Q224" t="n">
        <v>0</v>
      </c>
      <c r="R224" s="2" t="inlineStr"/>
    </row>
    <row r="225" ht="15" customHeight="1">
      <c r="A225" t="inlineStr">
        <is>
          <t>A 8453-2022</t>
        </is>
      </c>
      <c r="B225" s="1" t="n">
        <v>44612.86554398148</v>
      </c>
      <c r="C225" s="1" t="n">
        <v>46040</v>
      </c>
      <c r="D225" t="inlineStr">
        <is>
          <t>KALMAR LÄN</t>
        </is>
      </c>
      <c r="E225" t="inlineStr">
        <is>
          <t>VIMMERBY</t>
        </is>
      </c>
      <c r="G225" t="n">
        <v>1.7</v>
      </c>
      <c r="H225" t="n">
        <v>0</v>
      </c>
      <c r="I225" t="n">
        <v>0</v>
      </c>
      <c r="J225" t="n">
        <v>0</v>
      </c>
      <c r="K225" t="n">
        <v>0</v>
      </c>
      <c r="L225" t="n">
        <v>0</v>
      </c>
      <c r="M225" t="n">
        <v>0</v>
      </c>
      <c r="N225" t="n">
        <v>0</v>
      </c>
      <c r="O225" t="n">
        <v>0</v>
      </c>
      <c r="P225" t="n">
        <v>0</v>
      </c>
      <c r="Q225" t="n">
        <v>0</v>
      </c>
      <c r="R225" s="2" t="inlineStr"/>
    </row>
    <row r="226" ht="15" customHeight="1">
      <c r="A226" t="inlineStr">
        <is>
          <t>A 37079-2025</t>
        </is>
      </c>
      <c r="B226" s="1" t="n">
        <v>45875.42716435185</v>
      </c>
      <c r="C226" s="1" t="n">
        <v>46040</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52433-2021</t>
        </is>
      </c>
      <c r="B227" s="1" t="n">
        <v>44466.34726851852</v>
      </c>
      <c r="C227" s="1" t="n">
        <v>46040</v>
      </c>
      <c r="D227" t="inlineStr">
        <is>
          <t>KALMAR LÄN</t>
        </is>
      </c>
      <c r="E227" t="inlineStr">
        <is>
          <t>VIMMERBY</t>
        </is>
      </c>
      <c r="G227" t="n">
        <v>3.5</v>
      </c>
      <c r="H227" t="n">
        <v>0</v>
      </c>
      <c r="I227" t="n">
        <v>0</v>
      </c>
      <c r="J227" t="n">
        <v>0</v>
      </c>
      <c r="K227" t="n">
        <v>0</v>
      </c>
      <c r="L227" t="n">
        <v>0</v>
      </c>
      <c r="M227" t="n">
        <v>0</v>
      </c>
      <c r="N227" t="n">
        <v>0</v>
      </c>
      <c r="O227" t="n">
        <v>0</v>
      </c>
      <c r="P227" t="n">
        <v>0</v>
      </c>
      <c r="Q227" t="n">
        <v>0</v>
      </c>
      <c r="R227" s="2" t="inlineStr"/>
    </row>
    <row r="228" ht="15" customHeight="1">
      <c r="A228" t="inlineStr">
        <is>
          <t>A 50621-2022</t>
        </is>
      </c>
      <c r="B228" s="1" t="n">
        <v>44866.81100694444</v>
      </c>
      <c r="C228" s="1" t="n">
        <v>46040</v>
      </c>
      <c r="D228" t="inlineStr">
        <is>
          <t>KALMAR LÄN</t>
        </is>
      </c>
      <c r="E228" t="inlineStr">
        <is>
          <t>VIMMERBY</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54065-2021</t>
        </is>
      </c>
      <c r="B229" s="1" t="n">
        <v>44470.44232638889</v>
      </c>
      <c r="C229" s="1" t="n">
        <v>46040</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37668-2025</t>
        </is>
      </c>
      <c r="B230" s="1" t="n">
        <v>45880.51550925926</v>
      </c>
      <c r="C230" s="1" t="n">
        <v>46040</v>
      </c>
      <c r="D230" t="inlineStr">
        <is>
          <t>KALMAR LÄN</t>
        </is>
      </c>
      <c r="E230" t="inlineStr">
        <is>
          <t>VIMMERBY</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16119-2023</t>
        </is>
      </c>
      <c r="B231" s="1" t="n">
        <v>45027.59450231482</v>
      </c>
      <c r="C231" s="1" t="n">
        <v>46040</v>
      </c>
      <c r="D231" t="inlineStr">
        <is>
          <t>KALMAR LÄN</t>
        </is>
      </c>
      <c r="E231" t="inlineStr">
        <is>
          <t>VIMMERBY</t>
        </is>
      </c>
      <c r="F231" t="inlineStr">
        <is>
          <t>Kommuner</t>
        </is>
      </c>
      <c r="G231" t="n">
        <v>4.4</v>
      </c>
      <c r="H231" t="n">
        <v>0</v>
      </c>
      <c r="I231" t="n">
        <v>0</v>
      </c>
      <c r="J231" t="n">
        <v>0</v>
      </c>
      <c r="K231" t="n">
        <v>0</v>
      </c>
      <c r="L231" t="n">
        <v>0</v>
      </c>
      <c r="M231" t="n">
        <v>0</v>
      </c>
      <c r="N231" t="n">
        <v>0</v>
      </c>
      <c r="O231" t="n">
        <v>0</v>
      </c>
      <c r="P231" t="n">
        <v>0</v>
      </c>
      <c r="Q231" t="n">
        <v>0</v>
      </c>
      <c r="R231" s="2" t="inlineStr"/>
    </row>
    <row r="232" ht="15" customHeight="1">
      <c r="A232" t="inlineStr">
        <is>
          <t>A 37578-2025</t>
        </is>
      </c>
      <c r="B232" s="1" t="n">
        <v>45880.38380787037</v>
      </c>
      <c r="C232" s="1" t="n">
        <v>46040</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30588-2023</t>
        </is>
      </c>
      <c r="B233" s="1" t="n">
        <v>45112.33599537037</v>
      </c>
      <c r="C233" s="1" t="n">
        <v>46040</v>
      </c>
      <c r="D233" t="inlineStr">
        <is>
          <t>KALMAR LÄN</t>
        </is>
      </c>
      <c r="E233" t="inlineStr">
        <is>
          <t>VIMMERBY</t>
        </is>
      </c>
      <c r="G233" t="n">
        <v>2.7</v>
      </c>
      <c r="H233" t="n">
        <v>0</v>
      </c>
      <c r="I233" t="n">
        <v>0</v>
      </c>
      <c r="J233" t="n">
        <v>0</v>
      </c>
      <c r="K233" t="n">
        <v>0</v>
      </c>
      <c r="L233" t="n">
        <v>0</v>
      </c>
      <c r="M233" t="n">
        <v>0</v>
      </c>
      <c r="N233" t="n">
        <v>0</v>
      </c>
      <c r="O233" t="n">
        <v>0</v>
      </c>
      <c r="P233" t="n">
        <v>0</v>
      </c>
      <c r="Q233" t="n">
        <v>0</v>
      </c>
      <c r="R233" s="2" t="inlineStr"/>
    </row>
    <row r="234" ht="15" customHeight="1">
      <c r="A234" t="inlineStr">
        <is>
          <t>A 31824-2022</t>
        </is>
      </c>
      <c r="B234" s="1" t="n">
        <v>44776</v>
      </c>
      <c r="C234" s="1" t="n">
        <v>46040</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11733-2022</t>
        </is>
      </c>
      <c r="B235" s="1" t="n">
        <v>44634</v>
      </c>
      <c r="C235" s="1" t="n">
        <v>46040</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45528-2021</t>
        </is>
      </c>
      <c r="B236" s="1" t="n">
        <v>44440.60415509259</v>
      </c>
      <c r="C236" s="1" t="n">
        <v>46040</v>
      </c>
      <c r="D236" t="inlineStr">
        <is>
          <t>KALMAR LÄN</t>
        </is>
      </c>
      <c r="E236" t="inlineStr">
        <is>
          <t>VIMMERBY</t>
        </is>
      </c>
      <c r="G236" t="n">
        <v>2.2</v>
      </c>
      <c r="H236" t="n">
        <v>0</v>
      </c>
      <c r="I236" t="n">
        <v>0</v>
      </c>
      <c r="J236" t="n">
        <v>0</v>
      </c>
      <c r="K236" t="n">
        <v>0</v>
      </c>
      <c r="L236" t="n">
        <v>0</v>
      </c>
      <c r="M236" t="n">
        <v>0</v>
      </c>
      <c r="N236" t="n">
        <v>0</v>
      </c>
      <c r="O236" t="n">
        <v>0</v>
      </c>
      <c r="P236" t="n">
        <v>0</v>
      </c>
      <c r="Q236" t="n">
        <v>0</v>
      </c>
      <c r="R236" s="2" t="inlineStr"/>
    </row>
    <row r="237" ht="15" customHeight="1">
      <c r="A237" t="inlineStr">
        <is>
          <t>A 7804-2022</t>
        </is>
      </c>
      <c r="B237" s="1" t="n">
        <v>44608.50458333334</v>
      </c>
      <c r="C237" s="1" t="n">
        <v>46040</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39042-2022</t>
        </is>
      </c>
      <c r="B238" s="1" t="n">
        <v>44817</v>
      </c>
      <c r="C238" s="1" t="n">
        <v>46040</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16516-2023</t>
        </is>
      </c>
      <c r="B239" s="1" t="n">
        <v>45029</v>
      </c>
      <c r="C239" s="1" t="n">
        <v>46040</v>
      </c>
      <c r="D239" t="inlineStr">
        <is>
          <t>KALMAR LÄN</t>
        </is>
      </c>
      <c r="E239" t="inlineStr">
        <is>
          <t>VIMMERBY</t>
        </is>
      </c>
      <c r="G239" t="n">
        <v>4.3</v>
      </c>
      <c r="H239" t="n">
        <v>0</v>
      </c>
      <c r="I239" t="n">
        <v>0</v>
      </c>
      <c r="J239" t="n">
        <v>0</v>
      </c>
      <c r="K239" t="n">
        <v>0</v>
      </c>
      <c r="L239" t="n">
        <v>0</v>
      </c>
      <c r="M239" t="n">
        <v>0</v>
      </c>
      <c r="N239" t="n">
        <v>0</v>
      </c>
      <c r="O239" t="n">
        <v>0</v>
      </c>
      <c r="P239" t="n">
        <v>0</v>
      </c>
      <c r="Q239" t="n">
        <v>0</v>
      </c>
      <c r="R239" s="2" t="inlineStr"/>
    </row>
    <row r="240" ht="15" customHeight="1">
      <c r="A240" t="inlineStr">
        <is>
          <t>A 2510-2023</t>
        </is>
      </c>
      <c r="B240" s="1" t="n">
        <v>44943.57309027778</v>
      </c>
      <c r="C240" s="1" t="n">
        <v>46040</v>
      </c>
      <c r="D240" t="inlineStr">
        <is>
          <t>KALMAR LÄN</t>
        </is>
      </c>
      <c r="E240" t="inlineStr">
        <is>
          <t>VIMMERBY</t>
        </is>
      </c>
      <c r="G240" t="n">
        <v>8.6</v>
      </c>
      <c r="H240" t="n">
        <v>0</v>
      </c>
      <c r="I240" t="n">
        <v>0</v>
      </c>
      <c r="J240" t="n">
        <v>0</v>
      </c>
      <c r="K240" t="n">
        <v>0</v>
      </c>
      <c r="L240" t="n">
        <v>0</v>
      </c>
      <c r="M240" t="n">
        <v>0</v>
      </c>
      <c r="N240" t="n">
        <v>0</v>
      </c>
      <c r="O240" t="n">
        <v>0</v>
      </c>
      <c r="P240" t="n">
        <v>0</v>
      </c>
      <c r="Q240" t="n">
        <v>0</v>
      </c>
      <c r="R240" s="2" t="inlineStr"/>
    </row>
    <row r="241" ht="15" customHeight="1">
      <c r="A241" t="inlineStr">
        <is>
          <t>A 16288-2021</t>
        </is>
      </c>
      <c r="B241" s="1" t="n">
        <v>44292</v>
      </c>
      <c r="C241" s="1" t="n">
        <v>46040</v>
      </c>
      <c r="D241" t="inlineStr">
        <is>
          <t>KALMAR LÄN</t>
        </is>
      </c>
      <c r="E241" t="inlineStr">
        <is>
          <t>VIMMERBY</t>
        </is>
      </c>
      <c r="F241" t="inlineStr">
        <is>
          <t>Övriga Aktiebolag</t>
        </is>
      </c>
      <c r="G241" t="n">
        <v>27.6</v>
      </c>
      <c r="H241" t="n">
        <v>0</v>
      </c>
      <c r="I241" t="n">
        <v>0</v>
      </c>
      <c r="J241" t="n">
        <v>0</v>
      </c>
      <c r="K241" t="n">
        <v>0</v>
      </c>
      <c r="L241" t="n">
        <v>0</v>
      </c>
      <c r="M241" t="n">
        <v>0</v>
      </c>
      <c r="N241" t="n">
        <v>0</v>
      </c>
      <c r="O241" t="n">
        <v>0</v>
      </c>
      <c r="P241" t="n">
        <v>0</v>
      </c>
      <c r="Q241" t="n">
        <v>0</v>
      </c>
      <c r="R241" s="2" t="inlineStr"/>
    </row>
    <row r="242" ht="15" customHeight="1">
      <c r="A242" t="inlineStr">
        <is>
          <t>A 37866-2025</t>
        </is>
      </c>
      <c r="B242" s="1" t="n">
        <v>45881</v>
      </c>
      <c r="C242" s="1" t="n">
        <v>46040</v>
      </c>
      <c r="D242" t="inlineStr">
        <is>
          <t>KALMAR LÄN</t>
        </is>
      </c>
      <c r="E242" t="inlineStr">
        <is>
          <t>VIMMERBY</t>
        </is>
      </c>
      <c r="G242" t="n">
        <v>3.4</v>
      </c>
      <c r="H242" t="n">
        <v>0</v>
      </c>
      <c r="I242" t="n">
        <v>0</v>
      </c>
      <c r="J242" t="n">
        <v>0</v>
      </c>
      <c r="K242" t="n">
        <v>0</v>
      </c>
      <c r="L242" t="n">
        <v>0</v>
      </c>
      <c r="M242" t="n">
        <v>0</v>
      </c>
      <c r="N242" t="n">
        <v>0</v>
      </c>
      <c r="O242" t="n">
        <v>0</v>
      </c>
      <c r="P242" t="n">
        <v>0</v>
      </c>
      <c r="Q242" t="n">
        <v>0</v>
      </c>
      <c r="R242" s="2" t="inlineStr"/>
    </row>
    <row r="243" ht="15" customHeight="1">
      <c r="A243" t="inlineStr">
        <is>
          <t>A 29726-2025</t>
        </is>
      </c>
      <c r="B243" s="1" t="n">
        <v>45825.57805555555</v>
      </c>
      <c r="C243" s="1" t="n">
        <v>46040</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37939-2025</t>
        </is>
      </c>
      <c r="B244" s="1" t="n">
        <v>45881.59877314815</v>
      </c>
      <c r="C244" s="1" t="n">
        <v>46040</v>
      </c>
      <c r="D244" t="inlineStr">
        <is>
          <t>KALMAR LÄN</t>
        </is>
      </c>
      <c r="E244" t="inlineStr">
        <is>
          <t>VIMMERBY</t>
        </is>
      </c>
      <c r="G244" t="n">
        <v>1.3</v>
      </c>
      <c r="H244" t="n">
        <v>0</v>
      </c>
      <c r="I244" t="n">
        <v>0</v>
      </c>
      <c r="J244" t="n">
        <v>0</v>
      </c>
      <c r="K244" t="n">
        <v>0</v>
      </c>
      <c r="L244" t="n">
        <v>0</v>
      </c>
      <c r="M244" t="n">
        <v>0</v>
      </c>
      <c r="N244" t="n">
        <v>0</v>
      </c>
      <c r="O244" t="n">
        <v>0</v>
      </c>
      <c r="P244" t="n">
        <v>0</v>
      </c>
      <c r="Q244" t="n">
        <v>0</v>
      </c>
      <c r="R244" s="2" t="inlineStr"/>
    </row>
    <row r="245" ht="15" customHeight="1">
      <c r="A245" t="inlineStr">
        <is>
          <t>A 48373-2021</t>
        </is>
      </c>
      <c r="B245" s="1" t="n">
        <v>44451</v>
      </c>
      <c r="C245" s="1" t="n">
        <v>46040</v>
      </c>
      <c r="D245" t="inlineStr">
        <is>
          <t>KALMAR LÄN</t>
        </is>
      </c>
      <c r="E245" t="inlineStr">
        <is>
          <t>VIMMERBY</t>
        </is>
      </c>
      <c r="G245" t="n">
        <v>2.2</v>
      </c>
      <c r="H245" t="n">
        <v>0</v>
      </c>
      <c r="I245" t="n">
        <v>0</v>
      </c>
      <c r="J245" t="n">
        <v>0</v>
      </c>
      <c r="K245" t="n">
        <v>0</v>
      </c>
      <c r="L245" t="n">
        <v>0</v>
      </c>
      <c r="M245" t="n">
        <v>0</v>
      </c>
      <c r="N245" t="n">
        <v>0</v>
      </c>
      <c r="O245" t="n">
        <v>0</v>
      </c>
      <c r="P245" t="n">
        <v>0</v>
      </c>
      <c r="Q245" t="n">
        <v>0</v>
      </c>
      <c r="R245" s="2" t="inlineStr"/>
    </row>
    <row r="246" ht="15" customHeight="1">
      <c r="A246" t="inlineStr">
        <is>
          <t>A 38964-2025</t>
        </is>
      </c>
      <c r="B246" s="1" t="n">
        <v>45887.68759259259</v>
      </c>
      <c r="C246" s="1" t="n">
        <v>46040</v>
      </c>
      <c r="D246" t="inlineStr">
        <is>
          <t>KALMAR LÄN</t>
        </is>
      </c>
      <c r="E246" t="inlineStr">
        <is>
          <t>VIMMERBY</t>
        </is>
      </c>
      <c r="G246" t="n">
        <v>7.5</v>
      </c>
      <c r="H246" t="n">
        <v>0</v>
      </c>
      <c r="I246" t="n">
        <v>0</v>
      </c>
      <c r="J246" t="n">
        <v>0</v>
      </c>
      <c r="K246" t="n">
        <v>0</v>
      </c>
      <c r="L246" t="n">
        <v>0</v>
      </c>
      <c r="M246" t="n">
        <v>0</v>
      </c>
      <c r="N246" t="n">
        <v>0</v>
      </c>
      <c r="O246" t="n">
        <v>0</v>
      </c>
      <c r="P246" t="n">
        <v>0</v>
      </c>
      <c r="Q246" t="n">
        <v>0</v>
      </c>
      <c r="R246" s="2" t="inlineStr"/>
    </row>
    <row r="247" ht="15" customHeight="1">
      <c r="A247" t="inlineStr">
        <is>
          <t>A 29441-2024</t>
        </is>
      </c>
      <c r="B247" s="1" t="n">
        <v>45483.82834490741</v>
      </c>
      <c r="C247" s="1" t="n">
        <v>46040</v>
      </c>
      <c r="D247" t="inlineStr">
        <is>
          <t>KALMAR LÄN</t>
        </is>
      </c>
      <c r="E247" t="inlineStr">
        <is>
          <t>VIMMERBY</t>
        </is>
      </c>
      <c r="G247" t="n">
        <v>1.3</v>
      </c>
      <c r="H247" t="n">
        <v>0</v>
      </c>
      <c r="I247" t="n">
        <v>0</v>
      </c>
      <c r="J247" t="n">
        <v>0</v>
      </c>
      <c r="K247" t="n">
        <v>0</v>
      </c>
      <c r="L247" t="n">
        <v>0</v>
      </c>
      <c r="M247" t="n">
        <v>0</v>
      </c>
      <c r="N247" t="n">
        <v>0</v>
      </c>
      <c r="O247" t="n">
        <v>0</v>
      </c>
      <c r="P247" t="n">
        <v>0</v>
      </c>
      <c r="Q247" t="n">
        <v>0</v>
      </c>
      <c r="R247" s="2" t="inlineStr"/>
    </row>
    <row r="248" ht="15" customHeight="1">
      <c r="A248" t="inlineStr">
        <is>
          <t>A 7485-2024</t>
        </is>
      </c>
      <c r="B248" s="1" t="n">
        <v>45346.67184027778</v>
      </c>
      <c r="C248" s="1" t="n">
        <v>46040</v>
      </c>
      <c r="D248" t="inlineStr">
        <is>
          <t>KALMAR LÄN</t>
        </is>
      </c>
      <c r="E248" t="inlineStr">
        <is>
          <t>VIMMERBY</t>
        </is>
      </c>
      <c r="G248" t="n">
        <v>1.9</v>
      </c>
      <c r="H248" t="n">
        <v>0</v>
      </c>
      <c r="I248" t="n">
        <v>0</v>
      </c>
      <c r="J248" t="n">
        <v>0</v>
      </c>
      <c r="K248" t="n">
        <v>0</v>
      </c>
      <c r="L248" t="n">
        <v>0</v>
      </c>
      <c r="M248" t="n">
        <v>0</v>
      </c>
      <c r="N248" t="n">
        <v>0</v>
      </c>
      <c r="O248" t="n">
        <v>0</v>
      </c>
      <c r="P248" t="n">
        <v>0</v>
      </c>
      <c r="Q248" t="n">
        <v>0</v>
      </c>
      <c r="R248" s="2" t="inlineStr"/>
    </row>
    <row r="249" ht="15" customHeight="1">
      <c r="A249" t="inlineStr">
        <is>
          <t>A 25728-2023</t>
        </is>
      </c>
      <c r="B249" s="1" t="n">
        <v>45090.38012731481</v>
      </c>
      <c r="C249" s="1" t="n">
        <v>46040</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6574-2023</t>
        </is>
      </c>
      <c r="B250" s="1" t="n">
        <v>44966</v>
      </c>
      <c r="C250" s="1" t="n">
        <v>46040</v>
      </c>
      <c r="D250" t="inlineStr">
        <is>
          <t>KALMAR LÄN</t>
        </is>
      </c>
      <c r="E250" t="inlineStr">
        <is>
          <t>VIMMERBY</t>
        </is>
      </c>
      <c r="G250" t="n">
        <v>2.5</v>
      </c>
      <c r="H250" t="n">
        <v>0</v>
      </c>
      <c r="I250" t="n">
        <v>0</v>
      </c>
      <c r="J250" t="n">
        <v>0</v>
      </c>
      <c r="K250" t="n">
        <v>0</v>
      </c>
      <c r="L250" t="n">
        <v>0</v>
      </c>
      <c r="M250" t="n">
        <v>0</v>
      </c>
      <c r="N250" t="n">
        <v>0</v>
      </c>
      <c r="O250" t="n">
        <v>0</v>
      </c>
      <c r="P250" t="n">
        <v>0</v>
      </c>
      <c r="Q250" t="n">
        <v>0</v>
      </c>
      <c r="R250" s="2" t="inlineStr"/>
    </row>
    <row r="251" ht="15" customHeight="1">
      <c r="A251" t="inlineStr">
        <is>
          <t>A 20054-2023</t>
        </is>
      </c>
      <c r="B251" s="1" t="n">
        <v>45054.6750462963</v>
      </c>
      <c r="C251" s="1" t="n">
        <v>46040</v>
      </c>
      <c r="D251" t="inlineStr">
        <is>
          <t>KALMAR LÄN</t>
        </is>
      </c>
      <c r="E251" t="inlineStr">
        <is>
          <t>VIMMERBY</t>
        </is>
      </c>
      <c r="G251" t="n">
        <v>2.4</v>
      </c>
      <c r="H251" t="n">
        <v>0</v>
      </c>
      <c r="I251" t="n">
        <v>0</v>
      </c>
      <c r="J251" t="n">
        <v>0</v>
      </c>
      <c r="K251" t="n">
        <v>0</v>
      </c>
      <c r="L251" t="n">
        <v>0</v>
      </c>
      <c r="M251" t="n">
        <v>0</v>
      </c>
      <c r="N251" t="n">
        <v>0</v>
      </c>
      <c r="O251" t="n">
        <v>0</v>
      </c>
      <c r="P251" t="n">
        <v>0</v>
      </c>
      <c r="Q251" t="n">
        <v>0</v>
      </c>
      <c r="R251" s="2" t="inlineStr"/>
    </row>
    <row r="252" ht="15" customHeight="1">
      <c r="A252" t="inlineStr">
        <is>
          <t>A 58750-2022</t>
        </is>
      </c>
      <c r="B252" s="1" t="n">
        <v>44903.33363425926</v>
      </c>
      <c r="C252" s="1" t="n">
        <v>46040</v>
      </c>
      <c r="D252" t="inlineStr">
        <is>
          <t>KALMAR LÄN</t>
        </is>
      </c>
      <c r="E252" t="inlineStr">
        <is>
          <t>VIMMERBY</t>
        </is>
      </c>
      <c r="G252" t="n">
        <v>3.3</v>
      </c>
      <c r="H252" t="n">
        <v>0</v>
      </c>
      <c r="I252" t="n">
        <v>0</v>
      </c>
      <c r="J252" t="n">
        <v>0</v>
      </c>
      <c r="K252" t="n">
        <v>0</v>
      </c>
      <c r="L252" t="n">
        <v>0</v>
      </c>
      <c r="M252" t="n">
        <v>0</v>
      </c>
      <c r="N252" t="n">
        <v>0</v>
      </c>
      <c r="O252" t="n">
        <v>0</v>
      </c>
      <c r="P252" t="n">
        <v>0</v>
      </c>
      <c r="Q252" t="n">
        <v>0</v>
      </c>
      <c r="R252" s="2" t="inlineStr"/>
    </row>
    <row r="253" ht="15" customHeight="1">
      <c r="A253" t="inlineStr">
        <is>
          <t>A 39801-2025</t>
        </is>
      </c>
      <c r="B253" s="1" t="n">
        <v>45891.50216435185</v>
      </c>
      <c r="C253" s="1" t="n">
        <v>46040</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39807-2025</t>
        </is>
      </c>
      <c r="B254" s="1" t="n">
        <v>45891.50986111111</v>
      </c>
      <c r="C254" s="1" t="n">
        <v>46040</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2260-2022</t>
        </is>
      </c>
      <c r="B255" s="1" t="n">
        <v>44578.62943287037</v>
      </c>
      <c r="C255" s="1" t="n">
        <v>46040</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39736-2025</t>
        </is>
      </c>
      <c r="B256" s="1" t="n">
        <v>45891</v>
      </c>
      <c r="C256" s="1" t="n">
        <v>46040</v>
      </c>
      <c r="D256" t="inlineStr">
        <is>
          <t>KALMAR LÄN</t>
        </is>
      </c>
      <c r="E256" t="inlineStr">
        <is>
          <t>VIMMERBY</t>
        </is>
      </c>
      <c r="G256" t="n">
        <v>12.8</v>
      </c>
      <c r="H256" t="n">
        <v>0</v>
      </c>
      <c r="I256" t="n">
        <v>0</v>
      </c>
      <c r="J256" t="n">
        <v>0</v>
      </c>
      <c r="K256" t="n">
        <v>0</v>
      </c>
      <c r="L256" t="n">
        <v>0</v>
      </c>
      <c r="M256" t="n">
        <v>0</v>
      </c>
      <c r="N256" t="n">
        <v>0</v>
      </c>
      <c r="O256" t="n">
        <v>0</v>
      </c>
      <c r="P256" t="n">
        <v>0</v>
      </c>
      <c r="Q256" t="n">
        <v>0</v>
      </c>
      <c r="R256" s="2" t="inlineStr"/>
    </row>
    <row r="257" ht="15" customHeight="1">
      <c r="A257" t="inlineStr">
        <is>
          <t>A 39803-2025</t>
        </is>
      </c>
      <c r="B257" s="1" t="n">
        <v>45891.50525462963</v>
      </c>
      <c r="C257" s="1" t="n">
        <v>46040</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39889-2025</t>
        </is>
      </c>
      <c r="B258" s="1" t="n">
        <v>45891</v>
      </c>
      <c r="C258" s="1" t="n">
        <v>46040</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50860-2022</t>
        </is>
      </c>
      <c r="B259" s="1" t="n">
        <v>44867</v>
      </c>
      <c r="C259" s="1" t="n">
        <v>46040</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53483-2022</t>
        </is>
      </c>
      <c r="B260" s="1" t="n">
        <v>44879.55940972222</v>
      </c>
      <c r="C260" s="1" t="n">
        <v>46040</v>
      </c>
      <c r="D260" t="inlineStr">
        <is>
          <t>KALMAR LÄN</t>
        </is>
      </c>
      <c r="E260" t="inlineStr">
        <is>
          <t>VIMMERBY</t>
        </is>
      </c>
      <c r="G260" t="n">
        <v>1.4</v>
      </c>
      <c r="H260" t="n">
        <v>0</v>
      </c>
      <c r="I260" t="n">
        <v>0</v>
      </c>
      <c r="J260" t="n">
        <v>0</v>
      </c>
      <c r="K260" t="n">
        <v>0</v>
      </c>
      <c r="L260" t="n">
        <v>0</v>
      </c>
      <c r="M260" t="n">
        <v>0</v>
      </c>
      <c r="N260" t="n">
        <v>0</v>
      </c>
      <c r="O260" t="n">
        <v>0</v>
      </c>
      <c r="P260" t="n">
        <v>0</v>
      </c>
      <c r="Q260" t="n">
        <v>0</v>
      </c>
      <c r="R260" s="2" t="inlineStr"/>
    </row>
    <row r="261" ht="15" customHeight="1">
      <c r="A261" t="inlineStr">
        <is>
          <t>A 58962-2022</t>
        </is>
      </c>
      <c r="B261" s="1" t="n">
        <v>44903</v>
      </c>
      <c r="C261" s="1" t="n">
        <v>46040</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58967-2022</t>
        </is>
      </c>
      <c r="B262" s="1" t="n">
        <v>44896</v>
      </c>
      <c r="C262" s="1" t="n">
        <v>46040</v>
      </c>
      <c r="D262" t="inlineStr">
        <is>
          <t>KALMAR LÄN</t>
        </is>
      </c>
      <c r="E262" t="inlineStr">
        <is>
          <t>VIMMERBY</t>
        </is>
      </c>
      <c r="G262" t="n">
        <v>5</v>
      </c>
      <c r="H262" t="n">
        <v>0</v>
      </c>
      <c r="I262" t="n">
        <v>0</v>
      </c>
      <c r="J262" t="n">
        <v>0</v>
      </c>
      <c r="K262" t="n">
        <v>0</v>
      </c>
      <c r="L262" t="n">
        <v>0</v>
      </c>
      <c r="M262" t="n">
        <v>0</v>
      </c>
      <c r="N262" t="n">
        <v>0</v>
      </c>
      <c r="O262" t="n">
        <v>0</v>
      </c>
      <c r="P262" t="n">
        <v>0</v>
      </c>
      <c r="Q262" t="n">
        <v>0</v>
      </c>
      <c r="R262" s="2" t="inlineStr"/>
    </row>
    <row r="263" ht="15" customHeight="1">
      <c r="A263" t="inlineStr">
        <is>
          <t>A 57682-2022</t>
        </is>
      </c>
      <c r="B263" s="1" t="n">
        <v>44890</v>
      </c>
      <c r="C263" s="1" t="n">
        <v>46040</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4076-2022</t>
        </is>
      </c>
      <c r="B264" s="1" t="n">
        <v>44588.37998842593</v>
      </c>
      <c r="C264" s="1" t="n">
        <v>46040</v>
      </c>
      <c r="D264" t="inlineStr">
        <is>
          <t>KALMAR LÄN</t>
        </is>
      </c>
      <c r="E264" t="inlineStr">
        <is>
          <t>VIMMERBY</t>
        </is>
      </c>
      <c r="G264" t="n">
        <v>3</v>
      </c>
      <c r="H264" t="n">
        <v>0</v>
      </c>
      <c r="I264" t="n">
        <v>0</v>
      </c>
      <c r="J264" t="n">
        <v>0</v>
      </c>
      <c r="K264" t="n">
        <v>0</v>
      </c>
      <c r="L264" t="n">
        <v>0</v>
      </c>
      <c r="M264" t="n">
        <v>0</v>
      </c>
      <c r="N264" t="n">
        <v>0</v>
      </c>
      <c r="O264" t="n">
        <v>0</v>
      </c>
      <c r="P264" t="n">
        <v>0</v>
      </c>
      <c r="Q264" t="n">
        <v>0</v>
      </c>
      <c r="R264" s="2" t="inlineStr"/>
    </row>
    <row r="265" ht="15" customHeight="1">
      <c r="A265" t="inlineStr">
        <is>
          <t>A 4122-2022</t>
        </is>
      </c>
      <c r="B265" s="1" t="n">
        <v>44588</v>
      </c>
      <c r="C265" s="1" t="n">
        <v>46040</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40970-2025</t>
        </is>
      </c>
      <c r="B266" s="1" t="n">
        <v>45897.88706018519</v>
      </c>
      <c r="C266" s="1" t="n">
        <v>46040</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40973-2025</t>
        </is>
      </c>
      <c r="B267" s="1" t="n">
        <v>45897.89737268518</v>
      </c>
      <c r="C267" s="1" t="n">
        <v>46040</v>
      </c>
      <c r="D267" t="inlineStr">
        <is>
          <t>KALMAR LÄN</t>
        </is>
      </c>
      <c r="E267" t="inlineStr">
        <is>
          <t>VIMMERBY</t>
        </is>
      </c>
      <c r="G267" t="n">
        <v>1.8</v>
      </c>
      <c r="H267" t="n">
        <v>0</v>
      </c>
      <c r="I267" t="n">
        <v>0</v>
      </c>
      <c r="J267" t="n">
        <v>0</v>
      </c>
      <c r="K267" t="n">
        <v>0</v>
      </c>
      <c r="L267" t="n">
        <v>0</v>
      </c>
      <c r="M267" t="n">
        <v>0</v>
      </c>
      <c r="N267" t="n">
        <v>0</v>
      </c>
      <c r="O267" t="n">
        <v>0</v>
      </c>
      <c r="P267" t="n">
        <v>0</v>
      </c>
      <c r="Q267" t="n">
        <v>0</v>
      </c>
      <c r="R267" s="2" t="inlineStr"/>
    </row>
    <row r="268" ht="15" customHeight="1">
      <c r="A268" t="inlineStr">
        <is>
          <t>A 41224-2025</t>
        </is>
      </c>
      <c r="B268" s="1" t="n">
        <v>45898.58861111111</v>
      </c>
      <c r="C268" s="1" t="n">
        <v>46040</v>
      </c>
      <c r="D268" t="inlineStr">
        <is>
          <t>KALMAR LÄN</t>
        </is>
      </c>
      <c r="E268" t="inlineStr">
        <is>
          <t>VIMMERBY</t>
        </is>
      </c>
      <c r="G268" t="n">
        <v>4.4</v>
      </c>
      <c r="H268" t="n">
        <v>0</v>
      </c>
      <c r="I268" t="n">
        <v>0</v>
      </c>
      <c r="J268" t="n">
        <v>0</v>
      </c>
      <c r="K268" t="n">
        <v>0</v>
      </c>
      <c r="L268" t="n">
        <v>0</v>
      </c>
      <c r="M268" t="n">
        <v>0</v>
      </c>
      <c r="N268" t="n">
        <v>0</v>
      </c>
      <c r="O268" t="n">
        <v>0</v>
      </c>
      <c r="P268" t="n">
        <v>0</v>
      </c>
      <c r="Q268" t="n">
        <v>0</v>
      </c>
      <c r="R268" s="2" t="inlineStr"/>
    </row>
    <row r="269" ht="15" customHeight="1">
      <c r="A269" t="inlineStr">
        <is>
          <t>A 63762-2025</t>
        </is>
      </c>
      <c r="B269" s="1" t="n">
        <v>46018.67197916667</v>
      </c>
      <c r="C269" s="1" t="n">
        <v>46040</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63758-2025</t>
        </is>
      </c>
      <c r="B270" s="1" t="n">
        <v>46018.46483796297</v>
      </c>
      <c r="C270" s="1" t="n">
        <v>46040</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9624-2024</t>
        </is>
      </c>
      <c r="B271" s="1" t="n">
        <v>45361.90282407407</v>
      </c>
      <c r="C271" s="1" t="n">
        <v>46040</v>
      </c>
      <c r="D271" t="inlineStr">
        <is>
          <t>KALMAR LÄN</t>
        </is>
      </c>
      <c r="E271" t="inlineStr">
        <is>
          <t>VIMMERBY</t>
        </is>
      </c>
      <c r="G271" t="n">
        <v>3.8</v>
      </c>
      <c r="H271" t="n">
        <v>0</v>
      </c>
      <c r="I271" t="n">
        <v>0</v>
      </c>
      <c r="J271" t="n">
        <v>0</v>
      </c>
      <c r="K271" t="n">
        <v>0</v>
      </c>
      <c r="L271" t="n">
        <v>0</v>
      </c>
      <c r="M271" t="n">
        <v>0</v>
      </c>
      <c r="N271" t="n">
        <v>0</v>
      </c>
      <c r="O271" t="n">
        <v>0</v>
      </c>
      <c r="P271" t="n">
        <v>0</v>
      </c>
      <c r="Q271" t="n">
        <v>0</v>
      </c>
      <c r="R271" s="2" t="inlineStr"/>
    </row>
    <row r="272" ht="15" customHeight="1">
      <c r="A272" t="inlineStr">
        <is>
          <t>A 52327-2023</t>
        </is>
      </c>
      <c r="B272" s="1" t="n">
        <v>45224.6515162037</v>
      </c>
      <c r="C272" s="1" t="n">
        <v>46040</v>
      </c>
      <c r="D272" t="inlineStr">
        <is>
          <t>KALMAR LÄN</t>
        </is>
      </c>
      <c r="E272" t="inlineStr">
        <is>
          <t>VIMMERBY</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29616-2022</t>
        </is>
      </c>
      <c r="B273" s="1" t="n">
        <v>44754</v>
      </c>
      <c r="C273" s="1" t="n">
        <v>46040</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29348-2023</t>
        </is>
      </c>
      <c r="B274" s="1" t="n">
        <v>45106.25025462963</v>
      </c>
      <c r="C274" s="1" t="n">
        <v>46040</v>
      </c>
      <c r="D274" t="inlineStr">
        <is>
          <t>KALMAR LÄN</t>
        </is>
      </c>
      <c r="E274" t="inlineStr">
        <is>
          <t>VIMMERBY</t>
        </is>
      </c>
      <c r="G274" t="n">
        <v>2.4</v>
      </c>
      <c r="H274" t="n">
        <v>0</v>
      </c>
      <c r="I274" t="n">
        <v>0</v>
      </c>
      <c r="J274" t="n">
        <v>0</v>
      </c>
      <c r="K274" t="n">
        <v>0</v>
      </c>
      <c r="L274" t="n">
        <v>0</v>
      </c>
      <c r="M274" t="n">
        <v>0</v>
      </c>
      <c r="N274" t="n">
        <v>0</v>
      </c>
      <c r="O274" t="n">
        <v>0</v>
      </c>
      <c r="P274" t="n">
        <v>0</v>
      </c>
      <c r="Q274" t="n">
        <v>0</v>
      </c>
      <c r="R274" s="2" t="inlineStr"/>
    </row>
    <row r="275" ht="15" customHeight="1">
      <c r="A275" t="inlineStr">
        <is>
          <t>A 28403-2023</t>
        </is>
      </c>
      <c r="B275" s="1" t="n">
        <v>45100.85270833333</v>
      </c>
      <c r="C275" s="1" t="n">
        <v>46040</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40925-2025</t>
        </is>
      </c>
      <c r="B276" s="1" t="n">
        <v>45897.64208333333</v>
      </c>
      <c r="C276" s="1" t="n">
        <v>46040</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17511-2024</t>
        </is>
      </c>
      <c r="B277" s="1" t="n">
        <v>45415.57682870371</v>
      </c>
      <c r="C277" s="1" t="n">
        <v>46040</v>
      </c>
      <c r="D277" t="inlineStr">
        <is>
          <t>KALMAR LÄN</t>
        </is>
      </c>
      <c r="E277" t="inlineStr">
        <is>
          <t>VIMMERBY</t>
        </is>
      </c>
      <c r="G277" t="n">
        <v>5.3</v>
      </c>
      <c r="H277" t="n">
        <v>0</v>
      </c>
      <c r="I277" t="n">
        <v>0</v>
      </c>
      <c r="J277" t="n">
        <v>0</v>
      </c>
      <c r="K277" t="n">
        <v>0</v>
      </c>
      <c r="L277" t="n">
        <v>0</v>
      </c>
      <c r="M277" t="n">
        <v>0</v>
      </c>
      <c r="N277" t="n">
        <v>0</v>
      </c>
      <c r="O277" t="n">
        <v>0</v>
      </c>
      <c r="P277" t="n">
        <v>0</v>
      </c>
      <c r="Q277" t="n">
        <v>0</v>
      </c>
      <c r="R277" s="2" t="inlineStr"/>
    </row>
    <row r="278" ht="15" customHeight="1">
      <c r="A278" t="inlineStr">
        <is>
          <t>A 40921-2025</t>
        </is>
      </c>
      <c r="B278" s="1" t="n">
        <v>45897.63520833333</v>
      </c>
      <c r="C278" s="1" t="n">
        <v>46040</v>
      </c>
      <c r="D278" t="inlineStr">
        <is>
          <t>KALMAR LÄN</t>
        </is>
      </c>
      <c r="E278" t="inlineStr">
        <is>
          <t>VIMMERBY</t>
        </is>
      </c>
      <c r="G278" t="n">
        <v>4.2</v>
      </c>
      <c r="H278" t="n">
        <v>0</v>
      </c>
      <c r="I278" t="n">
        <v>0</v>
      </c>
      <c r="J278" t="n">
        <v>0</v>
      </c>
      <c r="K278" t="n">
        <v>0</v>
      </c>
      <c r="L278" t="n">
        <v>0</v>
      </c>
      <c r="M278" t="n">
        <v>0</v>
      </c>
      <c r="N278" t="n">
        <v>0</v>
      </c>
      <c r="O278" t="n">
        <v>0</v>
      </c>
      <c r="P278" t="n">
        <v>0</v>
      </c>
      <c r="Q278" t="n">
        <v>0</v>
      </c>
      <c r="R278" s="2" t="inlineStr"/>
    </row>
    <row r="279" ht="15" customHeight="1">
      <c r="A279" t="inlineStr">
        <is>
          <t>A 40971-2025</t>
        </is>
      </c>
      <c r="B279" s="1" t="n">
        <v>45897.88836805556</v>
      </c>
      <c r="C279" s="1" t="n">
        <v>46040</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66022-2021</t>
        </is>
      </c>
      <c r="B280" s="1" t="n">
        <v>44517</v>
      </c>
      <c r="C280" s="1" t="n">
        <v>46040</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29973-2023</t>
        </is>
      </c>
      <c r="B281" s="1" t="n">
        <v>45108.703125</v>
      </c>
      <c r="C281" s="1" t="n">
        <v>46040</v>
      </c>
      <c r="D281" t="inlineStr">
        <is>
          <t>KALMAR LÄN</t>
        </is>
      </c>
      <c r="E281" t="inlineStr">
        <is>
          <t>VIMMERBY</t>
        </is>
      </c>
      <c r="G281" t="n">
        <v>4</v>
      </c>
      <c r="H281" t="n">
        <v>0</v>
      </c>
      <c r="I281" t="n">
        <v>0</v>
      </c>
      <c r="J281" t="n">
        <v>0</v>
      </c>
      <c r="K281" t="n">
        <v>0</v>
      </c>
      <c r="L281" t="n">
        <v>0</v>
      </c>
      <c r="M281" t="n">
        <v>0</v>
      </c>
      <c r="N281" t="n">
        <v>0</v>
      </c>
      <c r="O281" t="n">
        <v>0</v>
      </c>
      <c r="P281" t="n">
        <v>0</v>
      </c>
      <c r="Q281" t="n">
        <v>0</v>
      </c>
      <c r="R281" s="2" t="inlineStr"/>
    </row>
    <row r="282" ht="15" customHeight="1">
      <c r="A282" t="inlineStr">
        <is>
          <t>A 30070-2023</t>
        </is>
      </c>
      <c r="B282" s="1" t="n">
        <v>45110.4275</v>
      </c>
      <c r="C282" s="1" t="n">
        <v>46040</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52435-2021</t>
        </is>
      </c>
      <c r="B283" s="1" t="n">
        <v>44466.34962962963</v>
      </c>
      <c r="C283" s="1" t="n">
        <v>46040</v>
      </c>
      <c r="D283" t="inlineStr">
        <is>
          <t>KALMAR LÄN</t>
        </is>
      </c>
      <c r="E283" t="inlineStr">
        <is>
          <t>VIMMERBY</t>
        </is>
      </c>
      <c r="G283" t="n">
        <v>2.8</v>
      </c>
      <c r="H283" t="n">
        <v>0</v>
      </c>
      <c r="I283" t="n">
        <v>0</v>
      </c>
      <c r="J283" t="n">
        <v>0</v>
      </c>
      <c r="K283" t="n">
        <v>0</v>
      </c>
      <c r="L283" t="n">
        <v>0</v>
      </c>
      <c r="M283" t="n">
        <v>0</v>
      </c>
      <c r="N283" t="n">
        <v>0</v>
      </c>
      <c r="O283" t="n">
        <v>0</v>
      </c>
      <c r="P283" t="n">
        <v>0</v>
      </c>
      <c r="Q283" t="n">
        <v>0</v>
      </c>
      <c r="R283" s="2" t="inlineStr"/>
    </row>
    <row r="284" ht="15" customHeight="1">
      <c r="A284" t="inlineStr">
        <is>
          <t>A 29093-2023</t>
        </is>
      </c>
      <c r="B284" s="1" t="n">
        <v>45105</v>
      </c>
      <c r="C284" s="1" t="n">
        <v>46040</v>
      </c>
      <c r="D284" t="inlineStr">
        <is>
          <t>KALMAR LÄN</t>
        </is>
      </c>
      <c r="E284" t="inlineStr">
        <is>
          <t>VIMMERBY</t>
        </is>
      </c>
      <c r="G284" t="n">
        <v>2.9</v>
      </c>
      <c r="H284" t="n">
        <v>0</v>
      </c>
      <c r="I284" t="n">
        <v>0</v>
      </c>
      <c r="J284" t="n">
        <v>0</v>
      </c>
      <c r="K284" t="n">
        <v>0</v>
      </c>
      <c r="L284" t="n">
        <v>0</v>
      </c>
      <c r="M284" t="n">
        <v>0</v>
      </c>
      <c r="N284" t="n">
        <v>0</v>
      </c>
      <c r="O284" t="n">
        <v>0</v>
      </c>
      <c r="P284" t="n">
        <v>0</v>
      </c>
      <c r="Q284" t="n">
        <v>0</v>
      </c>
      <c r="R284" s="2" t="inlineStr"/>
    </row>
    <row r="285" ht="15" customHeight="1">
      <c r="A285" t="inlineStr">
        <is>
          <t>A 14220-2021</t>
        </is>
      </c>
      <c r="B285" s="1" t="n">
        <v>44278.54855324074</v>
      </c>
      <c r="C285" s="1" t="n">
        <v>46040</v>
      </c>
      <c r="D285" t="inlineStr">
        <is>
          <t>KALMAR LÄN</t>
        </is>
      </c>
      <c r="E285" t="inlineStr">
        <is>
          <t>VIMMERBY</t>
        </is>
      </c>
      <c r="G285" t="n">
        <v>0.3</v>
      </c>
      <c r="H285" t="n">
        <v>0</v>
      </c>
      <c r="I285" t="n">
        <v>0</v>
      </c>
      <c r="J285" t="n">
        <v>0</v>
      </c>
      <c r="K285" t="n">
        <v>0</v>
      </c>
      <c r="L285" t="n">
        <v>0</v>
      </c>
      <c r="M285" t="n">
        <v>0</v>
      </c>
      <c r="N285" t="n">
        <v>0</v>
      </c>
      <c r="O285" t="n">
        <v>0</v>
      </c>
      <c r="P285" t="n">
        <v>0</v>
      </c>
      <c r="Q285" t="n">
        <v>0</v>
      </c>
      <c r="R285" s="2" t="inlineStr"/>
    </row>
    <row r="286" ht="15" customHeight="1">
      <c r="A286" t="inlineStr">
        <is>
          <t>A 41591-2025</t>
        </is>
      </c>
      <c r="B286" s="1" t="n">
        <v>45901.6327662037</v>
      </c>
      <c r="C286" s="1" t="n">
        <v>46040</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41589-2025</t>
        </is>
      </c>
      <c r="B287" s="1" t="n">
        <v>45901.63219907408</v>
      </c>
      <c r="C287" s="1" t="n">
        <v>46040</v>
      </c>
      <c r="D287" t="inlineStr">
        <is>
          <t>KALMAR LÄN</t>
        </is>
      </c>
      <c r="E287" t="inlineStr">
        <is>
          <t>VIMMERBY</t>
        </is>
      </c>
      <c r="G287" t="n">
        <v>1.7</v>
      </c>
      <c r="H287" t="n">
        <v>0</v>
      </c>
      <c r="I287" t="n">
        <v>0</v>
      </c>
      <c r="J287" t="n">
        <v>0</v>
      </c>
      <c r="K287" t="n">
        <v>0</v>
      </c>
      <c r="L287" t="n">
        <v>0</v>
      </c>
      <c r="M287" t="n">
        <v>0</v>
      </c>
      <c r="N287" t="n">
        <v>0</v>
      </c>
      <c r="O287" t="n">
        <v>0</v>
      </c>
      <c r="P287" t="n">
        <v>0</v>
      </c>
      <c r="Q287" t="n">
        <v>0</v>
      </c>
      <c r="R287" s="2" t="inlineStr"/>
    </row>
    <row r="288" ht="15" customHeight="1">
      <c r="A288" t="inlineStr">
        <is>
          <t>A 33359-2021</t>
        </is>
      </c>
      <c r="B288" s="1" t="n">
        <v>44377.49684027778</v>
      </c>
      <c r="C288" s="1" t="n">
        <v>46040</v>
      </c>
      <c r="D288" t="inlineStr">
        <is>
          <t>KALMAR LÄN</t>
        </is>
      </c>
      <c r="E288" t="inlineStr">
        <is>
          <t>VIMMERBY</t>
        </is>
      </c>
      <c r="F288" t="inlineStr">
        <is>
          <t>Kommuner</t>
        </is>
      </c>
      <c r="G288" t="n">
        <v>8</v>
      </c>
      <c r="H288" t="n">
        <v>0</v>
      </c>
      <c r="I288" t="n">
        <v>0</v>
      </c>
      <c r="J288" t="n">
        <v>0</v>
      </c>
      <c r="K288" t="n">
        <v>0</v>
      </c>
      <c r="L288" t="n">
        <v>0</v>
      </c>
      <c r="M288" t="n">
        <v>0</v>
      </c>
      <c r="N288" t="n">
        <v>0</v>
      </c>
      <c r="O288" t="n">
        <v>0</v>
      </c>
      <c r="P288" t="n">
        <v>0</v>
      </c>
      <c r="Q288" t="n">
        <v>0</v>
      </c>
      <c r="R288" s="2" t="inlineStr"/>
    </row>
    <row r="289" ht="15" customHeight="1">
      <c r="A289" t="inlineStr">
        <is>
          <t>A 43038-2022</t>
        </is>
      </c>
      <c r="B289" s="1" t="n">
        <v>44833.60123842592</v>
      </c>
      <c r="C289" s="1" t="n">
        <v>46040</v>
      </c>
      <c r="D289" t="inlineStr">
        <is>
          <t>KALMAR LÄN</t>
        </is>
      </c>
      <c r="E289" t="inlineStr">
        <is>
          <t>VIMMERBY</t>
        </is>
      </c>
      <c r="G289" t="n">
        <v>4.2</v>
      </c>
      <c r="H289" t="n">
        <v>0</v>
      </c>
      <c r="I289" t="n">
        <v>0</v>
      </c>
      <c r="J289" t="n">
        <v>0</v>
      </c>
      <c r="K289" t="n">
        <v>0</v>
      </c>
      <c r="L289" t="n">
        <v>0</v>
      </c>
      <c r="M289" t="n">
        <v>0</v>
      </c>
      <c r="N289" t="n">
        <v>0</v>
      </c>
      <c r="O289" t="n">
        <v>0</v>
      </c>
      <c r="P289" t="n">
        <v>0</v>
      </c>
      <c r="Q289" t="n">
        <v>0</v>
      </c>
      <c r="R289" s="2" t="inlineStr"/>
    </row>
    <row r="290" ht="15" customHeight="1">
      <c r="A290" t="inlineStr">
        <is>
          <t>A 50087-2023</t>
        </is>
      </c>
      <c r="B290" s="1" t="n">
        <v>45215.59743055556</v>
      </c>
      <c r="C290" s="1" t="n">
        <v>46040</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33681-2022</t>
        </is>
      </c>
      <c r="B291" s="1" t="n">
        <v>44789</v>
      </c>
      <c r="C291" s="1" t="n">
        <v>46040</v>
      </c>
      <c r="D291" t="inlineStr">
        <is>
          <t>KALMAR LÄN</t>
        </is>
      </c>
      <c r="E291" t="inlineStr">
        <is>
          <t>VIMMERBY</t>
        </is>
      </c>
      <c r="G291" t="n">
        <v>3.2</v>
      </c>
      <c r="H291" t="n">
        <v>0</v>
      </c>
      <c r="I291" t="n">
        <v>0</v>
      </c>
      <c r="J291" t="n">
        <v>0</v>
      </c>
      <c r="K291" t="n">
        <v>0</v>
      </c>
      <c r="L291" t="n">
        <v>0</v>
      </c>
      <c r="M291" t="n">
        <v>0</v>
      </c>
      <c r="N291" t="n">
        <v>0</v>
      </c>
      <c r="O291" t="n">
        <v>0</v>
      </c>
      <c r="P291" t="n">
        <v>0</v>
      </c>
      <c r="Q291" t="n">
        <v>0</v>
      </c>
      <c r="R291" s="2" t="inlineStr"/>
    </row>
    <row r="292" ht="15" customHeight="1">
      <c r="A292" t="inlineStr">
        <is>
          <t>A 46078-2023</t>
        </is>
      </c>
      <c r="B292" s="1" t="n">
        <v>45196</v>
      </c>
      <c r="C292" s="1" t="n">
        <v>46040</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7643-2022</t>
        </is>
      </c>
      <c r="B293" s="1" t="n">
        <v>44607</v>
      </c>
      <c r="C293" s="1" t="n">
        <v>46040</v>
      </c>
      <c r="D293" t="inlineStr">
        <is>
          <t>KALMAR LÄN</t>
        </is>
      </c>
      <c r="E293" t="inlineStr">
        <is>
          <t>VIMMERBY</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3494-2023</t>
        </is>
      </c>
      <c r="B294" s="1" t="n">
        <v>44949</v>
      </c>
      <c r="C294" s="1" t="n">
        <v>46040</v>
      </c>
      <c r="D294" t="inlineStr">
        <is>
          <t>KALMAR LÄN</t>
        </is>
      </c>
      <c r="E294" t="inlineStr">
        <is>
          <t>VIMMERBY</t>
        </is>
      </c>
      <c r="F294" t="inlineStr">
        <is>
          <t>Kyrkan</t>
        </is>
      </c>
      <c r="G294" t="n">
        <v>0.8</v>
      </c>
      <c r="H294" t="n">
        <v>0</v>
      </c>
      <c r="I294" t="n">
        <v>0</v>
      </c>
      <c r="J294" t="n">
        <v>0</v>
      </c>
      <c r="K294" t="n">
        <v>0</v>
      </c>
      <c r="L294" t="n">
        <v>0</v>
      </c>
      <c r="M294" t="n">
        <v>0</v>
      </c>
      <c r="N294" t="n">
        <v>0</v>
      </c>
      <c r="O294" t="n">
        <v>0</v>
      </c>
      <c r="P294" t="n">
        <v>0</v>
      </c>
      <c r="Q294" t="n">
        <v>0</v>
      </c>
      <c r="R294" s="2" t="inlineStr"/>
    </row>
    <row r="295" ht="15" customHeight="1">
      <c r="A295" t="inlineStr">
        <is>
          <t>A 57728-2025</t>
        </is>
      </c>
      <c r="B295" s="1" t="n">
        <v>45981</v>
      </c>
      <c r="C295" s="1" t="n">
        <v>46040</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34090-2025</t>
        </is>
      </c>
      <c r="B296" s="1" t="n">
        <v>45845</v>
      </c>
      <c r="C296" s="1" t="n">
        <v>46040</v>
      </c>
      <c r="D296" t="inlineStr">
        <is>
          <t>KALMAR LÄN</t>
        </is>
      </c>
      <c r="E296" t="inlineStr">
        <is>
          <t>VIMMERBY</t>
        </is>
      </c>
      <c r="G296" t="n">
        <v>2.8</v>
      </c>
      <c r="H296" t="n">
        <v>0</v>
      </c>
      <c r="I296" t="n">
        <v>0</v>
      </c>
      <c r="J296" t="n">
        <v>0</v>
      </c>
      <c r="K296" t="n">
        <v>0</v>
      </c>
      <c r="L296" t="n">
        <v>0</v>
      </c>
      <c r="M296" t="n">
        <v>0</v>
      </c>
      <c r="N296" t="n">
        <v>0</v>
      </c>
      <c r="O296" t="n">
        <v>0</v>
      </c>
      <c r="P296" t="n">
        <v>0</v>
      </c>
      <c r="Q296" t="n">
        <v>0</v>
      </c>
      <c r="R296" s="2" t="inlineStr"/>
    </row>
    <row r="297" ht="15" customHeight="1">
      <c r="A297" t="inlineStr">
        <is>
          <t>A 32633-2023</t>
        </is>
      </c>
      <c r="B297" s="1" t="n">
        <v>45121.58699074074</v>
      </c>
      <c r="C297" s="1" t="n">
        <v>46040</v>
      </c>
      <c r="D297" t="inlineStr">
        <is>
          <t>KALMAR LÄN</t>
        </is>
      </c>
      <c r="E297" t="inlineStr">
        <is>
          <t>VIMMERBY</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41735-2025</t>
        </is>
      </c>
      <c r="B298" s="1" t="n">
        <v>45902.47164351852</v>
      </c>
      <c r="C298" s="1" t="n">
        <v>46040</v>
      </c>
      <c r="D298" t="inlineStr">
        <is>
          <t>KALMAR LÄN</t>
        </is>
      </c>
      <c r="E298" t="inlineStr">
        <is>
          <t>VIMMERBY</t>
        </is>
      </c>
      <c r="G298" t="n">
        <v>3</v>
      </c>
      <c r="H298" t="n">
        <v>0</v>
      </c>
      <c r="I298" t="n">
        <v>0</v>
      </c>
      <c r="J298" t="n">
        <v>0</v>
      </c>
      <c r="K298" t="n">
        <v>0</v>
      </c>
      <c r="L298" t="n">
        <v>0</v>
      </c>
      <c r="M298" t="n">
        <v>0</v>
      </c>
      <c r="N298" t="n">
        <v>0</v>
      </c>
      <c r="O298" t="n">
        <v>0</v>
      </c>
      <c r="P298" t="n">
        <v>0</v>
      </c>
      <c r="Q298" t="n">
        <v>0</v>
      </c>
      <c r="R298" s="2" t="inlineStr"/>
    </row>
    <row r="299" ht="15" customHeight="1">
      <c r="A299" t="inlineStr">
        <is>
          <t>A 43601-2024</t>
        </is>
      </c>
      <c r="B299" s="1" t="n">
        <v>45569.44684027778</v>
      </c>
      <c r="C299" s="1" t="n">
        <v>46040</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16825-2024</t>
        </is>
      </c>
      <c r="B300" s="1" t="n">
        <v>45411.47335648148</v>
      </c>
      <c r="C300" s="1" t="n">
        <v>46040</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58442-2025</t>
        </is>
      </c>
      <c r="B301" s="1" t="n">
        <v>45985.61635416667</v>
      </c>
      <c r="C301" s="1" t="n">
        <v>46040</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58498-2025</t>
        </is>
      </c>
      <c r="B302" s="1" t="n">
        <v>45985.68671296296</v>
      </c>
      <c r="C302" s="1" t="n">
        <v>46040</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58501-2025</t>
        </is>
      </c>
      <c r="B303" s="1" t="n">
        <v>45985.69153935185</v>
      </c>
      <c r="C303" s="1" t="n">
        <v>46040</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58514-2025</t>
        </is>
      </c>
      <c r="B304" s="1" t="n">
        <v>45985.70513888889</v>
      </c>
      <c r="C304" s="1" t="n">
        <v>46040</v>
      </c>
      <c r="D304" t="inlineStr">
        <is>
          <t>KALMAR LÄN</t>
        </is>
      </c>
      <c r="E304" t="inlineStr">
        <is>
          <t>VIMMERBY</t>
        </is>
      </c>
      <c r="G304" t="n">
        <v>3.7</v>
      </c>
      <c r="H304" t="n">
        <v>0</v>
      </c>
      <c r="I304" t="n">
        <v>0</v>
      </c>
      <c r="J304" t="n">
        <v>0</v>
      </c>
      <c r="K304" t="n">
        <v>0</v>
      </c>
      <c r="L304" t="n">
        <v>0</v>
      </c>
      <c r="M304" t="n">
        <v>0</v>
      </c>
      <c r="N304" t="n">
        <v>0</v>
      </c>
      <c r="O304" t="n">
        <v>0</v>
      </c>
      <c r="P304" t="n">
        <v>0</v>
      </c>
      <c r="Q304" t="n">
        <v>0</v>
      </c>
      <c r="R304" s="2" t="inlineStr"/>
    </row>
    <row r="305" ht="15" customHeight="1">
      <c r="A305" t="inlineStr">
        <is>
          <t>A 409-2026</t>
        </is>
      </c>
      <c r="B305" s="1" t="n">
        <v>46028.69432870371</v>
      </c>
      <c r="C305" s="1" t="n">
        <v>46040</v>
      </c>
      <c r="D305" t="inlineStr">
        <is>
          <t>KALMAR LÄN</t>
        </is>
      </c>
      <c r="E305" t="inlineStr">
        <is>
          <t>VIMMERBY</t>
        </is>
      </c>
      <c r="G305" t="n">
        <v>2.2</v>
      </c>
      <c r="H305" t="n">
        <v>0</v>
      </c>
      <c r="I305" t="n">
        <v>0</v>
      </c>
      <c r="J305" t="n">
        <v>0</v>
      </c>
      <c r="K305" t="n">
        <v>0</v>
      </c>
      <c r="L305" t="n">
        <v>0</v>
      </c>
      <c r="M305" t="n">
        <v>0</v>
      </c>
      <c r="N305" t="n">
        <v>0</v>
      </c>
      <c r="O305" t="n">
        <v>0</v>
      </c>
      <c r="P305" t="n">
        <v>0</v>
      </c>
      <c r="Q305" t="n">
        <v>0</v>
      </c>
      <c r="R305" s="2" t="inlineStr"/>
    </row>
    <row r="306" ht="15" customHeight="1">
      <c r="A306" t="inlineStr">
        <is>
          <t>A 13813-2024</t>
        </is>
      </c>
      <c r="B306" s="1" t="n">
        <v>45391.41310185185</v>
      </c>
      <c r="C306" s="1" t="n">
        <v>46040</v>
      </c>
      <c r="D306" t="inlineStr">
        <is>
          <t>KALMAR LÄN</t>
        </is>
      </c>
      <c r="E306" t="inlineStr">
        <is>
          <t>VIMMERBY</t>
        </is>
      </c>
      <c r="G306" t="n">
        <v>0.4</v>
      </c>
      <c r="H306" t="n">
        <v>0</v>
      </c>
      <c r="I306" t="n">
        <v>0</v>
      </c>
      <c r="J306" t="n">
        <v>0</v>
      </c>
      <c r="K306" t="n">
        <v>0</v>
      </c>
      <c r="L306" t="n">
        <v>0</v>
      </c>
      <c r="M306" t="n">
        <v>0</v>
      </c>
      <c r="N306" t="n">
        <v>0</v>
      </c>
      <c r="O306" t="n">
        <v>0</v>
      </c>
      <c r="P306" t="n">
        <v>0</v>
      </c>
      <c r="Q306" t="n">
        <v>0</v>
      </c>
      <c r="R306" s="2" t="inlineStr"/>
    </row>
    <row r="307" ht="15" customHeight="1">
      <c r="A307" t="inlineStr">
        <is>
          <t>A 12033-2024</t>
        </is>
      </c>
      <c r="B307" s="1" t="n">
        <v>45377.40043981482</v>
      </c>
      <c r="C307" s="1" t="n">
        <v>46040</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25234-2023</t>
        </is>
      </c>
      <c r="B308" s="1" t="n">
        <v>45086.63194444445</v>
      </c>
      <c r="C308" s="1" t="n">
        <v>46040</v>
      </c>
      <c r="D308" t="inlineStr">
        <is>
          <t>KALMAR LÄN</t>
        </is>
      </c>
      <c r="E308" t="inlineStr">
        <is>
          <t>VIMMERBY</t>
        </is>
      </c>
      <c r="G308" t="n">
        <v>2.1</v>
      </c>
      <c r="H308" t="n">
        <v>0</v>
      </c>
      <c r="I308" t="n">
        <v>0</v>
      </c>
      <c r="J308" t="n">
        <v>0</v>
      </c>
      <c r="K308" t="n">
        <v>0</v>
      </c>
      <c r="L308" t="n">
        <v>0</v>
      </c>
      <c r="M308" t="n">
        <v>0</v>
      </c>
      <c r="N308" t="n">
        <v>0</v>
      </c>
      <c r="O308" t="n">
        <v>0</v>
      </c>
      <c r="P308" t="n">
        <v>0</v>
      </c>
      <c r="Q308" t="n">
        <v>0</v>
      </c>
      <c r="R308" s="2" t="inlineStr"/>
    </row>
    <row r="309" ht="15" customHeight="1">
      <c r="A309" t="inlineStr">
        <is>
          <t>A 25236-2023</t>
        </is>
      </c>
      <c r="B309" s="1" t="n">
        <v>45086.63334490741</v>
      </c>
      <c r="C309" s="1" t="n">
        <v>46040</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6214-2025</t>
        </is>
      </c>
      <c r="B310" s="1" t="n">
        <v>45698.51711805556</v>
      </c>
      <c r="C310" s="1" t="n">
        <v>46040</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25244-2023</t>
        </is>
      </c>
      <c r="B311" s="1" t="n">
        <v>45086</v>
      </c>
      <c r="C311" s="1" t="n">
        <v>46040</v>
      </c>
      <c r="D311" t="inlineStr">
        <is>
          <t>KALMAR LÄN</t>
        </is>
      </c>
      <c r="E311" t="inlineStr">
        <is>
          <t>VIMMERBY</t>
        </is>
      </c>
      <c r="G311" t="n">
        <v>4.7</v>
      </c>
      <c r="H311" t="n">
        <v>0</v>
      </c>
      <c r="I311" t="n">
        <v>0</v>
      </c>
      <c r="J311" t="n">
        <v>0</v>
      </c>
      <c r="K311" t="n">
        <v>0</v>
      </c>
      <c r="L311" t="n">
        <v>0</v>
      </c>
      <c r="M311" t="n">
        <v>0</v>
      </c>
      <c r="N311" t="n">
        <v>0</v>
      </c>
      <c r="O311" t="n">
        <v>0</v>
      </c>
      <c r="P311" t="n">
        <v>0</v>
      </c>
      <c r="Q311" t="n">
        <v>0</v>
      </c>
      <c r="R311" s="2" t="inlineStr"/>
    </row>
    <row r="312" ht="15" customHeight="1">
      <c r="A312" t="inlineStr">
        <is>
          <t>A 49408-2023</t>
        </is>
      </c>
      <c r="B312" s="1" t="n">
        <v>45211.43555555555</v>
      </c>
      <c r="C312" s="1" t="n">
        <v>46040</v>
      </c>
      <c r="D312" t="inlineStr">
        <is>
          <t>KALMAR LÄN</t>
        </is>
      </c>
      <c r="E312" t="inlineStr">
        <is>
          <t>VIMMERBY</t>
        </is>
      </c>
      <c r="G312" t="n">
        <v>13.1</v>
      </c>
      <c r="H312" t="n">
        <v>0</v>
      </c>
      <c r="I312" t="n">
        <v>0</v>
      </c>
      <c r="J312" t="n">
        <v>0</v>
      </c>
      <c r="K312" t="n">
        <v>0</v>
      </c>
      <c r="L312" t="n">
        <v>0</v>
      </c>
      <c r="M312" t="n">
        <v>0</v>
      </c>
      <c r="N312" t="n">
        <v>0</v>
      </c>
      <c r="O312" t="n">
        <v>0</v>
      </c>
      <c r="P312" t="n">
        <v>0</v>
      </c>
      <c r="Q312" t="n">
        <v>0</v>
      </c>
      <c r="R312" s="2" t="inlineStr"/>
    </row>
    <row r="313" ht="15" customHeight="1">
      <c r="A313" t="inlineStr">
        <is>
          <t>A 58503-2025</t>
        </is>
      </c>
      <c r="B313" s="1" t="n">
        <v>45985.69509259259</v>
      </c>
      <c r="C313" s="1" t="n">
        <v>46040</v>
      </c>
      <c r="D313" t="inlineStr">
        <is>
          <t>KALMAR LÄN</t>
        </is>
      </c>
      <c r="E313" t="inlineStr">
        <is>
          <t>VIMMERBY</t>
        </is>
      </c>
      <c r="G313" t="n">
        <v>1.6</v>
      </c>
      <c r="H313" t="n">
        <v>0</v>
      </c>
      <c r="I313" t="n">
        <v>0</v>
      </c>
      <c r="J313" t="n">
        <v>0</v>
      </c>
      <c r="K313" t="n">
        <v>0</v>
      </c>
      <c r="L313" t="n">
        <v>0</v>
      </c>
      <c r="M313" t="n">
        <v>0</v>
      </c>
      <c r="N313" t="n">
        <v>0</v>
      </c>
      <c r="O313" t="n">
        <v>0</v>
      </c>
      <c r="P313" t="n">
        <v>0</v>
      </c>
      <c r="Q313" t="n">
        <v>0</v>
      </c>
      <c r="R313" s="2" t="inlineStr"/>
    </row>
    <row r="314" ht="15" customHeight="1">
      <c r="A314" t="inlineStr">
        <is>
          <t>A 58446-2025</t>
        </is>
      </c>
      <c r="B314" s="1" t="n">
        <v>45985.62168981481</v>
      </c>
      <c r="C314" s="1" t="n">
        <v>46040</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58500-2025</t>
        </is>
      </c>
      <c r="B315" s="1" t="n">
        <v>45985.69008101852</v>
      </c>
      <c r="C315" s="1" t="n">
        <v>46040</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406-2026</t>
        </is>
      </c>
      <c r="B316" s="1" t="n">
        <v>46028.68663194445</v>
      </c>
      <c r="C316" s="1" t="n">
        <v>46040</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27443-2023</t>
        </is>
      </c>
      <c r="B317" s="1" t="n">
        <v>45097.40524305555</v>
      </c>
      <c r="C317" s="1" t="n">
        <v>46040</v>
      </c>
      <c r="D317" t="inlineStr">
        <is>
          <t>KALMAR LÄN</t>
        </is>
      </c>
      <c r="E317" t="inlineStr">
        <is>
          <t>VIMMERBY</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42828-2025</t>
        </is>
      </c>
      <c r="B318" s="1" t="n">
        <v>45908.57716435185</v>
      </c>
      <c r="C318" s="1" t="n">
        <v>46040</v>
      </c>
      <c r="D318" t="inlineStr">
        <is>
          <t>KALMAR LÄN</t>
        </is>
      </c>
      <c r="E318" t="inlineStr">
        <is>
          <t>VIMMERBY</t>
        </is>
      </c>
      <c r="G318" t="n">
        <v>5.2</v>
      </c>
      <c r="H318" t="n">
        <v>0</v>
      </c>
      <c r="I318" t="n">
        <v>0</v>
      </c>
      <c r="J318" t="n">
        <v>0</v>
      </c>
      <c r="K318" t="n">
        <v>0</v>
      </c>
      <c r="L318" t="n">
        <v>0</v>
      </c>
      <c r="M318" t="n">
        <v>0</v>
      </c>
      <c r="N318" t="n">
        <v>0</v>
      </c>
      <c r="O318" t="n">
        <v>0</v>
      </c>
      <c r="P318" t="n">
        <v>0</v>
      </c>
      <c r="Q318" t="n">
        <v>0</v>
      </c>
      <c r="R318" s="2" t="inlineStr"/>
    </row>
    <row r="319" ht="15" customHeight="1">
      <c r="A319" t="inlineStr">
        <is>
          <t>A 23341-2022</t>
        </is>
      </c>
      <c r="B319" s="1" t="n">
        <v>44720.53898148148</v>
      </c>
      <c r="C319" s="1" t="n">
        <v>46040</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8086-2021</t>
        </is>
      </c>
      <c r="B320" s="1" t="n">
        <v>44243</v>
      </c>
      <c r="C320" s="1" t="n">
        <v>46040</v>
      </c>
      <c r="D320" t="inlineStr">
        <is>
          <t>KALMAR LÄN</t>
        </is>
      </c>
      <c r="E320" t="inlineStr">
        <is>
          <t>VIMMERBY</t>
        </is>
      </c>
      <c r="G320" t="n">
        <v>4.1</v>
      </c>
      <c r="H320" t="n">
        <v>0</v>
      </c>
      <c r="I320" t="n">
        <v>0</v>
      </c>
      <c r="J320" t="n">
        <v>0</v>
      </c>
      <c r="K320" t="n">
        <v>0</v>
      </c>
      <c r="L320" t="n">
        <v>0</v>
      </c>
      <c r="M320" t="n">
        <v>0</v>
      </c>
      <c r="N320" t="n">
        <v>0</v>
      </c>
      <c r="O320" t="n">
        <v>0</v>
      </c>
      <c r="P320" t="n">
        <v>0</v>
      </c>
      <c r="Q320" t="n">
        <v>0</v>
      </c>
      <c r="R320" s="2" t="inlineStr"/>
    </row>
    <row r="321" ht="15" customHeight="1">
      <c r="A321" t="inlineStr">
        <is>
          <t>A 28395-2023</t>
        </is>
      </c>
      <c r="B321" s="1" t="n">
        <v>45100.4062962963</v>
      </c>
      <c r="C321" s="1" t="n">
        <v>46040</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58435-2025</t>
        </is>
      </c>
      <c r="B322" s="1" t="n">
        <v>45985.61501157407</v>
      </c>
      <c r="C322" s="1" t="n">
        <v>46040</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42794-2025</t>
        </is>
      </c>
      <c r="B323" s="1" t="n">
        <v>45908</v>
      </c>
      <c r="C323" s="1" t="n">
        <v>46040</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71793-2021</t>
        </is>
      </c>
      <c r="B324" s="1" t="n">
        <v>44539</v>
      </c>
      <c r="C324" s="1" t="n">
        <v>46040</v>
      </c>
      <c r="D324" t="inlineStr">
        <is>
          <t>KALMAR LÄN</t>
        </is>
      </c>
      <c r="E324" t="inlineStr">
        <is>
          <t>VIMMERBY</t>
        </is>
      </c>
      <c r="G324" t="n">
        <v>2.7</v>
      </c>
      <c r="H324" t="n">
        <v>0</v>
      </c>
      <c r="I324" t="n">
        <v>0</v>
      </c>
      <c r="J324" t="n">
        <v>0</v>
      </c>
      <c r="K324" t="n">
        <v>0</v>
      </c>
      <c r="L324" t="n">
        <v>0</v>
      </c>
      <c r="M324" t="n">
        <v>0</v>
      </c>
      <c r="N324" t="n">
        <v>0</v>
      </c>
      <c r="O324" t="n">
        <v>0</v>
      </c>
      <c r="P324" t="n">
        <v>0</v>
      </c>
      <c r="Q324" t="n">
        <v>0</v>
      </c>
      <c r="R324" s="2" t="inlineStr"/>
    </row>
    <row r="325" ht="15" customHeight="1">
      <c r="A325" t="inlineStr">
        <is>
          <t>A 18501-2024</t>
        </is>
      </c>
      <c r="B325" s="1" t="n">
        <v>45425.57538194444</v>
      </c>
      <c r="C325" s="1" t="n">
        <v>46040</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42820-2025</t>
        </is>
      </c>
      <c r="B326" s="1" t="n">
        <v>45908</v>
      </c>
      <c r="C326" s="1" t="n">
        <v>46040</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73938-2021</t>
        </is>
      </c>
      <c r="B327" s="1" t="n">
        <v>44553</v>
      </c>
      <c r="C327" s="1" t="n">
        <v>46040</v>
      </c>
      <c r="D327" t="inlineStr">
        <is>
          <t>KALMAR LÄN</t>
        </is>
      </c>
      <c r="E327" t="inlineStr">
        <is>
          <t>VIMMERBY</t>
        </is>
      </c>
      <c r="G327" t="n">
        <v>3.2</v>
      </c>
      <c r="H327" t="n">
        <v>0</v>
      </c>
      <c r="I327" t="n">
        <v>0</v>
      </c>
      <c r="J327" t="n">
        <v>0</v>
      </c>
      <c r="K327" t="n">
        <v>0</v>
      </c>
      <c r="L327" t="n">
        <v>0</v>
      </c>
      <c r="M327" t="n">
        <v>0</v>
      </c>
      <c r="N327" t="n">
        <v>0</v>
      </c>
      <c r="O327" t="n">
        <v>0</v>
      </c>
      <c r="P327" t="n">
        <v>0</v>
      </c>
      <c r="Q327" t="n">
        <v>0</v>
      </c>
      <c r="R327" s="2" t="inlineStr"/>
    </row>
    <row r="328" ht="15" customHeight="1">
      <c r="A328" t="inlineStr">
        <is>
          <t>A 6069-2023</t>
        </is>
      </c>
      <c r="B328" s="1" t="n">
        <v>44964.5115162037</v>
      </c>
      <c r="C328" s="1" t="n">
        <v>46040</v>
      </c>
      <c r="D328" t="inlineStr">
        <is>
          <t>KALMAR LÄN</t>
        </is>
      </c>
      <c r="E328" t="inlineStr">
        <is>
          <t>VIMMERBY</t>
        </is>
      </c>
      <c r="G328" t="n">
        <v>1.1</v>
      </c>
      <c r="H328" t="n">
        <v>0</v>
      </c>
      <c r="I328" t="n">
        <v>0</v>
      </c>
      <c r="J328" t="n">
        <v>0</v>
      </c>
      <c r="K328" t="n">
        <v>0</v>
      </c>
      <c r="L328" t="n">
        <v>0</v>
      </c>
      <c r="M328" t="n">
        <v>0</v>
      </c>
      <c r="N328" t="n">
        <v>0</v>
      </c>
      <c r="O328" t="n">
        <v>0</v>
      </c>
      <c r="P328" t="n">
        <v>0</v>
      </c>
      <c r="Q328" t="n">
        <v>0</v>
      </c>
      <c r="R328" s="2" t="inlineStr"/>
    </row>
    <row r="329" ht="15" customHeight="1">
      <c r="A329" t="inlineStr">
        <is>
          <t>A 25799-2023</t>
        </is>
      </c>
      <c r="B329" s="1" t="n">
        <v>45090</v>
      </c>
      <c r="C329" s="1" t="n">
        <v>46040</v>
      </c>
      <c r="D329" t="inlineStr">
        <is>
          <t>KALMAR LÄN</t>
        </is>
      </c>
      <c r="E329" t="inlineStr">
        <is>
          <t>VIMMERBY</t>
        </is>
      </c>
      <c r="G329" t="n">
        <v>7.7</v>
      </c>
      <c r="H329" t="n">
        <v>0</v>
      </c>
      <c r="I329" t="n">
        <v>0</v>
      </c>
      <c r="J329" t="n">
        <v>0</v>
      </c>
      <c r="K329" t="n">
        <v>0</v>
      </c>
      <c r="L329" t="n">
        <v>0</v>
      </c>
      <c r="M329" t="n">
        <v>0</v>
      </c>
      <c r="N329" t="n">
        <v>0</v>
      </c>
      <c r="O329" t="n">
        <v>0</v>
      </c>
      <c r="P329" t="n">
        <v>0</v>
      </c>
      <c r="Q329" t="n">
        <v>0</v>
      </c>
      <c r="R329" s="2" t="inlineStr"/>
    </row>
    <row r="330" ht="15" customHeight="1">
      <c r="A330" t="inlineStr">
        <is>
          <t>A 16015-2025</t>
        </is>
      </c>
      <c r="B330" s="1" t="n">
        <v>45749.60487268519</v>
      </c>
      <c r="C330" s="1" t="n">
        <v>46040</v>
      </c>
      <c r="D330" t="inlineStr">
        <is>
          <t>KALMAR LÄN</t>
        </is>
      </c>
      <c r="E330" t="inlineStr">
        <is>
          <t>VIMMERBY</t>
        </is>
      </c>
      <c r="F330" t="inlineStr">
        <is>
          <t>Kyrkan</t>
        </is>
      </c>
      <c r="G330" t="n">
        <v>2.7</v>
      </c>
      <c r="H330" t="n">
        <v>0</v>
      </c>
      <c r="I330" t="n">
        <v>0</v>
      </c>
      <c r="J330" t="n">
        <v>0</v>
      </c>
      <c r="K330" t="n">
        <v>0</v>
      </c>
      <c r="L330" t="n">
        <v>0</v>
      </c>
      <c r="M330" t="n">
        <v>0</v>
      </c>
      <c r="N330" t="n">
        <v>0</v>
      </c>
      <c r="O330" t="n">
        <v>0</v>
      </c>
      <c r="P330" t="n">
        <v>0</v>
      </c>
      <c r="Q330" t="n">
        <v>0</v>
      </c>
      <c r="R330" s="2" t="inlineStr"/>
    </row>
    <row r="331" ht="15" customHeight="1">
      <c r="A331" t="inlineStr">
        <is>
          <t>A 59037-2025</t>
        </is>
      </c>
      <c r="B331" s="1" t="n">
        <v>45988.36508101852</v>
      </c>
      <c r="C331" s="1" t="n">
        <v>46040</v>
      </c>
      <c r="D331" t="inlineStr">
        <is>
          <t>KALMAR LÄN</t>
        </is>
      </c>
      <c r="E331" t="inlineStr">
        <is>
          <t>VIMMERBY</t>
        </is>
      </c>
      <c r="F331" t="inlineStr">
        <is>
          <t>Sveaskog</t>
        </is>
      </c>
      <c r="G331" t="n">
        <v>4</v>
      </c>
      <c r="H331" t="n">
        <v>0</v>
      </c>
      <c r="I331" t="n">
        <v>0</v>
      </c>
      <c r="J331" t="n">
        <v>0</v>
      </c>
      <c r="K331" t="n">
        <v>0</v>
      </c>
      <c r="L331" t="n">
        <v>0</v>
      </c>
      <c r="M331" t="n">
        <v>0</v>
      </c>
      <c r="N331" t="n">
        <v>0</v>
      </c>
      <c r="O331" t="n">
        <v>0</v>
      </c>
      <c r="P331" t="n">
        <v>0</v>
      </c>
      <c r="Q331" t="n">
        <v>0</v>
      </c>
      <c r="R331" s="2" t="inlineStr"/>
    </row>
    <row r="332" ht="15" customHeight="1">
      <c r="A332" t="inlineStr">
        <is>
          <t>A 59034-2025</t>
        </is>
      </c>
      <c r="B332" s="1" t="n">
        <v>45988.36243055556</v>
      </c>
      <c r="C332" s="1" t="n">
        <v>46040</v>
      </c>
      <c r="D332" t="inlineStr">
        <is>
          <t>KALMAR LÄN</t>
        </is>
      </c>
      <c r="E332" t="inlineStr">
        <is>
          <t>VIMMERBY</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57256-2023</t>
        </is>
      </c>
      <c r="B333" s="1" t="n">
        <v>45245.5735300926</v>
      </c>
      <c r="C333" s="1" t="n">
        <v>46040</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59068-2025</t>
        </is>
      </c>
      <c r="B334" s="1" t="n">
        <v>45988.41725694444</v>
      </c>
      <c r="C334" s="1" t="n">
        <v>46040</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23088-2024</t>
        </is>
      </c>
      <c r="B335" s="1" t="n">
        <v>45450.51092592593</v>
      </c>
      <c r="C335" s="1" t="n">
        <v>46040</v>
      </c>
      <c r="D335" t="inlineStr">
        <is>
          <t>KALMAR LÄN</t>
        </is>
      </c>
      <c r="E335" t="inlineStr">
        <is>
          <t>VIMMERBY</t>
        </is>
      </c>
      <c r="G335" t="n">
        <v>1.9</v>
      </c>
      <c r="H335" t="n">
        <v>0</v>
      </c>
      <c r="I335" t="n">
        <v>0</v>
      </c>
      <c r="J335" t="n">
        <v>0</v>
      </c>
      <c r="K335" t="n">
        <v>0</v>
      </c>
      <c r="L335" t="n">
        <v>0</v>
      </c>
      <c r="M335" t="n">
        <v>0</v>
      </c>
      <c r="N335" t="n">
        <v>0</v>
      </c>
      <c r="O335" t="n">
        <v>0</v>
      </c>
      <c r="P335" t="n">
        <v>0</v>
      </c>
      <c r="Q335" t="n">
        <v>0</v>
      </c>
      <c r="R335" s="2" t="inlineStr"/>
    </row>
    <row r="336" ht="15" customHeight="1">
      <c r="A336" t="inlineStr">
        <is>
          <t>A 34060-2025</t>
        </is>
      </c>
      <c r="B336" s="1" t="n">
        <v>45845.42015046296</v>
      </c>
      <c r="C336" s="1" t="n">
        <v>46040</v>
      </c>
      <c r="D336" t="inlineStr">
        <is>
          <t>KALMAR LÄN</t>
        </is>
      </c>
      <c r="E336" t="inlineStr">
        <is>
          <t>VIMMERBY</t>
        </is>
      </c>
      <c r="G336" t="n">
        <v>5.7</v>
      </c>
      <c r="H336" t="n">
        <v>0</v>
      </c>
      <c r="I336" t="n">
        <v>0</v>
      </c>
      <c r="J336" t="n">
        <v>0</v>
      </c>
      <c r="K336" t="n">
        <v>0</v>
      </c>
      <c r="L336" t="n">
        <v>0</v>
      </c>
      <c r="M336" t="n">
        <v>0</v>
      </c>
      <c r="N336" t="n">
        <v>0</v>
      </c>
      <c r="O336" t="n">
        <v>0</v>
      </c>
      <c r="P336" t="n">
        <v>0</v>
      </c>
      <c r="Q336" t="n">
        <v>0</v>
      </c>
      <c r="R336" s="2" t="inlineStr"/>
    </row>
    <row r="337" ht="15" customHeight="1">
      <c r="A337" t="inlineStr">
        <is>
          <t>A 58858-2025</t>
        </is>
      </c>
      <c r="B337" s="1" t="n">
        <v>45987.4243287037</v>
      </c>
      <c r="C337" s="1" t="n">
        <v>46040</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57189-2022</t>
        </is>
      </c>
      <c r="B338" s="1" t="n">
        <v>44895.62296296296</v>
      </c>
      <c r="C338" s="1" t="n">
        <v>46040</v>
      </c>
      <c r="D338" t="inlineStr">
        <is>
          <t>KALMAR LÄN</t>
        </is>
      </c>
      <c r="E338" t="inlineStr">
        <is>
          <t>VIMMERBY</t>
        </is>
      </c>
      <c r="G338" t="n">
        <v>0.8</v>
      </c>
      <c r="H338" t="n">
        <v>0</v>
      </c>
      <c r="I338" t="n">
        <v>0</v>
      </c>
      <c r="J338" t="n">
        <v>0</v>
      </c>
      <c r="K338" t="n">
        <v>0</v>
      </c>
      <c r="L338" t="n">
        <v>0</v>
      </c>
      <c r="M338" t="n">
        <v>0</v>
      </c>
      <c r="N338" t="n">
        <v>0</v>
      </c>
      <c r="O338" t="n">
        <v>0</v>
      </c>
      <c r="P338" t="n">
        <v>0</v>
      </c>
      <c r="Q338" t="n">
        <v>0</v>
      </c>
      <c r="R338" s="2" t="inlineStr"/>
    </row>
    <row r="339" ht="15" customHeight="1">
      <c r="A339" t="inlineStr">
        <is>
          <t>A 1987-2024</t>
        </is>
      </c>
      <c r="B339" s="1" t="n">
        <v>45308.61152777778</v>
      </c>
      <c r="C339" s="1" t="n">
        <v>46040</v>
      </c>
      <c r="D339" t="inlineStr">
        <is>
          <t>KALMAR LÄN</t>
        </is>
      </c>
      <c r="E339" t="inlineStr">
        <is>
          <t>VIMMERBY</t>
        </is>
      </c>
      <c r="G339" t="n">
        <v>3</v>
      </c>
      <c r="H339" t="n">
        <v>0</v>
      </c>
      <c r="I339" t="n">
        <v>0</v>
      </c>
      <c r="J339" t="n">
        <v>0</v>
      </c>
      <c r="K339" t="n">
        <v>0</v>
      </c>
      <c r="L339" t="n">
        <v>0</v>
      </c>
      <c r="M339" t="n">
        <v>0</v>
      </c>
      <c r="N339" t="n">
        <v>0</v>
      </c>
      <c r="O339" t="n">
        <v>0</v>
      </c>
      <c r="P339" t="n">
        <v>0</v>
      </c>
      <c r="Q339" t="n">
        <v>0</v>
      </c>
      <c r="R339" s="2" t="inlineStr"/>
    </row>
    <row r="340" ht="15" customHeight="1">
      <c r="A340" t="inlineStr">
        <is>
          <t>A 527-2024</t>
        </is>
      </c>
      <c r="B340" s="1" t="n">
        <v>45299.47513888889</v>
      </c>
      <c r="C340" s="1" t="n">
        <v>46040</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59039-2025</t>
        </is>
      </c>
      <c r="B341" s="1" t="n">
        <v>45988.36790509259</v>
      </c>
      <c r="C341" s="1" t="n">
        <v>46040</v>
      </c>
      <c r="D341" t="inlineStr">
        <is>
          <t>KALMAR LÄN</t>
        </is>
      </c>
      <c r="E341" t="inlineStr">
        <is>
          <t>VIMMERBY</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61937-2025</t>
        </is>
      </c>
      <c r="B342" s="1" t="n">
        <v>46003</v>
      </c>
      <c r="C342" s="1" t="n">
        <v>46040</v>
      </c>
      <c r="D342" t="inlineStr">
        <is>
          <t>KALMAR LÄN</t>
        </is>
      </c>
      <c r="E342" t="inlineStr">
        <is>
          <t>VIMMERBY</t>
        </is>
      </c>
      <c r="G342" t="n">
        <v>3.4</v>
      </c>
      <c r="H342" t="n">
        <v>0</v>
      </c>
      <c r="I342" t="n">
        <v>0</v>
      </c>
      <c r="J342" t="n">
        <v>0</v>
      </c>
      <c r="K342" t="n">
        <v>0</v>
      </c>
      <c r="L342" t="n">
        <v>0</v>
      </c>
      <c r="M342" t="n">
        <v>0</v>
      </c>
      <c r="N342" t="n">
        <v>0</v>
      </c>
      <c r="O342" t="n">
        <v>0</v>
      </c>
      <c r="P342" t="n">
        <v>0</v>
      </c>
      <c r="Q342" t="n">
        <v>0</v>
      </c>
      <c r="R342" s="2" t="inlineStr"/>
    </row>
    <row r="343" ht="15" customHeight="1">
      <c r="A343" t="inlineStr">
        <is>
          <t>A 50995-2022</t>
        </is>
      </c>
      <c r="B343" s="1" t="n">
        <v>44867</v>
      </c>
      <c r="C343" s="1" t="n">
        <v>46040</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27122-2023</t>
        </is>
      </c>
      <c r="B344" s="1" t="n">
        <v>45096.45247685185</v>
      </c>
      <c r="C344" s="1" t="n">
        <v>46040</v>
      </c>
      <c r="D344" t="inlineStr">
        <is>
          <t>KALMAR LÄN</t>
        </is>
      </c>
      <c r="E344" t="inlineStr">
        <is>
          <t>VIMMERBY</t>
        </is>
      </c>
      <c r="G344" t="n">
        <v>1.7</v>
      </c>
      <c r="H344" t="n">
        <v>0</v>
      </c>
      <c r="I344" t="n">
        <v>0</v>
      </c>
      <c r="J344" t="n">
        <v>0</v>
      </c>
      <c r="K344" t="n">
        <v>0</v>
      </c>
      <c r="L344" t="n">
        <v>0</v>
      </c>
      <c r="M344" t="n">
        <v>0</v>
      </c>
      <c r="N344" t="n">
        <v>0</v>
      </c>
      <c r="O344" t="n">
        <v>0</v>
      </c>
      <c r="P344" t="n">
        <v>0</v>
      </c>
      <c r="Q344" t="n">
        <v>0</v>
      </c>
      <c r="R344" s="2" t="inlineStr"/>
    </row>
    <row r="345" ht="15" customHeight="1">
      <c r="A345" t="inlineStr">
        <is>
          <t>A 30402-2023</t>
        </is>
      </c>
      <c r="B345" s="1" t="n">
        <v>45111.48395833333</v>
      </c>
      <c r="C345" s="1" t="n">
        <v>46040</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37192-2024</t>
        </is>
      </c>
      <c r="B346" s="1" t="n">
        <v>45539.66027777778</v>
      </c>
      <c r="C346" s="1" t="n">
        <v>46040</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58841-2025</t>
        </is>
      </c>
      <c r="B347" s="1" t="n">
        <v>45987.36275462963</v>
      </c>
      <c r="C347" s="1" t="n">
        <v>46040</v>
      </c>
      <c r="D347" t="inlineStr">
        <is>
          <t>KALMAR LÄN</t>
        </is>
      </c>
      <c r="E347" t="inlineStr">
        <is>
          <t>VIMMERBY</t>
        </is>
      </c>
      <c r="G347" t="n">
        <v>3.5</v>
      </c>
      <c r="H347" t="n">
        <v>0</v>
      </c>
      <c r="I347" t="n">
        <v>0</v>
      </c>
      <c r="J347" t="n">
        <v>0</v>
      </c>
      <c r="K347" t="n">
        <v>0</v>
      </c>
      <c r="L347" t="n">
        <v>0</v>
      </c>
      <c r="M347" t="n">
        <v>0</v>
      </c>
      <c r="N347" t="n">
        <v>0</v>
      </c>
      <c r="O347" t="n">
        <v>0</v>
      </c>
      <c r="P347" t="n">
        <v>0</v>
      </c>
      <c r="Q347" t="n">
        <v>0</v>
      </c>
      <c r="R347" s="2" t="inlineStr"/>
    </row>
    <row r="348" ht="15" customHeight="1">
      <c r="A348" t="inlineStr">
        <is>
          <t>A 47842-2024</t>
        </is>
      </c>
      <c r="B348" s="1" t="n">
        <v>45588.65545138889</v>
      </c>
      <c r="C348" s="1" t="n">
        <v>46040</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47063-2022</t>
        </is>
      </c>
      <c r="B349" s="1" t="n">
        <v>44852</v>
      </c>
      <c r="C349" s="1" t="n">
        <v>46040</v>
      </c>
      <c r="D349" t="inlineStr">
        <is>
          <t>KALMAR LÄN</t>
        </is>
      </c>
      <c r="E349" t="inlineStr">
        <is>
          <t>VIMMERBY</t>
        </is>
      </c>
      <c r="G349" t="n">
        <v>2.5</v>
      </c>
      <c r="H349" t="n">
        <v>0</v>
      </c>
      <c r="I349" t="n">
        <v>0</v>
      </c>
      <c r="J349" t="n">
        <v>0</v>
      </c>
      <c r="K349" t="n">
        <v>0</v>
      </c>
      <c r="L349" t="n">
        <v>0</v>
      </c>
      <c r="M349" t="n">
        <v>0</v>
      </c>
      <c r="N349" t="n">
        <v>0</v>
      </c>
      <c r="O349" t="n">
        <v>0</v>
      </c>
      <c r="P349" t="n">
        <v>0</v>
      </c>
      <c r="Q349" t="n">
        <v>0</v>
      </c>
      <c r="R349" s="2" t="inlineStr"/>
    </row>
    <row r="350" ht="15" customHeight="1">
      <c r="A350" t="inlineStr">
        <is>
          <t>A 12819-2024</t>
        </is>
      </c>
      <c r="B350" s="1" t="n">
        <v>45384.66917824074</v>
      </c>
      <c r="C350" s="1" t="n">
        <v>46040</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842-2026</t>
        </is>
      </c>
      <c r="B351" s="1" t="n">
        <v>46030.380625</v>
      </c>
      <c r="C351" s="1" t="n">
        <v>46040</v>
      </c>
      <c r="D351" t="inlineStr">
        <is>
          <t>KALMAR LÄN</t>
        </is>
      </c>
      <c r="E351" t="inlineStr">
        <is>
          <t>VIMMERBY</t>
        </is>
      </c>
      <c r="G351" t="n">
        <v>0.9</v>
      </c>
      <c r="H351" t="n">
        <v>0</v>
      </c>
      <c r="I351" t="n">
        <v>0</v>
      </c>
      <c r="J351" t="n">
        <v>0</v>
      </c>
      <c r="K351" t="n">
        <v>0</v>
      </c>
      <c r="L351" t="n">
        <v>0</v>
      </c>
      <c r="M351" t="n">
        <v>0</v>
      </c>
      <c r="N351" t="n">
        <v>0</v>
      </c>
      <c r="O351" t="n">
        <v>0</v>
      </c>
      <c r="P351" t="n">
        <v>0</v>
      </c>
      <c r="Q351" t="n">
        <v>0</v>
      </c>
      <c r="R351" s="2" t="inlineStr"/>
    </row>
    <row r="352" ht="15" customHeight="1">
      <c r="A352" t="inlineStr">
        <is>
          <t>A 6857-2023</t>
        </is>
      </c>
      <c r="B352" s="1" t="n">
        <v>44967.45122685185</v>
      </c>
      <c r="C352" s="1" t="n">
        <v>46040</v>
      </c>
      <c r="D352" t="inlineStr">
        <is>
          <t>KALMAR LÄN</t>
        </is>
      </c>
      <c r="E352" t="inlineStr">
        <is>
          <t>VIMMERBY</t>
        </is>
      </c>
      <c r="G352" t="n">
        <v>2.1</v>
      </c>
      <c r="H352" t="n">
        <v>0</v>
      </c>
      <c r="I352" t="n">
        <v>0</v>
      </c>
      <c r="J352" t="n">
        <v>0</v>
      </c>
      <c r="K352" t="n">
        <v>0</v>
      </c>
      <c r="L352" t="n">
        <v>0</v>
      </c>
      <c r="M352" t="n">
        <v>0</v>
      </c>
      <c r="N352" t="n">
        <v>0</v>
      </c>
      <c r="O352" t="n">
        <v>0</v>
      </c>
      <c r="P352" t="n">
        <v>0</v>
      </c>
      <c r="Q352" t="n">
        <v>0</v>
      </c>
      <c r="R352" s="2" t="inlineStr"/>
    </row>
    <row r="353" ht="15" customHeight="1">
      <c r="A353" t="inlineStr">
        <is>
          <t>A 43617-2025</t>
        </is>
      </c>
      <c r="B353" s="1" t="n">
        <v>45911.67798611111</v>
      </c>
      <c r="C353" s="1" t="n">
        <v>46040</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31382-2023</t>
        </is>
      </c>
      <c r="B354" s="1" t="n">
        <v>45114.55136574074</v>
      </c>
      <c r="C354" s="1" t="n">
        <v>46040</v>
      </c>
      <c r="D354" t="inlineStr">
        <is>
          <t>KALMAR LÄN</t>
        </is>
      </c>
      <c r="E354" t="inlineStr">
        <is>
          <t>VIMMERBY</t>
        </is>
      </c>
      <c r="G354" t="n">
        <v>3.7</v>
      </c>
      <c r="H354" t="n">
        <v>0</v>
      </c>
      <c r="I354" t="n">
        <v>0</v>
      </c>
      <c r="J354" t="n">
        <v>0</v>
      </c>
      <c r="K354" t="n">
        <v>0</v>
      </c>
      <c r="L354" t="n">
        <v>0</v>
      </c>
      <c r="M354" t="n">
        <v>0</v>
      </c>
      <c r="N354" t="n">
        <v>0</v>
      </c>
      <c r="O354" t="n">
        <v>0</v>
      </c>
      <c r="P354" t="n">
        <v>0</v>
      </c>
      <c r="Q354" t="n">
        <v>0</v>
      </c>
      <c r="R354" s="2" t="inlineStr"/>
    </row>
    <row r="355" ht="15" customHeight="1">
      <c r="A355" t="inlineStr">
        <is>
          <t>A 11073-2023</t>
        </is>
      </c>
      <c r="B355" s="1" t="n">
        <v>44992</v>
      </c>
      <c r="C355" s="1" t="n">
        <v>46040</v>
      </c>
      <c r="D355" t="inlineStr">
        <is>
          <t>KALMAR LÄN</t>
        </is>
      </c>
      <c r="E355" t="inlineStr">
        <is>
          <t>VIMMERBY</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59955-2023</t>
        </is>
      </c>
      <c r="B356" s="1" t="n">
        <v>45257.70313657408</v>
      </c>
      <c r="C356" s="1" t="n">
        <v>46040</v>
      </c>
      <c r="D356" t="inlineStr">
        <is>
          <t>KALMAR LÄN</t>
        </is>
      </c>
      <c r="E356" t="inlineStr">
        <is>
          <t>VIMMERBY</t>
        </is>
      </c>
      <c r="G356" t="n">
        <v>13.8</v>
      </c>
      <c r="H356" t="n">
        <v>0</v>
      </c>
      <c r="I356" t="n">
        <v>0</v>
      </c>
      <c r="J356" t="n">
        <v>0</v>
      </c>
      <c r="K356" t="n">
        <v>0</v>
      </c>
      <c r="L356" t="n">
        <v>0</v>
      </c>
      <c r="M356" t="n">
        <v>0</v>
      </c>
      <c r="N356" t="n">
        <v>0</v>
      </c>
      <c r="O356" t="n">
        <v>0</v>
      </c>
      <c r="P356" t="n">
        <v>0</v>
      </c>
      <c r="Q356" t="n">
        <v>0</v>
      </c>
      <c r="R356" s="2" t="inlineStr"/>
    </row>
    <row r="357" ht="15" customHeight="1">
      <c r="A357" t="inlineStr">
        <is>
          <t>A 36802-2021</t>
        </is>
      </c>
      <c r="B357" s="1" t="n">
        <v>44392</v>
      </c>
      <c r="C357" s="1" t="n">
        <v>46040</v>
      </c>
      <c r="D357" t="inlineStr">
        <is>
          <t>KALMAR LÄN</t>
        </is>
      </c>
      <c r="E357" t="inlineStr">
        <is>
          <t>VIMMERBY</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61820-2023</t>
        </is>
      </c>
      <c r="B358" s="1" t="n">
        <v>45266.32614583334</v>
      </c>
      <c r="C358" s="1" t="n">
        <v>46040</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579-2026</t>
        </is>
      </c>
      <c r="B359" s="1" t="n">
        <v>46029.47912037037</v>
      </c>
      <c r="C359" s="1" t="n">
        <v>46040</v>
      </c>
      <c r="D359" t="inlineStr">
        <is>
          <t>KALMAR LÄN</t>
        </is>
      </c>
      <c r="E359" t="inlineStr">
        <is>
          <t>VIMMERBY</t>
        </is>
      </c>
      <c r="G359" t="n">
        <v>3</v>
      </c>
      <c r="H359" t="n">
        <v>0</v>
      </c>
      <c r="I359" t="n">
        <v>0</v>
      </c>
      <c r="J359" t="n">
        <v>0</v>
      </c>
      <c r="K359" t="n">
        <v>0</v>
      </c>
      <c r="L359" t="n">
        <v>0</v>
      </c>
      <c r="M359" t="n">
        <v>0</v>
      </c>
      <c r="N359" t="n">
        <v>0</v>
      </c>
      <c r="O359" t="n">
        <v>0</v>
      </c>
      <c r="P359" t="n">
        <v>0</v>
      </c>
      <c r="Q359" t="n">
        <v>0</v>
      </c>
      <c r="R359" s="2" t="inlineStr"/>
    </row>
    <row r="360" ht="15" customHeight="1">
      <c r="A360" t="inlineStr">
        <is>
          <t>A 46224-2024</t>
        </is>
      </c>
      <c r="B360" s="1" t="n">
        <v>45581.57016203704</v>
      </c>
      <c r="C360" s="1" t="n">
        <v>46040</v>
      </c>
      <c r="D360" t="inlineStr">
        <is>
          <t>KALMAR LÄN</t>
        </is>
      </c>
      <c r="E360" t="inlineStr">
        <is>
          <t>VIMMERBY</t>
        </is>
      </c>
      <c r="G360" t="n">
        <v>3.1</v>
      </c>
      <c r="H360" t="n">
        <v>0</v>
      </c>
      <c r="I360" t="n">
        <v>0</v>
      </c>
      <c r="J360" t="n">
        <v>0</v>
      </c>
      <c r="K360" t="n">
        <v>0</v>
      </c>
      <c r="L360" t="n">
        <v>0</v>
      </c>
      <c r="M360" t="n">
        <v>0</v>
      </c>
      <c r="N360" t="n">
        <v>0</v>
      </c>
      <c r="O360" t="n">
        <v>0</v>
      </c>
      <c r="P360" t="n">
        <v>0</v>
      </c>
      <c r="Q360" t="n">
        <v>0</v>
      </c>
      <c r="R360" s="2" t="inlineStr"/>
    </row>
    <row r="361" ht="15" customHeight="1">
      <c r="A361" t="inlineStr">
        <is>
          <t>A 43465-2025</t>
        </is>
      </c>
      <c r="B361" s="1" t="n">
        <v>45911.47138888889</v>
      </c>
      <c r="C361" s="1" t="n">
        <v>46040</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29013-2024</t>
        </is>
      </c>
      <c r="B362" s="1" t="n">
        <v>45481.55984953704</v>
      </c>
      <c r="C362" s="1" t="n">
        <v>46040</v>
      </c>
      <c r="D362" t="inlineStr">
        <is>
          <t>KALMAR LÄN</t>
        </is>
      </c>
      <c r="E362" t="inlineStr">
        <is>
          <t>VIMMERBY</t>
        </is>
      </c>
      <c r="G362" t="n">
        <v>3.4</v>
      </c>
      <c r="H362" t="n">
        <v>0</v>
      </c>
      <c r="I362" t="n">
        <v>0</v>
      </c>
      <c r="J362" t="n">
        <v>0</v>
      </c>
      <c r="K362" t="n">
        <v>0</v>
      </c>
      <c r="L362" t="n">
        <v>0</v>
      </c>
      <c r="M362" t="n">
        <v>0</v>
      </c>
      <c r="N362" t="n">
        <v>0</v>
      </c>
      <c r="O362" t="n">
        <v>0</v>
      </c>
      <c r="P362" t="n">
        <v>0</v>
      </c>
      <c r="Q362" t="n">
        <v>0</v>
      </c>
      <c r="R362" s="2" t="inlineStr"/>
    </row>
    <row r="363" ht="15" customHeight="1">
      <c r="A363" t="inlineStr">
        <is>
          <t>A 1748-2026</t>
        </is>
      </c>
      <c r="B363" s="1" t="n">
        <v>46034.65589120371</v>
      </c>
      <c r="C363" s="1" t="n">
        <v>46040</v>
      </c>
      <c r="D363" t="inlineStr">
        <is>
          <t>KALMAR LÄN</t>
        </is>
      </c>
      <c r="E363" t="inlineStr">
        <is>
          <t>VIMMERBY</t>
        </is>
      </c>
      <c r="G363" t="n">
        <v>0.9</v>
      </c>
      <c r="H363" t="n">
        <v>0</v>
      </c>
      <c r="I363" t="n">
        <v>0</v>
      </c>
      <c r="J363" t="n">
        <v>0</v>
      </c>
      <c r="K363" t="n">
        <v>0</v>
      </c>
      <c r="L363" t="n">
        <v>0</v>
      </c>
      <c r="M363" t="n">
        <v>0</v>
      </c>
      <c r="N363" t="n">
        <v>0</v>
      </c>
      <c r="O363" t="n">
        <v>0</v>
      </c>
      <c r="P363" t="n">
        <v>0</v>
      </c>
      <c r="Q363" t="n">
        <v>0</v>
      </c>
      <c r="R363" s="2" t="inlineStr"/>
    </row>
    <row r="364" ht="15" customHeight="1">
      <c r="A364" t="inlineStr">
        <is>
          <t>A 37028-2024</t>
        </is>
      </c>
      <c r="B364" s="1" t="n">
        <v>45539.38744212963</v>
      </c>
      <c r="C364" s="1" t="n">
        <v>46040</v>
      </c>
      <c r="D364" t="inlineStr">
        <is>
          <t>KALMAR LÄN</t>
        </is>
      </c>
      <c r="E364" t="inlineStr">
        <is>
          <t>VIMMERBY</t>
        </is>
      </c>
      <c r="G364" t="n">
        <v>5.2</v>
      </c>
      <c r="H364" t="n">
        <v>0</v>
      </c>
      <c r="I364" t="n">
        <v>0</v>
      </c>
      <c r="J364" t="n">
        <v>0</v>
      </c>
      <c r="K364" t="n">
        <v>0</v>
      </c>
      <c r="L364" t="n">
        <v>0</v>
      </c>
      <c r="M364" t="n">
        <v>0</v>
      </c>
      <c r="N364" t="n">
        <v>0</v>
      </c>
      <c r="O364" t="n">
        <v>0</v>
      </c>
      <c r="P364" t="n">
        <v>0</v>
      </c>
      <c r="Q364" t="n">
        <v>0</v>
      </c>
      <c r="R364" s="2" t="inlineStr"/>
    </row>
    <row r="365" ht="15" customHeight="1">
      <c r="A365" t="inlineStr">
        <is>
          <t>A 3269-2024</t>
        </is>
      </c>
      <c r="B365" s="1" t="n">
        <v>45317.40372685185</v>
      </c>
      <c r="C365" s="1" t="n">
        <v>46040</v>
      </c>
      <c r="D365" t="inlineStr">
        <is>
          <t>KALMAR LÄN</t>
        </is>
      </c>
      <c r="E365" t="inlineStr">
        <is>
          <t>VIMMERBY</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1069-2026</t>
        </is>
      </c>
      <c r="B366" s="1" t="n">
        <v>46030</v>
      </c>
      <c r="C366" s="1" t="n">
        <v>46040</v>
      </c>
      <c r="D366" t="inlineStr">
        <is>
          <t>KALMAR LÄN</t>
        </is>
      </c>
      <c r="E366" t="inlineStr">
        <is>
          <t>VIMMERBY</t>
        </is>
      </c>
      <c r="G366" t="n">
        <v>3.3</v>
      </c>
      <c r="H366" t="n">
        <v>0</v>
      </c>
      <c r="I366" t="n">
        <v>0</v>
      </c>
      <c r="J366" t="n">
        <v>0</v>
      </c>
      <c r="K366" t="n">
        <v>0</v>
      </c>
      <c r="L366" t="n">
        <v>0</v>
      </c>
      <c r="M366" t="n">
        <v>0</v>
      </c>
      <c r="N366" t="n">
        <v>0</v>
      </c>
      <c r="O366" t="n">
        <v>0</v>
      </c>
      <c r="P366" t="n">
        <v>0</v>
      </c>
      <c r="Q366" t="n">
        <v>0</v>
      </c>
      <c r="R366" s="2" t="inlineStr"/>
    </row>
    <row r="367" ht="15" customHeight="1">
      <c r="A367" t="inlineStr">
        <is>
          <t>A 1734-2026</t>
        </is>
      </c>
      <c r="B367" s="1" t="n">
        <v>46034</v>
      </c>
      <c r="C367" s="1" t="n">
        <v>46040</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37187-2024</t>
        </is>
      </c>
      <c r="B368" s="1" t="n">
        <v>45539.65212962963</v>
      </c>
      <c r="C368" s="1" t="n">
        <v>46040</v>
      </c>
      <c r="D368" t="inlineStr">
        <is>
          <t>KALMAR LÄN</t>
        </is>
      </c>
      <c r="E368" t="inlineStr">
        <is>
          <t>VIMMERBY</t>
        </is>
      </c>
      <c r="G368" t="n">
        <v>2.7</v>
      </c>
      <c r="H368" t="n">
        <v>0</v>
      </c>
      <c r="I368" t="n">
        <v>0</v>
      </c>
      <c r="J368" t="n">
        <v>0</v>
      </c>
      <c r="K368" t="n">
        <v>0</v>
      </c>
      <c r="L368" t="n">
        <v>0</v>
      </c>
      <c r="M368" t="n">
        <v>0</v>
      </c>
      <c r="N368" t="n">
        <v>0</v>
      </c>
      <c r="O368" t="n">
        <v>0</v>
      </c>
      <c r="P368" t="n">
        <v>0</v>
      </c>
      <c r="Q368" t="n">
        <v>0</v>
      </c>
      <c r="R368" s="2" t="inlineStr"/>
    </row>
    <row r="369" ht="15" customHeight="1">
      <c r="A369" t="inlineStr">
        <is>
          <t>A 44329-2025</t>
        </is>
      </c>
      <c r="B369" s="1" t="n">
        <v>45916.41019675926</v>
      </c>
      <c r="C369" s="1" t="n">
        <v>46040</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44517-2025</t>
        </is>
      </c>
      <c r="B370" s="1" t="n">
        <v>45916.7103587963</v>
      </c>
      <c r="C370" s="1" t="n">
        <v>46040</v>
      </c>
      <c r="D370" t="inlineStr">
        <is>
          <t>KALMAR LÄN</t>
        </is>
      </c>
      <c r="E370" t="inlineStr">
        <is>
          <t>VIMMERBY</t>
        </is>
      </c>
      <c r="G370" t="n">
        <v>0.9</v>
      </c>
      <c r="H370" t="n">
        <v>0</v>
      </c>
      <c r="I370" t="n">
        <v>0</v>
      </c>
      <c r="J370" t="n">
        <v>0</v>
      </c>
      <c r="K370" t="n">
        <v>0</v>
      </c>
      <c r="L370" t="n">
        <v>0</v>
      </c>
      <c r="M370" t="n">
        <v>0</v>
      </c>
      <c r="N370" t="n">
        <v>0</v>
      </c>
      <c r="O370" t="n">
        <v>0</v>
      </c>
      <c r="P370" t="n">
        <v>0</v>
      </c>
      <c r="Q370" t="n">
        <v>0</v>
      </c>
      <c r="R370" s="2" t="inlineStr"/>
    </row>
    <row r="371" ht="15" customHeight="1">
      <c r="A371" t="inlineStr">
        <is>
          <t>A 2157-2024</t>
        </is>
      </c>
      <c r="B371" s="1" t="n">
        <v>45309.59487268519</v>
      </c>
      <c r="C371" s="1" t="n">
        <v>46040</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12630-2023</t>
        </is>
      </c>
      <c r="B372" s="1" t="n">
        <v>45000.47998842593</v>
      </c>
      <c r="C372" s="1" t="n">
        <v>46040</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9416-2024</t>
        </is>
      </c>
      <c r="B373" s="1" t="n">
        <v>45359.44837962963</v>
      </c>
      <c r="C373" s="1" t="n">
        <v>46040</v>
      </c>
      <c r="D373" t="inlineStr">
        <is>
          <t>KALMAR LÄN</t>
        </is>
      </c>
      <c r="E373" t="inlineStr">
        <is>
          <t>VIMMERBY</t>
        </is>
      </c>
      <c r="G373" t="n">
        <v>3.2</v>
      </c>
      <c r="H373" t="n">
        <v>0</v>
      </c>
      <c r="I373" t="n">
        <v>0</v>
      </c>
      <c r="J373" t="n">
        <v>0</v>
      </c>
      <c r="K373" t="n">
        <v>0</v>
      </c>
      <c r="L373" t="n">
        <v>0</v>
      </c>
      <c r="M373" t="n">
        <v>0</v>
      </c>
      <c r="N373" t="n">
        <v>0</v>
      </c>
      <c r="O373" t="n">
        <v>0</v>
      </c>
      <c r="P373" t="n">
        <v>0</v>
      </c>
      <c r="Q373" t="n">
        <v>0</v>
      </c>
      <c r="R373" s="2" t="inlineStr"/>
    </row>
    <row r="374" ht="15" customHeight="1">
      <c r="A374" t="inlineStr">
        <is>
          <t>A 58318-2021</t>
        </is>
      </c>
      <c r="B374" s="1" t="n">
        <v>44488.35878472222</v>
      </c>
      <c r="C374" s="1" t="n">
        <v>46040</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53083-2021</t>
        </is>
      </c>
      <c r="B375" s="1" t="n">
        <v>44467.83386574074</v>
      </c>
      <c r="C375" s="1" t="n">
        <v>46040</v>
      </c>
      <c r="D375" t="inlineStr">
        <is>
          <t>KALMAR LÄN</t>
        </is>
      </c>
      <c r="E375" t="inlineStr">
        <is>
          <t>VIMMERBY</t>
        </is>
      </c>
      <c r="G375" t="n">
        <v>6.8</v>
      </c>
      <c r="H375" t="n">
        <v>0</v>
      </c>
      <c r="I375" t="n">
        <v>0</v>
      </c>
      <c r="J375" t="n">
        <v>0</v>
      </c>
      <c r="K375" t="n">
        <v>0</v>
      </c>
      <c r="L375" t="n">
        <v>0</v>
      </c>
      <c r="M375" t="n">
        <v>0</v>
      </c>
      <c r="N375" t="n">
        <v>0</v>
      </c>
      <c r="O375" t="n">
        <v>0</v>
      </c>
      <c r="P375" t="n">
        <v>0</v>
      </c>
      <c r="Q375" t="n">
        <v>0</v>
      </c>
      <c r="R375" s="2" t="inlineStr"/>
    </row>
    <row r="376" ht="15" customHeight="1">
      <c r="A376" t="inlineStr">
        <is>
          <t>A 29173-2024</t>
        </is>
      </c>
      <c r="B376" s="1" t="n">
        <v>45482.52887731481</v>
      </c>
      <c r="C376" s="1" t="n">
        <v>46040</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39584-2024</t>
        </is>
      </c>
      <c r="B377" s="1" t="n">
        <v>45552.36759259259</v>
      </c>
      <c r="C377" s="1" t="n">
        <v>46040</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27705-2023</t>
        </is>
      </c>
      <c r="B378" s="1" t="n">
        <v>45098.30535879629</v>
      </c>
      <c r="C378" s="1" t="n">
        <v>46040</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11111-2024</t>
        </is>
      </c>
      <c r="B379" s="1" t="n">
        <v>45371.36359953704</v>
      </c>
      <c r="C379" s="1" t="n">
        <v>46040</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11141-2024</t>
        </is>
      </c>
      <c r="B380" s="1" t="n">
        <v>45371.45865740741</v>
      </c>
      <c r="C380" s="1" t="n">
        <v>46040</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9418-2024</t>
        </is>
      </c>
      <c r="B381" s="1" t="n">
        <v>45359.45038194444</v>
      </c>
      <c r="C381" s="1" t="n">
        <v>46040</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59579-2025</t>
        </is>
      </c>
      <c r="B382" s="1" t="n">
        <v>45992.30569444445</v>
      </c>
      <c r="C382" s="1" t="n">
        <v>46040</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60180-2025</t>
        </is>
      </c>
      <c r="B383" s="1" t="n">
        <v>45994.46428240741</v>
      </c>
      <c r="C383" s="1" t="n">
        <v>46040</v>
      </c>
      <c r="D383" t="inlineStr">
        <is>
          <t>KALMAR LÄN</t>
        </is>
      </c>
      <c r="E383" t="inlineStr">
        <is>
          <t>VIMMERBY</t>
        </is>
      </c>
      <c r="G383" t="n">
        <v>6.8</v>
      </c>
      <c r="H383" t="n">
        <v>0</v>
      </c>
      <c r="I383" t="n">
        <v>0</v>
      </c>
      <c r="J383" t="n">
        <v>0</v>
      </c>
      <c r="K383" t="n">
        <v>0</v>
      </c>
      <c r="L383" t="n">
        <v>0</v>
      </c>
      <c r="M383" t="n">
        <v>0</v>
      </c>
      <c r="N383" t="n">
        <v>0</v>
      </c>
      <c r="O383" t="n">
        <v>0</v>
      </c>
      <c r="P383" t="n">
        <v>0</v>
      </c>
      <c r="Q383" t="n">
        <v>0</v>
      </c>
      <c r="R383" s="2" t="inlineStr"/>
    </row>
    <row r="384" ht="15" customHeight="1">
      <c r="A384" t="inlineStr">
        <is>
          <t>A 44091-2025</t>
        </is>
      </c>
      <c r="B384" s="1" t="n">
        <v>45915.55950231481</v>
      </c>
      <c r="C384" s="1" t="n">
        <v>46040</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31013-2023</t>
        </is>
      </c>
      <c r="B385" s="1" t="n">
        <v>45113.56574074074</v>
      </c>
      <c r="C385" s="1" t="n">
        <v>46040</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44095-2025</t>
        </is>
      </c>
      <c r="B386" s="1" t="n">
        <v>45915.56430555556</v>
      </c>
      <c r="C386" s="1" t="n">
        <v>46040</v>
      </c>
      <c r="D386" t="inlineStr">
        <is>
          <t>KALMAR LÄN</t>
        </is>
      </c>
      <c r="E386" t="inlineStr">
        <is>
          <t>VIMMERBY</t>
        </is>
      </c>
      <c r="G386" t="n">
        <v>2.4</v>
      </c>
      <c r="H386" t="n">
        <v>0</v>
      </c>
      <c r="I386" t="n">
        <v>0</v>
      </c>
      <c r="J386" t="n">
        <v>0</v>
      </c>
      <c r="K386" t="n">
        <v>0</v>
      </c>
      <c r="L386" t="n">
        <v>0</v>
      </c>
      <c r="M386" t="n">
        <v>0</v>
      </c>
      <c r="N386" t="n">
        <v>0</v>
      </c>
      <c r="O386" t="n">
        <v>0</v>
      </c>
      <c r="P386" t="n">
        <v>0</v>
      </c>
      <c r="Q386" t="n">
        <v>0</v>
      </c>
      <c r="R386" s="2" t="inlineStr"/>
    </row>
    <row r="387" ht="15" customHeight="1">
      <c r="A387" t="inlineStr">
        <is>
          <t>A 15388-2025</t>
        </is>
      </c>
      <c r="B387" s="1" t="n">
        <v>45747.42633101852</v>
      </c>
      <c r="C387" s="1" t="n">
        <v>46040</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15391-2025</t>
        </is>
      </c>
      <c r="B388" s="1" t="n">
        <v>45747.42958333333</v>
      </c>
      <c r="C388" s="1" t="n">
        <v>46040</v>
      </c>
      <c r="D388" t="inlineStr">
        <is>
          <t>KALMAR LÄN</t>
        </is>
      </c>
      <c r="E388" t="inlineStr">
        <is>
          <t>VIMMERBY</t>
        </is>
      </c>
      <c r="G388" t="n">
        <v>1.1</v>
      </c>
      <c r="H388" t="n">
        <v>0</v>
      </c>
      <c r="I388" t="n">
        <v>0</v>
      </c>
      <c r="J388" t="n">
        <v>0</v>
      </c>
      <c r="K388" t="n">
        <v>0</v>
      </c>
      <c r="L388" t="n">
        <v>0</v>
      </c>
      <c r="M388" t="n">
        <v>0</v>
      </c>
      <c r="N388" t="n">
        <v>0</v>
      </c>
      <c r="O388" t="n">
        <v>0</v>
      </c>
      <c r="P388" t="n">
        <v>0</v>
      </c>
      <c r="Q388" t="n">
        <v>0</v>
      </c>
      <c r="R388" s="2" t="inlineStr"/>
    </row>
    <row r="389" ht="15" customHeight="1">
      <c r="A389" t="inlineStr">
        <is>
          <t>A 11303-2025</t>
        </is>
      </c>
      <c r="B389" s="1" t="n">
        <v>45726.44471064815</v>
      </c>
      <c r="C389" s="1" t="n">
        <v>46040</v>
      </c>
      <c r="D389" t="inlineStr">
        <is>
          <t>KALMAR LÄN</t>
        </is>
      </c>
      <c r="E389" t="inlineStr">
        <is>
          <t>VIMMERBY</t>
        </is>
      </c>
      <c r="G389" t="n">
        <v>2.1</v>
      </c>
      <c r="H389" t="n">
        <v>0</v>
      </c>
      <c r="I389" t="n">
        <v>0</v>
      </c>
      <c r="J389" t="n">
        <v>0</v>
      </c>
      <c r="K389" t="n">
        <v>0</v>
      </c>
      <c r="L389" t="n">
        <v>0</v>
      </c>
      <c r="M389" t="n">
        <v>0</v>
      </c>
      <c r="N389" t="n">
        <v>0</v>
      </c>
      <c r="O389" t="n">
        <v>0</v>
      </c>
      <c r="P389" t="n">
        <v>0</v>
      </c>
      <c r="Q389" t="n">
        <v>0</v>
      </c>
      <c r="R389" s="2" t="inlineStr"/>
    </row>
    <row r="390" ht="15" customHeight="1">
      <c r="A390" t="inlineStr">
        <is>
          <t>A 44742-2025</t>
        </is>
      </c>
      <c r="B390" s="1" t="n">
        <v>45917.67054398148</v>
      </c>
      <c r="C390" s="1" t="n">
        <v>46040</v>
      </c>
      <c r="D390" t="inlineStr">
        <is>
          <t>KALMAR LÄN</t>
        </is>
      </c>
      <c r="E390" t="inlineStr">
        <is>
          <t>VIMMERBY</t>
        </is>
      </c>
      <c r="G390" t="n">
        <v>4.7</v>
      </c>
      <c r="H390" t="n">
        <v>0</v>
      </c>
      <c r="I390" t="n">
        <v>0</v>
      </c>
      <c r="J390" t="n">
        <v>0</v>
      </c>
      <c r="K390" t="n">
        <v>0</v>
      </c>
      <c r="L390" t="n">
        <v>0</v>
      </c>
      <c r="M390" t="n">
        <v>0</v>
      </c>
      <c r="N390" t="n">
        <v>0</v>
      </c>
      <c r="O390" t="n">
        <v>0</v>
      </c>
      <c r="P390" t="n">
        <v>0</v>
      </c>
      <c r="Q390" t="n">
        <v>0</v>
      </c>
      <c r="R390" s="2" t="inlineStr"/>
    </row>
    <row r="391" ht="15" customHeight="1">
      <c r="A391" t="inlineStr">
        <is>
          <t>A 33352-2022</t>
        </is>
      </c>
      <c r="B391" s="1" t="n">
        <v>44788</v>
      </c>
      <c r="C391" s="1" t="n">
        <v>46040</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41896-2025</t>
        </is>
      </c>
      <c r="B392" s="1" t="n">
        <v>45903.38800925926</v>
      </c>
      <c r="C392" s="1" t="n">
        <v>46040</v>
      </c>
      <c r="D392" t="inlineStr">
        <is>
          <t>KALMAR LÄN</t>
        </is>
      </c>
      <c r="E392" t="inlineStr">
        <is>
          <t>VIMMERBY</t>
        </is>
      </c>
      <c r="G392" t="n">
        <v>2.9</v>
      </c>
      <c r="H392" t="n">
        <v>0</v>
      </c>
      <c r="I392" t="n">
        <v>0</v>
      </c>
      <c r="J392" t="n">
        <v>0</v>
      </c>
      <c r="K392" t="n">
        <v>0</v>
      </c>
      <c r="L392" t="n">
        <v>0</v>
      </c>
      <c r="M392" t="n">
        <v>0</v>
      </c>
      <c r="N392" t="n">
        <v>0</v>
      </c>
      <c r="O392" t="n">
        <v>0</v>
      </c>
      <c r="P392" t="n">
        <v>0</v>
      </c>
      <c r="Q392" t="n">
        <v>0</v>
      </c>
      <c r="R392" s="2" t="inlineStr"/>
    </row>
    <row r="393" ht="15" customHeight="1">
      <c r="A393" t="inlineStr">
        <is>
          <t>A 46234-2024</t>
        </is>
      </c>
      <c r="B393" s="1" t="n">
        <v>45581.57958333333</v>
      </c>
      <c r="C393" s="1" t="n">
        <v>46040</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39053-2024</t>
        </is>
      </c>
      <c r="B394" s="1" t="n">
        <v>45548</v>
      </c>
      <c r="C394" s="1" t="n">
        <v>46040</v>
      </c>
      <c r="D394" t="inlineStr">
        <is>
          <t>KALMAR LÄN</t>
        </is>
      </c>
      <c r="E394" t="inlineStr">
        <is>
          <t>VIMMERBY</t>
        </is>
      </c>
      <c r="G394" t="n">
        <v>5</v>
      </c>
      <c r="H394" t="n">
        <v>0</v>
      </c>
      <c r="I394" t="n">
        <v>0</v>
      </c>
      <c r="J394" t="n">
        <v>0</v>
      </c>
      <c r="K394" t="n">
        <v>0</v>
      </c>
      <c r="L394" t="n">
        <v>0</v>
      </c>
      <c r="M394" t="n">
        <v>0</v>
      </c>
      <c r="N394" t="n">
        <v>0</v>
      </c>
      <c r="O394" t="n">
        <v>0</v>
      </c>
      <c r="P394" t="n">
        <v>0</v>
      </c>
      <c r="Q394" t="n">
        <v>0</v>
      </c>
      <c r="R394" s="2" t="inlineStr"/>
    </row>
    <row r="395" ht="15" customHeight="1">
      <c r="A395" t="inlineStr">
        <is>
          <t>A 1862-2026</t>
        </is>
      </c>
      <c r="B395" s="1" t="n">
        <v>46035.44689814815</v>
      </c>
      <c r="C395" s="1" t="n">
        <v>46040</v>
      </c>
      <c r="D395" t="inlineStr">
        <is>
          <t>KALMAR LÄN</t>
        </is>
      </c>
      <c r="E395" t="inlineStr">
        <is>
          <t>VIMMERBY</t>
        </is>
      </c>
      <c r="G395" t="n">
        <v>3.1</v>
      </c>
      <c r="H395" t="n">
        <v>0</v>
      </c>
      <c r="I395" t="n">
        <v>0</v>
      </c>
      <c r="J395" t="n">
        <v>0</v>
      </c>
      <c r="K395" t="n">
        <v>0</v>
      </c>
      <c r="L395" t="n">
        <v>0</v>
      </c>
      <c r="M395" t="n">
        <v>0</v>
      </c>
      <c r="N395" t="n">
        <v>0</v>
      </c>
      <c r="O395" t="n">
        <v>0</v>
      </c>
      <c r="P395" t="n">
        <v>0</v>
      </c>
      <c r="Q395" t="n">
        <v>0</v>
      </c>
      <c r="R395" s="2" t="inlineStr"/>
    </row>
    <row r="396" ht="15" customHeight="1">
      <c r="A396" t="inlineStr">
        <is>
          <t>A 15449-2023</t>
        </is>
      </c>
      <c r="B396" s="1" t="n">
        <v>45020</v>
      </c>
      <c r="C396" s="1" t="n">
        <v>46040</v>
      </c>
      <c r="D396" t="inlineStr">
        <is>
          <t>KALMAR LÄN</t>
        </is>
      </c>
      <c r="E396" t="inlineStr">
        <is>
          <t>VIMMERBY</t>
        </is>
      </c>
      <c r="G396" t="n">
        <v>0.5</v>
      </c>
      <c r="H396" t="n">
        <v>0</v>
      </c>
      <c r="I396" t="n">
        <v>0</v>
      </c>
      <c r="J396" t="n">
        <v>0</v>
      </c>
      <c r="K396" t="n">
        <v>0</v>
      </c>
      <c r="L396" t="n">
        <v>0</v>
      </c>
      <c r="M396" t="n">
        <v>0</v>
      </c>
      <c r="N396" t="n">
        <v>0</v>
      </c>
      <c r="O396" t="n">
        <v>0</v>
      </c>
      <c r="P396" t="n">
        <v>0</v>
      </c>
      <c r="Q396" t="n">
        <v>0</v>
      </c>
      <c r="R396" s="2" t="inlineStr"/>
    </row>
    <row r="397" ht="15" customHeight="1">
      <c r="A397" t="inlineStr">
        <is>
          <t>A 1743-2026</t>
        </is>
      </c>
      <c r="B397" s="1" t="n">
        <v>46034</v>
      </c>
      <c r="C397" s="1" t="n">
        <v>46040</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43594-2024</t>
        </is>
      </c>
      <c r="B398" s="1" t="n">
        <v>45569.44295138889</v>
      </c>
      <c r="C398" s="1" t="n">
        <v>46040</v>
      </c>
      <c r="D398" t="inlineStr">
        <is>
          <t>KALMAR LÄN</t>
        </is>
      </c>
      <c r="E398" t="inlineStr">
        <is>
          <t>VIMMERBY</t>
        </is>
      </c>
      <c r="G398" t="n">
        <v>3.9</v>
      </c>
      <c r="H398" t="n">
        <v>0</v>
      </c>
      <c r="I398" t="n">
        <v>0</v>
      </c>
      <c r="J398" t="n">
        <v>0</v>
      </c>
      <c r="K398" t="n">
        <v>0</v>
      </c>
      <c r="L398" t="n">
        <v>0</v>
      </c>
      <c r="M398" t="n">
        <v>0</v>
      </c>
      <c r="N398" t="n">
        <v>0</v>
      </c>
      <c r="O398" t="n">
        <v>0</v>
      </c>
      <c r="P398" t="n">
        <v>0</v>
      </c>
      <c r="Q398" t="n">
        <v>0</v>
      </c>
      <c r="R398" s="2" t="inlineStr"/>
    </row>
    <row r="399" ht="15" customHeight="1">
      <c r="A399" t="inlineStr">
        <is>
          <t>A 17486-2024</t>
        </is>
      </c>
      <c r="B399" s="1" t="n">
        <v>45415.48979166667</v>
      </c>
      <c r="C399" s="1" t="n">
        <v>46040</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14248-2023</t>
        </is>
      </c>
      <c r="B400" s="1" t="n">
        <v>45009</v>
      </c>
      <c r="C400" s="1" t="n">
        <v>46040</v>
      </c>
      <c r="D400" t="inlineStr">
        <is>
          <t>KALMAR LÄN</t>
        </is>
      </c>
      <c r="E400" t="inlineStr">
        <is>
          <t>VIMMERBY</t>
        </is>
      </c>
      <c r="G400" t="n">
        <v>2.6</v>
      </c>
      <c r="H400" t="n">
        <v>0</v>
      </c>
      <c r="I400" t="n">
        <v>0</v>
      </c>
      <c r="J400" t="n">
        <v>0</v>
      </c>
      <c r="K400" t="n">
        <v>0</v>
      </c>
      <c r="L400" t="n">
        <v>0</v>
      </c>
      <c r="M400" t="n">
        <v>0</v>
      </c>
      <c r="N400" t="n">
        <v>0</v>
      </c>
      <c r="O400" t="n">
        <v>0</v>
      </c>
      <c r="P400" t="n">
        <v>0</v>
      </c>
      <c r="Q400" t="n">
        <v>0</v>
      </c>
      <c r="R400" s="2" t="inlineStr"/>
    </row>
    <row r="401" ht="15" customHeight="1">
      <c r="A401" t="inlineStr">
        <is>
          <t>A 45319-2025</t>
        </is>
      </c>
      <c r="B401" s="1" t="n">
        <v>45921.95611111111</v>
      </c>
      <c r="C401" s="1" t="n">
        <v>46040</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45320-2025</t>
        </is>
      </c>
      <c r="B402" s="1" t="n">
        <v>45921.96395833333</v>
      </c>
      <c r="C402" s="1" t="n">
        <v>46040</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60297-2025</t>
        </is>
      </c>
      <c r="B403" s="1" t="n">
        <v>45994</v>
      </c>
      <c r="C403" s="1" t="n">
        <v>46040</v>
      </c>
      <c r="D403" t="inlineStr">
        <is>
          <t>KALMAR LÄN</t>
        </is>
      </c>
      <c r="E403" t="inlineStr">
        <is>
          <t>VIMMERBY</t>
        </is>
      </c>
      <c r="G403" t="n">
        <v>4.2</v>
      </c>
      <c r="H403" t="n">
        <v>0</v>
      </c>
      <c r="I403" t="n">
        <v>0</v>
      </c>
      <c r="J403" t="n">
        <v>0</v>
      </c>
      <c r="K403" t="n">
        <v>0</v>
      </c>
      <c r="L403" t="n">
        <v>0</v>
      </c>
      <c r="M403" t="n">
        <v>0</v>
      </c>
      <c r="N403" t="n">
        <v>0</v>
      </c>
      <c r="O403" t="n">
        <v>0</v>
      </c>
      <c r="P403" t="n">
        <v>0</v>
      </c>
      <c r="Q403" t="n">
        <v>0</v>
      </c>
      <c r="R403" s="2" t="inlineStr"/>
    </row>
    <row r="404" ht="15" customHeight="1">
      <c r="A404" t="inlineStr">
        <is>
          <t>A 45114-2025</t>
        </is>
      </c>
      <c r="B404" s="1" t="n">
        <v>45919.42387731482</v>
      </c>
      <c r="C404" s="1" t="n">
        <v>46040</v>
      </c>
      <c r="D404" t="inlineStr">
        <is>
          <t>KALMAR LÄN</t>
        </is>
      </c>
      <c r="E404" t="inlineStr">
        <is>
          <t>VIMMERBY</t>
        </is>
      </c>
      <c r="G404" t="n">
        <v>2.7</v>
      </c>
      <c r="H404" t="n">
        <v>0</v>
      </c>
      <c r="I404" t="n">
        <v>0</v>
      </c>
      <c r="J404" t="n">
        <v>0</v>
      </c>
      <c r="K404" t="n">
        <v>0</v>
      </c>
      <c r="L404" t="n">
        <v>0</v>
      </c>
      <c r="M404" t="n">
        <v>0</v>
      </c>
      <c r="N404" t="n">
        <v>0</v>
      </c>
      <c r="O404" t="n">
        <v>0</v>
      </c>
      <c r="P404" t="n">
        <v>0</v>
      </c>
      <c r="Q404" t="n">
        <v>0</v>
      </c>
      <c r="R404" s="2" t="inlineStr"/>
    </row>
    <row r="405" ht="15" customHeight="1">
      <c r="A405" t="inlineStr">
        <is>
          <t>A 49313-2022</t>
        </is>
      </c>
      <c r="B405" s="1" t="n">
        <v>44861.52505787037</v>
      </c>
      <c r="C405" s="1" t="n">
        <v>46040</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30400-2023</t>
        </is>
      </c>
      <c r="B406" s="1" t="n">
        <v>45111.48225694444</v>
      </c>
      <c r="C406" s="1" t="n">
        <v>46040</v>
      </c>
      <c r="D406" t="inlineStr">
        <is>
          <t>KALMAR LÄN</t>
        </is>
      </c>
      <c r="E406" t="inlineStr">
        <is>
          <t>VIMMERBY</t>
        </is>
      </c>
      <c r="G406" t="n">
        <v>2.7</v>
      </c>
      <c r="H406" t="n">
        <v>0</v>
      </c>
      <c r="I406" t="n">
        <v>0</v>
      </c>
      <c r="J406" t="n">
        <v>0</v>
      </c>
      <c r="K406" t="n">
        <v>0</v>
      </c>
      <c r="L406" t="n">
        <v>0</v>
      </c>
      <c r="M406" t="n">
        <v>0</v>
      </c>
      <c r="N406" t="n">
        <v>0</v>
      </c>
      <c r="O406" t="n">
        <v>0</v>
      </c>
      <c r="P406" t="n">
        <v>0</v>
      </c>
      <c r="Q406" t="n">
        <v>0</v>
      </c>
      <c r="R406" s="2" t="inlineStr"/>
    </row>
    <row r="407" ht="15" customHeight="1">
      <c r="A407" t="inlineStr">
        <is>
          <t>A 30404-2023</t>
        </is>
      </c>
      <c r="B407" s="1" t="n">
        <v>45111.48636574074</v>
      </c>
      <c r="C407" s="1" t="n">
        <v>46040</v>
      </c>
      <c r="D407" t="inlineStr">
        <is>
          <t>KALMAR LÄN</t>
        </is>
      </c>
      <c r="E407" t="inlineStr">
        <is>
          <t>VIMMERBY</t>
        </is>
      </c>
      <c r="G407" t="n">
        <v>0.6</v>
      </c>
      <c r="H407" t="n">
        <v>0</v>
      </c>
      <c r="I407" t="n">
        <v>0</v>
      </c>
      <c r="J407" t="n">
        <v>0</v>
      </c>
      <c r="K407" t="n">
        <v>0</v>
      </c>
      <c r="L407" t="n">
        <v>0</v>
      </c>
      <c r="M407" t="n">
        <v>0</v>
      </c>
      <c r="N407" t="n">
        <v>0</v>
      </c>
      <c r="O407" t="n">
        <v>0</v>
      </c>
      <c r="P407" t="n">
        <v>0</v>
      </c>
      <c r="Q407" t="n">
        <v>0</v>
      </c>
      <c r="R407" s="2" t="inlineStr"/>
    </row>
    <row r="408" ht="15" customHeight="1">
      <c r="A408" t="inlineStr">
        <is>
          <t>A 55123-2024</t>
        </is>
      </c>
      <c r="B408" s="1" t="n">
        <v>45621.46103009259</v>
      </c>
      <c r="C408" s="1" t="n">
        <v>46040</v>
      </c>
      <c r="D408" t="inlineStr">
        <is>
          <t>KALMAR LÄN</t>
        </is>
      </c>
      <c r="E408" t="inlineStr">
        <is>
          <t>VIMMERBY</t>
        </is>
      </c>
      <c r="G408" t="n">
        <v>3.1</v>
      </c>
      <c r="H408" t="n">
        <v>0</v>
      </c>
      <c r="I408" t="n">
        <v>0</v>
      </c>
      <c r="J408" t="n">
        <v>0</v>
      </c>
      <c r="K408" t="n">
        <v>0</v>
      </c>
      <c r="L408" t="n">
        <v>0</v>
      </c>
      <c r="M408" t="n">
        <v>0</v>
      </c>
      <c r="N408" t="n">
        <v>0</v>
      </c>
      <c r="O408" t="n">
        <v>0</v>
      </c>
      <c r="P408" t="n">
        <v>0</v>
      </c>
      <c r="Q408" t="n">
        <v>0</v>
      </c>
      <c r="R408" s="2" t="inlineStr"/>
    </row>
    <row r="409" ht="15" customHeight="1">
      <c r="A409" t="inlineStr">
        <is>
          <t>A 31405-2023</t>
        </is>
      </c>
      <c r="B409" s="1" t="n">
        <v>45114.58148148148</v>
      </c>
      <c r="C409" s="1" t="n">
        <v>46040</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46118-2025</t>
        </is>
      </c>
      <c r="B410" s="1" t="n">
        <v>45924.57697916667</v>
      </c>
      <c r="C410" s="1" t="n">
        <v>46040</v>
      </c>
      <c r="D410" t="inlineStr">
        <is>
          <t>KALMAR LÄN</t>
        </is>
      </c>
      <c r="E410" t="inlineStr">
        <is>
          <t>VIMMERBY</t>
        </is>
      </c>
      <c r="G410" t="n">
        <v>2.9</v>
      </c>
      <c r="H410" t="n">
        <v>0</v>
      </c>
      <c r="I410" t="n">
        <v>0</v>
      </c>
      <c r="J410" t="n">
        <v>0</v>
      </c>
      <c r="K410" t="n">
        <v>0</v>
      </c>
      <c r="L410" t="n">
        <v>0</v>
      </c>
      <c r="M410" t="n">
        <v>0</v>
      </c>
      <c r="N410" t="n">
        <v>0</v>
      </c>
      <c r="O410" t="n">
        <v>0</v>
      </c>
      <c r="P410" t="n">
        <v>0</v>
      </c>
      <c r="Q410" t="n">
        <v>0</v>
      </c>
      <c r="R410" s="2" t="inlineStr"/>
    </row>
    <row r="411" ht="15" customHeight="1">
      <c r="A411" t="inlineStr">
        <is>
          <t>A 35998-2024</t>
        </is>
      </c>
      <c r="B411" s="1" t="n">
        <v>45533.54429398148</v>
      </c>
      <c r="C411" s="1" t="n">
        <v>46040</v>
      </c>
      <c r="D411" t="inlineStr">
        <is>
          <t>KALMAR LÄN</t>
        </is>
      </c>
      <c r="E411" t="inlineStr">
        <is>
          <t>VIMMERBY</t>
        </is>
      </c>
      <c r="G411" t="n">
        <v>8.6</v>
      </c>
      <c r="H411" t="n">
        <v>0</v>
      </c>
      <c r="I411" t="n">
        <v>0</v>
      </c>
      <c r="J411" t="n">
        <v>0</v>
      </c>
      <c r="K411" t="n">
        <v>0</v>
      </c>
      <c r="L411" t="n">
        <v>0</v>
      </c>
      <c r="M411" t="n">
        <v>0</v>
      </c>
      <c r="N411" t="n">
        <v>0</v>
      </c>
      <c r="O411" t="n">
        <v>0</v>
      </c>
      <c r="P411" t="n">
        <v>0</v>
      </c>
      <c r="Q411" t="n">
        <v>0</v>
      </c>
      <c r="R411" s="2" t="inlineStr"/>
    </row>
    <row r="412" ht="15" customHeight="1">
      <c r="A412" t="inlineStr">
        <is>
          <t>A 36040-2024</t>
        </is>
      </c>
      <c r="B412" s="1" t="n">
        <v>45533.60232638889</v>
      </c>
      <c r="C412" s="1" t="n">
        <v>46040</v>
      </c>
      <c r="D412" t="inlineStr">
        <is>
          <t>KALMAR LÄN</t>
        </is>
      </c>
      <c r="E412" t="inlineStr">
        <is>
          <t>VIMMERBY</t>
        </is>
      </c>
      <c r="F412" t="inlineStr">
        <is>
          <t>Kommuner</t>
        </is>
      </c>
      <c r="G412" t="n">
        <v>3.6</v>
      </c>
      <c r="H412" t="n">
        <v>0</v>
      </c>
      <c r="I412" t="n">
        <v>0</v>
      </c>
      <c r="J412" t="n">
        <v>0</v>
      </c>
      <c r="K412" t="n">
        <v>0</v>
      </c>
      <c r="L412" t="n">
        <v>0</v>
      </c>
      <c r="M412" t="n">
        <v>0</v>
      </c>
      <c r="N412" t="n">
        <v>0</v>
      </c>
      <c r="O412" t="n">
        <v>0</v>
      </c>
      <c r="P412" t="n">
        <v>0</v>
      </c>
      <c r="Q412" t="n">
        <v>0</v>
      </c>
      <c r="R412" s="2" t="inlineStr"/>
    </row>
    <row r="413" ht="15" customHeight="1">
      <c r="A413" t="inlineStr">
        <is>
          <t>A 24707-2024</t>
        </is>
      </c>
      <c r="B413" s="1" t="n">
        <v>45460.62172453704</v>
      </c>
      <c r="C413" s="1" t="n">
        <v>46040</v>
      </c>
      <c r="D413" t="inlineStr">
        <is>
          <t>KALMAR LÄN</t>
        </is>
      </c>
      <c r="E413" t="inlineStr">
        <is>
          <t>VIMMERBY</t>
        </is>
      </c>
      <c r="G413" t="n">
        <v>1.7</v>
      </c>
      <c r="H413" t="n">
        <v>0</v>
      </c>
      <c r="I413" t="n">
        <v>0</v>
      </c>
      <c r="J413" t="n">
        <v>0</v>
      </c>
      <c r="K413" t="n">
        <v>0</v>
      </c>
      <c r="L413" t="n">
        <v>0</v>
      </c>
      <c r="M413" t="n">
        <v>0</v>
      </c>
      <c r="N413" t="n">
        <v>0</v>
      </c>
      <c r="O413" t="n">
        <v>0</v>
      </c>
      <c r="P413" t="n">
        <v>0</v>
      </c>
      <c r="Q413" t="n">
        <v>0</v>
      </c>
      <c r="R413" s="2" t="inlineStr"/>
    </row>
    <row r="414" ht="15" customHeight="1">
      <c r="A414" t="inlineStr">
        <is>
          <t>A 36043-2024</t>
        </is>
      </c>
      <c r="B414" s="1" t="n">
        <v>45533.60770833334</v>
      </c>
      <c r="C414" s="1" t="n">
        <v>46040</v>
      </c>
      <c r="D414" t="inlineStr">
        <is>
          <t>KALMAR LÄN</t>
        </is>
      </c>
      <c r="E414" t="inlineStr">
        <is>
          <t>VIMMERBY</t>
        </is>
      </c>
      <c r="F414" t="inlineStr">
        <is>
          <t>Kommuner</t>
        </is>
      </c>
      <c r="G414" t="n">
        <v>1.5</v>
      </c>
      <c r="H414" t="n">
        <v>0</v>
      </c>
      <c r="I414" t="n">
        <v>0</v>
      </c>
      <c r="J414" t="n">
        <v>0</v>
      </c>
      <c r="K414" t="n">
        <v>0</v>
      </c>
      <c r="L414" t="n">
        <v>0</v>
      </c>
      <c r="M414" t="n">
        <v>0</v>
      </c>
      <c r="N414" t="n">
        <v>0</v>
      </c>
      <c r="O414" t="n">
        <v>0</v>
      </c>
      <c r="P414" t="n">
        <v>0</v>
      </c>
      <c r="Q414" t="n">
        <v>0</v>
      </c>
      <c r="R414" s="2" t="inlineStr"/>
    </row>
    <row r="415" ht="15" customHeight="1">
      <c r="A415" t="inlineStr">
        <is>
          <t>A 36049-2024</t>
        </is>
      </c>
      <c r="B415" s="1" t="n">
        <v>45533.61996527778</v>
      </c>
      <c r="C415" s="1" t="n">
        <v>46040</v>
      </c>
      <c r="D415" t="inlineStr">
        <is>
          <t>KALMAR LÄN</t>
        </is>
      </c>
      <c r="E415" t="inlineStr">
        <is>
          <t>VIMMERBY</t>
        </is>
      </c>
      <c r="F415" t="inlineStr">
        <is>
          <t>Kommuner</t>
        </is>
      </c>
      <c r="G415" t="n">
        <v>2.6</v>
      </c>
      <c r="H415" t="n">
        <v>0</v>
      </c>
      <c r="I415" t="n">
        <v>0</v>
      </c>
      <c r="J415" t="n">
        <v>0</v>
      </c>
      <c r="K415" t="n">
        <v>0</v>
      </c>
      <c r="L415" t="n">
        <v>0</v>
      </c>
      <c r="M415" t="n">
        <v>0</v>
      </c>
      <c r="N415" t="n">
        <v>0</v>
      </c>
      <c r="O415" t="n">
        <v>0</v>
      </c>
      <c r="P415" t="n">
        <v>0</v>
      </c>
      <c r="Q415" t="n">
        <v>0</v>
      </c>
      <c r="R415" s="2" t="inlineStr"/>
    </row>
    <row r="416" ht="15" customHeight="1">
      <c r="A416" t="inlineStr">
        <is>
          <t>A 45854-2025</t>
        </is>
      </c>
      <c r="B416" s="1" t="n">
        <v>45923</v>
      </c>
      <c r="C416" s="1" t="n">
        <v>46040</v>
      </c>
      <c r="D416" t="inlineStr">
        <is>
          <t>KALMAR LÄN</t>
        </is>
      </c>
      <c r="E416" t="inlineStr">
        <is>
          <t>VIMMERBY</t>
        </is>
      </c>
      <c r="G416" t="n">
        <v>2.2</v>
      </c>
      <c r="H416" t="n">
        <v>0</v>
      </c>
      <c r="I416" t="n">
        <v>0</v>
      </c>
      <c r="J416" t="n">
        <v>0</v>
      </c>
      <c r="K416" t="n">
        <v>0</v>
      </c>
      <c r="L416" t="n">
        <v>0</v>
      </c>
      <c r="M416" t="n">
        <v>0</v>
      </c>
      <c r="N416" t="n">
        <v>0</v>
      </c>
      <c r="O416" t="n">
        <v>0</v>
      </c>
      <c r="P416" t="n">
        <v>0</v>
      </c>
      <c r="Q416" t="n">
        <v>0</v>
      </c>
      <c r="R416" s="2" t="inlineStr"/>
    </row>
    <row r="417" ht="15" customHeight="1">
      <c r="A417" t="inlineStr">
        <is>
          <t>A 45855-2025</t>
        </is>
      </c>
      <c r="B417" s="1" t="n">
        <v>45923</v>
      </c>
      <c r="C417" s="1" t="n">
        <v>46040</v>
      </c>
      <c r="D417" t="inlineStr">
        <is>
          <t>KALMAR LÄN</t>
        </is>
      </c>
      <c r="E417" t="inlineStr">
        <is>
          <t>VIMMERBY</t>
        </is>
      </c>
      <c r="G417" t="n">
        <v>1.4</v>
      </c>
      <c r="H417" t="n">
        <v>0</v>
      </c>
      <c r="I417" t="n">
        <v>0</v>
      </c>
      <c r="J417" t="n">
        <v>0</v>
      </c>
      <c r="K417" t="n">
        <v>0</v>
      </c>
      <c r="L417" t="n">
        <v>0</v>
      </c>
      <c r="M417" t="n">
        <v>0</v>
      </c>
      <c r="N417" t="n">
        <v>0</v>
      </c>
      <c r="O417" t="n">
        <v>0</v>
      </c>
      <c r="P417" t="n">
        <v>0</v>
      </c>
      <c r="Q417" t="n">
        <v>0</v>
      </c>
      <c r="R417" s="2" t="inlineStr"/>
    </row>
    <row r="418" ht="15" customHeight="1">
      <c r="A418" t="inlineStr">
        <is>
          <t>A 46361-2025</t>
        </is>
      </c>
      <c r="B418" s="1" t="n">
        <v>45925.49670138889</v>
      </c>
      <c r="C418" s="1" t="n">
        <v>46040</v>
      </c>
      <c r="D418" t="inlineStr">
        <is>
          <t>KALMAR LÄN</t>
        </is>
      </c>
      <c r="E418" t="inlineStr">
        <is>
          <t>VIMMERBY</t>
        </is>
      </c>
      <c r="G418" t="n">
        <v>4.2</v>
      </c>
      <c r="H418" t="n">
        <v>0</v>
      </c>
      <c r="I418" t="n">
        <v>0</v>
      </c>
      <c r="J418" t="n">
        <v>0</v>
      </c>
      <c r="K418" t="n">
        <v>0</v>
      </c>
      <c r="L418" t="n">
        <v>0</v>
      </c>
      <c r="M418" t="n">
        <v>0</v>
      </c>
      <c r="N418" t="n">
        <v>0</v>
      </c>
      <c r="O418" t="n">
        <v>0</v>
      </c>
      <c r="P418" t="n">
        <v>0</v>
      </c>
      <c r="Q418" t="n">
        <v>0</v>
      </c>
      <c r="R418" s="2" t="inlineStr"/>
    </row>
    <row r="419" ht="15" customHeight="1">
      <c r="A419" t="inlineStr">
        <is>
          <t>A 46365-2025</t>
        </is>
      </c>
      <c r="B419" s="1" t="n">
        <v>45925.50075231482</v>
      </c>
      <c r="C419" s="1" t="n">
        <v>46040</v>
      </c>
      <c r="D419" t="inlineStr">
        <is>
          <t>KALMAR LÄN</t>
        </is>
      </c>
      <c r="E419" t="inlineStr">
        <is>
          <t>VIMMERBY</t>
        </is>
      </c>
      <c r="G419" t="n">
        <v>5.6</v>
      </c>
      <c r="H419" t="n">
        <v>0</v>
      </c>
      <c r="I419" t="n">
        <v>0</v>
      </c>
      <c r="J419" t="n">
        <v>0</v>
      </c>
      <c r="K419" t="n">
        <v>0</v>
      </c>
      <c r="L419" t="n">
        <v>0</v>
      </c>
      <c r="M419" t="n">
        <v>0</v>
      </c>
      <c r="N419" t="n">
        <v>0</v>
      </c>
      <c r="O419" t="n">
        <v>0</v>
      </c>
      <c r="P419" t="n">
        <v>0</v>
      </c>
      <c r="Q419" t="n">
        <v>0</v>
      </c>
      <c r="R419" s="2" t="inlineStr"/>
    </row>
    <row r="420" ht="15" customHeight="1">
      <c r="A420" t="inlineStr">
        <is>
          <t>A 58159-2024</t>
        </is>
      </c>
      <c r="B420" s="1" t="n">
        <v>45632.44886574074</v>
      </c>
      <c r="C420" s="1" t="n">
        <v>46040</v>
      </c>
      <c r="D420" t="inlineStr">
        <is>
          <t>KALMAR LÄN</t>
        </is>
      </c>
      <c r="E420" t="inlineStr">
        <is>
          <t>VIMMERBY</t>
        </is>
      </c>
      <c r="G420" t="n">
        <v>7.5</v>
      </c>
      <c r="H420" t="n">
        <v>0</v>
      </c>
      <c r="I420" t="n">
        <v>0</v>
      </c>
      <c r="J420" t="n">
        <v>0</v>
      </c>
      <c r="K420" t="n">
        <v>0</v>
      </c>
      <c r="L420" t="n">
        <v>0</v>
      </c>
      <c r="M420" t="n">
        <v>0</v>
      </c>
      <c r="N420" t="n">
        <v>0</v>
      </c>
      <c r="O420" t="n">
        <v>0</v>
      </c>
      <c r="P420" t="n">
        <v>0</v>
      </c>
      <c r="Q420" t="n">
        <v>0</v>
      </c>
      <c r="R420" s="2" t="inlineStr"/>
    </row>
    <row r="421" ht="15" customHeight="1">
      <c r="A421" t="inlineStr">
        <is>
          <t>A 14359-2025</t>
        </is>
      </c>
      <c r="B421" s="1" t="n">
        <v>45741.37270833334</v>
      </c>
      <c r="C421" s="1" t="n">
        <v>46040</v>
      </c>
      <c r="D421" t="inlineStr">
        <is>
          <t>KALMAR LÄN</t>
        </is>
      </c>
      <c r="E421" t="inlineStr">
        <is>
          <t>VIMMERBY</t>
        </is>
      </c>
      <c r="G421" t="n">
        <v>2</v>
      </c>
      <c r="H421" t="n">
        <v>0</v>
      </c>
      <c r="I421" t="n">
        <v>0</v>
      </c>
      <c r="J421" t="n">
        <v>0</v>
      </c>
      <c r="K421" t="n">
        <v>0</v>
      </c>
      <c r="L421" t="n">
        <v>0</v>
      </c>
      <c r="M421" t="n">
        <v>0</v>
      </c>
      <c r="N421" t="n">
        <v>0</v>
      </c>
      <c r="O421" t="n">
        <v>0</v>
      </c>
      <c r="P421" t="n">
        <v>0</v>
      </c>
      <c r="Q421" t="n">
        <v>0</v>
      </c>
      <c r="R421" s="2" t="inlineStr"/>
    </row>
    <row r="422" ht="15" customHeight="1">
      <c r="A422" t="inlineStr">
        <is>
          <t>A 45856-2025</t>
        </is>
      </c>
      <c r="B422" s="1" t="n">
        <v>45923</v>
      </c>
      <c r="C422" s="1" t="n">
        <v>46040</v>
      </c>
      <c r="D422" t="inlineStr">
        <is>
          <t>KALMAR LÄN</t>
        </is>
      </c>
      <c r="E422" t="inlineStr">
        <is>
          <t>VIMMERBY</t>
        </is>
      </c>
      <c r="G422" t="n">
        <v>2.1</v>
      </c>
      <c r="H422" t="n">
        <v>0</v>
      </c>
      <c r="I422" t="n">
        <v>0</v>
      </c>
      <c r="J422" t="n">
        <v>0</v>
      </c>
      <c r="K422" t="n">
        <v>0</v>
      </c>
      <c r="L422" t="n">
        <v>0</v>
      </c>
      <c r="M422" t="n">
        <v>0</v>
      </c>
      <c r="N422" t="n">
        <v>0</v>
      </c>
      <c r="O422" t="n">
        <v>0</v>
      </c>
      <c r="P422" t="n">
        <v>0</v>
      </c>
      <c r="Q422" t="n">
        <v>0</v>
      </c>
      <c r="R422" s="2" t="inlineStr"/>
    </row>
    <row r="423" ht="15" customHeight="1">
      <c r="A423" t="inlineStr">
        <is>
          <t>A 22197-2024</t>
        </is>
      </c>
      <c r="B423" s="1" t="n">
        <v>45446.36774305555</v>
      </c>
      <c r="C423" s="1" t="n">
        <v>46040</v>
      </c>
      <c r="D423" t="inlineStr">
        <is>
          <t>KALMAR LÄN</t>
        </is>
      </c>
      <c r="E423" t="inlineStr">
        <is>
          <t>VIMMERBY</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46887-2025</t>
        </is>
      </c>
      <c r="B424" s="1" t="n">
        <v>45929.3672337963</v>
      </c>
      <c r="C424" s="1" t="n">
        <v>46040</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39578-2024</t>
        </is>
      </c>
      <c r="B425" s="1" t="n">
        <v>45552.36484953704</v>
      </c>
      <c r="C425" s="1" t="n">
        <v>46040</v>
      </c>
      <c r="D425" t="inlineStr">
        <is>
          <t>KALMAR LÄN</t>
        </is>
      </c>
      <c r="E425" t="inlineStr">
        <is>
          <t>VIMMERBY</t>
        </is>
      </c>
      <c r="G425" t="n">
        <v>1.5</v>
      </c>
      <c r="H425" t="n">
        <v>0</v>
      </c>
      <c r="I425" t="n">
        <v>0</v>
      </c>
      <c r="J425" t="n">
        <v>0</v>
      </c>
      <c r="K425" t="n">
        <v>0</v>
      </c>
      <c r="L425" t="n">
        <v>0</v>
      </c>
      <c r="M425" t="n">
        <v>0</v>
      </c>
      <c r="N425" t="n">
        <v>0</v>
      </c>
      <c r="O425" t="n">
        <v>0</v>
      </c>
      <c r="P425" t="n">
        <v>0</v>
      </c>
      <c r="Q425" t="n">
        <v>0</v>
      </c>
      <c r="R425" s="2" t="inlineStr"/>
    </row>
    <row r="426" ht="15" customHeight="1">
      <c r="A426" t="inlineStr">
        <is>
          <t>A 2523-2026</t>
        </is>
      </c>
      <c r="B426" s="1" t="n">
        <v>46037.42825231481</v>
      </c>
      <c r="C426" s="1" t="n">
        <v>46040</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47227-2025</t>
        </is>
      </c>
      <c r="B427" s="1" t="n">
        <v>45930.39769675926</v>
      </c>
      <c r="C427" s="1" t="n">
        <v>46040</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2514-2026</t>
        </is>
      </c>
      <c r="B428" s="1" t="n">
        <v>46037.42219907408</v>
      </c>
      <c r="C428" s="1" t="n">
        <v>46040</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2518-2026</t>
        </is>
      </c>
      <c r="B429" s="1" t="n">
        <v>46037.42511574074</v>
      </c>
      <c r="C429" s="1" t="n">
        <v>46040</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62779-2023</t>
        </is>
      </c>
      <c r="B430" s="1" t="n">
        <v>45271.66576388889</v>
      </c>
      <c r="C430" s="1" t="n">
        <v>46040</v>
      </c>
      <c r="D430" t="inlineStr">
        <is>
          <t>KALMAR LÄN</t>
        </is>
      </c>
      <c r="E430" t="inlineStr">
        <is>
          <t>VIMMERBY</t>
        </is>
      </c>
      <c r="G430" t="n">
        <v>1.1</v>
      </c>
      <c r="H430" t="n">
        <v>0</v>
      </c>
      <c r="I430" t="n">
        <v>0</v>
      </c>
      <c r="J430" t="n">
        <v>0</v>
      </c>
      <c r="K430" t="n">
        <v>0</v>
      </c>
      <c r="L430" t="n">
        <v>0</v>
      </c>
      <c r="M430" t="n">
        <v>0</v>
      </c>
      <c r="N430" t="n">
        <v>0</v>
      </c>
      <c r="O430" t="n">
        <v>0</v>
      </c>
      <c r="P430" t="n">
        <v>0</v>
      </c>
      <c r="Q430" t="n">
        <v>0</v>
      </c>
      <c r="R430" s="2" t="inlineStr"/>
    </row>
    <row r="431" ht="15" customHeight="1">
      <c r="A431" t="inlineStr">
        <is>
          <t>A 46399-2024</t>
        </is>
      </c>
      <c r="B431" s="1" t="n">
        <v>45582.41200231481</v>
      </c>
      <c r="C431" s="1" t="n">
        <v>46040</v>
      </c>
      <c r="D431" t="inlineStr">
        <is>
          <t>KALMAR LÄN</t>
        </is>
      </c>
      <c r="E431" t="inlineStr">
        <is>
          <t>VIMMERBY</t>
        </is>
      </c>
      <c r="G431" t="n">
        <v>4.6</v>
      </c>
      <c r="H431" t="n">
        <v>0</v>
      </c>
      <c r="I431" t="n">
        <v>0</v>
      </c>
      <c r="J431" t="n">
        <v>0</v>
      </c>
      <c r="K431" t="n">
        <v>0</v>
      </c>
      <c r="L431" t="n">
        <v>0</v>
      </c>
      <c r="M431" t="n">
        <v>0</v>
      </c>
      <c r="N431" t="n">
        <v>0</v>
      </c>
      <c r="O431" t="n">
        <v>0</v>
      </c>
      <c r="P431" t="n">
        <v>0</v>
      </c>
      <c r="Q431" t="n">
        <v>0</v>
      </c>
      <c r="R431" s="2" t="inlineStr"/>
    </row>
    <row r="432" ht="15" customHeight="1">
      <c r="A432" t="inlineStr">
        <is>
          <t>A 3425-2022</t>
        </is>
      </c>
      <c r="B432" s="1" t="n">
        <v>44585.51060185185</v>
      </c>
      <c r="C432" s="1" t="n">
        <v>46040</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43962-2024</t>
        </is>
      </c>
      <c r="B433" s="1" t="n">
        <v>45572.48293981481</v>
      </c>
      <c r="C433" s="1" t="n">
        <v>46040</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12810-2023</t>
        </is>
      </c>
      <c r="B434" s="1" t="n">
        <v>45001.43854166667</v>
      </c>
      <c r="C434" s="1" t="n">
        <v>46040</v>
      </c>
      <c r="D434" t="inlineStr">
        <is>
          <t>KALMAR LÄN</t>
        </is>
      </c>
      <c r="E434" t="inlineStr">
        <is>
          <t>VIMMERBY</t>
        </is>
      </c>
      <c r="G434" t="n">
        <v>1.5</v>
      </c>
      <c r="H434" t="n">
        <v>0</v>
      </c>
      <c r="I434" t="n">
        <v>0</v>
      </c>
      <c r="J434" t="n">
        <v>0</v>
      </c>
      <c r="K434" t="n">
        <v>0</v>
      </c>
      <c r="L434" t="n">
        <v>0</v>
      </c>
      <c r="M434" t="n">
        <v>0</v>
      </c>
      <c r="N434" t="n">
        <v>0</v>
      </c>
      <c r="O434" t="n">
        <v>0</v>
      </c>
      <c r="P434" t="n">
        <v>0</v>
      </c>
      <c r="Q434" t="n">
        <v>0</v>
      </c>
      <c r="R434" s="2" t="inlineStr"/>
    </row>
    <row r="435" ht="15" customHeight="1">
      <c r="A435" t="inlineStr">
        <is>
          <t>A 43068-2023</t>
        </is>
      </c>
      <c r="B435" s="1" t="n">
        <v>45182.78834490741</v>
      </c>
      <c r="C435" s="1" t="n">
        <v>46040</v>
      </c>
      <c r="D435" t="inlineStr">
        <is>
          <t>KALMAR LÄN</t>
        </is>
      </c>
      <c r="E435" t="inlineStr">
        <is>
          <t>VIMMERBY</t>
        </is>
      </c>
      <c r="G435" t="n">
        <v>1.5</v>
      </c>
      <c r="H435" t="n">
        <v>0</v>
      </c>
      <c r="I435" t="n">
        <v>0</v>
      </c>
      <c r="J435" t="n">
        <v>0</v>
      </c>
      <c r="K435" t="n">
        <v>0</v>
      </c>
      <c r="L435" t="n">
        <v>0</v>
      </c>
      <c r="M435" t="n">
        <v>0</v>
      </c>
      <c r="N435" t="n">
        <v>0</v>
      </c>
      <c r="O435" t="n">
        <v>0</v>
      </c>
      <c r="P435" t="n">
        <v>0</v>
      </c>
      <c r="Q435" t="n">
        <v>0</v>
      </c>
      <c r="R435" s="2" t="inlineStr"/>
    </row>
    <row r="436" ht="15" customHeight="1">
      <c r="A436" t="inlineStr">
        <is>
          <t>A 47965-2025</t>
        </is>
      </c>
      <c r="B436" s="1" t="n">
        <v>45932.59597222223</v>
      </c>
      <c r="C436" s="1" t="n">
        <v>46040</v>
      </c>
      <c r="D436" t="inlineStr">
        <is>
          <t>KALMAR LÄN</t>
        </is>
      </c>
      <c r="E436" t="inlineStr">
        <is>
          <t>VIMMERBY</t>
        </is>
      </c>
      <c r="G436" t="n">
        <v>2.2</v>
      </c>
      <c r="H436" t="n">
        <v>0</v>
      </c>
      <c r="I436" t="n">
        <v>0</v>
      </c>
      <c r="J436" t="n">
        <v>0</v>
      </c>
      <c r="K436" t="n">
        <v>0</v>
      </c>
      <c r="L436" t="n">
        <v>0</v>
      </c>
      <c r="M436" t="n">
        <v>0</v>
      </c>
      <c r="N436" t="n">
        <v>0</v>
      </c>
      <c r="O436" t="n">
        <v>0</v>
      </c>
      <c r="P436" t="n">
        <v>0</v>
      </c>
      <c r="Q436" t="n">
        <v>0</v>
      </c>
      <c r="R436" s="2" t="inlineStr"/>
    </row>
    <row r="437" ht="15" customHeight="1">
      <c r="A437" t="inlineStr">
        <is>
          <t>A 35710-2023</t>
        </is>
      </c>
      <c r="B437" s="1" t="n">
        <v>45147.67096064815</v>
      </c>
      <c r="C437" s="1" t="n">
        <v>46040</v>
      </c>
      <c r="D437" t="inlineStr">
        <is>
          <t>KALMAR LÄN</t>
        </is>
      </c>
      <c r="E437" t="inlineStr">
        <is>
          <t>VIMMERBY</t>
        </is>
      </c>
      <c r="G437" t="n">
        <v>3.1</v>
      </c>
      <c r="H437" t="n">
        <v>0</v>
      </c>
      <c r="I437" t="n">
        <v>0</v>
      </c>
      <c r="J437" t="n">
        <v>0</v>
      </c>
      <c r="K437" t="n">
        <v>0</v>
      </c>
      <c r="L437" t="n">
        <v>0</v>
      </c>
      <c r="M437" t="n">
        <v>0</v>
      </c>
      <c r="N437" t="n">
        <v>0</v>
      </c>
      <c r="O437" t="n">
        <v>0</v>
      </c>
      <c r="P437" t="n">
        <v>0</v>
      </c>
      <c r="Q437" t="n">
        <v>0</v>
      </c>
      <c r="R437" s="2" t="inlineStr"/>
    </row>
    <row r="438" ht="15" customHeight="1">
      <c r="A438" t="inlineStr">
        <is>
          <t>A 35711-2023</t>
        </is>
      </c>
      <c r="B438" s="1" t="n">
        <v>45147.67172453704</v>
      </c>
      <c r="C438" s="1" t="n">
        <v>46040</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47955-2025</t>
        </is>
      </c>
      <c r="B439" s="1" t="n">
        <v>45932.58896990741</v>
      </c>
      <c r="C439" s="1" t="n">
        <v>46040</v>
      </c>
      <c r="D439" t="inlineStr">
        <is>
          <t>KALMAR LÄN</t>
        </is>
      </c>
      <c r="E439" t="inlineStr">
        <is>
          <t>VIMMERBY</t>
        </is>
      </c>
      <c r="G439" t="n">
        <v>3.4</v>
      </c>
      <c r="H439" t="n">
        <v>0</v>
      </c>
      <c r="I439" t="n">
        <v>0</v>
      </c>
      <c r="J439" t="n">
        <v>0</v>
      </c>
      <c r="K439" t="n">
        <v>0</v>
      </c>
      <c r="L439" t="n">
        <v>0</v>
      </c>
      <c r="M439" t="n">
        <v>0</v>
      </c>
      <c r="N439" t="n">
        <v>0</v>
      </c>
      <c r="O439" t="n">
        <v>0</v>
      </c>
      <c r="P439" t="n">
        <v>0</v>
      </c>
      <c r="Q439" t="n">
        <v>0</v>
      </c>
      <c r="R439" s="2" t="inlineStr"/>
    </row>
    <row r="440" ht="15" customHeight="1">
      <c r="A440" t="inlineStr">
        <is>
          <t>A 12075-2024</t>
        </is>
      </c>
      <c r="B440" s="1" t="n">
        <v>45377</v>
      </c>
      <c r="C440" s="1" t="n">
        <v>46040</v>
      </c>
      <c r="D440" t="inlineStr">
        <is>
          <t>KALMAR LÄN</t>
        </is>
      </c>
      <c r="E440" t="inlineStr">
        <is>
          <t>VIMMERBY</t>
        </is>
      </c>
      <c r="G440" t="n">
        <v>3.7</v>
      </c>
      <c r="H440" t="n">
        <v>0</v>
      </c>
      <c r="I440" t="n">
        <v>0</v>
      </c>
      <c r="J440" t="n">
        <v>0</v>
      </c>
      <c r="K440" t="n">
        <v>0</v>
      </c>
      <c r="L440" t="n">
        <v>0</v>
      </c>
      <c r="M440" t="n">
        <v>0</v>
      </c>
      <c r="N440" t="n">
        <v>0</v>
      </c>
      <c r="O440" t="n">
        <v>0</v>
      </c>
      <c r="P440" t="n">
        <v>0</v>
      </c>
      <c r="Q440" t="n">
        <v>0</v>
      </c>
      <c r="R440" s="2" t="inlineStr"/>
    </row>
    <row r="441" ht="15" customHeight="1">
      <c r="A441" t="inlineStr">
        <is>
          <t>A 48299-2025</t>
        </is>
      </c>
      <c r="B441" s="1" t="n">
        <v>45933.60982638889</v>
      </c>
      <c r="C441" s="1" t="n">
        <v>46040</v>
      </c>
      <c r="D441" t="inlineStr">
        <is>
          <t>KALMAR LÄN</t>
        </is>
      </c>
      <c r="E441" t="inlineStr">
        <is>
          <t>VIMMERBY</t>
        </is>
      </c>
      <c r="G441" t="n">
        <v>1.8</v>
      </c>
      <c r="H441" t="n">
        <v>0</v>
      </c>
      <c r="I441" t="n">
        <v>0</v>
      </c>
      <c r="J441" t="n">
        <v>0</v>
      </c>
      <c r="K441" t="n">
        <v>0</v>
      </c>
      <c r="L441" t="n">
        <v>0</v>
      </c>
      <c r="M441" t="n">
        <v>0</v>
      </c>
      <c r="N441" t="n">
        <v>0</v>
      </c>
      <c r="O441" t="n">
        <v>0</v>
      </c>
      <c r="P441" t="n">
        <v>0</v>
      </c>
      <c r="Q441" t="n">
        <v>0</v>
      </c>
      <c r="R441" s="2" t="inlineStr"/>
    </row>
    <row r="442" ht="15" customHeight="1">
      <c r="A442" t="inlineStr">
        <is>
          <t>A 1799-2025</t>
        </is>
      </c>
      <c r="B442" s="1" t="n">
        <v>45671.46746527778</v>
      </c>
      <c r="C442" s="1" t="n">
        <v>46040</v>
      </c>
      <c r="D442" t="inlineStr">
        <is>
          <t>KALMAR LÄN</t>
        </is>
      </c>
      <c r="E442" t="inlineStr">
        <is>
          <t>VIMMERBY</t>
        </is>
      </c>
      <c r="G442" t="n">
        <v>3.3</v>
      </c>
      <c r="H442" t="n">
        <v>0</v>
      </c>
      <c r="I442" t="n">
        <v>0</v>
      </c>
      <c r="J442" t="n">
        <v>0</v>
      </c>
      <c r="K442" t="n">
        <v>0</v>
      </c>
      <c r="L442" t="n">
        <v>0</v>
      </c>
      <c r="M442" t="n">
        <v>0</v>
      </c>
      <c r="N442" t="n">
        <v>0</v>
      </c>
      <c r="O442" t="n">
        <v>0</v>
      </c>
      <c r="P442" t="n">
        <v>0</v>
      </c>
      <c r="Q442" t="n">
        <v>0</v>
      </c>
      <c r="R442" s="2" t="inlineStr"/>
    </row>
    <row r="443" ht="15" customHeight="1">
      <c r="A443" t="inlineStr">
        <is>
          <t>A 48723-2025</t>
        </is>
      </c>
      <c r="B443" s="1" t="n">
        <v>45936.65121527778</v>
      </c>
      <c r="C443" s="1" t="n">
        <v>46040</v>
      </c>
      <c r="D443" t="inlineStr">
        <is>
          <t>KALMAR LÄN</t>
        </is>
      </c>
      <c r="E443" t="inlineStr">
        <is>
          <t>VIMMERBY</t>
        </is>
      </c>
      <c r="G443" t="n">
        <v>3</v>
      </c>
      <c r="H443" t="n">
        <v>0</v>
      </c>
      <c r="I443" t="n">
        <v>0</v>
      </c>
      <c r="J443" t="n">
        <v>0</v>
      </c>
      <c r="K443" t="n">
        <v>0</v>
      </c>
      <c r="L443" t="n">
        <v>0</v>
      </c>
      <c r="M443" t="n">
        <v>0</v>
      </c>
      <c r="N443" t="n">
        <v>0</v>
      </c>
      <c r="O443" t="n">
        <v>0</v>
      </c>
      <c r="P443" t="n">
        <v>0</v>
      </c>
      <c r="Q443" t="n">
        <v>0</v>
      </c>
      <c r="R443" s="2" t="inlineStr"/>
    </row>
    <row r="444" ht="15" customHeight="1">
      <c r="A444" t="inlineStr">
        <is>
          <t>A 48600-2025</t>
        </is>
      </c>
      <c r="B444" s="1" t="n">
        <v>45935</v>
      </c>
      <c r="C444" s="1" t="n">
        <v>46040</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2462-2022</t>
        </is>
      </c>
      <c r="B445" s="1" t="n">
        <v>44579.62225694444</v>
      </c>
      <c r="C445" s="1" t="n">
        <v>46040</v>
      </c>
      <c r="D445" t="inlineStr">
        <is>
          <t>KALMAR LÄN</t>
        </is>
      </c>
      <c r="E445" t="inlineStr">
        <is>
          <t>VIMMERBY</t>
        </is>
      </c>
      <c r="G445" t="n">
        <v>1.1</v>
      </c>
      <c r="H445" t="n">
        <v>0</v>
      </c>
      <c r="I445" t="n">
        <v>0</v>
      </c>
      <c r="J445" t="n">
        <v>0</v>
      </c>
      <c r="K445" t="n">
        <v>0</v>
      </c>
      <c r="L445" t="n">
        <v>0</v>
      </c>
      <c r="M445" t="n">
        <v>0</v>
      </c>
      <c r="N445" t="n">
        <v>0</v>
      </c>
      <c r="O445" t="n">
        <v>0</v>
      </c>
      <c r="P445" t="n">
        <v>0</v>
      </c>
      <c r="Q445" t="n">
        <v>0</v>
      </c>
      <c r="R445" s="2" t="inlineStr"/>
    </row>
    <row r="446" ht="15" customHeight="1">
      <c r="A446" t="inlineStr">
        <is>
          <t>A 48408-2025</t>
        </is>
      </c>
      <c r="B446" s="1" t="n">
        <v>45934.40527777778</v>
      </c>
      <c r="C446" s="1" t="n">
        <v>46040</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48409-2025</t>
        </is>
      </c>
      <c r="B447" s="1" t="n">
        <v>45934.41387731482</v>
      </c>
      <c r="C447" s="1" t="n">
        <v>46040</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48712-2025</t>
        </is>
      </c>
      <c r="B448" s="1" t="n">
        <v>45936.63373842592</v>
      </c>
      <c r="C448" s="1" t="n">
        <v>46040</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13015-2022</t>
        </is>
      </c>
      <c r="B449" s="1" t="n">
        <v>44643</v>
      </c>
      <c r="C449" s="1" t="n">
        <v>46040</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4624-2024</t>
        </is>
      </c>
      <c r="B450" s="1" t="n">
        <v>45328.38755787037</v>
      </c>
      <c r="C450" s="1" t="n">
        <v>46040</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9129-2025</t>
        </is>
      </c>
      <c r="B451" s="1" t="n">
        <v>45713.92412037037</v>
      </c>
      <c r="C451" s="1" t="n">
        <v>46040</v>
      </c>
      <c r="D451" t="inlineStr">
        <is>
          <t>KALMAR LÄN</t>
        </is>
      </c>
      <c r="E451" t="inlineStr">
        <is>
          <t>VIMMERBY</t>
        </is>
      </c>
      <c r="G451" t="n">
        <v>2.8</v>
      </c>
      <c r="H451" t="n">
        <v>0</v>
      </c>
      <c r="I451" t="n">
        <v>0</v>
      </c>
      <c r="J451" t="n">
        <v>0</v>
      </c>
      <c r="K451" t="n">
        <v>0</v>
      </c>
      <c r="L451" t="n">
        <v>0</v>
      </c>
      <c r="M451" t="n">
        <v>0</v>
      </c>
      <c r="N451" t="n">
        <v>0</v>
      </c>
      <c r="O451" t="n">
        <v>0</v>
      </c>
      <c r="P451" t="n">
        <v>0</v>
      </c>
      <c r="Q451" t="n">
        <v>0</v>
      </c>
      <c r="R451" s="2" t="inlineStr"/>
    </row>
    <row r="452" ht="15" customHeight="1">
      <c r="A452" t="inlineStr">
        <is>
          <t>A 22643-2023</t>
        </is>
      </c>
      <c r="B452" s="1" t="n">
        <v>45071</v>
      </c>
      <c r="C452" s="1" t="n">
        <v>46040</v>
      </c>
      <c r="D452" t="inlineStr">
        <is>
          <t>KALMAR LÄN</t>
        </is>
      </c>
      <c r="E452" t="inlineStr">
        <is>
          <t>VIMMERBY</t>
        </is>
      </c>
      <c r="G452" t="n">
        <v>3.9</v>
      </c>
      <c r="H452" t="n">
        <v>0</v>
      </c>
      <c r="I452" t="n">
        <v>0</v>
      </c>
      <c r="J452" t="n">
        <v>0</v>
      </c>
      <c r="K452" t="n">
        <v>0</v>
      </c>
      <c r="L452" t="n">
        <v>0</v>
      </c>
      <c r="M452" t="n">
        <v>0</v>
      </c>
      <c r="N452" t="n">
        <v>0</v>
      </c>
      <c r="O452" t="n">
        <v>0</v>
      </c>
      <c r="P452" t="n">
        <v>0</v>
      </c>
      <c r="Q452" t="n">
        <v>0</v>
      </c>
      <c r="R452" s="2" t="inlineStr"/>
    </row>
    <row r="453" ht="15" customHeight="1">
      <c r="A453" t="inlineStr">
        <is>
          <t>A 34597-2022</t>
        </is>
      </c>
      <c r="B453" s="1" t="n">
        <v>44795</v>
      </c>
      <c r="C453" s="1" t="n">
        <v>46040</v>
      </c>
      <c r="D453" t="inlineStr">
        <is>
          <t>KALMAR LÄN</t>
        </is>
      </c>
      <c r="E453" t="inlineStr">
        <is>
          <t>VIMMERBY</t>
        </is>
      </c>
      <c r="G453" t="n">
        <v>2.2</v>
      </c>
      <c r="H453" t="n">
        <v>0</v>
      </c>
      <c r="I453" t="n">
        <v>0</v>
      </c>
      <c r="J453" t="n">
        <v>0</v>
      </c>
      <c r="K453" t="n">
        <v>0</v>
      </c>
      <c r="L453" t="n">
        <v>0</v>
      </c>
      <c r="M453" t="n">
        <v>0</v>
      </c>
      <c r="N453" t="n">
        <v>0</v>
      </c>
      <c r="O453" t="n">
        <v>0</v>
      </c>
      <c r="P453" t="n">
        <v>0</v>
      </c>
      <c r="Q453" t="n">
        <v>0</v>
      </c>
      <c r="R453" s="2" t="inlineStr"/>
    </row>
    <row r="454" ht="15" customHeight="1">
      <c r="A454" t="inlineStr">
        <is>
          <t>A 49871-2025</t>
        </is>
      </c>
      <c r="B454" s="1" t="n">
        <v>45940.54104166666</v>
      </c>
      <c r="C454" s="1" t="n">
        <v>46040</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40079-2023</t>
        </is>
      </c>
      <c r="B455" s="1" t="n">
        <v>45168.89298611111</v>
      </c>
      <c r="C455" s="1" t="n">
        <v>46040</v>
      </c>
      <c r="D455" t="inlineStr">
        <is>
          <t>KALMAR LÄN</t>
        </is>
      </c>
      <c r="E455" t="inlineStr">
        <is>
          <t>VIMMERBY</t>
        </is>
      </c>
      <c r="G455" t="n">
        <v>1.2</v>
      </c>
      <c r="H455" t="n">
        <v>0</v>
      </c>
      <c r="I455" t="n">
        <v>0</v>
      </c>
      <c r="J455" t="n">
        <v>0</v>
      </c>
      <c r="K455" t="n">
        <v>0</v>
      </c>
      <c r="L455" t="n">
        <v>0</v>
      </c>
      <c r="M455" t="n">
        <v>0</v>
      </c>
      <c r="N455" t="n">
        <v>0</v>
      </c>
      <c r="O455" t="n">
        <v>0</v>
      </c>
      <c r="P455" t="n">
        <v>0</v>
      </c>
      <c r="Q455" t="n">
        <v>0</v>
      </c>
      <c r="R455" s="2" t="inlineStr"/>
    </row>
    <row r="456" ht="15" customHeight="1">
      <c r="A456" t="inlineStr">
        <is>
          <t>A 19833-2023</t>
        </is>
      </c>
      <c r="B456" s="1" t="n">
        <v>45052</v>
      </c>
      <c r="C456" s="1" t="n">
        <v>46040</v>
      </c>
      <c r="D456" t="inlineStr">
        <is>
          <t>KALMAR LÄN</t>
        </is>
      </c>
      <c r="E456" t="inlineStr">
        <is>
          <t>VIMMERBY</t>
        </is>
      </c>
      <c r="G456" t="n">
        <v>6.7</v>
      </c>
      <c r="H456" t="n">
        <v>0</v>
      </c>
      <c r="I456" t="n">
        <v>0</v>
      </c>
      <c r="J456" t="n">
        <v>0</v>
      </c>
      <c r="K456" t="n">
        <v>0</v>
      </c>
      <c r="L456" t="n">
        <v>0</v>
      </c>
      <c r="M456" t="n">
        <v>0</v>
      </c>
      <c r="N456" t="n">
        <v>0</v>
      </c>
      <c r="O456" t="n">
        <v>0</v>
      </c>
      <c r="P456" t="n">
        <v>0</v>
      </c>
      <c r="Q456" t="n">
        <v>0</v>
      </c>
      <c r="R456" s="2" t="inlineStr"/>
    </row>
    <row r="457" ht="15" customHeight="1">
      <c r="A457" t="inlineStr">
        <is>
          <t>A 50324-2025</t>
        </is>
      </c>
      <c r="B457" s="1" t="n">
        <v>45944.45962962963</v>
      </c>
      <c r="C457" s="1" t="n">
        <v>46040</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34588-2024</t>
        </is>
      </c>
      <c r="B458" s="1" t="n">
        <v>45526.3865625</v>
      </c>
      <c r="C458" s="1" t="n">
        <v>46040</v>
      </c>
      <c r="D458" t="inlineStr">
        <is>
          <t>KALMAR LÄN</t>
        </is>
      </c>
      <c r="E458" t="inlineStr">
        <is>
          <t>VIMMERBY</t>
        </is>
      </c>
      <c r="F458" t="inlineStr">
        <is>
          <t>Övriga Aktiebolag</t>
        </is>
      </c>
      <c r="G458" t="n">
        <v>3.3</v>
      </c>
      <c r="H458" t="n">
        <v>0</v>
      </c>
      <c r="I458" t="n">
        <v>0</v>
      </c>
      <c r="J458" t="n">
        <v>0</v>
      </c>
      <c r="K458" t="n">
        <v>0</v>
      </c>
      <c r="L458" t="n">
        <v>0</v>
      </c>
      <c r="M458" t="n">
        <v>0</v>
      </c>
      <c r="N458" t="n">
        <v>0</v>
      </c>
      <c r="O458" t="n">
        <v>0</v>
      </c>
      <c r="P458" t="n">
        <v>0</v>
      </c>
      <c r="Q458" t="n">
        <v>0</v>
      </c>
      <c r="R458" s="2" t="inlineStr"/>
    </row>
    <row r="459" ht="15" customHeight="1">
      <c r="A459" t="inlineStr">
        <is>
          <t>A 56659-2023</t>
        </is>
      </c>
      <c r="B459" s="1" t="n">
        <v>45243.84869212963</v>
      </c>
      <c r="C459" s="1" t="n">
        <v>46040</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17084-2025</t>
        </is>
      </c>
      <c r="B460" s="1" t="n">
        <v>45755.64450231481</v>
      </c>
      <c r="C460" s="1" t="n">
        <v>46040</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56022-2024</t>
        </is>
      </c>
      <c r="B461" s="1" t="n">
        <v>45623.95947916667</v>
      </c>
      <c r="C461" s="1" t="n">
        <v>46040</v>
      </c>
      <c r="D461" t="inlineStr">
        <is>
          <t>KALMAR LÄN</t>
        </is>
      </c>
      <c r="E461" t="inlineStr">
        <is>
          <t>VIMMERBY</t>
        </is>
      </c>
      <c r="G461" t="n">
        <v>0.3</v>
      </c>
      <c r="H461" t="n">
        <v>0</v>
      </c>
      <c r="I461" t="n">
        <v>0</v>
      </c>
      <c r="J461" t="n">
        <v>0</v>
      </c>
      <c r="K461" t="n">
        <v>0</v>
      </c>
      <c r="L461" t="n">
        <v>0</v>
      </c>
      <c r="M461" t="n">
        <v>0</v>
      </c>
      <c r="N461" t="n">
        <v>0</v>
      </c>
      <c r="O461" t="n">
        <v>0</v>
      </c>
      <c r="P461" t="n">
        <v>0</v>
      </c>
      <c r="Q461" t="n">
        <v>0</v>
      </c>
      <c r="R461" s="2" t="inlineStr"/>
    </row>
    <row r="462" ht="15" customHeight="1">
      <c r="A462" t="inlineStr">
        <is>
          <t>A 11928-2022</t>
        </is>
      </c>
      <c r="B462" s="1" t="n">
        <v>44635</v>
      </c>
      <c r="C462" s="1" t="n">
        <v>46040</v>
      </c>
      <c r="D462" t="inlineStr">
        <is>
          <t>KALMAR LÄN</t>
        </is>
      </c>
      <c r="E462" t="inlineStr">
        <is>
          <t>VIMMERBY</t>
        </is>
      </c>
      <c r="G462" t="n">
        <v>2.8</v>
      </c>
      <c r="H462" t="n">
        <v>0</v>
      </c>
      <c r="I462" t="n">
        <v>0</v>
      </c>
      <c r="J462" t="n">
        <v>0</v>
      </c>
      <c r="K462" t="n">
        <v>0</v>
      </c>
      <c r="L462" t="n">
        <v>0</v>
      </c>
      <c r="M462" t="n">
        <v>0</v>
      </c>
      <c r="N462" t="n">
        <v>0</v>
      </c>
      <c r="O462" t="n">
        <v>0</v>
      </c>
      <c r="P462" t="n">
        <v>0</v>
      </c>
      <c r="Q462" t="n">
        <v>0</v>
      </c>
      <c r="R462" s="2" t="inlineStr"/>
    </row>
    <row r="463" ht="15" customHeight="1">
      <c r="A463" t="inlineStr">
        <is>
          <t>A 5527-2022</t>
        </is>
      </c>
      <c r="B463" s="1" t="n">
        <v>44595.583125</v>
      </c>
      <c r="C463" s="1" t="n">
        <v>46040</v>
      </c>
      <c r="D463" t="inlineStr">
        <is>
          <t>KALMAR LÄN</t>
        </is>
      </c>
      <c r="E463" t="inlineStr">
        <is>
          <t>VIMMERBY</t>
        </is>
      </c>
      <c r="G463" t="n">
        <v>3.6</v>
      </c>
      <c r="H463" t="n">
        <v>0</v>
      </c>
      <c r="I463" t="n">
        <v>0</v>
      </c>
      <c r="J463" t="n">
        <v>0</v>
      </c>
      <c r="K463" t="n">
        <v>0</v>
      </c>
      <c r="L463" t="n">
        <v>0</v>
      </c>
      <c r="M463" t="n">
        <v>0</v>
      </c>
      <c r="N463" t="n">
        <v>0</v>
      </c>
      <c r="O463" t="n">
        <v>0</v>
      </c>
      <c r="P463" t="n">
        <v>0</v>
      </c>
      <c r="Q463" t="n">
        <v>0</v>
      </c>
      <c r="R463" s="2" t="inlineStr"/>
    </row>
    <row r="464" ht="15" customHeight="1">
      <c r="A464" t="inlineStr">
        <is>
          <t>A 50544-2025</t>
        </is>
      </c>
      <c r="B464" s="1" t="n">
        <v>45945.50736111111</v>
      </c>
      <c r="C464" s="1" t="n">
        <v>46040</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49461-2023</t>
        </is>
      </c>
      <c r="B465" s="1" t="n">
        <v>45211.52642361111</v>
      </c>
      <c r="C465" s="1" t="n">
        <v>46040</v>
      </c>
      <c r="D465" t="inlineStr">
        <is>
          <t>KALMAR LÄN</t>
        </is>
      </c>
      <c r="E465" t="inlineStr">
        <is>
          <t>VIMMERBY</t>
        </is>
      </c>
      <c r="G465" t="n">
        <v>1.5</v>
      </c>
      <c r="H465" t="n">
        <v>0</v>
      </c>
      <c r="I465" t="n">
        <v>0</v>
      </c>
      <c r="J465" t="n">
        <v>0</v>
      </c>
      <c r="K465" t="n">
        <v>0</v>
      </c>
      <c r="L465" t="n">
        <v>0</v>
      </c>
      <c r="M465" t="n">
        <v>0</v>
      </c>
      <c r="N465" t="n">
        <v>0</v>
      </c>
      <c r="O465" t="n">
        <v>0</v>
      </c>
      <c r="P465" t="n">
        <v>0</v>
      </c>
      <c r="Q465" t="n">
        <v>0</v>
      </c>
      <c r="R465" s="2" t="inlineStr"/>
    </row>
    <row r="466" ht="15" customHeight="1">
      <c r="A466" t="inlineStr">
        <is>
          <t>A 49474-2023</t>
        </is>
      </c>
      <c r="B466" s="1" t="n">
        <v>45211.541875</v>
      </c>
      <c r="C466" s="1" t="n">
        <v>46040</v>
      </c>
      <c r="D466" t="inlineStr">
        <is>
          <t>KALMAR LÄN</t>
        </is>
      </c>
      <c r="E466" t="inlineStr">
        <is>
          <t>VIMMERBY</t>
        </is>
      </c>
      <c r="G466" t="n">
        <v>3.6</v>
      </c>
      <c r="H466" t="n">
        <v>0</v>
      </c>
      <c r="I466" t="n">
        <v>0</v>
      </c>
      <c r="J466" t="n">
        <v>0</v>
      </c>
      <c r="K466" t="n">
        <v>0</v>
      </c>
      <c r="L466" t="n">
        <v>0</v>
      </c>
      <c r="M466" t="n">
        <v>0</v>
      </c>
      <c r="N466" t="n">
        <v>0</v>
      </c>
      <c r="O466" t="n">
        <v>0</v>
      </c>
      <c r="P466" t="n">
        <v>0</v>
      </c>
      <c r="Q466" t="n">
        <v>0</v>
      </c>
      <c r="R466" s="2" t="inlineStr"/>
    </row>
    <row r="467" ht="15" customHeight="1">
      <c r="A467" t="inlineStr">
        <is>
          <t>A 61861-2024</t>
        </is>
      </c>
      <c r="B467" s="1" t="n">
        <v>45650.37370370371</v>
      </c>
      <c r="C467" s="1" t="n">
        <v>46040</v>
      </c>
      <c r="D467" t="inlineStr">
        <is>
          <t>KALMAR LÄN</t>
        </is>
      </c>
      <c r="E467" t="inlineStr">
        <is>
          <t>VIMMERBY</t>
        </is>
      </c>
      <c r="G467" t="n">
        <v>1</v>
      </c>
      <c r="H467" t="n">
        <v>0</v>
      </c>
      <c r="I467" t="n">
        <v>0</v>
      </c>
      <c r="J467" t="n">
        <v>0</v>
      </c>
      <c r="K467" t="n">
        <v>0</v>
      </c>
      <c r="L467" t="n">
        <v>0</v>
      </c>
      <c r="M467" t="n">
        <v>0</v>
      </c>
      <c r="N467" t="n">
        <v>0</v>
      </c>
      <c r="O467" t="n">
        <v>0</v>
      </c>
      <c r="P467" t="n">
        <v>0</v>
      </c>
      <c r="Q467" t="n">
        <v>0</v>
      </c>
      <c r="R467" s="2" t="inlineStr"/>
    </row>
    <row r="468" ht="15" customHeight="1">
      <c r="A468" t="inlineStr">
        <is>
          <t>A 51062-2025</t>
        </is>
      </c>
      <c r="B468" s="1" t="n">
        <v>45947.44685185186</v>
      </c>
      <c r="C468" s="1" t="n">
        <v>46040</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45846-2023</t>
        </is>
      </c>
      <c r="B469" s="1" t="n">
        <v>45195.58452546296</v>
      </c>
      <c r="C469" s="1" t="n">
        <v>46040</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8167-2024</t>
        </is>
      </c>
      <c r="B470" s="1" t="n">
        <v>45351.6062962963</v>
      </c>
      <c r="C470" s="1" t="n">
        <v>46040</v>
      </c>
      <c r="D470" t="inlineStr">
        <is>
          <t>KALMAR LÄN</t>
        </is>
      </c>
      <c r="E470" t="inlineStr">
        <is>
          <t>VIMMERBY</t>
        </is>
      </c>
      <c r="G470" t="n">
        <v>3.8</v>
      </c>
      <c r="H470" t="n">
        <v>0</v>
      </c>
      <c r="I470" t="n">
        <v>0</v>
      </c>
      <c r="J470" t="n">
        <v>0</v>
      </c>
      <c r="K470" t="n">
        <v>0</v>
      </c>
      <c r="L470" t="n">
        <v>0</v>
      </c>
      <c r="M470" t="n">
        <v>0</v>
      </c>
      <c r="N470" t="n">
        <v>0</v>
      </c>
      <c r="O470" t="n">
        <v>0</v>
      </c>
      <c r="P470" t="n">
        <v>0</v>
      </c>
      <c r="Q470" t="n">
        <v>0</v>
      </c>
      <c r="R470" s="2" t="inlineStr"/>
    </row>
    <row r="471" ht="15" customHeight="1">
      <c r="A471" t="inlineStr">
        <is>
          <t>A 49382-2023</t>
        </is>
      </c>
      <c r="B471" s="1" t="n">
        <v>45208</v>
      </c>
      <c r="C471" s="1" t="n">
        <v>46040</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12121-2025</t>
        </is>
      </c>
      <c r="B472" s="1" t="n">
        <v>45729.36868055556</v>
      </c>
      <c r="C472" s="1" t="n">
        <v>46040</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35846-2023</t>
        </is>
      </c>
      <c r="B473" s="1" t="n">
        <v>45148</v>
      </c>
      <c r="C473" s="1" t="n">
        <v>46040</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35913-2023</t>
        </is>
      </c>
      <c r="B474" s="1" t="n">
        <v>45148</v>
      </c>
      <c r="C474" s="1" t="n">
        <v>46040</v>
      </c>
      <c r="D474" t="inlineStr">
        <is>
          <t>KALMAR LÄN</t>
        </is>
      </c>
      <c r="E474" t="inlineStr">
        <is>
          <t>VIMMERBY</t>
        </is>
      </c>
      <c r="G474" t="n">
        <v>6.9</v>
      </c>
      <c r="H474" t="n">
        <v>0</v>
      </c>
      <c r="I474" t="n">
        <v>0</v>
      </c>
      <c r="J474" t="n">
        <v>0</v>
      </c>
      <c r="K474" t="n">
        <v>0</v>
      </c>
      <c r="L474" t="n">
        <v>0</v>
      </c>
      <c r="M474" t="n">
        <v>0</v>
      </c>
      <c r="N474" t="n">
        <v>0</v>
      </c>
      <c r="O474" t="n">
        <v>0</v>
      </c>
      <c r="P474" t="n">
        <v>0</v>
      </c>
      <c r="Q474" t="n">
        <v>0</v>
      </c>
      <c r="R474" s="2" t="inlineStr"/>
    </row>
    <row r="475" ht="15" customHeight="1">
      <c r="A475" t="inlineStr">
        <is>
          <t>A 3331-2023</t>
        </is>
      </c>
      <c r="B475" s="1" t="n">
        <v>44949</v>
      </c>
      <c r="C475" s="1" t="n">
        <v>46040</v>
      </c>
      <c r="D475" t="inlineStr">
        <is>
          <t>KALMAR LÄN</t>
        </is>
      </c>
      <c r="E475" t="inlineStr">
        <is>
          <t>VIMMERBY</t>
        </is>
      </c>
      <c r="G475" t="n">
        <v>6.2</v>
      </c>
      <c r="H475" t="n">
        <v>0</v>
      </c>
      <c r="I475" t="n">
        <v>0</v>
      </c>
      <c r="J475" t="n">
        <v>0</v>
      </c>
      <c r="K475" t="n">
        <v>0</v>
      </c>
      <c r="L475" t="n">
        <v>0</v>
      </c>
      <c r="M475" t="n">
        <v>0</v>
      </c>
      <c r="N475" t="n">
        <v>0</v>
      </c>
      <c r="O475" t="n">
        <v>0</v>
      </c>
      <c r="P475" t="n">
        <v>0</v>
      </c>
      <c r="Q475" t="n">
        <v>0</v>
      </c>
      <c r="R475" s="2" t="inlineStr"/>
    </row>
    <row r="476" ht="15" customHeight="1">
      <c r="A476" t="inlineStr">
        <is>
          <t>A 38757-2023</t>
        </is>
      </c>
      <c r="B476" s="1" t="n">
        <v>45163.41376157408</v>
      </c>
      <c r="C476" s="1" t="n">
        <v>46040</v>
      </c>
      <c r="D476" t="inlineStr">
        <is>
          <t>KALMAR LÄN</t>
        </is>
      </c>
      <c r="E476" t="inlineStr">
        <is>
          <t>VIMMERBY</t>
        </is>
      </c>
      <c r="G476" t="n">
        <v>2.5</v>
      </c>
      <c r="H476" t="n">
        <v>0</v>
      </c>
      <c r="I476" t="n">
        <v>0</v>
      </c>
      <c r="J476" t="n">
        <v>0</v>
      </c>
      <c r="K476" t="n">
        <v>0</v>
      </c>
      <c r="L476" t="n">
        <v>0</v>
      </c>
      <c r="M476" t="n">
        <v>0</v>
      </c>
      <c r="N476" t="n">
        <v>0</v>
      </c>
      <c r="O476" t="n">
        <v>0</v>
      </c>
      <c r="P476" t="n">
        <v>0</v>
      </c>
      <c r="Q476" t="n">
        <v>0</v>
      </c>
      <c r="R476" s="2" t="inlineStr"/>
    </row>
    <row r="477" ht="15" customHeight="1">
      <c r="A477" t="inlineStr">
        <is>
          <t>A 20136-2024</t>
        </is>
      </c>
      <c r="B477" s="1" t="n">
        <v>45434.56291666667</v>
      </c>
      <c r="C477" s="1" t="n">
        <v>46040</v>
      </c>
      <c r="D477" t="inlineStr">
        <is>
          <t>KALMAR LÄN</t>
        </is>
      </c>
      <c r="E477" t="inlineStr">
        <is>
          <t>VIMMERBY</t>
        </is>
      </c>
      <c r="F477" t="inlineStr">
        <is>
          <t>Sveaskog</t>
        </is>
      </c>
      <c r="G477" t="n">
        <v>8.4</v>
      </c>
      <c r="H477" t="n">
        <v>0</v>
      </c>
      <c r="I477" t="n">
        <v>0</v>
      </c>
      <c r="J477" t="n">
        <v>0</v>
      </c>
      <c r="K477" t="n">
        <v>0</v>
      </c>
      <c r="L477" t="n">
        <v>0</v>
      </c>
      <c r="M477" t="n">
        <v>0</v>
      </c>
      <c r="N477" t="n">
        <v>0</v>
      </c>
      <c r="O477" t="n">
        <v>0</v>
      </c>
      <c r="P477" t="n">
        <v>0</v>
      </c>
      <c r="Q477" t="n">
        <v>0</v>
      </c>
      <c r="R477" s="2" t="inlineStr"/>
    </row>
    <row r="478" ht="15" customHeight="1">
      <c r="A478" t="inlineStr">
        <is>
          <t>A 24283-2023</t>
        </is>
      </c>
      <c r="B478" s="1" t="n">
        <v>45079.87827546296</v>
      </c>
      <c r="C478" s="1" t="n">
        <v>46040</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51993-2025</t>
        </is>
      </c>
      <c r="B479" s="1" t="n">
        <v>45952.58194444444</v>
      </c>
      <c r="C479" s="1" t="n">
        <v>46040</v>
      </c>
      <c r="D479" t="inlineStr">
        <is>
          <t>KALMAR LÄN</t>
        </is>
      </c>
      <c r="E479" t="inlineStr">
        <is>
          <t>VIMMERBY</t>
        </is>
      </c>
      <c r="G479" t="n">
        <v>2.8</v>
      </c>
      <c r="H479" t="n">
        <v>0</v>
      </c>
      <c r="I479" t="n">
        <v>0</v>
      </c>
      <c r="J479" t="n">
        <v>0</v>
      </c>
      <c r="K479" t="n">
        <v>0</v>
      </c>
      <c r="L479" t="n">
        <v>0</v>
      </c>
      <c r="M479" t="n">
        <v>0</v>
      </c>
      <c r="N479" t="n">
        <v>0</v>
      </c>
      <c r="O479" t="n">
        <v>0</v>
      </c>
      <c r="P479" t="n">
        <v>0</v>
      </c>
      <c r="Q479" t="n">
        <v>0</v>
      </c>
      <c r="R479" s="2" t="inlineStr"/>
    </row>
    <row r="480" ht="15" customHeight="1">
      <c r="A480" t="inlineStr">
        <is>
          <t>A 51990-2025</t>
        </is>
      </c>
      <c r="B480" s="1" t="n">
        <v>45952.58061342593</v>
      </c>
      <c r="C480" s="1" t="n">
        <v>46040</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59598-2023</t>
        </is>
      </c>
      <c r="B481" s="1" t="n">
        <v>45254.62489583333</v>
      </c>
      <c r="C481" s="1" t="n">
        <v>46040</v>
      </c>
      <c r="D481" t="inlineStr">
        <is>
          <t>KALMAR LÄN</t>
        </is>
      </c>
      <c r="E481" t="inlineStr">
        <is>
          <t>VIMMERBY</t>
        </is>
      </c>
      <c r="F481" t="inlineStr">
        <is>
          <t>Övriga Aktiebolag</t>
        </is>
      </c>
      <c r="G481" t="n">
        <v>4</v>
      </c>
      <c r="H481" t="n">
        <v>0</v>
      </c>
      <c r="I481" t="n">
        <v>0</v>
      </c>
      <c r="J481" t="n">
        <v>0</v>
      </c>
      <c r="K481" t="n">
        <v>0</v>
      </c>
      <c r="L481" t="n">
        <v>0</v>
      </c>
      <c r="M481" t="n">
        <v>0</v>
      </c>
      <c r="N481" t="n">
        <v>0</v>
      </c>
      <c r="O481" t="n">
        <v>0</v>
      </c>
      <c r="P481" t="n">
        <v>0</v>
      </c>
      <c r="Q481" t="n">
        <v>0</v>
      </c>
      <c r="R481" s="2" t="inlineStr"/>
    </row>
    <row r="482" ht="15" customHeight="1">
      <c r="A482" t="inlineStr">
        <is>
          <t>A 30920-2023</t>
        </is>
      </c>
      <c r="B482" s="1" t="n">
        <v>45113.43921296296</v>
      </c>
      <c r="C482" s="1" t="n">
        <v>46040</v>
      </c>
      <c r="D482" t="inlineStr">
        <is>
          <t>KALMAR LÄN</t>
        </is>
      </c>
      <c r="E482" t="inlineStr">
        <is>
          <t>VIMMERBY</t>
        </is>
      </c>
      <c r="G482" t="n">
        <v>3.1</v>
      </c>
      <c r="H482" t="n">
        <v>0</v>
      </c>
      <c r="I482" t="n">
        <v>0</v>
      </c>
      <c r="J482" t="n">
        <v>0</v>
      </c>
      <c r="K482" t="n">
        <v>0</v>
      </c>
      <c r="L482" t="n">
        <v>0</v>
      </c>
      <c r="M482" t="n">
        <v>0</v>
      </c>
      <c r="N482" t="n">
        <v>0</v>
      </c>
      <c r="O482" t="n">
        <v>0</v>
      </c>
      <c r="P482" t="n">
        <v>0</v>
      </c>
      <c r="Q482" t="n">
        <v>0</v>
      </c>
      <c r="R482" s="2" t="inlineStr"/>
    </row>
    <row r="483" ht="15" customHeight="1">
      <c r="A483" t="inlineStr">
        <is>
          <t>A 40828-2023</t>
        </is>
      </c>
      <c r="B483" s="1" t="n">
        <v>45171.96248842592</v>
      </c>
      <c r="C483" s="1" t="n">
        <v>46040</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52473-2025</t>
        </is>
      </c>
      <c r="B484" s="1" t="n">
        <v>45954.45947916667</v>
      </c>
      <c r="C484" s="1" t="n">
        <v>46040</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52480-2025</t>
        </is>
      </c>
      <c r="B485" s="1" t="n">
        <v>45954.47172453703</v>
      </c>
      <c r="C485" s="1" t="n">
        <v>46040</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52466-2025</t>
        </is>
      </c>
      <c r="B486" s="1" t="n">
        <v>45954.44707175926</v>
      </c>
      <c r="C486" s="1" t="n">
        <v>46040</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52516-2025</t>
        </is>
      </c>
      <c r="B487" s="1" t="n">
        <v>45954.51412037037</v>
      </c>
      <c r="C487" s="1" t="n">
        <v>46040</v>
      </c>
      <c r="D487" t="inlineStr">
        <is>
          <t>KALMAR LÄN</t>
        </is>
      </c>
      <c r="E487" t="inlineStr">
        <is>
          <t>VIMMERBY</t>
        </is>
      </c>
      <c r="G487" t="n">
        <v>2.8</v>
      </c>
      <c r="H487" t="n">
        <v>0</v>
      </c>
      <c r="I487" t="n">
        <v>0</v>
      </c>
      <c r="J487" t="n">
        <v>0</v>
      </c>
      <c r="K487" t="n">
        <v>0</v>
      </c>
      <c r="L487" t="n">
        <v>0</v>
      </c>
      <c r="M487" t="n">
        <v>0</v>
      </c>
      <c r="N487" t="n">
        <v>0</v>
      </c>
      <c r="O487" t="n">
        <v>0</v>
      </c>
      <c r="P487" t="n">
        <v>0</v>
      </c>
      <c r="Q487" t="n">
        <v>0</v>
      </c>
      <c r="R487" s="2" t="inlineStr"/>
    </row>
    <row r="488" ht="15" customHeight="1">
      <c r="A488" t="inlineStr">
        <is>
          <t>A 52465-2025</t>
        </is>
      </c>
      <c r="B488" s="1" t="n">
        <v>45954.44543981482</v>
      </c>
      <c r="C488" s="1" t="n">
        <v>46040</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16734-2023</t>
        </is>
      </c>
      <c r="B489" s="1" t="n">
        <v>45030.71012731481</v>
      </c>
      <c r="C489" s="1" t="n">
        <v>46040</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40929-2022</t>
        </is>
      </c>
      <c r="B490" s="1" t="n">
        <v>44825.4336574074</v>
      </c>
      <c r="C490" s="1" t="n">
        <v>46040</v>
      </c>
      <c r="D490" t="inlineStr">
        <is>
          <t>KALMAR LÄN</t>
        </is>
      </c>
      <c r="E490" t="inlineStr">
        <is>
          <t>VIMMERBY</t>
        </is>
      </c>
      <c r="G490" t="n">
        <v>2.5</v>
      </c>
      <c r="H490" t="n">
        <v>0</v>
      </c>
      <c r="I490" t="n">
        <v>0</v>
      </c>
      <c r="J490" t="n">
        <v>0</v>
      </c>
      <c r="K490" t="n">
        <v>0</v>
      </c>
      <c r="L490" t="n">
        <v>0</v>
      </c>
      <c r="M490" t="n">
        <v>0</v>
      </c>
      <c r="N490" t="n">
        <v>0</v>
      </c>
      <c r="O490" t="n">
        <v>0</v>
      </c>
      <c r="P490" t="n">
        <v>0</v>
      </c>
      <c r="Q490" t="n">
        <v>0</v>
      </c>
      <c r="R490" s="2" t="inlineStr"/>
    </row>
    <row r="491" ht="15" customHeight="1">
      <c r="A491" t="inlineStr">
        <is>
          <t>A 33380-2023</t>
        </is>
      </c>
      <c r="B491" s="1" t="n">
        <v>45128</v>
      </c>
      <c r="C491" s="1" t="n">
        <v>46040</v>
      </c>
      <c r="D491" t="inlineStr">
        <is>
          <t>KALMAR LÄN</t>
        </is>
      </c>
      <c r="E491" t="inlineStr">
        <is>
          <t>VIMMERBY</t>
        </is>
      </c>
      <c r="G491" t="n">
        <v>5.2</v>
      </c>
      <c r="H491" t="n">
        <v>0</v>
      </c>
      <c r="I491" t="n">
        <v>0</v>
      </c>
      <c r="J491" t="n">
        <v>0</v>
      </c>
      <c r="K491" t="n">
        <v>0</v>
      </c>
      <c r="L491" t="n">
        <v>0</v>
      </c>
      <c r="M491" t="n">
        <v>0</v>
      </c>
      <c r="N491" t="n">
        <v>0</v>
      </c>
      <c r="O491" t="n">
        <v>0</v>
      </c>
      <c r="P491" t="n">
        <v>0</v>
      </c>
      <c r="Q491" t="n">
        <v>0</v>
      </c>
      <c r="R491" s="2" t="inlineStr"/>
    </row>
    <row r="492" ht="15" customHeight="1">
      <c r="A492" t="inlineStr">
        <is>
          <t>A 46144-2023</t>
        </is>
      </c>
      <c r="B492" s="1" t="n">
        <v>45196.57247685185</v>
      </c>
      <c r="C492" s="1" t="n">
        <v>46040</v>
      </c>
      <c r="D492" t="inlineStr">
        <is>
          <t>KALMAR LÄN</t>
        </is>
      </c>
      <c r="E492" t="inlineStr">
        <is>
          <t>VIMMERBY</t>
        </is>
      </c>
      <c r="G492" t="n">
        <v>6.5</v>
      </c>
      <c r="H492" t="n">
        <v>0</v>
      </c>
      <c r="I492" t="n">
        <v>0</v>
      </c>
      <c r="J492" t="n">
        <v>0</v>
      </c>
      <c r="K492" t="n">
        <v>0</v>
      </c>
      <c r="L492" t="n">
        <v>0</v>
      </c>
      <c r="M492" t="n">
        <v>0</v>
      </c>
      <c r="N492" t="n">
        <v>0</v>
      </c>
      <c r="O492" t="n">
        <v>0</v>
      </c>
      <c r="P492" t="n">
        <v>0</v>
      </c>
      <c r="Q492" t="n">
        <v>0</v>
      </c>
      <c r="R492" s="2" t="inlineStr"/>
    </row>
    <row r="493" ht="15" customHeight="1">
      <c r="A493" t="inlineStr">
        <is>
          <t>A 64143-2021</t>
        </is>
      </c>
      <c r="B493" s="1" t="n">
        <v>44510.52157407408</v>
      </c>
      <c r="C493" s="1" t="n">
        <v>46040</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9720-2023</t>
        </is>
      </c>
      <c r="B494" s="1" t="n">
        <v>44984</v>
      </c>
      <c r="C494" s="1" t="n">
        <v>46040</v>
      </c>
      <c r="D494" t="inlineStr">
        <is>
          <t>KALMAR LÄN</t>
        </is>
      </c>
      <c r="E494" t="inlineStr">
        <is>
          <t>VIMMERBY</t>
        </is>
      </c>
      <c r="G494" t="n">
        <v>4.4</v>
      </c>
      <c r="H494" t="n">
        <v>0</v>
      </c>
      <c r="I494" t="n">
        <v>0</v>
      </c>
      <c r="J494" t="n">
        <v>0</v>
      </c>
      <c r="K494" t="n">
        <v>0</v>
      </c>
      <c r="L494" t="n">
        <v>0</v>
      </c>
      <c r="M494" t="n">
        <v>0</v>
      </c>
      <c r="N494" t="n">
        <v>0</v>
      </c>
      <c r="O494" t="n">
        <v>0</v>
      </c>
      <c r="P494" t="n">
        <v>0</v>
      </c>
      <c r="Q494" t="n">
        <v>0</v>
      </c>
      <c r="R494" s="2" t="inlineStr"/>
    </row>
    <row r="495" ht="15" customHeight="1">
      <c r="A495" t="inlineStr">
        <is>
          <t>A 5938-2022</t>
        </is>
      </c>
      <c r="B495" s="1" t="n">
        <v>44598</v>
      </c>
      <c r="C495" s="1" t="n">
        <v>46040</v>
      </c>
      <c r="D495" t="inlineStr">
        <is>
          <t>KALMAR LÄN</t>
        </is>
      </c>
      <c r="E495" t="inlineStr">
        <is>
          <t>VIMMERBY</t>
        </is>
      </c>
      <c r="G495" t="n">
        <v>2.4</v>
      </c>
      <c r="H495" t="n">
        <v>0</v>
      </c>
      <c r="I495" t="n">
        <v>0</v>
      </c>
      <c r="J495" t="n">
        <v>0</v>
      </c>
      <c r="K495" t="n">
        <v>0</v>
      </c>
      <c r="L495" t="n">
        <v>0</v>
      </c>
      <c r="M495" t="n">
        <v>0</v>
      </c>
      <c r="N495" t="n">
        <v>0</v>
      </c>
      <c r="O495" t="n">
        <v>0</v>
      </c>
      <c r="P495" t="n">
        <v>0</v>
      </c>
      <c r="Q495" t="n">
        <v>0</v>
      </c>
      <c r="R495" s="2" t="inlineStr"/>
    </row>
    <row r="496" ht="15" customHeight="1">
      <c r="A496" t="inlineStr">
        <is>
          <t>A 54787-2023</t>
        </is>
      </c>
      <c r="B496" s="1" t="n">
        <v>45236</v>
      </c>
      <c r="C496" s="1" t="n">
        <v>46040</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15715-2022</t>
        </is>
      </c>
      <c r="B497" s="1" t="n">
        <v>44663</v>
      </c>
      <c r="C497" s="1" t="n">
        <v>46040</v>
      </c>
      <c r="D497" t="inlineStr">
        <is>
          <t>KALMAR LÄN</t>
        </is>
      </c>
      <c r="E497" t="inlineStr">
        <is>
          <t>VIMMERBY</t>
        </is>
      </c>
      <c r="G497" t="n">
        <v>2.3</v>
      </c>
      <c r="H497" t="n">
        <v>0</v>
      </c>
      <c r="I497" t="n">
        <v>0</v>
      </c>
      <c r="J497" t="n">
        <v>0</v>
      </c>
      <c r="K497" t="n">
        <v>0</v>
      </c>
      <c r="L497" t="n">
        <v>0</v>
      </c>
      <c r="M497" t="n">
        <v>0</v>
      </c>
      <c r="N497" t="n">
        <v>0</v>
      </c>
      <c r="O497" t="n">
        <v>0</v>
      </c>
      <c r="P497" t="n">
        <v>0</v>
      </c>
      <c r="Q497" t="n">
        <v>0</v>
      </c>
      <c r="R497" s="2" t="inlineStr"/>
    </row>
    <row r="498" ht="15" customHeight="1">
      <c r="A498" t="inlineStr">
        <is>
          <t>A 1687-2023</t>
        </is>
      </c>
      <c r="B498" s="1" t="n">
        <v>44938</v>
      </c>
      <c r="C498" s="1" t="n">
        <v>46040</v>
      </c>
      <c r="D498" t="inlineStr">
        <is>
          <t>KALMAR LÄN</t>
        </is>
      </c>
      <c r="E498" t="inlineStr">
        <is>
          <t>VIMMERBY</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29440-2024</t>
        </is>
      </c>
      <c r="B499" s="1" t="n">
        <v>45483.82479166667</v>
      </c>
      <c r="C499" s="1" t="n">
        <v>46040</v>
      </c>
      <c r="D499" t="inlineStr">
        <is>
          <t>KALMAR LÄN</t>
        </is>
      </c>
      <c r="E499" t="inlineStr">
        <is>
          <t>VIMMERBY</t>
        </is>
      </c>
      <c r="G499" t="n">
        <v>4.5</v>
      </c>
      <c r="H499" t="n">
        <v>0</v>
      </c>
      <c r="I499" t="n">
        <v>0</v>
      </c>
      <c r="J499" t="n">
        <v>0</v>
      </c>
      <c r="K499" t="n">
        <v>0</v>
      </c>
      <c r="L499" t="n">
        <v>0</v>
      </c>
      <c r="M499" t="n">
        <v>0</v>
      </c>
      <c r="N499" t="n">
        <v>0</v>
      </c>
      <c r="O499" t="n">
        <v>0</v>
      </c>
      <c r="P499" t="n">
        <v>0</v>
      </c>
      <c r="Q499" t="n">
        <v>0</v>
      </c>
      <c r="R499" s="2" t="inlineStr"/>
    </row>
    <row r="500" ht="15" customHeight="1">
      <c r="A500" t="inlineStr">
        <is>
          <t>A 30921-2024</t>
        </is>
      </c>
      <c r="B500" s="1" t="n">
        <v>45498</v>
      </c>
      <c r="C500" s="1" t="n">
        <v>46040</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43774-2023</t>
        </is>
      </c>
      <c r="B501" s="1" t="n">
        <v>45187</v>
      </c>
      <c r="C501" s="1" t="n">
        <v>46040</v>
      </c>
      <c r="D501" t="inlineStr">
        <is>
          <t>KALMAR LÄN</t>
        </is>
      </c>
      <c r="E501" t="inlineStr">
        <is>
          <t>VIMMERBY</t>
        </is>
      </c>
      <c r="G501" t="n">
        <v>3.4</v>
      </c>
      <c r="H501" t="n">
        <v>0</v>
      </c>
      <c r="I501" t="n">
        <v>0</v>
      </c>
      <c r="J501" t="n">
        <v>0</v>
      </c>
      <c r="K501" t="n">
        <v>0</v>
      </c>
      <c r="L501" t="n">
        <v>0</v>
      </c>
      <c r="M501" t="n">
        <v>0</v>
      </c>
      <c r="N501" t="n">
        <v>0</v>
      </c>
      <c r="O501" t="n">
        <v>0</v>
      </c>
      <c r="P501" t="n">
        <v>0</v>
      </c>
      <c r="Q501" t="n">
        <v>0</v>
      </c>
      <c r="R501" s="2" t="inlineStr"/>
    </row>
    <row r="502" ht="15" customHeight="1">
      <c r="A502" t="inlineStr">
        <is>
          <t>A 43705-2023</t>
        </is>
      </c>
      <c r="B502" s="1" t="n">
        <v>45187.42854166667</v>
      </c>
      <c r="C502" s="1" t="n">
        <v>46040</v>
      </c>
      <c r="D502" t="inlineStr">
        <is>
          <t>KALMAR LÄN</t>
        </is>
      </c>
      <c r="E502" t="inlineStr">
        <is>
          <t>VIMMERBY</t>
        </is>
      </c>
      <c r="G502" t="n">
        <v>1.2</v>
      </c>
      <c r="H502" t="n">
        <v>0</v>
      </c>
      <c r="I502" t="n">
        <v>0</v>
      </c>
      <c r="J502" t="n">
        <v>0</v>
      </c>
      <c r="K502" t="n">
        <v>0</v>
      </c>
      <c r="L502" t="n">
        <v>0</v>
      </c>
      <c r="M502" t="n">
        <v>0</v>
      </c>
      <c r="N502" t="n">
        <v>0</v>
      </c>
      <c r="O502" t="n">
        <v>0</v>
      </c>
      <c r="P502" t="n">
        <v>0</v>
      </c>
      <c r="Q502" t="n">
        <v>0</v>
      </c>
      <c r="R502" s="2" t="inlineStr"/>
    </row>
    <row r="503" ht="15" customHeight="1">
      <c r="A503" t="inlineStr">
        <is>
          <t>A 53482-2022</t>
        </is>
      </c>
      <c r="B503" s="1" t="n">
        <v>44879</v>
      </c>
      <c r="C503" s="1" t="n">
        <v>46040</v>
      </c>
      <c r="D503" t="inlineStr">
        <is>
          <t>KALMAR LÄN</t>
        </is>
      </c>
      <c r="E503" t="inlineStr">
        <is>
          <t>VIMMERBY</t>
        </is>
      </c>
      <c r="G503" t="n">
        <v>10.1</v>
      </c>
      <c r="H503" t="n">
        <v>0</v>
      </c>
      <c r="I503" t="n">
        <v>0</v>
      </c>
      <c r="J503" t="n">
        <v>0</v>
      </c>
      <c r="K503" t="n">
        <v>0</v>
      </c>
      <c r="L503" t="n">
        <v>0</v>
      </c>
      <c r="M503" t="n">
        <v>0</v>
      </c>
      <c r="N503" t="n">
        <v>0</v>
      </c>
      <c r="O503" t="n">
        <v>0</v>
      </c>
      <c r="P503" t="n">
        <v>0</v>
      </c>
      <c r="Q503" t="n">
        <v>0</v>
      </c>
      <c r="R503" s="2" t="inlineStr"/>
    </row>
    <row r="504" ht="15" customHeight="1">
      <c r="A504" t="inlineStr">
        <is>
          <t>A 7932-2025</t>
        </is>
      </c>
      <c r="B504" s="1" t="n">
        <v>45707.3793287037</v>
      </c>
      <c r="C504" s="1" t="n">
        <v>46040</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13532-2025</t>
        </is>
      </c>
      <c r="B505" s="1" t="n">
        <v>45736.50743055555</v>
      </c>
      <c r="C505" s="1" t="n">
        <v>46040</v>
      </c>
      <c r="D505" t="inlineStr">
        <is>
          <t>KALMAR LÄN</t>
        </is>
      </c>
      <c r="E505" t="inlineStr">
        <is>
          <t>VIMMERBY</t>
        </is>
      </c>
      <c r="G505" t="n">
        <v>3.6</v>
      </c>
      <c r="H505" t="n">
        <v>0</v>
      </c>
      <c r="I505" t="n">
        <v>0</v>
      </c>
      <c r="J505" t="n">
        <v>0</v>
      </c>
      <c r="K505" t="n">
        <v>0</v>
      </c>
      <c r="L505" t="n">
        <v>0</v>
      </c>
      <c r="M505" t="n">
        <v>0</v>
      </c>
      <c r="N505" t="n">
        <v>0</v>
      </c>
      <c r="O505" t="n">
        <v>0</v>
      </c>
      <c r="P505" t="n">
        <v>0</v>
      </c>
      <c r="Q505" t="n">
        <v>0</v>
      </c>
      <c r="R505" s="2" t="inlineStr"/>
    </row>
    <row r="506" ht="15" customHeight="1">
      <c r="A506" t="inlineStr">
        <is>
          <t>A 52475-2025</t>
        </is>
      </c>
      <c r="B506" s="1" t="n">
        <v>45954.468125</v>
      </c>
      <c r="C506" s="1" t="n">
        <v>46040</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53220-2025</t>
        </is>
      </c>
      <c r="B507" s="1" t="n">
        <v>45958.60146990741</v>
      </c>
      <c r="C507" s="1" t="n">
        <v>46040</v>
      </c>
      <c r="D507" t="inlineStr">
        <is>
          <t>KALMAR LÄN</t>
        </is>
      </c>
      <c r="E507" t="inlineStr">
        <is>
          <t>VIMMERBY</t>
        </is>
      </c>
      <c r="G507" t="n">
        <v>2.2</v>
      </c>
      <c r="H507" t="n">
        <v>0</v>
      </c>
      <c r="I507" t="n">
        <v>0</v>
      </c>
      <c r="J507" t="n">
        <v>0</v>
      </c>
      <c r="K507" t="n">
        <v>0</v>
      </c>
      <c r="L507" t="n">
        <v>0</v>
      </c>
      <c r="M507" t="n">
        <v>0</v>
      </c>
      <c r="N507" t="n">
        <v>0</v>
      </c>
      <c r="O507" t="n">
        <v>0</v>
      </c>
      <c r="P507" t="n">
        <v>0</v>
      </c>
      <c r="Q507" t="n">
        <v>0</v>
      </c>
      <c r="R507" s="2" t="inlineStr"/>
    </row>
    <row r="508" ht="15" customHeight="1">
      <c r="A508" t="inlineStr">
        <is>
          <t>A 52451-2025</t>
        </is>
      </c>
      <c r="B508" s="1" t="n">
        <v>45954.42326388889</v>
      </c>
      <c r="C508" s="1" t="n">
        <v>46040</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29180-2024</t>
        </is>
      </c>
      <c r="B509" s="1" t="n">
        <v>45482.54108796296</v>
      </c>
      <c r="C509" s="1" t="n">
        <v>46040</v>
      </c>
      <c r="D509" t="inlineStr">
        <is>
          <t>KALMAR LÄN</t>
        </is>
      </c>
      <c r="E509" t="inlineStr">
        <is>
          <t>VIMMERBY</t>
        </is>
      </c>
      <c r="G509" t="n">
        <v>3.8</v>
      </c>
      <c r="H509" t="n">
        <v>0</v>
      </c>
      <c r="I509" t="n">
        <v>0</v>
      </c>
      <c r="J509" t="n">
        <v>0</v>
      </c>
      <c r="K509" t="n">
        <v>0</v>
      </c>
      <c r="L509" t="n">
        <v>0</v>
      </c>
      <c r="M509" t="n">
        <v>0</v>
      </c>
      <c r="N509" t="n">
        <v>0</v>
      </c>
      <c r="O509" t="n">
        <v>0</v>
      </c>
      <c r="P509" t="n">
        <v>0</v>
      </c>
      <c r="Q509" t="n">
        <v>0</v>
      </c>
      <c r="R509" s="2" t="inlineStr"/>
    </row>
    <row r="510" ht="15" customHeight="1">
      <c r="A510" t="inlineStr">
        <is>
          <t>A 1978-2024</t>
        </is>
      </c>
      <c r="B510" s="1" t="n">
        <v>45308.59001157407</v>
      </c>
      <c r="C510" s="1" t="n">
        <v>46040</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6399-2025</t>
        </is>
      </c>
      <c r="B511" s="1" t="n">
        <v>45699.44291666667</v>
      </c>
      <c r="C511" s="1" t="n">
        <v>46040</v>
      </c>
      <c r="D511" t="inlineStr">
        <is>
          <t>KALMAR LÄN</t>
        </is>
      </c>
      <c r="E511" t="inlineStr">
        <is>
          <t>VIMMERBY</t>
        </is>
      </c>
      <c r="G511" t="n">
        <v>3.1</v>
      </c>
      <c r="H511" t="n">
        <v>0</v>
      </c>
      <c r="I511" t="n">
        <v>0</v>
      </c>
      <c r="J511" t="n">
        <v>0</v>
      </c>
      <c r="K511" t="n">
        <v>0</v>
      </c>
      <c r="L511" t="n">
        <v>0</v>
      </c>
      <c r="M511" t="n">
        <v>0</v>
      </c>
      <c r="N511" t="n">
        <v>0</v>
      </c>
      <c r="O511" t="n">
        <v>0</v>
      </c>
      <c r="P511" t="n">
        <v>0</v>
      </c>
      <c r="Q511" t="n">
        <v>0</v>
      </c>
      <c r="R511" s="2" t="inlineStr"/>
    </row>
    <row r="512" ht="15" customHeight="1">
      <c r="A512" t="inlineStr">
        <is>
          <t>A 41311-2023</t>
        </is>
      </c>
      <c r="B512" s="1" t="n">
        <v>45174</v>
      </c>
      <c r="C512" s="1" t="n">
        <v>46040</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53393-2025</t>
        </is>
      </c>
      <c r="B513" s="1" t="n">
        <v>45959.55284722222</v>
      </c>
      <c r="C513" s="1" t="n">
        <v>46040</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53398-2025</t>
        </is>
      </c>
      <c r="B514" s="1" t="n">
        <v>45959.56247685185</v>
      </c>
      <c r="C514" s="1" t="n">
        <v>46040</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29783-2024</t>
        </is>
      </c>
      <c r="B515" s="1" t="n">
        <v>45485.45778935185</v>
      </c>
      <c r="C515" s="1" t="n">
        <v>46040</v>
      </c>
      <c r="D515" t="inlineStr">
        <is>
          <t>KALMAR LÄN</t>
        </is>
      </c>
      <c r="E515" t="inlineStr">
        <is>
          <t>VIMMERBY</t>
        </is>
      </c>
      <c r="G515" t="n">
        <v>3.1</v>
      </c>
      <c r="H515" t="n">
        <v>0</v>
      </c>
      <c r="I515" t="n">
        <v>0</v>
      </c>
      <c r="J515" t="n">
        <v>0</v>
      </c>
      <c r="K515" t="n">
        <v>0</v>
      </c>
      <c r="L515" t="n">
        <v>0</v>
      </c>
      <c r="M515" t="n">
        <v>0</v>
      </c>
      <c r="N515" t="n">
        <v>0</v>
      </c>
      <c r="O515" t="n">
        <v>0</v>
      </c>
      <c r="P515" t="n">
        <v>0</v>
      </c>
      <c r="Q515" t="n">
        <v>0</v>
      </c>
      <c r="R515" s="2" t="inlineStr"/>
    </row>
    <row r="516" ht="15" customHeight="1">
      <c r="A516" t="inlineStr">
        <is>
          <t>A 53397-2025</t>
        </is>
      </c>
      <c r="B516" s="1" t="n">
        <v>45959.55918981481</v>
      </c>
      <c r="C516" s="1" t="n">
        <v>46040</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54838-2024</t>
        </is>
      </c>
      <c r="B517" s="1" t="n">
        <v>45618.56787037037</v>
      </c>
      <c r="C517" s="1" t="n">
        <v>46040</v>
      </c>
      <c r="D517" t="inlineStr">
        <is>
          <t>KALMAR LÄN</t>
        </is>
      </c>
      <c r="E517" t="inlineStr">
        <is>
          <t>VIMMERBY</t>
        </is>
      </c>
      <c r="G517" t="n">
        <v>3.3</v>
      </c>
      <c r="H517" t="n">
        <v>0</v>
      </c>
      <c r="I517" t="n">
        <v>0</v>
      </c>
      <c r="J517" t="n">
        <v>0</v>
      </c>
      <c r="K517" t="n">
        <v>0</v>
      </c>
      <c r="L517" t="n">
        <v>0</v>
      </c>
      <c r="M517" t="n">
        <v>0</v>
      </c>
      <c r="N517" t="n">
        <v>0</v>
      </c>
      <c r="O517" t="n">
        <v>0</v>
      </c>
      <c r="P517" t="n">
        <v>0</v>
      </c>
      <c r="Q517" t="n">
        <v>0</v>
      </c>
      <c r="R517" s="2" t="inlineStr"/>
    </row>
    <row r="518" ht="15" customHeight="1">
      <c r="A518" t="inlineStr">
        <is>
          <t>A 53416-2025</t>
        </is>
      </c>
      <c r="B518" s="1" t="n">
        <v>45959.58387731481</v>
      </c>
      <c r="C518" s="1" t="n">
        <v>46040</v>
      </c>
      <c r="D518" t="inlineStr">
        <is>
          <t>KALMAR LÄN</t>
        </is>
      </c>
      <c r="E518" t="inlineStr">
        <is>
          <t>VIMMERBY</t>
        </is>
      </c>
      <c r="G518" t="n">
        <v>4.4</v>
      </c>
      <c r="H518" t="n">
        <v>0</v>
      </c>
      <c r="I518" t="n">
        <v>0</v>
      </c>
      <c r="J518" t="n">
        <v>0</v>
      </c>
      <c r="K518" t="n">
        <v>0</v>
      </c>
      <c r="L518" t="n">
        <v>0</v>
      </c>
      <c r="M518" t="n">
        <v>0</v>
      </c>
      <c r="N518" t="n">
        <v>0</v>
      </c>
      <c r="O518" t="n">
        <v>0</v>
      </c>
      <c r="P518" t="n">
        <v>0</v>
      </c>
      <c r="Q518" t="n">
        <v>0</v>
      </c>
      <c r="R518" s="2" t="inlineStr"/>
    </row>
    <row r="519" ht="15" customHeight="1">
      <c r="A519" t="inlineStr">
        <is>
          <t>A 61726-2025</t>
        </is>
      </c>
      <c r="B519" s="1" t="n">
        <v>46002.58822916666</v>
      </c>
      <c r="C519" s="1" t="n">
        <v>46040</v>
      </c>
      <c r="D519" t="inlineStr">
        <is>
          <t>KALMAR LÄN</t>
        </is>
      </c>
      <c r="E519" t="inlineStr">
        <is>
          <t>VIMMERBY</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10785-2025</t>
        </is>
      </c>
      <c r="B520" s="1" t="n">
        <v>45722.48634259259</v>
      </c>
      <c r="C520" s="1" t="n">
        <v>46040</v>
      </c>
      <c r="D520" t="inlineStr">
        <is>
          <t>KALMAR LÄN</t>
        </is>
      </c>
      <c r="E520" t="inlineStr">
        <is>
          <t>VIMMERBY</t>
        </is>
      </c>
      <c r="G520" t="n">
        <v>0.5</v>
      </c>
      <c r="H520" t="n">
        <v>0</v>
      </c>
      <c r="I520" t="n">
        <v>0</v>
      </c>
      <c r="J520" t="n">
        <v>0</v>
      </c>
      <c r="K520" t="n">
        <v>0</v>
      </c>
      <c r="L520" t="n">
        <v>0</v>
      </c>
      <c r="M520" t="n">
        <v>0</v>
      </c>
      <c r="N520" t="n">
        <v>0</v>
      </c>
      <c r="O520" t="n">
        <v>0</v>
      </c>
      <c r="P520" t="n">
        <v>0</v>
      </c>
      <c r="Q520" t="n">
        <v>0</v>
      </c>
      <c r="R520" s="2" t="inlineStr"/>
    </row>
    <row r="521" ht="15" customHeight="1">
      <c r="A521" t="inlineStr">
        <is>
          <t>A 61725-2025</t>
        </is>
      </c>
      <c r="B521" s="1" t="n">
        <v>46002.58680555555</v>
      </c>
      <c r="C521" s="1" t="n">
        <v>46040</v>
      </c>
      <c r="D521" t="inlineStr">
        <is>
          <t>KALMAR LÄN</t>
        </is>
      </c>
      <c r="E521" t="inlineStr">
        <is>
          <t>VIMMERBY</t>
        </is>
      </c>
      <c r="F521" t="inlineStr">
        <is>
          <t>Sveaskog</t>
        </is>
      </c>
      <c r="G521" t="n">
        <v>2.4</v>
      </c>
      <c r="H521" t="n">
        <v>0</v>
      </c>
      <c r="I521" t="n">
        <v>0</v>
      </c>
      <c r="J521" t="n">
        <v>0</v>
      </c>
      <c r="K521" t="n">
        <v>0</v>
      </c>
      <c r="L521" t="n">
        <v>0</v>
      </c>
      <c r="M521" t="n">
        <v>0</v>
      </c>
      <c r="N521" t="n">
        <v>0</v>
      </c>
      <c r="O521" t="n">
        <v>0</v>
      </c>
      <c r="P521" t="n">
        <v>0</v>
      </c>
      <c r="Q521" t="n">
        <v>0</v>
      </c>
      <c r="R521" s="2" t="inlineStr"/>
    </row>
    <row r="522" ht="15" customHeight="1">
      <c r="A522" t="inlineStr">
        <is>
          <t>A 25987-2024</t>
        </is>
      </c>
      <c r="B522" s="1" t="n">
        <v>45467.74417824074</v>
      </c>
      <c r="C522" s="1" t="n">
        <v>46040</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53413-2025</t>
        </is>
      </c>
      <c r="B523" s="1" t="n">
        <v>45959.5787037037</v>
      </c>
      <c r="C523" s="1" t="n">
        <v>46040</v>
      </c>
      <c r="D523" t="inlineStr">
        <is>
          <t>KALMAR LÄN</t>
        </is>
      </c>
      <c r="E523" t="inlineStr">
        <is>
          <t>VIMMERBY</t>
        </is>
      </c>
      <c r="G523" t="n">
        <v>4.3</v>
      </c>
      <c r="H523" t="n">
        <v>0</v>
      </c>
      <c r="I523" t="n">
        <v>0</v>
      </c>
      <c r="J523" t="n">
        <v>0</v>
      </c>
      <c r="K523" t="n">
        <v>0</v>
      </c>
      <c r="L523" t="n">
        <v>0</v>
      </c>
      <c r="M523" t="n">
        <v>0</v>
      </c>
      <c r="N523" t="n">
        <v>0</v>
      </c>
      <c r="O523" t="n">
        <v>0</v>
      </c>
      <c r="P523" t="n">
        <v>0</v>
      </c>
      <c r="Q523" t="n">
        <v>0</v>
      </c>
      <c r="R523" s="2" t="inlineStr"/>
    </row>
    <row r="524" ht="15" customHeight="1">
      <c r="A524" t="inlineStr">
        <is>
          <t>A 25109-2023</t>
        </is>
      </c>
      <c r="B524" s="1" t="n">
        <v>45086</v>
      </c>
      <c r="C524" s="1" t="n">
        <v>46040</v>
      </c>
      <c r="D524" t="inlineStr">
        <is>
          <t>KALMAR LÄN</t>
        </is>
      </c>
      <c r="E524" t="inlineStr">
        <is>
          <t>VIMMERBY</t>
        </is>
      </c>
      <c r="G524" t="n">
        <v>1.5</v>
      </c>
      <c r="H524" t="n">
        <v>0</v>
      </c>
      <c r="I524" t="n">
        <v>0</v>
      </c>
      <c r="J524" t="n">
        <v>0</v>
      </c>
      <c r="K524" t="n">
        <v>0</v>
      </c>
      <c r="L524" t="n">
        <v>0</v>
      </c>
      <c r="M524" t="n">
        <v>0</v>
      </c>
      <c r="N524" t="n">
        <v>0</v>
      </c>
      <c r="O524" t="n">
        <v>0</v>
      </c>
      <c r="P524" t="n">
        <v>0</v>
      </c>
      <c r="Q524" t="n">
        <v>0</v>
      </c>
      <c r="R524" s="2" t="inlineStr"/>
    </row>
    <row r="525" ht="15" customHeight="1">
      <c r="A525" t="inlineStr">
        <is>
          <t>A 18020-2025</t>
        </is>
      </c>
      <c r="B525" s="1" t="n">
        <v>45761.4437962963</v>
      </c>
      <c r="C525" s="1" t="n">
        <v>46040</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61790-2025</t>
        </is>
      </c>
      <c r="B526" s="1" t="n">
        <v>46002.68768518518</v>
      </c>
      <c r="C526" s="1" t="n">
        <v>46040</v>
      </c>
      <c r="D526" t="inlineStr">
        <is>
          <t>KALMAR LÄN</t>
        </is>
      </c>
      <c r="E526" t="inlineStr">
        <is>
          <t>VIMMERBY</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585-2024</t>
        </is>
      </c>
      <c r="B527" s="1" t="n">
        <v>45299.62576388889</v>
      </c>
      <c r="C527" s="1" t="n">
        <v>46040</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62023-2022</t>
        </is>
      </c>
      <c r="B528" s="1" t="n">
        <v>44918.50106481482</v>
      </c>
      <c r="C528" s="1" t="n">
        <v>46040</v>
      </c>
      <c r="D528" t="inlineStr">
        <is>
          <t>KALMAR LÄN</t>
        </is>
      </c>
      <c r="E528" t="inlineStr">
        <is>
          <t>VIMMERBY</t>
        </is>
      </c>
      <c r="G528" t="n">
        <v>0.3</v>
      </c>
      <c r="H528" t="n">
        <v>0</v>
      </c>
      <c r="I528" t="n">
        <v>0</v>
      </c>
      <c r="J528" t="n">
        <v>0</v>
      </c>
      <c r="K528" t="n">
        <v>0</v>
      </c>
      <c r="L528" t="n">
        <v>0</v>
      </c>
      <c r="M528" t="n">
        <v>0</v>
      </c>
      <c r="N528" t="n">
        <v>0</v>
      </c>
      <c r="O528" t="n">
        <v>0</v>
      </c>
      <c r="P528" t="n">
        <v>0</v>
      </c>
      <c r="Q528" t="n">
        <v>0</v>
      </c>
      <c r="R528" s="2" t="inlineStr"/>
    </row>
    <row r="529" ht="15" customHeight="1">
      <c r="A529" t="inlineStr">
        <is>
          <t>A 6802-2025</t>
        </is>
      </c>
      <c r="B529" s="1" t="n">
        <v>45700.68289351852</v>
      </c>
      <c r="C529" s="1" t="n">
        <v>46040</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53396-2025</t>
        </is>
      </c>
      <c r="B530" s="1" t="n">
        <v>45959.55577546296</v>
      </c>
      <c r="C530" s="1" t="n">
        <v>46040</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53788-2025</t>
        </is>
      </c>
      <c r="B531" s="1" t="n">
        <v>45960</v>
      </c>
      <c r="C531" s="1" t="n">
        <v>46040</v>
      </c>
      <c r="D531" t="inlineStr">
        <is>
          <t>KALMAR LÄN</t>
        </is>
      </c>
      <c r="E531" t="inlineStr">
        <is>
          <t>VIMMERBY</t>
        </is>
      </c>
      <c r="F531" t="inlineStr">
        <is>
          <t>Övriga statliga verk och myndigheter</t>
        </is>
      </c>
      <c r="G531" t="n">
        <v>6.3</v>
      </c>
      <c r="H531" t="n">
        <v>0</v>
      </c>
      <c r="I531" t="n">
        <v>0</v>
      </c>
      <c r="J531" t="n">
        <v>0</v>
      </c>
      <c r="K531" t="n">
        <v>0</v>
      </c>
      <c r="L531" t="n">
        <v>0</v>
      </c>
      <c r="M531" t="n">
        <v>0</v>
      </c>
      <c r="N531" t="n">
        <v>0</v>
      </c>
      <c r="O531" t="n">
        <v>0</v>
      </c>
      <c r="P531" t="n">
        <v>0</v>
      </c>
      <c r="Q531" t="n">
        <v>0</v>
      </c>
      <c r="R531" s="2" t="inlineStr"/>
    </row>
    <row r="532" ht="15" customHeight="1">
      <c r="A532" t="inlineStr">
        <is>
          <t>A 53927-2025</t>
        </is>
      </c>
      <c r="B532" s="1" t="n">
        <v>45961.46740740741</v>
      </c>
      <c r="C532" s="1" t="n">
        <v>46040</v>
      </c>
      <c r="D532" t="inlineStr">
        <is>
          <t>KALMAR LÄN</t>
        </is>
      </c>
      <c r="E532" t="inlineStr">
        <is>
          <t>VIMMERBY</t>
        </is>
      </c>
      <c r="G532" t="n">
        <v>2.5</v>
      </c>
      <c r="H532" t="n">
        <v>0</v>
      </c>
      <c r="I532" t="n">
        <v>0</v>
      </c>
      <c r="J532" t="n">
        <v>0</v>
      </c>
      <c r="K532" t="n">
        <v>0</v>
      </c>
      <c r="L532" t="n">
        <v>0</v>
      </c>
      <c r="M532" t="n">
        <v>0</v>
      </c>
      <c r="N532" t="n">
        <v>0</v>
      </c>
      <c r="O532" t="n">
        <v>0</v>
      </c>
      <c r="P532" t="n">
        <v>0</v>
      </c>
      <c r="Q532" t="n">
        <v>0</v>
      </c>
      <c r="R532" s="2" t="inlineStr"/>
    </row>
    <row r="533" ht="15" customHeight="1">
      <c r="A533" t="inlineStr">
        <is>
          <t>A 53933-2025</t>
        </is>
      </c>
      <c r="B533" s="1" t="n">
        <v>45961.47650462963</v>
      </c>
      <c r="C533" s="1" t="n">
        <v>46040</v>
      </c>
      <c r="D533" t="inlineStr">
        <is>
          <t>KALMAR LÄN</t>
        </is>
      </c>
      <c r="E533" t="inlineStr">
        <is>
          <t>VIMMERBY</t>
        </is>
      </c>
      <c r="G533" t="n">
        <v>0.9</v>
      </c>
      <c r="H533" t="n">
        <v>0</v>
      </c>
      <c r="I533" t="n">
        <v>0</v>
      </c>
      <c r="J533" t="n">
        <v>0</v>
      </c>
      <c r="K533" t="n">
        <v>0</v>
      </c>
      <c r="L533" t="n">
        <v>0</v>
      </c>
      <c r="M533" t="n">
        <v>0</v>
      </c>
      <c r="N533" t="n">
        <v>0</v>
      </c>
      <c r="O533" t="n">
        <v>0</v>
      </c>
      <c r="P533" t="n">
        <v>0</v>
      </c>
      <c r="Q533" t="n">
        <v>0</v>
      </c>
      <c r="R533" s="2" t="inlineStr"/>
    </row>
    <row r="534" ht="15" customHeight="1">
      <c r="A534" t="inlineStr">
        <is>
          <t>A 56020-2024</t>
        </is>
      </c>
      <c r="B534" s="1" t="n">
        <v>45623.9525462963</v>
      </c>
      <c r="C534" s="1" t="n">
        <v>46040</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54236-2025</t>
        </is>
      </c>
      <c r="B535" s="1" t="n">
        <v>45964.62671296296</v>
      </c>
      <c r="C535" s="1" t="n">
        <v>46040</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33842-2022</t>
        </is>
      </c>
      <c r="B536" s="1" t="n">
        <v>44790.49523148148</v>
      </c>
      <c r="C536" s="1" t="n">
        <v>46040</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60675-2023</t>
        </is>
      </c>
      <c r="B537" s="1" t="n">
        <v>45260.4716550926</v>
      </c>
      <c r="C537" s="1" t="n">
        <v>46040</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58104-2024</t>
        </is>
      </c>
      <c r="B538" s="1" t="n">
        <v>45632.37459490741</v>
      </c>
      <c r="C538" s="1" t="n">
        <v>46040</v>
      </c>
      <c r="D538" t="inlineStr">
        <is>
          <t>KALMAR LÄN</t>
        </is>
      </c>
      <c r="E538" t="inlineStr">
        <is>
          <t>VIMMERBY</t>
        </is>
      </c>
      <c r="G538" t="n">
        <v>5</v>
      </c>
      <c r="H538" t="n">
        <v>0</v>
      </c>
      <c r="I538" t="n">
        <v>0</v>
      </c>
      <c r="J538" t="n">
        <v>0</v>
      </c>
      <c r="K538" t="n">
        <v>0</v>
      </c>
      <c r="L538" t="n">
        <v>0</v>
      </c>
      <c r="M538" t="n">
        <v>0</v>
      </c>
      <c r="N538" t="n">
        <v>0</v>
      </c>
      <c r="O538" t="n">
        <v>0</v>
      </c>
      <c r="P538" t="n">
        <v>0</v>
      </c>
      <c r="Q538" t="n">
        <v>0</v>
      </c>
      <c r="R538" s="2" t="inlineStr"/>
    </row>
    <row r="539" ht="15" customHeight="1">
      <c r="A539" t="inlineStr">
        <is>
          <t>A 53923-2025</t>
        </is>
      </c>
      <c r="B539" s="1" t="n">
        <v>45961.4569212963</v>
      </c>
      <c r="C539" s="1" t="n">
        <v>46040</v>
      </c>
      <c r="D539" t="inlineStr">
        <is>
          <t>KALMAR LÄN</t>
        </is>
      </c>
      <c r="E539" t="inlineStr">
        <is>
          <t>VIMMERBY</t>
        </is>
      </c>
      <c r="G539" t="n">
        <v>2.4</v>
      </c>
      <c r="H539" t="n">
        <v>0</v>
      </c>
      <c r="I539" t="n">
        <v>0</v>
      </c>
      <c r="J539" t="n">
        <v>0</v>
      </c>
      <c r="K539" t="n">
        <v>0</v>
      </c>
      <c r="L539" t="n">
        <v>0</v>
      </c>
      <c r="M539" t="n">
        <v>0</v>
      </c>
      <c r="N539" t="n">
        <v>0</v>
      </c>
      <c r="O539" t="n">
        <v>0</v>
      </c>
      <c r="P539" t="n">
        <v>0</v>
      </c>
      <c r="Q539" t="n">
        <v>0</v>
      </c>
      <c r="R539" s="2" t="inlineStr"/>
    </row>
    <row r="540" ht="15" customHeight="1">
      <c r="A540" t="inlineStr">
        <is>
          <t>A 40095-2022</t>
        </is>
      </c>
      <c r="B540" s="1" t="n">
        <v>44820</v>
      </c>
      <c r="C540" s="1" t="n">
        <v>46040</v>
      </c>
      <c r="D540" t="inlineStr">
        <is>
          <t>KALMAR LÄN</t>
        </is>
      </c>
      <c r="E540" t="inlineStr">
        <is>
          <t>VIMMERBY</t>
        </is>
      </c>
      <c r="G540" t="n">
        <v>2.4</v>
      </c>
      <c r="H540" t="n">
        <v>0</v>
      </c>
      <c r="I540" t="n">
        <v>0</v>
      </c>
      <c r="J540" t="n">
        <v>0</v>
      </c>
      <c r="K540" t="n">
        <v>0</v>
      </c>
      <c r="L540" t="n">
        <v>0</v>
      </c>
      <c r="M540" t="n">
        <v>0</v>
      </c>
      <c r="N540" t="n">
        <v>0</v>
      </c>
      <c r="O540" t="n">
        <v>0</v>
      </c>
      <c r="P540" t="n">
        <v>0</v>
      </c>
      <c r="Q540" t="n">
        <v>0</v>
      </c>
      <c r="R540" s="2" t="inlineStr"/>
    </row>
    <row r="541" ht="15" customHeight="1">
      <c r="A541" t="inlineStr">
        <is>
          <t>A 53920-2025</t>
        </is>
      </c>
      <c r="B541" s="1" t="n">
        <v>45961.44951388889</v>
      </c>
      <c r="C541" s="1" t="n">
        <v>46040</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12215-2024</t>
        </is>
      </c>
      <c r="B542" s="1" t="n">
        <v>45378.32185185186</v>
      </c>
      <c r="C542" s="1" t="n">
        <v>46040</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30920-2024</t>
        </is>
      </c>
      <c r="B543" s="1" t="n">
        <v>45498.673125</v>
      </c>
      <c r="C543" s="1" t="n">
        <v>46040</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19537-2022</t>
        </is>
      </c>
      <c r="B544" s="1" t="n">
        <v>44693.62822916666</v>
      </c>
      <c r="C544" s="1" t="n">
        <v>46040</v>
      </c>
      <c r="D544" t="inlineStr">
        <is>
          <t>KALMAR LÄN</t>
        </is>
      </c>
      <c r="E544" t="inlineStr">
        <is>
          <t>VIMMERBY</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56536-2022</t>
        </is>
      </c>
      <c r="B545" s="1" t="n">
        <v>44893</v>
      </c>
      <c r="C545" s="1" t="n">
        <v>46040</v>
      </c>
      <c r="D545" t="inlineStr">
        <is>
          <t>KALMAR LÄN</t>
        </is>
      </c>
      <c r="E545" t="inlineStr">
        <is>
          <t>VIMMERBY</t>
        </is>
      </c>
      <c r="G545" t="n">
        <v>3.2</v>
      </c>
      <c r="H545" t="n">
        <v>0</v>
      </c>
      <c r="I545" t="n">
        <v>0</v>
      </c>
      <c r="J545" t="n">
        <v>0</v>
      </c>
      <c r="K545" t="n">
        <v>0</v>
      </c>
      <c r="L545" t="n">
        <v>0</v>
      </c>
      <c r="M545" t="n">
        <v>0</v>
      </c>
      <c r="N545" t="n">
        <v>0</v>
      </c>
      <c r="O545" t="n">
        <v>0</v>
      </c>
      <c r="P545" t="n">
        <v>0</v>
      </c>
      <c r="Q545" t="n">
        <v>0</v>
      </c>
      <c r="R545" s="2" t="inlineStr"/>
    </row>
    <row r="546" ht="15" customHeight="1">
      <c r="A546" t="inlineStr">
        <is>
          <t>A 54234-2025</t>
        </is>
      </c>
      <c r="B546" s="1" t="n">
        <v>45964.62486111111</v>
      </c>
      <c r="C546" s="1" t="n">
        <v>46040</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57311-2023</t>
        </is>
      </c>
      <c r="B547" s="1" t="n">
        <v>45245.63574074074</v>
      </c>
      <c r="C547" s="1" t="n">
        <v>46040</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63541-2023</t>
        </is>
      </c>
      <c r="B548" s="1" t="n">
        <v>45275.32266203704</v>
      </c>
      <c r="C548" s="1" t="n">
        <v>46040</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37323-2024</t>
        </is>
      </c>
      <c r="B549" s="1" t="n">
        <v>45540.50098379629</v>
      </c>
      <c r="C549" s="1" t="n">
        <v>46040</v>
      </c>
      <c r="D549" t="inlineStr">
        <is>
          <t>KALMAR LÄN</t>
        </is>
      </c>
      <c r="E549" t="inlineStr">
        <is>
          <t>VIMMERBY</t>
        </is>
      </c>
      <c r="G549" t="n">
        <v>1.2</v>
      </c>
      <c r="H549" t="n">
        <v>0</v>
      </c>
      <c r="I549" t="n">
        <v>0</v>
      </c>
      <c r="J549" t="n">
        <v>0</v>
      </c>
      <c r="K549" t="n">
        <v>0</v>
      </c>
      <c r="L549" t="n">
        <v>0</v>
      </c>
      <c r="M549" t="n">
        <v>0</v>
      </c>
      <c r="N549" t="n">
        <v>0</v>
      </c>
      <c r="O549" t="n">
        <v>0</v>
      </c>
      <c r="P549" t="n">
        <v>0</v>
      </c>
      <c r="Q549" t="n">
        <v>0</v>
      </c>
      <c r="R549" s="2" t="inlineStr"/>
    </row>
    <row r="550" ht="15" customHeight="1">
      <c r="A550" t="inlineStr">
        <is>
          <t>A 64428-2023</t>
        </is>
      </c>
      <c r="B550" s="1" t="n">
        <v>45280.66769675926</v>
      </c>
      <c r="C550" s="1" t="n">
        <v>46040</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4527-2023</t>
        </is>
      </c>
      <c r="B551" s="1" t="n">
        <v>44956</v>
      </c>
      <c r="C551" s="1" t="n">
        <v>46040</v>
      </c>
      <c r="D551" t="inlineStr">
        <is>
          <t>KALMAR LÄN</t>
        </is>
      </c>
      <c r="E551" t="inlineStr">
        <is>
          <t>VIMMERBY</t>
        </is>
      </c>
      <c r="F551" t="inlineStr">
        <is>
          <t>Kommuner</t>
        </is>
      </c>
      <c r="G551" t="n">
        <v>8.5</v>
      </c>
      <c r="H551" t="n">
        <v>0</v>
      </c>
      <c r="I551" t="n">
        <v>0</v>
      </c>
      <c r="J551" t="n">
        <v>0</v>
      </c>
      <c r="K551" t="n">
        <v>0</v>
      </c>
      <c r="L551" t="n">
        <v>0</v>
      </c>
      <c r="M551" t="n">
        <v>0</v>
      </c>
      <c r="N551" t="n">
        <v>0</v>
      </c>
      <c r="O551" t="n">
        <v>0</v>
      </c>
      <c r="P551" t="n">
        <v>0</v>
      </c>
      <c r="Q551" t="n">
        <v>0</v>
      </c>
      <c r="R551" s="2" t="inlineStr"/>
    </row>
    <row r="552" ht="15" customHeight="1">
      <c r="A552" t="inlineStr">
        <is>
          <t>A 3268-2024</t>
        </is>
      </c>
      <c r="B552" s="1" t="n">
        <v>45317</v>
      </c>
      <c r="C552" s="1" t="n">
        <v>46040</v>
      </c>
      <c r="D552" t="inlineStr">
        <is>
          <t>KALMAR LÄN</t>
        </is>
      </c>
      <c r="E552" t="inlineStr">
        <is>
          <t>VIMMERBY</t>
        </is>
      </c>
      <c r="F552" t="inlineStr">
        <is>
          <t>Övriga Aktiebolag</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53789-2025</t>
        </is>
      </c>
      <c r="B553" s="1" t="n">
        <v>45960</v>
      </c>
      <c r="C553" s="1" t="n">
        <v>46040</v>
      </c>
      <c r="D553" t="inlineStr">
        <is>
          <t>KALMAR LÄN</t>
        </is>
      </c>
      <c r="E553" t="inlineStr">
        <is>
          <t>VIMMERBY</t>
        </is>
      </c>
      <c r="F553" t="inlineStr">
        <is>
          <t>Övriga statliga verk och myndigheter</t>
        </is>
      </c>
      <c r="G553" t="n">
        <v>1.6</v>
      </c>
      <c r="H553" t="n">
        <v>0</v>
      </c>
      <c r="I553" t="n">
        <v>0</v>
      </c>
      <c r="J553" t="n">
        <v>0</v>
      </c>
      <c r="K553" t="n">
        <v>0</v>
      </c>
      <c r="L553" t="n">
        <v>0</v>
      </c>
      <c r="M553" t="n">
        <v>0</v>
      </c>
      <c r="N553" t="n">
        <v>0</v>
      </c>
      <c r="O553" t="n">
        <v>0</v>
      </c>
      <c r="P553" t="n">
        <v>0</v>
      </c>
      <c r="Q553" t="n">
        <v>0</v>
      </c>
      <c r="R553" s="2" t="inlineStr"/>
    </row>
    <row r="554" ht="15" customHeight="1">
      <c r="A554" t="inlineStr">
        <is>
          <t>A 51408-2023</t>
        </is>
      </c>
      <c r="B554" s="1" t="n">
        <v>45219.69356481481</v>
      </c>
      <c r="C554" s="1" t="n">
        <v>46040</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53903-2025</t>
        </is>
      </c>
      <c r="B555" s="1" t="n">
        <v>45961.43738425926</v>
      </c>
      <c r="C555" s="1" t="n">
        <v>46040</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12480-2024</t>
        </is>
      </c>
      <c r="B556" s="1" t="n">
        <v>45379</v>
      </c>
      <c r="C556" s="1" t="n">
        <v>46040</v>
      </c>
      <c r="D556" t="inlineStr">
        <is>
          <t>KALMAR LÄN</t>
        </is>
      </c>
      <c r="E556" t="inlineStr">
        <is>
          <t>VIMMERBY</t>
        </is>
      </c>
      <c r="G556" t="n">
        <v>2.8</v>
      </c>
      <c r="H556" t="n">
        <v>0</v>
      </c>
      <c r="I556" t="n">
        <v>0</v>
      </c>
      <c r="J556" t="n">
        <v>0</v>
      </c>
      <c r="K556" t="n">
        <v>0</v>
      </c>
      <c r="L556" t="n">
        <v>0</v>
      </c>
      <c r="M556" t="n">
        <v>0</v>
      </c>
      <c r="N556" t="n">
        <v>0</v>
      </c>
      <c r="O556" t="n">
        <v>0</v>
      </c>
      <c r="P556" t="n">
        <v>0</v>
      </c>
      <c r="Q556" t="n">
        <v>0</v>
      </c>
      <c r="R556" s="2" t="inlineStr"/>
    </row>
    <row r="557" ht="15" customHeight="1">
      <c r="A557" t="inlineStr">
        <is>
          <t>A 52588-2023</t>
        </is>
      </c>
      <c r="B557" s="1" t="n">
        <v>45225.60192129629</v>
      </c>
      <c r="C557" s="1" t="n">
        <v>46040</v>
      </c>
      <c r="D557" t="inlineStr">
        <is>
          <t>KALMAR LÄN</t>
        </is>
      </c>
      <c r="E557" t="inlineStr">
        <is>
          <t>VIMMERBY</t>
        </is>
      </c>
      <c r="G557" t="n">
        <v>2.9</v>
      </c>
      <c r="H557" t="n">
        <v>0</v>
      </c>
      <c r="I557" t="n">
        <v>0</v>
      </c>
      <c r="J557" t="n">
        <v>0</v>
      </c>
      <c r="K557" t="n">
        <v>0</v>
      </c>
      <c r="L557" t="n">
        <v>0</v>
      </c>
      <c r="M557" t="n">
        <v>0</v>
      </c>
      <c r="N557" t="n">
        <v>0</v>
      </c>
      <c r="O557" t="n">
        <v>0</v>
      </c>
      <c r="P557" t="n">
        <v>0</v>
      </c>
      <c r="Q557" t="n">
        <v>0</v>
      </c>
      <c r="R557" s="2" t="inlineStr"/>
    </row>
    <row r="558" ht="15" customHeight="1">
      <c r="A558" t="inlineStr">
        <is>
          <t>A 54737-2025</t>
        </is>
      </c>
      <c r="B558" s="1" t="n">
        <v>45966.56826388889</v>
      </c>
      <c r="C558" s="1" t="n">
        <v>46040</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55236-2023</t>
        </is>
      </c>
      <c r="B559" s="1" t="n">
        <v>45237.63225694445</v>
      </c>
      <c r="C559" s="1" t="n">
        <v>46040</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55245-2023</t>
        </is>
      </c>
      <c r="B560" s="1" t="n">
        <v>45237.64408564815</v>
      </c>
      <c r="C560" s="1" t="n">
        <v>46040</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19111-2025</t>
        </is>
      </c>
      <c r="B561" s="1" t="n">
        <v>45768.65611111111</v>
      </c>
      <c r="C561" s="1" t="n">
        <v>46040</v>
      </c>
      <c r="D561" t="inlineStr">
        <is>
          <t>KALMAR LÄN</t>
        </is>
      </c>
      <c r="E561" t="inlineStr">
        <is>
          <t>VIMMERBY</t>
        </is>
      </c>
      <c r="G561" t="n">
        <v>6.2</v>
      </c>
      <c r="H561" t="n">
        <v>0</v>
      </c>
      <c r="I561" t="n">
        <v>0</v>
      </c>
      <c r="J561" t="n">
        <v>0</v>
      </c>
      <c r="K561" t="n">
        <v>0</v>
      </c>
      <c r="L561" t="n">
        <v>0</v>
      </c>
      <c r="M561" t="n">
        <v>0</v>
      </c>
      <c r="N561" t="n">
        <v>0</v>
      </c>
      <c r="O561" t="n">
        <v>0</v>
      </c>
      <c r="P561" t="n">
        <v>0</v>
      </c>
      <c r="Q561" t="n">
        <v>0</v>
      </c>
      <c r="R561" s="2" t="inlineStr"/>
    </row>
    <row r="562" ht="15" customHeight="1">
      <c r="A562" t="inlineStr">
        <is>
          <t>A 25370-2022</t>
        </is>
      </c>
      <c r="B562" s="1" t="n">
        <v>44732.3659837963</v>
      </c>
      <c r="C562" s="1" t="n">
        <v>46040</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54813-2025</t>
        </is>
      </c>
      <c r="B563" s="1" t="n">
        <v>45966.64881944445</v>
      </c>
      <c r="C563" s="1" t="n">
        <v>46040</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11429-2022</t>
        </is>
      </c>
      <c r="B564" s="1" t="n">
        <v>44630</v>
      </c>
      <c r="C564" s="1" t="n">
        <v>46040</v>
      </c>
      <c r="D564" t="inlineStr">
        <is>
          <t>KALMAR LÄN</t>
        </is>
      </c>
      <c r="E564" t="inlineStr">
        <is>
          <t>VIMMERBY</t>
        </is>
      </c>
      <c r="G564" t="n">
        <v>2.6</v>
      </c>
      <c r="H564" t="n">
        <v>0</v>
      </c>
      <c r="I564" t="n">
        <v>0</v>
      </c>
      <c r="J564" t="n">
        <v>0</v>
      </c>
      <c r="K564" t="n">
        <v>0</v>
      </c>
      <c r="L564" t="n">
        <v>0</v>
      </c>
      <c r="M564" t="n">
        <v>0</v>
      </c>
      <c r="N564" t="n">
        <v>0</v>
      </c>
      <c r="O564" t="n">
        <v>0</v>
      </c>
      <c r="P564" t="n">
        <v>0</v>
      </c>
      <c r="Q564" t="n">
        <v>0</v>
      </c>
      <c r="R564" s="2" t="inlineStr"/>
    </row>
    <row r="565" ht="15" customHeight="1">
      <c r="A565" t="inlineStr">
        <is>
          <t>A 56582-2022</t>
        </is>
      </c>
      <c r="B565" s="1" t="n">
        <v>44893</v>
      </c>
      <c r="C565" s="1" t="n">
        <v>46040</v>
      </c>
      <c r="D565" t="inlineStr">
        <is>
          <t>KALMAR LÄN</t>
        </is>
      </c>
      <c r="E565" t="inlineStr">
        <is>
          <t>VIMMERBY</t>
        </is>
      </c>
      <c r="G565" t="n">
        <v>2.2</v>
      </c>
      <c r="H565" t="n">
        <v>0</v>
      </c>
      <c r="I565" t="n">
        <v>0</v>
      </c>
      <c r="J565" t="n">
        <v>0</v>
      </c>
      <c r="K565" t="n">
        <v>0</v>
      </c>
      <c r="L565" t="n">
        <v>0</v>
      </c>
      <c r="M565" t="n">
        <v>0</v>
      </c>
      <c r="N565" t="n">
        <v>0</v>
      </c>
      <c r="O565" t="n">
        <v>0</v>
      </c>
      <c r="P565" t="n">
        <v>0</v>
      </c>
      <c r="Q565" t="n">
        <v>0</v>
      </c>
      <c r="R565" s="2" t="inlineStr"/>
    </row>
    <row r="566" ht="15" customHeight="1">
      <c r="A566" t="inlineStr">
        <is>
          <t>A 33838-2022</t>
        </is>
      </c>
      <c r="B566" s="1" t="n">
        <v>44790.49040509259</v>
      </c>
      <c r="C566" s="1" t="n">
        <v>46040</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4058-2024</t>
        </is>
      </c>
      <c r="B567" s="1" t="n">
        <v>45323.53744212963</v>
      </c>
      <c r="C567" s="1" t="n">
        <v>46040</v>
      </c>
      <c r="D567" t="inlineStr">
        <is>
          <t>KALMAR LÄN</t>
        </is>
      </c>
      <c r="E567" t="inlineStr">
        <is>
          <t>VIMMERBY</t>
        </is>
      </c>
      <c r="G567" t="n">
        <v>6.5</v>
      </c>
      <c r="H567" t="n">
        <v>0</v>
      </c>
      <c r="I567" t="n">
        <v>0</v>
      </c>
      <c r="J567" t="n">
        <v>0</v>
      </c>
      <c r="K567" t="n">
        <v>0</v>
      </c>
      <c r="L567" t="n">
        <v>0</v>
      </c>
      <c r="M567" t="n">
        <v>0</v>
      </c>
      <c r="N567" t="n">
        <v>0</v>
      </c>
      <c r="O567" t="n">
        <v>0</v>
      </c>
      <c r="P567" t="n">
        <v>0</v>
      </c>
      <c r="Q567" t="n">
        <v>0</v>
      </c>
      <c r="R567" s="2" t="inlineStr"/>
    </row>
    <row r="568" ht="15" customHeight="1">
      <c r="A568" t="inlineStr">
        <is>
          <t>A 36008-2024</t>
        </is>
      </c>
      <c r="B568" s="1" t="n">
        <v>45533.55362268518</v>
      </c>
      <c r="C568" s="1" t="n">
        <v>46040</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18669-2025</t>
        </is>
      </c>
      <c r="B569" s="1" t="n">
        <v>45763.59436342592</v>
      </c>
      <c r="C569" s="1" t="n">
        <v>46040</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8540-2024</t>
        </is>
      </c>
      <c r="B570" s="1" t="n">
        <v>45355.54138888889</v>
      </c>
      <c r="C570" s="1" t="n">
        <v>46040</v>
      </c>
      <c r="D570" t="inlineStr">
        <is>
          <t>KALMAR LÄN</t>
        </is>
      </c>
      <c r="E570" t="inlineStr">
        <is>
          <t>VIMMERBY</t>
        </is>
      </c>
      <c r="G570" t="n">
        <v>1.9</v>
      </c>
      <c r="H570" t="n">
        <v>0</v>
      </c>
      <c r="I570" t="n">
        <v>0</v>
      </c>
      <c r="J570" t="n">
        <v>0</v>
      </c>
      <c r="K570" t="n">
        <v>0</v>
      </c>
      <c r="L570" t="n">
        <v>0</v>
      </c>
      <c r="M570" t="n">
        <v>0</v>
      </c>
      <c r="N570" t="n">
        <v>0</v>
      </c>
      <c r="O570" t="n">
        <v>0</v>
      </c>
      <c r="P570" t="n">
        <v>0</v>
      </c>
      <c r="Q570" t="n">
        <v>0</v>
      </c>
      <c r="R570" s="2" t="inlineStr"/>
    </row>
    <row r="571" ht="15" customHeight="1">
      <c r="A571" t="inlineStr">
        <is>
          <t>A 9623-2024</t>
        </is>
      </c>
      <c r="B571" s="1" t="n">
        <v>45361.87975694444</v>
      </c>
      <c r="C571" s="1" t="n">
        <v>46040</v>
      </c>
      <c r="D571" t="inlineStr">
        <is>
          <t>KALMAR LÄN</t>
        </is>
      </c>
      <c r="E571" t="inlineStr">
        <is>
          <t>VIMMERBY</t>
        </is>
      </c>
      <c r="G571" t="n">
        <v>1.6</v>
      </c>
      <c r="H571" t="n">
        <v>0</v>
      </c>
      <c r="I571" t="n">
        <v>0</v>
      </c>
      <c r="J571" t="n">
        <v>0</v>
      </c>
      <c r="K571" t="n">
        <v>0</v>
      </c>
      <c r="L571" t="n">
        <v>0</v>
      </c>
      <c r="M571" t="n">
        <v>0</v>
      </c>
      <c r="N571" t="n">
        <v>0</v>
      </c>
      <c r="O571" t="n">
        <v>0</v>
      </c>
      <c r="P571" t="n">
        <v>0</v>
      </c>
      <c r="Q571" t="n">
        <v>0</v>
      </c>
      <c r="R571" s="2" t="inlineStr"/>
    </row>
    <row r="572" ht="15" customHeight="1">
      <c r="A572" t="inlineStr">
        <is>
          <t>A 5146-2024</t>
        </is>
      </c>
      <c r="B572" s="1" t="n">
        <v>45330</v>
      </c>
      <c r="C572" s="1" t="n">
        <v>46040</v>
      </c>
      <c r="D572" t="inlineStr">
        <is>
          <t>KALMAR LÄN</t>
        </is>
      </c>
      <c r="E572" t="inlineStr">
        <is>
          <t>VIMMERBY</t>
        </is>
      </c>
      <c r="G572" t="n">
        <v>5.3</v>
      </c>
      <c r="H572" t="n">
        <v>0</v>
      </c>
      <c r="I572" t="n">
        <v>0</v>
      </c>
      <c r="J572" t="n">
        <v>0</v>
      </c>
      <c r="K572" t="n">
        <v>0</v>
      </c>
      <c r="L572" t="n">
        <v>0</v>
      </c>
      <c r="M572" t="n">
        <v>0</v>
      </c>
      <c r="N572" t="n">
        <v>0</v>
      </c>
      <c r="O572" t="n">
        <v>0</v>
      </c>
      <c r="P572" t="n">
        <v>0</v>
      </c>
      <c r="Q572" t="n">
        <v>0</v>
      </c>
      <c r="R572" s="2" t="inlineStr"/>
    </row>
    <row r="573" ht="15" customHeight="1">
      <c r="A573" t="inlineStr">
        <is>
          <t>A 5148-2024</t>
        </is>
      </c>
      <c r="B573" s="1" t="n">
        <v>45330</v>
      </c>
      <c r="C573" s="1" t="n">
        <v>46040</v>
      </c>
      <c r="D573" t="inlineStr">
        <is>
          <t>KALMAR LÄN</t>
        </is>
      </c>
      <c r="E573" t="inlineStr">
        <is>
          <t>VIMMERBY</t>
        </is>
      </c>
      <c r="G573" t="n">
        <v>5.6</v>
      </c>
      <c r="H573" t="n">
        <v>0</v>
      </c>
      <c r="I573" t="n">
        <v>0</v>
      </c>
      <c r="J573" t="n">
        <v>0</v>
      </c>
      <c r="K573" t="n">
        <v>0</v>
      </c>
      <c r="L573" t="n">
        <v>0</v>
      </c>
      <c r="M573" t="n">
        <v>0</v>
      </c>
      <c r="N573" t="n">
        <v>0</v>
      </c>
      <c r="O573" t="n">
        <v>0</v>
      </c>
      <c r="P573" t="n">
        <v>0</v>
      </c>
      <c r="Q573" t="n">
        <v>0</v>
      </c>
      <c r="R573" s="2" t="inlineStr"/>
    </row>
    <row r="574" ht="15" customHeight="1">
      <c r="A574" t="inlineStr">
        <is>
          <t>A 44179-2022</t>
        </is>
      </c>
      <c r="B574" s="1" t="n">
        <v>44839.4528125</v>
      </c>
      <c r="C574" s="1" t="n">
        <v>46040</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6408-2025</t>
        </is>
      </c>
      <c r="B575" s="1" t="n">
        <v>45699.45671296296</v>
      </c>
      <c r="C575" s="1" t="n">
        <v>46040</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50648-2023</t>
        </is>
      </c>
      <c r="B576" s="1" t="n">
        <v>45217.47834490741</v>
      </c>
      <c r="C576" s="1" t="n">
        <v>46040</v>
      </c>
      <c r="D576" t="inlineStr">
        <is>
          <t>KALMAR LÄN</t>
        </is>
      </c>
      <c r="E576" t="inlineStr">
        <is>
          <t>VIMMERBY</t>
        </is>
      </c>
      <c r="G576" t="n">
        <v>1.6</v>
      </c>
      <c r="H576" t="n">
        <v>0</v>
      </c>
      <c r="I576" t="n">
        <v>0</v>
      </c>
      <c r="J576" t="n">
        <v>0</v>
      </c>
      <c r="K576" t="n">
        <v>0</v>
      </c>
      <c r="L576" t="n">
        <v>0</v>
      </c>
      <c r="M576" t="n">
        <v>0</v>
      </c>
      <c r="N576" t="n">
        <v>0</v>
      </c>
      <c r="O576" t="n">
        <v>0</v>
      </c>
      <c r="P576" t="n">
        <v>0</v>
      </c>
      <c r="Q576" t="n">
        <v>0</v>
      </c>
      <c r="R576" s="2" t="inlineStr"/>
    </row>
    <row r="577" ht="15" customHeight="1">
      <c r="A577" t="inlineStr">
        <is>
          <t>A 11609-2023</t>
        </is>
      </c>
      <c r="B577" s="1" t="n">
        <v>44994.40635416667</v>
      </c>
      <c r="C577" s="1" t="n">
        <v>46040</v>
      </c>
      <c r="D577" t="inlineStr">
        <is>
          <t>KALMAR LÄN</t>
        </is>
      </c>
      <c r="E577" t="inlineStr">
        <is>
          <t>VIMMERBY</t>
        </is>
      </c>
      <c r="G577" t="n">
        <v>4.9</v>
      </c>
      <c r="H577" t="n">
        <v>0</v>
      </c>
      <c r="I577" t="n">
        <v>0</v>
      </c>
      <c r="J577" t="n">
        <v>0</v>
      </c>
      <c r="K577" t="n">
        <v>0</v>
      </c>
      <c r="L577" t="n">
        <v>0</v>
      </c>
      <c r="M577" t="n">
        <v>0</v>
      </c>
      <c r="N577" t="n">
        <v>0</v>
      </c>
      <c r="O577" t="n">
        <v>0</v>
      </c>
      <c r="P577" t="n">
        <v>0</v>
      </c>
      <c r="Q577" t="n">
        <v>0</v>
      </c>
      <c r="R577" s="2" t="inlineStr"/>
    </row>
    <row r="578" ht="15" customHeight="1">
      <c r="A578" t="inlineStr">
        <is>
          <t>A 44464-2024</t>
        </is>
      </c>
      <c r="B578" s="1" t="n">
        <v>45574.35809027778</v>
      </c>
      <c r="C578" s="1" t="n">
        <v>46040</v>
      </c>
      <c r="D578" t="inlineStr">
        <is>
          <t>KALMAR LÄN</t>
        </is>
      </c>
      <c r="E578" t="inlineStr">
        <is>
          <t>VIMMERBY</t>
        </is>
      </c>
      <c r="G578" t="n">
        <v>0.7</v>
      </c>
      <c r="H578" t="n">
        <v>0</v>
      </c>
      <c r="I578" t="n">
        <v>0</v>
      </c>
      <c r="J578" t="n">
        <v>0</v>
      </c>
      <c r="K578" t="n">
        <v>0</v>
      </c>
      <c r="L578" t="n">
        <v>0</v>
      </c>
      <c r="M578" t="n">
        <v>0</v>
      </c>
      <c r="N578" t="n">
        <v>0</v>
      </c>
      <c r="O578" t="n">
        <v>0</v>
      </c>
      <c r="P578" t="n">
        <v>0</v>
      </c>
      <c r="Q578" t="n">
        <v>0</v>
      </c>
      <c r="R578" s="2" t="inlineStr"/>
    </row>
    <row r="579" ht="15" customHeight="1">
      <c r="A579" t="inlineStr">
        <is>
          <t>A 2121-2022</t>
        </is>
      </c>
      <c r="B579" s="1" t="n">
        <v>44578.32717592592</v>
      </c>
      <c r="C579" s="1" t="n">
        <v>46040</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57799-2022</t>
        </is>
      </c>
      <c r="B580" s="1" t="n">
        <v>44897</v>
      </c>
      <c r="C580" s="1" t="n">
        <v>46040</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15394-2025</t>
        </is>
      </c>
      <c r="B581" s="1" t="n">
        <v>45747.43196759259</v>
      </c>
      <c r="C581" s="1" t="n">
        <v>46040</v>
      </c>
      <c r="D581" t="inlineStr">
        <is>
          <t>KALMAR LÄN</t>
        </is>
      </c>
      <c r="E581" t="inlineStr">
        <is>
          <t>VIMMERBY</t>
        </is>
      </c>
      <c r="G581" t="n">
        <v>0.8</v>
      </c>
      <c r="H581" t="n">
        <v>0</v>
      </c>
      <c r="I581" t="n">
        <v>0</v>
      </c>
      <c r="J581" t="n">
        <v>0</v>
      </c>
      <c r="K581" t="n">
        <v>0</v>
      </c>
      <c r="L581" t="n">
        <v>0</v>
      </c>
      <c r="M581" t="n">
        <v>0</v>
      </c>
      <c r="N581" t="n">
        <v>0</v>
      </c>
      <c r="O581" t="n">
        <v>0</v>
      </c>
      <c r="P581" t="n">
        <v>0</v>
      </c>
      <c r="Q581" t="n">
        <v>0</v>
      </c>
      <c r="R581" s="2" t="inlineStr"/>
    </row>
    <row r="582" ht="15" customHeight="1">
      <c r="A582" t="inlineStr">
        <is>
          <t>A 41066-2024</t>
        </is>
      </c>
      <c r="B582" s="1" t="n">
        <v>45559.38876157408</v>
      </c>
      <c r="C582" s="1" t="n">
        <v>46040</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26318-2023</t>
        </is>
      </c>
      <c r="B583" s="1" t="n">
        <v>45091.67936342592</v>
      </c>
      <c r="C583" s="1" t="n">
        <v>46040</v>
      </c>
      <c r="D583" t="inlineStr">
        <is>
          <t>KALMAR LÄN</t>
        </is>
      </c>
      <c r="E583" t="inlineStr">
        <is>
          <t>VIMMERBY</t>
        </is>
      </c>
      <c r="G583" t="n">
        <v>3.8</v>
      </c>
      <c r="H583" t="n">
        <v>0</v>
      </c>
      <c r="I583" t="n">
        <v>0</v>
      </c>
      <c r="J583" t="n">
        <v>0</v>
      </c>
      <c r="K583" t="n">
        <v>0</v>
      </c>
      <c r="L583" t="n">
        <v>0</v>
      </c>
      <c r="M583" t="n">
        <v>0</v>
      </c>
      <c r="N583" t="n">
        <v>0</v>
      </c>
      <c r="O583" t="n">
        <v>0</v>
      </c>
      <c r="P583" t="n">
        <v>0</v>
      </c>
      <c r="Q583" t="n">
        <v>0</v>
      </c>
      <c r="R583" s="2" t="inlineStr"/>
    </row>
    <row r="584" ht="15" customHeight="1">
      <c r="A584" t="inlineStr">
        <is>
          <t>A 60437-2023</t>
        </is>
      </c>
      <c r="B584" s="1" t="n">
        <v>45259.51916666667</v>
      </c>
      <c r="C584" s="1" t="n">
        <v>46040</v>
      </c>
      <c r="D584" t="inlineStr">
        <is>
          <t>KALMAR LÄN</t>
        </is>
      </c>
      <c r="E584" t="inlineStr">
        <is>
          <t>VIMMERBY</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60438-2023</t>
        </is>
      </c>
      <c r="B585" s="1" t="n">
        <v>45259.52020833334</v>
      </c>
      <c r="C585" s="1" t="n">
        <v>46040</v>
      </c>
      <c r="D585" t="inlineStr">
        <is>
          <t>KALMAR LÄN</t>
        </is>
      </c>
      <c r="E585" t="inlineStr">
        <is>
          <t>VIMMERBY</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46040</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7758-2024</t>
        </is>
      </c>
      <c r="B587" s="1" t="n">
        <v>45349.54434027777</v>
      </c>
      <c r="C587" s="1" t="n">
        <v>46040</v>
      </c>
      <c r="D587" t="inlineStr">
        <is>
          <t>KALMAR LÄN</t>
        </is>
      </c>
      <c r="E587" t="inlineStr">
        <is>
          <t>VIMMERBY</t>
        </is>
      </c>
      <c r="G587" t="n">
        <v>3.5</v>
      </c>
      <c r="H587" t="n">
        <v>0</v>
      </c>
      <c r="I587" t="n">
        <v>0</v>
      </c>
      <c r="J587" t="n">
        <v>0</v>
      </c>
      <c r="K587" t="n">
        <v>0</v>
      </c>
      <c r="L587" t="n">
        <v>0</v>
      </c>
      <c r="M587" t="n">
        <v>0</v>
      </c>
      <c r="N587" t="n">
        <v>0</v>
      </c>
      <c r="O587" t="n">
        <v>0</v>
      </c>
      <c r="P587" t="n">
        <v>0</v>
      </c>
      <c r="Q587" t="n">
        <v>0</v>
      </c>
      <c r="R587" s="2" t="inlineStr"/>
    </row>
    <row r="588" ht="15" customHeight="1">
      <c r="A588" t="inlineStr">
        <is>
          <t>A 7456-2024</t>
        </is>
      </c>
      <c r="B588" s="1" t="n">
        <v>45345.83557870371</v>
      </c>
      <c r="C588" s="1" t="n">
        <v>46040</v>
      </c>
      <c r="D588" t="inlineStr">
        <is>
          <t>KALMAR LÄN</t>
        </is>
      </c>
      <c r="E588" t="inlineStr">
        <is>
          <t>VIMMERBY</t>
        </is>
      </c>
      <c r="G588" t="n">
        <v>4.1</v>
      </c>
      <c r="H588" t="n">
        <v>0</v>
      </c>
      <c r="I588" t="n">
        <v>0</v>
      </c>
      <c r="J588" t="n">
        <v>0</v>
      </c>
      <c r="K588" t="n">
        <v>0</v>
      </c>
      <c r="L588" t="n">
        <v>0</v>
      </c>
      <c r="M588" t="n">
        <v>0</v>
      </c>
      <c r="N588" t="n">
        <v>0</v>
      </c>
      <c r="O588" t="n">
        <v>0</v>
      </c>
      <c r="P588" t="n">
        <v>0</v>
      </c>
      <c r="Q588" t="n">
        <v>0</v>
      </c>
      <c r="R588" s="2" t="inlineStr"/>
    </row>
    <row r="589" ht="15" customHeight="1">
      <c r="A589" t="inlineStr">
        <is>
          <t>A 55385-2025</t>
        </is>
      </c>
      <c r="B589" s="1" t="n">
        <v>45971.43350694444</v>
      </c>
      <c r="C589" s="1" t="n">
        <v>46040</v>
      </c>
      <c r="D589" t="inlineStr">
        <is>
          <t>KALMAR LÄN</t>
        </is>
      </c>
      <c r="E589" t="inlineStr">
        <is>
          <t>VIMMERBY</t>
        </is>
      </c>
      <c r="G589" t="n">
        <v>5</v>
      </c>
      <c r="H589" t="n">
        <v>0</v>
      </c>
      <c r="I589" t="n">
        <v>0</v>
      </c>
      <c r="J589" t="n">
        <v>0</v>
      </c>
      <c r="K589" t="n">
        <v>0</v>
      </c>
      <c r="L589" t="n">
        <v>0</v>
      </c>
      <c r="M589" t="n">
        <v>0</v>
      </c>
      <c r="N589" t="n">
        <v>0</v>
      </c>
      <c r="O589" t="n">
        <v>0</v>
      </c>
      <c r="P589" t="n">
        <v>0</v>
      </c>
      <c r="Q589" t="n">
        <v>0</v>
      </c>
      <c r="R589" s="2" t="inlineStr"/>
    </row>
    <row r="590" ht="15" customHeight="1">
      <c r="A590" t="inlineStr">
        <is>
          <t>A 1081-2023</t>
        </is>
      </c>
      <c r="B590" s="1" t="n">
        <v>44935</v>
      </c>
      <c r="C590" s="1" t="n">
        <v>46040</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6082-2022</t>
        </is>
      </c>
      <c r="B591" s="1" t="n">
        <v>44599</v>
      </c>
      <c r="C591" s="1" t="n">
        <v>46040</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46040</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12499-2023</t>
        </is>
      </c>
      <c r="B593" s="1" t="n">
        <v>44999.86172453704</v>
      </c>
      <c r="C593" s="1" t="n">
        <v>46040</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12500-2023</t>
        </is>
      </c>
      <c r="B594" s="1" t="n">
        <v>44999.8625</v>
      </c>
      <c r="C594" s="1" t="n">
        <v>46040</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46979-2023</t>
        </is>
      </c>
      <c r="B595" s="1" t="n">
        <v>45201</v>
      </c>
      <c r="C595" s="1" t="n">
        <v>46040</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2596-2025</t>
        </is>
      </c>
      <c r="B596" s="1" t="n">
        <v>45674.71810185185</v>
      </c>
      <c r="C596" s="1" t="n">
        <v>46040</v>
      </c>
      <c r="D596" t="inlineStr">
        <is>
          <t>KALMAR LÄN</t>
        </is>
      </c>
      <c r="E596" t="inlineStr">
        <is>
          <t>VIMMERBY</t>
        </is>
      </c>
      <c r="G596" t="n">
        <v>9</v>
      </c>
      <c r="H596" t="n">
        <v>0</v>
      </c>
      <c r="I596" t="n">
        <v>0</v>
      </c>
      <c r="J596" t="n">
        <v>0</v>
      </c>
      <c r="K596" t="n">
        <v>0</v>
      </c>
      <c r="L596" t="n">
        <v>0</v>
      </c>
      <c r="M596" t="n">
        <v>0</v>
      </c>
      <c r="N596" t="n">
        <v>0</v>
      </c>
      <c r="O596" t="n">
        <v>0</v>
      </c>
      <c r="P596" t="n">
        <v>0</v>
      </c>
      <c r="Q596" t="n">
        <v>0</v>
      </c>
      <c r="R596" s="2" t="inlineStr"/>
    </row>
    <row r="597" ht="15" customHeight="1">
      <c r="A597" t="inlineStr">
        <is>
          <t>A 47855-2024</t>
        </is>
      </c>
      <c r="B597" s="1" t="n">
        <v>45588.66457175926</v>
      </c>
      <c r="C597" s="1" t="n">
        <v>46040</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63583-2023</t>
        </is>
      </c>
      <c r="B598" s="1" t="n">
        <v>45275.41833333333</v>
      </c>
      <c r="C598" s="1" t="n">
        <v>46040</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6066-2023</t>
        </is>
      </c>
      <c r="B599" s="1" t="n">
        <v>44964.50894675926</v>
      </c>
      <c r="C599" s="1" t="n">
        <v>46040</v>
      </c>
      <c r="D599" t="inlineStr">
        <is>
          <t>KALMAR LÄN</t>
        </is>
      </c>
      <c r="E599" t="inlineStr">
        <is>
          <t>VIMMERBY</t>
        </is>
      </c>
      <c r="G599" t="n">
        <v>2.8</v>
      </c>
      <c r="H599" t="n">
        <v>0</v>
      </c>
      <c r="I599" t="n">
        <v>0</v>
      </c>
      <c r="J599" t="n">
        <v>0</v>
      </c>
      <c r="K599" t="n">
        <v>0</v>
      </c>
      <c r="L599" t="n">
        <v>0</v>
      </c>
      <c r="M599" t="n">
        <v>0</v>
      </c>
      <c r="N599" t="n">
        <v>0</v>
      </c>
      <c r="O599" t="n">
        <v>0</v>
      </c>
      <c r="P599" t="n">
        <v>0</v>
      </c>
      <c r="Q599" t="n">
        <v>0</v>
      </c>
      <c r="R599" s="2" t="inlineStr"/>
    </row>
    <row r="600" ht="15" customHeight="1">
      <c r="A600" t="inlineStr">
        <is>
          <t>A 33103-2024</t>
        </is>
      </c>
      <c r="B600" s="1" t="n">
        <v>45517.8162037037</v>
      </c>
      <c r="C600" s="1" t="n">
        <v>46040</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33161-2024</t>
        </is>
      </c>
      <c r="B601" s="1" t="n">
        <v>45518.40657407408</v>
      </c>
      <c r="C601" s="1" t="n">
        <v>46040</v>
      </c>
      <c r="D601" t="inlineStr">
        <is>
          <t>KALMAR LÄN</t>
        </is>
      </c>
      <c r="E601" t="inlineStr">
        <is>
          <t>VIMMERBY</t>
        </is>
      </c>
      <c r="G601" t="n">
        <v>4.7</v>
      </c>
      <c r="H601" t="n">
        <v>0</v>
      </c>
      <c r="I601" t="n">
        <v>0</v>
      </c>
      <c r="J601" t="n">
        <v>0</v>
      </c>
      <c r="K601" t="n">
        <v>0</v>
      </c>
      <c r="L601" t="n">
        <v>0</v>
      </c>
      <c r="M601" t="n">
        <v>0</v>
      </c>
      <c r="N601" t="n">
        <v>0</v>
      </c>
      <c r="O601" t="n">
        <v>0</v>
      </c>
      <c r="P601" t="n">
        <v>0</v>
      </c>
      <c r="Q601" t="n">
        <v>0</v>
      </c>
      <c r="R601" s="2" t="inlineStr"/>
    </row>
    <row r="602" ht="15" customHeight="1">
      <c r="A602" t="inlineStr">
        <is>
          <t>A 12510-2022</t>
        </is>
      </c>
      <c r="B602" s="1" t="n">
        <v>44638.55256944444</v>
      </c>
      <c r="C602" s="1" t="n">
        <v>46040</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55602-2025</t>
        </is>
      </c>
      <c r="B603" s="1" t="n">
        <v>45971</v>
      </c>
      <c r="C603" s="1" t="n">
        <v>46040</v>
      </c>
      <c r="D603" t="inlineStr">
        <is>
          <t>KALMAR LÄN</t>
        </is>
      </c>
      <c r="E603" t="inlineStr">
        <is>
          <t>VIMMERBY</t>
        </is>
      </c>
      <c r="G603" t="n">
        <v>2.7</v>
      </c>
      <c r="H603" t="n">
        <v>0</v>
      </c>
      <c r="I603" t="n">
        <v>0</v>
      </c>
      <c r="J603" t="n">
        <v>0</v>
      </c>
      <c r="K603" t="n">
        <v>0</v>
      </c>
      <c r="L603" t="n">
        <v>0</v>
      </c>
      <c r="M603" t="n">
        <v>0</v>
      </c>
      <c r="N603" t="n">
        <v>0</v>
      </c>
      <c r="O603" t="n">
        <v>0</v>
      </c>
      <c r="P603" t="n">
        <v>0</v>
      </c>
      <c r="Q603" t="n">
        <v>0</v>
      </c>
      <c r="R603" s="2" t="inlineStr"/>
    </row>
    <row r="604" ht="15" customHeight="1">
      <c r="A604" t="inlineStr">
        <is>
          <t>A 60228-2021</t>
        </is>
      </c>
      <c r="B604" s="1" t="n">
        <v>44495</v>
      </c>
      <c r="C604" s="1" t="n">
        <v>46040</v>
      </c>
      <c r="D604" t="inlineStr">
        <is>
          <t>KALMAR LÄN</t>
        </is>
      </c>
      <c r="E604" t="inlineStr">
        <is>
          <t>VIMMERBY</t>
        </is>
      </c>
      <c r="G604" t="n">
        <v>4.1</v>
      </c>
      <c r="H604" t="n">
        <v>0</v>
      </c>
      <c r="I604" t="n">
        <v>0</v>
      </c>
      <c r="J604" t="n">
        <v>0</v>
      </c>
      <c r="K604" t="n">
        <v>0</v>
      </c>
      <c r="L604" t="n">
        <v>0</v>
      </c>
      <c r="M604" t="n">
        <v>0</v>
      </c>
      <c r="N604" t="n">
        <v>0</v>
      </c>
      <c r="O604" t="n">
        <v>0</v>
      </c>
      <c r="P604" t="n">
        <v>0</v>
      </c>
      <c r="Q604" t="n">
        <v>0</v>
      </c>
      <c r="R604" s="2" t="inlineStr"/>
    </row>
    <row r="605" ht="15" customHeight="1">
      <c r="A605" t="inlineStr">
        <is>
          <t>A 63711-2025</t>
        </is>
      </c>
      <c r="B605" s="1" t="n">
        <v>46014.62724537037</v>
      </c>
      <c r="C605" s="1" t="n">
        <v>46040</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55603-2025</t>
        </is>
      </c>
      <c r="B606" s="1" t="n">
        <v>45971</v>
      </c>
      <c r="C606" s="1" t="n">
        <v>46040</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55605-2025</t>
        </is>
      </c>
      <c r="B607" s="1" t="n">
        <v>45971</v>
      </c>
      <c r="C607" s="1" t="n">
        <v>46040</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46522-2022</t>
        </is>
      </c>
      <c r="B608" s="1" t="n">
        <v>44848.59133101852</v>
      </c>
      <c r="C608" s="1" t="n">
        <v>46040</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21109-2024</t>
        </is>
      </c>
      <c r="B609" s="1" t="n">
        <v>45440.28329861111</v>
      </c>
      <c r="C609" s="1" t="n">
        <v>46040</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33815-2022</t>
        </is>
      </c>
      <c r="B610" s="1" t="n">
        <v>44790.45876157407</v>
      </c>
      <c r="C610" s="1" t="n">
        <v>46040</v>
      </c>
      <c r="D610" t="inlineStr">
        <is>
          <t>KALMAR LÄN</t>
        </is>
      </c>
      <c r="E610" t="inlineStr">
        <is>
          <t>VIMMERBY</t>
        </is>
      </c>
      <c r="G610" t="n">
        <v>0.9</v>
      </c>
      <c r="H610" t="n">
        <v>0</v>
      </c>
      <c r="I610" t="n">
        <v>0</v>
      </c>
      <c r="J610" t="n">
        <v>0</v>
      </c>
      <c r="K610" t="n">
        <v>0</v>
      </c>
      <c r="L610" t="n">
        <v>0</v>
      </c>
      <c r="M610" t="n">
        <v>0</v>
      </c>
      <c r="N610" t="n">
        <v>0</v>
      </c>
      <c r="O610" t="n">
        <v>0</v>
      </c>
      <c r="P610" t="n">
        <v>0</v>
      </c>
      <c r="Q610" t="n">
        <v>0</v>
      </c>
      <c r="R610" s="2" t="inlineStr"/>
    </row>
    <row r="611" ht="15" customHeight="1">
      <c r="A611" t="inlineStr">
        <is>
          <t>A 49461-2022</t>
        </is>
      </c>
      <c r="B611" s="1" t="n">
        <v>44861</v>
      </c>
      <c r="C611" s="1" t="n">
        <v>46040</v>
      </c>
      <c r="D611" t="inlineStr">
        <is>
          <t>KALMAR LÄN</t>
        </is>
      </c>
      <c r="E611" t="inlineStr">
        <is>
          <t>VIMMERBY</t>
        </is>
      </c>
      <c r="G611" t="n">
        <v>3.2</v>
      </c>
      <c r="H611" t="n">
        <v>0</v>
      </c>
      <c r="I611" t="n">
        <v>0</v>
      </c>
      <c r="J611" t="n">
        <v>0</v>
      </c>
      <c r="K611" t="n">
        <v>0</v>
      </c>
      <c r="L611" t="n">
        <v>0</v>
      </c>
      <c r="M611" t="n">
        <v>0</v>
      </c>
      <c r="N611" t="n">
        <v>0</v>
      </c>
      <c r="O611" t="n">
        <v>0</v>
      </c>
      <c r="P611" t="n">
        <v>0</v>
      </c>
      <c r="Q611" t="n">
        <v>0</v>
      </c>
      <c r="R611" s="2" t="inlineStr"/>
    </row>
    <row r="612" ht="15" customHeight="1">
      <c r="A612" t="inlineStr">
        <is>
          <t>A 53542-2022</t>
        </is>
      </c>
      <c r="B612" s="1" t="n">
        <v>44879.62173611111</v>
      </c>
      <c r="C612" s="1" t="n">
        <v>46040</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1146-2025</t>
        </is>
      </c>
      <c r="B613" s="1" t="n">
        <v>45666</v>
      </c>
      <c r="C613" s="1" t="n">
        <v>46040</v>
      </c>
      <c r="D613" t="inlineStr">
        <is>
          <t>KALMAR LÄN</t>
        </is>
      </c>
      <c r="E613" t="inlineStr">
        <is>
          <t>VIMMERBY</t>
        </is>
      </c>
      <c r="G613" t="n">
        <v>4</v>
      </c>
      <c r="H613" t="n">
        <v>0</v>
      </c>
      <c r="I613" t="n">
        <v>0</v>
      </c>
      <c r="J613" t="n">
        <v>0</v>
      </c>
      <c r="K613" t="n">
        <v>0</v>
      </c>
      <c r="L613" t="n">
        <v>0</v>
      </c>
      <c r="M613" t="n">
        <v>0</v>
      </c>
      <c r="N613" t="n">
        <v>0</v>
      </c>
      <c r="O613" t="n">
        <v>0</v>
      </c>
      <c r="P613" t="n">
        <v>0</v>
      </c>
      <c r="Q613" t="n">
        <v>0</v>
      </c>
      <c r="R613" s="2" t="inlineStr"/>
    </row>
    <row r="614" ht="15" customHeight="1">
      <c r="A614" t="inlineStr">
        <is>
          <t>A 35713-2023</t>
        </is>
      </c>
      <c r="B614" s="1" t="n">
        <v>45147</v>
      </c>
      <c r="C614" s="1" t="n">
        <v>46040</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10424-2023</t>
        </is>
      </c>
      <c r="B615" s="1" t="n">
        <v>44987.54104166666</v>
      </c>
      <c r="C615" s="1" t="n">
        <v>46040</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63839-2025</t>
        </is>
      </c>
      <c r="B616" s="1" t="n">
        <v>46020.41998842593</v>
      </c>
      <c r="C616" s="1" t="n">
        <v>46040</v>
      </c>
      <c r="D616" t="inlineStr">
        <is>
          <t>KALMAR LÄN</t>
        </is>
      </c>
      <c r="E616" t="inlineStr">
        <is>
          <t>VIMMERBY</t>
        </is>
      </c>
      <c r="G616" t="n">
        <v>2.9</v>
      </c>
      <c r="H616" t="n">
        <v>0</v>
      </c>
      <c r="I616" t="n">
        <v>0</v>
      </c>
      <c r="J616" t="n">
        <v>0</v>
      </c>
      <c r="K616" t="n">
        <v>0</v>
      </c>
      <c r="L616" t="n">
        <v>0</v>
      </c>
      <c r="M616" t="n">
        <v>0</v>
      </c>
      <c r="N616" t="n">
        <v>0</v>
      </c>
      <c r="O616" t="n">
        <v>0</v>
      </c>
      <c r="P616" t="n">
        <v>0</v>
      </c>
      <c r="Q616" t="n">
        <v>0</v>
      </c>
      <c r="R616" s="2" t="inlineStr"/>
    </row>
    <row r="617" ht="15" customHeight="1">
      <c r="A617" t="inlineStr">
        <is>
          <t>A 12890-2023</t>
        </is>
      </c>
      <c r="B617" s="1" t="n">
        <v>45001.59209490741</v>
      </c>
      <c r="C617" s="1" t="n">
        <v>46040</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3902-2022</t>
        </is>
      </c>
      <c r="B618" s="1" t="n">
        <v>44587.48847222222</v>
      </c>
      <c r="C618" s="1" t="n">
        <v>46040</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63845-2025</t>
        </is>
      </c>
      <c r="B619" s="1" t="n">
        <v>46020.43715277778</v>
      </c>
      <c r="C619" s="1" t="n">
        <v>46040</v>
      </c>
      <c r="D619" t="inlineStr">
        <is>
          <t>KALMAR LÄN</t>
        </is>
      </c>
      <c r="E619" t="inlineStr">
        <is>
          <t>VIMMERBY</t>
        </is>
      </c>
      <c r="G619" t="n">
        <v>3.8</v>
      </c>
      <c r="H619" t="n">
        <v>0</v>
      </c>
      <c r="I619" t="n">
        <v>0</v>
      </c>
      <c r="J619" t="n">
        <v>0</v>
      </c>
      <c r="K619" t="n">
        <v>0</v>
      </c>
      <c r="L619" t="n">
        <v>0</v>
      </c>
      <c r="M619" t="n">
        <v>0</v>
      </c>
      <c r="N619" t="n">
        <v>0</v>
      </c>
      <c r="O619" t="n">
        <v>0</v>
      </c>
      <c r="P619" t="n">
        <v>0</v>
      </c>
      <c r="Q619" t="n">
        <v>0</v>
      </c>
      <c r="R619" s="2" t="inlineStr"/>
    </row>
    <row r="620" ht="15" customHeight="1">
      <c r="A620" t="inlineStr">
        <is>
          <t>A 63848-2025</t>
        </is>
      </c>
      <c r="B620" s="1" t="n">
        <v>46020.44902777778</v>
      </c>
      <c r="C620" s="1" t="n">
        <v>46040</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89-2023</t>
        </is>
      </c>
      <c r="B621" s="1" t="n">
        <v>44918</v>
      </c>
      <c r="C621" s="1" t="n">
        <v>46040</v>
      </c>
      <c r="D621" t="inlineStr">
        <is>
          <t>KALMAR LÄN</t>
        </is>
      </c>
      <c r="E621" t="inlineStr">
        <is>
          <t>VIMMERBY</t>
        </is>
      </c>
      <c r="G621" t="n">
        <v>16.1</v>
      </c>
      <c r="H621" t="n">
        <v>0</v>
      </c>
      <c r="I621" t="n">
        <v>0</v>
      </c>
      <c r="J621" t="n">
        <v>0</v>
      </c>
      <c r="K621" t="n">
        <v>0</v>
      </c>
      <c r="L621" t="n">
        <v>0</v>
      </c>
      <c r="M621" t="n">
        <v>0</v>
      </c>
      <c r="N621" t="n">
        <v>0</v>
      </c>
      <c r="O621" t="n">
        <v>0</v>
      </c>
      <c r="P621" t="n">
        <v>0</v>
      </c>
      <c r="Q621" t="n">
        <v>0</v>
      </c>
      <c r="R621" s="2" t="inlineStr"/>
    </row>
    <row r="622" ht="15" customHeight="1">
      <c r="A622" t="inlineStr">
        <is>
          <t>A 5382-2023</t>
        </is>
      </c>
      <c r="B622" s="1" t="n">
        <v>44959.66407407408</v>
      </c>
      <c r="C622" s="1" t="n">
        <v>46040</v>
      </c>
      <c r="D622" t="inlineStr">
        <is>
          <t>KALMAR LÄN</t>
        </is>
      </c>
      <c r="E622" t="inlineStr">
        <is>
          <t>VIMMERBY</t>
        </is>
      </c>
      <c r="G622" t="n">
        <v>1</v>
      </c>
      <c r="H622" t="n">
        <v>0</v>
      </c>
      <c r="I622" t="n">
        <v>0</v>
      </c>
      <c r="J622" t="n">
        <v>0</v>
      </c>
      <c r="K622" t="n">
        <v>0</v>
      </c>
      <c r="L622" t="n">
        <v>0</v>
      </c>
      <c r="M622" t="n">
        <v>0</v>
      </c>
      <c r="N622" t="n">
        <v>0</v>
      </c>
      <c r="O622" t="n">
        <v>0</v>
      </c>
      <c r="P622" t="n">
        <v>0</v>
      </c>
      <c r="Q622" t="n">
        <v>0</v>
      </c>
      <c r="R622" s="2" t="inlineStr"/>
    </row>
    <row r="623" ht="15" customHeight="1">
      <c r="A623" t="inlineStr">
        <is>
          <t>A 33340-2023</t>
        </is>
      </c>
      <c r="B623" s="1" t="n">
        <v>45128.37305555555</v>
      </c>
      <c r="C623" s="1" t="n">
        <v>46040</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6668-2023</t>
        </is>
      </c>
      <c r="B624" s="1" t="n">
        <v>44966</v>
      </c>
      <c r="C624" s="1" t="n">
        <v>46040</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172-2022</t>
        </is>
      </c>
      <c r="B625" s="1" t="n">
        <v>44564.62598379629</v>
      </c>
      <c r="C625" s="1" t="n">
        <v>46040</v>
      </c>
      <c r="D625" t="inlineStr">
        <is>
          <t>KALMAR LÄN</t>
        </is>
      </c>
      <c r="E625" t="inlineStr">
        <is>
          <t>VIMMERBY</t>
        </is>
      </c>
      <c r="G625" t="n">
        <v>2.1</v>
      </c>
      <c r="H625" t="n">
        <v>0</v>
      </c>
      <c r="I625" t="n">
        <v>0</v>
      </c>
      <c r="J625" t="n">
        <v>0</v>
      </c>
      <c r="K625" t="n">
        <v>0</v>
      </c>
      <c r="L625" t="n">
        <v>0</v>
      </c>
      <c r="M625" t="n">
        <v>0</v>
      </c>
      <c r="N625" t="n">
        <v>0</v>
      </c>
      <c r="O625" t="n">
        <v>0</v>
      </c>
      <c r="P625" t="n">
        <v>0</v>
      </c>
      <c r="Q625" t="n">
        <v>0</v>
      </c>
      <c r="R625" s="2" t="inlineStr"/>
    </row>
    <row r="626" ht="15" customHeight="1">
      <c r="A626" t="inlineStr">
        <is>
          <t>A 29017-2024</t>
        </is>
      </c>
      <c r="B626" s="1" t="n">
        <v>45481.56722222222</v>
      </c>
      <c r="C626" s="1" t="n">
        <v>46040</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58046-2022</t>
        </is>
      </c>
      <c r="B627" s="1" t="n">
        <v>44900.57393518519</v>
      </c>
      <c r="C627" s="1" t="n">
        <v>46040</v>
      </c>
      <c r="D627" t="inlineStr">
        <is>
          <t>KALMAR LÄN</t>
        </is>
      </c>
      <c r="E627" t="inlineStr">
        <is>
          <t>VIMMERBY</t>
        </is>
      </c>
      <c r="G627" t="n">
        <v>2.5</v>
      </c>
      <c r="H627" t="n">
        <v>0</v>
      </c>
      <c r="I627" t="n">
        <v>0</v>
      </c>
      <c r="J627" t="n">
        <v>0</v>
      </c>
      <c r="K627" t="n">
        <v>0</v>
      </c>
      <c r="L627" t="n">
        <v>0</v>
      </c>
      <c r="M627" t="n">
        <v>0</v>
      </c>
      <c r="N627" t="n">
        <v>0</v>
      </c>
      <c r="O627" t="n">
        <v>0</v>
      </c>
      <c r="P627" t="n">
        <v>0</v>
      </c>
      <c r="Q627" t="n">
        <v>0</v>
      </c>
      <c r="R627" s="2" t="inlineStr"/>
    </row>
    <row r="628" ht="15" customHeight="1">
      <c r="A628" t="inlineStr">
        <is>
          <t>A 30634-2024</t>
        </is>
      </c>
      <c r="B628" s="1" t="n">
        <v>45495</v>
      </c>
      <c r="C628" s="1" t="n">
        <v>46040</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6355-2022</t>
        </is>
      </c>
      <c r="B629" s="1" t="n">
        <v>44600</v>
      </c>
      <c r="C629" s="1" t="n">
        <v>46040</v>
      </c>
      <c r="D629" t="inlineStr">
        <is>
          <t>KALMAR LÄN</t>
        </is>
      </c>
      <c r="E629" t="inlineStr">
        <is>
          <t>VIMMERBY</t>
        </is>
      </c>
      <c r="G629" t="n">
        <v>4.9</v>
      </c>
      <c r="H629" t="n">
        <v>0</v>
      </c>
      <c r="I629" t="n">
        <v>0</v>
      </c>
      <c r="J629" t="n">
        <v>0</v>
      </c>
      <c r="K629" t="n">
        <v>0</v>
      </c>
      <c r="L629" t="n">
        <v>0</v>
      </c>
      <c r="M629" t="n">
        <v>0</v>
      </c>
      <c r="N629" t="n">
        <v>0</v>
      </c>
      <c r="O629" t="n">
        <v>0</v>
      </c>
      <c r="P629" t="n">
        <v>0</v>
      </c>
      <c r="Q629" t="n">
        <v>0</v>
      </c>
      <c r="R629" s="2" t="inlineStr"/>
    </row>
    <row r="630" ht="15" customHeight="1">
      <c r="A630" t="inlineStr">
        <is>
          <t>A 14548-2024</t>
        </is>
      </c>
      <c r="B630" s="1" t="n">
        <v>45394.66887731481</v>
      </c>
      <c r="C630" s="1" t="n">
        <v>46040</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16020-2023</t>
        </is>
      </c>
      <c r="B631" s="1" t="n">
        <v>45026.82216435186</v>
      </c>
      <c r="C631" s="1" t="n">
        <v>46040</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60292-2022</t>
        </is>
      </c>
      <c r="B632" s="1" t="n">
        <v>44910.54231481482</v>
      </c>
      <c r="C632" s="1" t="n">
        <v>46040</v>
      </c>
      <c r="D632" t="inlineStr">
        <is>
          <t>KALMAR LÄN</t>
        </is>
      </c>
      <c r="E632" t="inlineStr">
        <is>
          <t>VIMMERBY</t>
        </is>
      </c>
      <c r="G632" t="n">
        <v>4.4</v>
      </c>
      <c r="H632" t="n">
        <v>0</v>
      </c>
      <c r="I632" t="n">
        <v>0</v>
      </c>
      <c r="J632" t="n">
        <v>0</v>
      </c>
      <c r="K632" t="n">
        <v>0</v>
      </c>
      <c r="L632" t="n">
        <v>0</v>
      </c>
      <c r="M632" t="n">
        <v>0</v>
      </c>
      <c r="N632" t="n">
        <v>0</v>
      </c>
      <c r="O632" t="n">
        <v>0</v>
      </c>
      <c r="P632" t="n">
        <v>0</v>
      </c>
      <c r="Q632" t="n">
        <v>0</v>
      </c>
      <c r="R632" s="2" t="inlineStr"/>
    </row>
    <row r="633" ht="15" customHeight="1">
      <c r="A633" t="inlineStr">
        <is>
          <t>A 48120-2022</t>
        </is>
      </c>
      <c r="B633" s="1" t="n">
        <v>44857.65989583333</v>
      </c>
      <c r="C633" s="1" t="n">
        <v>46040</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43034-2024</t>
        </is>
      </c>
      <c r="B634" s="1" t="n">
        <v>45567.42011574074</v>
      </c>
      <c r="C634" s="1" t="n">
        <v>46040</v>
      </c>
      <c r="D634" t="inlineStr">
        <is>
          <t>KALMAR LÄN</t>
        </is>
      </c>
      <c r="E634" t="inlineStr">
        <is>
          <t>VIMMERBY</t>
        </is>
      </c>
      <c r="G634" t="n">
        <v>1.8</v>
      </c>
      <c r="H634" t="n">
        <v>0</v>
      </c>
      <c r="I634" t="n">
        <v>0</v>
      </c>
      <c r="J634" t="n">
        <v>0</v>
      </c>
      <c r="K634" t="n">
        <v>0</v>
      </c>
      <c r="L634" t="n">
        <v>0</v>
      </c>
      <c r="M634" t="n">
        <v>0</v>
      </c>
      <c r="N634" t="n">
        <v>0</v>
      </c>
      <c r="O634" t="n">
        <v>0</v>
      </c>
      <c r="P634" t="n">
        <v>0</v>
      </c>
      <c r="Q634" t="n">
        <v>0</v>
      </c>
      <c r="R634" s="2" t="inlineStr"/>
    </row>
    <row r="635" ht="15" customHeight="1">
      <c r="A635" t="inlineStr">
        <is>
          <t>A 3423-2022</t>
        </is>
      </c>
      <c r="B635" s="1" t="n">
        <v>44585.50431712963</v>
      </c>
      <c r="C635" s="1" t="n">
        <v>46040</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40256-2024</t>
        </is>
      </c>
      <c r="B636" s="1" t="n">
        <v>45554.62944444444</v>
      </c>
      <c r="C636" s="1" t="n">
        <v>46040</v>
      </c>
      <c r="D636" t="inlineStr">
        <is>
          <t>KALMAR LÄN</t>
        </is>
      </c>
      <c r="E636" t="inlineStr">
        <is>
          <t>VIMMERBY</t>
        </is>
      </c>
      <c r="G636" t="n">
        <v>0.9</v>
      </c>
      <c r="H636" t="n">
        <v>0</v>
      </c>
      <c r="I636" t="n">
        <v>0</v>
      </c>
      <c r="J636" t="n">
        <v>0</v>
      </c>
      <c r="K636" t="n">
        <v>0</v>
      </c>
      <c r="L636" t="n">
        <v>0</v>
      </c>
      <c r="M636" t="n">
        <v>0</v>
      </c>
      <c r="N636" t="n">
        <v>0</v>
      </c>
      <c r="O636" t="n">
        <v>0</v>
      </c>
      <c r="P636" t="n">
        <v>0</v>
      </c>
      <c r="Q636" t="n">
        <v>0</v>
      </c>
      <c r="R636" s="2" t="inlineStr"/>
    </row>
    <row r="637" ht="15" customHeight="1">
      <c r="A637" t="inlineStr">
        <is>
          <t>A 11074-2023</t>
        </is>
      </c>
      <c r="B637" s="1" t="n">
        <v>44992.34151620371</v>
      </c>
      <c r="C637" s="1" t="n">
        <v>46040</v>
      </c>
      <c r="D637" t="inlineStr">
        <is>
          <t>KALMAR LÄN</t>
        </is>
      </c>
      <c r="E637" t="inlineStr">
        <is>
          <t>VIMMERBY</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71631-2021</t>
        </is>
      </c>
      <c r="B638" s="1" t="n">
        <v>44542.90072916666</v>
      </c>
      <c r="C638" s="1" t="n">
        <v>46040</v>
      </c>
      <c r="D638" t="inlineStr">
        <is>
          <t>KALMAR LÄN</t>
        </is>
      </c>
      <c r="E638" t="inlineStr">
        <is>
          <t>VIMMERBY</t>
        </is>
      </c>
      <c r="G638" t="n">
        <v>0.9</v>
      </c>
      <c r="H638" t="n">
        <v>0</v>
      </c>
      <c r="I638" t="n">
        <v>0</v>
      </c>
      <c r="J638" t="n">
        <v>0</v>
      </c>
      <c r="K638" t="n">
        <v>0</v>
      </c>
      <c r="L638" t="n">
        <v>0</v>
      </c>
      <c r="M638" t="n">
        <v>0</v>
      </c>
      <c r="N638" t="n">
        <v>0</v>
      </c>
      <c r="O638" t="n">
        <v>0</v>
      </c>
      <c r="P638" t="n">
        <v>0</v>
      </c>
      <c r="Q638" t="n">
        <v>0</v>
      </c>
      <c r="R638" s="2" t="inlineStr"/>
    </row>
    <row r="639" ht="15" customHeight="1">
      <c r="A639" t="inlineStr">
        <is>
          <t>A 49039-2021</t>
        </is>
      </c>
      <c r="B639" s="1" t="n">
        <v>44453.56578703703</v>
      </c>
      <c r="C639" s="1" t="n">
        <v>46040</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42918-2021</t>
        </is>
      </c>
      <c r="B640" s="1" t="n">
        <v>44431</v>
      </c>
      <c r="C640" s="1" t="n">
        <v>46040</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529-2022</t>
        </is>
      </c>
      <c r="B641" s="1" t="n">
        <v>44566</v>
      </c>
      <c r="C641" s="1" t="n">
        <v>46040</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43093-2024</t>
        </is>
      </c>
      <c r="B642" s="1" t="n">
        <v>45567</v>
      </c>
      <c r="C642" s="1" t="n">
        <v>46040</v>
      </c>
      <c r="D642" t="inlineStr">
        <is>
          <t>KALMAR LÄN</t>
        </is>
      </c>
      <c r="E642" t="inlineStr">
        <is>
          <t>VIMMERBY</t>
        </is>
      </c>
      <c r="G642" t="n">
        <v>0.7</v>
      </c>
      <c r="H642" t="n">
        <v>0</v>
      </c>
      <c r="I642" t="n">
        <v>0</v>
      </c>
      <c r="J642" t="n">
        <v>0</v>
      </c>
      <c r="K642" t="n">
        <v>0</v>
      </c>
      <c r="L642" t="n">
        <v>0</v>
      </c>
      <c r="M642" t="n">
        <v>0</v>
      </c>
      <c r="N642" t="n">
        <v>0</v>
      </c>
      <c r="O642" t="n">
        <v>0</v>
      </c>
      <c r="P642" t="n">
        <v>0</v>
      </c>
      <c r="Q642" t="n">
        <v>0</v>
      </c>
      <c r="R642" s="2" t="inlineStr"/>
    </row>
    <row r="643" ht="15" customHeight="1">
      <c r="A643" t="inlineStr">
        <is>
          <t>A 14855-2025</t>
        </is>
      </c>
      <c r="B643" s="1" t="n">
        <v>45743.41148148148</v>
      </c>
      <c r="C643" s="1" t="n">
        <v>46040</v>
      </c>
      <c r="D643" t="inlineStr">
        <is>
          <t>KALMAR LÄN</t>
        </is>
      </c>
      <c r="E643" t="inlineStr">
        <is>
          <t>VIMMERBY</t>
        </is>
      </c>
      <c r="G643" t="n">
        <v>1.2</v>
      </c>
      <c r="H643" t="n">
        <v>0</v>
      </c>
      <c r="I643" t="n">
        <v>0</v>
      </c>
      <c r="J643" t="n">
        <v>0</v>
      </c>
      <c r="K643" t="n">
        <v>0</v>
      </c>
      <c r="L643" t="n">
        <v>0</v>
      </c>
      <c r="M643" t="n">
        <v>0</v>
      </c>
      <c r="N643" t="n">
        <v>0</v>
      </c>
      <c r="O643" t="n">
        <v>0</v>
      </c>
      <c r="P643" t="n">
        <v>0</v>
      </c>
      <c r="Q643" t="n">
        <v>0</v>
      </c>
      <c r="R643" s="2" t="inlineStr"/>
    </row>
    <row r="644" ht="15" customHeight="1">
      <c r="A644" t="inlineStr">
        <is>
          <t>A 60951-2023</t>
        </is>
      </c>
      <c r="B644" s="1" t="n">
        <v>45261.44914351852</v>
      </c>
      <c r="C644" s="1" t="n">
        <v>46040</v>
      </c>
      <c r="D644" t="inlineStr">
        <is>
          <t>KALMAR LÄN</t>
        </is>
      </c>
      <c r="E644" t="inlineStr">
        <is>
          <t>VIMMERBY</t>
        </is>
      </c>
      <c r="G644" t="n">
        <v>4.3</v>
      </c>
      <c r="H644" t="n">
        <v>0</v>
      </c>
      <c r="I644" t="n">
        <v>0</v>
      </c>
      <c r="J644" t="n">
        <v>0</v>
      </c>
      <c r="K644" t="n">
        <v>0</v>
      </c>
      <c r="L644" t="n">
        <v>0</v>
      </c>
      <c r="M644" t="n">
        <v>0</v>
      </c>
      <c r="N644" t="n">
        <v>0</v>
      </c>
      <c r="O644" t="n">
        <v>0</v>
      </c>
      <c r="P644" t="n">
        <v>0</v>
      </c>
      <c r="Q644" t="n">
        <v>0</v>
      </c>
      <c r="R644" s="2" t="inlineStr"/>
    </row>
    <row r="645" ht="15" customHeight="1">
      <c r="A645" t="inlineStr">
        <is>
          <t>A 19162-2023</t>
        </is>
      </c>
      <c r="B645" s="1" t="n">
        <v>45048.59699074074</v>
      </c>
      <c r="C645" s="1" t="n">
        <v>46040</v>
      </c>
      <c r="D645" t="inlineStr">
        <is>
          <t>KALMAR LÄN</t>
        </is>
      </c>
      <c r="E645" t="inlineStr">
        <is>
          <t>VIMMERBY</t>
        </is>
      </c>
      <c r="G645" t="n">
        <v>0.6</v>
      </c>
      <c r="H645" t="n">
        <v>0</v>
      </c>
      <c r="I645" t="n">
        <v>0</v>
      </c>
      <c r="J645" t="n">
        <v>0</v>
      </c>
      <c r="K645" t="n">
        <v>0</v>
      </c>
      <c r="L645" t="n">
        <v>0</v>
      </c>
      <c r="M645" t="n">
        <v>0</v>
      </c>
      <c r="N645" t="n">
        <v>0</v>
      </c>
      <c r="O645" t="n">
        <v>0</v>
      </c>
      <c r="P645" t="n">
        <v>0</v>
      </c>
      <c r="Q645" t="n">
        <v>0</v>
      </c>
      <c r="R645" s="2" t="inlineStr"/>
    </row>
    <row r="646" ht="15" customHeight="1">
      <c r="A646" t="inlineStr">
        <is>
          <t>A 35198-2023</t>
        </is>
      </c>
      <c r="B646" s="1" t="n">
        <v>45145</v>
      </c>
      <c r="C646" s="1" t="n">
        <v>46040</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31209-2024</t>
        </is>
      </c>
      <c r="B647" s="1" t="n">
        <v>45503.5658912037</v>
      </c>
      <c r="C647" s="1" t="n">
        <v>46040</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5864-2022</t>
        </is>
      </c>
      <c r="B648" s="1" t="n">
        <v>44596</v>
      </c>
      <c r="C648" s="1" t="n">
        <v>46040</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58374-2024</t>
        </is>
      </c>
      <c r="B649" s="1" t="n">
        <v>45632.72635416667</v>
      </c>
      <c r="C649" s="1" t="n">
        <v>46040</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3938-2023</t>
        </is>
      </c>
      <c r="B650" s="1" t="n">
        <v>44952.35775462963</v>
      </c>
      <c r="C650" s="1" t="n">
        <v>46040</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55300-2021</t>
        </is>
      </c>
      <c r="B651" s="1" t="n">
        <v>44475</v>
      </c>
      <c r="C651" s="1" t="n">
        <v>46040</v>
      </c>
      <c r="D651" t="inlineStr">
        <is>
          <t>KALMAR LÄN</t>
        </is>
      </c>
      <c r="E651" t="inlineStr">
        <is>
          <t>VIMMERBY</t>
        </is>
      </c>
      <c r="G651" t="n">
        <v>3.4</v>
      </c>
      <c r="H651" t="n">
        <v>0</v>
      </c>
      <c r="I651" t="n">
        <v>0</v>
      </c>
      <c r="J651" t="n">
        <v>0</v>
      </c>
      <c r="K651" t="n">
        <v>0</v>
      </c>
      <c r="L651" t="n">
        <v>0</v>
      </c>
      <c r="M651" t="n">
        <v>0</v>
      </c>
      <c r="N651" t="n">
        <v>0</v>
      </c>
      <c r="O651" t="n">
        <v>0</v>
      </c>
      <c r="P651" t="n">
        <v>0</v>
      </c>
      <c r="Q651" t="n">
        <v>0</v>
      </c>
      <c r="R651" s="2" t="inlineStr"/>
    </row>
    <row r="652" ht="15" customHeight="1">
      <c r="A652" t="inlineStr">
        <is>
          <t>A 26937-2023</t>
        </is>
      </c>
      <c r="B652" s="1" t="n">
        <v>45093.62777777778</v>
      </c>
      <c r="C652" s="1" t="n">
        <v>46040</v>
      </c>
      <c r="D652" t="inlineStr">
        <is>
          <t>KALMAR LÄN</t>
        </is>
      </c>
      <c r="E652" t="inlineStr">
        <is>
          <t>VIMMERBY</t>
        </is>
      </c>
      <c r="F652" t="inlineStr">
        <is>
          <t>Sveaskog</t>
        </is>
      </c>
      <c r="G652" t="n">
        <v>14.5</v>
      </c>
      <c r="H652" t="n">
        <v>0</v>
      </c>
      <c r="I652" t="n">
        <v>0</v>
      </c>
      <c r="J652" t="n">
        <v>0</v>
      </c>
      <c r="K652" t="n">
        <v>0</v>
      </c>
      <c r="L652" t="n">
        <v>0</v>
      </c>
      <c r="M652" t="n">
        <v>0</v>
      </c>
      <c r="N652" t="n">
        <v>0</v>
      </c>
      <c r="O652" t="n">
        <v>0</v>
      </c>
      <c r="P652" t="n">
        <v>0</v>
      </c>
      <c r="Q652" t="n">
        <v>0</v>
      </c>
      <c r="R652" s="2" t="inlineStr"/>
    </row>
    <row r="653" ht="15" customHeight="1">
      <c r="A653" t="inlineStr">
        <is>
          <t>A 50085-2023</t>
        </is>
      </c>
      <c r="B653" s="1" t="n">
        <v>45215.5959375</v>
      </c>
      <c r="C653" s="1" t="n">
        <v>46040</v>
      </c>
      <c r="D653" t="inlineStr">
        <is>
          <t>KALMAR LÄN</t>
        </is>
      </c>
      <c r="E653" t="inlineStr">
        <is>
          <t>VIMMERBY</t>
        </is>
      </c>
      <c r="G653" t="n">
        <v>1.1</v>
      </c>
      <c r="H653" t="n">
        <v>0</v>
      </c>
      <c r="I653" t="n">
        <v>0</v>
      </c>
      <c r="J653" t="n">
        <v>0</v>
      </c>
      <c r="K653" t="n">
        <v>0</v>
      </c>
      <c r="L653" t="n">
        <v>0</v>
      </c>
      <c r="M653" t="n">
        <v>0</v>
      </c>
      <c r="N653" t="n">
        <v>0</v>
      </c>
      <c r="O653" t="n">
        <v>0</v>
      </c>
      <c r="P653" t="n">
        <v>0</v>
      </c>
      <c r="Q653" t="n">
        <v>0</v>
      </c>
      <c r="R653" s="2" t="inlineStr"/>
    </row>
    <row r="654" ht="15" customHeight="1">
      <c r="A654" t="inlineStr">
        <is>
          <t>A 47263-2023</t>
        </is>
      </c>
      <c r="B654" s="1" t="n">
        <v>45202.4209837963</v>
      </c>
      <c r="C654" s="1" t="n">
        <v>46040</v>
      </c>
      <c r="D654" t="inlineStr">
        <is>
          <t>KALMAR LÄN</t>
        </is>
      </c>
      <c r="E654" t="inlineStr">
        <is>
          <t>VIMMERBY</t>
        </is>
      </c>
      <c r="G654" t="n">
        <v>1.8</v>
      </c>
      <c r="H654" t="n">
        <v>0</v>
      </c>
      <c r="I654" t="n">
        <v>0</v>
      </c>
      <c r="J654" t="n">
        <v>0</v>
      </c>
      <c r="K654" t="n">
        <v>0</v>
      </c>
      <c r="L654" t="n">
        <v>0</v>
      </c>
      <c r="M654" t="n">
        <v>0</v>
      </c>
      <c r="N654" t="n">
        <v>0</v>
      </c>
      <c r="O654" t="n">
        <v>0</v>
      </c>
      <c r="P654" t="n">
        <v>0</v>
      </c>
      <c r="Q654" t="n">
        <v>0</v>
      </c>
      <c r="R654" s="2" t="inlineStr"/>
    </row>
    <row r="655" ht="15" customHeight="1">
      <c r="A655" t="inlineStr">
        <is>
          <t>A 11219-2023</t>
        </is>
      </c>
      <c r="B655" s="1" t="n">
        <v>44992.62498842592</v>
      </c>
      <c r="C655" s="1" t="n">
        <v>46040</v>
      </c>
      <c r="D655" t="inlineStr">
        <is>
          <t>KALMAR LÄN</t>
        </is>
      </c>
      <c r="E655" t="inlineStr">
        <is>
          <t>VIMMERBY</t>
        </is>
      </c>
      <c r="G655" t="n">
        <v>2.5</v>
      </c>
      <c r="H655" t="n">
        <v>0</v>
      </c>
      <c r="I655" t="n">
        <v>0</v>
      </c>
      <c r="J655" t="n">
        <v>0</v>
      </c>
      <c r="K655" t="n">
        <v>0</v>
      </c>
      <c r="L655" t="n">
        <v>0</v>
      </c>
      <c r="M655" t="n">
        <v>0</v>
      </c>
      <c r="N655" t="n">
        <v>0</v>
      </c>
      <c r="O655" t="n">
        <v>0</v>
      </c>
      <c r="P655" t="n">
        <v>0</v>
      </c>
      <c r="Q655" t="n">
        <v>0</v>
      </c>
      <c r="R655" s="2" t="inlineStr"/>
    </row>
    <row r="656" ht="15" customHeight="1">
      <c r="A656" t="inlineStr">
        <is>
          <t>A 2536-2023</t>
        </is>
      </c>
      <c r="B656" s="1" t="n">
        <v>44943.62954861111</v>
      </c>
      <c r="C656" s="1" t="n">
        <v>46040</v>
      </c>
      <c r="D656" t="inlineStr">
        <is>
          <t>KALMAR LÄN</t>
        </is>
      </c>
      <c r="E656" t="inlineStr">
        <is>
          <t>VIMMERBY</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2801-2023</t>
        </is>
      </c>
      <c r="B657" s="1" t="n">
        <v>44944.73487268519</v>
      </c>
      <c r="C657" s="1" t="n">
        <v>46040</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17968-2025</t>
        </is>
      </c>
      <c r="B658" s="1" t="n">
        <v>45761.35990740741</v>
      </c>
      <c r="C658" s="1" t="n">
        <v>46040</v>
      </c>
      <c r="D658" t="inlineStr">
        <is>
          <t>KALMAR LÄN</t>
        </is>
      </c>
      <c r="E658" t="inlineStr">
        <is>
          <t>VIMMERBY</t>
        </is>
      </c>
      <c r="G658" t="n">
        <v>3.3</v>
      </c>
      <c r="H658" t="n">
        <v>0</v>
      </c>
      <c r="I658" t="n">
        <v>0</v>
      </c>
      <c r="J658" t="n">
        <v>0</v>
      </c>
      <c r="K658" t="n">
        <v>0</v>
      </c>
      <c r="L658" t="n">
        <v>0</v>
      </c>
      <c r="M658" t="n">
        <v>0</v>
      </c>
      <c r="N658" t="n">
        <v>0</v>
      </c>
      <c r="O658" t="n">
        <v>0</v>
      </c>
      <c r="P658" t="n">
        <v>0</v>
      </c>
      <c r="Q658" t="n">
        <v>0</v>
      </c>
      <c r="R658" s="2" t="inlineStr"/>
    </row>
    <row r="659" ht="15" customHeight="1">
      <c r="A659" t="inlineStr">
        <is>
          <t>A 6850-2023</t>
        </is>
      </c>
      <c r="B659" s="1" t="n">
        <v>44967.44255787037</v>
      </c>
      <c r="C659" s="1" t="n">
        <v>46040</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6358-2022</t>
        </is>
      </c>
      <c r="B660" s="1" t="n">
        <v>44600</v>
      </c>
      <c r="C660" s="1" t="n">
        <v>46040</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14451-2024</t>
        </is>
      </c>
      <c r="B661" s="1" t="n">
        <v>45394.50028935185</v>
      </c>
      <c r="C661" s="1" t="n">
        <v>46040</v>
      </c>
      <c r="D661" t="inlineStr">
        <is>
          <t>KALMAR LÄN</t>
        </is>
      </c>
      <c r="E661" t="inlineStr">
        <is>
          <t>VIMMERBY</t>
        </is>
      </c>
      <c r="G661" t="n">
        <v>1.9</v>
      </c>
      <c r="H661" t="n">
        <v>0</v>
      </c>
      <c r="I661" t="n">
        <v>0</v>
      </c>
      <c r="J661" t="n">
        <v>0</v>
      </c>
      <c r="K661" t="n">
        <v>0</v>
      </c>
      <c r="L661" t="n">
        <v>0</v>
      </c>
      <c r="M661" t="n">
        <v>0</v>
      </c>
      <c r="N661" t="n">
        <v>0</v>
      </c>
      <c r="O661" t="n">
        <v>0</v>
      </c>
      <c r="P661" t="n">
        <v>0</v>
      </c>
      <c r="Q661" t="n">
        <v>0</v>
      </c>
      <c r="R661" s="2" t="inlineStr"/>
    </row>
    <row r="662" ht="15" customHeight="1">
      <c r="A662" t="inlineStr">
        <is>
          <t>A 43853-2023</t>
        </is>
      </c>
      <c r="B662" s="1" t="n">
        <v>45187.60813657408</v>
      </c>
      <c r="C662" s="1" t="n">
        <v>46040</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7075-2021</t>
        </is>
      </c>
      <c r="B663" s="1" t="n">
        <v>44237</v>
      </c>
      <c r="C663" s="1" t="n">
        <v>46040</v>
      </c>
      <c r="D663" t="inlineStr">
        <is>
          <t>KALMAR LÄN</t>
        </is>
      </c>
      <c r="E663" t="inlineStr">
        <is>
          <t>VIMMERBY</t>
        </is>
      </c>
      <c r="G663" t="n">
        <v>3.6</v>
      </c>
      <c r="H663" t="n">
        <v>0</v>
      </c>
      <c r="I663" t="n">
        <v>0</v>
      </c>
      <c r="J663" t="n">
        <v>0</v>
      </c>
      <c r="K663" t="n">
        <v>0</v>
      </c>
      <c r="L663" t="n">
        <v>0</v>
      </c>
      <c r="M663" t="n">
        <v>0</v>
      </c>
      <c r="N663" t="n">
        <v>0</v>
      </c>
      <c r="O663" t="n">
        <v>0</v>
      </c>
      <c r="P663" t="n">
        <v>0</v>
      </c>
      <c r="Q663" t="n">
        <v>0</v>
      </c>
      <c r="R663" s="2" t="inlineStr"/>
    </row>
    <row r="664" ht="15" customHeight="1">
      <c r="A664" t="inlineStr">
        <is>
          <t>A 46238-2024</t>
        </is>
      </c>
      <c r="B664" s="1" t="n">
        <v>45581.58418981481</v>
      </c>
      <c r="C664" s="1" t="n">
        <v>46040</v>
      </c>
      <c r="D664" t="inlineStr">
        <is>
          <t>KALMAR LÄN</t>
        </is>
      </c>
      <c r="E664" t="inlineStr">
        <is>
          <t>VIMMERBY</t>
        </is>
      </c>
      <c r="G664" t="n">
        <v>2.1</v>
      </c>
      <c r="H664" t="n">
        <v>0</v>
      </c>
      <c r="I664" t="n">
        <v>0</v>
      </c>
      <c r="J664" t="n">
        <v>0</v>
      </c>
      <c r="K664" t="n">
        <v>0</v>
      </c>
      <c r="L664" t="n">
        <v>0</v>
      </c>
      <c r="M664" t="n">
        <v>0</v>
      </c>
      <c r="N664" t="n">
        <v>0</v>
      </c>
      <c r="O664" t="n">
        <v>0</v>
      </c>
      <c r="P664" t="n">
        <v>0</v>
      </c>
      <c r="Q664" t="n">
        <v>0</v>
      </c>
      <c r="R664" s="2" t="inlineStr"/>
    </row>
    <row r="665" ht="15" customHeight="1">
      <c r="A665" t="inlineStr">
        <is>
          <t>A 50993-2022</t>
        </is>
      </c>
      <c r="B665" s="1" t="n">
        <v>44867</v>
      </c>
      <c r="C665" s="1" t="n">
        <v>46040</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46225-2024</t>
        </is>
      </c>
      <c r="B666" s="1" t="n">
        <v>45581.57333333333</v>
      </c>
      <c r="C666" s="1" t="n">
        <v>46040</v>
      </c>
      <c r="D666" t="inlineStr">
        <is>
          <t>KALMAR LÄN</t>
        </is>
      </c>
      <c r="E666" t="inlineStr">
        <is>
          <t>VIMMERBY</t>
        </is>
      </c>
      <c r="G666" t="n">
        <v>1.3</v>
      </c>
      <c r="H666" t="n">
        <v>0</v>
      </c>
      <c r="I666" t="n">
        <v>0</v>
      </c>
      <c r="J666" t="n">
        <v>0</v>
      </c>
      <c r="K666" t="n">
        <v>0</v>
      </c>
      <c r="L666" t="n">
        <v>0</v>
      </c>
      <c r="M666" t="n">
        <v>0</v>
      </c>
      <c r="N666" t="n">
        <v>0</v>
      </c>
      <c r="O666" t="n">
        <v>0</v>
      </c>
      <c r="P666" t="n">
        <v>0</v>
      </c>
      <c r="Q666" t="n">
        <v>0</v>
      </c>
      <c r="R666" s="2" t="inlineStr"/>
    </row>
    <row r="667" ht="15" customHeight="1">
      <c r="A667" t="inlineStr">
        <is>
          <t>A 48673-2021</t>
        </is>
      </c>
      <c r="B667" s="1" t="n">
        <v>44452</v>
      </c>
      <c r="C667" s="1" t="n">
        <v>46040</v>
      </c>
      <c r="D667" t="inlineStr">
        <is>
          <t>KALMAR LÄN</t>
        </is>
      </c>
      <c r="E667" t="inlineStr">
        <is>
          <t>VIMMERBY</t>
        </is>
      </c>
      <c r="G667" t="n">
        <v>1.3</v>
      </c>
      <c r="H667" t="n">
        <v>0</v>
      </c>
      <c r="I667" t="n">
        <v>0</v>
      </c>
      <c r="J667" t="n">
        <v>0</v>
      </c>
      <c r="K667" t="n">
        <v>0</v>
      </c>
      <c r="L667" t="n">
        <v>0</v>
      </c>
      <c r="M667" t="n">
        <v>0</v>
      </c>
      <c r="N667" t="n">
        <v>0</v>
      </c>
      <c r="O667" t="n">
        <v>0</v>
      </c>
      <c r="P667" t="n">
        <v>0</v>
      </c>
      <c r="Q667" t="n">
        <v>0</v>
      </c>
      <c r="R667" s="2" t="inlineStr"/>
    </row>
    <row r="668" ht="15" customHeight="1">
      <c r="A668" t="inlineStr">
        <is>
          <t>A 36055-2024</t>
        </is>
      </c>
      <c r="B668" s="1" t="n">
        <v>45533.63056712963</v>
      </c>
      <c r="C668" s="1" t="n">
        <v>46040</v>
      </c>
      <c r="D668" t="inlineStr">
        <is>
          <t>KALMAR LÄN</t>
        </is>
      </c>
      <c r="E668" t="inlineStr">
        <is>
          <t>VIMMERBY</t>
        </is>
      </c>
      <c r="F668" t="inlineStr">
        <is>
          <t>Kommuner</t>
        </is>
      </c>
      <c r="G668" t="n">
        <v>1.9</v>
      </c>
      <c r="H668" t="n">
        <v>0</v>
      </c>
      <c r="I668" t="n">
        <v>0</v>
      </c>
      <c r="J668" t="n">
        <v>0</v>
      </c>
      <c r="K668" t="n">
        <v>0</v>
      </c>
      <c r="L668" t="n">
        <v>0</v>
      </c>
      <c r="M668" t="n">
        <v>0</v>
      </c>
      <c r="N668" t="n">
        <v>0</v>
      </c>
      <c r="O668" t="n">
        <v>0</v>
      </c>
      <c r="P668" t="n">
        <v>0</v>
      </c>
      <c r="Q668" t="n">
        <v>0</v>
      </c>
      <c r="R668" s="2" t="inlineStr"/>
    </row>
    <row r="669" ht="15" customHeight="1">
      <c r="A669" t="inlineStr">
        <is>
          <t>A 14137-2023</t>
        </is>
      </c>
      <c r="B669" s="1" t="n">
        <v>45009.4671875</v>
      </c>
      <c r="C669" s="1" t="n">
        <v>46040</v>
      </c>
      <c r="D669" t="inlineStr">
        <is>
          <t>KALMAR LÄN</t>
        </is>
      </c>
      <c r="E669" t="inlineStr">
        <is>
          <t>VIMMERBY</t>
        </is>
      </c>
      <c r="G669" t="n">
        <v>1.3</v>
      </c>
      <c r="H669" t="n">
        <v>0</v>
      </c>
      <c r="I669" t="n">
        <v>0</v>
      </c>
      <c r="J669" t="n">
        <v>0</v>
      </c>
      <c r="K669" t="n">
        <v>0</v>
      </c>
      <c r="L669" t="n">
        <v>0</v>
      </c>
      <c r="M669" t="n">
        <v>0</v>
      </c>
      <c r="N669" t="n">
        <v>0</v>
      </c>
      <c r="O669" t="n">
        <v>0</v>
      </c>
      <c r="P669" t="n">
        <v>0</v>
      </c>
      <c r="Q669" t="n">
        <v>0</v>
      </c>
      <c r="R669" s="2" t="inlineStr"/>
    </row>
    <row r="670" ht="15" customHeight="1">
      <c r="A670" t="inlineStr">
        <is>
          <t>A 7630-2025</t>
        </is>
      </c>
      <c r="B670" s="1" t="n">
        <v>45705.74418981482</v>
      </c>
      <c r="C670" s="1" t="n">
        <v>46040</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47859-2024</t>
        </is>
      </c>
      <c r="B671" s="1" t="n">
        <v>45588.67070601852</v>
      </c>
      <c r="C671" s="1" t="n">
        <v>46040</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32835-2022</t>
        </is>
      </c>
      <c r="B672" s="1" t="n">
        <v>44784.42528935185</v>
      </c>
      <c r="C672" s="1" t="n">
        <v>46040</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38780-2021</t>
        </is>
      </c>
      <c r="B673" s="1" t="n">
        <v>44410</v>
      </c>
      <c r="C673" s="1" t="n">
        <v>46040</v>
      </c>
      <c r="D673" t="inlineStr">
        <is>
          <t>KALMAR LÄN</t>
        </is>
      </c>
      <c r="E673" t="inlineStr">
        <is>
          <t>VIMMERBY</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30503-2023</t>
        </is>
      </c>
      <c r="B674" s="1" t="n">
        <v>45111</v>
      </c>
      <c r="C674" s="1" t="n">
        <v>46040</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60110-2022</t>
        </is>
      </c>
      <c r="B675" s="1" t="n">
        <v>44909</v>
      </c>
      <c r="C675" s="1" t="n">
        <v>46040</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41896-2023</t>
        </is>
      </c>
      <c r="B676" s="1" t="n">
        <v>45176.72427083334</v>
      </c>
      <c r="C676" s="1" t="n">
        <v>46040</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59300-2024</t>
        </is>
      </c>
      <c r="B677" s="1" t="n">
        <v>45637.66542824074</v>
      </c>
      <c r="C677" s="1" t="n">
        <v>46040</v>
      </c>
      <c r="D677" t="inlineStr">
        <is>
          <t>KALMAR LÄN</t>
        </is>
      </c>
      <c r="E677" t="inlineStr">
        <is>
          <t>VIMMERBY</t>
        </is>
      </c>
      <c r="G677" t="n">
        <v>0.8</v>
      </c>
      <c r="H677" t="n">
        <v>0</v>
      </c>
      <c r="I677" t="n">
        <v>0</v>
      </c>
      <c r="J677" t="n">
        <v>0</v>
      </c>
      <c r="K677" t="n">
        <v>0</v>
      </c>
      <c r="L677" t="n">
        <v>0</v>
      </c>
      <c r="M677" t="n">
        <v>0</v>
      </c>
      <c r="N677" t="n">
        <v>0</v>
      </c>
      <c r="O677" t="n">
        <v>0</v>
      </c>
      <c r="P677" t="n">
        <v>0</v>
      </c>
      <c r="Q677" t="n">
        <v>0</v>
      </c>
      <c r="R677" s="2" t="inlineStr"/>
    </row>
    <row r="678" ht="15" customHeight="1">
      <c r="A678" t="inlineStr">
        <is>
          <t>A 43606-2024</t>
        </is>
      </c>
      <c r="B678" s="1" t="n">
        <v>45569.45017361111</v>
      </c>
      <c r="C678" s="1" t="n">
        <v>46040</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19445-2021</t>
        </is>
      </c>
      <c r="B679" s="1" t="n">
        <v>44310</v>
      </c>
      <c r="C679" s="1" t="n">
        <v>46040</v>
      </c>
      <c r="D679" t="inlineStr">
        <is>
          <t>KALMAR LÄN</t>
        </is>
      </c>
      <c r="E679" t="inlineStr">
        <is>
          <t>VIMMERBY</t>
        </is>
      </c>
      <c r="G679" t="n">
        <v>6.8</v>
      </c>
      <c r="H679" t="n">
        <v>0</v>
      </c>
      <c r="I679" t="n">
        <v>0</v>
      </c>
      <c r="J679" t="n">
        <v>0</v>
      </c>
      <c r="K679" t="n">
        <v>0</v>
      </c>
      <c r="L679" t="n">
        <v>0</v>
      </c>
      <c r="M679" t="n">
        <v>0</v>
      </c>
      <c r="N679" t="n">
        <v>0</v>
      </c>
      <c r="O679" t="n">
        <v>0</v>
      </c>
      <c r="P679" t="n">
        <v>0</v>
      </c>
      <c r="Q679" t="n">
        <v>0</v>
      </c>
      <c r="R679" s="2" t="inlineStr"/>
    </row>
    <row r="680" ht="15" customHeight="1">
      <c r="A680" t="inlineStr">
        <is>
          <t>A 12325-2023</t>
        </is>
      </c>
      <c r="B680" s="1" t="n">
        <v>44999.35858796296</v>
      </c>
      <c r="C680" s="1" t="n">
        <v>46040</v>
      </c>
      <c r="D680" t="inlineStr">
        <is>
          <t>KALMAR LÄN</t>
        </is>
      </c>
      <c r="E680" t="inlineStr">
        <is>
          <t>VIMMERBY</t>
        </is>
      </c>
      <c r="G680" t="n">
        <v>3.4</v>
      </c>
      <c r="H680" t="n">
        <v>0</v>
      </c>
      <c r="I680" t="n">
        <v>0</v>
      </c>
      <c r="J680" t="n">
        <v>0</v>
      </c>
      <c r="K680" t="n">
        <v>0</v>
      </c>
      <c r="L680" t="n">
        <v>0</v>
      </c>
      <c r="M680" t="n">
        <v>0</v>
      </c>
      <c r="N680" t="n">
        <v>0</v>
      </c>
      <c r="O680" t="n">
        <v>0</v>
      </c>
      <c r="P680" t="n">
        <v>0</v>
      </c>
      <c r="Q680" t="n">
        <v>0</v>
      </c>
      <c r="R680" s="2" t="inlineStr"/>
    </row>
    <row r="681" ht="15" customHeight="1">
      <c r="A681" t="inlineStr">
        <is>
          <t>A 8945-2025</t>
        </is>
      </c>
      <c r="B681" s="1" t="n">
        <v>45713.45311342592</v>
      </c>
      <c r="C681" s="1" t="n">
        <v>46040</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18329-2023</t>
        </is>
      </c>
      <c r="B682" s="1" t="n">
        <v>45041.63380787037</v>
      </c>
      <c r="C682" s="1" t="n">
        <v>46040</v>
      </c>
      <c r="D682" t="inlineStr">
        <is>
          <t>KALMAR LÄN</t>
        </is>
      </c>
      <c r="E682" t="inlineStr">
        <is>
          <t>VIMMERBY</t>
        </is>
      </c>
      <c r="G682" t="n">
        <v>0.5</v>
      </c>
      <c r="H682" t="n">
        <v>0</v>
      </c>
      <c r="I682" t="n">
        <v>0</v>
      </c>
      <c r="J682" t="n">
        <v>0</v>
      </c>
      <c r="K682" t="n">
        <v>0</v>
      </c>
      <c r="L682" t="n">
        <v>0</v>
      </c>
      <c r="M682" t="n">
        <v>0</v>
      </c>
      <c r="N682" t="n">
        <v>0</v>
      </c>
      <c r="O682" t="n">
        <v>0</v>
      </c>
      <c r="P682" t="n">
        <v>0</v>
      </c>
      <c r="Q682" t="n">
        <v>0</v>
      </c>
      <c r="R682" s="2" t="inlineStr"/>
    </row>
    <row r="683" ht="15" customHeight="1">
      <c r="A683" t="inlineStr">
        <is>
          <t>A 40665-2023</t>
        </is>
      </c>
      <c r="B683" s="1" t="n">
        <v>45170</v>
      </c>
      <c r="C683" s="1" t="n">
        <v>46040</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13307-2025</t>
        </is>
      </c>
      <c r="B684" s="1" t="n">
        <v>45735.58024305556</v>
      </c>
      <c r="C684" s="1" t="n">
        <v>46040</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5720-2023</t>
        </is>
      </c>
      <c r="B685" s="1" t="n">
        <v>44961</v>
      </c>
      <c r="C685" s="1" t="n">
        <v>46040</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61538-2022</t>
        </is>
      </c>
      <c r="B686" s="1" t="n">
        <v>44916.55414351852</v>
      </c>
      <c r="C686" s="1" t="n">
        <v>46040</v>
      </c>
      <c r="D686" t="inlineStr">
        <is>
          <t>KALMAR LÄN</t>
        </is>
      </c>
      <c r="E686" t="inlineStr">
        <is>
          <t>VIMMERBY</t>
        </is>
      </c>
      <c r="G686" t="n">
        <v>1.5</v>
      </c>
      <c r="H686" t="n">
        <v>0</v>
      </c>
      <c r="I686" t="n">
        <v>0</v>
      </c>
      <c r="J686" t="n">
        <v>0</v>
      </c>
      <c r="K686" t="n">
        <v>0</v>
      </c>
      <c r="L686" t="n">
        <v>0</v>
      </c>
      <c r="M686" t="n">
        <v>0</v>
      </c>
      <c r="N686" t="n">
        <v>0</v>
      </c>
      <c r="O686" t="n">
        <v>0</v>
      </c>
      <c r="P686" t="n">
        <v>0</v>
      </c>
      <c r="Q686" t="n">
        <v>0</v>
      </c>
      <c r="R686" s="2" t="inlineStr"/>
    </row>
    <row r="687" ht="15" customHeight="1">
      <c r="A687" t="inlineStr">
        <is>
          <t>A 28034-2022</t>
        </is>
      </c>
      <c r="B687" s="1" t="n">
        <v>44746.38834490741</v>
      </c>
      <c r="C687" s="1" t="n">
        <v>46040</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694-2024</t>
        </is>
      </c>
      <c r="B688" s="1" t="n">
        <v>45300.3794212963</v>
      </c>
      <c r="C688" s="1" t="n">
        <v>46040</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57114-2023</t>
        </is>
      </c>
      <c r="B689" s="1" t="n">
        <v>45245.36174768519</v>
      </c>
      <c r="C689" s="1" t="n">
        <v>46040</v>
      </c>
      <c r="D689" t="inlineStr">
        <is>
          <t>KALMAR LÄN</t>
        </is>
      </c>
      <c r="E689" t="inlineStr">
        <is>
          <t>VIMMERBY</t>
        </is>
      </c>
      <c r="G689" t="n">
        <v>1.5</v>
      </c>
      <c r="H689" t="n">
        <v>0</v>
      </c>
      <c r="I689" t="n">
        <v>0</v>
      </c>
      <c r="J689" t="n">
        <v>0</v>
      </c>
      <c r="K689" t="n">
        <v>0</v>
      </c>
      <c r="L689" t="n">
        <v>0</v>
      </c>
      <c r="M689" t="n">
        <v>0</v>
      </c>
      <c r="N689" t="n">
        <v>0</v>
      </c>
      <c r="O689" t="n">
        <v>0</v>
      </c>
      <c r="P689" t="n">
        <v>0</v>
      </c>
      <c r="Q689" t="n">
        <v>0</v>
      </c>
      <c r="R689" s="2" t="inlineStr"/>
    </row>
    <row r="690" ht="15" customHeight="1">
      <c r="A690" t="inlineStr">
        <is>
          <t>A 55605-2024</t>
        </is>
      </c>
      <c r="B690" s="1" t="n">
        <v>45622</v>
      </c>
      <c r="C690" s="1" t="n">
        <v>46040</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42165-2024</t>
        </is>
      </c>
      <c r="B691" s="1" t="n">
        <v>45562.46342592593</v>
      </c>
      <c r="C691" s="1" t="n">
        <v>46040</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12327-2023</t>
        </is>
      </c>
      <c r="B692" s="1" t="n">
        <v>44999.36081018519</v>
      </c>
      <c r="C692" s="1" t="n">
        <v>46040</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20129-2024</t>
        </is>
      </c>
      <c r="B693" s="1" t="n">
        <v>45434.55831018519</v>
      </c>
      <c r="C693" s="1" t="n">
        <v>46040</v>
      </c>
      <c r="D693" t="inlineStr">
        <is>
          <t>KALMAR LÄN</t>
        </is>
      </c>
      <c r="E693" t="inlineStr">
        <is>
          <t>VIMMERBY</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20137-2024</t>
        </is>
      </c>
      <c r="B694" s="1" t="n">
        <v>45434.56398148148</v>
      </c>
      <c r="C694" s="1" t="n">
        <v>46040</v>
      </c>
      <c r="D694" t="inlineStr">
        <is>
          <t>KALMAR LÄN</t>
        </is>
      </c>
      <c r="E694" t="inlineStr">
        <is>
          <t>VIMMERBY</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30633-2024</t>
        </is>
      </c>
      <c r="B695" s="1" t="n">
        <v>45495</v>
      </c>
      <c r="C695" s="1" t="n">
        <v>46040</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23095-2023</t>
        </is>
      </c>
      <c r="B696" s="1" t="n">
        <v>45075.43059027778</v>
      </c>
      <c r="C696" s="1" t="n">
        <v>46040</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33424-2023</t>
        </is>
      </c>
      <c r="B697" s="1" t="n">
        <v>45128.9325</v>
      </c>
      <c r="C697" s="1" t="n">
        <v>46040</v>
      </c>
      <c r="D697" t="inlineStr">
        <is>
          <t>KALMAR LÄN</t>
        </is>
      </c>
      <c r="E697" t="inlineStr">
        <is>
          <t>VIMMERBY</t>
        </is>
      </c>
      <c r="G697" t="n">
        <v>2.4</v>
      </c>
      <c r="H697" t="n">
        <v>0</v>
      </c>
      <c r="I697" t="n">
        <v>0</v>
      </c>
      <c r="J697" t="n">
        <v>0</v>
      </c>
      <c r="K697" t="n">
        <v>0</v>
      </c>
      <c r="L697" t="n">
        <v>0</v>
      </c>
      <c r="M697" t="n">
        <v>0</v>
      </c>
      <c r="N697" t="n">
        <v>0</v>
      </c>
      <c r="O697" t="n">
        <v>0</v>
      </c>
      <c r="P697" t="n">
        <v>0</v>
      </c>
      <c r="Q697" t="n">
        <v>0</v>
      </c>
      <c r="R697" s="2" t="inlineStr"/>
    </row>
    <row r="698" ht="15" customHeight="1">
      <c r="A698" t="inlineStr">
        <is>
          <t>A 33425-2023</t>
        </is>
      </c>
      <c r="B698" s="1" t="n">
        <v>45128.93540509259</v>
      </c>
      <c r="C698" s="1" t="n">
        <v>46040</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32919-2022</t>
        </is>
      </c>
      <c r="B699" s="1" t="n">
        <v>44784.62724537037</v>
      </c>
      <c r="C699" s="1" t="n">
        <v>46040</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3609-2024</t>
        </is>
      </c>
      <c r="B700" s="1" t="n">
        <v>45320.89128472222</v>
      </c>
      <c r="C700" s="1" t="n">
        <v>46040</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7068-2024</t>
        </is>
      </c>
      <c r="B701" s="1" t="n">
        <v>45343.68038194445</v>
      </c>
      <c r="C701" s="1" t="n">
        <v>46040</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12596-2021</t>
        </is>
      </c>
      <c r="B702" s="1" t="n">
        <v>44270.39765046296</v>
      </c>
      <c r="C702" s="1" t="n">
        <v>46040</v>
      </c>
      <c r="D702" t="inlineStr">
        <is>
          <t>KALMAR LÄN</t>
        </is>
      </c>
      <c r="E702" t="inlineStr">
        <is>
          <t>VIMMERBY</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32655-2023</t>
        </is>
      </c>
      <c r="B703" s="1" t="n">
        <v>45121.61318287037</v>
      </c>
      <c r="C703" s="1" t="n">
        <v>46040</v>
      </c>
      <c r="D703" t="inlineStr">
        <is>
          <t>KALMAR LÄN</t>
        </is>
      </c>
      <c r="E703" t="inlineStr">
        <is>
          <t>VIMMERBY</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54409-2024</t>
        </is>
      </c>
      <c r="B704" s="1" t="n">
        <v>45617.47570601852</v>
      </c>
      <c r="C704" s="1" t="n">
        <v>46040</v>
      </c>
      <c r="D704" t="inlineStr">
        <is>
          <t>KALMAR LÄN</t>
        </is>
      </c>
      <c r="E704" t="inlineStr">
        <is>
          <t>VIMMERBY</t>
        </is>
      </c>
      <c r="G704" t="n">
        <v>4.3</v>
      </c>
      <c r="H704" t="n">
        <v>0</v>
      </c>
      <c r="I704" t="n">
        <v>0</v>
      </c>
      <c r="J704" t="n">
        <v>0</v>
      </c>
      <c r="K704" t="n">
        <v>0</v>
      </c>
      <c r="L704" t="n">
        <v>0</v>
      </c>
      <c r="M704" t="n">
        <v>0</v>
      </c>
      <c r="N704" t="n">
        <v>0</v>
      </c>
      <c r="O704" t="n">
        <v>0</v>
      </c>
      <c r="P704" t="n">
        <v>0</v>
      </c>
      <c r="Q704" t="n">
        <v>0</v>
      </c>
      <c r="R704" s="2" t="inlineStr"/>
    </row>
    <row r="705" ht="15" customHeight="1">
      <c r="A705" t="inlineStr">
        <is>
          <t>A 8650-2022</t>
        </is>
      </c>
      <c r="B705" s="1" t="n">
        <v>44613</v>
      </c>
      <c r="C705" s="1" t="n">
        <v>46040</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11147-2023</t>
        </is>
      </c>
      <c r="B706" s="1" t="n">
        <v>44992</v>
      </c>
      <c r="C706" s="1" t="n">
        <v>46040</v>
      </c>
      <c r="D706" t="inlineStr">
        <is>
          <t>KALMAR LÄN</t>
        </is>
      </c>
      <c r="E706" t="inlineStr">
        <is>
          <t>VIMMERBY</t>
        </is>
      </c>
      <c r="G706" t="n">
        <v>0.8</v>
      </c>
      <c r="H706" t="n">
        <v>0</v>
      </c>
      <c r="I706" t="n">
        <v>0</v>
      </c>
      <c r="J706" t="n">
        <v>0</v>
      </c>
      <c r="K706" t="n">
        <v>0</v>
      </c>
      <c r="L706" t="n">
        <v>0</v>
      </c>
      <c r="M706" t="n">
        <v>0</v>
      </c>
      <c r="N706" t="n">
        <v>0</v>
      </c>
      <c r="O706" t="n">
        <v>0</v>
      </c>
      <c r="P706" t="n">
        <v>0</v>
      </c>
      <c r="Q706" t="n">
        <v>0</v>
      </c>
      <c r="R706" s="2" t="inlineStr"/>
    </row>
    <row r="707" ht="15" customHeight="1">
      <c r="A707" t="inlineStr">
        <is>
          <t>A 9475-2023</t>
        </is>
      </c>
      <c r="B707" s="1" t="n">
        <v>44981.58834490741</v>
      </c>
      <c r="C707" s="1" t="n">
        <v>46040</v>
      </c>
      <c r="D707" t="inlineStr">
        <is>
          <t>KALMAR LÄN</t>
        </is>
      </c>
      <c r="E707" t="inlineStr">
        <is>
          <t>VIMMERBY</t>
        </is>
      </c>
      <c r="G707" t="n">
        <v>2</v>
      </c>
      <c r="H707" t="n">
        <v>0</v>
      </c>
      <c r="I707" t="n">
        <v>0</v>
      </c>
      <c r="J707" t="n">
        <v>0</v>
      </c>
      <c r="K707" t="n">
        <v>0</v>
      </c>
      <c r="L707" t="n">
        <v>0</v>
      </c>
      <c r="M707" t="n">
        <v>0</v>
      </c>
      <c r="N707" t="n">
        <v>0</v>
      </c>
      <c r="O707" t="n">
        <v>0</v>
      </c>
      <c r="P707" t="n">
        <v>0</v>
      </c>
      <c r="Q707" t="n">
        <v>0</v>
      </c>
      <c r="R707" s="2" t="inlineStr"/>
    </row>
    <row r="708" ht="15" customHeight="1">
      <c r="A708" t="inlineStr">
        <is>
          <t>A 16676-2023</t>
        </is>
      </c>
      <c r="B708" s="1" t="n">
        <v>45028</v>
      </c>
      <c r="C708" s="1" t="n">
        <v>46040</v>
      </c>
      <c r="D708" t="inlineStr">
        <is>
          <t>KALMAR LÄN</t>
        </is>
      </c>
      <c r="E708" t="inlineStr">
        <is>
          <t>VIMMERBY</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43092-2024</t>
        </is>
      </c>
      <c r="B709" s="1" t="n">
        <v>45567</v>
      </c>
      <c r="C709" s="1" t="n">
        <v>46040</v>
      </c>
      <c r="D709" t="inlineStr">
        <is>
          <t>KALMAR LÄN</t>
        </is>
      </c>
      <c r="E709" t="inlineStr">
        <is>
          <t>VIMMERBY</t>
        </is>
      </c>
      <c r="G709" t="n">
        <v>2.7</v>
      </c>
      <c r="H709" t="n">
        <v>0</v>
      </c>
      <c r="I709" t="n">
        <v>0</v>
      </c>
      <c r="J709" t="n">
        <v>0</v>
      </c>
      <c r="K709" t="n">
        <v>0</v>
      </c>
      <c r="L709" t="n">
        <v>0</v>
      </c>
      <c r="M709" t="n">
        <v>0</v>
      </c>
      <c r="N709" t="n">
        <v>0</v>
      </c>
      <c r="O709" t="n">
        <v>0</v>
      </c>
      <c r="P709" t="n">
        <v>0</v>
      </c>
      <c r="Q709" t="n">
        <v>0</v>
      </c>
      <c r="R709" s="2" t="inlineStr"/>
    </row>
    <row r="710" ht="15" customHeight="1">
      <c r="A710" t="inlineStr">
        <is>
          <t>A 23263-2024</t>
        </is>
      </c>
      <c r="B710" s="1" t="n">
        <v>45453.36854166666</v>
      </c>
      <c r="C710" s="1" t="n">
        <v>46040</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11619-2023</t>
        </is>
      </c>
      <c r="B711" s="1" t="n">
        <v>44994.42113425926</v>
      </c>
      <c r="C711" s="1" t="n">
        <v>46040</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49488-2023</t>
        </is>
      </c>
      <c r="B712" s="1" t="n">
        <v>45211.55472222222</v>
      </c>
      <c r="C712" s="1" t="n">
        <v>46040</v>
      </c>
      <c r="D712" t="inlineStr">
        <is>
          <t>KALMAR LÄN</t>
        </is>
      </c>
      <c r="E712" t="inlineStr">
        <is>
          <t>VIMMERBY</t>
        </is>
      </c>
      <c r="F712" t="inlineStr">
        <is>
          <t>Sveaskog</t>
        </is>
      </c>
      <c r="G712" t="n">
        <v>6.2</v>
      </c>
      <c r="H712" t="n">
        <v>0</v>
      </c>
      <c r="I712" t="n">
        <v>0</v>
      </c>
      <c r="J712" t="n">
        <v>0</v>
      </c>
      <c r="K712" t="n">
        <v>0</v>
      </c>
      <c r="L712" t="n">
        <v>0</v>
      </c>
      <c r="M712" t="n">
        <v>0</v>
      </c>
      <c r="N712" t="n">
        <v>0</v>
      </c>
      <c r="O712" t="n">
        <v>0</v>
      </c>
      <c r="P712" t="n">
        <v>0</v>
      </c>
      <c r="Q712" t="n">
        <v>0</v>
      </c>
      <c r="R712" s="2" t="inlineStr"/>
    </row>
    <row r="713" ht="15" customHeight="1">
      <c r="A713" t="inlineStr">
        <is>
          <t>A 5074-2023</t>
        </is>
      </c>
      <c r="B713" s="1" t="n">
        <v>44958.61047453704</v>
      </c>
      <c r="C713" s="1" t="n">
        <v>46040</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6368-2023</t>
        </is>
      </c>
      <c r="B714" s="1" t="n">
        <v>44965</v>
      </c>
      <c r="C714" s="1" t="n">
        <v>46040</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5701-2024</t>
        </is>
      </c>
      <c r="B715" s="1" t="n">
        <v>45334.78826388889</v>
      </c>
      <c r="C715" s="1" t="n">
        <v>46040</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59768-2024</t>
        </is>
      </c>
      <c r="B716" s="1" t="n">
        <v>45639.56185185185</v>
      </c>
      <c r="C716" s="1" t="n">
        <v>46040</v>
      </c>
      <c r="D716" t="inlineStr">
        <is>
          <t>KALMAR LÄN</t>
        </is>
      </c>
      <c r="E716" t="inlineStr">
        <is>
          <t>VIMMERBY</t>
        </is>
      </c>
      <c r="G716" t="n">
        <v>5.9</v>
      </c>
      <c r="H716" t="n">
        <v>0</v>
      </c>
      <c r="I716" t="n">
        <v>0</v>
      </c>
      <c r="J716" t="n">
        <v>0</v>
      </c>
      <c r="K716" t="n">
        <v>0</v>
      </c>
      <c r="L716" t="n">
        <v>0</v>
      </c>
      <c r="M716" t="n">
        <v>0</v>
      </c>
      <c r="N716" t="n">
        <v>0</v>
      </c>
      <c r="O716" t="n">
        <v>0</v>
      </c>
      <c r="P716" t="n">
        <v>0</v>
      </c>
      <c r="Q716" t="n">
        <v>0</v>
      </c>
      <c r="R716" s="2" t="inlineStr"/>
    </row>
    <row r="717" ht="15" customHeight="1">
      <c r="A717" t="inlineStr">
        <is>
          <t>A 72067-2021</t>
        </is>
      </c>
      <c r="B717" s="1" t="n">
        <v>44540</v>
      </c>
      <c r="C717" s="1" t="n">
        <v>46040</v>
      </c>
      <c r="D717" t="inlineStr">
        <is>
          <t>KALMAR LÄN</t>
        </is>
      </c>
      <c r="E717" t="inlineStr">
        <is>
          <t>VIMMERBY</t>
        </is>
      </c>
      <c r="G717" t="n">
        <v>1.6</v>
      </c>
      <c r="H717" t="n">
        <v>0</v>
      </c>
      <c r="I717" t="n">
        <v>0</v>
      </c>
      <c r="J717" t="n">
        <v>0</v>
      </c>
      <c r="K717" t="n">
        <v>0</v>
      </c>
      <c r="L717" t="n">
        <v>0</v>
      </c>
      <c r="M717" t="n">
        <v>0</v>
      </c>
      <c r="N717" t="n">
        <v>0</v>
      </c>
      <c r="O717" t="n">
        <v>0</v>
      </c>
      <c r="P717" t="n">
        <v>0</v>
      </c>
      <c r="Q717" t="n">
        <v>0</v>
      </c>
      <c r="R717" s="2" t="inlineStr"/>
    </row>
    <row r="718" ht="15" customHeight="1">
      <c r="A718" t="inlineStr">
        <is>
          <t>A 7797-2023</t>
        </is>
      </c>
      <c r="B718" s="1" t="n">
        <v>44973.43075231482</v>
      </c>
      <c r="C718" s="1" t="n">
        <v>46040</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41158-2023</t>
        </is>
      </c>
      <c r="B719" s="1" t="n">
        <v>45174.31395833333</v>
      </c>
      <c r="C719" s="1" t="n">
        <v>46040</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24655-2021</t>
        </is>
      </c>
      <c r="B720" s="1" t="n">
        <v>44340</v>
      </c>
      <c r="C720" s="1" t="n">
        <v>46040</v>
      </c>
      <c r="D720" t="inlineStr">
        <is>
          <t>KALMAR LÄN</t>
        </is>
      </c>
      <c r="E720" t="inlineStr">
        <is>
          <t>VIMMERBY</t>
        </is>
      </c>
      <c r="G720" t="n">
        <v>14.9</v>
      </c>
      <c r="H720" t="n">
        <v>0</v>
      </c>
      <c r="I720" t="n">
        <v>0</v>
      </c>
      <c r="J720" t="n">
        <v>0</v>
      </c>
      <c r="K720" t="n">
        <v>0</v>
      </c>
      <c r="L720" t="n">
        <v>0</v>
      </c>
      <c r="M720" t="n">
        <v>0</v>
      </c>
      <c r="N720" t="n">
        <v>0</v>
      </c>
      <c r="O720" t="n">
        <v>0</v>
      </c>
      <c r="P720" t="n">
        <v>0</v>
      </c>
      <c r="Q720" t="n">
        <v>0</v>
      </c>
      <c r="R720" s="2" t="inlineStr"/>
    </row>
    <row r="721" ht="15" customHeight="1">
      <c r="A721" t="inlineStr">
        <is>
          <t>A 22198-2024</t>
        </is>
      </c>
      <c r="B721" s="1" t="n">
        <v>45446.36865740741</v>
      </c>
      <c r="C721" s="1" t="n">
        <v>46040</v>
      </c>
      <c r="D721" t="inlineStr">
        <is>
          <t>KALMAR LÄN</t>
        </is>
      </c>
      <c r="E721" t="inlineStr">
        <is>
          <t>VIMMERBY</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9511-2023</t>
        </is>
      </c>
      <c r="B722" s="1" t="n">
        <v>44981.64725694444</v>
      </c>
      <c r="C722" s="1" t="n">
        <v>46040</v>
      </c>
      <c r="D722" t="inlineStr">
        <is>
          <t>KALMAR LÄN</t>
        </is>
      </c>
      <c r="E722" t="inlineStr">
        <is>
          <t>VIMMERBY</t>
        </is>
      </c>
      <c r="G722" t="n">
        <v>3.5</v>
      </c>
      <c r="H722" t="n">
        <v>0</v>
      </c>
      <c r="I722" t="n">
        <v>0</v>
      </c>
      <c r="J722" t="n">
        <v>0</v>
      </c>
      <c r="K722" t="n">
        <v>0</v>
      </c>
      <c r="L722" t="n">
        <v>0</v>
      </c>
      <c r="M722" t="n">
        <v>0</v>
      </c>
      <c r="N722" t="n">
        <v>0</v>
      </c>
      <c r="O722" t="n">
        <v>0</v>
      </c>
      <c r="P722" t="n">
        <v>0</v>
      </c>
      <c r="Q722" t="n">
        <v>0</v>
      </c>
      <c r="R722" s="2" t="inlineStr"/>
    </row>
    <row r="723" ht="15" customHeight="1">
      <c r="A723" t="inlineStr">
        <is>
          <t>A 8410-2023</t>
        </is>
      </c>
      <c r="B723" s="1" t="n">
        <v>44977</v>
      </c>
      <c r="C723" s="1" t="n">
        <v>46040</v>
      </c>
      <c r="D723" t="inlineStr">
        <is>
          <t>KALMAR LÄN</t>
        </is>
      </c>
      <c r="E723" t="inlineStr">
        <is>
          <t>VIMMERBY</t>
        </is>
      </c>
      <c r="G723" t="n">
        <v>0.9</v>
      </c>
      <c r="H723" t="n">
        <v>0</v>
      </c>
      <c r="I723" t="n">
        <v>0</v>
      </c>
      <c r="J723" t="n">
        <v>0</v>
      </c>
      <c r="K723" t="n">
        <v>0</v>
      </c>
      <c r="L723" t="n">
        <v>0</v>
      </c>
      <c r="M723" t="n">
        <v>0</v>
      </c>
      <c r="N723" t="n">
        <v>0</v>
      </c>
      <c r="O723" t="n">
        <v>0</v>
      </c>
      <c r="P723" t="n">
        <v>0</v>
      </c>
      <c r="Q723" t="n">
        <v>0</v>
      </c>
      <c r="R723" s="2" t="inlineStr"/>
    </row>
    <row r="724" ht="15" customHeight="1">
      <c r="A724" t="inlineStr">
        <is>
          <t>A 6028-2023</t>
        </is>
      </c>
      <c r="B724" s="1" t="n">
        <v>44964.44356481481</v>
      </c>
      <c r="C724" s="1" t="n">
        <v>46040</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52823-2024</t>
        </is>
      </c>
      <c r="B725" s="1" t="n">
        <v>45610.59094907407</v>
      </c>
      <c r="C725" s="1" t="n">
        <v>46040</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34205-2023</t>
        </is>
      </c>
      <c r="B726" s="1" t="n">
        <v>45138</v>
      </c>
      <c r="C726" s="1" t="n">
        <v>46040</v>
      </c>
      <c r="D726" t="inlineStr">
        <is>
          <t>KALMAR LÄN</t>
        </is>
      </c>
      <c r="E726" t="inlineStr">
        <is>
          <t>VIMMERBY</t>
        </is>
      </c>
      <c r="G726" t="n">
        <v>0.6</v>
      </c>
      <c r="H726" t="n">
        <v>0</v>
      </c>
      <c r="I726" t="n">
        <v>0</v>
      </c>
      <c r="J726" t="n">
        <v>0</v>
      </c>
      <c r="K726" t="n">
        <v>0</v>
      </c>
      <c r="L726" t="n">
        <v>0</v>
      </c>
      <c r="M726" t="n">
        <v>0</v>
      </c>
      <c r="N726" t="n">
        <v>0</v>
      </c>
      <c r="O726" t="n">
        <v>0</v>
      </c>
      <c r="P726" t="n">
        <v>0</v>
      </c>
      <c r="Q726" t="n">
        <v>0</v>
      </c>
      <c r="R726" s="2" t="inlineStr"/>
    </row>
    <row r="727" ht="15" customHeight="1">
      <c r="A727" t="inlineStr">
        <is>
          <t>A 56853-2022</t>
        </is>
      </c>
      <c r="B727" s="1" t="n">
        <v>44894.49538194444</v>
      </c>
      <c r="C727" s="1" t="n">
        <v>46040</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11152-2023</t>
        </is>
      </c>
      <c r="B728" s="1" t="n">
        <v>44992</v>
      </c>
      <c r="C728" s="1" t="n">
        <v>46040</v>
      </c>
      <c r="D728" t="inlineStr">
        <is>
          <t>KALMAR LÄN</t>
        </is>
      </c>
      <c r="E728" t="inlineStr">
        <is>
          <t>VIMMERBY</t>
        </is>
      </c>
      <c r="G728" t="n">
        <v>10.6</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44895.46524305556</v>
      </c>
      <c r="C729" s="1" t="n">
        <v>46040</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15550-2023</t>
        </is>
      </c>
      <c r="B730" s="1" t="n">
        <v>45020</v>
      </c>
      <c r="C730" s="1" t="n">
        <v>46040</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2604-2025</t>
        </is>
      </c>
      <c r="B731" s="1" t="n">
        <v>45674.74094907408</v>
      </c>
      <c r="C731" s="1" t="n">
        <v>46040</v>
      </c>
      <c r="D731" t="inlineStr">
        <is>
          <t>KALMAR LÄN</t>
        </is>
      </c>
      <c r="E731" t="inlineStr">
        <is>
          <t>VIMMERBY</t>
        </is>
      </c>
      <c r="G731" t="n">
        <v>7.6</v>
      </c>
      <c r="H731" t="n">
        <v>0</v>
      </c>
      <c r="I731" t="n">
        <v>0</v>
      </c>
      <c r="J731" t="n">
        <v>0</v>
      </c>
      <c r="K731" t="n">
        <v>0</v>
      </c>
      <c r="L731" t="n">
        <v>0</v>
      </c>
      <c r="M731" t="n">
        <v>0</v>
      </c>
      <c r="N731" t="n">
        <v>0</v>
      </c>
      <c r="O731" t="n">
        <v>0</v>
      </c>
      <c r="P731" t="n">
        <v>0</v>
      </c>
      <c r="Q731" t="n">
        <v>0</v>
      </c>
      <c r="R731" s="2" t="inlineStr"/>
    </row>
    <row r="732" ht="15" customHeight="1">
      <c r="A732" t="inlineStr">
        <is>
          <t>A 6807-2025</t>
        </is>
      </c>
      <c r="B732" s="1" t="n">
        <v>45700.68672453704</v>
      </c>
      <c r="C732" s="1" t="n">
        <v>46040</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38851-2023</t>
        </is>
      </c>
      <c r="B733" s="1" t="n">
        <v>45163</v>
      </c>
      <c r="C733" s="1" t="n">
        <v>46040</v>
      </c>
      <c r="D733" t="inlineStr">
        <is>
          <t>KALMAR LÄN</t>
        </is>
      </c>
      <c r="E733" t="inlineStr">
        <is>
          <t>VIMMERBY</t>
        </is>
      </c>
      <c r="G733" t="n">
        <v>4.3</v>
      </c>
      <c r="H733" t="n">
        <v>0</v>
      </c>
      <c r="I733" t="n">
        <v>0</v>
      </c>
      <c r="J733" t="n">
        <v>0</v>
      </c>
      <c r="K733" t="n">
        <v>0</v>
      </c>
      <c r="L733" t="n">
        <v>0</v>
      </c>
      <c r="M733" t="n">
        <v>0</v>
      </c>
      <c r="N733" t="n">
        <v>0</v>
      </c>
      <c r="O733" t="n">
        <v>0</v>
      </c>
      <c r="P733" t="n">
        <v>0</v>
      </c>
      <c r="Q733" t="n">
        <v>0</v>
      </c>
      <c r="R733" s="2" t="inlineStr"/>
    </row>
    <row r="734" ht="15" customHeight="1">
      <c r="A734" t="inlineStr">
        <is>
          <t>A 31355-2023</t>
        </is>
      </c>
      <c r="B734" s="1" t="n">
        <v>45114.49505787037</v>
      </c>
      <c r="C734" s="1" t="n">
        <v>46040</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18330-2023</t>
        </is>
      </c>
      <c r="B735" s="1" t="n">
        <v>45041</v>
      </c>
      <c r="C735" s="1" t="n">
        <v>46040</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23252-2024</t>
        </is>
      </c>
      <c r="B736" s="1" t="n">
        <v>45453.36067129629</v>
      </c>
      <c r="C736" s="1" t="n">
        <v>46040</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58100-2024</t>
        </is>
      </c>
      <c r="B737" s="1" t="n">
        <v>45632.36706018518</v>
      </c>
      <c r="C737" s="1" t="n">
        <v>46040</v>
      </c>
      <c r="D737" t="inlineStr">
        <is>
          <t>KALMAR LÄN</t>
        </is>
      </c>
      <c r="E737" t="inlineStr">
        <is>
          <t>VIMMERBY</t>
        </is>
      </c>
      <c r="G737" t="n">
        <v>0.9</v>
      </c>
      <c r="H737" t="n">
        <v>0</v>
      </c>
      <c r="I737" t="n">
        <v>0</v>
      </c>
      <c r="J737" t="n">
        <v>0</v>
      </c>
      <c r="K737" t="n">
        <v>0</v>
      </c>
      <c r="L737" t="n">
        <v>0</v>
      </c>
      <c r="M737" t="n">
        <v>0</v>
      </c>
      <c r="N737" t="n">
        <v>0</v>
      </c>
      <c r="O737" t="n">
        <v>0</v>
      </c>
      <c r="P737" t="n">
        <v>0</v>
      </c>
      <c r="Q737" t="n">
        <v>0</v>
      </c>
      <c r="R737" s="2" t="inlineStr"/>
    </row>
    <row r="738" ht="15" customHeight="1">
      <c r="A738" t="inlineStr">
        <is>
          <t>A 27993-2022</t>
        </is>
      </c>
      <c r="B738" s="1" t="n">
        <v>44745.84396990741</v>
      </c>
      <c r="C738" s="1" t="n">
        <v>46040</v>
      </c>
      <c r="D738" t="inlineStr">
        <is>
          <t>KALMAR LÄN</t>
        </is>
      </c>
      <c r="E738" t="inlineStr">
        <is>
          <t>VIMMERBY</t>
        </is>
      </c>
      <c r="G738" t="n">
        <v>2.8</v>
      </c>
      <c r="H738" t="n">
        <v>0</v>
      </c>
      <c r="I738" t="n">
        <v>0</v>
      </c>
      <c r="J738" t="n">
        <v>0</v>
      </c>
      <c r="K738" t="n">
        <v>0</v>
      </c>
      <c r="L738" t="n">
        <v>0</v>
      </c>
      <c r="M738" t="n">
        <v>0</v>
      </c>
      <c r="N738" t="n">
        <v>0</v>
      </c>
      <c r="O738" t="n">
        <v>0</v>
      </c>
      <c r="P738" t="n">
        <v>0</v>
      </c>
      <c r="Q738" t="n">
        <v>0</v>
      </c>
      <c r="R738" s="2" t="inlineStr"/>
    </row>
    <row r="739" ht="15" customHeight="1">
      <c r="A739" t="inlineStr">
        <is>
          <t>A 5792-2023</t>
        </is>
      </c>
      <c r="B739" s="1" t="n">
        <v>44963.44769675926</v>
      </c>
      <c r="C739" s="1" t="n">
        <v>46040</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2797-2023</t>
        </is>
      </c>
      <c r="B740" s="1" t="n">
        <v>44944.71386574074</v>
      </c>
      <c r="C740" s="1" t="n">
        <v>46040</v>
      </c>
      <c r="D740" t="inlineStr">
        <is>
          <t>KALMAR LÄN</t>
        </is>
      </c>
      <c r="E740" t="inlineStr">
        <is>
          <t>VIMMERBY</t>
        </is>
      </c>
      <c r="G740" t="n">
        <v>3.4</v>
      </c>
      <c r="H740" t="n">
        <v>0</v>
      </c>
      <c r="I740" t="n">
        <v>0</v>
      </c>
      <c r="J740" t="n">
        <v>0</v>
      </c>
      <c r="K740" t="n">
        <v>0</v>
      </c>
      <c r="L740" t="n">
        <v>0</v>
      </c>
      <c r="M740" t="n">
        <v>0</v>
      </c>
      <c r="N740" t="n">
        <v>0</v>
      </c>
      <c r="O740" t="n">
        <v>0</v>
      </c>
      <c r="P740" t="n">
        <v>0</v>
      </c>
      <c r="Q740" t="n">
        <v>0</v>
      </c>
      <c r="R740" s="2" t="inlineStr"/>
    </row>
    <row r="741" ht="15" customHeight="1">
      <c r="A741" t="inlineStr">
        <is>
          <t>A 2799-2023</t>
        </is>
      </c>
      <c r="B741" s="1" t="n">
        <v>44944.72100694444</v>
      </c>
      <c r="C741" s="1" t="n">
        <v>46040</v>
      </c>
      <c r="D741" t="inlineStr">
        <is>
          <t>KALMAR LÄN</t>
        </is>
      </c>
      <c r="E741" t="inlineStr">
        <is>
          <t>VIMMERBY</t>
        </is>
      </c>
      <c r="G741" t="n">
        <v>1.3</v>
      </c>
      <c r="H741" t="n">
        <v>0</v>
      </c>
      <c r="I741" t="n">
        <v>0</v>
      </c>
      <c r="J741" t="n">
        <v>0</v>
      </c>
      <c r="K741" t="n">
        <v>0</v>
      </c>
      <c r="L741" t="n">
        <v>0</v>
      </c>
      <c r="M741" t="n">
        <v>0</v>
      </c>
      <c r="N741" t="n">
        <v>0</v>
      </c>
      <c r="O741" t="n">
        <v>0</v>
      </c>
      <c r="P741" t="n">
        <v>0</v>
      </c>
      <c r="Q741" t="n">
        <v>0</v>
      </c>
      <c r="R741" s="2" t="inlineStr"/>
    </row>
    <row r="742" ht="15" customHeight="1">
      <c r="A742" t="inlineStr">
        <is>
          <t>A 6220-2025</t>
        </is>
      </c>
      <c r="B742" s="1" t="n">
        <v>45698.53725694444</v>
      </c>
      <c r="C742" s="1" t="n">
        <v>46040</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38969-2023</t>
        </is>
      </c>
      <c r="B743" s="1" t="n">
        <v>45163.63621527778</v>
      </c>
      <c r="C743" s="1" t="n">
        <v>46040</v>
      </c>
      <c r="D743" t="inlineStr">
        <is>
          <t>KALMAR LÄN</t>
        </is>
      </c>
      <c r="E743" t="inlineStr">
        <is>
          <t>VIMMERBY</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53752-2024</t>
        </is>
      </c>
      <c r="B744" s="1" t="n">
        <v>45615.48927083334</v>
      </c>
      <c r="C744" s="1" t="n">
        <v>46040</v>
      </c>
      <c r="D744" t="inlineStr">
        <is>
          <t>KALMAR LÄN</t>
        </is>
      </c>
      <c r="E744" t="inlineStr">
        <is>
          <t>VIMMERBY</t>
        </is>
      </c>
      <c r="G744" t="n">
        <v>2.4</v>
      </c>
      <c r="H744" t="n">
        <v>0</v>
      </c>
      <c r="I744" t="n">
        <v>0</v>
      </c>
      <c r="J744" t="n">
        <v>0</v>
      </c>
      <c r="K744" t="n">
        <v>0</v>
      </c>
      <c r="L744" t="n">
        <v>0</v>
      </c>
      <c r="M744" t="n">
        <v>0</v>
      </c>
      <c r="N744" t="n">
        <v>0</v>
      </c>
      <c r="O744" t="n">
        <v>0</v>
      </c>
      <c r="P744" t="n">
        <v>0</v>
      </c>
      <c r="Q744" t="n">
        <v>0</v>
      </c>
      <c r="R744" s="2" t="inlineStr"/>
    </row>
    <row r="745" ht="15" customHeight="1">
      <c r="A745" t="inlineStr">
        <is>
          <t>A 58278-2023</t>
        </is>
      </c>
      <c r="B745" s="1" t="n">
        <v>45250.5278587963</v>
      </c>
      <c r="C745" s="1" t="n">
        <v>46040</v>
      </c>
      <c r="D745" t="inlineStr">
        <is>
          <t>KALMAR LÄN</t>
        </is>
      </c>
      <c r="E745" t="inlineStr">
        <is>
          <t>VIMMERBY</t>
        </is>
      </c>
      <c r="G745" t="n">
        <v>1.8</v>
      </c>
      <c r="H745" t="n">
        <v>0</v>
      </c>
      <c r="I745" t="n">
        <v>0</v>
      </c>
      <c r="J745" t="n">
        <v>0</v>
      </c>
      <c r="K745" t="n">
        <v>0</v>
      </c>
      <c r="L745" t="n">
        <v>0</v>
      </c>
      <c r="M745" t="n">
        <v>0</v>
      </c>
      <c r="N745" t="n">
        <v>0</v>
      </c>
      <c r="O745" t="n">
        <v>0</v>
      </c>
      <c r="P745" t="n">
        <v>0</v>
      </c>
      <c r="Q745" t="n">
        <v>0</v>
      </c>
      <c r="R745" s="2" t="inlineStr"/>
    </row>
    <row r="746" ht="15" customHeight="1">
      <c r="A746" t="inlineStr">
        <is>
          <t>A 36259-2022</t>
        </is>
      </c>
      <c r="B746" s="1" t="n">
        <v>44803.59118055556</v>
      </c>
      <c r="C746" s="1" t="n">
        <v>46040</v>
      </c>
      <c r="D746" t="inlineStr">
        <is>
          <t>KALMAR LÄN</t>
        </is>
      </c>
      <c r="E746" t="inlineStr">
        <is>
          <t>VIMMERBY</t>
        </is>
      </c>
      <c r="G746" t="n">
        <v>3.9</v>
      </c>
      <c r="H746" t="n">
        <v>0</v>
      </c>
      <c r="I746" t="n">
        <v>0</v>
      </c>
      <c r="J746" t="n">
        <v>0</v>
      </c>
      <c r="K746" t="n">
        <v>0</v>
      </c>
      <c r="L746" t="n">
        <v>0</v>
      </c>
      <c r="M746" t="n">
        <v>0</v>
      </c>
      <c r="N746" t="n">
        <v>0</v>
      </c>
      <c r="O746" t="n">
        <v>0</v>
      </c>
      <c r="P746" t="n">
        <v>0</v>
      </c>
      <c r="Q746" t="n">
        <v>0</v>
      </c>
      <c r="R746" s="2" t="inlineStr"/>
    </row>
    <row r="747" ht="15" customHeight="1">
      <c r="A747" t="inlineStr">
        <is>
          <t>A 36526-2023</t>
        </is>
      </c>
      <c r="B747" s="1" t="n">
        <v>45153.32778935185</v>
      </c>
      <c r="C747" s="1" t="n">
        <v>46040</v>
      </c>
      <c r="D747" t="inlineStr">
        <is>
          <t>KALMAR LÄN</t>
        </is>
      </c>
      <c r="E747" t="inlineStr">
        <is>
          <t>VIMMERBY</t>
        </is>
      </c>
      <c r="G747" t="n">
        <v>2.7</v>
      </c>
      <c r="H747" t="n">
        <v>0</v>
      </c>
      <c r="I747" t="n">
        <v>0</v>
      </c>
      <c r="J747" t="n">
        <v>0</v>
      </c>
      <c r="K747" t="n">
        <v>0</v>
      </c>
      <c r="L747" t="n">
        <v>0</v>
      </c>
      <c r="M747" t="n">
        <v>0</v>
      </c>
      <c r="N747" t="n">
        <v>0</v>
      </c>
      <c r="O747" t="n">
        <v>0</v>
      </c>
      <c r="P747" t="n">
        <v>0</v>
      </c>
      <c r="Q747" t="n">
        <v>0</v>
      </c>
      <c r="R747" s="2" t="inlineStr"/>
    </row>
    <row r="748" ht="15" customHeight="1">
      <c r="A748" t="inlineStr">
        <is>
          <t>A 17988-2025</t>
        </is>
      </c>
      <c r="B748" s="1" t="n">
        <v>45761.39600694444</v>
      </c>
      <c r="C748" s="1" t="n">
        <v>46040</v>
      </c>
      <c r="D748" t="inlineStr">
        <is>
          <t>KALMAR LÄN</t>
        </is>
      </c>
      <c r="E748" t="inlineStr">
        <is>
          <t>VIMMERBY</t>
        </is>
      </c>
      <c r="G748" t="n">
        <v>2.8</v>
      </c>
      <c r="H748" t="n">
        <v>0</v>
      </c>
      <c r="I748" t="n">
        <v>0</v>
      </c>
      <c r="J748" t="n">
        <v>0</v>
      </c>
      <c r="K748" t="n">
        <v>0</v>
      </c>
      <c r="L748" t="n">
        <v>0</v>
      </c>
      <c r="M748" t="n">
        <v>0</v>
      </c>
      <c r="N748" t="n">
        <v>0</v>
      </c>
      <c r="O748" t="n">
        <v>0</v>
      </c>
      <c r="P748" t="n">
        <v>0</v>
      </c>
      <c r="Q748" t="n">
        <v>0</v>
      </c>
      <c r="R748" s="2" t="inlineStr"/>
    </row>
    <row r="749" ht="15" customHeight="1">
      <c r="A749" t="inlineStr">
        <is>
          <t>A 29350-2023</t>
        </is>
      </c>
      <c r="B749" s="1" t="n">
        <v>45106</v>
      </c>
      <c r="C749" s="1" t="n">
        <v>46040</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29351-2023</t>
        </is>
      </c>
      <c r="B750" s="1" t="n">
        <v>45106.2610300926</v>
      </c>
      <c r="C750" s="1" t="n">
        <v>46040</v>
      </c>
      <c r="D750" t="inlineStr">
        <is>
          <t>KALMAR LÄN</t>
        </is>
      </c>
      <c r="E750" t="inlineStr">
        <is>
          <t>VIMMERBY</t>
        </is>
      </c>
      <c r="G750" t="n">
        <v>0.4</v>
      </c>
      <c r="H750" t="n">
        <v>0</v>
      </c>
      <c r="I750" t="n">
        <v>0</v>
      </c>
      <c r="J750" t="n">
        <v>0</v>
      </c>
      <c r="K750" t="n">
        <v>0</v>
      </c>
      <c r="L750" t="n">
        <v>0</v>
      </c>
      <c r="M750" t="n">
        <v>0</v>
      </c>
      <c r="N750" t="n">
        <v>0</v>
      </c>
      <c r="O750" t="n">
        <v>0</v>
      </c>
      <c r="P750" t="n">
        <v>0</v>
      </c>
      <c r="Q750" t="n">
        <v>0</v>
      </c>
      <c r="R750" s="2" t="inlineStr"/>
    </row>
    <row r="751" ht="15" customHeight="1">
      <c r="A751" t="inlineStr">
        <is>
          <t>A 58728-2024</t>
        </is>
      </c>
      <c r="B751" s="1" t="n">
        <v>45635.66695601852</v>
      </c>
      <c r="C751" s="1" t="n">
        <v>46040</v>
      </c>
      <c r="D751" t="inlineStr">
        <is>
          <t>KALMAR LÄN</t>
        </is>
      </c>
      <c r="E751" t="inlineStr">
        <is>
          <t>VIMMERBY</t>
        </is>
      </c>
      <c r="G751" t="n">
        <v>0.4</v>
      </c>
      <c r="H751" t="n">
        <v>0</v>
      </c>
      <c r="I751" t="n">
        <v>0</v>
      </c>
      <c r="J751" t="n">
        <v>0</v>
      </c>
      <c r="K751" t="n">
        <v>0</v>
      </c>
      <c r="L751" t="n">
        <v>0</v>
      </c>
      <c r="M751" t="n">
        <v>0</v>
      </c>
      <c r="N751" t="n">
        <v>0</v>
      </c>
      <c r="O751" t="n">
        <v>0</v>
      </c>
      <c r="P751" t="n">
        <v>0</v>
      </c>
      <c r="Q751" t="n">
        <v>0</v>
      </c>
      <c r="R751" s="2" t="inlineStr"/>
    </row>
    <row r="752" ht="15" customHeight="1">
      <c r="A752" t="inlineStr">
        <is>
          <t>A 43242-2024</t>
        </is>
      </c>
      <c r="B752" s="1" t="n">
        <v>45568.30189814815</v>
      </c>
      <c r="C752" s="1" t="n">
        <v>46040</v>
      </c>
      <c r="D752" t="inlineStr">
        <is>
          <t>KALMAR LÄN</t>
        </is>
      </c>
      <c r="E752" t="inlineStr">
        <is>
          <t>VIMMERBY</t>
        </is>
      </c>
      <c r="G752" t="n">
        <v>2.6</v>
      </c>
      <c r="H752" t="n">
        <v>0</v>
      </c>
      <c r="I752" t="n">
        <v>0</v>
      </c>
      <c r="J752" t="n">
        <v>0</v>
      </c>
      <c r="K752" t="n">
        <v>0</v>
      </c>
      <c r="L752" t="n">
        <v>0</v>
      </c>
      <c r="M752" t="n">
        <v>0</v>
      </c>
      <c r="N752" t="n">
        <v>0</v>
      </c>
      <c r="O752" t="n">
        <v>0</v>
      </c>
      <c r="P752" t="n">
        <v>0</v>
      </c>
      <c r="Q752" t="n">
        <v>0</v>
      </c>
      <c r="R752" s="2" t="inlineStr"/>
    </row>
    <row r="753" ht="15" customHeight="1">
      <c r="A753" t="inlineStr">
        <is>
          <t>A 16983-2023</t>
        </is>
      </c>
      <c r="B753" s="1" t="n">
        <v>45033.76043981482</v>
      </c>
      <c r="C753" s="1" t="n">
        <v>46040</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6474-2025</t>
        </is>
      </c>
      <c r="B754" s="1" t="n">
        <v>45699.60055555555</v>
      </c>
      <c r="C754" s="1" t="n">
        <v>46040</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6405-2025</t>
        </is>
      </c>
      <c r="B755" s="1" t="n">
        <v>45699.45392361111</v>
      </c>
      <c r="C755" s="1" t="n">
        <v>46040</v>
      </c>
      <c r="D755" t="inlineStr">
        <is>
          <t>KALMAR LÄN</t>
        </is>
      </c>
      <c r="E755" t="inlineStr">
        <is>
          <t>VIMMERBY</t>
        </is>
      </c>
      <c r="G755" t="n">
        <v>1.2</v>
      </c>
      <c r="H755" t="n">
        <v>0</v>
      </c>
      <c r="I755" t="n">
        <v>0</v>
      </c>
      <c r="J755" t="n">
        <v>0</v>
      </c>
      <c r="K755" t="n">
        <v>0</v>
      </c>
      <c r="L755" t="n">
        <v>0</v>
      </c>
      <c r="M755" t="n">
        <v>0</v>
      </c>
      <c r="N755" t="n">
        <v>0</v>
      </c>
      <c r="O755" t="n">
        <v>0</v>
      </c>
      <c r="P755" t="n">
        <v>0</v>
      </c>
      <c r="Q755" t="n">
        <v>0</v>
      </c>
      <c r="R755" s="2" t="inlineStr"/>
    </row>
    <row r="756" ht="15" customHeight="1">
      <c r="A756" t="inlineStr">
        <is>
          <t>A 36843-2023</t>
        </is>
      </c>
      <c r="B756" s="1" t="n">
        <v>45154.49831018518</v>
      </c>
      <c r="C756" s="1" t="n">
        <v>46040</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17-2025</t>
        </is>
      </c>
      <c r="B757" s="1" t="n">
        <v>45658.78774305555</v>
      </c>
      <c r="C757" s="1" t="n">
        <v>46040</v>
      </c>
      <c r="D757" t="inlineStr">
        <is>
          <t>KALMAR LÄN</t>
        </is>
      </c>
      <c r="E757" t="inlineStr">
        <is>
          <t>VIMMERBY</t>
        </is>
      </c>
      <c r="G757" t="n">
        <v>4.4</v>
      </c>
      <c r="H757" t="n">
        <v>0</v>
      </c>
      <c r="I757" t="n">
        <v>0</v>
      </c>
      <c r="J757" t="n">
        <v>0</v>
      </c>
      <c r="K757" t="n">
        <v>0</v>
      </c>
      <c r="L757" t="n">
        <v>0</v>
      </c>
      <c r="M757" t="n">
        <v>0</v>
      </c>
      <c r="N757" t="n">
        <v>0</v>
      </c>
      <c r="O757" t="n">
        <v>0</v>
      </c>
      <c r="P757" t="n">
        <v>0</v>
      </c>
      <c r="Q757" t="n">
        <v>0</v>
      </c>
      <c r="R757" s="2" t="inlineStr"/>
    </row>
    <row r="758" ht="15" customHeight="1">
      <c r="A758" t="inlineStr">
        <is>
          <t>A 57486-2024</t>
        </is>
      </c>
      <c r="B758" s="1" t="n">
        <v>45630.35827546296</v>
      </c>
      <c r="C758" s="1" t="n">
        <v>46040</v>
      </c>
      <c r="D758" t="inlineStr">
        <is>
          <t>KALMAR LÄN</t>
        </is>
      </c>
      <c r="E758" t="inlineStr">
        <is>
          <t>VIMMERBY</t>
        </is>
      </c>
      <c r="G758" t="n">
        <v>0.4</v>
      </c>
      <c r="H758" t="n">
        <v>0</v>
      </c>
      <c r="I758" t="n">
        <v>0</v>
      </c>
      <c r="J758" t="n">
        <v>0</v>
      </c>
      <c r="K758" t="n">
        <v>0</v>
      </c>
      <c r="L758" t="n">
        <v>0</v>
      </c>
      <c r="M758" t="n">
        <v>0</v>
      </c>
      <c r="N758" t="n">
        <v>0</v>
      </c>
      <c r="O758" t="n">
        <v>0</v>
      </c>
      <c r="P758" t="n">
        <v>0</v>
      </c>
      <c r="Q758" t="n">
        <v>0</v>
      </c>
      <c r="R758" s="2" t="inlineStr"/>
    </row>
    <row r="759" ht="15" customHeight="1">
      <c r="A759" t="inlineStr">
        <is>
          <t>A 57555-2024</t>
        </is>
      </c>
      <c r="B759" s="1" t="n">
        <v>45630.45069444444</v>
      </c>
      <c r="C759" s="1" t="n">
        <v>46040</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18411-2021</t>
        </is>
      </c>
      <c r="B760" s="1" t="n">
        <v>44302</v>
      </c>
      <c r="C760" s="1" t="n">
        <v>46040</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52279-2023</t>
        </is>
      </c>
      <c r="B761" s="1" t="n">
        <v>45224</v>
      </c>
      <c r="C761" s="1" t="n">
        <v>46040</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52324-2023</t>
        </is>
      </c>
      <c r="B762" s="1" t="n">
        <v>45224.64659722222</v>
      </c>
      <c r="C762" s="1" t="n">
        <v>46040</v>
      </c>
      <c r="D762" t="inlineStr">
        <is>
          <t>KALMAR LÄN</t>
        </is>
      </c>
      <c r="E762" t="inlineStr">
        <is>
          <t>VIMMERBY</t>
        </is>
      </c>
      <c r="F762" t="inlineStr">
        <is>
          <t>Sveaskog</t>
        </is>
      </c>
      <c r="G762" t="n">
        <v>2.9</v>
      </c>
      <c r="H762" t="n">
        <v>0</v>
      </c>
      <c r="I762" t="n">
        <v>0</v>
      </c>
      <c r="J762" t="n">
        <v>0</v>
      </c>
      <c r="K762" t="n">
        <v>0</v>
      </c>
      <c r="L762" t="n">
        <v>0</v>
      </c>
      <c r="M762" t="n">
        <v>0</v>
      </c>
      <c r="N762" t="n">
        <v>0</v>
      </c>
      <c r="O762" t="n">
        <v>0</v>
      </c>
      <c r="P762" t="n">
        <v>0</v>
      </c>
      <c r="Q762" t="n">
        <v>0</v>
      </c>
      <c r="R762" s="2" t="inlineStr"/>
    </row>
    <row r="763" ht="15" customHeight="1">
      <c r="A763" t="inlineStr">
        <is>
          <t>A 44423-2023</t>
        </is>
      </c>
      <c r="B763" s="1" t="n">
        <v>45189</v>
      </c>
      <c r="C763" s="1" t="n">
        <v>46040</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20-2025</t>
        </is>
      </c>
      <c r="B764" s="1" t="n">
        <v>45658.80232638889</v>
      </c>
      <c r="C764" s="1" t="n">
        <v>46040</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23-2025</t>
        </is>
      </c>
      <c r="B765" s="1" t="n">
        <v>45658.80827546296</v>
      </c>
      <c r="C765" s="1" t="n">
        <v>46040</v>
      </c>
      <c r="D765" t="inlineStr">
        <is>
          <t>KALMAR LÄN</t>
        </is>
      </c>
      <c r="E765" t="inlineStr">
        <is>
          <t>VIMMERBY</t>
        </is>
      </c>
      <c r="G765" t="n">
        <v>1.8</v>
      </c>
      <c r="H765" t="n">
        <v>0</v>
      </c>
      <c r="I765" t="n">
        <v>0</v>
      </c>
      <c r="J765" t="n">
        <v>0</v>
      </c>
      <c r="K765" t="n">
        <v>0</v>
      </c>
      <c r="L765" t="n">
        <v>0</v>
      </c>
      <c r="M765" t="n">
        <v>0</v>
      </c>
      <c r="N765" t="n">
        <v>0</v>
      </c>
      <c r="O765" t="n">
        <v>0</v>
      </c>
      <c r="P765" t="n">
        <v>0</v>
      </c>
      <c r="Q765" t="n">
        <v>0</v>
      </c>
      <c r="R765" s="2" t="inlineStr"/>
    </row>
    <row r="766" ht="15" customHeight="1">
      <c r="A766" t="inlineStr">
        <is>
          <t>A 21496-2023</t>
        </is>
      </c>
      <c r="B766" s="1" t="n">
        <v>45063.49936342592</v>
      </c>
      <c r="C766" s="1" t="n">
        <v>46040</v>
      </c>
      <c r="D766" t="inlineStr">
        <is>
          <t>KALMAR LÄN</t>
        </is>
      </c>
      <c r="E766" t="inlineStr">
        <is>
          <t>VIMMERBY</t>
        </is>
      </c>
      <c r="G766" t="n">
        <v>1.1</v>
      </c>
      <c r="H766" t="n">
        <v>0</v>
      </c>
      <c r="I766" t="n">
        <v>0</v>
      </c>
      <c r="J766" t="n">
        <v>0</v>
      </c>
      <c r="K766" t="n">
        <v>0</v>
      </c>
      <c r="L766" t="n">
        <v>0</v>
      </c>
      <c r="M766" t="n">
        <v>0</v>
      </c>
      <c r="N766" t="n">
        <v>0</v>
      </c>
      <c r="O766" t="n">
        <v>0</v>
      </c>
      <c r="P766" t="n">
        <v>0</v>
      </c>
      <c r="Q766" t="n">
        <v>0</v>
      </c>
      <c r="R766" s="2" t="inlineStr"/>
    </row>
    <row r="767" ht="15" customHeight="1">
      <c r="A767" t="inlineStr">
        <is>
          <t>A 31056-2022</t>
        </is>
      </c>
      <c r="B767" s="1" t="n">
        <v>44769.45805555556</v>
      </c>
      <c r="C767" s="1" t="n">
        <v>46040</v>
      </c>
      <c r="D767" t="inlineStr">
        <is>
          <t>KALMAR LÄN</t>
        </is>
      </c>
      <c r="E767" t="inlineStr">
        <is>
          <t>VIMMERBY</t>
        </is>
      </c>
      <c r="G767" t="n">
        <v>2</v>
      </c>
      <c r="H767" t="n">
        <v>0</v>
      </c>
      <c r="I767" t="n">
        <v>0</v>
      </c>
      <c r="J767" t="n">
        <v>0</v>
      </c>
      <c r="K767" t="n">
        <v>0</v>
      </c>
      <c r="L767" t="n">
        <v>0</v>
      </c>
      <c r="M767" t="n">
        <v>0</v>
      </c>
      <c r="N767" t="n">
        <v>0</v>
      </c>
      <c r="O767" t="n">
        <v>0</v>
      </c>
      <c r="P767" t="n">
        <v>0</v>
      </c>
      <c r="Q767" t="n">
        <v>0</v>
      </c>
      <c r="R767" s="2" t="inlineStr"/>
    </row>
    <row r="768" ht="15" customHeight="1">
      <c r="A768" t="inlineStr">
        <is>
          <t>A 32639-2023</t>
        </is>
      </c>
      <c r="B768" s="1" t="n">
        <v>45121.5965162037</v>
      </c>
      <c r="C768" s="1" t="n">
        <v>46040</v>
      </c>
      <c r="D768" t="inlineStr">
        <is>
          <t>KALMAR LÄN</t>
        </is>
      </c>
      <c r="E768" t="inlineStr">
        <is>
          <t>VIMMERBY</t>
        </is>
      </c>
      <c r="F768" t="inlineStr">
        <is>
          <t>Sveaskog</t>
        </is>
      </c>
      <c r="G768" t="n">
        <v>1.7</v>
      </c>
      <c r="H768" t="n">
        <v>0</v>
      </c>
      <c r="I768" t="n">
        <v>0</v>
      </c>
      <c r="J768" t="n">
        <v>0</v>
      </c>
      <c r="K768" t="n">
        <v>0</v>
      </c>
      <c r="L768" t="n">
        <v>0</v>
      </c>
      <c r="M768" t="n">
        <v>0</v>
      </c>
      <c r="N768" t="n">
        <v>0</v>
      </c>
      <c r="O768" t="n">
        <v>0</v>
      </c>
      <c r="P768" t="n">
        <v>0</v>
      </c>
      <c r="Q768" t="n">
        <v>0</v>
      </c>
      <c r="R768" s="2" t="inlineStr"/>
    </row>
    <row r="769" ht="15" customHeight="1">
      <c r="A769" t="inlineStr">
        <is>
          <t>A 32642-2023</t>
        </is>
      </c>
      <c r="B769" s="1" t="n">
        <v>45121.59954861111</v>
      </c>
      <c r="C769" s="1" t="n">
        <v>46040</v>
      </c>
      <c r="D769" t="inlineStr">
        <is>
          <t>KALMAR LÄN</t>
        </is>
      </c>
      <c r="E769" t="inlineStr">
        <is>
          <t>VIMMERBY</t>
        </is>
      </c>
      <c r="F769" t="inlineStr">
        <is>
          <t>Sveaskog</t>
        </is>
      </c>
      <c r="G769" t="n">
        <v>2.1</v>
      </c>
      <c r="H769" t="n">
        <v>0</v>
      </c>
      <c r="I769" t="n">
        <v>0</v>
      </c>
      <c r="J769" t="n">
        <v>0</v>
      </c>
      <c r="K769" t="n">
        <v>0</v>
      </c>
      <c r="L769" t="n">
        <v>0</v>
      </c>
      <c r="M769" t="n">
        <v>0</v>
      </c>
      <c r="N769" t="n">
        <v>0</v>
      </c>
      <c r="O769" t="n">
        <v>0</v>
      </c>
      <c r="P769" t="n">
        <v>0</v>
      </c>
      <c r="Q769" t="n">
        <v>0</v>
      </c>
      <c r="R769" s="2" t="inlineStr"/>
    </row>
    <row r="770" ht="15" customHeight="1">
      <c r="A770" t="inlineStr">
        <is>
          <t>A 32651-2023</t>
        </is>
      </c>
      <c r="B770" s="1" t="n">
        <v>45121.6096875</v>
      </c>
      <c r="C770" s="1" t="n">
        <v>46040</v>
      </c>
      <c r="D770" t="inlineStr">
        <is>
          <t>KALMAR LÄN</t>
        </is>
      </c>
      <c r="E770" t="inlineStr">
        <is>
          <t>VIMMERBY</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40730-2024</t>
        </is>
      </c>
      <c r="B771" s="1" t="n">
        <v>45558.44914351852</v>
      </c>
      <c r="C771" s="1" t="n">
        <v>46040</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9643-2023</t>
        </is>
      </c>
      <c r="B772" s="1" t="n">
        <v>44984</v>
      </c>
      <c r="C772" s="1" t="n">
        <v>46040</v>
      </c>
      <c r="D772" t="inlineStr">
        <is>
          <t>KALMAR LÄN</t>
        </is>
      </c>
      <c r="E772" t="inlineStr">
        <is>
          <t>VIMMERBY</t>
        </is>
      </c>
      <c r="G772" t="n">
        <v>2</v>
      </c>
      <c r="H772" t="n">
        <v>0</v>
      </c>
      <c r="I772" t="n">
        <v>0</v>
      </c>
      <c r="J772" t="n">
        <v>0</v>
      </c>
      <c r="K772" t="n">
        <v>0</v>
      </c>
      <c r="L772" t="n">
        <v>0</v>
      </c>
      <c r="M772" t="n">
        <v>0</v>
      </c>
      <c r="N772" t="n">
        <v>0</v>
      </c>
      <c r="O772" t="n">
        <v>0</v>
      </c>
      <c r="P772" t="n">
        <v>0</v>
      </c>
      <c r="Q772" t="n">
        <v>0</v>
      </c>
      <c r="R772" s="2" t="inlineStr"/>
    </row>
    <row r="773" ht="15" customHeight="1">
      <c r="A773" t="inlineStr">
        <is>
          <t>A 56213-2024</t>
        </is>
      </c>
      <c r="B773" s="1" t="n">
        <v>45624.60141203704</v>
      </c>
      <c r="C773" s="1" t="n">
        <v>46040</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72701-2021</t>
        </is>
      </c>
      <c r="B774" s="1" t="n">
        <v>44546</v>
      </c>
      <c r="C774" s="1" t="n">
        <v>46040</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20126-2024</t>
        </is>
      </c>
      <c r="B775" s="1" t="n">
        <v>45434.55471064815</v>
      </c>
      <c r="C775" s="1" t="n">
        <v>46040</v>
      </c>
      <c r="D775" t="inlineStr">
        <is>
          <t>KALMAR LÄN</t>
        </is>
      </c>
      <c r="E775" t="inlineStr">
        <is>
          <t>VIMMERBY</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52294-2023</t>
        </is>
      </c>
      <c r="B776" s="1" t="n">
        <v>45224.60075231481</v>
      </c>
      <c r="C776" s="1" t="n">
        <v>46040</v>
      </c>
      <c r="D776" t="inlineStr">
        <is>
          <t>KALMAR LÄN</t>
        </is>
      </c>
      <c r="E776" t="inlineStr">
        <is>
          <t>VIMMERBY</t>
        </is>
      </c>
      <c r="F776" t="inlineStr">
        <is>
          <t>Sveaskog</t>
        </is>
      </c>
      <c r="G776" t="n">
        <v>2.5</v>
      </c>
      <c r="H776" t="n">
        <v>0</v>
      </c>
      <c r="I776" t="n">
        <v>0</v>
      </c>
      <c r="J776" t="n">
        <v>0</v>
      </c>
      <c r="K776" t="n">
        <v>0</v>
      </c>
      <c r="L776" t="n">
        <v>0</v>
      </c>
      <c r="M776" t="n">
        <v>0</v>
      </c>
      <c r="N776" t="n">
        <v>0</v>
      </c>
      <c r="O776" t="n">
        <v>0</v>
      </c>
      <c r="P776" t="n">
        <v>0</v>
      </c>
      <c r="Q776" t="n">
        <v>0</v>
      </c>
      <c r="R776" s="2" t="inlineStr"/>
    </row>
    <row r="777" ht="15" customHeight="1">
      <c r="A777" t="inlineStr">
        <is>
          <t>A 19865-2021</t>
        </is>
      </c>
      <c r="B777" s="1" t="n">
        <v>44312</v>
      </c>
      <c r="C777" s="1" t="n">
        <v>46040</v>
      </c>
      <c r="D777" t="inlineStr">
        <is>
          <t>KALMAR LÄN</t>
        </is>
      </c>
      <c r="E777" t="inlineStr">
        <is>
          <t>VIMMERBY</t>
        </is>
      </c>
      <c r="G777" t="n">
        <v>8.6</v>
      </c>
      <c r="H777" t="n">
        <v>0</v>
      </c>
      <c r="I777" t="n">
        <v>0</v>
      </c>
      <c r="J777" t="n">
        <v>0</v>
      </c>
      <c r="K777" t="n">
        <v>0</v>
      </c>
      <c r="L777" t="n">
        <v>0</v>
      </c>
      <c r="M777" t="n">
        <v>0</v>
      </c>
      <c r="N777" t="n">
        <v>0</v>
      </c>
      <c r="O777" t="n">
        <v>0</v>
      </c>
      <c r="P777" t="n">
        <v>0</v>
      </c>
      <c r="Q777" t="n">
        <v>0</v>
      </c>
      <c r="R777" s="2" t="inlineStr"/>
    </row>
    <row r="778" ht="15" customHeight="1">
      <c r="A778" t="inlineStr">
        <is>
          <t>A 61355-2024</t>
        </is>
      </c>
      <c r="B778" s="1" t="n">
        <v>45646.38200231481</v>
      </c>
      <c r="C778" s="1" t="n">
        <v>46040</v>
      </c>
      <c r="D778" t="inlineStr">
        <is>
          <t>KALMAR LÄN</t>
        </is>
      </c>
      <c r="E778" t="inlineStr">
        <is>
          <t>VIMMERBY</t>
        </is>
      </c>
      <c r="G778" t="n">
        <v>2.7</v>
      </c>
      <c r="H778" t="n">
        <v>0</v>
      </c>
      <c r="I778" t="n">
        <v>0</v>
      </c>
      <c r="J778" t="n">
        <v>0</v>
      </c>
      <c r="K778" t="n">
        <v>0</v>
      </c>
      <c r="L778" t="n">
        <v>0</v>
      </c>
      <c r="M778" t="n">
        <v>0</v>
      </c>
      <c r="N778" t="n">
        <v>0</v>
      </c>
      <c r="O778" t="n">
        <v>0</v>
      </c>
      <c r="P778" t="n">
        <v>0</v>
      </c>
      <c r="Q778" t="n">
        <v>0</v>
      </c>
      <c r="R778" s="2" t="inlineStr"/>
    </row>
    <row r="779" ht="15" customHeight="1">
      <c r="A779" t="inlineStr">
        <is>
          <t>A 9694-2023</t>
        </is>
      </c>
      <c r="B779" s="1" t="n">
        <v>44984.45895833334</v>
      </c>
      <c r="C779" s="1" t="n">
        <v>46040</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9710-2023</t>
        </is>
      </c>
      <c r="B780" s="1" t="n">
        <v>44984</v>
      </c>
      <c r="C780" s="1" t="n">
        <v>46040</v>
      </c>
      <c r="D780" t="inlineStr">
        <is>
          <t>KALMAR LÄN</t>
        </is>
      </c>
      <c r="E780" t="inlineStr">
        <is>
          <t>VIMMERBY</t>
        </is>
      </c>
      <c r="G780" t="n">
        <v>3.7</v>
      </c>
      <c r="H780" t="n">
        <v>0</v>
      </c>
      <c r="I780" t="n">
        <v>0</v>
      </c>
      <c r="J780" t="n">
        <v>0</v>
      </c>
      <c r="K780" t="n">
        <v>0</v>
      </c>
      <c r="L780" t="n">
        <v>0</v>
      </c>
      <c r="M780" t="n">
        <v>0</v>
      </c>
      <c r="N780" t="n">
        <v>0</v>
      </c>
      <c r="O780" t="n">
        <v>0</v>
      </c>
      <c r="P780" t="n">
        <v>0</v>
      </c>
      <c r="Q780" t="n">
        <v>0</v>
      </c>
      <c r="R780" s="2" t="inlineStr"/>
    </row>
    <row r="781" ht="15" customHeight="1">
      <c r="A781" t="inlineStr">
        <is>
          <t>A 6216-2025</t>
        </is>
      </c>
      <c r="B781" s="1" t="n">
        <v>45698.52806712963</v>
      </c>
      <c r="C781" s="1" t="n">
        <v>46040</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33374-2021</t>
        </is>
      </c>
      <c r="B782" s="1" t="n">
        <v>44377</v>
      </c>
      <c r="C782" s="1" t="n">
        <v>46040</v>
      </c>
      <c r="D782" t="inlineStr">
        <is>
          <t>KALMAR LÄN</t>
        </is>
      </c>
      <c r="E782" t="inlineStr">
        <is>
          <t>VIMMERBY</t>
        </is>
      </c>
      <c r="G782" t="n">
        <v>3.3</v>
      </c>
      <c r="H782" t="n">
        <v>0</v>
      </c>
      <c r="I782" t="n">
        <v>0</v>
      </c>
      <c r="J782" t="n">
        <v>0</v>
      </c>
      <c r="K782" t="n">
        <v>0</v>
      </c>
      <c r="L782" t="n">
        <v>0</v>
      </c>
      <c r="M782" t="n">
        <v>0</v>
      </c>
      <c r="N782" t="n">
        <v>0</v>
      </c>
      <c r="O782" t="n">
        <v>0</v>
      </c>
      <c r="P782" t="n">
        <v>0</v>
      </c>
      <c r="Q782" t="n">
        <v>0</v>
      </c>
      <c r="R782" s="2" t="inlineStr"/>
    </row>
    <row r="783" ht="15" customHeight="1">
      <c r="A783" t="inlineStr">
        <is>
          <t>A 10759-2023</t>
        </is>
      </c>
      <c r="B783" s="1" t="n">
        <v>44988</v>
      </c>
      <c r="C783" s="1" t="n">
        <v>46040</v>
      </c>
      <c r="D783" t="inlineStr">
        <is>
          <t>KALMAR LÄN</t>
        </is>
      </c>
      <c r="E783" t="inlineStr">
        <is>
          <t>VIMMERBY</t>
        </is>
      </c>
      <c r="G783" t="n">
        <v>0.4</v>
      </c>
      <c r="H783" t="n">
        <v>0</v>
      </c>
      <c r="I783" t="n">
        <v>0</v>
      </c>
      <c r="J783" t="n">
        <v>0</v>
      </c>
      <c r="K783" t="n">
        <v>0</v>
      </c>
      <c r="L783" t="n">
        <v>0</v>
      </c>
      <c r="M783" t="n">
        <v>0</v>
      </c>
      <c r="N783" t="n">
        <v>0</v>
      </c>
      <c r="O783" t="n">
        <v>0</v>
      </c>
      <c r="P783" t="n">
        <v>0</v>
      </c>
      <c r="Q783" t="n">
        <v>0</v>
      </c>
      <c r="R783" s="2" t="inlineStr"/>
    </row>
    <row r="784" ht="15" customHeight="1">
      <c r="A784" t="inlineStr">
        <is>
          <t>A 18899-2025</t>
        </is>
      </c>
      <c r="B784" s="1" t="n">
        <v>45764.44931712963</v>
      </c>
      <c r="C784" s="1" t="n">
        <v>46040</v>
      </c>
      <c r="D784" t="inlineStr">
        <is>
          <t>KALMAR LÄN</t>
        </is>
      </c>
      <c r="E784" t="inlineStr">
        <is>
          <t>VIMMERBY</t>
        </is>
      </c>
      <c r="F784" t="inlineStr">
        <is>
          <t>Kommuner</t>
        </is>
      </c>
      <c r="G784" t="n">
        <v>4</v>
      </c>
      <c r="H784" t="n">
        <v>0</v>
      </c>
      <c r="I784" t="n">
        <v>0</v>
      </c>
      <c r="J784" t="n">
        <v>0</v>
      </c>
      <c r="K784" t="n">
        <v>0</v>
      </c>
      <c r="L784" t="n">
        <v>0</v>
      </c>
      <c r="M784" t="n">
        <v>0</v>
      </c>
      <c r="N784" t="n">
        <v>0</v>
      </c>
      <c r="O784" t="n">
        <v>0</v>
      </c>
      <c r="P784" t="n">
        <v>0</v>
      </c>
      <c r="Q784" t="n">
        <v>0</v>
      </c>
      <c r="R784" s="2" t="inlineStr"/>
    </row>
    <row r="785" ht="15" customHeight="1">
      <c r="A785" t="inlineStr">
        <is>
          <t>A 7944-2024</t>
        </is>
      </c>
      <c r="B785" s="1" t="n">
        <v>45350.53306712963</v>
      </c>
      <c r="C785" s="1" t="n">
        <v>46040</v>
      </c>
      <c r="D785" t="inlineStr">
        <is>
          <t>KALMAR LÄN</t>
        </is>
      </c>
      <c r="E785" t="inlineStr">
        <is>
          <t>VIMMERBY</t>
        </is>
      </c>
      <c r="G785" t="n">
        <v>1.2</v>
      </c>
      <c r="H785" t="n">
        <v>0</v>
      </c>
      <c r="I785" t="n">
        <v>0</v>
      </c>
      <c r="J785" t="n">
        <v>0</v>
      </c>
      <c r="K785" t="n">
        <v>0</v>
      </c>
      <c r="L785" t="n">
        <v>0</v>
      </c>
      <c r="M785" t="n">
        <v>0</v>
      </c>
      <c r="N785" t="n">
        <v>0</v>
      </c>
      <c r="O785" t="n">
        <v>0</v>
      </c>
      <c r="P785" t="n">
        <v>0</v>
      </c>
      <c r="Q785" t="n">
        <v>0</v>
      </c>
      <c r="R785" s="2" t="inlineStr"/>
    </row>
    <row r="786" ht="15" customHeight="1">
      <c r="A786" t="inlineStr">
        <is>
          <t>A 598-2025</t>
        </is>
      </c>
      <c r="B786" s="1" t="n">
        <v>45660</v>
      </c>
      <c r="C786" s="1" t="n">
        <v>46040</v>
      </c>
      <c r="D786" t="inlineStr">
        <is>
          <t>KALMAR LÄN</t>
        </is>
      </c>
      <c r="E786" t="inlineStr">
        <is>
          <t>VIMMERBY</t>
        </is>
      </c>
      <c r="G786" t="n">
        <v>12</v>
      </c>
      <c r="H786" t="n">
        <v>0</v>
      </c>
      <c r="I786" t="n">
        <v>0</v>
      </c>
      <c r="J786" t="n">
        <v>0</v>
      </c>
      <c r="K786" t="n">
        <v>0</v>
      </c>
      <c r="L786" t="n">
        <v>0</v>
      </c>
      <c r="M786" t="n">
        <v>0</v>
      </c>
      <c r="N786" t="n">
        <v>0</v>
      </c>
      <c r="O786" t="n">
        <v>0</v>
      </c>
      <c r="P786" t="n">
        <v>0</v>
      </c>
      <c r="Q786" t="n">
        <v>0</v>
      </c>
      <c r="R786" s="2" t="inlineStr"/>
    </row>
    <row r="787" ht="15" customHeight="1">
      <c r="A787" t="inlineStr">
        <is>
          <t>A 12586-2021</t>
        </is>
      </c>
      <c r="B787" s="1" t="n">
        <v>44270.38002314815</v>
      </c>
      <c r="C787" s="1" t="n">
        <v>46040</v>
      </c>
      <c r="D787" t="inlineStr">
        <is>
          <t>KALMAR LÄN</t>
        </is>
      </c>
      <c r="E787" t="inlineStr">
        <is>
          <t>VIMMERBY</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10674-2021</t>
        </is>
      </c>
      <c r="B788" s="1" t="n">
        <v>44258</v>
      </c>
      <c r="C788" s="1" t="n">
        <v>46040</v>
      </c>
      <c r="D788" t="inlineStr">
        <is>
          <t>KALMAR LÄN</t>
        </is>
      </c>
      <c r="E788" t="inlineStr">
        <is>
          <t>VIMMERBY</t>
        </is>
      </c>
      <c r="G788" t="n">
        <v>8.4</v>
      </c>
      <c r="H788" t="n">
        <v>0</v>
      </c>
      <c r="I788" t="n">
        <v>0</v>
      </c>
      <c r="J788" t="n">
        <v>0</v>
      </c>
      <c r="K788" t="n">
        <v>0</v>
      </c>
      <c r="L788" t="n">
        <v>0</v>
      </c>
      <c r="M788" t="n">
        <v>0</v>
      </c>
      <c r="N788" t="n">
        <v>0</v>
      </c>
      <c r="O788" t="n">
        <v>0</v>
      </c>
      <c r="P788" t="n">
        <v>0</v>
      </c>
      <c r="Q788" t="n">
        <v>0</v>
      </c>
      <c r="R788" s="2" t="inlineStr"/>
    </row>
    <row r="789" ht="15" customHeight="1">
      <c r="A789" t="inlineStr">
        <is>
          <t>A 10807-2024</t>
        </is>
      </c>
      <c r="B789" s="1" t="n">
        <v>45369.62780092593</v>
      </c>
      <c r="C789" s="1" t="n">
        <v>46040</v>
      </c>
      <c r="D789" t="inlineStr">
        <is>
          <t>KALMAR LÄN</t>
        </is>
      </c>
      <c r="E789" t="inlineStr">
        <is>
          <t>VIMMERBY</t>
        </is>
      </c>
      <c r="G789" t="n">
        <v>0.7</v>
      </c>
      <c r="H789" t="n">
        <v>0</v>
      </c>
      <c r="I789" t="n">
        <v>0</v>
      </c>
      <c r="J789" t="n">
        <v>0</v>
      </c>
      <c r="K789" t="n">
        <v>0</v>
      </c>
      <c r="L789" t="n">
        <v>0</v>
      </c>
      <c r="M789" t="n">
        <v>0</v>
      </c>
      <c r="N789" t="n">
        <v>0</v>
      </c>
      <c r="O789" t="n">
        <v>0</v>
      </c>
      <c r="P789" t="n">
        <v>0</v>
      </c>
      <c r="Q789" t="n">
        <v>0</v>
      </c>
      <c r="R789" s="2" t="inlineStr"/>
    </row>
    <row r="790" ht="15" customHeight="1">
      <c r="A790" t="inlineStr">
        <is>
          <t>A 32614-2023</t>
        </is>
      </c>
      <c r="B790" s="1" t="n">
        <v>45121</v>
      </c>
      <c r="C790" s="1" t="n">
        <v>46040</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61939-2021</t>
        </is>
      </c>
      <c r="B791" s="1" t="n">
        <v>44502</v>
      </c>
      <c r="C791" s="1" t="n">
        <v>46040</v>
      </c>
      <c r="D791" t="inlineStr">
        <is>
          <t>KALMAR LÄN</t>
        </is>
      </c>
      <c r="E791" t="inlineStr">
        <is>
          <t>VIMMERBY</t>
        </is>
      </c>
      <c r="G791" t="n">
        <v>2.7</v>
      </c>
      <c r="H791" t="n">
        <v>0</v>
      </c>
      <c r="I791" t="n">
        <v>0</v>
      </c>
      <c r="J791" t="n">
        <v>0</v>
      </c>
      <c r="K791" t="n">
        <v>0</v>
      </c>
      <c r="L791" t="n">
        <v>0</v>
      </c>
      <c r="M791" t="n">
        <v>0</v>
      </c>
      <c r="N791" t="n">
        <v>0</v>
      </c>
      <c r="O791" t="n">
        <v>0</v>
      </c>
      <c r="P791" t="n">
        <v>0</v>
      </c>
      <c r="Q791" t="n">
        <v>0</v>
      </c>
      <c r="R791" s="2" t="inlineStr"/>
    </row>
    <row r="792" ht="15" customHeight="1">
      <c r="A792" t="inlineStr">
        <is>
          <t>A 40260-2024</t>
        </is>
      </c>
      <c r="B792" s="1" t="n">
        <v>45554.63225694445</v>
      </c>
      <c r="C792" s="1" t="n">
        <v>46040</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10787-2025</t>
        </is>
      </c>
      <c r="B793" s="1" t="n">
        <v>45722.48915509259</v>
      </c>
      <c r="C793" s="1" t="n">
        <v>46040</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58577-2024</t>
        </is>
      </c>
      <c r="B794" s="1" t="n">
        <v>45635.4874537037</v>
      </c>
      <c r="C794" s="1" t="n">
        <v>46040</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38198-2024</t>
        </is>
      </c>
      <c r="B795" s="1" t="n">
        <v>45545.49508101852</v>
      </c>
      <c r="C795" s="1" t="n">
        <v>46040</v>
      </c>
      <c r="D795" t="inlineStr">
        <is>
          <t>KALMAR LÄN</t>
        </is>
      </c>
      <c r="E795" t="inlineStr">
        <is>
          <t>VIMMERBY</t>
        </is>
      </c>
      <c r="G795" t="n">
        <v>7.9</v>
      </c>
      <c r="H795" t="n">
        <v>0</v>
      </c>
      <c r="I795" t="n">
        <v>0</v>
      </c>
      <c r="J795" t="n">
        <v>0</v>
      </c>
      <c r="K795" t="n">
        <v>0</v>
      </c>
      <c r="L795" t="n">
        <v>0</v>
      </c>
      <c r="M795" t="n">
        <v>0</v>
      </c>
      <c r="N795" t="n">
        <v>0</v>
      </c>
      <c r="O795" t="n">
        <v>0</v>
      </c>
      <c r="P795" t="n">
        <v>0</v>
      </c>
      <c r="Q795" t="n">
        <v>0</v>
      </c>
      <c r="R795" s="2" t="inlineStr"/>
    </row>
    <row r="796" ht="15" customHeight="1">
      <c r="A796" t="inlineStr">
        <is>
          <t>A 43617-2024</t>
        </is>
      </c>
      <c r="B796" s="1" t="n">
        <v>45569.47494212963</v>
      </c>
      <c r="C796" s="1" t="n">
        <v>46040</v>
      </c>
      <c r="D796" t="inlineStr">
        <is>
          <t>KALMAR LÄN</t>
        </is>
      </c>
      <c r="E796" t="inlineStr">
        <is>
          <t>VIMMERBY</t>
        </is>
      </c>
      <c r="G796" t="n">
        <v>2.7</v>
      </c>
      <c r="H796" t="n">
        <v>0</v>
      </c>
      <c r="I796" t="n">
        <v>0</v>
      </c>
      <c r="J796" t="n">
        <v>0</v>
      </c>
      <c r="K796" t="n">
        <v>0</v>
      </c>
      <c r="L796" t="n">
        <v>0</v>
      </c>
      <c r="M796" t="n">
        <v>0</v>
      </c>
      <c r="N796" t="n">
        <v>0</v>
      </c>
      <c r="O796" t="n">
        <v>0</v>
      </c>
      <c r="P796" t="n">
        <v>0</v>
      </c>
      <c r="Q796" t="n">
        <v>0</v>
      </c>
      <c r="R796" s="2" t="inlineStr"/>
    </row>
    <row r="797" ht="15" customHeight="1">
      <c r="A797" t="inlineStr">
        <is>
          <t>A 22264-2023</t>
        </is>
      </c>
      <c r="B797" s="1" t="n">
        <v>45070.3665625</v>
      </c>
      <c r="C797" s="1" t="n">
        <v>46040</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22266-2023</t>
        </is>
      </c>
      <c r="B798" s="1" t="n">
        <v>45070</v>
      </c>
      <c r="C798" s="1" t="n">
        <v>46040</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50091-2023</t>
        </is>
      </c>
      <c r="B799" s="1" t="n">
        <v>45215.60199074074</v>
      </c>
      <c r="C799" s="1" t="n">
        <v>46040</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10303-2025</t>
        </is>
      </c>
      <c r="B800" s="1" t="n">
        <v>45720.44217592593</v>
      </c>
      <c r="C800" s="1" t="n">
        <v>46040</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11027-2023</t>
        </is>
      </c>
      <c r="B801" s="1" t="n">
        <v>44991.89657407408</v>
      </c>
      <c r="C801" s="1" t="n">
        <v>46040</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6218-2025</t>
        </is>
      </c>
      <c r="B802" s="1" t="n">
        <v>45698.53336805556</v>
      </c>
      <c r="C802" s="1" t="n">
        <v>46040</v>
      </c>
      <c r="D802" t="inlineStr">
        <is>
          <t>KALMAR LÄN</t>
        </is>
      </c>
      <c r="E802" t="inlineStr">
        <is>
          <t>VIMMERBY</t>
        </is>
      </c>
      <c r="G802" t="n">
        <v>1.1</v>
      </c>
      <c r="H802" t="n">
        <v>0</v>
      </c>
      <c r="I802" t="n">
        <v>0</v>
      </c>
      <c r="J802" t="n">
        <v>0</v>
      </c>
      <c r="K802" t="n">
        <v>0</v>
      </c>
      <c r="L802" t="n">
        <v>0</v>
      </c>
      <c r="M802" t="n">
        <v>0</v>
      </c>
      <c r="N802" t="n">
        <v>0</v>
      </c>
      <c r="O802" t="n">
        <v>0</v>
      </c>
      <c r="P802" t="n">
        <v>0</v>
      </c>
      <c r="Q802" t="n">
        <v>0</v>
      </c>
      <c r="R802" s="2" t="inlineStr"/>
    </row>
    <row r="803" ht="15" customHeight="1">
      <c r="A803" t="inlineStr">
        <is>
          <t>A 40076-2021</t>
        </is>
      </c>
      <c r="B803" s="1" t="n">
        <v>44418</v>
      </c>
      <c r="C803" s="1" t="n">
        <v>46040</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11661-2023</t>
        </is>
      </c>
      <c r="B804" s="1" t="n">
        <v>44994.46908564815</v>
      </c>
      <c r="C804" s="1" t="n">
        <v>46040</v>
      </c>
      <c r="D804" t="inlineStr">
        <is>
          <t>KALMAR LÄN</t>
        </is>
      </c>
      <c r="E804" t="inlineStr">
        <is>
          <t>VIMMERBY</t>
        </is>
      </c>
      <c r="G804" t="n">
        <v>2.7</v>
      </c>
      <c r="H804" t="n">
        <v>0</v>
      </c>
      <c r="I804" t="n">
        <v>0</v>
      </c>
      <c r="J804" t="n">
        <v>0</v>
      </c>
      <c r="K804" t="n">
        <v>0</v>
      </c>
      <c r="L804" t="n">
        <v>0</v>
      </c>
      <c r="M804" t="n">
        <v>0</v>
      </c>
      <c r="N804" t="n">
        <v>0</v>
      </c>
      <c r="O804" t="n">
        <v>0</v>
      </c>
      <c r="P804" t="n">
        <v>0</v>
      </c>
      <c r="Q804" t="n">
        <v>0</v>
      </c>
      <c r="R804" s="2" t="inlineStr"/>
    </row>
    <row r="805" ht="15" customHeight="1">
      <c r="A805" t="inlineStr">
        <is>
          <t>A 36155-2023</t>
        </is>
      </c>
      <c r="B805" s="1" t="n">
        <v>45149.60917824074</v>
      </c>
      <c r="C805" s="1" t="n">
        <v>46040</v>
      </c>
      <c r="D805" t="inlineStr">
        <is>
          <t>KALMAR LÄN</t>
        </is>
      </c>
      <c r="E805" t="inlineStr">
        <is>
          <t>VIMMERBY</t>
        </is>
      </c>
      <c r="G805" t="n">
        <v>5</v>
      </c>
      <c r="H805" t="n">
        <v>0</v>
      </c>
      <c r="I805" t="n">
        <v>0</v>
      </c>
      <c r="J805" t="n">
        <v>0</v>
      </c>
      <c r="K805" t="n">
        <v>0</v>
      </c>
      <c r="L805" t="n">
        <v>0</v>
      </c>
      <c r="M805" t="n">
        <v>0</v>
      </c>
      <c r="N805" t="n">
        <v>0</v>
      </c>
      <c r="O805" t="n">
        <v>0</v>
      </c>
      <c r="P805" t="n">
        <v>0</v>
      </c>
      <c r="Q805" t="n">
        <v>0</v>
      </c>
      <c r="R805" s="2" t="inlineStr"/>
    </row>
    <row r="806" ht="15" customHeight="1">
      <c r="A806" t="inlineStr">
        <is>
          <t>A 40147-2023</t>
        </is>
      </c>
      <c r="B806" s="1" t="n">
        <v>45169</v>
      </c>
      <c r="C806" s="1" t="n">
        <v>46040</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63950-2023</t>
        </is>
      </c>
      <c r="B807" s="1" t="n">
        <v>45278</v>
      </c>
      <c r="C807" s="1" t="n">
        <v>46040</v>
      </c>
      <c r="D807" t="inlineStr">
        <is>
          <t>KALMAR LÄN</t>
        </is>
      </c>
      <c r="E807" t="inlineStr">
        <is>
          <t>VIMMERBY</t>
        </is>
      </c>
      <c r="F807" t="inlineStr">
        <is>
          <t>Kyrkan</t>
        </is>
      </c>
      <c r="G807" t="n">
        <v>2.7</v>
      </c>
      <c r="H807" t="n">
        <v>0</v>
      </c>
      <c r="I807" t="n">
        <v>0</v>
      </c>
      <c r="J807" t="n">
        <v>0</v>
      </c>
      <c r="K807" t="n">
        <v>0</v>
      </c>
      <c r="L807" t="n">
        <v>0</v>
      </c>
      <c r="M807" t="n">
        <v>0</v>
      </c>
      <c r="N807" t="n">
        <v>0</v>
      </c>
      <c r="O807" t="n">
        <v>0</v>
      </c>
      <c r="P807" t="n">
        <v>0</v>
      </c>
      <c r="Q807" t="n">
        <v>0</v>
      </c>
      <c r="R807" s="2" t="inlineStr"/>
    </row>
    <row r="808" ht="15" customHeight="1">
      <c r="A808" t="inlineStr">
        <is>
          <t>A 24096-2024</t>
        </is>
      </c>
      <c r="B808" s="1" t="n">
        <v>45456.59289351852</v>
      </c>
      <c r="C808" s="1" t="n">
        <v>46040</v>
      </c>
      <c r="D808" t="inlineStr">
        <is>
          <t>KALMAR LÄN</t>
        </is>
      </c>
      <c r="E808" t="inlineStr">
        <is>
          <t>VIMMERBY</t>
        </is>
      </c>
      <c r="G808" t="n">
        <v>2.3</v>
      </c>
      <c r="H808" t="n">
        <v>0</v>
      </c>
      <c r="I808" t="n">
        <v>0</v>
      </c>
      <c r="J808" t="n">
        <v>0</v>
      </c>
      <c r="K808" t="n">
        <v>0</v>
      </c>
      <c r="L808" t="n">
        <v>0</v>
      </c>
      <c r="M808" t="n">
        <v>0</v>
      </c>
      <c r="N808" t="n">
        <v>0</v>
      </c>
      <c r="O808" t="n">
        <v>0</v>
      </c>
      <c r="P808" t="n">
        <v>0</v>
      </c>
      <c r="Q808" t="n">
        <v>0</v>
      </c>
      <c r="R808" s="2" t="inlineStr"/>
    </row>
    <row r="809" ht="15" customHeight="1">
      <c r="A809" t="inlineStr">
        <is>
          <t>A 13015-2023</t>
        </is>
      </c>
      <c r="B809" s="1" t="n">
        <v>45002</v>
      </c>
      <c r="C809" s="1" t="n">
        <v>46040</v>
      </c>
      <c r="D809" t="inlineStr">
        <is>
          <t>KALMAR LÄN</t>
        </is>
      </c>
      <c r="E809" t="inlineStr">
        <is>
          <t>VIMMERBY</t>
        </is>
      </c>
      <c r="G809" t="n">
        <v>3.2</v>
      </c>
      <c r="H809" t="n">
        <v>0</v>
      </c>
      <c r="I809" t="n">
        <v>0</v>
      </c>
      <c r="J809" t="n">
        <v>0</v>
      </c>
      <c r="K809" t="n">
        <v>0</v>
      </c>
      <c r="L809" t="n">
        <v>0</v>
      </c>
      <c r="M809" t="n">
        <v>0</v>
      </c>
      <c r="N809" t="n">
        <v>0</v>
      </c>
      <c r="O809" t="n">
        <v>0</v>
      </c>
      <c r="P809" t="n">
        <v>0</v>
      </c>
      <c r="Q809" t="n">
        <v>0</v>
      </c>
      <c r="R809" s="2" t="inlineStr"/>
    </row>
    <row r="810" ht="15" customHeight="1">
      <c r="A810" t="inlineStr">
        <is>
          <t>A 41199-2023</t>
        </is>
      </c>
      <c r="B810" s="1" t="n">
        <v>45174.40454861111</v>
      </c>
      <c r="C810" s="1" t="n">
        <v>46040</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36014-2024</t>
        </is>
      </c>
      <c r="B811" s="1" t="n">
        <v>45533.56108796296</v>
      </c>
      <c r="C811" s="1" t="n">
        <v>46040</v>
      </c>
      <c r="D811" t="inlineStr">
        <is>
          <t>KALMAR LÄN</t>
        </is>
      </c>
      <c r="E811" t="inlineStr">
        <is>
          <t>VIMMERBY</t>
        </is>
      </c>
      <c r="G811" t="n">
        <v>2.3</v>
      </c>
      <c r="H811" t="n">
        <v>0</v>
      </c>
      <c r="I811" t="n">
        <v>0</v>
      </c>
      <c r="J811" t="n">
        <v>0</v>
      </c>
      <c r="K811" t="n">
        <v>0</v>
      </c>
      <c r="L811" t="n">
        <v>0</v>
      </c>
      <c r="M811" t="n">
        <v>0</v>
      </c>
      <c r="N811" t="n">
        <v>0</v>
      </c>
      <c r="O811" t="n">
        <v>0</v>
      </c>
      <c r="P811" t="n">
        <v>0</v>
      </c>
      <c r="Q811" t="n">
        <v>0</v>
      </c>
      <c r="R811" s="2" t="inlineStr"/>
    </row>
    <row r="812" ht="15" customHeight="1">
      <c r="A812" t="inlineStr">
        <is>
          <t>A 36030-2024</t>
        </is>
      </c>
      <c r="B812" s="1" t="n">
        <v>45533.58302083334</v>
      </c>
      <c r="C812" s="1" t="n">
        <v>46040</v>
      </c>
      <c r="D812" t="inlineStr">
        <is>
          <t>KALMAR LÄN</t>
        </is>
      </c>
      <c r="E812" t="inlineStr">
        <is>
          <t>VIMMERBY</t>
        </is>
      </c>
      <c r="F812" t="inlineStr">
        <is>
          <t>Kommuner</t>
        </is>
      </c>
      <c r="G812" t="n">
        <v>4</v>
      </c>
      <c r="H812" t="n">
        <v>0</v>
      </c>
      <c r="I812" t="n">
        <v>0</v>
      </c>
      <c r="J812" t="n">
        <v>0</v>
      </c>
      <c r="K812" t="n">
        <v>0</v>
      </c>
      <c r="L812" t="n">
        <v>0</v>
      </c>
      <c r="M812" t="n">
        <v>0</v>
      </c>
      <c r="N812" t="n">
        <v>0</v>
      </c>
      <c r="O812" t="n">
        <v>0</v>
      </c>
      <c r="P812" t="n">
        <v>0</v>
      </c>
      <c r="Q812" t="n">
        <v>0</v>
      </c>
      <c r="R812" s="2" t="inlineStr"/>
    </row>
    <row r="813" ht="15" customHeight="1">
      <c r="A813" t="inlineStr">
        <is>
          <t>A 12588-2025</t>
        </is>
      </c>
      <c r="B813" s="1" t="n">
        <v>45732.76936342593</v>
      </c>
      <c r="C813" s="1" t="n">
        <v>46040</v>
      </c>
      <c r="D813" t="inlineStr">
        <is>
          <t>KALMAR LÄN</t>
        </is>
      </c>
      <c r="E813" t="inlineStr">
        <is>
          <t>VIMMERBY</t>
        </is>
      </c>
      <c r="G813" t="n">
        <v>1.6</v>
      </c>
      <c r="H813" t="n">
        <v>0</v>
      </c>
      <c r="I813" t="n">
        <v>0</v>
      </c>
      <c r="J813" t="n">
        <v>0</v>
      </c>
      <c r="K813" t="n">
        <v>0</v>
      </c>
      <c r="L813" t="n">
        <v>0</v>
      </c>
      <c r="M813" t="n">
        <v>0</v>
      </c>
      <c r="N813" t="n">
        <v>0</v>
      </c>
      <c r="O813" t="n">
        <v>0</v>
      </c>
      <c r="P813" t="n">
        <v>0</v>
      </c>
      <c r="Q813" t="n">
        <v>0</v>
      </c>
      <c r="R813" s="2" t="inlineStr"/>
    </row>
    <row r="814" ht="15" customHeight="1">
      <c r="A814" t="inlineStr">
        <is>
          <t>A 25979-2023</t>
        </is>
      </c>
      <c r="B814" s="1" t="n">
        <v>45090.89653935185</v>
      </c>
      <c r="C814" s="1" t="n">
        <v>46040</v>
      </c>
      <c r="D814" t="inlineStr">
        <is>
          <t>KALMAR LÄN</t>
        </is>
      </c>
      <c r="E814" t="inlineStr">
        <is>
          <t>VIMMERBY</t>
        </is>
      </c>
      <c r="G814" t="n">
        <v>2</v>
      </c>
      <c r="H814" t="n">
        <v>0</v>
      </c>
      <c r="I814" t="n">
        <v>0</v>
      </c>
      <c r="J814" t="n">
        <v>0</v>
      </c>
      <c r="K814" t="n">
        <v>0</v>
      </c>
      <c r="L814" t="n">
        <v>0</v>
      </c>
      <c r="M814" t="n">
        <v>0</v>
      </c>
      <c r="N814" t="n">
        <v>0</v>
      </c>
      <c r="O814" t="n">
        <v>0</v>
      </c>
      <c r="P814" t="n">
        <v>0</v>
      </c>
      <c r="Q814" t="n">
        <v>0</v>
      </c>
      <c r="R814" s="2" t="inlineStr"/>
    </row>
    <row r="815" ht="15" customHeight="1">
      <c r="A815" t="inlineStr">
        <is>
          <t>A 25980-2023</t>
        </is>
      </c>
      <c r="B815" s="1" t="n">
        <v>45090.89880787037</v>
      </c>
      <c r="C815" s="1" t="n">
        <v>46040</v>
      </c>
      <c r="D815" t="inlineStr">
        <is>
          <t>KALMAR LÄN</t>
        </is>
      </c>
      <c r="E815" t="inlineStr">
        <is>
          <t>VIMMERBY</t>
        </is>
      </c>
      <c r="G815" t="n">
        <v>0.7</v>
      </c>
      <c r="H815" t="n">
        <v>0</v>
      </c>
      <c r="I815" t="n">
        <v>0</v>
      </c>
      <c r="J815" t="n">
        <v>0</v>
      </c>
      <c r="K815" t="n">
        <v>0</v>
      </c>
      <c r="L815" t="n">
        <v>0</v>
      </c>
      <c r="M815" t="n">
        <v>0</v>
      </c>
      <c r="N815" t="n">
        <v>0</v>
      </c>
      <c r="O815" t="n">
        <v>0</v>
      </c>
      <c r="P815" t="n">
        <v>0</v>
      </c>
      <c r="Q815" t="n">
        <v>0</v>
      </c>
      <c r="R815" s="2" t="inlineStr"/>
    </row>
    <row r="816" ht="15" customHeight="1">
      <c r="A816" t="inlineStr">
        <is>
          <t>A 6321-2023</t>
        </is>
      </c>
      <c r="B816" s="1" t="n">
        <v>44965.4815162037</v>
      </c>
      <c r="C816" s="1" t="n">
        <v>46040</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52755-2022</t>
        </is>
      </c>
      <c r="B817" s="1" t="n">
        <v>44875.27736111111</v>
      </c>
      <c r="C817" s="1" t="n">
        <v>46040</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40823-2023</t>
        </is>
      </c>
      <c r="B818" s="1" t="n">
        <v>45171.77335648148</v>
      </c>
      <c r="C818" s="1" t="n">
        <v>46040</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27761-2024</t>
        </is>
      </c>
      <c r="B819" s="1" t="n">
        <v>45475.49018518518</v>
      </c>
      <c r="C819" s="1" t="n">
        <v>46040</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21028-2023</t>
        </is>
      </c>
      <c r="B820" s="1" t="n">
        <v>45061</v>
      </c>
      <c r="C820" s="1" t="n">
        <v>46040</v>
      </c>
      <c r="D820" t="inlineStr">
        <is>
          <t>KALMAR LÄN</t>
        </is>
      </c>
      <c r="E820" t="inlineStr">
        <is>
          <t>VIMMERBY</t>
        </is>
      </c>
      <c r="F820" t="inlineStr">
        <is>
          <t>Övriga Aktiebolag</t>
        </is>
      </c>
      <c r="G820" t="n">
        <v>0.7</v>
      </c>
      <c r="H820" t="n">
        <v>0</v>
      </c>
      <c r="I820" t="n">
        <v>0</v>
      </c>
      <c r="J820" t="n">
        <v>0</v>
      </c>
      <c r="K820" t="n">
        <v>0</v>
      </c>
      <c r="L820" t="n">
        <v>0</v>
      </c>
      <c r="M820" t="n">
        <v>0</v>
      </c>
      <c r="N820" t="n">
        <v>0</v>
      </c>
      <c r="O820" t="n">
        <v>0</v>
      </c>
      <c r="P820" t="n">
        <v>0</v>
      </c>
      <c r="Q820" t="n">
        <v>0</v>
      </c>
      <c r="R820" s="2" t="inlineStr"/>
    </row>
    <row r="821" ht="15" customHeight="1">
      <c r="A821" t="inlineStr">
        <is>
          <t>A 64203-2021</t>
        </is>
      </c>
      <c r="B821" s="1" t="n">
        <v>44510.60921296296</v>
      </c>
      <c r="C821" s="1" t="n">
        <v>46040</v>
      </c>
      <c r="D821" t="inlineStr">
        <is>
          <t>KALMAR LÄN</t>
        </is>
      </c>
      <c r="E821" t="inlineStr">
        <is>
          <t>VIMMERBY</t>
        </is>
      </c>
      <c r="F821" t="inlineStr">
        <is>
          <t>Övriga Aktiebolag</t>
        </is>
      </c>
      <c r="G821" t="n">
        <v>5.4</v>
      </c>
      <c r="H821" t="n">
        <v>0</v>
      </c>
      <c r="I821" t="n">
        <v>0</v>
      </c>
      <c r="J821" t="n">
        <v>0</v>
      </c>
      <c r="K821" t="n">
        <v>0</v>
      </c>
      <c r="L821" t="n">
        <v>0</v>
      </c>
      <c r="M821" t="n">
        <v>0</v>
      </c>
      <c r="N821" t="n">
        <v>0</v>
      </c>
      <c r="O821" t="n">
        <v>0</v>
      </c>
      <c r="P821" t="n">
        <v>0</v>
      </c>
      <c r="Q821" t="n">
        <v>0</v>
      </c>
      <c r="R821" s="2" t="inlineStr"/>
    </row>
    <row r="822" ht="15" customHeight="1">
      <c r="A822" t="inlineStr">
        <is>
          <t>A 1016-2024</t>
        </is>
      </c>
      <c r="B822" s="1" t="n">
        <v>45301</v>
      </c>
      <c r="C822" s="1" t="n">
        <v>46040</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1024-2024</t>
        </is>
      </c>
      <c r="B823" s="1" t="n">
        <v>45301.68237268519</v>
      </c>
      <c r="C823" s="1" t="n">
        <v>46040</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27758-2024</t>
        </is>
      </c>
      <c r="B824" s="1" t="n">
        <v>45475.48303240741</v>
      </c>
      <c r="C824" s="1" t="n">
        <v>46040</v>
      </c>
      <c r="D824" t="inlineStr">
        <is>
          <t>KALMAR LÄN</t>
        </is>
      </c>
      <c r="E824" t="inlineStr">
        <is>
          <t>VIMMERBY</t>
        </is>
      </c>
      <c r="G824" t="n">
        <v>2.6</v>
      </c>
      <c r="H824" t="n">
        <v>0</v>
      </c>
      <c r="I824" t="n">
        <v>0</v>
      </c>
      <c r="J824" t="n">
        <v>0</v>
      </c>
      <c r="K824" t="n">
        <v>0</v>
      </c>
      <c r="L824" t="n">
        <v>0</v>
      </c>
      <c r="M824" t="n">
        <v>0</v>
      </c>
      <c r="N824" t="n">
        <v>0</v>
      </c>
      <c r="O824" t="n">
        <v>0</v>
      </c>
      <c r="P824" t="n">
        <v>0</v>
      </c>
      <c r="Q824" t="n">
        <v>0</v>
      </c>
      <c r="R824" s="2" t="inlineStr"/>
    </row>
    <row r="825" ht="15" customHeight="1">
      <c r="A825" t="inlineStr">
        <is>
          <t>A 32865-2023</t>
        </is>
      </c>
      <c r="B825" s="1" t="n">
        <v>45124</v>
      </c>
      <c r="C825" s="1" t="n">
        <v>46040</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22194-2024</t>
        </is>
      </c>
      <c r="B826" s="1" t="n">
        <v>45446.36482638889</v>
      </c>
      <c r="C826" s="1" t="n">
        <v>46040</v>
      </c>
      <c r="D826" t="inlineStr">
        <is>
          <t>KALMAR LÄN</t>
        </is>
      </c>
      <c r="E826" t="inlineStr">
        <is>
          <t>VIMMERBY</t>
        </is>
      </c>
      <c r="F826" t="inlineStr">
        <is>
          <t>Sveaskog</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17926-2025</t>
        </is>
      </c>
      <c r="B827" s="1" t="n">
        <v>45759.38987268518</v>
      </c>
      <c r="C827" s="1" t="n">
        <v>46040</v>
      </c>
      <c r="D827" t="inlineStr">
        <is>
          <t>KALMAR LÄN</t>
        </is>
      </c>
      <c r="E827" t="inlineStr">
        <is>
          <t>VIMMERBY</t>
        </is>
      </c>
      <c r="G827" t="n">
        <v>1</v>
      </c>
      <c r="H827" t="n">
        <v>0</v>
      </c>
      <c r="I827" t="n">
        <v>0</v>
      </c>
      <c r="J827" t="n">
        <v>0</v>
      </c>
      <c r="K827" t="n">
        <v>0</v>
      </c>
      <c r="L827" t="n">
        <v>0</v>
      </c>
      <c r="M827" t="n">
        <v>0</v>
      </c>
      <c r="N827" t="n">
        <v>0</v>
      </c>
      <c r="O827" t="n">
        <v>0</v>
      </c>
      <c r="P827" t="n">
        <v>0</v>
      </c>
      <c r="Q827" t="n">
        <v>0</v>
      </c>
      <c r="R827" s="2" t="inlineStr"/>
    </row>
    <row r="828" ht="15" customHeight="1">
      <c r="A828" t="inlineStr">
        <is>
          <t>A 35127-2024</t>
        </is>
      </c>
      <c r="B828" s="1" t="n">
        <v>45530.33202546297</v>
      </c>
      <c r="C828" s="1" t="n">
        <v>46040</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33383-2023</t>
        </is>
      </c>
      <c r="B829" s="1" t="n">
        <v>45128.58414351852</v>
      </c>
      <c r="C829" s="1" t="n">
        <v>46040</v>
      </c>
      <c r="D829" t="inlineStr">
        <is>
          <t>KALMAR LÄN</t>
        </is>
      </c>
      <c r="E829" t="inlineStr">
        <is>
          <t>VIMMERBY</t>
        </is>
      </c>
      <c r="G829" t="n">
        <v>2.3</v>
      </c>
      <c r="H829" t="n">
        <v>0</v>
      </c>
      <c r="I829" t="n">
        <v>0</v>
      </c>
      <c r="J829" t="n">
        <v>0</v>
      </c>
      <c r="K829" t="n">
        <v>0</v>
      </c>
      <c r="L829" t="n">
        <v>0</v>
      </c>
      <c r="M829" t="n">
        <v>0</v>
      </c>
      <c r="N829" t="n">
        <v>0</v>
      </c>
      <c r="O829" t="n">
        <v>0</v>
      </c>
      <c r="P829" t="n">
        <v>0</v>
      </c>
      <c r="Q829" t="n">
        <v>0</v>
      </c>
      <c r="R829" s="2" t="inlineStr"/>
    </row>
    <row r="830" ht="15" customHeight="1">
      <c r="A830" t="inlineStr">
        <is>
          <t>A 4297-2022</t>
        </is>
      </c>
      <c r="B830" s="1" t="n">
        <v>44588</v>
      </c>
      <c r="C830" s="1" t="n">
        <v>46040</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55716-2023</t>
        </is>
      </c>
      <c r="B831" s="1" t="n">
        <v>45232</v>
      </c>
      <c r="C831" s="1" t="n">
        <v>46040</v>
      </c>
      <c r="D831" t="inlineStr">
        <is>
          <t>KALMAR LÄN</t>
        </is>
      </c>
      <c r="E831" t="inlineStr">
        <is>
          <t>VIMMERBY</t>
        </is>
      </c>
      <c r="G831" t="n">
        <v>2.3</v>
      </c>
      <c r="H831" t="n">
        <v>0</v>
      </c>
      <c r="I831" t="n">
        <v>0</v>
      </c>
      <c r="J831" t="n">
        <v>0</v>
      </c>
      <c r="K831" t="n">
        <v>0</v>
      </c>
      <c r="L831" t="n">
        <v>0</v>
      </c>
      <c r="M831" t="n">
        <v>0</v>
      </c>
      <c r="N831" t="n">
        <v>0</v>
      </c>
      <c r="O831" t="n">
        <v>0</v>
      </c>
      <c r="P831" t="n">
        <v>0</v>
      </c>
      <c r="Q831" t="n">
        <v>0</v>
      </c>
      <c r="R831" s="2" t="inlineStr"/>
    </row>
    <row r="832" ht="15" customHeight="1">
      <c r="A832" t="inlineStr">
        <is>
          <t>A 34386-2024</t>
        </is>
      </c>
      <c r="B832" s="1" t="n">
        <v>45525.41762731481</v>
      </c>
      <c r="C832" s="1" t="n">
        <v>46040</v>
      </c>
      <c r="D832" t="inlineStr">
        <is>
          <t>KALMAR LÄN</t>
        </is>
      </c>
      <c r="E832" t="inlineStr">
        <is>
          <t>VIMMERBY</t>
        </is>
      </c>
      <c r="G832" t="n">
        <v>0.3</v>
      </c>
      <c r="H832" t="n">
        <v>0</v>
      </c>
      <c r="I832" t="n">
        <v>0</v>
      </c>
      <c r="J832" t="n">
        <v>0</v>
      </c>
      <c r="K832" t="n">
        <v>0</v>
      </c>
      <c r="L832" t="n">
        <v>0</v>
      </c>
      <c r="M832" t="n">
        <v>0</v>
      </c>
      <c r="N832" t="n">
        <v>0</v>
      </c>
      <c r="O832" t="n">
        <v>0</v>
      </c>
      <c r="P832" t="n">
        <v>0</v>
      </c>
      <c r="Q832" t="n">
        <v>0</v>
      </c>
      <c r="R832" s="2" t="inlineStr"/>
    </row>
    <row r="833" ht="15" customHeight="1">
      <c r="A833" t="inlineStr">
        <is>
          <t>A 42429-2024</t>
        </is>
      </c>
      <c r="B833" s="1" t="n">
        <v>45565.40657407408</v>
      </c>
      <c r="C833" s="1" t="n">
        <v>46040</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11946-2025</t>
        </is>
      </c>
      <c r="B834" s="1" t="n">
        <v>45728.54832175926</v>
      </c>
      <c r="C834" s="1" t="n">
        <v>46040</v>
      </c>
      <c r="D834" t="inlineStr">
        <is>
          <t>KALMAR LÄN</t>
        </is>
      </c>
      <c r="E834" t="inlineStr">
        <is>
          <t>VIMMERBY</t>
        </is>
      </c>
      <c r="G834" t="n">
        <v>0.4</v>
      </c>
      <c r="H834" t="n">
        <v>0</v>
      </c>
      <c r="I834" t="n">
        <v>0</v>
      </c>
      <c r="J834" t="n">
        <v>0</v>
      </c>
      <c r="K834" t="n">
        <v>0</v>
      </c>
      <c r="L834" t="n">
        <v>0</v>
      </c>
      <c r="M834" t="n">
        <v>0</v>
      </c>
      <c r="N834" t="n">
        <v>0</v>
      </c>
      <c r="O834" t="n">
        <v>0</v>
      </c>
      <c r="P834" t="n">
        <v>0</v>
      </c>
      <c r="Q834" t="n">
        <v>0</v>
      </c>
      <c r="R834" s="2" t="inlineStr"/>
    </row>
    <row r="835" ht="15" customHeight="1">
      <c r="A835" t="inlineStr">
        <is>
          <t>A 59943-2023</t>
        </is>
      </c>
      <c r="B835" s="1" t="n">
        <v>45257.67958333333</v>
      </c>
      <c r="C835" s="1" t="n">
        <v>46040</v>
      </c>
      <c r="D835" t="inlineStr">
        <is>
          <t>KALMAR LÄN</t>
        </is>
      </c>
      <c r="E835" t="inlineStr">
        <is>
          <t>VIMMERBY</t>
        </is>
      </c>
      <c r="G835" t="n">
        <v>6.4</v>
      </c>
      <c r="H835" t="n">
        <v>0</v>
      </c>
      <c r="I835" t="n">
        <v>0</v>
      </c>
      <c r="J835" t="n">
        <v>0</v>
      </c>
      <c r="K835" t="n">
        <v>0</v>
      </c>
      <c r="L835" t="n">
        <v>0</v>
      </c>
      <c r="M835" t="n">
        <v>0</v>
      </c>
      <c r="N835" t="n">
        <v>0</v>
      </c>
      <c r="O835" t="n">
        <v>0</v>
      </c>
      <c r="P835" t="n">
        <v>0</v>
      </c>
      <c r="Q835" t="n">
        <v>0</v>
      </c>
      <c r="R835" s="2" t="inlineStr"/>
    </row>
    <row r="836" ht="15" customHeight="1">
      <c r="A836" t="inlineStr">
        <is>
          <t>A 15493-2023</t>
        </is>
      </c>
      <c r="B836" s="1" t="n">
        <v>45018</v>
      </c>
      <c r="C836" s="1" t="n">
        <v>46040</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51881-2024</t>
        </is>
      </c>
      <c r="B837" s="1" t="n">
        <v>45607.56773148148</v>
      </c>
      <c r="C837" s="1" t="n">
        <v>46040</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1021-2024</t>
        </is>
      </c>
      <c r="B838" s="1" t="n">
        <v>45301.67736111111</v>
      </c>
      <c r="C838" s="1" t="n">
        <v>46040</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32569-2024</t>
        </is>
      </c>
      <c r="B839" s="1" t="n">
        <v>45513.55840277778</v>
      </c>
      <c r="C839" s="1" t="n">
        <v>46040</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32575-2024</t>
        </is>
      </c>
      <c r="B840" s="1" t="n">
        <v>45513.56527777778</v>
      </c>
      <c r="C840" s="1" t="n">
        <v>46040</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30063-2023</t>
        </is>
      </c>
      <c r="B841" s="1" t="n">
        <v>45110.4184375</v>
      </c>
      <c r="C841" s="1" t="n">
        <v>46040</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17482-2024</t>
        </is>
      </c>
      <c r="B842" s="1" t="n">
        <v>45415.47848379629</v>
      </c>
      <c r="C842" s="1" t="n">
        <v>46040</v>
      </c>
      <c r="D842" t="inlineStr">
        <is>
          <t>KALMAR LÄN</t>
        </is>
      </c>
      <c r="E842" t="inlineStr">
        <is>
          <t>VIMMERBY</t>
        </is>
      </c>
      <c r="G842" t="n">
        <v>1.7</v>
      </c>
      <c r="H842" t="n">
        <v>0</v>
      </c>
      <c r="I842" t="n">
        <v>0</v>
      </c>
      <c r="J842" t="n">
        <v>0</v>
      </c>
      <c r="K842" t="n">
        <v>0</v>
      </c>
      <c r="L842" t="n">
        <v>0</v>
      </c>
      <c r="M842" t="n">
        <v>0</v>
      </c>
      <c r="N842" t="n">
        <v>0</v>
      </c>
      <c r="O842" t="n">
        <v>0</v>
      </c>
      <c r="P842" t="n">
        <v>0</v>
      </c>
      <c r="Q842" t="n">
        <v>0</v>
      </c>
      <c r="R842" s="2" t="inlineStr"/>
    </row>
    <row r="843" ht="15" customHeight="1">
      <c r="A843" t="inlineStr">
        <is>
          <t>A 13817-2024</t>
        </is>
      </c>
      <c r="B843" s="1" t="n">
        <v>45391.41976851852</v>
      </c>
      <c r="C843" s="1" t="n">
        <v>46040</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30406-2023</t>
        </is>
      </c>
      <c r="B844" s="1" t="n">
        <v>45111.48787037037</v>
      </c>
      <c r="C844" s="1" t="n">
        <v>46040</v>
      </c>
      <c r="D844" t="inlineStr">
        <is>
          <t>KALMAR LÄN</t>
        </is>
      </c>
      <c r="E844" t="inlineStr">
        <is>
          <t>VIMMERBY</t>
        </is>
      </c>
      <c r="G844" t="n">
        <v>2.4</v>
      </c>
      <c r="H844" t="n">
        <v>0</v>
      </c>
      <c r="I844" t="n">
        <v>0</v>
      </c>
      <c r="J844" t="n">
        <v>0</v>
      </c>
      <c r="K844" t="n">
        <v>0</v>
      </c>
      <c r="L844" t="n">
        <v>0</v>
      </c>
      <c r="M844" t="n">
        <v>0</v>
      </c>
      <c r="N844" t="n">
        <v>0</v>
      </c>
      <c r="O844" t="n">
        <v>0</v>
      </c>
      <c r="P844" t="n">
        <v>0</v>
      </c>
      <c r="Q844" t="n">
        <v>0</v>
      </c>
      <c r="R844" s="2" t="inlineStr"/>
    </row>
    <row r="845" ht="15" customHeight="1">
      <c r="A845" t="inlineStr">
        <is>
          <t>A 29020-2024</t>
        </is>
      </c>
      <c r="B845" s="1" t="n">
        <v>45481.58048611111</v>
      </c>
      <c r="C845" s="1" t="n">
        <v>46040</v>
      </c>
      <c r="D845" t="inlineStr">
        <is>
          <t>KALMAR LÄN</t>
        </is>
      </c>
      <c r="E845" t="inlineStr">
        <is>
          <t>VIMMERBY</t>
        </is>
      </c>
      <c r="G845" t="n">
        <v>2.3</v>
      </c>
      <c r="H845" t="n">
        <v>0</v>
      </c>
      <c r="I845" t="n">
        <v>0</v>
      </c>
      <c r="J845" t="n">
        <v>0</v>
      </c>
      <c r="K845" t="n">
        <v>0</v>
      </c>
      <c r="L845" t="n">
        <v>0</v>
      </c>
      <c r="M845" t="n">
        <v>0</v>
      </c>
      <c r="N845" t="n">
        <v>0</v>
      </c>
      <c r="O845" t="n">
        <v>0</v>
      </c>
      <c r="P845" t="n">
        <v>0</v>
      </c>
      <c r="Q845" t="n">
        <v>0</v>
      </c>
      <c r="R845" s="2" t="inlineStr"/>
    </row>
    <row r="846" ht="15" customHeight="1">
      <c r="A846" t="inlineStr">
        <is>
          <t>A 25582-2024</t>
        </is>
      </c>
      <c r="B846" s="1" t="n">
        <v>45463</v>
      </c>
      <c r="C846" s="1" t="n">
        <v>46040</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57578-2024</t>
        </is>
      </c>
      <c r="B847" s="1" t="n">
        <v>45630.47564814815</v>
      </c>
      <c r="C847" s="1" t="n">
        <v>46040</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22399-2025</t>
        </is>
      </c>
      <c r="B848" s="1" t="n">
        <v>45786.52996527778</v>
      </c>
      <c r="C848" s="1" t="n">
        <v>46040</v>
      </c>
      <c r="D848" t="inlineStr">
        <is>
          <t>KALMAR LÄN</t>
        </is>
      </c>
      <c r="E848" t="inlineStr">
        <is>
          <t>VIMMERBY</t>
        </is>
      </c>
      <c r="G848" t="n">
        <v>2.1</v>
      </c>
      <c r="H848" t="n">
        <v>0</v>
      </c>
      <c r="I848" t="n">
        <v>0</v>
      </c>
      <c r="J848" t="n">
        <v>0</v>
      </c>
      <c r="K848" t="n">
        <v>0</v>
      </c>
      <c r="L848" t="n">
        <v>0</v>
      </c>
      <c r="M848" t="n">
        <v>0</v>
      </c>
      <c r="N848" t="n">
        <v>0</v>
      </c>
      <c r="O848" t="n">
        <v>0</v>
      </c>
      <c r="P848" t="n">
        <v>0</v>
      </c>
      <c r="Q848" t="n">
        <v>0</v>
      </c>
      <c r="R848" s="2" t="inlineStr"/>
    </row>
    <row r="849" ht="15" customHeight="1">
      <c r="A849" t="inlineStr">
        <is>
          <t>A 22397-2025</t>
        </is>
      </c>
      <c r="B849" s="1" t="n">
        <v>45786.52878472222</v>
      </c>
      <c r="C849" s="1" t="n">
        <v>46040</v>
      </c>
      <c r="D849" t="inlineStr">
        <is>
          <t>KALMAR LÄN</t>
        </is>
      </c>
      <c r="E849" t="inlineStr">
        <is>
          <t>VIMMERBY</t>
        </is>
      </c>
      <c r="G849" t="n">
        <v>0.8</v>
      </c>
      <c r="H849" t="n">
        <v>0</v>
      </c>
      <c r="I849" t="n">
        <v>0</v>
      </c>
      <c r="J849" t="n">
        <v>0</v>
      </c>
      <c r="K849" t="n">
        <v>0</v>
      </c>
      <c r="L849" t="n">
        <v>0</v>
      </c>
      <c r="M849" t="n">
        <v>0</v>
      </c>
      <c r="N849" t="n">
        <v>0</v>
      </c>
      <c r="O849" t="n">
        <v>0</v>
      </c>
      <c r="P849" t="n">
        <v>0</v>
      </c>
      <c r="Q849" t="n">
        <v>0</v>
      </c>
      <c r="R849" s="2" t="inlineStr"/>
    </row>
    <row r="850" ht="15" customHeight="1">
      <c r="A850" t="inlineStr">
        <is>
          <t>A 11442-2025</t>
        </is>
      </c>
      <c r="B850" s="1" t="n">
        <v>45726.62721064815</v>
      </c>
      <c r="C850" s="1" t="n">
        <v>46040</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6307-2025</t>
        </is>
      </c>
      <c r="B851" s="1" t="n">
        <v>45698.69016203703</v>
      </c>
      <c r="C851" s="1" t="n">
        <v>46040</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23394-2025</t>
        </is>
      </c>
      <c r="B852" s="1" t="n">
        <v>45791.89865740741</v>
      </c>
      <c r="C852" s="1" t="n">
        <v>46040</v>
      </c>
      <c r="D852" t="inlineStr">
        <is>
          <t>KALMAR LÄN</t>
        </is>
      </c>
      <c r="E852" t="inlineStr">
        <is>
          <t>VIMMERBY</t>
        </is>
      </c>
      <c r="G852" t="n">
        <v>3.1</v>
      </c>
      <c r="H852" t="n">
        <v>0</v>
      </c>
      <c r="I852" t="n">
        <v>0</v>
      </c>
      <c r="J852" t="n">
        <v>0</v>
      </c>
      <c r="K852" t="n">
        <v>0</v>
      </c>
      <c r="L852" t="n">
        <v>0</v>
      </c>
      <c r="M852" t="n">
        <v>0</v>
      </c>
      <c r="N852" t="n">
        <v>0</v>
      </c>
      <c r="O852" t="n">
        <v>0</v>
      </c>
      <c r="P852" t="n">
        <v>0</v>
      </c>
      <c r="Q852" t="n">
        <v>0</v>
      </c>
      <c r="R852" s="2" t="inlineStr"/>
    </row>
    <row r="853" ht="15" customHeight="1">
      <c r="A853" t="inlineStr">
        <is>
          <t>A 23984-2025</t>
        </is>
      </c>
      <c r="B853" s="1" t="n">
        <v>45796</v>
      </c>
      <c r="C853" s="1" t="n">
        <v>46040</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51278-2024</t>
        </is>
      </c>
      <c r="B854" s="1" t="n">
        <v>45603.74959490741</v>
      </c>
      <c r="C854" s="1" t="n">
        <v>46040</v>
      </c>
      <c r="D854" t="inlineStr">
        <is>
          <t>KALMAR LÄN</t>
        </is>
      </c>
      <c r="E854" t="inlineStr">
        <is>
          <t>VIMMERBY</t>
        </is>
      </c>
      <c r="G854" t="n">
        <v>3.4</v>
      </c>
      <c r="H854" t="n">
        <v>0</v>
      </c>
      <c r="I854" t="n">
        <v>0</v>
      </c>
      <c r="J854" t="n">
        <v>0</v>
      </c>
      <c r="K854" t="n">
        <v>0</v>
      </c>
      <c r="L854" t="n">
        <v>0</v>
      </c>
      <c r="M854" t="n">
        <v>0</v>
      </c>
      <c r="N854" t="n">
        <v>0</v>
      </c>
      <c r="O854" t="n">
        <v>0</v>
      </c>
      <c r="P854" t="n">
        <v>0</v>
      </c>
      <c r="Q854" t="n">
        <v>0</v>
      </c>
      <c r="R854" s="2" t="inlineStr"/>
    </row>
    <row r="855" ht="15" customHeight="1">
      <c r="A855" t="inlineStr">
        <is>
          <t>A 35082-2024</t>
        </is>
      </c>
      <c r="B855" s="1" t="n">
        <v>45527.68784722222</v>
      </c>
      <c r="C855" s="1" t="n">
        <v>46040</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44582-2024</t>
        </is>
      </c>
      <c r="B856" s="1" t="n">
        <v>45574.49298611111</v>
      </c>
      <c r="C856" s="1" t="n">
        <v>46040</v>
      </c>
      <c r="D856" t="inlineStr">
        <is>
          <t>KALMAR LÄN</t>
        </is>
      </c>
      <c r="E856" t="inlineStr">
        <is>
          <t>VIMMERBY</t>
        </is>
      </c>
      <c r="G856" t="n">
        <v>1.1</v>
      </c>
      <c r="H856" t="n">
        <v>0</v>
      </c>
      <c r="I856" t="n">
        <v>0</v>
      </c>
      <c r="J856" t="n">
        <v>0</v>
      </c>
      <c r="K856" t="n">
        <v>0</v>
      </c>
      <c r="L856" t="n">
        <v>0</v>
      </c>
      <c r="M856" t="n">
        <v>0</v>
      </c>
      <c r="N856" t="n">
        <v>0</v>
      </c>
      <c r="O856" t="n">
        <v>0</v>
      </c>
      <c r="P856" t="n">
        <v>0</v>
      </c>
      <c r="Q856" t="n">
        <v>0</v>
      </c>
      <c r="R856" s="2" t="inlineStr"/>
    </row>
    <row r="857" ht="15" customHeight="1">
      <c r="A857" t="inlineStr">
        <is>
          <t>A 9456-2025</t>
        </is>
      </c>
      <c r="B857" s="1" t="n">
        <v>45715.44159722222</v>
      </c>
      <c r="C857" s="1" t="n">
        <v>46040</v>
      </c>
      <c r="D857" t="inlineStr">
        <is>
          <t>KALMAR LÄN</t>
        </is>
      </c>
      <c r="E857" t="inlineStr">
        <is>
          <t>VIMMERBY</t>
        </is>
      </c>
      <c r="G857" t="n">
        <v>1.5</v>
      </c>
      <c r="H857" t="n">
        <v>0</v>
      </c>
      <c r="I857" t="n">
        <v>0</v>
      </c>
      <c r="J857" t="n">
        <v>0</v>
      </c>
      <c r="K857" t="n">
        <v>0</v>
      </c>
      <c r="L857" t="n">
        <v>0</v>
      </c>
      <c r="M857" t="n">
        <v>0</v>
      </c>
      <c r="N857" t="n">
        <v>0</v>
      </c>
      <c r="O857" t="n">
        <v>0</v>
      </c>
      <c r="P857" t="n">
        <v>0</v>
      </c>
      <c r="Q857" t="n">
        <v>0</v>
      </c>
      <c r="R857" s="2" t="inlineStr"/>
    </row>
    <row r="858" ht="15" customHeight="1">
      <c r="A858" t="inlineStr">
        <is>
          <t>A 11111-2023</t>
        </is>
      </c>
      <c r="B858" s="1" t="n">
        <v>44992.4255787037</v>
      </c>
      <c r="C858" s="1" t="n">
        <v>46040</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58724-2024</t>
        </is>
      </c>
      <c r="B859" s="1" t="n">
        <v>45635.66409722222</v>
      </c>
      <c r="C859" s="1" t="n">
        <v>46040</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15494-2024</t>
        </is>
      </c>
      <c r="B860" s="1" t="n">
        <v>45401.53033564815</v>
      </c>
      <c r="C860" s="1" t="n">
        <v>46040</v>
      </c>
      <c r="D860" t="inlineStr">
        <is>
          <t>KALMAR LÄN</t>
        </is>
      </c>
      <c r="E860" t="inlineStr">
        <is>
          <t>VIMMERBY</t>
        </is>
      </c>
      <c r="G860" t="n">
        <v>3.2</v>
      </c>
      <c r="H860" t="n">
        <v>0</v>
      </c>
      <c r="I860" t="n">
        <v>0</v>
      </c>
      <c r="J860" t="n">
        <v>0</v>
      </c>
      <c r="K860" t="n">
        <v>0</v>
      </c>
      <c r="L860" t="n">
        <v>0</v>
      </c>
      <c r="M860" t="n">
        <v>0</v>
      </c>
      <c r="N860" t="n">
        <v>0</v>
      </c>
      <c r="O860" t="n">
        <v>0</v>
      </c>
      <c r="P860" t="n">
        <v>0</v>
      </c>
      <c r="Q860" t="n">
        <v>0</v>
      </c>
      <c r="R860" s="2" t="inlineStr"/>
    </row>
    <row r="861" ht="15" customHeight="1">
      <c r="A861" t="inlineStr">
        <is>
          <t>A 26039-2025</t>
        </is>
      </c>
      <c r="B861" s="1" t="n">
        <v>45804.6953587963</v>
      </c>
      <c r="C861" s="1" t="n">
        <v>46040</v>
      </c>
      <c r="D861" t="inlineStr">
        <is>
          <t>KALMAR LÄN</t>
        </is>
      </c>
      <c r="E861" t="inlineStr">
        <is>
          <t>VIMMERBY</t>
        </is>
      </c>
      <c r="F861" t="inlineStr">
        <is>
          <t>Sveaskog</t>
        </is>
      </c>
      <c r="G861" t="n">
        <v>5.2</v>
      </c>
      <c r="H861" t="n">
        <v>0</v>
      </c>
      <c r="I861" t="n">
        <v>0</v>
      </c>
      <c r="J861" t="n">
        <v>0</v>
      </c>
      <c r="K861" t="n">
        <v>0</v>
      </c>
      <c r="L861" t="n">
        <v>0</v>
      </c>
      <c r="M861" t="n">
        <v>0</v>
      </c>
      <c r="N861" t="n">
        <v>0</v>
      </c>
      <c r="O861" t="n">
        <v>0</v>
      </c>
      <c r="P861" t="n">
        <v>0</v>
      </c>
      <c r="Q861" t="n">
        <v>0</v>
      </c>
      <c r="R861" s="2" t="inlineStr"/>
    </row>
    <row r="862" ht="15" customHeight="1">
      <c r="A862" t="inlineStr">
        <is>
          <t>A 26046-2025</t>
        </is>
      </c>
      <c r="B862" s="1" t="n">
        <v>45804.708125</v>
      </c>
      <c r="C862" s="1" t="n">
        <v>46040</v>
      </c>
      <c r="D862" t="inlineStr">
        <is>
          <t>KALMAR LÄN</t>
        </is>
      </c>
      <c r="E862" t="inlineStr">
        <is>
          <t>VIMMERBY</t>
        </is>
      </c>
      <c r="F862" t="inlineStr">
        <is>
          <t>Sveaskog</t>
        </is>
      </c>
      <c r="G862" t="n">
        <v>5.1</v>
      </c>
      <c r="H862" t="n">
        <v>0</v>
      </c>
      <c r="I862" t="n">
        <v>0</v>
      </c>
      <c r="J862" t="n">
        <v>0</v>
      </c>
      <c r="K862" t="n">
        <v>0</v>
      </c>
      <c r="L862" t="n">
        <v>0</v>
      </c>
      <c r="M862" t="n">
        <v>0</v>
      </c>
      <c r="N862" t="n">
        <v>0</v>
      </c>
      <c r="O862" t="n">
        <v>0</v>
      </c>
      <c r="P862" t="n">
        <v>0</v>
      </c>
      <c r="Q862" t="n">
        <v>0</v>
      </c>
      <c r="R862" s="2" t="inlineStr"/>
    </row>
    <row r="863" ht="15" customHeight="1">
      <c r="A863" t="inlineStr">
        <is>
          <t>A 25792-2025</t>
        </is>
      </c>
      <c r="B863" s="1" t="n">
        <v>45804.39141203704</v>
      </c>
      <c r="C863" s="1" t="n">
        <v>46040</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25830-2025</t>
        </is>
      </c>
      <c r="B864" s="1" t="n">
        <v>45804.44519675926</v>
      </c>
      <c r="C864" s="1" t="n">
        <v>46040</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26124-2025</t>
        </is>
      </c>
      <c r="B865" s="1" t="n">
        <v>45805.39247685186</v>
      </c>
      <c r="C865" s="1" t="n">
        <v>46040</v>
      </c>
      <c r="D865" t="inlineStr">
        <is>
          <t>KALMAR LÄN</t>
        </is>
      </c>
      <c r="E865" t="inlineStr">
        <is>
          <t>VIMMERBY</t>
        </is>
      </c>
      <c r="G865" t="n">
        <v>6.6</v>
      </c>
      <c r="H865" t="n">
        <v>0</v>
      </c>
      <c r="I865" t="n">
        <v>0</v>
      </c>
      <c r="J865" t="n">
        <v>0</v>
      </c>
      <c r="K865" t="n">
        <v>0</v>
      </c>
      <c r="L865" t="n">
        <v>0</v>
      </c>
      <c r="M865" t="n">
        <v>0</v>
      </c>
      <c r="N865" t="n">
        <v>0</v>
      </c>
      <c r="O865" t="n">
        <v>0</v>
      </c>
      <c r="P865" t="n">
        <v>0</v>
      </c>
      <c r="Q865" t="n">
        <v>0</v>
      </c>
      <c r="R865" s="2" t="inlineStr"/>
    </row>
    <row r="866" ht="15" customHeight="1">
      <c r="A866" t="inlineStr">
        <is>
          <t>A 26254-2025</t>
        </is>
      </c>
      <c r="B866" s="1" t="n">
        <v>45805</v>
      </c>
      <c r="C866" s="1" t="n">
        <v>46040</v>
      </c>
      <c r="D866" t="inlineStr">
        <is>
          <t>KALMAR LÄN</t>
        </is>
      </c>
      <c r="E866" t="inlineStr">
        <is>
          <t>VIMMERBY</t>
        </is>
      </c>
      <c r="G866" t="n">
        <v>2</v>
      </c>
      <c r="H866" t="n">
        <v>0</v>
      </c>
      <c r="I866" t="n">
        <v>0</v>
      </c>
      <c r="J866" t="n">
        <v>0</v>
      </c>
      <c r="K866" t="n">
        <v>0</v>
      </c>
      <c r="L866" t="n">
        <v>0</v>
      </c>
      <c r="M866" t="n">
        <v>0</v>
      </c>
      <c r="N866" t="n">
        <v>0</v>
      </c>
      <c r="O866" t="n">
        <v>0</v>
      </c>
      <c r="P866" t="n">
        <v>0</v>
      </c>
      <c r="Q866" t="n">
        <v>0</v>
      </c>
      <c r="R866" s="2" t="inlineStr"/>
    </row>
    <row r="867" ht="15" customHeight="1">
      <c r="A867" t="inlineStr">
        <is>
          <t>A 26207-2025</t>
        </is>
      </c>
      <c r="B867" s="1" t="n">
        <v>45805.52983796296</v>
      </c>
      <c r="C867" s="1" t="n">
        <v>46040</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28290-2025</t>
        </is>
      </c>
      <c r="B868" s="1" t="n">
        <v>45818.59261574074</v>
      </c>
      <c r="C868" s="1" t="n">
        <v>46040</v>
      </c>
      <c r="D868" t="inlineStr">
        <is>
          <t>KALMAR LÄN</t>
        </is>
      </c>
      <c r="E868" t="inlineStr">
        <is>
          <t>VIMMERBY</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28280-2025</t>
        </is>
      </c>
      <c r="B869" s="1" t="n">
        <v>45818.5862037037</v>
      </c>
      <c r="C869" s="1" t="n">
        <v>46040</v>
      </c>
      <c r="D869" t="inlineStr">
        <is>
          <t>KALMAR LÄN</t>
        </is>
      </c>
      <c r="E869" t="inlineStr">
        <is>
          <t>VIMMERBY</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28286-2025</t>
        </is>
      </c>
      <c r="B870" s="1" t="n">
        <v>45818.58993055556</v>
      </c>
      <c r="C870" s="1" t="n">
        <v>46040</v>
      </c>
      <c r="D870" t="inlineStr">
        <is>
          <t>KALMAR LÄN</t>
        </is>
      </c>
      <c r="E870" t="inlineStr">
        <is>
          <t>VIMMERBY</t>
        </is>
      </c>
      <c r="F870" t="inlineStr">
        <is>
          <t>Sveaskog</t>
        </is>
      </c>
      <c r="G870" t="n">
        <v>8</v>
      </c>
      <c r="H870" t="n">
        <v>0</v>
      </c>
      <c r="I870" t="n">
        <v>0</v>
      </c>
      <c r="J870" t="n">
        <v>0</v>
      </c>
      <c r="K870" t="n">
        <v>0</v>
      </c>
      <c r="L870" t="n">
        <v>0</v>
      </c>
      <c r="M870" t="n">
        <v>0</v>
      </c>
      <c r="N870" t="n">
        <v>0</v>
      </c>
      <c r="O870" t="n">
        <v>0</v>
      </c>
      <c r="P870" t="n">
        <v>0</v>
      </c>
      <c r="Q870" t="n">
        <v>0</v>
      </c>
      <c r="R870" s="2" t="inlineStr"/>
    </row>
    <row r="871" ht="15" customHeight="1">
      <c r="A871" t="inlineStr">
        <is>
          <t>A 28282-2025</t>
        </is>
      </c>
      <c r="B871" s="1" t="n">
        <v>45818.58769675926</v>
      </c>
      <c r="C871" s="1" t="n">
        <v>46040</v>
      </c>
      <c r="D871" t="inlineStr">
        <is>
          <t>KALMAR LÄN</t>
        </is>
      </c>
      <c r="E871" t="inlineStr">
        <is>
          <t>VIMMERBY</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28294-2025</t>
        </is>
      </c>
      <c r="B872" s="1" t="n">
        <v>45818.595625</v>
      </c>
      <c r="C872" s="1" t="n">
        <v>46040</v>
      </c>
      <c r="D872" t="inlineStr">
        <is>
          <t>KALMAR LÄN</t>
        </is>
      </c>
      <c r="E872" t="inlineStr">
        <is>
          <t>VIMMERBY</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28713-2025</t>
        </is>
      </c>
      <c r="B873" s="1" t="n">
        <v>45820.33930555556</v>
      </c>
      <c r="C873" s="1" t="n">
        <v>46040</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28712-2025</t>
        </is>
      </c>
      <c r="B874" s="1" t="n">
        <v>45820.33708333333</v>
      </c>
      <c r="C874" s="1" t="n">
        <v>46040</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28714-2025</t>
        </is>
      </c>
      <c r="B875" s="1" t="n">
        <v>45820.34128472222</v>
      </c>
      <c r="C875" s="1" t="n">
        <v>46040</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28620-2025</t>
        </is>
      </c>
      <c r="B876" s="1" t="n">
        <v>45819.61060185185</v>
      </c>
      <c r="C876" s="1" t="n">
        <v>46040</v>
      </c>
      <c r="D876" t="inlineStr">
        <is>
          <t>KALMAR LÄN</t>
        </is>
      </c>
      <c r="E876" t="inlineStr">
        <is>
          <t>VIMMERBY</t>
        </is>
      </c>
      <c r="G876" t="n">
        <v>5.6</v>
      </c>
      <c r="H876" t="n">
        <v>0</v>
      </c>
      <c r="I876" t="n">
        <v>0</v>
      </c>
      <c r="J876" t="n">
        <v>0</v>
      </c>
      <c r="K876" t="n">
        <v>0</v>
      </c>
      <c r="L876" t="n">
        <v>0</v>
      </c>
      <c r="M876" t="n">
        <v>0</v>
      </c>
      <c r="N876" t="n">
        <v>0</v>
      </c>
      <c r="O876" t="n">
        <v>0</v>
      </c>
      <c r="P876" t="n">
        <v>0</v>
      </c>
      <c r="Q876" t="n">
        <v>0</v>
      </c>
      <c r="R876" s="2" t="inlineStr"/>
    </row>
    <row r="877" ht="15" customHeight="1">
      <c r="A877" t="inlineStr">
        <is>
          <t>A 29727-2025</t>
        </is>
      </c>
      <c r="B877" s="1" t="n">
        <v>45825.5796875</v>
      </c>
      <c r="C877" s="1" t="n">
        <v>46040</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29737-2025</t>
        </is>
      </c>
      <c r="B878" s="1" t="n">
        <v>45825.58672453704</v>
      </c>
      <c r="C878" s="1" t="n">
        <v>46040</v>
      </c>
      <c r="D878" t="inlineStr">
        <is>
          <t>KALMAR LÄN</t>
        </is>
      </c>
      <c r="E878" t="inlineStr">
        <is>
          <t>VIMMERBY</t>
        </is>
      </c>
      <c r="G878" t="n">
        <v>1.2</v>
      </c>
      <c r="H878" t="n">
        <v>0</v>
      </c>
      <c r="I878" t="n">
        <v>0</v>
      </c>
      <c r="J878" t="n">
        <v>0</v>
      </c>
      <c r="K878" t="n">
        <v>0</v>
      </c>
      <c r="L878" t="n">
        <v>0</v>
      </c>
      <c r="M878" t="n">
        <v>0</v>
      </c>
      <c r="N878" t="n">
        <v>0</v>
      </c>
      <c r="O878" t="n">
        <v>0</v>
      </c>
      <c r="P878" t="n">
        <v>0</v>
      </c>
      <c r="Q878" t="n">
        <v>0</v>
      </c>
      <c r="R878" s="2" t="inlineStr"/>
    </row>
    <row r="879" ht="15" customHeight="1">
      <c r="A879" t="inlineStr">
        <is>
          <t>A 30293-2025</t>
        </is>
      </c>
      <c r="B879" s="1" t="n">
        <v>45827</v>
      </c>
      <c r="C879" s="1" t="n">
        <v>46040</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30290-2025</t>
        </is>
      </c>
      <c r="B880" s="1" t="n">
        <v>45827</v>
      </c>
      <c r="C880" s="1" t="n">
        <v>46040</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30850-2025</t>
        </is>
      </c>
      <c r="B881" s="1" t="n">
        <v>45831</v>
      </c>
      <c r="C881" s="1" t="n">
        <v>46040</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ht="15" customHeight="1">
      <c r="A882" t="inlineStr">
        <is>
          <t>A 30882-2025</t>
        </is>
      </c>
      <c r="B882" s="1" t="n">
        <v>45832.34540509259</v>
      </c>
      <c r="C882" s="1" t="n">
        <v>46040</v>
      </c>
      <c r="D882" t="inlineStr">
        <is>
          <t>KALMAR LÄN</t>
        </is>
      </c>
      <c r="E882" t="inlineStr">
        <is>
          <t>VIMMERBY</t>
        </is>
      </c>
      <c r="G882" t="n">
        <v>0.7</v>
      </c>
      <c r="H882" t="n">
        <v>0</v>
      </c>
      <c r="I882" t="n">
        <v>0</v>
      </c>
      <c r="J882" t="n">
        <v>0</v>
      </c>
      <c r="K882" t="n">
        <v>0</v>
      </c>
      <c r="L882" t="n">
        <v>0</v>
      </c>
      <c r="M882" t="n">
        <v>0</v>
      </c>
      <c r="N882" t="n">
        <v>0</v>
      </c>
      <c r="O882" t="n">
        <v>0</v>
      </c>
      <c r="P882" t="n">
        <v>0</v>
      </c>
      <c r="Q882" t="n">
        <v>0</v>
      </c>
      <c r="R882" s="2" t="inlineStr"/>
    </row>
    <row r="883" ht="15" customHeight="1">
      <c r="A883" t="inlineStr">
        <is>
          <t>A 30971-2025</t>
        </is>
      </c>
      <c r="B883" s="1" t="n">
        <v>45832.46146990741</v>
      </c>
      <c r="C883" s="1" t="n">
        <v>46040</v>
      </c>
      <c r="D883" t="inlineStr">
        <is>
          <t>KALMAR LÄN</t>
        </is>
      </c>
      <c r="E883" t="inlineStr">
        <is>
          <t>VIMMERBY</t>
        </is>
      </c>
      <c r="G883" t="n">
        <v>1.2</v>
      </c>
      <c r="H883" t="n">
        <v>0</v>
      </c>
      <c r="I883" t="n">
        <v>0</v>
      </c>
      <c r="J883" t="n">
        <v>0</v>
      </c>
      <c r="K883" t="n">
        <v>0</v>
      </c>
      <c r="L883" t="n">
        <v>0</v>
      </c>
      <c r="M883" t="n">
        <v>0</v>
      </c>
      <c r="N883" t="n">
        <v>0</v>
      </c>
      <c r="O883" t="n">
        <v>0</v>
      </c>
      <c r="P883" t="n">
        <v>0</v>
      </c>
      <c r="Q883" t="n">
        <v>0</v>
      </c>
      <c r="R883" s="2" t="inlineStr"/>
    </row>
    <row r="884" ht="15" customHeight="1">
      <c r="A884" t="inlineStr">
        <is>
          <t>A 31552-2025</t>
        </is>
      </c>
      <c r="B884" s="1" t="n">
        <v>45833.64563657407</v>
      </c>
      <c r="C884" s="1" t="n">
        <v>46040</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31555-2025</t>
        </is>
      </c>
      <c r="B885" s="1" t="n">
        <v>45833.64814814815</v>
      </c>
      <c r="C885" s="1" t="n">
        <v>46040</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31870-2025</t>
        </is>
      </c>
      <c r="B886" s="1" t="n">
        <v>45834.64667824074</v>
      </c>
      <c r="C886" s="1" t="n">
        <v>46040</v>
      </c>
      <c r="D886" t="inlineStr">
        <is>
          <t>KALMAR LÄN</t>
        </is>
      </c>
      <c r="E886" t="inlineStr">
        <is>
          <t>VIMMERBY</t>
        </is>
      </c>
      <c r="F886" t="inlineStr">
        <is>
          <t>Sveaskog</t>
        </is>
      </c>
      <c r="G886" t="n">
        <v>3.5</v>
      </c>
      <c r="H886" t="n">
        <v>0</v>
      </c>
      <c r="I886" t="n">
        <v>0</v>
      </c>
      <c r="J886" t="n">
        <v>0</v>
      </c>
      <c r="K886" t="n">
        <v>0</v>
      </c>
      <c r="L886" t="n">
        <v>0</v>
      </c>
      <c r="M886" t="n">
        <v>0</v>
      </c>
      <c r="N886" t="n">
        <v>0</v>
      </c>
      <c r="O886" t="n">
        <v>0</v>
      </c>
      <c r="P886" t="n">
        <v>0</v>
      </c>
      <c r="Q886" t="n">
        <v>0</v>
      </c>
      <c r="R886" s="2" t="inlineStr"/>
    </row>
    <row r="887" ht="15" customHeight="1">
      <c r="A887" t="inlineStr">
        <is>
          <t>A 8559-2025</t>
        </is>
      </c>
      <c r="B887" s="1" t="n">
        <v>45709.62280092593</v>
      </c>
      <c r="C887" s="1" t="n">
        <v>46040</v>
      </c>
      <c r="D887" t="inlineStr">
        <is>
          <t>KALMAR LÄN</t>
        </is>
      </c>
      <c r="E887" t="inlineStr">
        <is>
          <t>VIMMERBY</t>
        </is>
      </c>
      <c r="G887" t="n">
        <v>8.9</v>
      </c>
      <c r="H887" t="n">
        <v>0</v>
      </c>
      <c r="I887" t="n">
        <v>0</v>
      </c>
      <c r="J887" t="n">
        <v>0</v>
      </c>
      <c r="K887" t="n">
        <v>0</v>
      </c>
      <c r="L887" t="n">
        <v>0</v>
      </c>
      <c r="M887" t="n">
        <v>0</v>
      </c>
      <c r="N887" t="n">
        <v>0</v>
      </c>
      <c r="O887" t="n">
        <v>0</v>
      </c>
      <c r="P887" t="n">
        <v>0</v>
      </c>
      <c r="Q887" t="n">
        <v>0</v>
      </c>
      <c r="R887" s="2" t="inlineStr"/>
    </row>
    <row r="888" ht="15" customHeight="1">
      <c r="A888" t="inlineStr">
        <is>
          <t>A 31872-2025</t>
        </is>
      </c>
      <c r="B888" s="1" t="n">
        <v>45834.65040509259</v>
      </c>
      <c r="C888" s="1" t="n">
        <v>46040</v>
      </c>
      <c r="D888" t="inlineStr">
        <is>
          <t>KALMAR LÄN</t>
        </is>
      </c>
      <c r="E888" t="inlineStr">
        <is>
          <t>VIMMERBY</t>
        </is>
      </c>
      <c r="F888" t="inlineStr">
        <is>
          <t>Sveaskog</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31876-2025</t>
        </is>
      </c>
      <c r="B889" s="1" t="n">
        <v>45834.65197916667</v>
      </c>
      <c r="C889" s="1" t="n">
        <v>46040</v>
      </c>
      <c r="D889" t="inlineStr">
        <is>
          <t>KALMAR LÄN</t>
        </is>
      </c>
      <c r="E889" t="inlineStr">
        <is>
          <t>VIMMERBY</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31551-2025</t>
        </is>
      </c>
      <c r="B890" s="1" t="n">
        <v>45833.64237268519</v>
      </c>
      <c r="C890" s="1" t="n">
        <v>46040</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31987-2025</t>
        </is>
      </c>
      <c r="B891" s="1" t="n">
        <v>45835.36229166666</v>
      </c>
      <c r="C891" s="1" t="n">
        <v>46040</v>
      </c>
      <c r="D891" t="inlineStr">
        <is>
          <t>KALMAR LÄN</t>
        </is>
      </c>
      <c r="E891" t="inlineStr">
        <is>
          <t>VIMMERBY</t>
        </is>
      </c>
      <c r="F891" t="inlineStr">
        <is>
          <t>Kyrkan</t>
        </is>
      </c>
      <c r="G891" t="n">
        <v>1.2</v>
      </c>
      <c r="H891" t="n">
        <v>0</v>
      </c>
      <c r="I891" t="n">
        <v>0</v>
      </c>
      <c r="J891" t="n">
        <v>0</v>
      </c>
      <c r="K891" t="n">
        <v>0</v>
      </c>
      <c r="L891" t="n">
        <v>0</v>
      </c>
      <c r="M891" t="n">
        <v>0</v>
      </c>
      <c r="N891" t="n">
        <v>0</v>
      </c>
      <c r="O891" t="n">
        <v>0</v>
      </c>
      <c r="P891" t="n">
        <v>0</v>
      </c>
      <c r="Q891" t="n">
        <v>0</v>
      </c>
      <c r="R891" s="2" t="inlineStr"/>
    </row>
    <row r="892" ht="15" customHeight="1">
      <c r="A892" t="inlineStr">
        <is>
          <t>A 32120-2025</t>
        </is>
      </c>
      <c r="B892" s="1" t="n">
        <v>45835.4924537037</v>
      </c>
      <c r="C892" s="1" t="n">
        <v>46040</v>
      </c>
      <c r="D892" t="inlineStr">
        <is>
          <t>KALMAR LÄN</t>
        </is>
      </c>
      <c r="E892" t="inlineStr">
        <is>
          <t>VIMMERBY</t>
        </is>
      </c>
      <c r="G892" t="n">
        <v>0.8</v>
      </c>
      <c r="H892" t="n">
        <v>0</v>
      </c>
      <c r="I892" t="n">
        <v>0</v>
      </c>
      <c r="J892" t="n">
        <v>0</v>
      </c>
      <c r="K892" t="n">
        <v>0</v>
      </c>
      <c r="L892" t="n">
        <v>0</v>
      </c>
      <c r="M892" t="n">
        <v>0</v>
      </c>
      <c r="N892" t="n">
        <v>0</v>
      </c>
      <c r="O892" t="n">
        <v>0</v>
      </c>
      <c r="P892" t="n">
        <v>0</v>
      </c>
      <c r="Q892" t="n">
        <v>0</v>
      </c>
      <c r="R892" s="2" t="inlineStr"/>
    </row>
    <row r="893" ht="15" customHeight="1">
      <c r="A893" t="inlineStr">
        <is>
          <t>A 32116-2025</t>
        </is>
      </c>
      <c r="B893" s="1" t="n">
        <v>45835.48862268519</v>
      </c>
      <c r="C893" s="1" t="n">
        <v>46040</v>
      </c>
      <c r="D893" t="inlineStr">
        <is>
          <t>KALMAR LÄN</t>
        </is>
      </c>
      <c r="E893" t="inlineStr">
        <is>
          <t>VIMMERBY</t>
        </is>
      </c>
      <c r="G893" t="n">
        <v>0.9</v>
      </c>
      <c r="H893" t="n">
        <v>0</v>
      </c>
      <c r="I893" t="n">
        <v>0</v>
      </c>
      <c r="J893" t="n">
        <v>0</v>
      </c>
      <c r="K893" t="n">
        <v>0</v>
      </c>
      <c r="L893" t="n">
        <v>0</v>
      </c>
      <c r="M893" t="n">
        <v>0</v>
      </c>
      <c r="N893" t="n">
        <v>0</v>
      </c>
      <c r="O893" t="n">
        <v>0</v>
      </c>
      <c r="P893" t="n">
        <v>0</v>
      </c>
      <c r="Q893" t="n">
        <v>0</v>
      </c>
      <c r="R893" s="2" t="inlineStr"/>
    </row>
    <row r="894" ht="15" customHeight="1">
      <c r="A894" t="inlineStr">
        <is>
          <t>A 32380-2025</t>
        </is>
      </c>
      <c r="B894" s="1" t="n">
        <v>45837.77701388889</v>
      </c>
      <c r="C894" s="1" t="n">
        <v>46040</v>
      </c>
      <c r="D894" t="inlineStr">
        <is>
          <t>KALMAR LÄN</t>
        </is>
      </c>
      <c r="E894" t="inlineStr">
        <is>
          <t>VIMMERBY</t>
        </is>
      </c>
      <c r="G894" t="n">
        <v>3.1</v>
      </c>
      <c r="H894" t="n">
        <v>0</v>
      </c>
      <c r="I894" t="n">
        <v>0</v>
      </c>
      <c r="J894" t="n">
        <v>0</v>
      </c>
      <c r="K894" t="n">
        <v>0</v>
      </c>
      <c r="L894" t="n">
        <v>0</v>
      </c>
      <c r="M894" t="n">
        <v>0</v>
      </c>
      <c r="N894" t="n">
        <v>0</v>
      </c>
      <c r="O894" t="n">
        <v>0</v>
      </c>
      <c r="P894" t="n">
        <v>0</v>
      </c>
      <c r="Q894" t="n">
        <v>0</v>
      </c>
      <c r="R894" s="2" t="inlineStr"/>
    </row>
    <row r="895" ht="15" customHeight="1">
      <c r="A895" t="inlineStr">
        <is>
          <t>A 32109-2025</t>
        </is>
      </c>
      <c r="B895" s="1" t="n">
        <v>45835.48267361111</v>
      </c>
      <c r="C895" s="1" t="n">
        <v>46040</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32113-2025</t>
        </is>
      </c>
      <c r="B896" s="1" t="n">
        <v>45835.48445601852</v>
      </c>
      <c r="C896" s="1" t="n">
        <v>46040</v>
      </c>
      <c r="D896" t="inlineStr">
        <is>
          <t>KALMAR LÄN</t>
        </is>
      </c>
      <c r="E896" t="inlineStr">
        <is>
          <t>VIMMERBY</t>
        </is>
      </c>
      <c r="G896" t="n">
        <v>3.5</v>
      </c>
      <c r="H896" t="n">
        <v>0</v>
      </c>
      <c r="I896" t="n">
        <v>0</v>
      </c>
      <c r="J896" t="n">
        <v>0</v>
      </c>
      <c r="K896" t="n">
        <v>0</v>
      </c>
      <c r="L896" t="n">
        <v>0</v>
      </c>
      <c r="M896" t="n">
        <v>0</v>
      </c>
      <c r="N896" t="n">
        <v>0</v>
      </c>
      <c r="O896" t="n">
        <v>0</v>
      </c>
      <c r="P896" t="n">
        <v>0</v>
      </c>
      <c r="Q896" t="n">
        <v>0</v>
      </c>
      <c r="R896" s="2" t="inlineStr"/>
    </row>
    <row r="897" ht="15" customHeight="1">
      <c r="A897" t="inlineStr">
        <is>
          <t>A 32077-2025</t>
        </is>
      </c>
      <c r="B897" s="1" t="n">
        <v>45835.45099537037</v>
      </c>
      <c r="C897" s="1" t="n">
        <v>46040</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32064-2025</t>
        </is>
      </c>
      <c r="B898" s="1" t="n">
        <v>45835.44709490741</v>
      </c>
      <c r="C898" s="1" t="n">
        <v>46040</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32065-2025</t>
        </is>
      </c>
      <c r="B899" s="1" t="n">
        <v>45835.44732638889</v>
      </c>
      <c r="C899" s="1" t="n">
        <v>46040</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33186-2025</t>
        </is>
      </c>
      <c r="B900" s="1" t="n">
        <v>45840.59474537037</v>
      </c>
      <c r="C900" s="1" t="n">
        <v>46040</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row r="901" ht="15" customHeight="1">
      <c r="A901" t="inlineStr">
        <is>
          <t>A 30977-2025</t>
        </is>
      </c>
      <c r="B901" s="1" t="n">
        <v>45832.46649305556</v>
      </c>
      <c r="C901" s="1" t="n">
        <v>46040</v>
      </c>
      <c r="D901" t="inlineStr">
        <is>
          <t>KALMAR LÄN</t>
        </is>
      </c>
      <c r="E901" t="inlineStr">
        <is>
          <t>VIMMERBY</t>
        </is>
      </c>
      <c r="G901" t="n">
        <v>0.6</v>
      </c>
      <c r="H901" t="n">
        <v>0</v>
      </c>
      <c r="I901" t="n">
        <v>0</v>
      </c>
      <c r="J901" t="n">
        <v>0</v>
      </c>
      <c r="K901" t="n">
        <v>0</v>
      </c>
      <c r="L901" t="n">
        <v>0</v>
      </c>
      <c r="M901" t="n">
        <v>0</v>
      </c>
      <c r="N901" t="n">
        <v>0</v>
      </c>
      <c r="O901" t="n">
        <v>0</v>
      </c>
      <c r="P901" t="n">
        <v>0</v>
      </c>
      <c r="Q901" t="n">
        <v>0</v>
      </c>
      <c r="R901" s="2" t="inlineStr"/>
    </row>
    <row r="902" ht="15" customHeight="1">
      <c r="A902" t="inlineStr">
        <is>
          <t>A 33695-2025</t>
        </is>
      </c>
      <c r="B902" s="1" t="n">
        <v>45841.70569444444</v>
      </c>
      <c r="C902" s="1" t="n">
        <v>46040</v>
      </c>
      <c r="D902" t="inlineStr">
        <is>
          <t>KALMAR LÄN</t>
        </is>
      </c>
      <c r="E902" t="inlineStr">
        <is>
          <t>VIMMERBY</t>
        </is>
      </c>
      <c r="G902" t="n">
        <v>2.7</v>
      </c>
      <c r="H902" t="n">
        <v>0</v>
      </c>
      <c r="I902" t="n">
        <v>0</v>
      </c>
      <c r="J902" t="n">
        <v>0</v>
      </c>
      <c r="K902" t="n">
        <v>0</v>
      </c>
      <c r="L902" t="n">
        <v>0</v>
      </c>
      <c r="M902" t="n">
        <v>0</v>
      </c>
      <c r="N902" t="n">
        <v>0</v>
      </c>
      <c r="O902" t="n">
        <v>0</v>
      </c>
      <c r="P902" t="n">
        <v>0</v>
      </c>
      <c r="Q902" t="n">
        <v>0</v>
      </c>
      <c r="R902" s="2" t="inlineStr"/>
    </row>
    <row r="903" ht="15" customHeight="1">
      <c r="A903" t="inlineStr">
        <is>
          <t>A 33698-2025</t>
        </is>
      </c>
      <c r="B903" s="1" t="n">
        <v>45841.70868055556</v>
      </c>
      <c r="C903" s="1" t="n">
        <v>46040</v>
      </c>
      <c r="D903" t="inlineStr">
        <is>
          <t>KALMAR LÄN</t>
        </is>
      </c>
      <c r="E903" t="inlineStr">
        <is>
          <t>VIMMERBY</t>
        </is>
      </c>
      <c r="G903" t="n">
        <v>3.7</v>
      </c>
      <c r="H903" t="n">
        <v>0</v>
      </c>
      <c r="I903" t="n">
        <v>0</v>
      </c>
      <c r="J903" t="n">
        <v>0</v>
      </c>
      <c r="K903" t="n">
        <v>0</v>
      </c>
      <c r="L903" t="n">
        <v>0</v>
      </c>
      <c r="M903" t="n">
        <v>0</v>
      </c>
      <c r="N903" t="n">
        <v>0</v>
      </c>
      <c r="O903" t="n">
        <v>0</v>
      </c>
      <c r="P903" t="n">
        <v>0</v>
      </c>
      <c r="Q903" t="n">
        <v>0</v>
      </c>
      <c r="R903" s="2" t="inlineStr"/>
    </row>
    <row r="904" ht="15" customHeight="1">
      <c r="A904" t="inlineStr">
        <is>
          <t>A 33696-2025</t>
        </is>
      </c>
      <c r="B904" s="1" t="n">
        <v>45841.7072337963</v>
      </c>
      <c r="C904" s="1" t="n">
        <v>46040</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28702-2025</t>
        </is>
      </c>
      <c r="B905" s="1" t="n">
        <v>45820.03976851852</v>
      </c>
      <c r="C905" s="1" t="n">
        <v>46040</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34071-2025</t>
        </is>
      </c>
      <c r="B906" s="1" t="n">
        <v>45845.43803240741</v>
      </c>
      <c r="C906" s="1" t="n">
        <v>46040</v>
      </c>
      <c r="D906" t="inlineStr">
        <is>
          <t>KALMAR LÄN</t>
        </is>
      </c>
      <c r="E906" t="inlineStr">
        <is>
          <t>VIMMERBY</t>
        </is>
      </c>
      <c r="G906" t="n">
        <v>6.8</v>
      </c>
      <c r="H906" t="n">
        <v>0</v>
      </c>
      <c r="I906" t="n">
        <v>0</v>
      </c>
      <c r="J906" t="n">
        <v>0</v>
      </c>
      <c r="K906" t="n">
        <v>0</v>
      </c>
      <c r="L906" t="n">
        <v>0</v>
      </c>
      <c r="M906" t="n">
        <v>0</v>
      </c>
      <c r="N906" t="n">
        <v>0</v>
      </c>
      <c r="O906" t="n">
        <v>0</v>
      </c>
      <c r="P906" t="n">
        <v>0</v>
      </c>
      <c r="Q906" t="n">
        <v>0</v>
      </c>
      <c r="R906" s="2" t="inlineStr"/>
    </row>
    <row r="907" ht="15" customHeight="1">
      <c r="A907" t="inlineStr">
        <is>
          <t>A 34106-2025</t>
        </is>
      </c>
      <c r="B907" s="1" t="n">
        <v>45845.49414351852</v>
      </c>
      <c r="C907" s="1" t="n">
        <v>46040</v>
      </c>
      <c r="D907" t="inlineStr">
        <is>
          <t>KALMAR LÄN</t>
        </is>
      </c>
      <c r="E907" t="inlineStr">
        <is>
          <t>VIMMERBY</t>
        </is>
      </c>
      <c r="G907" t="n">
        <v>6</v>
      </c>
      <c r="H907" t="n">
        <v>0</v>
      </c>
      <c r="I907" t="n">
        <v>0</v>
      </c>
      <c r="J907" t="n">
        <v>0</v>
      </c>
      <c r="K907" t="n">
        <v>0</v>
      </c>
      <c r="L907" t="n">
        <v>0</v>
      </c>
      <c r="M907" t="n">
        <v>0</v>
      </c>
      <c r="N907" t="n">
        <v>0</v>
      </c>
      <c r="O907" t="n">
        <v>0</v>
      </c>
      <c r="P907" t="n">
        <v>0</v>
      </c>
      <c r="Q907" t="n">
        <v>0</v>
      </c>
      <c r="R907" s="2" t="inlineStr"/>
    </row>
    <row r="908" ht="15" customHeight="1">
      <c r="A908" t="inlineStr">
        <is>
          <t>A 26956-2025</t>
        </is>
      </c>
      <c r="B908" s="1" t="n">
        <v>45811.45460648148</v>
      </c>
      <c r="C908" s="1" t="n">
        <v>46040</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34628-2025</t>
        </is>
      </c>
      <c r="B909" s="1" t="n">
        <v>45847.91280092593</v>
      </c>
      <c r="C909" s="1" t="n">
        <v>46040</v>
      </c>
      <c r="D909" t="inlineStr">
        <is>
          <t>KALMAR LÄN</t>
        </is>
      </c>
      <c r="E909" t="inlineStr">
        <is>
          <t>VIMMERBY</t>
        </is>
      </c>
      <c r="G909" t="n">
        <v>4.2</v>
      </c>
      <c r="H909" t="n">
        <v>0</v>
      </c>
      <c r="I909" t="n">
        <v>0</v>
      </c>
      <c r="J909" t="n">
        <v>0</v>
      </c>
      <c r="K909" t="n">
        <v>0</v>
      </c>
      <c r="L909" t="n">
        <v>0</v>
      </c>
      <c r="M909" t="n">
        <v>0</v>
      </c>
      <c r="N909" t="n">
        <v>0</v>
      </c>
      <c r="O909" t="n">
        <v>0</v>
      </c>
      <c r="P909" t="n">
        <v>0</v>
      </c>
      <c r="Q909" t="n">
        <v>0</v>
      </c>
      <c r="R909" s="2" t="inlineStr"/>
    </row>
    <row r="910" ht="15" customHeight="1">
      <c r="A910" t="inlineStr">
        <is>
          <t>A 35270-2025</t>
        </is>
      </c>
      <c r="B910" s="1" t="n">
        <v>45853.87112268519</v>
      </c>
      <c r="C910" s="1" t="n">
        <v>46040</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35271-2025</t>
        </is>
      </c>
      <c r="B911" s="1" t="n">
        <v>45853.87599537037</v>
      </c>
      <c r="C911" s="1" t="n">
        <v>46040</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35272-2025</t>
        </is>
      </c>
      <c r="B912" s="1" t="n">
        <v>45853.88070601852</v>
      </c>
      <c r="C912" s="1" t="n">
        <v>46040</v>
      </c>
      <c r="D912" t="inlineStr">
        <is>
          <t>KALMAR LÄN</t>
        </is>
      </c>
      <c r="E912" t="inlineStr">
        <is>
          <t>VIMMERBY</t>
        </is>
      </c>
      <c r="G912" t="n">
        <v>0.6</v>
      </c>
      <c r="H912" t="n">
        <v>0</v>
      </c>
      <c r="I912" t="n">
        <v>0</v>
      </c>
      <c r="J912" t="n">
        <v>0</v>
      </c>
      <c r="K912" t="n">
        <v>0</v>
      </c>
      <c r="L912" t="n">
        <v>0</v>
      </c>
      <c r="M912" t="n">
        <v>0</v>
      </c>
      <c r="N912" t="n">
        <v>0</v>
      </c>
      <c r="O912" t="n">
        <v>0</v>
      </c>
      <c r="P912" t="n">
        <v>0</v>
      </c>
      <c r="Q912" t="n">
        <v>0</v>
      </c>
      <c r="R912" s="2" t="inlineStr"/>
    </row>
    <row r="913" ht="15" customHeight="1">
      <c r="A913" t="inlineStr">
        <is>
          <t>A 16953-2025</t>
        </is>
      </c>
      <c r="B913" s="1" t="n">
        <v>45755.44333333334</v>
      </c>
      <c r="C913" s="1" t="n">
        <v>46040</v>
      </c>
      <c r="D913" t="inlineStr">
        <is>
          <t>KALMAR LÄN</t>
        </is>
      </c>
      <c r="E913" t="inlineStr">
        <is>
          <t>VIMMERBY</t>
        </is>
      </c>
      <c r="G913" t="n">
        <v>2</v>
      </c>
      <c r="H913" t="n">
        <v>0</v>
      </c>
      <c r="I913" t="n">
        <v>0</v>
      </c>
      <c r="J913" t="n">
        <v>0</v>
      </c>
      <c r="K913" t="n">
        <v>0</v>
      </c>
      <c r="L913" t="n">
        <v>0</v>
      </c>
      <c r="M913" t="n">
        <v>0</v>
      </c>
      <c r="N913" t="n">
        <v>0</v>
      </c>
      <c r="O913" t="n">
        <v>0</v>
      </c>
      <c r="P913" t="n">
        <v>0</v>
      </c>
      <c r="Q913" t="n">
        <v>0</v>
      </c>
      <c r="R913" s="2" t="inlineStr"/>
    </row>
    <row r="914" ht="15" customHeight="1">
      <c r="A914" t="inlineStr">
        <is>
          <t>A 35597-2025</t>
        </is>
      </c>
      <c r="B914" s="1" t="n">
        <v>45858.66019675926</v>
      </c>
      <c r="C914" s="1" t="n">
        <v>46040</v>
      </c>
      <c r="D914" t="inlineStr">
        <is>
          <t>KALMAR LÄN</t>
        </is>
      </c>
      <c r="E914" t="inlineStr">
        <is>
          <t>VIMMERBY</t>
        </is>
      </c>
      <c r="G914" t="n">
        <v>6.4</v>
      </c>
      <c r="H914" t="n">
        <v>0</v>
      </c>
      <c r="I914" t="n">
        <v>0</v>
      </c>
      <c r="J914" t="n">
        <v>0</v>
      </c>
      <c r="K914" t="n">
        <v>0</v>
      </c>
      <c r="L914" t="n">
        <v>0</v>
      </c>
      <c r="M914" t="n">
        <v>0</v>
      </c>
      <c r="N914" t="n">
        <v>0</v>
      </c>
      <c r="O914" t="n">
        <v>0</v>
      </c>
      <c r="P914" t="n">
        <v>0</v>
      </c>
      <c r="Q914" t="n">
        <v>0</v>
      </c>
      <c r="R914" s="2" t="inlineStr"/>
    </row>
    <row r="915" ht="15" customHeight="1">
      <c r="A915" t="inlineStr">
        <is>
          <t>A 35596-2025</t>
        </is>
      </c>
      <c r="B915" s="1" t="n">
        <v>45858.60641203704</v>
      </c>
      <c r="C915" s="1" t="n">
        <v>46040</v>
      </c>
      <c r="D915" t="inlineStr">
        <is>
          <t>KALMAR LÄN</t>
        </is>
      </c>
      <c r="E915" t="inlineStr">
        <is>
          <t>VIMMERBY</t>
        </is>
      </c>
      <c r="G915" t="n">
        <v>2.8</v>
      </c>
      <c r="H915" t="n">
        <v>0</v>
      </c>
      <c r="I915" t="n">
        <v>0</v>
      </c>
      <c r="J915" t="n">
        <v>0</v>
      </c>
      <c r="K915" t="n">
        <v>0</v>
      </c>
      <c r="L915" t="n">
        <v>0</v>
      </c>
      <c r="M915" t="n">
        <v>0</v>
      </c>
      <c r="N915" t="n">
        <v>0</v>
      </c>
      <c r="O915" t="n">
        <v>0</v>
      </c>
      <c r="P915" t="n">
        <v>0</v>
      </c>
      <c r="Q915" t="n">
        <v>0</v>
      </c>
      <c r="R915" s="2" t="inlineStr"/>
    </row>
    <row r="916">
      <c r="A916" t="inlineStr">
        <is>
          <t>A 19502-2025</t>
        </is>
      </c>
      <c r="B916" s="1" t="n">
        <v>45769</v>
      </c>
      <c r="C916" s="1" t="n">
        <v>46040</v>
      </c>
      <c r="D916" t="inlineStr">
        <is>
          <t>KALMAR LÄN</t>
        </is>
      </c>
      <c r="E916" t="inlineStr">
        <is>
          <t>VIMMERBY</t>
        </is>
      </c>
      <c r="G916" t="n">
        <v>1.9</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2026-01-18T11:00:47Z</dcterms:created>
  <dcterms:modified xmlns:dcterms="http://purl.org/dc/terms/" xmlns:xsi="http://www.w3.org/2001/XMLSchema-instance" xsi:type="dcterms:W3CDTF">2026-01-18T11:00:48Z</dcterms:modified>
</cp:coreProperties>
</file>