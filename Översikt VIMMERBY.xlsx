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45941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45941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45941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45941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45941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45941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45941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45941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45941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45941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45941</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45941</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45941</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45941</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45941</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45941</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45941</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45941</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45941</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45941</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45941</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45941</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22825-2023</t>
        </is>
      </c>
      <c r="B26" s="1" t="n">
        <v>45072</v>
      </c>
      <c r="C26" s="1" t="n">
        <v>45941</v>
      </c>
      <c r="D26" t="inlineStr">
        <is>
          <t>KALMAR LÄN</t>
        </is>
      </c>
      <c r="E26" t="inlineStr">
        <is>
          <t>VIMMERBY</t>
        </is>
      </c>
      <c r="G26" t="n">
        <v>14.1</v>
      </c>
      <c r="H26" t="n">
        <v>0</v>
      </c>
      <c r="I26" t="n">
        <v>0</v>
      </c>
      <c r="J26" t="n">
        <v>2</v>
      </c>
      <c r="K26" t="n">
        <v>0</v>
      </c>
      <c r="L26" t="n">
        <v>0</v>
      </c>
      <c r="M26" t="n">
        <v>0</v>
      </c>
      <c r="N26" t="n">
        <v>0</v>
      </c>
      <c r="O26" t="n">
        <v>2</v>
      </c>
      <c r="P26" t="n">
        <v>0</v>
      </c>
      <c r="Q26" t="n">
        <v>2</v>
      </c>
      <c r="R26" s="2" t="inlineStr">
        <is>
          <t>Klasefibbla
Sommarfibbla</t>
        </is>
      </c>
      <c r="S26">
        <f>HYPERLINK("https://klasma.github.io/Logging_0884/artfynd/A 22825-2023 artfynd.xlsx", "A 22825-2023")</f>
        <v/>
      </c>
      <c r="T26">
        <f>HYPERLINK("https://klasma.github.io/Logging_0884/kartor/A 22825-2023 karta.png", "A 22825-2023")</f>
        <v/>
      </c>
      <c r="V26">
        <f>HYPERLINK("https://klasma.github.io/Logging_0884/klagomål/A 22825-2023 FSC-klagomål.docx", "A 22825-2023")</f>
        <v/>
      </c>
      <c r="W26">
        <f>HYPERLINK("https://klasma.github.io/Logging_0884/klagomålsmail/A 22825-2023 FSC-klagomål mail.docx", "A 22825-2023")</f>
        <v/>
      </c>
      <c r="X26">
        <f>HYPERLINK("https://klasma.github.io/Logging_0884/tillsyn/A 22825-2023 tillsynsbegäran.docx", "A 22825-2023")</f>
        <v/>
      </c>
      <c r="Y26">
        <f>HYPERLINK("https://klasma.github.io/Logging_0884/tillsynsmail/A 22825-2023 tillsynsbegäran mail.docx", "A 22825-2023")</f>
        <v/>
      </c>
    </row>
    <row r="27" ht="15" customHeight="1">
      <c r="A27" t="inlineStr">
        <is>
          <t>A 40684-2025</t>
        </is>
      </c>
      <c r="B27" s="1" t="n">
        <v>45896.86820601852</v>
      </c>
      <c r="C27" s="1" t="n">
        <v>45941</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45941</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19158-2023</t>
        </is>
      </c>
      <c r="B29" s="1" t="n">
        <v>45048</v>
      </c>
      <c r="C29" s="1" t="n">
        <v>45941</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45941</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45941</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1201-2025</t>
        </is>
      </c>
      <c r="B32" s="1" t="n">
        <v>45667</v>
      </c>
      <c r="C32" s="1" t="n">
        <v>45941</v>
      </c>
      <c r="D32" t="inlineStr">
        <is>
          <t>KALMAR LÄN</t>
        </is>
      </c>
      <c r="E32" t="inlineStr">
        <is>
          <t>VIMMERBY</t>
        </is>
      </c>
      <c r="G32" t="n">
        <v>6.4</v>
      </c>
      <c r="H32" t="n">
        <v>1</v>
      </c>
      <c r="I32" t="n">
        <v>0</v>
      </c>
      <c r="J32" t="n">
        <v>0</v>
      </c>
      <c r="K32" t="n">
        <v>1</v>
      </c>
      <c r="L32" t="n">
        <v>0</v>
      </c>
      <c r="M32" t="n">
        <v>0</v>
      </c>
      <c r="N32" t="n">
        <v>0</v>
      </c>
      <c r="O32" t="n">
        <v>1</v>
      </c>
      <c r="P32" t="n">
        <v>1</v>
      </c>
      <c r="Q32" t="n">
        <v>1</v>
      </c>
      <c r="R32" s="2" t="inlineStr">
        <is>
          <t>Knärot</t>
        </is>
      </c>
      <c r="S32">
        <f>HYPERLINK("https://klasma.github.io/Logging_0884/artfynd/A 1201-2025 artfynd.xlsx", "A 1201-2025")</f>
        <v/>
      </c>
      <c r="T32">
        <f>HYPERLINK("https://klasma.github.io/Logging_0884/kartor/A 1201-2025 karta.png", "A 1201-2025")</f>
        <v/>
      </c>
      <c r="U32">
        <f>HYPERLINK("https://klasma.github.io/Logging_0884/knärot/A 1201-2025 karta knärot.png", "A 1201-2025")</f>
        <v/>
      </c>
      <c r="V32">
        <f>HYPERLINK("https://klasma.github.io/Logging_0884/klagomål/A 1201-2025 FSC-klagomål.docx", "A 1201-2025")</f>
        <v/>
      </c>
      <c r="W32">
        <f>HYPERLINK("https://klasma.github.io/Logging_0884/klagomålsmail/A 1201-2025 FSC-klagomål mail.docx", "A 1201-2025")</f>
        <v/>
      </c>
      <c r="X32">
        <f>HYPERLINK("https://klasma.github.io/Logging_0884/tillsyn/A 1201-2025 tillsynsbegäran.docx", "A 1201-2025")</f>
        <v/>
      </c>
      <c r="Y32">
        <f>HYPERLINK("https://klasma.github.io/Logging_0884/tillsynsmail/A 1201-2025 tillsynsbegäran mail.docx", "A 1201-2025")</f>
        <v/>
      </c>
    </row>
    <row r="33" ht="15" customHeight="1">
      <c r="A33" t="inlineStr">
        <is>
          <t>A 15122-2024</t>
        </is>
      </c>
      <c r="B33" s="1" t="n">
        <v>45399.71412037037</v>
      </c>
      <c r="C33" s="1" t="n">
        <v>45941</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45941</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28852-2023</t>
        </is>
      </c>
      <c r="B35" s="1" t="n">
        <v>45104</v>
      </c>
      <c r="C35" s="1" t="n">
        <v>45941</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29183-2025</t>
        </is>
      </c>
      <c r="B36" s="1" t="n">
        <v>45821</v>
      </c>
      <c r="C36" s="1" t="n">
        <v>45941</v>
      </c>
      <c r="D36" t="inlineStr">
        <is>
          <t>KALMAR LÄN</t>
        </is>
      </c>
      <c r="E36" t="inlineStr">
        <is>
          <t>VIMMERBY</t>
        </is>
      </c>
      <c r="G36" t="n">
        <v>2.7</v>
      </c>
      <c r="H36" t="n">
        <v>0</v>
      </c>
      <c r="I36" t="n">
        <v>1</v>
      </c>
      <c r="J36" t="n">
        <v>0</v>
      </c>
      <c r="K36" t="n">
        <v>0</v>
      </c>
      <c r="L36" t="n">
        <v>0</v>
      </c>
      <c r="M36" t="n">
        <v>0</v>
      </c>
      <c r="N36" t="n">
        <v>0</v>
      </c>
      <c r="O36" t="n">
        <v>0</v>
      </c>
      <c r="P36" t="n">
        <v>0</v>
      </c>
      <c r="Q36" t="n">
        <v>1</v>
      </c>
      <c r="R36" s="2" t="inlineStr">
        <is>
          <t>Sårläka</t>
        </is>
      </c>
      <c r="S36">
        <f>HYPERLINK("https://klasma.github.io/Logging_0884/artfynd/A 29183-2025 artfynd.xlsx", "A 29183-2025")</f>
        <v/>
      </c>
      <c r="T36">
        <f>HYPERLINK("https://klasma.github.io/Logging_0884/kartor/A 29183-2025 karta.png", "A 29183-2025")</f>
        <v/>
      </c>
      <c r="V36">
        <f>HYPERLINK("https://klasma.github.io/Logging_0884/klagomål/A 29183-2025 FSC-klagomål.docx", "A 29183-2025")</f>
        <v/>
      </c>
      <c r="W36">
        <f>HYPERLINK("https://klasma.github.io/Logging_0884/klagomålsmail/A 29183-2025 FSC-klagomål mail.docx", "A 29183-2025")</f>
        <v/>
      </c>
      <c r="X36">
        <f>HYPERLINK("https://klasma.github.io/Logging_0884/tillsyn/A 29183-2025 tillsynsbegäran.docx", "A 29183-2025")</f>
        <v/>
      </c>
      <c r="Y36">
        <f>HYPERLINK("https://klasma.github.io/Logging_0884/tillsynsmail/A 29183-2025 tillsynsbegäran mail.docx", "A 29183-2025")</f>
        <v/>
      </c>
    </row>
    <row r="37" ht="15" customHeight="1">
      <c r="A37" t="inlineStr">
        <is>
          <t>A 37930-2021</t>
        </is>
      </c>
      <c r="B37" s="1" t="n">
        <v>44403</v>
      </c>
      <c r="C37" s="1" t="n">
        <v>45941</v>
      </c>
      <c r="D37" t="inlineStr">
        <is>
          <t>KALMAR LÄN</t>
        </is>
      </c>
      <c r="E37" t="inlineStr">
        <is>
          <t>VIMMERBY</t>
        </is>
      </c>
      <c r="G37" t="n">
        <v>4.4</v>
      </c>
      <c r="H37" t="n">
        <v>0</v>
      </c>
      <c r="I37" t="n">
        <v>0</v>
      </c>
      <c r="J37" t="n">
        <v>1</v>
      </c>
      <c r="K37" t="n">
        <v>0</v>
      </c>
      <c r="L37" t="n">
        <v>0</v>
      </c>
      <c r="M37" t="n">
        <v>0</v>
      </c>
      <c r="N37" t="n">
        <v>0</v>
      </c>
      <c r="O37" t="n">
        <v>1</v>
      </c>
      <c r="P37" t="n">
        <v>0</v>
      </c>
      <c r="Q37" t="n">
        <v>1</v>
      </c>
      <c r="R37" s="2" t="inlineStr">
        <is>
          <t>Spindelört</t>
        </is>
      </c>
      <c r="S37">
        <f>HYPERLINK("https://klasma.github.io/Logging_0884/artfynd/A 37930-2021 artfynd.xlsx", "A 37930-2021")</f>
        <v/>
      </c>
      <c r="T37">
        <f>HYPERLINK("https://klasma.github.io/Logging_0884/kartor/A 37930-2021 karta.png", "A 37930-2021")</f>
        <v/>
      </c>
      <c r="V37">
        <f>HYPERLINK("https://klasma.github.io/Logging_0884/klagomål/A 37930-2021 FSC-klagomål.docx", "A 37930-2021")</f>
        <v/>
      </c>
      <c r="W37">
        <f>HYPERLINK("https://klasma.github.io/Logging_0884/klagomålsmail/A 37930-2021 FSC-klagomål mail.docx", "A 37930-2021")</f>
        <v/>
      </c>
      <c r="X37">
        <f>HYPERLINK("https://klasma.github.io/Logging_0884/tillsyn/A 37930-2021 tillsynsbegäran.docx", "A 37930-2021")</f>
        <v/>
      </c>
      <c r="Y37">
        <f>HYPERLINK("https://klasma.github.io/Logging_0884/tillsynsmail/A 37930-2021 tillsynsbegäran mail.docx", "A 37930-2021")</f>
        <v/>
      </c>
    </row>
    <row r="38" ht="15" customHeight="1">
      <c r="A38" t="inlineStr">
        <is>
          <t>A 44515-2024</t>
        </is>
      </c>
      <c r="B38" s="1" t="n">
        <v>45574.42767361111</v>
      </c>
      <c r="C38" s="1" t="n">
        <v>45941</v>
      </c>
      <c r="D38" t="inlineStr">
        <is>
          <t>KALMAR LÄN</t>
        </is>
      </c>
      <c r="E38" t="inlineStr">
        <is>
          <t>VIMMERBY</t>
        </is>
      </c>
      <c r="G38" t="n">
        <v>1.4</v>
      </c>
      <c r="H38" t="n">
        <v>1</v>
      </c>
      <c r="I38" t="n">
        <v>0</v>
      </c>
      <c r="J38" t="n">
        <v>0</v>
      </c>
      <c r="K38" t="n">
        <v>1</v>
      </c>
      <c r="L38" t="n">
        <v>0</v>
      </c>
      <c r="M38" t="n">
        <v>0</v>
      </c>
      <c r="N38" t="n">
        <v>0</v>
      </c>
      <c r="O38" t="n">
        <v>1</v>
      </c>
      <c r="P38" t="n">
        <v>1</v>
      </c>
      <c r="Q38" t="n">
        <v>1</v>
      </c>
      <c r="R38" s="2" t="inlineStr">
        <is>
          <t>Knärot</t>
        </is>
      </c>
      <c r="S38">
        <f>HYPERLINK("https://klasma.github.io/Logging_0884/artfynd/A 44515-2024 artfynd.xlsx", "A 44515-2024")</f>
        <v/>
      </c>
      <c r="T38">
        <f>HYPERLINK("https://klasma.github.io/Logging_0884/kartor/A 44515-2024 karta.png", "A 44515-2024")</f>
        <v/>
      </c>
      <c r="U38">
        <f>HYPERLINK("https://klasma.github.io/Logging_0884/knärot/A 44515-2024 karta knärot.png", "A 44515-2024")</f>
        <v/>
      </c>
      <c r="V38">
        <f>HYPERLINK("https://klasma.github.io/Logging_0884/klagomål/A 44515-2024 FSC-klagomål.docx", "A 44515-2024")</f>
        <v/>
      </c>
      <c r="W38">
        <f>HYPERLINK("https://klasma.github.io/Logging_0884/klagomålsmail/A 44515-2024 FSC-klagomål mail.docx", "A 44515-2024")</f>
        <v/>
      </c>
      <c r="X38">
        <f>HYPERLINK("https://klasma.github.io/Logging_0884/tillsyn/A 44515-2024 tillsynsbegäran.docx", "A 44515-2024")</f>
        <v/>
      </c>
      <c r="Y38">
        <f>HYPERLINK("https://klasma.github.io/Logging_0884/tillsynsmail/A 44515-2024 tillsynsbegäran mail.docx", "A 44515-2024")</f>
        <v/>
      </c>
    </row>
    <row r="39" ht="15" customHeight="1">
      <c r="A39" t="inlineStr">
        <is>
          <t>A 40083-2023</t>
        </is>
      </c>
      <c r="B39" s="1" t="n">
        <v>45168</v>
      </c>
      <c r="C39" s="1" t="n">
        <v>45941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45941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46824-2025</t>
        </is>
      </c>
      <c r="B41" s="1" t="n">
        <v>45926.90006944445</v>
      </c>
      <c r="C41" s="1" t="n">
        <v>45941</v>
      </c>
      <c r="D41" t="inlineStr">
        <is>
          <t>KALMAR LÄN</t>
        </is>
      </c>
      <c r="E41" t="inlineStr">
        <is>
          <t>VIMMERBY</t>
        </is>
      </c>
      <c r="G41" t="n">
        <v>2.8</v>
      </c>
      <c r="H41" t="n">
        <v>1</v>
      </c>
      <c r="I41" t="n">
        <v>0</v>
      </c>
      <c r="J41" t="n">
        <v>0</v>
      </c>
      <c r="K41" t="n">
        <v>1</v>
      </c>
      <c r="L41" t="n">
        <v>0</v>
      </c>
      <c r="M41" t="n">
        <v>0</v>
      </c>
      <c r="N41" t="n">
        <v>0</v>
      </c>
      <c r="O41" t="n">
        <v>1</v>
      </c>
      <c r="P41" t="n">
        <v>1</v>
      </c>
      <c r="Q41" t="n">
        <v>1</v>
      </c>
      <c r="R41" s="2" t="inlineStr">
        <is>
          <t>Knärot</t>
        </is>
      </c>
      <c r="S41">
        <f>HYPERLINK("https://klasma.github.io/Logging_0884/artfynd/A 46824-2025 artfynd.xlsx", "A 46824-2025")</f>
        <v/>
      </c>
      <c r="T41">
        <f>HYPERLINK("https://klasma.github.io/Logging_0884/kartor/A 46824-2025 karta.png", "A 46824-2025")</f>
        <v/>
      </c>
      <c r="U41">
        <f>HYPERLINK("https://klasma.github.io/Logging_0884/knärot/A 46824-2025 karta knärot.png", "A 46824-2025")</f>
        <v/>
      </c>
      <c r="V41">
        <f>HYPERLINK("https://klasma.github.io/Logging_0884/klagomål/A 46824-2025 FSC-klagomål.docx", "A 46824-2025")</f>
        <v/>
      </c>
      <c r="W41">
        <f>HYPERLINK("https://klasma.github.io/Logging_0884/klagomålsmail/A 46824-2025 FSC-klagomål mail.docx", "A 46824-2025")</f>
        <v/>
      </c>
      <c r="X41">
        <f>HYPERLINK("https://klasma.github.io/Logging_0884/tillsyn/A 46824-2025 tillsynsbegäran.docx", "A 46824-2025")</f>
        <v/>
      </c>
      <c r="Y41">
        <f>HYPERLINK("https://klasma.github.io/Logging_0884/tillsynsmail/A 46824-2025 tillsynsbegäran mail.docx", "A 46824-2025")</f>
        <v/>
      </c>
    </row>
    <row r="42" ht="15" customHeight="1">
      <c r="A42" t="inlineStr">
        <is>
          <t>A 6841-2021</t>
        </is>
      </c>
      <c r="B42" s="1" t="n">
        <v>44236</v>
      </c>
      <c r="C42" s="1" t="n">
        <v>45941</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61860-2024</t>
        </is>
      </c>
      <c r="B43" s="1" t="n">
        <v>45649</v>
      </c>
      <c r="C43" s="1" t="n">
        <v>45941</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9067-2025</t>
        </is>
      </c>
      <c r="B44" s="1" t="n">
        <v>45713</v>
      </c>
      <c r="C44" s="1" t="n">
        <v>45941</v>
      </c>
      <c r="D44" t="inlineStr">
        <is>
          <t>KALMAR LÄN</t>
        </is>
      </c>
      <c r="E44" t="inlineStr">
        <is>
          <t>VIMMERBY</t>
        </is>
      </c>
      <c r="G44" t="n">
        <v>3.9</v>
      </c>
      <c r="H44" t="n">
        <v>0</v>
      </c>
      <c r="I44" t="n">
        <v>1</v>
      </c>
      <c r="J44" t="n">
        <v>0</v>
      </c>
      <c r="K44" t="n">
        <v>0</v>
      </c>
      <c r="L44" t="n">
        <v>0</v>
      </c>
      <c r="M44" t="n">
        <v>0</v>
      </c>
      <c r="N44" t="n">
        <v>0</v>
      </c>
      <c r="O44" t="n">
        <v>0</v>
      </c>
      <c r="P44" t="n">
        <v>0</v>
      </c>
      <c r="Q44" t="n">
        <v>1</v>
      </c>
      <c r="R44" s="2" t="inlineStr">
        <is>
          <t>Ögonpyrola</t>
        </is>
      </c>
      <c r="S44">
        <f>HYPERLINK("https://klasma.github.io/Logging_0884/artfynd/A 9067-2025 artfynd.xlsx", "A 9067-2025")</f>
        <v/>
      </c>
      <c r="T44">
        <f>HYPERLINK("https://klasma.github.io/Logging_0884/kartor/A 9067-2025 karta.png", "A 9067-2025")</f>
        <v/>
      </c>
      <c r="V44">
        <f>HYPERLINK("https://klasma.github.io/Logging_0884/klagomål/A 9067-2025 FSC-klagomål.docx", "A 9067-2025")</f>
        <v/>
      </c>
      <c r="W44">
        <f>HYPERLINK("https://klasma.github.io/Logging_0884/klagomålsmail/A 9067-2025 FSC-klagomål mail.docx", "A 9067-2025")</f>
        <v/>
      </c>
      <c r="X44">
        <f>HYPERLINK("https://klasma.github.io/Logging_0884/tillsyn/A 9067-2025 tillsynsbegäran.docx", "A 9067-2025")</f>
        <v/>
      </c>
      <c r="Y44">
        <f>HYPERLINK("https://klasma.github.io/Logging_0884/tillsynsmail/A 9067-2025 tillsynsbegäran mail.docx", "A 9067-2025")</f>
        <v/>
      </c>
    </row>
    <row r="45" ht="15" customHeight="1">
      <c r="A45" t="inlineStr">
        <is>
          <t>A 38602-2025</t>
        </is>
      </c>
      <c r="B45" s="1" t="n">
        <v>45884.50331018519</v>
      </c>
      <c r="C45" s="1" t="n">
        <v>45941</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23602-2023</t>
        </is>
      </c>
      <c r="B46" s="1" t="n">
        <v>45077</v>
      </c>
      <c r="C46" s="1" t="n">
        <v>45941</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52301-2023</t>
        </is>
      </c>
      <c r="B47" s="1" t="n">
        <v>45224</v>
      </c>
      <c r="C47" s="1" t="n">
        <v>45941</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45941</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45941</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45941</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45941</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45941</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45941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45941</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45941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45941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45941</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45941</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45941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45941</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45941</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45941</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45941</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45941</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45941</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45941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45941</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45941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45941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45941</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45941</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45941</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45941</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45941</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45941</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45941</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45941</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45941</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45941</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45941</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45941</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45941</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45941</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45941</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45941</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45941</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45941</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45941</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45941</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45941</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45941</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45941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45941</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45941</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45941</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45941</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45941</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45941</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45941</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45941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53711-2020</t>
        </is>
      </c>
      <c r="B101" s="1" t="n">
        <v>44124.59795138889</v>
      </c>
      <c r="C101" s="1" t="n">
        <v>45941</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45941</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45941</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45941</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45941</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45941</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45941</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45941</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45941</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45941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45941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45941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45941</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45941</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45941</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45941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45941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45941</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45941</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45941</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45941</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45941</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45941</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45941</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45941</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45941</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45941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45941</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67952-2021</t>
        </is>
      </c>
      <c r="B129" s="1" t="n">
        <v>44525.63913194444</v>
      </c>
      <c r="C129" s="1" t="n">
        <v>45941</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14521-2021</t>
        </is>
      </c>
      <c r="B130" s="1" t="n">
        <v>44279.64934027778</v>
      </c>
      <c r="C130" s="1" t="n">
        <v>45941</v>
      </c>
      <c r="D130" t="inlineStr">
        <is>
          <t>KALMAR LÄN</t>
        </is>
      </c>
      <c r="E130" t="inlineStr">
        <is>
          <t>VIMMERBY</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15533-2022</t>
        </is>
      </c>
      <c r="B131" s="1" t="n">
        <v>44662</v>
      </c>
      <c r="C131" s="1" t="n">
        <v>45941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45941</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45941</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618-2021</t>
        </is>
      </c>
      <c r="B134" s="1" t="n">
        <v>44203</v>
      </c>
      <c r="C134" s="1" t="n">
        <v>45941</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45941</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12241-2021</t>
        </is>
      </c>
      <c r="B136" s="1" t="n">
        <v>44266.7240625</v>
      </c>
      <c r="C136" s="1" t="n">
        <v>45941</v>
      </c>
      <c r="D136" t="inlineStr">
        <is>
          <t>KALMAR LÄN</t>
        </is>
      </c>
      <c r="E136" t="inlineStr">
        <is>
          <t>VIMMERBY</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34040-2021</t>
        </is>
      </c>
      <c r="B137" s="1" t="n">
        <v>44379</v>
      </c>
      <c r="C137" s="1" t="n">
        <v>45941</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15200-2021</t>
        </is>
      </c>
      <c r="B138" s="1" t="n">
        <v>44284.44574074074</v>
      </c>
      <c r="C138" s="1" t="n">
        <v>45941</v>
      </c>
      <c r="D138" t="inlineStr">
        <is>
          <t>KALMAR LÄN</t>
        </is>
      </c>
      <c r="E138" t="inlineStr">
        <is>
          <t>VIMMERBY</t>
        </is>
      </c>
      <c r="G138" t="n">
        <v>1.2</v>
      </c>
      <c r="H138" t="n">
        <v>0</v>
      </c>
      <c r="I138" t="n">
        <v>0</v>
      </c>
      <c r="J138" t="n">
        <v>0</v>
      </c>
      <c r="K138" t="n">
        <v>0</v>
      </c>
      <c r="L138" t="n">
        <v>0</v>
      </c>
      <c r="M138" t="n">
        <v>0</v>
      </c>
      <c r="N138" t="n">
        <v>0</v>
      </c>
      <c r="O138" t="n">
        <v>0</v>
      </c>
      <c r="P138" t="n">
        <v>0</v>
      </c>
      <c r="Q138" t="n">
        <v>0</v>
      </c>
      <c r="R138" s="2" t="inlineStr"/>
    </row>
    <row r="139" ht="15" customHeight="1">
      <c r="A139" t="inlineStr">
        <is>
          <t>A 12662-2021</t>
        </is>
      </c>
      <c r="B139" s="1" t="n">
        <v>44270.49743055556</v>
      </c>
      <c r="C139" s="1" t="n">
        <v>45941</v>
      </c>
      <c r="D139" t="inlineStr">
        <is>
          <t>KALMAR LÄN</t>
        </is>
      </c>
      <c r="E139" t="inlineStr">
        <is>
          <t>VIMMERBY</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45941</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23825-2022</t>
        </is>
      </c>
      <c r="B141" s="1" t="n">
        <v>44722.48768518519</v>
      </c>
      <c r="C141" s="1" t="n">
        <v>45941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45941</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39225-2022</t>
        </is>
      </c>
      <c r="B143" s="1" t="n">
        <v>44817.57988425926</v>
      </c>
      <c r="C143" s="1" t="n">
        <v>45941</v>
      </c>
      <c r="D143" t="inlineStr">
        <is>
          <t>KALMAR LÄN</t>
        </is>
      </c>
      <c r="E143" t="inlineStr">
        <is>
          <t>VIMMERBY</t>
        </is>
      </c>
      <c r="G143" t="n">
        <v>2.2</v>
      </c>
      <c r="H143" t="n">
        <v>0</v>
      </c>
      <c r="I143" t="n">
        <v>0</v>
      </c>
      <c r="J143" t="n">
        <v>0</v>
      </c>
      <c r="K143" t="n">
        <v>0</v>
      </c>
      <c r="L143" t="n">
        <v>0</v>
      </c>
      <c r="M143" t="n">
        <v>0</v>
      </c>
      <c r="N143" t="n">
        <v>0</v>
      </c>
      <c r="O143" t="n">
        <v>0</v>
      </c>
      <c r="P143" t="n">
        <v>0</v>
      </c>
      <c r="Q143" t="n">
        <v>0</v>
      </c>
      <c r="R143" s="2" t="inlineStr"/>
    </row>
    <row r="144" ht="15" customHeight="1">
      <c r="A144" t="inlineStr">
        <is>
          <t>A 36117-2021</t>
        </is>
      </c>
      <c r="B144" s="1" t="n">
        <v>44386</v>
      </c>
      <c r="C144" s="1" t="n">
        <v>45941</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42521-2021</t>
        </is>
      </c>
      <c r="B145" s="1" t="n">
        <v>44427</v>
      </c>
      <c r="C145" s="1" t="n">
        <v>45941</v>
      </c>
      <c r="D145" t="inlineStr">
        <is>
          <t>KALMAR LÄN</t>
        </is>
      </c>
      <c r="E145" t="inlineStr">
        <is>
          <t>VIMMERBY</t>
        </is>
      </c>
      <c r="G145" t="n">
        <v>5.4</v>
      </c>
      <c r="H145" t="n">
        <v>0</v>
      </c>
      <c r="I145" t="n">
        <v>0</v>
      </c>
      <c r="J145" t="n">
        <v>0</v>
      </c>
      <c r="K145" t="n">
        <v>0</v>
      </c>
      <c r="L145" t="n">
        <v>0</v>
      </c>
      <c r="M145" t="n">
        <v>0</v>
      </c>
      <c r="N145" t="n">
        <v>0</v>
      </c>
      <c r="O145" t="n">
        <v>0</v>
      </c>
      <c r="P145" t="n">
        <v>0</v>
      </c>
      <c r="Q145" t="n">
        <v>0</v>
      </c>
      <c r="R145" s="2" t="inlineStr"/>
    </row>
    <row r="146" ht="15" customHeight="1">
      <c r="A146" t="inlineStr">
        <is>
          <t>A 11814-2022</t>
        </is>
      </c>
      <c r="B146" s="1" t="n">
        <v>44634.69703703704</v>
      </c>
      <c r="C146" s="1" t="n">
        <v>45941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16602-2021</t>
        </is>
      </c>
      <c r="B147" s="1" t="n">
        <v>44294</v>
      </c>
      <c r="C147" s="1" t="n">
        <v>45941</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16607-2021</t>
        </is>
      </c>
      <c r="B148" s="1" t="n">
        <v>44294</v>
      </c>
      <c r="C148" s="1" t="n">
        <v>45941</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17029-2022</t>
        </is>
      </c>
      <c r="B149" s="1" t="n">
        <v>44676.85248842592</v>
      </c>
      <c r="C149" s="1" t="n">
        <v>45941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56385-2021</t>
        </is>
      </c>
      <c r="B150" s="1" t="n">
        <v>44480</v>
      </c>
      <c r="C150" s="1" t="n">
        <v>45941</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31053-2022</t>
        </is>
      </c>
      <c r="B151" s="1" t="n">
        <v>44769.45422453704</v>
      </c>
      <c r="C151" s="1" t="n">
        <v>45941</v>
      </c>
      <c r="D151" t="inlineStr">
        <is>
          <t>KALMAR LÄN</t>
        </is>
      </c>
      <c r="E151" t="inlineStr">
        <is>
          <t>VIMMERBY</t>
        </is>
      </c>
      <c r="G151" t="n">
        <v>1.9</v>
      </c>
      <c r="H151" t="n">
        <v>0</v>
      </c>
      <c r="I151" t="n">
        <v>0</v>
      </c>
      <c r="J151" t="n">
        <v>0</v>
      </c>
      <c r="K151" t="n">
        <v>0</v>
      </c>
      <c r="L151" t="n">
        <v>0</v>
      </c>
      <c r="M151" t="n">
        <v>0</v>
      </c>
      <c r="N151" t="n">
        <v>0</v>
      </c>
      <c r="O151" t="n">
        <v>0</v>
      </c>
      <c r="P151" t="n">
        <v>0</v>
      </c>
      <c r="Q151" t="n">
        <v>0</v>
      </c>
      <c r="R151" s="2" t="inlineStr"/>
    </row>
    <row r="152" ht="15" customHeight="1">
      <c r="A152" t="inlineStr">
        <is>
          <t>A 7167-2022</t>
        </is>
      </c>
      <c r="B152" s="1" t="n">
        <v>44604</v>
      </c>
      <c r="C152" s="1" t="n">
        <v>45941</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24738-2021</t>
        </is>
      </c>
      <c r="B153" s="1" t="n">
        <v>44340.58002314815</v>
      </c>
      <c r="C153" s="1" t="n">
        <v>45941</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45941</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8454-2022</t>
        </is>
      </c>
      <c r="B155" s="1" t="n">
        <v>44612.86762731482</v>
      </c>
      <c r="C155" s="1" t="n">
        <v>45941</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57948-2020</t>
        </is>
      </c>
      <c r="B156" s="1" t="n">
        <v>44142</v>
      </c>
      <c r="C156" s="1" t="n">
        <v>45941</v>
      </c>
      <c r="D156" t="inlineStr">
        <is>
          <t>KALMAR LÄN</t>
        </is>
      </c>
      <c r="E156" t="inlineStr">
        <is>
          <t>VIMMERBY</t>
        </is>
      </c>
      <c r="G156" t="n">
        <v>7.1</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45941</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45941</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45941</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45941</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35001-2021</t>
        </is>
      </c>
      <c r="B161" s="1" t="n">
        <v>44383</v>
      </c>
      <c r="C161" s="1" t="n">
        <v>45941</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13180-2022</t>
        </is>
      </c>
      <c r="B162" s="1" t="n">
        <v>44644</v>
      </c>
      <c r="C162" s="1" t="n">
        <v>45941</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55674-2021</t>
        </is>
      </c>
      <c r="B163" s="1" t="n">
        <v>44476</v>
      </c>
      <c r="C163" s="1" t="n">
        <v>45941</v>
      </c>
      <c r="D163" t="inlineStr">
        <is>
          <t>KALMAR LÄN</t>
        </is>
      </c>
      <c r="E163" t="inlineStr">
        <is>
          <t>VIMMERBY</t>
        </is>
      </c>
      <c r="G163" t="n">
        <v>2.1</v>
      </c>
      <c r="H163" t="n">
        <v>0</v>
      </c>
      <c r="I163" t="n">
        <v>0</v>
      </c>
      <c r="J163" t="n">
        <v>0</v>
      </c>
      <c r="K163" t="n">
        <v>0</v>
      </c>
      <c r="L163" t="n">
        <v>0</v>
      </c>
      <c r="M163" t="n">
        <v>0</v>
      </c>
      <c r="N163" t="n">
        <v>0</v>
      </c>
      <c r="O163" t="n">
        <v>0</v>
      </c>
      <c r="P163" t="n">
        <v>0</v>
      </c>
      <c r="Q163" t="n">
        <v>0</v>
      </c>
      <c r="R163" s="2" t="inlineStr"/>
    </row>
    <row r="164" ht="15" customHeight="1">
      <c r="A164" t="inlineStr">
        <is>
          <t>A 39959-2022</t>
        </is>
      </c>
      <c r="B164" s="1" t="n">
        <v>44819</v>
      </c>
      <c r="C164" s="1" t="n">
        <v>45941</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41056-2022</t>
        </is>
      </c>
      <c r="B165" s="1" t="n">
        <v>44824</v>
      </c>
      <c r="C165" s="1" t="n">
        <v>45941</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31660-2021</t>
        </is>
      </c>
      <c r="B166" s="1" t="n">
        <v>44369</v>
      </c>
      <c r="C166" s="1" t="n">
        <v>45941</v>
      </c>
      <c r="D166" t="inlineStr">
        <is>
          <t>KALMAR LÄN</t>
        </is>
      </c>
      <c r="E166" t="inlineStr">
        <is>
          <t>VIMMERBY</t>
        </is>
      </c>
      <c r="G166" t="n">
        <v>4.2</v>
      </c>
      <c r="H166" t="n">
        <v>0</v>
      </c>
      <c r="I166" t="n">
        <v>0</v>
      </c>
      <c r="J166" t="n">
        <v>0</v>
      </c>
      <c r="K166" t="n">
        <v>0</v>
      </c>
      <c r="L166" t="n">
        <v>0</v>
      </c>
      <c r="M166" t="n">
        <v>0</v>
      </c>
      <c r="N166" t="n">
        <v>0</v>
      </c>
      <c r="O166" t="n">
        <v>0</v>
      </c>
      <c r="P166" t="n">
        <v>0</v>
      </c>
      <c r="Q166" t="n">
        <v>0</v>
      </c>
      <c r="R166" s="2" t="inlineStr"/>
    </row>
    <row r="167" ht="15" customHeight="1">
      <c r="A167" t="inlineStr">
        <is>
          <t>A 27455-2022</t>
        </is>
      </c>
      <c r="B167" s="1" t="n">
        <v>44742</v>
      </c>
      <c r="C167" s="1" t="n">
        <v>45941</v>
      </c>
      <c r="D167" t="inlineStr">
        <is>
          <t>KALMAR LÄN</t>
        </is>
      </c>
      <c r="E167" t="inlineStr">
        <is>
          <t>VIMMERBY</t>
        </is>
      </c>
      <c r="G167" t="n">
        <v>1.6</v>
      </c>
      <c r="H167" t="n">
        <v>0</v>
      </c>
      <c r="I167" t="n">
        <v>0</v>
      </c>
      <c r="J167" t="n">
        <v>0</v>
      </c>
      <c r="K167" t="n">
        <v>0</v>
      </c>
      <c r="L167" t="n">
        <v>0</v>
      </c>
      <c r="M167" t="n">
        <v>0</v>
      </c>
      <c r="N167" t="n">
        <v>0</v>
      </c>
      <c r="O167" t="n">
        <v>0</v>
      </c>
      <c r="P167" t="n">
        <v>0</v>
      </c>
      <c r="Q167" t="n">
        <v>0</v>
      </c>
      <c r="R167" s="2" t="inlineStr"/>
    </row>
    <row r="168" ht="15" customHeight="1">
      <c r="A168" t="inlineStr">
        <is>
          <t>A 40077-2021</t>
        </is>
      </c>
      <c r="B168" s="1" t="n">
        <v>44418</v>
      </c>
      <c r="C168" s="1" t="n">
        <v>45941</v>
      </c>
      <c r="D168" t="inlineStr">
        <is>
          <t>KALMAR LÄN</t>
        </is>
      </c>
      <c r="E168" t="inlineStr">
        <is>
          <t>VIMMERBY</t>
        </is>
      </c>
      <c r="G168" t="n">
        <v>2.9</v>
      </c>
      <c r="H168" t="n">
        <v>0</v>
      </c>
      <c r="I168" t="n">
        <v>0</v>
      </c>
      <c r="J168" t="n">
        <v>0</v>
      </c>
      <c r="K168" t="n">
        <v>0</v>
      </c>
      <c r="L168" t="n">
        <v>0</v>
      </c>
      <c r="M168" t="n">
        <v>0</v>
      </c>
      <c r="N168" t="n">
        <v>0</v>
      </c>
      <c r="O168" t="n">
        <v>0</v>
      </c>
      <c r="P168" t="n">
        <v>0</v>
      </c>
      <c r="Q168" t="n">
        <v>0</v>
      </c>
      <c r="R168" s="2" t="inlineStr"/>
    </row>
    <row r="169" ht="15" customHeight="1">
      <c r="A169" t="inlineStr">
        <is>
          <t>A 47769-2022</t>
        </is>
      </c>
      <c r="B169" s="1" t="n">
        <v>44854</v>
      </c>
      <c r="C169" s="1" t="n">
        <v>45941</v>
      </c>
      <c r="D169" t="inlineStr">
        <is>
          <t>KALMAR LÄN</t>
        </is>
      </c>
      <c r="E169" t="inlineStr">
        <is>
          <t>VIMMERBY</t>
        </is>
      </c>
      <c r="G169" t="n">
        <v>1.1</v>
      </c>
      <c r="H169" t="n">
        <v>0</v>
      </c>
      <c r="I169" t="n">
        <v>0</v>
      </c>
      <c r="J169" t="n">
        <v>0</v>
      </c>
      <c r="K169" t="n">
        <v>0</v>
      </c>
      <c r="L169" t="n">
        <v>0</v>
      </c>
      <c r="M169" t="n">
        <v>0</v>
      </c>
      <c r="N169" t="n">
        <v>0</v>
      </c>
      <c r="O169" t="n">
        <v>0</v>
      </c>
      <c r="P169" t="n">
        <v>0</v>
      </c>
      <c r="Q169" t="n">
        <v>0</v>
      </c>
      <c r="R169" s="2" t="inlineStr"/>
    </row>
    <row r="170" ht="15" customHeight="1">
      <c r="A170" t="inlineStr">
        <is>
          <t>A 12661-2021</t>
        </is>
      </c>
      <c r="B170" s="1" t="n">
        <v>44270</v>
      </c>
      <c r="C170" s="1" t="n">
        <v>45941</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24999-2021</t>
        </is>
      </c>
      <c r="B171" s="1" t="n">
        <v>44341</v>
      </c>
      <c r="C171" s="1" t="n">
        <v>45941</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45941</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42850-2022</t>
        </is>
      </c>
      <c r="B173" s="1" t="n">
        <v>44832.67608796297</v>
      </c>
      <c r="C173" s="1" t="n">
        <v>45941</v>
      </c>
      <c r="D173" t="inlineStr">
        <is>
          <t>KALMAR LÄN</t>
        </is>
      </c>
      <c r="E173" t="inlineStr">
        <is>
          <t>VIMMERBY</t>
        </is>
      </c>
      <c r="G173" t="n">
        <v>5.9</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45941</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45941</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16705-2021</t>
        </is>
      </c>
      <c r="B176" s="1" t="n">
        <v>44294</v>
      </c>
      <c r="C176" s="1" t="n">
        <v>45941</v>
      </c>
      <c r="D176" t="inlineStr">
        <is>
          <t>KALMAR LÄN</t>
        </is>
      </c>
      <c r="E176" t="inlineStr">
        <is>
          <t>VIMMERBY</t>
        </is>
      </c>
      <c r="G176" t="n">
        <v>2.6</v>
      </c>
      <c r="H176" t="n">
        <v>0</v>
      </c>
      <c r="I176" t="n">
        <v>0</v>
      </c>
      <c r="J176" t="n">
        <v>0</v>
      </c>
      <c r="K176" t="n">
        <v>0</v>
      </c>
      <c r="L176" t="n">
        <v>0</v>
      </c>
      <c r="M176" t="n">
        <v>0</v>
      </c>
      <c r="N176" t="n">
        <v>0</v>
      </c>
      <c r="O176" t="n">
        <v>0</v>
      </c>
      <c r="P176" t="n">
        <v>0</v>
      </c>
      <c r="Q176" t="n">
        <v>0</v>
      </c>
      <c r="R176" s="2" t="inlineStr"/>
    </row>
    <row r="177" ht="15" customHeight="1">
      <c r="A177" t="inlineStr">
        <is>
          <t>A 51977-2020</t>
        </is>
      </c>
      <c r="B177" s="1" t="n">
        <v>44116</v>
      </c>
      <c r="C177" s="1" t="n">
        <v>45941</v>
      </c>
      <c r="D177" t="inlineStr">
        <is>
          <t>KALMAR LÄN</t>
        </is>
      </c>
      <c r="E177" t="inlineStr">
        <is>
          <t>VIMMERBY</t>
        </is>
      </c>
      <c r="G177" t="n">
        <v>1.5</v>
      </c>
      <c r="H177" t="n">
        <v>0</v>
      </c>
      <c r="I177" t="n">
        <v>0</v>
      </c>
      <c r="J177" t="n">
        <v>0</v>
      </c>
      <c r="K177" t="n">
        <v>0</v>
      </c>
      <c r="L177" t="n">
        <v>0</v>
      </c>
      <c r="M177" t="n">
        <v>0</v>
      </c>
      <c r="N177" t="n">
        <v>0</v>
      </c>
      <c r="O177" t="n">
        <v>0</v>
      </c>
      <c r="P177" t="n">
        <v>0</v>
      </c>
      <c r="Q177" t="n">
        <v>0</v>
      </c>
      <c r="R177" s="2" t="inlineStr"/>
    </row>
    <row r="178" ht="15" customHeight="1">
      <c r="A178" t="inlineStr">
        <is>
          <t>A 22197-2024</t>
        </is>
      </c>
      <c r="B178" s="1" t="n">
        <v>45446.36774305555</v>
      </c>
      <c r="C178" s="1" t="n">
        <v>45941</v>
      </c>
      <c r="D178" t="inlineStr">
        <is>
          <t>KALMAR LÄN</t>
        </is>
      </c>
      <c r="E178" t="inlineStr">
        <is>
          <t>VIMMERBY</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48377-2021</t>
        </is>
      </c>
      <c r="B179" s="1" t="n">
        <v>44451.8375</v>
      </c>
      <c r="C179" s="1" t="n">
        <v>45941</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40472-2022</t>
        </is>
      </c>
      <c r="B180" s="1" t="n">
        <v>44823</v>
      </c>
      <c r="C180" s="1" t="n">
        <v>45941</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35710-2023</t>
        </is>
      </c>
      <c r="B181" s="1" t="n">
        <v>45147.67096064815</v>
      </c>
      <c r="C181" s="1" t="n">
        <v>45941</v>
      </c>
      <c r="D181" t="inlineStr">
        <is>
          <t>KALMAR LÄN</t>
        </is>
      </c>
      <c r="E181" t="inlineStr">
        <is>
          <t>VIMMERBY</t>
        </is>
      </c>
      <c r="G181" t="n">
        <v>3.1</v>
      </c>
      <c r="H181" t="n">
        <v>0</v>
      </c>
      <c r="I181" t="n">
        <v>0</v>
      </c>
      <c r="J181" t="n">
        <v>0</v>
      </c>
      <c r="K181" t="n">
        <v>0</v>
      </c>
      <c r="L181" t="n">
        <v>0</v>
      </c>
      <c r="M181" t="n">
        <v>0</v>
      </c>
      <c r="N181" t="n">
        <v>0</v>
      </c>
      <c r="O181" t="n">
        <v>0</v>
      </c>
      <c r="P181" t="n">
        <v>0</v>
      </c>
      <c r="Q181" t="n">
        <v>0</v>
      </c>
      <c r="R181" s="2" t="inlineStr"/>
    </row>
    <row r="182" ht="15" customHeight="1">
      <c r="A182" t="inlineStr">
        <is>
          <t>A 35711-2023</t>
        </is>
      </c>
      <c r="B182" s="1" t="n">
        <v>45147.67172453704</v>
      </c>
      <c r="C182" s="1" t="n">
        <v>45941</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10086-2022</t>
        </is>
      </c>
      <c r="B183" s="1" t="n">
        <v>44621</v>
      </c>
      <c r="C183" s="1" t="n">
        <v>45941</v>
      </c>
      <c r="D183" t="inlineStr">
        <is>
          <t>KALMAR LÄN</t>
        </is>
      </c>
      <c r="E183" t="inlineStr">
        <is>
          <t>VIMMERBY</t>
        </is>
      </c>
      <c r="G183" t="n">
        <v>1.2</v>
      </c>
      <c r="H183" t="n">
        <v>0</v>
      </c>
      <c r="I183" t="n">
        <v>0</v>
      </c>
      <c r="J183" t="n">
        <v>0</v>
      </c>
      <c r="K183" t="n">
        <v>0</v>
      </c>
      <c r="L183" t="n">
        <v>0</v>
      </c>
      <c r="M183" t="n">
        <v>0</v>
      </c>
      <c r="N183" t="n">
        <v>0</v>
      </c>
      <c r="O183" t="n">
        <v>0</v>
      </c>
      <c r="P183" t="n">
        <v>0</v>
      </c>
      <c r="Q183" t="n">
        <v>0</v>
      </c>
      <c r="R183" s="2" t="inlineStr"/>
    </row>
    <row r="184" ht="15" customHeight="1">
      <c r="A184" t="inlineStr">
        <is>
          <t>A 56389-2021</t>
        </is>
      </c>
      <c r="B184" s="1" t="n">
        <v>44480</v>
      </c>
      <c r="C184" s="1" t="n">
        <v>45941</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35316-2021</t>
        </is>
      </c>
      <c r="B185" s="1" t="n">
        <v>44384</v>
      </c>
      <c r="C185" s="1" t="n">
        <v>45941</v>
      </c>
      <c r="D185" t="inlineStr">
        <is>
          <t>KALMAR LÄN</t>
        </is>
      </c>
      <c r="E185" t="inlineStr">
        <is>
          <t>VIMMERBY</t>
        </is>
      </c>
      <c r="G185" t="n">
        <v>3.5</v>
      </c>
      <c r="H185" t="n">
        <v>0</v>
      </c>
      <c r="I185" t="n">
        <v>0</v>
      </c>
      <c r="J185" t="n">
        <v>0</v>
      </c>
      <c r="K185" t="n">
        <v>0</v>
      </c>
      <c r="L185" t="n">
        <v>0</v>
      </c>
      <c r="M185" t="n">
        <v>0</v>
      </c>
      <c r="N185" t="n">
        <v>0</v>
      </c>
      <c r="O185" t="n">
        <v>0</v>
      </c>
      <c r="P185" t="n">
        <v>0</v>
      </c>
      <c r="Q185" t="n">
        <v>0</v>
      </c>
      <c r="R185" s="2" t="inlineStr"/>
    </row>
    <row r="186" ht="15" customHeight="1">
      <c r="A186" t="inlineStr">
        <is>
          <t>A 65564-2020</t>
        </is>
      </c>
      <c r="B186" s="1" t="n">
        <v>44172</v>
      </c>
      <c r="C186" s="1" t="n">
        <v>45941</v>
      </c>
      <c r="D186" t="inlineStr">
        <is>
          <t>KALMAR LÄN</t>
        </is>
      </c>
      <c r="E186" t="inlineStr">
        <is>
          <t>VIMMERBY</t>
        </is>
      </c>
      <c r="G186" t="n">
        <v>4.1</v>
      </c>
      <c r="H186" t="n">
        <v>0</v>
      </c>
      <c r="I186" t="n">
        <v>0</v>
      </c>
      <c r="J186" t="n">
        <v>0</v>
      </c>
      <c r="K186" t="n">
        <v>0</v>
      </c>
      <c r="L186" t="n">
        <v>0</v>
      </c>
      <c r="M186" t="n">
        <v>0</v>
      </c>
      <c r="N186" t="n">
        <v>0</v>
      </c>
      <c r="O186" t="n">
        <v>0</v>
      </c>
      <c r="P186" t="n">
        <v>0</v>
      </c>
      <c r="Q186" t="n">
        <v>0</v>
      </c>
      <c r="R186" s="2" t="inlineStr"/>
    </row>
    <row r="187" ht="15" customHeight="1">
      <c r="A187" t="inlineStr">
        <is>
          <t>A 33831-2022</t>
        </is>
      </c>
      <c r="B187" s="1" t="n">
        <v>44790.48503472222</v>
      </c>
      <c r="C187" s="1" t="n">
        <v>45941</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47708-2022</t>
        </is>
      </c>
      <c r="B188" s="1" t="n">
        <v>44854.59157407407</v>
      </c>
      <c r="C188" s="1" t="n">
        <v>45941</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53145-2022</t>
        </is>
      </c>
      <c r="B189" s="1" t="n">
        <v>44876.48346064815</v>
      </c>
      <c r="C189" s="1" t="n">
        <v>45941</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25738-2022</t>
        </is>
      </c>
      <c r="B190" s="1" t="n">
        <v>44733.43092592592</v>
      </c>
      <c r="C190" s="1" t="n">
        <v>45941</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9918-2022</t>
        </is>
      </c>
      <c r="B191" s="1" t="n">
        <v>44620</v>
      </c>
      <c r="C191" s="1" t="n">
        <v>45941</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34588-2024</t>
        </is>
      </c>
      <c r="B192" s="1" t="n">
        <v>45526.3865625</v>
      </c>
      <c r="C192" s="1" t="n">
        <v>45941</v>
      </c>
      <c r="D192" t="inlineStr">
        <is>
          <t>KALMAR LÄN</t>
        </is>
      </c>
      <c r="E192" t="inlineStr">
        <is>
          <t>VIMMERBY</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37187-2024</t>
        </is>
      </c>
      <c r="B193" s="1" t="n">
        <v>45539.65212962963</v>
      </c>
      <c r="C193" s="1" t="n">
        <v>45941</v>
      </c>
      <c r="D193" t="inlineStr">
        <is>
          <t>KALMAR LÄN</t>
        </is>
      </c>
      <c r="E193" t="inlineStr">
        <is>
          <t>VIMMERBY</t>
        </is>
      </c>
      <c r="G193" t="n">
        <v>2.7</v>
      </c>
      <c r="H193" t="n">
        <v>0</v>
      </c>
      <c r="I193" t="n">
        <v>0</v>
      </c>
      <c r="J193" t="n">
        <v>0</v>
      </c>
      <c r="K193" t="n">
        <v>0</v>
      </c>
      <c r="L193" t="n">
        <v>0</v>
      </c>
      <c r="M193" t="n">
        <v>0</v>
      </c>
      <c r="N193" t="n">
        <v>0</v>
      </c>
      <c r="O193" t="n">
        <v>0</v>
      </c>
      <c r="P193" t="n">
        <v>0</v>
      </c>
      <c r="Q193" t="n">
        <v>0</v>
      </c>
      <c r="R193" s="2" t="inlineStr"/>
    </row>
    <row r="194" ht="15" customHeight="1">
      <c r="A194" t="inlineStr">
        <is>
          <t>A 56659-2023</t>
        </is>
      </c>
      <c r="B194" s="1" t="n">
        <v>45243.84869212963</v>
      </c>
      <c r="C194" s="1" t="n">
        <v>45941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25830-2025</t>
        </is>
      </c>
      <c r="B195" s="1" t="n">
        <v>45804.44519675926</v>
      </c>
      <c r="C195" s="1" t="n">
        <v>45941</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8194-2022</t>
        </is>
      </c>
      <c r="B196" s="1" t="n">
        <v>44609</v>
      </c>
      <c r="C196" s="1" t="n">
        <v>45941</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15191-2021</t>
        </is>
      </c>
      <c r="B197" s="1" t="n">
        <v>44284.42348379629</v>
      </c>
      <c r="C197" s="1" t="n">
        <v>45941</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26124-2025</t>
        </is>
      </c>
      <c r="B198" s="1" t="n">
        <v>45805.39247685186</v>
      </c>
      <c r="C198" s="1" t="n">
        <v>45941</v>
      </c>
      <c r="D198" t="inlineStr">
        <is>
          <t>KALMAR LÄN</t>
        </is>
      </c>
      <c r="E198" t="inlineStr">
        <is>
          <t>VIMMERBY</t>
        </is>
      </c>
      <c r="G198" t="n">
        <v>6.6</v>
      </c>
      <c r="H198" t="n">
        <v>0</v>
      </c>
      <c r="I198" t="n">
        <v>0</v>
      </c>
      <c r="J198" t="n">
        <v>0</v>
      </c>
      <c r="K198" t="n">
        <v>0</v>
      </c>
      <c r="L198" t="n">
        <v>0</v>
      </c>
      <c r="M198" t="n">
        <v>0</v>
      </c>
      <c r="N198" t="n">
        <v>0</v>
      </c>
      <c r="O198" t="n">
        <v>0</v>
      </c>
      <c r="P198" t="n">
        <v>0</v>
      </c>
      <c r="Q198" t="n">
        <v>0</v>
      </c>
      <c r="R198" s="2" t="inlineStr"/>
    </row>
    <row r="199" ht="15" customHeight="1">
      <c r="A199" t="inlineStr">
        <is>
          <t>A 12630-2023</t>
        </is>
      </c>
      <c r="B199" s="1" t="n">
        <v>45000.47998842593</v>
      </c>
      <c r="C199" s="1" t="n">
        <v>45941</v>
      </c>
      <c r="D199" t="inlineStr">
        <is>
          <t>KALMAR LÄN</t>
        </is>
      </c>
      <c r="E199" t="inlineStr">
        <is>
          <t>VIMMERBY</t>
        </is>
      </c>
      <c r="G199" t="n">
        <v>2.1</v>
      </c>
      <c r="H199" t="n">
        <v>0</v>
      </c>
      <c r="I199" t="n">
        <v>0</v>
      </c>
      <c r="J199" t="n">
        <v>0</v>
      </c>
      <c r="K199" t="n">
        <v>0</v>
      </c>
      <c r="L199" t="n">
        <v>0</v>
      </c>
      <c r="M199" t="n">
        <v>0</v>
      </c>
      <c r="N199" t="n">
        <v>0</v>
      </c>
      <c r="O199" t="n">
        <v>0</v>
      </c>
      <c r="P199" t="n">
        <v>0</v>
      </c>
      <c r="Q199" t="n">
        <v>0</v>
      </c>
      <c r="R199" s="2" t="inlineStr"/>
    </row>
    <row r="200" ht="15" customHeight="1">
      <c r="A200" t="inlineStr">
        <is>
          <t>A 40971-2021</t>
        </is>
      </c>
      <c r="B200" s="1" t="n">
        <v>44421</v>
      </c>
      <c r="C200" s="1" t="n">
        <v>45941</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68744-2020</t>
        </is>
      </c>
      <c r="B201" s="1" t="n">
        <v>44186</v>
      </c>
      <c r="C201" s="1" t="n">
        <v>45941</v>
      </c>
      <c r="D201" t="inlineStr">
        <is>
          <t>KALMAR LÄN</t>
        </is>
      </c>
      <c r="E201" t="inlineStr">
        <is>
          <t>VIMMERBY</t>
        </is>
      </c>
      <c r="G201" t="n">
        <v>2.5</v>
      </c>
      <c r="H201" t="n">
        <v>0</v>
      </c>
      <c r="I201" t="n">
        <v>0</v>
      </c>
      <c r="J201" t="n">
        <v>0</v>
      </c>
      <c r="K201" t="n">
        <v>0</v>
      </c>
      <c r="L201" t="n">
        <v>0</v>
      </c>
      <c r="M201" t="n">
        <v>0</v>
      </c>
      <c r="N201" t="n">
        <v>0</v>
      </c>
      <c r="O201" t="n">
        <v>0</v>
      </c>
      <c r="P201" t="n">
        <v>0</v>
      </c>
      <c r="Q201" t="n">
        <v>0</v>
      </c>
      <c r="R201" s="2" t="inlineStr"/>
    </row>
    <row r="202" ht="15" customHeight="1">
      <c r="A202" t="inlineStr">
        <is>
          <t>A 39584-2024</t>
        </is>
      </c>
      <c r="B202" s="1" t="n">
        <v>45552.36759259259</v>
      </c>
      <c r="C202" s="1" t="n">
        <v>45941</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27705-2023</t>
        </is>
      </c>
      <c r="B203" s="1" t="n">
        <v>45098.30535879629</v>
      </c>
      <c r="C203" s="1" t="n">
        <v>45941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13457-2021</t>
        </is>
      </c>
      <c r="B204" s="1" t="n">
        <v>44273</v>
      </c>
      <c r="C204" s="1" t="n">
        <v>45941</v>
      </c>
      <c r="D204" t="inlineStr">
        <is>
          <t>KALMAR LÄN</t>
        </is>
      </c>
      <c r="E204" t="inlineStr">
        <is>
          <t>VIMMERBY</t>
        </is>
      </c>
      <c r="G204" t="n">
        <v>1.4</v>
      </c>
      <c r="H204" t="n">
        <v>0</v>
      </c>
      <c r="I204" t="n">
        <v>0</v>
      </c>
      <c r="J204" t="n">
        <v>0</v>
      </c>
      <c r="K204" t="n">
        <v>0</v>
      </c>
      <c r="L204" t="n">
        <v>0</v>
      </c>
      <c r="M204" t="n">
        <v>0</v>
      </c>
      <c r="N204" t="n">
        <v>0</v>
      </c>
      <c r="O204" t="n">
        <v>0</v>
      </c>
      <c r="P204" t="n">
        <v>0</v>
      </c>
      <c r="Q204" t="n">
        <v>0</v>
      </c>
      <c r="R204" s="2" t="inlineStr"/>
    </row>
    <row r="205" ht="15" customHeight="1">
      <c r="A205" t="inlineStr">
        <is>
          <t>A 3331-2023</t>
        </is>
      </c>
      <c r="B205" s="1" t="n">
        <v>44949</v>
      </c>
      <c r="C205" s="1" t="n">
        <v>45941</v>
      </c>
      <c r="D205" t="inlineStr">
        <is>
          <t>KALMAR LÄN</t>
        </is>
      </c>
      <c r="E205" t="inlineStr">
        <is>
          <t>VIMMERBY</t>
        </is>
      </c>
      <c r="G205" t="n">
        <v>6.2</v>
      </c>
      <c r="H205" t="n">
        <v>0</v>
      </c>
      <c r="I205" t="n">
        <v>0</v>
      </c>
      <c r="J205" t="n">
        <v>0</v>
      </c>
      <c r="K205" t="n">
        <v>0</v>
      </c>
      <c r="L205" t="n">
        <v>0</v>
      </c>
      <c r="M205" t="n">
        <v>0</v>
      </c>
      <c r="N205" t="n">
        <v>0</v>
      </c>
      <c r="O205" t="n">
        <v>0</v>
      </c>
      <c r="P205" t="n">
        <v>0</v>
      </c>
      <c r="Q205" t="n">
        <v>0</v>
      </c>
      <c r="R205" s="2" t="inlineStr"/>
    </row>
    <row r="206" ht="15" customHeight="1">
      <c r="A206" t="inlineStr">
        <is>
          <t>A 14278-2021</t>
        </is>
      </c>
      <c r="B206" s="1" t="n">
        <v>44278.63479166666</v>
      </c>
      <c r="C206" s="1" t="n">
        <v>45941</v>
      </c>
      <c r="D206" t="inlineStr">
        <is>
          <t>KALMAR LÄN</t>
        </is>
      </c>
      <c r="E206" t="inlineStr">
        <is>
          <t>VIMMERBY</t>
        </is>
      </c>
      <c r="F206" t="inlineStr">
        <is>
          <t>Övriga statliga verk och myndigheter</t>
        </is>
      </c>
      <c r="G206" t="n">
        <v>0.8</v>
      </c>
      <c r="H206" t="n">
        <v>0</v>
      </c>
      <c r="I206" t="n">
        <v>0</v>
      </c>
      <c r="J206" t="n">
        <v>0</v>
      </c>
      <c r="K206" t="n">
        <v>0</v>
      </c>
      <c r="L206" t="n">
        <v>0</v>
      </c>
      <c r="M206" t="n">
        <v>0</v>
      </c>
      <c r="N206" t="n">
        <v>0</v>
      </c>
      <c r="O206" t="n">
        <v>0</v>
      </c>
      <c r="P206" t="n">
        <v>0</v>
      </c>
      <c r="Q206" t="n">
        <v>0</v>
      </c>
      <c r="R206" s="2" t="inlineStr"/>
    </row>
    <row r="207" ht="15" customHeight="1">
      <c r="A207" t="inlineStr">
        <is>
          <t>A 31013-2023</t>
        </is>
      </c>
      <c r="B207" s="1" t="n">
        <v>45113.56574074074</v>
      </c>
      <c r="C207" s="1" t="n">
        <v>45941</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15388-2025</t>
        </is>
      </c>
      <c r="B208" s="1" t="n">
        <v>45747.42633101852</v>
      </c>
      <c r="C208" s="1" t="n">
        <v>45941</v>
      </c>
      <c r="D208" t="inlineStr">
        <is>
          <t>KALMAR LÄN</t>
        </is>
      </c>
      <c r="E208" t="inlineStr">
        <is>
          <t>VIMMERBY</t>
        </is>
      </c>
      <c r="G208" t="n">
        <v>1.3</v>
      </c>
      <c r="H208" t="n">
        <v>0</v>
      </c>
      <c r="I208" t="n">
        <v>0</v>
      </c>
      <c r="J208" t="n">
        <v>0</v>
      </c>
      <c r="K208" t="n">
        <v>0</v>
      </c>
      <c r="L208" t="n">
        <v>0</v>
      </c>
      <c r="M208" t="n">
        <v>0</v>
      </c>
      <c r="N208" t="n">
        <v>0</v>
      </c>
      <c r="O208" t="n">
        <v>0</v>
      </c>
      <c r="P208" t="n">
        <v>0</v>
      </c>
      <c r="Q208" t="n">
        <v>0</v>
      </c>
      <c r="R208" s="2" t="inlineStr"/>
    </row>
    <row r="209" ht="15" customHeight="1">
      <c r="A209" t="inlineStr">
        <is>
          <t>A 15391-2025</t>
        </is>
      </c>
      <c r="B209" s="1" t="n">
        <v>45747.42958333333</v>
      </c>
      <c r="C209" s="1" t="n">
        <v>45941</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26254-2025</t>
        </is>
      </c>
      <c r="B210" s="1" t="n">
        <v>45805</v>
      </c>
      <c r="C210" s="1" t="n">
        <v>45941</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11303-2025</t>
        </is>
      </c>
      <c r="B211" s="1" t="n">
        <v>45726.44471064815</v>
      </c>
      <c r="C211" s="1" t="n">
        <v>45941</v>
      </c>
      <c r="D211" t="inlineStr">
        <is>
          <t>KALMAR LÄN</t>
        </is>
      </c>
      <c r="E211" t="inlineStr">
        <is>
          <t>VIMMERBY</t>
        </is>
      </c>
      <c r="G211" t="n">
        <v>2.1</v>
      </c>
      <c r="H211" t="n">
        <v>0</v>
      </c>
      <c r="I211" t="n">
        <v>0</v>
      </c>
      <c r="J211" t="n">
        <v>0</v>
      </c>
      <c r="K211" t="n">
        <v>0</v>
      </c>
      <c r="L211" t="n">
        <v>0</v>
      </c>
      <c r="M211" t="n">
        <v>0</v>
      </c>
      <c r="N211" t="n">
        <v>0</v>
      </c>
      <c r="O211" t="n">
        <v>0</v>
      </c>
      <c r="P211" t="n">
        <v>0</v>
      </c>
      <c r="Q211" t="n">
        <v>0</v>
      </c>
      <c r="R211" s="2" t="inlineStr"/>
    </row>
    <row r="212" ht="15" customHeight="1">
      <c r="A212" t="inlineStr">
        <is>
          <t>A 8453-2022</t>
        </is>
      </c>
      <c r="B212" s="1" t="n">
        <v>44612.86554398148</v>
      </c>
      <c r="C212" s="1" t="n">
        <v>45941</v>
      </c>
      <c r="D212" t="inlineStr">
        <is>
          <t>KALMAR LÄN</t>
        </is>
      </c>
      <c r="E212" t="inlineStr">
        <is>
          <t>VIMMERBY</t>
        </is>
      </c>
      <c r="G212" t="n">
        <v>1.7</v>
      </c>
      <c r="H212" t="n">
        <v>0</v>
      </c>
      <c r="I212" t="n">
        <v>0</v>
      </c>
      <c r="J212" t="n">
        <v>0</v>
      </c>
      <c r="K212" t="n">
        <v>0</v>
      </c>
      <c r="L212" t="n">
        <v>0</v>
      </c>
      <c r="M212" t="n">
        <v>0</v>
      </c>
      <c r="N212" t="n">
        <v>0</v>
      </c>
      <c r="O212" t="n">
        <v>0</v>
      </c>
      <c r="P212" t="n">
        <v>0</v>
      </c>
      <c r="Q212" t="n">
        <v>0</v>
      </c>
      <c r="R212" s="2" t="inlineStr"/>
    </row>
    <row r="213" ht="15" customHeight="1">
      <c r="A213" t="inlineStr">
        <is>
          <t>A 52433-2021</t>
        </is>
      </c>
      <c r="B213" s="1" t="n">
        <v>44466.34726851852</v>
      </c>
      <c r="C213" s="1" t="n">
        <v>45941</v>
      </c>
      <c r="D213" t="inlineStr">
        <is>
          <t>KALMAR LÄN</t>
        </is>
      </c>
      <c r="E213" t="inlineStr">
        <is>
          <t>VIMMERBY</t>
        </is>
      </c>
      <c r="G213" t="n">
        <v>3.5</v>
      </c>
      <c r="H213" t="n">
        <v>0</v>
      </c>
      <c r="I213" t="n">
        <v>0</v>
      </c>
      <c r="J213" t="n">
        <v>0</v>
      </c>
      <c r="K213" t="n">
        <v>0</v>
      </c>
      <c r="L213" t="n">
        <v>0</v>
      </c>
      <c r="M213" t="n">
        <v>0</v>
      </c>
      <c r="N213" t="n">
        <v>0</v>
      </c>
      <c r="O213" t="n">
        <v>0</v>
      </c>
      <c r="P213" t="n">
        <v>0</v>
      </c>
      <c r="Q213" t="n">
        <v>0</v>
      </c>
      <c r="R213" s="2" t="inlineStr"/>
    </row>
    <row r="214" ht="15" customHeight="1">
      <c r="A214" t="inlineStr">
        <is>
          <t>A 50621-2022</t>
        </is>
      </c>
      <c r="B214" s="1" t="n">
        <v>44866.81100694444</v>
      </c>
      <c r="C214" s="1" t="n">
        <v>45941</v>
      </c>
      <c r="D214" t="inlineStr">
        <is>
          <t>KALMAR LÄN</t>
        </is>
      </c>
      <c r="E214" t="inlineStr">
        <is>
          <t>VIMMERBY</t>
        </is>
      </c>
      <c r="F214" t="inlineStr">
        <is>
          <t>Övriga Aktiebolag</t>
        </is>
      </c>
      <c r="G214" t="n">
        <v>5.1</v>
      </c>
      <c r="H214" t="n">
        <v>0</v>
      </c>
      <c r="I214" t="n">
        <v>0</v>
      </c>
      <c r="J214" t="n">
        <v>0</v>
      </c>
      <c r="K214" t="n">
        <v>0</v>
      </c>
      <c r="L214" t="n">
        <v>0</v>
      </c>
      <c r="M214" t="n">
        <v>0</v>
      </c>
      <c r="N214" t="n">
        <v>0</v>
      </c>
      <c r="O214" t="n">
        <v>0</v>
      </c>
      <c r="P214" t="n">
        <v>0</v>
      </c>
      <c r="Q214" t="n">
        <v>0</v>
      </c>
      <c r="R214" s="2" t="inlineStr"/>
    </row>
    <row r="215" ht="15" customHeight="1">
      <c r="A215" t="inlineStr">
        <is>
          <t>A 40828-2023</t>
        </is>
      </c>
      <c r="B215" s="1" t="n">
        <v>45171.96248842592</v>
      </c>
      <c r="C215" s="1" t="n">
        <v>45941</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54065-2021</t>
        </is>
      </c>
      <c r="B216" s="1" t="n">
        <v>44470.44232638889</v>
      </c>
      <c r="C216" s="1" t="n">
        <v>45941</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33352-2022</t>
        </is>
      </c>
      <c r="B217" s="1" t="n">
        <v>44788</v>
      </c>
      <c r="C217" s="1" t="n">
        <v>45941</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31824-2022</t>
        </is>
      </c>
      <c r="B218" s="1" t="n">
        <v>44776</v>
      </c>
      <c r="C218" s="1" t="n">
        <v>45941</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46234-2024</t>
        </is>
      </c>
      <c r="B219" s="1" t="n">
        <v>45581.57958333333</v>
      </c>
      <c r="C219" s="1" t="n">
        <v>45941</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16734-2023</t>
        </is>
      </c>
      <c r="B220" s="1" t="n">
        <v>45030.71012731481</v>
      </c>
      <c r="C220" s="1" t="n">
        <v>45941</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39053-2024</t>
        </is>
      </c>
      <c r="B221" s="1" t="n">
        <v>45548</v>
      </c>
      <c r="C221" s="1" t="n">
        <v>45941</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11733-2022</t>
        </is>
      </c>
      <c r="B222" s="1" t="n">
        <v>44634</v>
      </c>
      <c r="C222" s="1" t="n">
        <v>45941</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15449-2023</t>
        </is>
      </c>
      <c r="B223" s="1" t="n">
        <v>45020</v>
      </c>
      <c r="C223" s="1" t="n">
        <v>45941</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43594-2024</t>
        </is>
      </c>
      <c r="B224" s="1" t="n">
        <v>45569.44295138889</v>
      </c>
      <c r="C224" s="1" t="n">
        <v>45941</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17486-2024</t>
        </is>
      </c>
      <c r="B225" s="1" t="n">
        <v>45415.48979166667</v>
      </c>
      <c r="C225" s="1" t="n">
        <v>45941</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64143-2021</t>
        </is>
      </c>
      <c r="B226" s="1" t="n">
        <v>44510.52157407408</v>
      </c>
      <c r="C226" s="1" t="n">
        <v>45941</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26207-2025</t>
        </is>
      </c>
      <c r="B227" s="1" t="n">
        <v>45805.52983796296</v>
      </c>
      <c r="C227" s="1" t="n">
        <v>45941</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9720-2023</t>
        </is>
      </c>
      <c r="B228" s="1" t="n">
        <v>44984</v>
      </c>
      <c r="C228" s="1" t="n">
        <v>45941</v>
      </c>
      <c r="D228" t="inlineStr">
        <is>
          <t>KALMAR LÄN</t>
        </is>
      </c>
      <c r="E228" t="inlineStr">
        <is>
          <t>VIMMERBY</t>
        </is>
      </c>
      <c r="G228" t="n">
        <v>4.4</v>
      </c>
      <c r="H228" t="n">
        <v>0</v>
      </c>
      <c r="I228" t="n">
        <v>0</v>
      </c>
      <c r="J228" t="n">
        <v>0</v>
      </c>
      <c r="K228" t="n">
        <v>0</v>
      </c>
      <c r="L228" t="n">
        <v>0</v>
      </c>
      <c r="M228" t="n">
        <v>0</v>
      </c>
      <c r="N228" t="n">
        <v>0</v>
      </c>
      <c r="O228" t="n">
        <v>0</v>
      </c>
      <c r="P228" t="n">
        <v>0</v>
      </c>
      <c r="Q228" t="n">
        <v>0</v>
      </c>
      <c r="R228" s="2" t="inlineStr"/>
    </row>
    <row r="229" ht="15" customHeight="1">
      <c r="A229" t="inlineStr">
        <is>
          <t>A 5938-2022</t>
        </is>
      </c>
      <c r="B229" s="1" t="n">
        <v>44598</v>
      </c>
      <c r="C229" s="1" t="n">
        <v>45941</v>
      </c>
      <c r="D229" t="inlineStr">
        <is>
          <t>KALMAR LÄN</t>
        </is>
      </c>
      <c r="E229" t="inlineStr">
        <is>
          <t>VIMMERBY</t>
        </is>
      </c>
      <c r="G229" t="n">
        <v>2.4</v>
      </c>
      <c r="H229" t="n">
        <v>0</v>
      </c>
      <c r="I229" t="n">
        <v>0</v>
      </c>
      <c r="J229" t="n">
        <v>0</v>
      </c>
      <c r="K229" t="n">
        <v>0</v>
      </c>
      <c r="L229" t="n">
        <v>0</v>
      </c>
      <c r="M229" t="n">
        <v>0</v>
      </c>
      <c r="N229" t="n">
        <v>0</v>
      </c>
      <c r="O229" t="n">
        <v>0</v>
      </c>
      <c r="P229" t="n">
        <v>0</v>
      </c>
      <c r="Q229" t="n">
        <v>0</v>
      </c>
      <c r="R229" s="2" t="inlineStr"/>
    </row>
    <row r="230" ht="15" customHeight="1">
      <c r="A230" t="inlineStr">
        <is>
          <t>A 14248-2023</t>
        </is>
      </c>
      <c r="B230" s="1" t="n">
        <v>45009</v>
      </c>
      <c r="C230" s="1" t="n">
        <v>45941</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1687-2023</t>
        </is>
      </c>
      <c r="B231" s="1" t="n">
        <v>44938</v>
      </c>
      <c r="C231" s="1" t="n">
        <v>45941</v>
      </c>
      <c r="D231" t="inlineStr">
        <is>
          <t>KALMAR LÄN</t>
        </is>
      </c>
      <c r="E231" t="inlineStr">
        <is>
          <t>VIMMERBY</t>
        </is>
      </c>
      <c r="F231" t="inlineStr">
        <is>
          <t>Kommuner</t>
        </is>
      </c>
      <c r="G231" t="n">
        <v>2.5</v>
      </c>
      <c r="H231" t="n">
        <v>0</v>
      </c>
      <c r="I231" t="n">
        <v>0</v>
      </c>
      <c r="J231" t="n">
        <v>0</v>
      </c>
      <c r="K231" t="n">
        <v>0</v>
      </c>
      <c r="L231" t="n">
        <v>0</v>
      </c>
      <c r="M231" t="n">
        <v>0</v>
      </c>
      <c r="N231" t="n">
        <v>0</v>
      </c>
      <c r="O231" t="n">
        <v>0</v>
      </c>
      <c r="P231" t="n">
        <v>0</v>
      </c>
      <c r="Q231" t="n">
        <v>0</v>
      </c>
      <c r="R231" s="2" t="inlineStr"/>
    </row>
    <row r="232" ht="15" customHeight="1">
      <c r="A232" t="inlineStr">
        <is>
          <t>A 7804-2022</t>
        </is>
      </c>
      <c r="B232" s="1" t="n">
        <v>44608.50458333334</v>
      </c>
      <c r="C232" s="1" t="n">
        <v>45941</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29440-2024</t>
        </is>
      </c>
      <c r="B233" s="1" t="n">
        <v>45483.82479166667</v>
      </c>
      <c r="C233" s="1" t="n">
        <v>45941</v>
      </c>
      <c r="D233" t="inlineStr">
        <is>
          <t>KALMAR LÄN</t>
        </is>
      </c>
      <c r="E233" t="inlineStr">
        <is>
          <t>VIMMERBY</t>
        </is>
      </c>
      <c r="G233" t="n">
        <v>4.5</v>
      </c>
      <c r="H233" t="n">
        <v>0</v>
      </c>
      <c r="I233" t="n">
        <v>0</v>
      </c>
      <c r="J233" t="n">
        <v>0</v>
      </c>
      <c r="K233" t="n">
        <v>0</v>
      </c>
      <c r="L233" t="n">
        <v>0</v>
      </c>
      <c r="M233" t="n">
        <v>0</v>
      </c>
      <c r="N233" t="n">
        <v>0</v>
      </c>
      <c r="O233" t="n">
        <v>0</v>
      </c>
      <c r="P233" t="n">
        <v>0</v>
      </c>
      <c r="Q233" t="n">
        <v>0</v>
      </c>
      <c r="R233" s="2" t="inlineStr"/>
    </row>
    <row r="234" ht="15" customHeight="1">
      <c r="A234" t="inlineStr">
        <is>
          <t>A 30921-2024</t>
        </is>
      </c>
      <c r="B234" s="1" t="n">
        <v>45498</v>
      </c>
      <c r="C234" s="1" t="n">
        <v>45941</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39042-2022</t>
        </is>
      </c>
      <c r="B235" s="1" t="n">
        <v>44817</v>
      </c>
      <c r="C235" s="1" t="n">
        <v>45941</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53482-2022</t>
        </is>
      </c>
      <c r="B236" s="1" t="n">
        <v>44879</v>
      </c>
      <c r="C236" s="1" t="n">
        <v>45941</v>
      </c>
      <c r="D236" t="inlineStr">
        <is>
          <t>KALMAR LÄN</t>
        </is>
      </c>
      <c r="E236" t="inlineStr">
        <is>
          <t>VIMMERBY</t>
        </is>
      </c>
      <c r="G236" t="n">
        <v>10.1</v>
      </c>
      <c r="H236" t="n">
        <v>0</v>
      </c>
      <c r="I236" t="n">
        <v>0</v>
      </c>
      <c r="J236" t="n">
        <v>0</v>
      </c>
      <c r="K236" t="n">
        <v>0</v>
      </c>
      <c r="L236" t="n">
        <v>0</v>
      </c>
      <c r="M236" t="n">
        <v>0</v>
      </c>
      <c r="N236" t="n">
        <v>0</v>
      </c>
      <c r="O236" t="n">
        <v>0</v>
      </c>
      <c r="P236" t="n">
        <v>0</v>
      </c>
      <c r="Q236" t="n">
        <v>0</v>
      </c>
      <c r="R236" s="2" t="inlineStr"/>
    </row>
    <row r="237" ht="15" customHeight="1">
      <c r="A237" t="inlineStr">
        <is>
          <t>A 16288-2021</t>
        </is>
      </c>
      <c r="B237" s="1" t="n">
        <v>44292</v>
      </c>
      <c r="C237" s="1" t="n">
        <v>45941</v>
      </c>
      <c r="D237" t="inlineStr">
        <is>
          <t>KALMAR LÄN</t>
        </is>
      </c>
      <c r="E237" t="inlineStr">
        <is>
          <t>VIMMERBY</t>
        </is>
      </c>
      <c r="F237" t="inlineStr">
        <is>
          <t>Övriga Aktiebolag</t>
        </is>
      </c>
      <c r="G237" t="n">
        <v>27.6</v>
      </c>
      <c r="H237" t="n">
        <v>0</v>
      </c>
      <c r="I237" t="n">
        <v>0</v>
      </c>
      <c r="J237" t="n">
        <v>0</v>
      </c>
      <c r="K237" t="n">
        <v>0</v>
      </c>
      <c r="L237" t="n">
        <v>0</v>
      </c>
      <c r="M237" t="n">
        <v>0</v>
      </c>
      <c r="N237" t="n">
        <v>0</v>
      </c>
      <c r="O237" t="n">
        <v>0</v>
      </c>
      <c r="P237" t="n">
        <v>0</v>
      </c>
      <c r="Q237" t="n">
        <v>0</v>
      </c>
      <c r="R237" s="2" t="inlineStr"/>
    </row>
    <row r="238" ht="15" customHeight="1">
      <c r="A238" t="inlineStr">
        <is>
          <t>A 30400-2023</t>
        </is>
      </c>
      <c r="B238" s="1" t="n">
        <v>45111.48225694444</v>
      </c>
      <c r="C238" s="1" t="n">
        <v>45941</v>
      </c>
      <c r="D238" t="inlineStr">
        <is>
          <t>KALMAR LÄN</t>
        </is>
      </c>
      <c r="E238" t="inlineStr">
        <is>
          <t>VIMMERBY</t>
        </is>
      </c>
      <c r="G238" t="n">
        <v>2.7</v>
      </c>
      <c r="H238" t="n">
        <v>0</v>
      </c>
      <c r="I238" t="n">
        <v>0</v>
      </c>
      <c r="J238" t="n">
        <v>0</v>
      </c>
      <c r="K238" t="n">
        <v>0</v>
      </c>
      <c r="L238" t="n">
        <v>0</v>
      </c>
      <c r="M238" t="n">
        <v>0</v>
      </c>
      <c r="N238" t="n">
        <v>0</v>
      </c>
      <c r="O238" t="n">
        <v>0</v>
      </c>
      <c r="P238" t="n">
        <v>0</v>
      </c>
      <c r="Q238" t="n">
        <v>0</v>
      </c>
      <c r="R238" s="2" t="inlineStr"/>
    </row>
    <row r="239" ht="15" customHeight="1">
      <c r="A239" t="inlineStr">
        <is>
          <t>A 30404-2023</t>
        </is>
      </c>
      <c r="B239" s="1" t="n">
        <v>45111.48636574074</v>
      </c>
      <c r="C239" s="1" t="n">
        <v>45941</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29180-2024</t>
        </is>
      </c>
      <c r="B240" s="1" t="n">
        <v>45482.54108796296</v>
      </c>
      <c r="C240" s="1" t="n">
        <v>45941</v>
      </c>
      <c r="D240" t="inlineStr">
        <is>
          <t>KALMAR LÄN</t>
        </is>
      </c>
      <c r="E240" t="inlineStr">
        <is>
          <t>VIMMERBY</t>
        </is>
      </c>
      <c r="G240" t="n">
        <v>3.8</v>
      </c>
      <c r="H240" t="n">
        <v>0</v>
      </c>
      <c r="I240" t="n">
        <v>0</v>
      </c>
      <c r="J240" t="n">
        <v>0</v>
      </c>
      <c r="K240" t="n">
        <v>0</v>
      </c>
      <c r="L240" t="n">
        <v>0</v>
      </c>
      <c r="M240" t="n">
        <v>0</v>
      </c>
      <c r="N240" t="n">
        <v>0</v>
      </c>
      <c r="O240" t="n">
        <v>0</v>
      </c>
      <c r="P240" t="n">
        <v>0</v>
      </c>
      <c r="Q240" t="n">
        <v>0</v>
      </c>
      <c r="R240" s="2" t="inlineStr"/>
    </row>
    <row r="241" ht="15" customHeight="1">
      <c r="A241" t="inlineStr">
        <is>
          <t>A 29441-2024</t>
        </is>
      </c>
      <c r="B241" s="1" t="n">
        <v>45483.82834490741</v>
      </c>
      <c r="C241" s="1" t="n">
        <v>45941</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55123-2024</t>
        </is>
      </c>
      <c r="B242" s="1" t="n">
        <v>45621.46103009259</v>
      </c>
      <c r="C242" s="1" t="n">
        <v>45941</v>
      </c>
      <c r="D242" t="inlineStr">
        <is>
          <t>KALMAR LÄN</t>
        </is>
      </c>
      <c r="E242" t="inlineStr">
        <is>
          <t>VIMMERBY</t>
        </is>
      </c>
      <c r="G242" t="n">
        <v>3.1</v>
      </c>
      <c r="H242" t="n">
        <v>0</v>
      </c>
      <c r="I242" t="n">
        <v>0</v>
      </c>
      <c r="J242" t="n">
        <v>0</v>
      </c>
      <c r="K242" t="n">
        <v>0</v>
      </c>
      <c r="L242" t="n">
        <v>0</v>
      </c>
      <c r="M242" t="n">
        <v>0</v>
      </c>
      <c r="N242" t="n">
        <v>0</v>
      </c>
      <c r="O242" t="n">
        <v>0</v>
      </c>
      <c r="P242" t="n">
        <v>0</v>
      </c>
      <c r="Q242" t="n">
        <v>0</v>
      </c>
      <c r="R242" s="2" t="inlineStr"/>
    </row>
    <row r="243" ht="15" customHeight="1">
      <c r="A243" t="inlineStr">
        <is>
          <t>A 31405-2023</t>
        </is>
      </c>
      <c r="B243" s="1" t="n">
        <v>45114.58148148148</v>
      </c>
      <c r="C243" s="1" t="n">
        <v>45941</v>
      </c>
      <c r="D243" t="inlineStr">
        <is>
          <t>KALMAR LÄN</t>
        </is>
      </c>
      <c r="E243" t="inlineStr">
        <is>
          <t>VIMMERBY</t>
        </is>
      </c>
      <c r="G243" t="n">
        <v>2.6</v>
      </c>
      <c r="H243" t="n">
        <v>0</v>
      </c>
      <c r="I243" t="n">
        <v>0</v>
      </c>
      <c r="J243" t="n">
        <v>0</v>
      </c>
      <c r="K243" t="n">
        <v>0</v>
      </c>
      <c r="L243" t="n">
        <v>0</v>
      </c>
      <c r="M243" t="n">
        <v>0</v>
      </c>
      <c r="N243" t="n">
        <v>0</v>
      </c>
      <c r="O243" t="n">
        <v>0</v>
      </c>
      <c r="P243" t="n">
        <v>0</v>
      </c>
      <c r="Q243" t="n">
        <v>0</v>
      </c>
      <c r="R243" s="2" t="inlineStr"/>
    </row>
    <row r="244" ht="15" customHeight="1">
      <c r="A244" t="inlineStr">
        <is>
          <t>A 25728-2023</t>
        </is>
      </c>
      <c r="B244" s="1" t="n">
        <v>45090.38012731481</v>
      </c>
      <c r="C244" s="1" t="n">
        <v>45941</v>
      </c>
      <c r="D244" t="inlineStr">
        <is>
          <t>KALMAR LÄN</t>
        </is>
      </c>
      <c r="E244" t="inlineStr">
        <is>
          <t>VIMMERBY</t>
        </is>
      </c>
      <c r="G244" t="n">
        <v>1.1</v>
      </c>
      <c r="H244" t="n">
        <v>0</v>
      </c>
      <c r="I244" t="n">
        <v>0</v>
      </c>
      <c r="J244" t="n">
        <v>0</v>
      </c>
      <c r="K244" t="n">
        <v>0</v>
      </c>
      <c r="L244" t="n">
        <v>0</v>
      </c>
      <c r="M244" t="n">
        <v>0</v>
      </c>
      <c r="N244" t="n">
        <v>0</v>
      </c>
      <c r="O244" t="n">
        <v>0</v>
      </c>
      <c r="P244" t="n">
        <v>0</v>
      </c>
      <c r="Q244" t="n">
        <v>0</v>
      </c>
      <c r="R244" s="2" t="inlineStr"/>
    </row>
    <row r="245" ht="15" customHeight="1">
      <c r="A245" t="inlineStr">
        <is>
          <t>A 24707-2024</t>
        </is>
      </c>
      <c r="B245" s="1" t="n">
        <v>45460.62172453704</v>
      </c>
      <c r="C245" s="1" t="n">
        <v>45941</v>
      </c>
      <c r="D245" t="inlineStr">
        <is>
          <t>KALMAR LÄN</t>
        </is>
      </c>
      <c r="E245" t="inlineStr">
        <is>
          <t>VIMMERBY</t>
        </is>
      </c>
      <c r="G245" t="n">
        <v>1.7</v>
      </c>
      <c r="H245" t="n">
        <v>0</v>
      </c>
      <c r="I245" t="n">
        <v>0</v>
      </c>
      <c r="J245" t="n">
        <v>0</v>
      </c>
      <c r="K245" t="n">
        <v>0</v>
      </c>
      <c r="L245" t="n">
        <v>0</v>
      </c>
      <c r="M245" t="n">
        <v>0</v>
      </c>
      <c r="N245" t="n">
        <v>0</v>
      </c>
      <c r="O245" t="n">
        <v>0</v>
      </c>
      <c r="P245" t="n">
        <v>0</v>
      </c>
      <c r="Q245" t="n">
        <v>0</v>
      </c>
      <c r="R245" s="2" t="inlineStr"/>
    </row>
    <row r="246" ht="15" customHeight="1">
      <c r="A246" t="inlineStr">
        <is>
          <t>A 36049-2024</t>
        </is>
      </c>
      <c r="B246" s="1" t="n">
        <v>45533.61996527778</v>
      </c>
      <c r="C246" s="1" t="n">
        <v>45941</v>
      </c>
      <c r="D246" t="inlineStr">
        <is>
          <t>KALMAR LÄN</t>
        </is>
      </c>
      <c r="E246" t="inlineStr">
        <is>
          <t>VIMMERBY</t>
        </is>
      </c>
      <c r="F246" t="inlineStr">
        <is>
          <t>Kommuner</t>
        </is>
      </c>
      <c r="G246" t="n">
        <v>2.6</v>
      </c>
      <c r="H246" t="n">
        <v>0</v>
      </c>
      <c r="I246" t="n">
        <v>0</v>
      </c>
      <c r="J246" t="n">
        <v>0</v>
      </c>
      <c r="K246" t="n">
        <v>0</v>
      </c>
      <c r="L246" t="n">
        <v>0</v>
      </c>
      <c r="M246" t="n">
        <v>0</v>
      </c>
      <c r="N246" t="n">
        <v>0</v>
      </c>
      <c r="O246" t="n">
        <v>0</v>
      </c>
      <c r="P246" t="n">
        <v>0</v>
      </c>
      <c r="Q246" t="n">
        <v>0</v>
      </c>
      <c r="R246" s="2" t="inlineStr"/>
    </row>
    <row r="247" ht="15" customHeight="1">
      <c r="A247" t="inlineStr">
        <is>
          <t>A 29783-2024</t>
        </is>
      </c>
      <c r="B247" s="1" t="n">
        <v>45485.45778935185</v>
      </c>
      <c r="C247" s="1" t="n">
        <v>45941</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54838-2024</t>
        </is>
      </c>
      <c r="B248" s="1" t="n">
        <v>45618.56787037037</v>
      </c>
      <c r="C248" s="1" t="n">
        <v>45941</v>
      </c>
      <c r="D248" t="inlineStr">
        <is>
          <t>KALMAR LÄN</t>
        </is>
      </c>
      <c r="E248" t="inlineStr">
        <is>
          <t>VIMMERBY</t>
        </is>
      </c>
      <c r="G248" t="n">
        <v>3.3</v>
      </c>
      <c r="H248" t="n">
        <v>0</v>
      </c>
      <c r="I248" t="n">
        <v>0</v>
      </c>
      <c r="J248" t="n">
        <v>0</v>
      </c>
      <c r="K248" t="n">
        <v>0</v>
      </c>
      <c r="L248" t="n">
        <v>0</v>
      </c>
      <c r="M248" t="n">
        <v>0</v>
      </c>
      <c r="N248" t="n">
        <v>0</v>
      </c>
      <c r="O248" t="n">
        <v>0</v>
      </c>
      <c r="P248" t="n">
        <v>0</v>
      </c>
      <c r="Q248" t="n">
        <v>0</v>
      </c>
      <c r="R248" s="2" t="inlineStr"/>
    </row>
    <row r="249" ht="15" customHeight="1">
      <c r="A249" t="inlineStr">
        <is>
          <t>A 25987-2024</t>
        </is>
      </c>
      <c r="B249" s="1" t="n">
        <v>45467.74417824074</v>
      </c>
      <c r="C249" s="1" t="n">
        <v>45941</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25109-2023</t>
        </is>
      </c>
      <c r="B250" s="1" t="n">
        <v>45086</v>
      </c>
      <c r="C250" s="1" t="n">
        <v>45941</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61878-2020</t>
        </is>
      </c>
      <c r="B251" s="1" t="n">
        <v>44159</v>
      </c>
      <c r="C251" s="1" t="n">
        <v>45941</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58159-2024</t>
        </is>
      </c>
      <c r="B252" s="1" t="n">
        <v>45632.44886574074</v>
      </c>
      <c r="C252" s="1" t="n">
        <v>45941</v>
      </c>
      <c r="D252" t="inlineStr">
        <is>
          <t>KALMAR LÄN</t>
        </is>
      </c>
      <c r="E252" t="inlineStr">
        <is>
          <t>VIMMERBY</t>
        </is>
      </c>
      <c r="G252" t="n">
        <v>7.5</v>
      </c>
      <c r="H252" t="n">
        <v>0</v>
      </c>
      <c r="I252" t="n">
        <v>0</v>
      </c>
      <c r="J252" t="n">
        <v>0</v>
      </c>
      <c r="K252" t="n">
        <v>0</v>
      </c>
      <c r="L252" t="n">
        <v>0</v>
      </c>
      <c r="M252" t="n">
        <v>0</v>
      </c>
      <c r="N252" t="n">
        <v>0</v>
      </c>
      <c r="O252" t="n">
        <v>0</v>
      </c>
      <c r="P252" t="n">
        <v>0</v>
      </c>
      <c r="Q252" t="n">
        <v>0</v>
      </c>
      <c r="R252" s="2" t="inlineStr"/>
    </row>
    <row r="253" ht="15" customHeight="1">
      <c r="A253" t="inlineStr">
        <is>
          <t>A 62023-2022</t>
        </is>
      </c>
      <c r="B253" s="1" t="n">
        <v>44918.50106481482</v>
      </c>
      <c r="C253" s="1" t="n">
        <v>45941</v>
      </c>
      <c r="D253" t="inlineStr">
        <is>
          <t>KALMAR LÄN</t>
        </is>
      </c>
      <c r="E253" t="inlineStr">
        <is>
          <t>VIMMERBY</t>
        </is>
      </c>
      <c r="G253" t="n">
        <v>0.3</v>
      </c>
      <c r="H253" t="n">
        <v>0</v>
      </c>
      <c r="I253" t="n">
        <v>0</v>
      </c>
      <c r="J253" t="n">
        <v>0</v>
      </c>
      <c r="K253" t="n">
        <v>0</v>
      </c>
      <c r="L253" t="n">
        <v>0</v>
      </c>
      <c r="M253" t="n">
        <v>0</v>
      </c>
      <c r="N253" t="n">
        <v>0</v>
      </c>
      <c r="O253" t="n">
        <v>0</v>
      </c>
      <c r="P253" t="n">
        <v>0</v>
      </c>
      <c r="Q253" t="n">
        <v>0</v>
      </c>
      <c r="R253" s="2" t="inlineStr"/>
    </row>
    <row r="254" ht="15" customHeight="1">
      <c r="A254" t="inlineStr">
        <is>
          <t>A 14359-2025</t>
        </is>
      </c>
      <c r="B254" s="1" t="n">
        <v>45741.37270833334</v>
      </c>
      <c r="C254" s="1" t="n">
        <v>45941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58104-2024</t>
        </is>
      </c>
      <c r="B255" s="1" t="n">
        <v>45632.37459490741</v>
      </c>
      <c r="C255" s="1" t="n">
        <v>45941</v>
      </c>
      <c r="D255" t="inlineStr">
        <is>
          <t>KALMAR LÄN</t>
        </is>
      </c>
      <c r="E255" t="inlineStr">
        <is>
          <t>VIMMERBY</t>
        </is>
      </c>
      <c r="G255" t="n">
        <v>5</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45941</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30920-2024</t>
        </is>
      </c>
      <c r="B257" s="1" t="n">
        <v>45498.673125</v>
      </c>
      <c r="C257" s="1" t="n">
        <v>45941</v>
      </c>
      <c r="D257" t="inlineStr">
        <is>
          <t>KALMAR LÄN</t>
        </is>
      </c>
      <c r="E257" t="inlineStr">
        <is>
          <t>VIMMERBY</t>
        </is>
      </c>
      <c r="G257" t="n">
        <v>1.3</v>
      </c>
      <c r="H257" t="n">
        <v>0</v>
      </c>
      <c r="I257" t="n">
        <v>0</v>
      </c>
      <c r="J257" t="n">
        <v>0</v>
      </c>
      <c r="K257" t="n">
        <v>0</v>
      </c>
      <c r="L257" t="n">
        <v>0</v>
      </c>
      <c r="M257" t="n">
        <v>0</v>
      </c>
      <c r="N257" t="n">
        <v>0</v>
      </c>
      <c r="O257" t="n">
        <v>0</v>
      </c>
      <c r="P257" t="n">
        <v>0</v>
      </c>
      <c r="Q257" t="n">
        <v>0</v>
      </c>
      <c r="R257" s="2" t="inlineStr"/>
    </row>
    <row r="258" ht="15" customHeight="1">
      <c r="A258" t="inlineStr">
        <is>
          <t>A 56536-2022</t>
        </is>
      </c>
      <c r="B258" s="1" t="n">
        <v>44893</v>
      </c>
      <c r="C258" s="1" t="n">
        <v>45941</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39578-2024</t>
        </is>
      </c>
      <c r="B259" s="1" t="n">
        <v>45552.36484953704</v>
      </c>
      <c r="C259" s="1" t="n">
        <v>45941</v>
      </c>
      <c r="D259" t="inlineStr">
        <is>
          <t>KALMAR LÄN</t>
        </is>
      </c>
      <c r="E259" t="inlineStr">
        <is>
          <t>VIMMERBY</t>
        </is>
      </c>
      <c r="G259" t="n">
        <v>1.5</v>
      </c>
      <c r="H259" t="n">
        <v>0</v>
      </c>
      <c r="I259" t="n">
        <v>0</v>
      </c>
      <c r="J259" t="n">
        <v>0</v>
      </c>
      <c r="K259" t="n">
        <v>0</v>
      </c>
      <c r="L259" t="n">
        <v>0</v>
      </c>
      <c r="M259" t="n">
        <v>0</v>
      </c>
      <c r="N259" t="n">
        <v>0</v>
      </c>
      <c r="O259" t="n">
        <v>0</v>
      </c>
      <c r="P259" t="n">
        <v>0</v>
      </c>
      <c r="Q259" t="n">
        <v>0</v>
      </c>
      <c r="R259" s="2" t="inlineStr"/>
    </row>
    <row r="260" ht="15" customHeight="1">
      <c r="A260" t="inlineStr">
        <is>
          <t>A 63541-2023</t>
        </is>
      </c>
      <c r="B260" s="1" t="n">
        <v>45275.32266203704</v>
      </c>
      <c r="C260" s="1" t="n">
        <v>45941</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37323-2024</t>
        </is>
      </c>
      <c r="B261" s="1" t="n">
        <v>45540.50098379629</v>
      </c>
      <c r="C261" s="1" t="n">
        <v>45941</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52435-2021</t>
        </is>
      </c>
      <c r="B262" s="1" t="n">
        <v>44466.34962962963</v>
      </c>
      <c r="C262" s="1" t="n">
        <v>45941</v>
      </c>
      <c r="D262" t="inlineStr">
        <is>
          <t>KALMAR LÄN</t>
        </is>
      </c>
      <c r="E262" t="inlineStr">
        <is>
          <t>VIMMERBY</t>
        </is>
      </c>
      <c r="G262" t="n">
        <v>2.8</v>
      </c>
      <c r="H262" t="n">
        <v>0</v>
      </c>
      <c r="I262" t="n">
        <v>0</v>
      </c>
      <c r="J262" t="n">
        <v>0</v>
      </c>
      <c r="K262" t="n">
        <v>0</v>
      </c>
      <c r="L262" t="n">
        <v>0</v>
      </c>
      <c r="M262" t="n">
        <v>0</v>
      </c>
      <c r="N262" t="n">
        <v>0</v>
      </c>
      <c r="O262" t="n">
        <v>0</v>
      </c>
      <c r="P262" t="n">
        <v>0</v>
      </c>
      <c r="Q262" t="n">
        <v>0</v>
      </c>
      <c r="R262" s="2" t="inlineStr"/>
    </row>
    <row r="263" ht="15" customHeight="1">
      <c r="A263" t="inlineStr">
        <is>
          <t>A 29093-2023</t>
        </is>
      </c>
      <c r="B263" s="1" t="n">
        <v>45105</v>
      </c>
      <c r="C263" s="1" t="n">
        <v>45941</v>
      </c>
      <c r="D263" t="inlineStr">
        <is>
          <t>KALMAR LÄN</t>
        </is>
      </c>
      <c r="E263" t="inlineStr">
        <is>
          <t>VIMMERBY</t>
        </is>
      </c>
      <c r="G263" t="n">
        <v>2.9</v>
      </c>
      <c r="H263" t="n">
        <v>0</v>
      </c>
      <c r="I263" t="n">
        <v>0</v>
      </c>
      <c r="J263" t="n">
        <v>0</v>
      </c>
      <c r="K263" t="n">
        <v>0</v>
      </c>
      <c r="L263" t="n">
        <v>0</v>
      </c>
      <c r="M263" t="n">
        <v>0</v>
      </c>
      <c r="N263" t="n">
        <v>0</v>
      </c>
      <c r="O263" t="n">
        <v>0</v>
      </c>
      <c r="P263" t="n">
        <v>0</v>
      </c>
      <c r="Q263" t="n">
        <v>0</v>
      </c>
      <c r="R263" s="2" t="inlineStr"/>
    </row>
    <row r="264" ht="15" customHeight="1">
      <c r="A264" t="inlineStr">
        <is>
          <t>A 14220-2021</t>
        </is>
      </c>
      <c r="B264" s="1" t="n">
        <v>44278.54855324074</v>
      </c>
      <c r="C264" s="1" t="n">
        <v>45941</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62779-2023</t>
        </is>
      </c>
      <c r="B265" s="1" t="n">
        <v>45271.66576388889</v>
      </c>
      <c r="C265" s="1" t="n">
        <v>45941</v>
      </c>
      <c r="D265" t="inlineStr">
        <is>
          <t>KALMAR LÄN</t>
        </is>
      </c>
      <c r="E265" t="inlineStr">
        <is>
          <t>VIMMERBY</t>
        </is>
      </c>
      <c r="G265" t="n">
        <v>1.1</v>
      </c>
      <c r="H265" t="n">
        <v>0</v>
      </c>
      <c r="I265" t="n">
        <v>0</v>
      </c>
      <c r="J265" t="n">
        <v>0</v>
      </c>
      <c r="K265" t="n">
        <v>0</v>
      </c>
      <c r="L265" t="n">
        <v>0</v>
      </c>
      <c r="M265" t="n">
        <v>0</v>
      </c>
      <c r="N265" t="n">
        <v>0</v>
      </c>
      <c r="O265" t="n">
        <v>0</v>
      </c>
      <c r="P265" t="n">
        <v>0</v>
      </c>
      <c r="Q265" t="n">
        <v>0</v>
      </c>
      <c r="R265" s="2" t="inlineStr"/>
    </row>
    <row r="266" ht="15" customHeight="1">
      <c r="A266" t="inlineStr">
        <is>
          <t>A 33359-2021</t>
        </is>
      </c>
      <c r="B266" s="1" t="n">
        <v>44377.49684027778</v>
      </c>
      <c r="C266" s="1" t="n">
        <v>45941</v>
      </c>
      <c r="D266" t="inlineStr">
        <is>
          <t>KALMAR LÄN</t>
        </is>
      </c>
      <c r="E266" t="inlineStr">
        <is>
          <t>VIMMERBY</t>
        </is>
      </c>
      <c r="F266" t="inlineStr">
        <is>
          <t>Kommuner</t>
        </is>
      </c>
      <c r="G266" t="n">
        <v>8</v>
      </c>
      <c r="H266" t="n">
        <v>0</v>
      </c>
      <c r="I266" t="n">
        <v>0</v>
      </c>
      <c r="J266" t="n">
        <v>0</v>
      </c>
      <c r="K266" t="n">
        <v>0</v>
      </c>
      <c r="L266" t="n">
        <v>0</v>
      </c>
      <c r="M266" t="n">
        <v>0</v>
      </c>
      <c r="N266" t="n">
        <v>0</v>
      </c>
      <c r="O266" t="n">
        <v>0</v>
      </c>
      <c r="P266" t="n">
        <v>0</v>
      </c>
      <c r="Q266" t="n">
        <v>0</v>
      </c>
      <c r="R266" s="2" t="inlineStr"/>
    </row>
    <row r="267" ht="15" customHeight="1">
      <c r="A267" t="inlineStr">
        <is>
          <t>A 43038-2022</t>
        </is>
      </c>
      <c r="B267" s="1" t="n">
        <v>44833.60123842592</v>
      </c>
      <c r="C267" s="1" t="n">
        <v>45941</v>
      </c>
      <c r="D267" t="inlineStr">
        <is>
          <t>KALMAR LÄN</t>
        </is>
      </c>
      <c r="E267" t="inlineStr">
        <is>
          <t>VIMMERBY</t>
        </is>
      </c>
      <c r="G267" t="n">
        <v>4.2</v>
      </c>
      <c r="H267" t="n">
        <v>0</v>
      </c>
      <c r="I267" t="n">
        <v>0</v>
      </c>
      <c r="J267" t="n">
        <v>0</v>
      </c>
      <c r="K267" t="n">
        <v>0</v>
      </c>
      <c r="L267" t="n">
        <v>0</v>
      </c>
      <c r="M267" t="n">
        <v>0</v>
      </c>
      <c r="N267" t="n">
        <v>0</v>
      </c>
      <c r="O267" t="n">
        <v>0</v>
      </c>
      <c r="P267" t="n">
        <v>0</v>
      </c>
      <c r="Q267" t="n">
        <v>0</v>
      </c>
      <c r="R267" s="2" t="inlineStr"/>
    </row>
    <row r="268" ht="15" customHeight="1">
      <c r="A268" t="inlineStr">
        <is>
          <t>A 54917-2020</t>
        </is>
      </c>
      <c r="B268" s="1" t="n">
        <v>44127</v>
      </c>
      <c r="C268" s="1" t="n">
        <v>45941</v>
      </c>
      <c r="D268" t="inlineStr">
        <is>
          <t>KALMAR LÄN</t>
        </is>
      </c>
      <c r="E268" t="inlineStr">
        <is>
          <t>VIMMERBY</t>
        </is>
      </c>
      <c r="G268" t="n">
        <v>9.5</v>
      </c>
      <c r="H268" t="n">
        <v>0</v>
      </c>
      <c r="I268" t="n">
        <v>0</v>
      </c>
      <c r="J268" t="n">
        <v>0</v>
      </c>
      <c r="K268" t="n">
        <v>0</v>
      </c>
      <c r="L268" t="n">
        <v>0</v>
      </c>
      <c r="M268" t="n">
        <v>0</v>
      </c>
      <c r="N268" t="n">
        <v>0</v>
      </c>
      <c r="O268" t="n">
        <v>0</v>
      </c>
      <c r="P268" t="n">
        <v>0</v>
      </c>
      <c r="Q268" t="n">
        <v>0</v>
      </c>
      <c r="R268" s="2" t="inlineStr"/>
    </row>
    <row r="269" ht="15" customHeight="1">
      <c r="A269" t="inlineStr">
        <is>
          <t>A 50087-2023</t>
        </is>
      </c>
      <c r="B269" s="1" t="n">
        <v>45215.59743055556</v>
      </c>
      <c r="C269" s="1" t="n">
        <v>45941</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33681-2022</t>
        </is>
      </c>
      <c r="B270" s="1" t="n">
        <v>44789</v>
      </c>
      <c r="C270" s="1" t="n">
        <v>45941</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46399-2024</t>
        </is>
      </c>
      <c r="B271" s="1" t="n">
        <v>45582.41200231481</v>
      </c>
      <c r="C271" s="1" t="n">
        <v>45941</v>
      </c>
      <c r="D271" t="inlineStr">
        <is>
          <t>KALMAR LÄN</t>
        </is>
      </c>
      <c r="E271" t="inlineStr">
        <is>
          <t>VIMMERBY</t>
        </is>
      </c>
      <c r="G271" t="n">
        <v>4.6</v>
      </c>
      <c r="H271" t="n">
        <v>0</v>
      </c>
      <c r="I271" t="n">
        <v>0</v>
      </c>
      <c r="J271" t="n">
        <v>0</v>
      </c>
      <c r="K271" t="n">
        <v>0</v>
      </c>
      <c r="L271" t="n">
        <v>0</v>
      </c>
      <c r="M271" t="n">
        <v>0</v>
      </c>
      <c r="N271" t="n">
        <v>0</v>
      </c>
      <c r="O271" t="n">
        <v>0</v>
      </c>
      <c r="P271" t="n">
        <v>0</v>
      </c>
      <c r="Q271" t="n">
        <v>0</v>
      </c>
      <c r="R271" s="2" t="inlineStr"/>
    </row>
    <row r="272" ht="15" customHeight="1">
      <c r="A272" t="inlineStr">
        <is>
          <t>A 11429-2022</t>
        </is>
      </c>
      <c r="B272" s="1" t="n">
        <v>44630</v>
      </c>
      <c r="C272" s="1" t="n">
        <v>45941</v>
      </c>
      <c r="D272" t="inlineStr">
        <is>
          <t>KALMAR LÄN</t>
        </is>
      </c>
      <c r="E272" t="inlineStr">
        <is>
          <t>VIMMERBY</t>
        </is>
      </c>
      <c r="G272" t="n">
        <v>2.6</v>
      </c>
      <c r="H272" t="n">
        <v>0</v>
      </c>
      <c r="I272" t="n">
        <v>0</v>
      </c>
      <c r="J272" t="n">
        <v>0</v>
      </c>
      <c r="K272" t="n">
        <v>0</v>
      </c>
      <c r="L272" t="n">
        <v>0</v>
      </c>
      <c r="M272" t="n">
        <v>0</v>
      </c>
      <c r="N272" t="n">
        <v>0</v>
      </c>
      <c r="O272" t="n">
        <v>0</v>
      </c>
      <c r="P272" t="n">
        <v>0</v>
      </c>
      <c r="Q272" t="n">
        <v>0</v>
      </c>
      <c r="R272" s="2" t="inlineStr"/>
    </row>
    <row r="273" ht="15" customHeight="1">
      <c r="A273" t="inlineStr">
        <is>
          <t>A 56582-2022</t>
        </is>
      </c>
      <c r="B273" s="1" t="n">
        <v>44893</v>
      </c>
      <c r="C273" s="1" t="n">
        <v>45941</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3425-2022</t>
        </is>
      </c>
      <c r="B274" s="1" t="n">
        <v>44585.51060185185</v>
      </c>
      <c r="C274" s="1" t="n">
        <v>45941</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43962-2024</t>
        </is>
      </c>
      <c r="B275" s="1" t="n">
        <v>45572.48293981481</v>
      </c>
      <c r="C275" s="1" t="n">
        <v>45941</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12810-2023</t>
        </is>
      </c>
      <c r="B276" s="1" t="n">
        <v>45001.43854166667</v>
      </c>
      <c r="C276" s="1" t="n">
        <v>45941</v>
      </c>
      <c r="D276" t="inlineStr">
        <is>
          <t>KALMAR LÄN</t>
        </is>
      </c>
      <c r="E276" t="inlineStr">
        <is>
          <t>VIMMERBY</t>
        </is>
      </c>
      <c r="G276" t="n">
        <v>1.5</v>
      </c>
      <c r="H276" t="n">
        <v>0</v>
      </c>
      <c r="I276" t="n">
        <v>0</v>
      </c>
      <c r="J276" t="n">
        <v>0</v>
      </c>
      <c r="K276" t="n">
        <v>0</v>
      </c>
      <c r="L276" t="n">
        <v>0</v>
      </c>
      <c r="M276" t="n">
        <v>0</v>
      </c>
      <c r="N276" t="n">
        <v>0</v>
      </c>
      <c r="O276" t="n">
        <v>0</v>
      </c>
      <c r="P276" t="n">
        <v>0</v>
      </c>
      <c r="Q276" t="n">
        <v>0</v>
      </c>
      <c r="R276" s="2" t="inlineStr"/>
    </row>
    <row r="277" ht="15" customHeight="1">
      <c r="A277" t="inlineStr">
        <is>
          <t>A 6408-2025</t>
        </is>
      </c>
      <c r="B277" s="1" t="n">
        <v>45699.45671296296</v>
      </c>
      <c r="C277" s="1" t="n">
        <v>45941</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43068-2023</t>
        </is>
      </c>
      <c r="B278" s="1" t="n">
        <v>45182.78834490741</v>
      </c>
      <c r="C278" s="1" t="n">
        <v>45941</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11609-2023</t>
        </is>
      </c>
      <c r="B279" s="1" t="n">
        <v>44994.40635416667</v>
      </c>
      <c r="C279" s="1" t="n">
        <v>45941</v>
      </c>
      <c r="D279" t="inlineStr">
        <is>
          <t>KALMAR LÄN</t>
        </is>
      </c>
      <c r="E279" t="inlineStr">
        <is>
          <t>VIMMERBY</t>
        </is>
      </c>
      <c r="G279" t="n">
        <v>4.9</v>
      </c>
      <c r="H279" t="n">
        <v>0</v>
      </c>
      <c r="I279" t="n">
        <v>0</v>
      </c>
      <c r="J279" t="n">
        <v>0</v>
      </c>
      <c r="K279" t="n">
        <v>0</v>
      </c>
      <c r="L279" t="n">
        <v>0</v>
      </c>
      <c r="M279" t="n">
        <v>0</v>
      </c>
      <c r="N279" t="n">
        <v>0</v>
      </c>
      <c r="O279" t="n">
        <v>0</v>
      </c>
      <c r="P279" t="n">
        <v>0</v>
      </c>
      <c r="Q279" t="n">
        <v>0</v>
      </c>
      <c r="R279" s="2" t="inlineStr"/>
    </row>
    <row r="280" ht="15" customHeight="1">
      <c r="A280" t="inlineStr">
        <is>
          <t>A 16825-2024</t>
        </is>
      </c>
      <c r="B280" s="1" t="n">
        <v>45411.47335648148</v>
      </c>
      <c r="C280" s="1" t="n">
        <v>45941</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44464-2024</t>
        </is>
      </c>
      <c r="B281" s="1" t="n">
        <v>45574.35809027778</v>
      </c>
      <c r="C281" s="1" t="n">
        <v>45941</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27719-2025</t>
        </is>
      </c>
      <c r="B282" s="1" t="n">
        <v>45814.3865625</v>
      </c>
      <c r="C282" s="1" t="n">
        <v>45941</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27718-2025</t>
        </is>
      </c>
      <c r="B283" s="1" t="n">
        <v>45814.38221064815</v>
      </c>
      <c r="C283" s="1" t="n">
        <v>45941</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41066-2024</t>
        </is>
      </c>
      <c r="B284" s="1" t="n">
        <v>45559.38876157408</v>
      </c>
      <c r="C284" s="1" t="n">
        <v>45941</v>
      </c>
      <c r="D284" t="inlineStr">
        <is>
          <t>KALMAR LÄN</t>
        </is>
      </c>
      <c r="E284" t="inlineStr">
        <is>
          <t>VIMMERBY</t>
        </is>
      </c>
      <c r="G284" t="n">
        <v>2.4</v>
      </c>
      <c r="H284" t="n">
        <v>0</v>
      </c>
      <c r="I284" t="n">
        <v>0</v>
      </c>
      <c r="J284" t="n">
        <v>0</v>
      </c>
      <c r="K284" t="n">
        <v>0</v>
      </c>
      <c r="L284" t="n">
        <v>0</v>
      </c>
      <c r="M284" t="n">
        <v>0</v>
      </c>
      <c r="N284" t="n">
        <v>0</v>
      </c>
      <c r="O284" t="n">
        <v>0</v>
      </c>
      <c r="P284" t="n">
        <v>0</v>
      </c>
      <c r="Q284" t="n">
        <v>0</v>
      </c>
      <c r="R284" s="2" t="inlineStr"/>
    </row>
    <row r="285" ht="15" customHeight="1">
      <c r="A285" t="inlineStr">
        <is>
          <t>A 12033-2024</t>
        </is>
      </c>
      <c r="B285" s="1" t="n">
        <v>45377.40043981482</v>
      </c>
      <c r="C285" s="1" t="n">
        <v>45941</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6214-2025</t>
        </is>
      </c>
      <c r="B286" s="1" t="n">
        <v>45698.51711805556</v>
      </c>
      <c r="C286" s="1" t="n">
        <v>45941</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12075-2024</t>
        </is>
      </c>
      <c r="B287" s="1" t="n">
        <v>45377</v>
      </c>
      <c r="C287" s="1" t="n">
        <v>45941</v>
      </c>
      <c r="D287" t="inlineStr">
        <is>
          <t>KALMAR LÄN</t>
        </is>
      </c>
      <c r="E287" t="inlineStr">
        <is>
          <t>VIMMERBY</t>
        </is>
      </c>
      <c r="G287" t="n">
        <v>3.7</v>
      </c>
      <c r="H287" t="n">
        <v>0</v>
      </c>
      <c r="I287" t="n">
        <v>0</v>
      </c>
      <c r="J287" t="n">
        <v>0</v>
      </c>
      <c r="K287" t="n">
        <v>0</v>
      </c>
      <c r="L287" t="n">
        <v>0</v>
      </c>
      <c r="M287" t="n">
        <v>0</v>
      </c>
      <c r="N287" t="n">
        <v>0</v>
      </c>
      <c r="O287" t="n">
        <v>0</v>
      </c>
      <c r="P287" t="n">
        <v>0</v>
      </c>
      <c r="Q287" t="n">
        <v>0</v>
      </c>
      <c r="R287" s="2" t="inlineStr"/>
    </row>
    <row r="288" ht="15" customHeight="1">
      <c r="A288" t="inlineStr">
        <is>
          <t>A 49408-2023</t>
        </is>
      </c>
      <c r="B288" s="1" t="n">
        <v>45211.43555555555</v>
      </c>
      <c r="C288" s="1" t="n">
        <v>45941</v>
      </c>
      <c r="D288" t="inlineStr">
        <is>
          <t>KALMAR LÄN</t>
        </is>
      </c>
      <c r="E288" t="inlineStr">
        <is>
          <t>VIMMERBY</t>
        </is>
      </c>
      <c r="G288" t="n">
        <v>13.1</v>
      </c>
      <c r="H288" t="n">
        <v>0</v>
      </c>
      <c r="I288" t="n">
        <v>0</v>
      </c>
      <c r="J288" t="n">
        <v>0</v>
      </c>
      <c r="K288" t="n">
        <v>0</v>
      </c>
      <c r="L288" t="n">
        <v>0</v>
      </c>
      <c r="M288" t="n">
        <v>0</v>
      </c>
      <c r="N288" t="n">
        <v>0</v>
      </c>
      <c r="O288" t="n">
        <v>0</v>
      </c>
      <c r="P288" t="n">
        <v>0</v>
      </c>
      <c r="Q288" t="n">
        <v>0</v>
      </c>
      <c r="R288" s="2" t="inlineStr"/>
    </row>
    <row r="289" ht="15" customHeight="1">
      <c r="A289" t="inlineStr">
        <is>
          <t>A 27443-2023</t>
        </is>
      </c>
      <c r="B289" s="1" t="n">
        <v>45097.40524305555</v>
      </c>
      <c r="C289" s="1" t="n">
        <v>45941</v>
      </c>
      <c r="D289" t="inlineStr">
        <is>
          <t>KALMAR LÄN</t>
        </is>
      </c>
      <c r="E289" t="inlineStr">
        <is>
          <t>VIMMERBY</t>
        </is>
      </c>
      <c r="F289" t="inlineStr">
        <is>
          <t>Övriga Aktiebolag</t>
        </is>
      </c>
      <c r="G289" t="n">
        <v>2.3</v>
      </c>
      <c r="H289" t="n">
        <v>0</v>
      </c>
      <c r="I289" t="n">
        <v>0</v>
      </c>
      <c r="J289" t="n">
        <v>0</v>
      </c>
      <c r="K289" t="n">
        <v>0</v>
      </c>
      <c r="L289" t="n">
        <v>0</v>
      </c>
      <c r="M289" t="n">
        <v>0</v>
      </c>
      <c r="N289" t="n">
        <v>0</v>
      </c>
      <c r="O289" t="n">
        <v>0</v>
      </c>
      <c r="P289" t="n">
        <v>0</v>
      </c>
      <c r="Q289" t="n">
        <v>0</v>
      </c>
      <c r="R289" s="2" t="inlineStr"/>
    </row>
    <row r="290" ht="15" customHeight="1">
      <c r="A290" t="inlineStr">
        <is>
          <t>A 3816-2022</t>
        </is>
      </c>
      <c r="B290" s="1" t="n">
        <v>44587</v>
      </c>
      <c r="C290" s="1" t="n">
        <v>45941</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28395-2023</t>
        </is>
      </c>
      <c r="B291" s="1" t="n">
        <v>45100.4062962963</v>
      </c>
      <c r="C291" s="1" t="n">
        <v>45941</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18501-2024</t>
        </is>
      </c>
      <c r="B292" s="1" t="n">
        <v>45425.57538194444</v>
      </c>
      <c r="C292" s="1" t="n">
        <v>45941</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28290-2025</t>
        </is>
      </c>
      <c r="B293" s="1" t="n">
        <v>45818.59261574074</v>
      </c>
      <c r="C293" s="1" t="n">
        <v>45941</v>
      </c>
      <c r="D293" t="inlineStr">
        <is>
          <t>KALMAR LÄN</t>
        </is>
      </c>
      <c r="E293" t="inlineStr">
        <is>
          <t>VIMMERBY</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1799-2025</t>
        </is>
      </c>
      <c r="B294" s="1" t="n">
        <v>45671.46746527778</v>
      </c>
      <c r="C294" s="1" t="n">
        <v>45941</v>
      </c>
      <c r="D294" t="inlineStr">
        <is>
          <t>KALMAR LÄN</t>
        </is>
      </c>
      <c r="E294" t="inlineStr">
        <is>
          <t>VIMMERBY</t>
        </is>
      </c>
      <c r="G294" t="n">
        <v>3.3</v>
      </c>
      <c r="H294" t="n">
        <v>0</v>
      </c>
      <c r="I294" t="n">
        <v>0</v>
      </c>
      <c r="J294" t="n">
        <v>0</v>
      </c>
      <c r="K294" t="n">
        <v>0</v>
      </c>
      <c r="L294" t="n">
        <v>0</v>
      </c>
      <c r="M294" t="n">
        <v>0</v>
      </c>
      <c r="N294" t="n">
        <v>0</v>
      </c>
      <c r="O294" t="n">
        <v>0</v>
      </c>
      <c r="P294" t="n">
        <v>0</v>
      </c>
      <c r="Q294" t="n">
        <v>0</v>
      </c>
      <c r="R294" s="2" t="inlineStr"/>
    </row>
    <row r="295" ht="15" customHeight="1">
      <c r="A295" t="inlineStr">
        <is>
          <t>A 1081-2023</t>
        </is>
      </c>
      <c r="B295" s="1" t="n">
        <v>44935</v>
      </c>
      <c r="C295" s="1" t="n">
        <v>45941</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7047-2022</t>
        </is>
      </c>
      <c r="B296" s="1" t="n">
        <v>44603</v>
      </c>
      <c r="C296" s="1" t="n">
        <v>45941</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12499-2023</t>
        </is>
      </c>
      <c r="B297" s="1" t="n">
        <v>44999.86172453704</v>
      </c>
      <c r="C297" s="1" t="n">
        <v>45941</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12500-2023</t>
        </is>
      </c>
      <c r="B298" s="1" t="n">
        <v>44999.8625</v>
      </c>
      <c r="C298" s="1" t="n">
        <v>45941</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28280-2025</t>
        </is>
      </c>
      <c r="B299" s="1" t="n">
        <v>45818.5862037037</v>
      </c>
      <c r="C299" s="1" t="n">
        <v>45941</v>
      </c>
      <c r="D299" t="inlineStr">
        <is>
          <t>KALMAR LÄN</t>
        </is>
      </c>
      <c r="E299" t="inlineStr">
        <is>
          <t>VIMMERBY</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28286-2025</t>
        </is>
      </c>
      <c r="B300" s="1" t="n">
        <v>45818.58993055556</v>
      </c>
      <c r="C300" s="1" t="n">
        <v>45941</v>
      </c>
      <c r="D300" t="inlineStr">
        <is>
          <t>KALMAR LÄN</t>
        </is>
      </c>
      <c r="E300" t="inlineStr">
        <is>
          <t>VIMMERBY</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25799-2023</t>
        </is>
      </c>
      <c r="B301" s="1" t="n">
        <v>45090</v>
      </c>
      <c r="C301" s="1" t="n">
        <v>45941</v>
      </c>
      <c r="D301" t="inlineStr">
        <is>
          <t>KALMAR LÄN</t>
        </is>
      </c>
      <c r="E301" t="inlineStr">
        <is>
          <t>VIMMERBY</t>
        </is>
      </c>
      <c r="G301" t="n">
        <v>7.7</v>
      </c>
      <c r="H301" t="n">
        <v>0</v>
      </c>
      <c r="I301" t="n">
        <v>0</v>
      </c>
      <c r="J301" t="n">
        <v>0</v>
      </c>
      <c r="K301" t="n">
        <v>0</v>
      </c>
      <c r="L301" t="n">
        <v>0</v>
      </c>
      <c r="M301" t="n">
        <v>0</v>
      </c>
      <c r="N301" t="n">
        <v>0</v>
      </c>
      <c r="O301" t="n">
        <v>0</v>
      </c>
      <c r="P301" t="n">
        <v>0</v>
      </c>
      <c r="Q301" t="n">
        <v>0</v>
      </c>
      <c r="R301" s="2" t="inlineStr"/>
    </row>
    <row r="302" ht="15" customHeight="1">
      <c r="A302" t="inlineStr">
        <is>
          <t>A 2462-2022</t>
        </is>
      </c>
      <c r="B302" s="1" t="n">
        <v>44579.62225694444</v>
      </c>
      <c r="C302" s="1" t="n">
        <v>45941</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6066-2023</t>
        </is>
      </c>
      <c r="B303" s="1" t="n">
        <v>44964.50894675926</v>
      </c>
      <c r="C303" s="1" t="n">
        <v>45941</v>
      </c>
      <c r="D303" t="inlineStr">
        <is>
          <t>KALMAR LÄN</t>
        </is>
      </c>
      <c r="E303" t="inlineStr">
        <is>
          <t>VIMMERBY</t>
        </is>
      </c>
      <c r="G303" t="n">
        <v>2.8</v>
      </c>
      <c r="H303" t="n">
        <v>0</v>
      </c>
      <c r="I303" t="n">
        <v>0</v>
      </c>
      <c r="J303" t="n">
        <v>0</v>
      </c>
      <c r="K303" t="n">
        <v>0</v>
      </c>
      <c r="L303" t="n">
        <v>0</v>
      </c>
      <c r="M303" t="n">
        <v>0</v>
      </c>
      <c r="N303" t="n">
        <v>0</v>
      </c>
      <c r="O303" t="n">
        <v>0</v>
      </c>
      <c r="P303" t="n">
        <v>0</v>
      </c>
      <c r="Q303" t="n">
        <v>0</v>
      </c>
      <c r="R303" s="2" t="inlineStr"/>
    </row>
    <row r="304" ht="15" customHeight="1">
      <c r="A304" t="inlineStr">
        <is>
          <t>A 28282-2025</t>
        </is>
      </c>
      <c r="B304" s="1" t="n">
        <v>45818.58769675926</v>
      </c>
      <c r="C304" s="1" t="n">
        <v>45941</v>
      </c>
      <c r="D304" t="inlineStr">
        <is>
          <t>KALMAR LÄN</t>
        </is>
      </c>
      <c r="E304" t="inlineStr">
        <is>
          <t>VIMMERBY</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28294-2025</t>
        </is>
      </c>
      <c r="B305" s="1" t="n">
        <v>45818.595625</v>
      </c>
      <c r="C305" s="1" t="n">
        <v>45941</v>
      </c>
      <c r="D305" t="inlineStr">
        <is>
          <t>KALMAR LÄN</t>
        </is>
      </c>
      <c r="E305" t="inlineStr">
        <is>
          <t>VIMMERBY</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33103-2024</t>
        </is>
      </c>
      <c r="B306" s="1" t="n">
        <v>45517.8162037037</v>
      </c>
      <c r="C306" s="1" t="n">
        <v>45941</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33161-2024</t>
        </is>
      </c>
      <c r="B307" s="1" t="n">
        <v>45518.40657407408</v>
      </c>
      <c r="C307" s="1" t="n">
        <v>45941</v>
      </c>
      <c r="D307" t="inlineStr">
        <is>
          <t>KALMAR LÄN</t>
        </is>
      </c>
      <c r="E307" t="inlineStr">
        <is>
          <t>VIMMERBY</t>
        </is>
      </c>
      <c r="G307" t="n">
        <v>4.7</v>
      </c>
      <c r="H307" t="n">
        <v>0</v>
      </c>
      <c r="I307" t="n">
        <v>0</v>
      </c>
      <c r="J307" t="n">
        <v>0</v>
      </c>
      <c r="K307" t="n">
        <v>0</v>
      </c>
      <c r="L307" t="n">
        <v>0</v>
      </c>
      <c r="M307" t="n">
        <v>0</v>
      </c>
      <c r="N307" t="n">
        <v>0</v>
      </c>
      <c r="O307" t="n">
        <v>0</v>
      </c>
      <c r="P307" t="n">
        <v>0</v>
      </c>
      <c r="Q307" t="n">
        <v>0</v>
      </c>
      <c r="R307" s="2" t="inlineStr"/>
    </row>
    <row r="308" ht="15" customHeight="1">
      <c r="A308" t="inlineStr">
        <is>
          <t>A 12510-2022</t>
        </is>
      </c>
      <c r="B308" s="1" t="n">
        <v>44638.55256944444</v>
      </c>
      <c r="C308" s="1" t="n">
        <v>45941</v>
      </c>
      <c r="D308" t="inlineStr">
        <is>
          <t>KALMAR LÄN</t>
        </is>
      </c>
      <c r="E308" t="inlineStr">
        <is>
          <t>VIMMERBY</t>
        </is>
      </c>
      <c r="G308" t="n">
        <v>2.4</v>
      </c>
      <c r="H308" t="n">
        <v>0</v>
      </c>
      <c r="I308" t="n">
        <v>0</v>
      </c>
      <c r="J308" t="n">
        <v>0</v>
      </c>
      <c r="K308" t="n">
        <v>0</v>
      </c>
      <c r="L308" t="n">
        <v>0</v>
      </c>
      <c r="M308" t="n">
        <v>0</v>
      </c>
      <c r="N308" t="n">
        <v>0</v>
      </c>
      <c r="O308" t="n">
        <v>0</v>
      </c>
      <c r="P308" t="n">
        <v>0</v>
      </c>
      <c r="Q308" t="n">
        <v>0</v>
      </c>
      <c r="R308" s="2" t="inlineStr"/>
    </row>
    <row r="309" ht="15" customHeight="1">
      <c r="A309" t="inlineStr">
        <is>
          <t>A 16015-2025</t>
        </is>
      </c>
      <c r="B309" s="1" t="n">
        <v>45749.60487268519</v>
      </c>
      <c r="C309" s="1" t="n">
        <v>45941</v>
      </c>
      <c r="D309" t="inlineStr">
        <is>
          <t>KALMAR LÄN</t>
        </is>
      </c>
      <c r="E309" t="inlineStr">
        <is>
          <t>VIMMERBY</t>
        </is>
      </c>
      <c r="F309" t="inlineStr">
        <is>
          <t>Kyrkan</t>
        </is>
      </c>
      <c r="G309" t="n">
        <v>2.7</v>
      </c>
      <c r="H309" t="n">
        <v>0</v>
      </c>
      <c r="I309" t="n">
        <v>0</v>
      </c>
      <c r="J309" t="n">
        <v>0</v>
      </c>
      <c r="K309" t="n">
        <v>0</v>
      </c>
      <c r="L309" t="n">
        <v>0</v>
      </c>
      <c r="M309" t="n">
        <v>0</v>
      </c>
      <c r="N309" t="n">
        <v>0</v>
      </c>
      <c r="O309" t="n">
        <v>0</v>
      </c>
      <c r="P309" t="n">
        <v>0</v>
      </c>
      <c r="Q309" t="n">
        <v>0</v>
      </c>
      <c r="R309" s="2" t="inlineStr"/>
    </row>
    <row r="310" ht="15" customHeight="1">
      <c r="A310" t="inlineStr">
        <is>
          <t>A 57256-2023</t>
        </is>
      </c>
      <c r="B310" s="1" t="n">
        <v>45245.5735300926</v>
      </c>
      <c r="C310" s="1" t="n">
        <v>45941</v>
      </c>
      <c r="D310" t="inlineStr">
        <is>
          <t>KALMAR LÄN</t>
        </is>
      </c>
      <c r="E310" t="inlineStr">
        <is>
          <t>VIMMERBY</t>
        </is>
      </c>
      <c r="G310" t="n">
        <v>0.5</v>
      </c>
      <c r="H310" t="n">
        <v>0</v>
      </c>
      <c r="I310" t="n">
        <v>0</v>
      </c>
      <c r="J310" t="n">
        <v>0</v>
      </c>
      <c r="K310" t="n">
        <v>0</v>
      </c>
      <c r="L310" t="n">
        <v>0</v>
      </c>
      <c r="M310" t="n">
        <v>0</v>
      </c>
      <c r="N310" t="n">
        <v>0</v>
      </c>
      <c r="O310" t="n">
        <v>0</v>
      </c>
      <c r="P310" t="n">
        <v>0</v>
      </c>
      <c r="Q310" t="n">
        <v>0</v>
      </c>
      <c r="R310" s="2" t="inlineStr"/>
    </row>
    <row r="311" ht="15" customHeight="1">
      <c r="A311" t="inlineStr">
        <is>
          <t>A 28713-2025</t>
        </is>
      </c>
      <c r="B311" s="1" t="n">
        <v>45820.33930555556</v>
      </c>
      <c r="C311" s="1" t="n">
        <v>45941</v>
      </c>
      <c r="D311" t="inlineStr">
        <is>
          <t>KALMAR LÄN</t>
        </is>
      </c>
      <c r="E311" t="inlineStr">
        <is>
          <t>VIMMERBY</t>
        </is>
      </c>
      <c r="G311" t="n">
        <v>2.3</v>
      </c>
      <c r="H311" t="n">
        <v>0</v>
      </c>
      <c r="I311" t="n">
        <v>0</v>
      </c>
      <c r="J311" t="n">
        <v>0</v>
      </c>
      <c r="K311" t="n">
        <v>0</v>
      </c>
      <c r="L311" t="n">
        <v>0</v>
      </c>
      <c r="M311" t="n">
        <v>0</v>
      </c>
      <c r="N311" t="n">
        <v>0</v>
      </c>
      <c r="O311" t="n">
        <v>0</v>
      </c>
      <c r="P311" t="n">
        <v>0</v>
      </c>
      <c r="Q311" t="n">
        <v>0</v>
      </c>
      <c r="R311" s="2" t="inlineStr"/>
    </row>
    <row r="312" ht="15" customHeight="1">
      <c r="A312" t="inlineStr">
        <is>
          <t>A 23088-2024</t>
        </is>
      </c>
      <c r="B312" s="1" t="n">
        <v>45450.51092592593</v>
      </c>
      <c r="C312" s="1" t="n">
        <v>45941</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28712-2025</t>
        </is>
      </c>
      <c r="B313" s="1" t="n">
        <v>45820.33708333333</v>
      </c>
      <c r="C313" s="1" t="n">
        <v>45941</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28714-2025</t>
        </is>
      </c>
      <c r="B314" s="1" t="n">
        <v>45820.34128472222</v>
      </c>
      <c r="C314" s="1" t="n">
        <v>45941</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28620-2025</t>
        </is>
      </c>
      <c r="B315" s="1" t="n">
        <v>45819.61060185185</v>
      </c>
      <c r="C315" s="1" t="n">
        <v>45941</v>
      </c>
      <c r="D315" t="inlineStr">
        <is>
          <t>KALMAR LÄN</t>
        </is>
      </c>
      <c r="E315" t="inlineStr">
        <is>
          <t>VIMMERBY</t>
        </is>
      </c>
      <c r="G315" t="n">
        <v>5.6</v>
      </c>
      <c r="H315" t="n">
        <v>0</v>
      </c>
      <c r="I315" t="n">
        <v>0</v>
      </c>
      <c r="J315" t="n">
        <v>0</v>
      </c>
      <c r="K315" t="n">
        <v>0</v>
      </c>
      <c r="L315" t="n">
        <v>0</v>
      </c>
      <c r="M315" t="n">
        <v>0</v>
      </c>
      <c r="N315" t="n">
        <v>0</v>
      </c>
      <c r="O315" t="n">
        <v>0</v>
      </c>
      <c r="P315" t="n">
        <v>0</v>
      </c>
      <c r="Q315" t="n">
        <v>0</v>
      </c>
      <c r="R315" s="2" t="inlineStr"/>
    </row>
    <row r="316" ht="15" customHeight="1">
      <c r="A316" t="inlineStr">
        <is>
          <t>A 13015-2022</t>
        </is>
      </c>
      <c r="B316" s="1" t="n">
        <v>44643</v>
      </c>
      <c r="C316" s="1" t="n">
        <v>45941</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29727-2025</t>
        </is>
      </c>
      <c r="B317" s="1" t="n">
        <v>45825.5796875</v>
      </c>
      <c r="C317" s="1" t="n">
        <v>45941</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29737-2025</t>
        </is>
      </c>
      <c r="B318" s="1" t="n">
        <v>45825.58672453704</v>
      </c>
      <c r="C318" s="1" t="n">
        <v>45941</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4624-2024</t>
        </is>
      </c>
      <c r="B319" s="1" t="n">
        <v>45328.38755787037</v>
      </c>
      <c r="C319" s="1" t="n">
        <v>45941</v>
      </c>
      <c r="D319" t="inlineStr">
        <is>
          <t>KALMAR LÄN</t>
        </is>
      </c>
      <c r="E319" t="inlineStr">
        <is>
          <t>VIMMERBY</t>
        </is>
      </c>
      <c r="G319" t="n">
        <v>1.7</v>
      </c>
      <c r="H319" t="n">
        <v>0</v>
      </c>
      <c r="I319" t="n">
        <v>0</v>
      </c>
      <c r="J319" t="n">
        <v>0</v>
      </c>
      <c r="K319" t="n">
        <v>0</v>
      </c>
      <c r="L319" t="n">
        <v>0</v>
      </c>
      <c r="M319" t="n">
        <v>0</v>
      </c>
      <c r="N319" t="n">
        <v>0</v>
      </c>
      <c r="O319" t="n">
        <v>0</v>
      </c>
      <c r="P319" t="n">
        <v>0</v>
      </c>
      <c r="Q319" t="n">
        <v>0</v>
      </c>
      <c r="R319" s="2" t="inlineStr"/>
    </row>
    <row r="320" ht="15" customHeight="1">
      <c r="A320" t="inlineStr">
        <is>
          <t>A 57189-2022</t>
        </is>
      </c>
      <c r="B320" s="1" t="n">
        <v>44895.62296296296</v>
      </c>
      <c r="C320" s="1" t="n">
        <v>45941</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9129-2025</t>
        </is>
      </c>
      <c r="B321" s="1" t="n">
        <v>45713.92412037037</v>
      </c>
      <c r="C321" s="1" t="n">
        <v>45941</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1987-2024</t>
        </is>
      </c>
      <c r="B322" s="1" t="n">
        <v>45308.61152777778</v>
      </c>
      <c r="C322" s="1" t="n">
        <v>45941</v>
      </c>
      <c r="D322" t="inlineStr">
        <is>
          <t>KALMAR LÄN</t>
        </is>
      </c>
      <c r="E322" t="inlineStr">
        <is>
          <t>VIMMERBY</t>
        </is>
      </c>
      <c r="G322" t="n">
        <v>3</v>
      </c>
      <c r="H322" t="n">
        <v>0</v>
      </c>
      <c r="I322" t="n">
        <v>0</v>
      </c>
      <c r="J322" t="n">
        <v>0</v>
      </c>
      <c r="K322" t="n">
        <v>0</v>
      </c>
      <c r="L322" t="n">
        <v>0</v>
      </c>
      <c r="M322" t="n">
        <v>0</v>
      </c>
      <c r="N322" t="n">
        <v>0</v>
      </c>
      <c r="O322" t="n">
        <v>0</v>
      </c>
      <c r="P322" t="n">
        <v>0</v>
      </c>
      <c r="Q322" t="n">
        <v>0</v>
      </c>
      <c r="R322" s="2" t="inlineStr"/>
    </row>
    <row r="323" ht="15" customHeight="1">
      <c r="A323" t="inlineStr">
        <is>
          <t>A 1146-2025</t>
        </is>
      </c>
      <c r="B323" s="1" t="n">
        <v>45666</v>
      </c>
      <c r="C323" s="1" t="n">
        <v>45941</v>
      </c>
      <c r="D323" t="inlineStr">
        <is>
          <t>KALMAR LÄN</t>
        </is>
      </c>
      <c r="E323" t="inlineStr">
        <is>
          <t>VIMMERBY</t>
        </is>
      </c>
      <c r="G323" t="n">
        <v>4</v>
      </c>
      <c r="H323" t="n">
        <v>0</v>
      </c>
      <c r="I323" t="n">
        <v>0</v>
      </c>
      <c r="J323" t="n">
        <v>0</v>
      </c>
      <c r="K323" t="n">
        <v>0</v>
      </c>
      <c r="L323" t="n">
        <v>0</v>
      </c>
      <c r="M323" t="n">
        <v>0</v>
      </c>
      <c r="N323" t="n">
        <v>0</v>
      </c>
      <c r="O323" t="n">
        <v>0</v>
      </c>
      <c r="P323" t="n">
        <v>0</v>
      </c>
      <c r="Q323" t="n">
        <v>0</v>
      </c>
      <c r="R323" s="2" t="inlineStr"/>
    </row>
    <row r="324" ht="15" customHeight="1">
      <c r="A324" t="inlineStr">
        <is>
          <t>A 527-2024</t>
        </is>
      </c>
      <c r="B324" s="1" t="n">
        <v>45299.47513888889</v>
      </c>
      <c r="C324" s="1" t="n">
        <v>45941</v>
      </c>
      <c r="D324" t="inlineStr">
        <is>
          <t>KALMAR LÄN</t>
        </is>
      </c>
      <c r="E324" t="inlineStr">
        <is>
          <t>VIMMERBY</t>
        </is>
      </c>
      <c r="G324" t="n">
        <v>2.2</v>
      </c>
      <c r="H324" t="n">
        <v>0</v>
      </c>
      <c r="I324" t="n">
        <v>0</v>
      </c>
      <c r="J324" t="n">
        <v>0</v>
      </c>
      <c r="K324" t="n">
        <v>0</v>
      </c>
      <c r="L324" t="n">
        <v>0</v>
      </c>
      <c r="M324" t="n">
        <v>0</v>
      </c>
      <c r="N324" t="n">
        <v>0</v>
      </c>
      <c r="O324" t="n">
        <v>0</v>
      </c>
      <c r="P324" t="n">
        <v>0</v>
      </c>
      <c r="Q324" t="n">
        <v>0</v>
      </c>
      <c r="R324" s="2" t="inlineStr"/>
    </row>
    <row r="325" ht="15" customHeight="1">
      <c r="A325" t="inlineStr">
        <is>
          <t>A 29724-2025</t>
        </is>
      </c>
      <c r="B325" s="1" t="n">
        <v>45825.57680555555</v>
      </c>
      <c r="C325" s="1" t="n">
        <v>45941</v>
      </c>
      <c r="D325" t="inlineStr">
        <is>
          <t>KALMAR LÄN</t>
        </is>
      </c>
      <c r="E325" t="inlineStr">
        <is>
          <t>VIMMERBY</t>
        </is>
      </c>
      <c r="G325" t="n">
        <v>1.3</v>
      </c>
      <c r="H325" t="n">
        <v>0</v>
      </c>
      <c r="I325" t="n">
        <v>0</v>
      </c>
      <c r="J325" t="n">
        <v>0</v>
      </c>
      <c r="K325" t="n">
        <v>0</v>
      </c>
      <c r="L325" t="n">
        <v>0</v>
      </c>
      <c r="M325" t="n">
        <v>0</v>
      </c>
      <c r="N325" t="n">
        <v>0</v>
      </c>
      <c r="O325" t="n">
        <v>0</v>
      </c>
      <c r="P325" t="n">
        <v>0</v>
      </c>
      <c r="Q325" t="n">
        <v>0</v>
      </c>
      <c r="R325" s="2" t="inlineStr"/>
    </row>
    <row r="326" ht="15" customHeight="1">
      <c r="A326" t="inlineStr">
        <is>
          <t>A 37192-2024</t>
        </is>
      </c>
      <c r="B326" s="1" t="n">
        <v>45539.66027777778</v>
      </c>
      <c r="C326" s="1" t="n">
        <v>45941</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12890-2023</t>
        </is>
      </c>
      <c r="B327" s="1" t="n">
        <v>45001.59209490741</v>
      </c>
      <c r="C327" s="1" t="n">
        <v>45941</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3902-2022</t>
        </is>
      </c>
      <c r="B328" s="1" t="n">
        <v>44587.48847222222</v>
      </c>
      <c r="C328" s="1" t="n">
        <v>45941</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22643-2023</t>
        </is>
      </c>
      <c r="B329" s="1" t="n">
        <v>45071</v>
      </c>
      <c r="C329" s="1" t="n">
        <v>45941</v>
      </c>
      <c r="D329" t="inlineStr">
        <is>
          <t>KALMAR LÄN</t>
        </is>
      </c>
      <c r="E329" t="inlineStr">
        <is>
          <t>VIMMERBY</t>
        </is>
      </c>
      <c r="G329" t="n">
        <v>3.9</v>
      </c>
      <c r="H329" t="n">
        <v>0</v>
      </c>
      <c r="I329" t="n">
        <v>0</v>
      </c>
      <c r="J329" t="n">
        <v>0</v>
      </c>
      <c r="K329" t="n">
        <v>0</v>
      </c>
      <c r="L329" t="n">
        <v>0</v>
      </c>
      <c r="M329" t="n">
        <v>0</v>
      </c>
      <c r="N329" t="n">
        <v>0</v>
      </c>
      <c r="O329" t="n">
        <v>0</v>
      </c>
      <c r="P329" t="n">
        <v>0</v>
      </c>
      <c r="Q329" t="n">
        <v>0</v>
      </c>
      <c r="R329" s="2" t="inlineStr"/>
    </row>
    <row r="330" ht="15" customHeight="1">
      <c r="A330" t="inlineStr">
        <is>
          <t>A 30293-2025</t>
        </is>
      </c>
      <c r="B330" s="1" t="n">
        <v>45827</v>
      </c>
      <c r="C330" s="1" t="n">
        <v>45941</v>
      </c>
      <c r="D330" t="inlineStr">
        <is>
          <t>KALMAR LÄN</t>
        </is>
      </c>
      <c r="E330" t="inlineStr">
        <is>
          <t>VIMMERBY</t>
        </is>
      </c>
      <c r="G330" t="n">
        <v>0.5</v>
      </c>
      <c r="H330" t="n">
        <v>0</v>
      </c>
      <c r="I330" t="n">
        <v>0</v>
      </c>
      <c r="J330" t="n">
        <v>0</v>
      </c>
      <c r="K330" t="n">
        <v>0</v>
      </c>
      <c r="L330" t="n">
        <v>0</v>
      </c>
      <c r="M330" t="n">
        <v>0</v>
      </c>
      <c r="N330" t="n">
        <v>0</v>
      </c>
      <c r="O330" t="n">
        <v>0</v>
      </c>
      <c r="P330" t="n">
        <v>0</v>
      </c>
      <c r="Q330" t="n">
        <v>0</v>
      </c>
      <c r="R330" s="2" t="inlineStr"/>
    </row>
    <row r="331" ht="15" customHeight="1">
      <c r="A331" t="inlineStr">
        <is>
          <t>A 89-2023</t>
        </is>
      </c>
      <c r="B331" s="1" t="n">
        <v>44918</v>
      </c>
      <c r="C331" s="1" t="n">
        <v>45941</v>
      </c>
      <c r="D331" t="inlineStr">
        <is>
          <t>KALMAR LÄN</t>
        </is>
      </c>
      <c r="E331" t="inlineStr">
        <is>
          <t>VIMMERBY</t>
        </is>
      </c>
      <c r="G331" t="n">
        <v>16.1</v>
      </c>
      <c r="H331" t="n">
        <v>0</v>
      </c>
      <c r="I331" t="n">
        <v>0</v>
      </c>
      <c r="J331" t="n">
        <v>0</v>
      </c>
      <c r="K331" t="n">
        <v>0</v>
      </c>
      <c r="L331" t="n">
        <v>0</v>
      </c>
      <c r="M331" t="n">
        <v>0</v>
      </c>
      <c r="N331" t="n">
        <v>0</v>
      </c>
      <c r="O331" t="n">
        <v>0</v>
      </c>
      <c r="P331" t="n">
        <v>0</v>
      </c>
      <c r="Q331" t="n">
        <v>0</v>
      </c>
      <c r="R331" s="2" t="inlineStr"/>
    </row>
    <row r="332" ht="15" customHeight="1">
      <c r="A332" t="inlineStr">
        <is>
          <t>A 5382-2023</t>
        </is>
      </c>
      <c r="B332" s="1" t="n">
        <v>44959.66407407408</v>
      </c>
      <c r="C332" s="1" t="n">
        <v>45941</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6668-2023</t>
        </is>
      </c>
      <c r="B333" s="1" t="n">
        <v>44966</v>
      </c>
      <c r="C333" s="1" t="n">
        <v>45941</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172-2022</t>
        </is>
      </c>
      <c r="B334" s="1" t="n">
        <v>44564.62598379629</v>
      </c>
      <c r="C334" s="1" t="n">
        <v>45941</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30634-2024</t>
        </is>
      </c>
      <c r="B335" s="1" t="n">
        <v>45495</v>
      </c>
      <c r="C335" s="1" t="n">
        <v>45941</v>
      </c>
      <c r="D335" t="inlineStr">
        <is>
          <t>KALMAR LÄN</t>
        </is>
      </c>
      <c r="E335" t="inlineStr">
        <is>
          <t>VIMMERBY</t>
        </is>
      </c>
      <c r="G335" t="n">
        <v>1.2</v>
      </c>
      <c r="H335" t="n">
        <v>0</v>
      </c>
      <c r="I335" t="n">
        <v>0</v>
      </c>
      <c r="J335" t="n">
        <v>0</v>
      </c>
      <c r="K335" t="n">
        <v>0</v>
      </c>
      <c r="L335" t="n">
        <v>0</v>
      </c>
      <c r="M335" t="n">
        <v>0</v>
      </c>
      <c r="N335" t="n">
        <v>0</v>
      </c>
      <c r="O335" t="n">
        <v>0</v>
      </c>
      <c r="P335" t="n">
        <v>0</v>
      </c>
      <c r="Q335" t="n">
        <v>0</v>
      </c>
      <c r="R335" s="2" t="inlineStr"/>
    </row>
    <row r="336" ht="15" customHeight="1">
      <c r="A336" t="inlineStr">
        <is>
          <t>A 6355-2022</t>
        </is>
      </c>
      <c r="B336" s="1" t="n">
        <v>44600</v>
      </c>
      <c r="C336" s="1" t="n">
        <v>45941</v>
      </c>
      <c r="D336" t="inlineStr">
        <is>
          <t>KALMAR LÄN</t>
        </is>
      </c>
      <c r="E336" t="inlineStr">
        <is>
          <t>VIMMERBY</t>
        </is>
      </c>
      <c r="G336" t="n">
        <v>4.9</v>
      </c>
      <c r="H336" t="n">
        <v>0</v>
      </c>
      <c r="I336" t="n">
        <v>0</v>
      </c>
      <c r="J336" t="n">
        <v>0</v>
      </c>
      <c r="K336" t="n">
        <v>0</v>
      </c>
      <c r="L336" t="n">
        <v>0</v>
      </c>
      <c r="M336" t="n">
        <v>0</v>
      </c>
      <c r="N336" t="n">
        <v>0</v>
      </c>
      <c r="O336" t="n">
        <v>0</v>
      </c>
      <c r="P336" t="n">
        <v>0</v>
      </c>
      <c r="Q336" t="n">
        <v>0</v>
      </c>
      <c r="R336" s="2" t="inlineStr"/>
    </row>
    <row r="337" ht="15" customHeight="1">
      <c r="A337" t="inlineStr">
        <is>
          <t>A 47063-2022</t>
        </is>
      </c>
      <c r="B337" s="1" t="n">
        <v>44852</v>
      </c>
      <c r="C337" s="1" t="n">
        <v>45941</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12819-2024</t>
        </is>
      </c>
      <c r="B338" s="1" t="n">
        <v>45384.66917824074</v>
      </c>
      <c r="C338" s="1" t="n">
        <v>45941</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30290-2025</t>
        </is>
      </c>
      <c r="B339" s="1" t="n">
        <v>45827</v>
      </c>
      <c r="C339" s="1" t="n">
        <v>45941</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16020-2023</t>
        </is>
      </c>
      <c r="B340" s="1" t="n">
        <v>45026.82216435186</v>
      </c>
      <c r="C340" s="1" t="n">
        <v>45941</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34597-2022</t>
        </is>
      </c>
      <c r="B341" s="1" t="n">
        <v>44795</v>
      </c>
      <c r="C341" s="1" t="n">
        <v>45941</v>
      </c>
      <c r="D341" t="inlineStr">
        <is>
          <t>KALMAR LÄN</t>
        </is>
      </c>
      <c r="E341" t="inlineStr">
        <is>
          <t>VIMMERBY</t>
        </is>
      </c>
      <c r="G341" t="n">
        <v>2.2</v>
      </c>
      <c r="H341" t="n">
        <v>0</v>
      </c>
      <c r="I341" t="n">
        <v>0</v>
      </c>
      <c r="J341" t="n">
        <v>0</v>
      </c>
      <c r="K341" t="n">
        <v>0</v>
      </c>
      <c r="L341" t="n">
        <v>0</v>
      </c>
      <c r="M341" t="n">
        <v>0</v>
      </c>
      <c r="N341" t="n">
        <v>0</v>
      </c>
      <c r="O341" t="n">
        <v>0</v>
      </c>
      <c r="P341" t="n">
        <v>0</v>
      </c>
      <c r="Q341" t="n">
        <v>0</v>
      </c>
      <c r="R341" s="2" t="inlineStr"/>
    </row>
    <row r="342" ht="15" customHeight="1">
      <c r="A342" t="inlineStr">
        <is>
          <t>A 40079-2023</t>
        </is>
      </c>
      <c r="B342" s="1" t="n">
        <v>45168.89298611111</v>
      </c>
      <c r="C342" s="1" t="n">
        <v>45941</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60292-2022</t>
        </is>
      </c>
      <c r="B343" s="1" t="n">
        <v>44910.54231481482</v>
      </c>
      <c r="C343" s="1" t="n">
        <v>45941</v>
      </c>
      <c r="D343" t="inlineStr">
        <is>
          <t>KALMAR LÄN</t>
        </is>
      </c>
      <c r="E343" t="inlineStr">
        <is>
          <t>VIMMERBY</t>
        </is>
      </c>
      <c r="G343" t="n">
        <v>4.4</v>
      </c>
      <c r="H343" t="n">
        <v>0</v>
      </c>
      <c r="I343" t="n">
        <v>0</v>
      </c>
      <c r="J343" t="n">
        <v>0</v>
      </c>
      <c r="K343" t="n">
        <v>0</v>
      </c>
      <c r="L343" t="n">
        <v>0</v>
      </c>
      <c r="M343" t="n">
        <v>0</v>
      </c>
      <c r="N343" t="n">
        <v>0</v>
      </c>
      <c r="O343" t="n">
        <v>0</v>
      </c>
      <c r="P343" t="n">
        <v>0</v>
      </c>
      <c r="Q343" t="n">
        <v>0</v>
      </c>
      <c r="R343" s="2" t="inlineStr"/>
    </row>
    <row r="344" ht="15" customHeight="1">
      <c r="A344" t="inlineStr">
        <is>
          <t>A 31382-2023</t>
        </is>
      </c>
      <c r="B344" s="1" t="n">
        <v>45114.55136574074</v>
      </c>
      <c r="C344" s="1" t="n">
        <v>45941</v>
      </c>
      <c r="D344" t="inlineStr">
        <is>
          <t>KALMAR LÄN</t>
        </is>
      </c>
      <c r="E344" t="inlineStr">
        <is>
          <t>VIMMERBY</t>
        </is>
      </c>
      <c r="G344" t="n">
        <v>3.7</v>
      </c>
      <c r="H344" t="n">
        <v>0</v>
      </c>
      <c r="I344" t="n">
        <v>0</v>
      </c>
      <c r="J344" t="n">
        <v>0</v>
      </c>
      <c r="K344" t="n">
        <v>0</v>
      </c>
      <c r="L344" t="n">
        <v>0</v>
      </c>
      <c r="M344" t="n">
        <v>0</v>
      </c>
      <c r="N344" t="n">
        <v>0</v>
      </c>
      <c r="O344" t="n">
        <v>0</v>
      </c>
      <c r="P344" t="n">
        <v>0</v>
      </c>
      <c r="Q344" t="n">
        <v>0</v>
      </c>
      <c r="R344" s="2" t="inlineStr"/>
    </row>
    <row r="345" ht="15" customHeight="1">
      <c r="A345" t="inlineStr">
        <is>
          <t>A 11073-2023</t>
        </is>
      </c>
      <c r="B345" s="1" t="n">
        <v>44992</v>
      </c>
      <c r="C345" s="1" t="n">
        <v>45941</v>
      </c>
      <c r="D345" t="inlineStr">
        <is>
          <t>KALMAR LÄN</t>
        </is>
      </c>
      <c r="E345" t="inlineStr">
        <is>
          <t>VIMMERBY</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43034-2024</t>
        </is>
      </c>
      <c r="B346" s="1" t="n">
        <v>45567.42011574074</v>
      </c>
      <c r="C346" s="1" t="n">
        <v>45941</v>
      </c>
      <c r="D346" t="inlineStr">
        <is>
          <t>KALMAR LÄN</t>
        </is>
      </c>
      <c r="E346" t="inlineStr">
        <is>
          <t>VIMMERBY</t>
        </is>
      </c>
      <c r="G346" t="n">
        <v>1.8</v>
      </c>
      <c r="H346" t="n">
        <v>0</v>
      </c>
      <c r="I346" t="n">
        <v>0</v>
      </c>
      <c r="J346" t="n">
        <v>0</v>
      </c>
      <c r="K346" t="n">
        <v>0</v>
      </c>
      <c r="L346" t="n">
        <v>0</v>
      </c>
      <c r="M346" t="n">
        <v>0</v>
      </c>
      <c r="N346" t="n">
        <v>0</v>
      </c>
      <c r="O346" t="n">
        <v>0</v>
      </c>
      <c r="P346" t="n">
        <v>0</v>
      </c>
      <c r="Q346" t="n">
        <v>0</v>
      </c>
      <c r="R346" s="2" t="inlineStr"/>
    </row>
    <row r="347" ht="15" customHeight="1">
      <c r="A347" t="inlineStr">
        <is>
          <t>A 40256-2024</t>
        </is>
      </c>
      <c r="B347" s="1" t="n">
        <v>45554.62944444444</v>
      </c>
      <c r="C347" s="1" t="n">
        <v>45941</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19833-2023</t>
        </is>
      </c>
      <c r="B348" s="1" t="n">
        <v>45052</v>
      </c>
      <c r="C348" s="1" t="n">
        <v>45941</v>
      </c>
      <c r="D348" t="inlineStr">
        <is>
          <t>KALMAR LÄN</t>
        </is>
      </c>
      <c r="E348" t="inlineStr">
        <is>
          <t>VIMMERBY</t>
        </is>
      </c>
      <c r="G348" t="n">
        <v>6.7</v>
      </c>
      <c r="H348" t="n">
        <v>0</v>
      </c>
      <c r="I348" t="n">
        <v>0</v>
      </c>
      <c r="J348" t="n">
        <v>0</v>
      </c>
      <c r="K348" t="n">
        <v>0</v>
      </c>
      <c r="L348" t="n">
        <v>0</v>
      </c>
      <c r="M348" t="n">
        <v>0</v>
      </c>
      <c r="N348" t="n">
        <v>0</v>
      </c>
      <c r="O348" t="n">
        <v>0</v>
      </c>
      <c r="P348" t="n">
        <v>0</v>
      </c>
      <c r="Q348" t="n">
        <v>0</v>
      </c>
      <c r="R348" s="2" t="inlineStr"/>
    </row>
    <row r="349" ht="15" customHeight="1">
      <c r="A349" t="inlineStr">
        <is>
          <t>A 30850-2025</t>
        </is>
      </c>
      <c r="B349" s="1" t="n">
        <v>45831</v>
      </c>
      <c r="C349" s="1" t="n">
        <v>45941</v>
      </c>
      <c r="D349" t="inlineStr">
        <is>
          <t>KALMAR LÄN</t>
        </is>
      </c>
      <c r="E349" t="inlineStr">
        <is>
          <t>VIMMERBY</t>
        </is>
      </c>
      <c r="G349" t="n">
        <v>2.7</v>
      </c>
      <c r="H349" t="n">
        <v>0</v>
      </c>
      <c r="I349" t="n">
        <v>0</v>
      </c>
      <c r="J349" t="n">
        <v>0</v>
      </c>
      <c r="K349" t="n">
        <v>0</v>
      </c>
      <c r="L349" t="n">
        <v>0</v>
      </c>
      <c r="M349" t="n">
        <v>0</v>
      </c>
      <c r="N349" t="n">
        <v>0</v>
      </c>
      <c r="O349" t="n">
        <v>0</v>
      </c>
      <c r="P349" t="n">
        <v>0</v>
      </c>
      <c r="Q349" t="n">
        <v>0</v>
      </c>
      <c r="R349" s="2" t="inlineStr"/>
    </row>
    <row r="350" ht="15" customHeight="1">
      <c r="A350" t="inlineStr">
        <is>
          <t>A 59955-2023</t>
        </is>
      </c>
      <c r="B350" s="1" t="n">
        <v>45257.70313657408</v>
      </c>
      <c r="C350" s="1" t="n">
        <v>45941</v>
      </c>
      <c r="D350" t="inlineStr">
        <is>
          <t>KALMAR LÄN</t>
        </is>
      </c>
      <c r="E350" t="inlineStr">
        <is>
          <t>VIMMERBY</t>
        </is>
      </c>
      <c r="G350" t="n">
        <v>13.8</v>
      </c>
      <c r="H350" t="n">
        <v>0</v>
      </c>
      <c r="I350" t="n">
        <v>0</v>
      </c>
      <c r="J350" t="n">
        <v>0</v>
      </c>
      <c r="K350" t="n">
        <v>0</v>
      </c>
      <c r="L350" t="n">
        <v>0</v>
      </c>
      <c r="M350" t="n">
        <v>0</v>
      </c>
      <c r="N350" t="n">
        <v>0</v>
      </c>
      <c r="O350" t="n">
        <v>0</v>
      </c>
      <c r="P350" t="n">
        <v>0</v>
      </c>
      <c r="Q350" t="n">
        <v>0</v>
      </c>
      <c r="R350" s="2" t="inlineStr"/>
    </row>
    <row r="351" ht="15" customHeight="1">
      <c r="A351" t="inlineStr">
        <is>
          <t>A 36802-2021</t>
        </is>
      </c>
      <c r="B351" s="1" t="n">
        <v>44392</v>
      </c>
      <c r="C351" s="1" t="n">
        <v>45941</v>
      </c>
      <c r="D351" t="inlineStr">
        <is>
          <t>KALMAR LÄN</t>
        </is>
      </c>
      <c r="E351" t="inlineStr">
        <is>
          <t>VIMMERBY</t>
        </is>
      </c>
      <c r="F351" t="inlineStr">
        <is>
          <t>Sveaskog</t>
        </is>
      </c>
      <c r="G351" t="n">
        <v>4.6</v>
      </c>
      <c r="H351" t="n">
        <v>0</v>
      </c>
      <c r="I351" t="n">
        <v>0</v>
      </c>
      <c r="J351" t="n">
        <v>0</v>
      </c>
      <c r="K351" t="n">
        <v>0</v>
      </c>
      <c r="L351" t="n">
        <v>0</v>
      </c>
      <c r="M351" t="n">
        <v>0</v>
      </c>
      <c r="N351" t="n">
        <v>0</v>
      </c>
      <c r="O351" t="n">
        <v>0</v>
      </c>
      <c r="P351" t="n">
        <v>0</v>
      </c>
      <c r="Q351" t="n">
        <v>0</v>
      </c>
      <c r="R351" s="2" t="inlineStr"/>
    </row>
    <row r="352" ht="15" customHeight="1">
      <c r="A352" t="inlineStr">
        <is>
          <t>A 61820-2023</t>
        </is>
      </c>
      <c r="B352" s="1" t="n">
        <v>45266.32614583334</v>
      </c>
      <c r="C352" s="1" t="n">
        <v>45941</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3269-2024</t>
        </is>
      </c>
      <c r="B353" s="1" t="n">
        <v>45317.40372685185</v>
      </c>
      <c r="C353" s="1" t="n">
        <v>45941</v>
      </c>
      <c r="D353" t="inlineStr">
        <is>
          <t>KALMAR LÄN</t>
        </is>
      </c>
      <c r="E353" t="inlineStr">
        <is>
          <t>VIMMERBY</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30882-2025</t>
        </is>
      </c>
      <c r="B354" s="1" t="n">
        <v>45832.34540509259</v>
      </c>
      <c r="C354" s="1" t="n">
        <v>45941</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2157-2024</t>
        </is>
      </c>
      <c r="B355" s="1" t="n">
        <v>45309.59487268519</v>
      </c>
      <c r="C355" s="1" t="n">
        <v>45941</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30971-2025</t>
        </is>
      </c>
      <c r="B356" s="1" t="n">
        <v>45832.46146990741</v>
      </c>
      <c r="C356" s="1" t="n">
        <v>45941</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9416-2024</t>
        </is>
      </c>
      <c r="B357" s="1" t="n">
        <v>45359.44837962963</v>
      </c>
      <c r="C357" s="1" t="n">
        <v>45941</v>
      </c>
      <c r="D357" t="inlineStr">
        <is>
          <t>KALMAR LÄN</t>
        </is>
      </c>
      <c r="E357" t="inlineStr">
        <is>
          <t>VIMMERBY</t>
        </is>
      </c>
      <c r="G357" t="n">
        <v>3.2</v>
      </c>
      <c r="H357" t="n">
        <v>0</v>
      </c>
      <c r="I357" t="n">
        <v>0</v>
      </c>
      <c r="J357" t="n">
        <v>0</v>
      </c>
      <c r="K357" t="n">
        <v>0</v>
      </c>
      <c r="L357" t="n">
        <v>0</v>
      </c>
      <c r="M357" t="n">
        <v>0</v>
      </c>
      <c r="N357" t="n">
        <v>0</v>
      </c>
      <c r="O357" t="n">
        <v>0</v>
      </c>
      <c r="P357" t="n">
        <v>0</v>
      </c>
      <c r="Q357" t="n">
        <v>0</v>
      </c>
      <c r="R357" s="2" t="inlineStr"/>
    </row>
    <row r="358" ht="15" customHeight="1">
      <c r="A358" t="inlineStr">
        <is>
          <t>A 17084-2025</t>
        </is>
      </c>
      <c r="B358" s="1" t="n">
        <v>45755.64450231481</v>
      </c>
      <c r="C358" s="1" t="n">
        <v>45941</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58318-2021</t>
        </is>
      </c>
      <c r="B359" s="1" t="n">
        <v>44488.35878472222</v>
      </c>
      <c r="C359" s="1" t="n">
        <v>45941</v>
      </c>
      <c r="D359" t="inlineStr">
        <is>
          <t>KALMAR LÄN</t>
        </is>
      </c>
      <c r="E359" t="inlineStr">
        <is>
          <t>VIMMERBY</t>
        </is>
      </c>
      <c r="G359" t="n">
        <v>4</v>
      </c>
      <c r="H359" t="n">
        <v>0</v>
      </c>
      <c r="I359" t="n">
        <v>0</v>
      </c>
      <c r="J359" t="n">
        <v>0</v>
      </c>
      <c r="K359" t="n">
        <v>0</v>
      </c>
      <c r="L359" t="n">
        <v>0</v>
      </c>
      <c r="M359" t="n">
        <v>0</v>
      </c>
      <c r="N359" t="n">
        <v>0</v>
      </c>
      <c r="O359" t="n">
        <v>0</v>
      </c>
      <c r="P359" t="n">
        <v>0</v>
      </c>
      <c r="Q359" t="n">
        <v>0</v>
      </c>
      <c r="R359" s="2" t="inlineStr"/>
    </row>
    <row r="360" ht="15" customHeight="1">
      <c r="A360" t="inlineStr">
        <is>
          <t>A 53083-2021</t>
        </is>
      </c>
      <c r="B360" s="1" t="n">
        <v>44467.83386574074</v>
      </c>
      <c r="C360" s="1" t="n">
        <v>45941</v>
      </c>
      <c r="D360" t="inlineStr">
        <is>
          <t>KALMAR LÄN</t>
        </is>
      </c>
      <c r="E360" t="inlineStr">
        <is>
          <t>VIMMERBY</t>
        </is>
      </c>
      <c r="G360" t="n">
        <v>6.8</v>
      </c>
      <c r="H360" t="n">
        <v>0</v>
      </c>
      <c r="I360" t="n">
        <v>0</v>
      </c>
      <c r="J360" t="n">
        <v>0</v>
      </c>
      <c r="K360" t="n">
        <v>0</v>
      </c>
      <c r="L360" t="n">
        <v>0</v>
      </c>
      <c r="M360" t="n">
        <v>0</v>
      </c>
      <c r="N360" t="n">
        <v>0</v>
      </c>
      <c r="O360" t="n">
        <v>0</v>
      </c>
      <c r="P360" t="n">
        <v>0</v>
      </c>
      <c r="Q360" t="n">
        <v>0</v>
      </c>
      <c r="R360" s="2" t="inlineStr"/>
    </row>
    <row r="361" ht="15" customHeight="1">
      <c r="A361" t="inlineStr">
        <is>
          <t>A 56022-2024</t>
        </is>
      </c>
      <c r="B361" s="1" t="n">
        <v>45623.95947916667</v>
      </c>
      <c r="C361" s="1" t="n">
        <v>45941</v>
      </c>
      <c r="D361" t="inlineStr">
        <is>
          <t>KALMAR LÄN</t>
        </is>
      </c>
      <c r="E361" t="inlineStr">
        <is>
          <t>VIMMERBY</t>
        </is>
      </c>
      <c r="G361" t="n">
        <v>0.3</v>
      </c>
      <c r="H361" t="n">
        <v>0</v>
      </c>
      <c r="I361" t="n">
        <v>0</v>
      </c>
      <c r="J361" t="n">
        <v>0</v>
      </c>
      <c r="K361" t="n">
        <v>0</v>
      </c>
      <c r="L361" t="n">
        <v>0</v>
      </c>
      <c r="M361" t="n">
        <v>0</v>
      </c>
      <c r="N361" t="n">
        <v>0</v>
      </c>
      <c r="O361" t="n">
        <v>0</v>
      </c>
      <c r="P361" t="n">
        <v>0</v>
      </c>
      <c r="Q361" t="n">
        <v>0</v>
      </c>
      <c r="R361" s="2" t="inlineStr"/>
    </row>
    <row r="362" ht="15" customHeight="1">
      <c r="A362" t="inlineStr">
        <is>
          <t>A 29173-2024</t>
        </is>
      </c>
      <c r="B362" s="1" t="n">
        <v>45482.52887731481</v>
      </c>
      <c r="C362" s="1" t="n">
        <v>45941</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11928-2022</t>
        </is>
      </c>
      <c r="B363" s="1" t="n">
        <v>44635</v>
      </c>
      <c r="C363" s="1" t="n">
        <v>45941</v>
      </c>
      <c r="D363" t="inlineStr">
        <is>
          <t>KALMAR LÄN</t>
        </is>
      </c>
      <c r="E363" t="inlineStr">
        <is>
          <t>VIMMERBY</t>
        </is>
      </c>
      <c r="G363" t="n">
        <v>2.8</v>
      </c>
      <c r="H363" t="n">
        <v>0</v>
      </c>
      <c r="I363" t="n">
        <v>0</v>
      </c>
      <c r="J363" t="n">
        <v>0</v>
      </c>
      <c r="K363" t="n">
        <v>0</v>
      </c>
      <c r="L363" t="n">
        <v>0</v>
      </c>
      <c r="M363" t="n">
        <v>0</v>
      </c>
      <c r="N363" t="n">
        <v>0</v>
      </c>
      <c r="O363" t="n">
        <v>0</v>
      </c>
      <c r="P363" t="n">
        <v>0</v>
      </c>
      <c r="Q363" t="n">
        <v>0</v>
      </c>
      <c r="R363" s="2" t="inlineStr"/>
    </row>
    <row r="364" ht="15" customHeight="1">
      <c r="A364" t="inlineStr">
        <is>
          <t>A 11111-2024</t>
        </is>
      </c>
      <c r="B364" s="1" t="n">
        <v>45371.36359953704</v>
      </c>
      <c r="C364" s="1" t="n">
        <v>45941</v>
      </c>
      <c r="D364" t="inlineStr">
        <is>
          <t>KALMAR LÄN</t>
        </is>
      </c>
      <c r="E364" t="inlineStr">
        <is>
          <t>VIMMERBY</t>
        </is>
      </c>
      <c r="G364" t="n">
        <v>1.4</v>
      </c>
      <c r="H364" t="n">
        <v>0</v>
      </c>
      <c r="I364" t="n">
        <v>0</v>
      </c>
      <c r="J364" t="n">
        <v>0</v>
      </c>
      <c r="K364" t="n">
        <v>0</v>
      </c>
      <c r="L364" t="n">
        <v>0</v>
      </c>
      <c r="M364" t="n">
        <v>0</v>
      </c>
      <c r="N364" t="n">
        <v>0</v>
      </c>
      <c r="O364" t="n">
        <v>0</v>
      </c>
      <c r="P364" t="n">
        <v>0</v>
      </c>
      <c r="Q364" t="n">
        <v>0</v>
      </c>
      <c r="R364" s="2" t="inlineStr"/>
    </row>
    <row r="365" ht="15" customHeight="1">
      <c r="A365" t="inlineStr">
        <is>
          <t>A 11141-2024</t>
        </is>
      </c>
      <c r="B365" s="1" t="n">
        <v>45371.45865740741</v>
      </c>
      <c r="C365" s="1" t="n">
        <v>45941</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9418-2024</t>
        </is>
      </c>
      <c r="B366" s="1" t="n">
        <v>45359.45038194444</v>
      </c>
      <c r="C366" s="1" t="n">
        <v>45941</v>
      </c>
      <c r="D366" t="inlineStr">
        <is>
          <t>KALMAR LÄN</t>
        </is>
      </c>
      <c r="E366" t="inlineStr">
        <is>
          <t>VIMMERBY</t>
        </is>
      </c>
      <c r="G366" t="n">
        <v>1.9</v>
      </c>
      <c r="H366" t="n">
        <v>0</v>
      </c>
      <c r="I366" t="n">
        <v>0</v>
      </c>
      <c r="J366" t="n">
        <v>0</v>
      </c>
      <c r="K366" t="n">
        <v>0</v>
      </c>
      <c r="L366" t="n">
        <v>0</v>
      </c>
      <c r="M366" t="n">
        <v>0</v>
      </c>
      <c r="N366" t="n">
        <v>0</v>
      </c>
      <c r="O366" t="n">
        <v>0</v>
      </c>
      <c r="P366" t="n">
        <v>0</v>
      </c>
      <c r="Q366" t="n">
        <v>0</v>
      </c>
      <c r="R366" s="2" t="inlineStr"/>
    </row>
    <row r="367" ht="15" customHeight="1">
      <c r="A367" t="inlineStr">
        <is>
          <t>A 43093-2024</t>
        </is>
      </c>
      <c r="B367" s="1" t="n">
        <v>45567</v>
      </c>
      <c r="C367" s="1" t="n">
        <v>45941</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31552-2025</t>
        </is>
      </c>
      <c r="B368" s="1" t="n">
        <v>45833.64563657407</v>
      </c>
      <c r="C368" s="1" t="n">
        <v>45941</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31555-2025</t>
        </is>
      </c>
      <c r="B369" s="1" t="n">
        <v>45833.64814814815</v>
      </c>
      <c r="C369" s="1" t="n">
        <v>45941</v>
      </c>
      <c r="D369" t="inlineStr">
        <is>
          <t>KALMAR LÄN</t>
        </is>
      </c>
      <c r="E369" t="inlineStr">
        <is>
          <t>VIMMERBY</t>
        </is>
      </c>
      <c r="G369" t="n">
        <v>1.8</v>
      </c>
      <c r="H369" t="n">
        <v>0</v>
      </c>
      <c r="I369" t="n">
        <v>0</v>
      </c>
      <c r="J369" t="n">
        <v>0</v>
      </c>
      <c r="K369" t="n">
        <v>0</v>
      </c>
      <c r="L369" t="n">
        <v>0</v>
      </c>
      <c r="M369" t="n">
        <v>0</v>
      </c>
      <c r="N369" t="n">
        <v>0</v>
      </c>
      <c r="O369" t="n">
        <v>0</v>
      </c>
      <c r="P369" t="n">
        <v>0</v>
      </c>
      <c r="Q369" t="n">
        <v>0</v>
      </c>
      <c r="R369" s="2" t="inlineStr"/>
    </row>
    <row r="370" ht="15" customHeight="1">
      <c r="A370" t="inlineStr">
        <is>
          <t>A 49313-2022</t>
        </is>
      </c>
      <c r="B370" s="1" t="n">
        <v>44861.52505787037</v>
      </c>
      <c r="C370" s="1" t="n">
        <v>45941</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35998-2024</t>
        </is>
      </c>
      <c r="B371" s="1" t="n">
        <v>45533.54429398148</v>
      </c>
      <c r="C371" s="1" t="n">
        <v>45941</v>
      </c>
      <c r="D371" t="inlineStr">
        <is>
          <t>KALMAR LÄN</t>
        </is>
      </c>
      <c r="E371" t="inlineStr">
        <is>
          <t>VIMMERBY</t>
        </is>
      </c>
      <c r="G371" t="n">
        <v>8.6</v>
      </c>
      <c r="H371" t="n">
        <v>0</v>
      </c>
      <c r="I371" t="n">
        <v>0</v>
      </c>
      <c r="J371" t="n">
        <v>0</v>
      </c>
      <c r="K371" t="n">
        <v>0</v>
      </c>
      <c r="L371" t="n">
        <v>0</v>
      </c>
      <c r="M371" t="n">
        <v>0</v>
      </c>
      <c r="N371" t="n">
        <v>0</v>
      </c>
      <c r="O371" t="n">
        <v>0</v>
      </c>
      <c r="P371" t="n">
        <v>0</v>
      </c>
      <c r="Q371" t="n">
        <v>0</v>
      </c>
      <c r="R371" s="2" t="inlineStr"/>
    </row>
    <row r="372" ht="15" customHeight="1">
      <c r="A372" t="inlineStr">
        <is>
          <t>A 36040-2024</t>
        </is>
      </c>
      <c r="B372" s="1" t="n">
        <v>45533.60232638889</v>
      </c>
      <c r="C372" s="1" t="n">
        <v>45941</v>
      </c>
      <c r="D372" t="inlineStr">
        <is>
          <t>KALMAR LÄN</t>
        </is>
      </c>
      <c r="E372" t="inlineStr">
        <is>
          <t>VIMMERBY</t>
        </is>
      </c>
      <c r="F372" t="inlineStr">
        <is>
          <t>Kommuner</t>
        </is>
      </c>
      <c r="G372" t="n">
        <v>3.6</v>
      </c>
      <c r="H372" t="n">
        <v>0</v>
      </c>
      <c r="I372" t="n">
        <v>0</v>
      </c>
      <c r="J372" t="n">
        <v>0</v>
      </c>
      <c r="K372" t="n">
        <v>0</v>
      </c>
      <c r="L372" t="n">
        <v>0</v>
      </c>
      <c r="M372" t="n">
        <v>0</v>
      </c>
      <c r="N372" t="n">
        <v>0</v>
      </c>
      <c r="O372" t="n">
        <v>0</v>
      </c>
      <c r="P372" t="n">
        <v>0</v>
      </c>
      <c r="Q372" t="n">
        <v>0</v>
      </c>
      <c r="R372" s="2" t="inlineStr"/>
    </row>
    <row r="373" ht="15" customHeight="1">
      <c r="A373" t="inlineStr">
        <is>
          <t>A 36043-2024</t>
        </is>
      </c>
      <c r="B373" s="1" t="n">
        <v>45533.60770833334</v>
      </c>
      <c r="C373" s="1" t="n">
        <v>45941</v>
      </c>
      <c r="D373" t="inlineStr">
        <is>
          <t>KALMAR LÄN</t>
        </is>
      </c>
      <c r="E373" t="inlineStr">
        <is>
          <t>VIMMERBY</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35198-2023</t>
        </is>
      </c>
      <c r="B374" s="1" t="n">
        <v>45145</v>
      </c>
      <c r="C374" s="1" t="n">
        <v>45941</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5527-2022</t>
        </is>
      </c>
      <c r="B375" s="1" t="n">
        <v>44595.583125</v>
      </c>
      <c r="C375" s="1" t="n">
        <v>45941</v>
      </c>
      <c r="D375" t="inlineStr">
        <is>
          <t>KALMAR LÄN</t>
        </is>
      </c>
      <c r="E375" t="inlineStr">
        <is>
          <t>VIMMERBY</t>
        </is>
      </c>
      <c r="G375" t="n">
        <v>3.6</v>
      </c>
      <c r="H375" t="n">
        <v>0</v>
      </c>
      <c r="I375" t="n">
        <v>0</v>
      </c>
      <c r="J375" t="n">
        <v>0</v>
      </c>
      <c r="K375" t="n">
        <v>0</v>
      </c>
      <c r="L375" t="n">
        <v>0</v>
      </c>
      <c r="M375" t="n">
        <v>0</v>
      </c>
      <c r="N375" t="n">
        <v>0</v>
      </c>
      <c r="O375" t="n">
        <v>0</v>
      </c>
      <c r="P375" t="n">
        <v>0</v>
      </c>
      <c r="Q375" t="n">
        <v>0</v>
      </c>
      <c r="R375" s="2" t="inlineStr"/>
    </row>
    <row r="376" ht="15" customHeight="1">
      <c r="A376" t="inlineStr">
        <is>
          <t>A 31870-2025</t>
        </is>
      </c>
      <c r="B376" s="1" t="n">
        <v>45834.64667824074</v>
      </c>
      <c r="C376" s="1" t="n">
        <v>45941</v>
      </c>
      <c r="D376" t="inlineStr">
        <is>
          <t>KALMAR LÄN</t>
        </is>
      </c>
      <c r="E376" t="inlineStr">
        <is>
          <t>VIMMERBY</t>
        </is>
      </c>
      <c r="F376" t="inlineStr">
        <is>
          <t>Sveaskog</t>
        </is>
      </c>
      <c r="G376" t="n">
        <v>3.5</v>
      </c>
      <c r="H376" t="n">
        <v>0</v>
      </c>
      <c r="I376" t="n">
        <v>0</v>
      </c>
      <c r="J376" t="n">
        <v>0</v>
      </c>
      <c r="K376" t="n">
        <v>0</v>
      </c>
      <c r="L376" t="n">
        <v>0</v>
      </c>
      <c r="M376" t="n">
        <v>0</v>
      </c>
      <c r="N376" t="n">
        <v>0</v>
      </c>
      <c r="O376" t="n">
        <v>0</v>
      </c>
      <c r="P376" t="n">
        <v>0</v>
      </c>
      <c r="Q376" t="n">
        <v>0</v>
      </c>
      <c r="R376" s="2" t="inlineStr"/>
    </row>
    <row r="377" ht="15" customHeight="1">
      <c r="A377" t="inlineStr">
        <is>
          <t>A 8559-2025</t>
        </is>
      </c>
      <c r="B377" s="1" t="n">
        <v>45709.62280092593</v>
      </c>
      <c r="C377" s="1" t="n">
        <v>45941</v>
      </c>
      <c r="D377" t="inlineStr">
        <is>
          <t>KALMAR LÄN</t>
        </is>
      </c>
      <c r="E377" t="inlineStr">
        <is>
          <t>VIMMERBY</t>
        </is>
      </c>
      <c r="G377" t="n">
        <v>8.9</v>
      </c>
      <c r="H377" t="n">
        <v>0</v>
      </c>
      <c r="I377" t="n">
        <v>0</v>
      </c>
      <c r="J377" t="n">
        <v>0</v>
      </c>
      <c r="K377" t="n">
        <v>0</v>
      </c>
      <c r="L377" t="n">
        <v>0</v>
      </c>
      <c r="M377" t="n">
        <v>0</v>
      </c>
      <c r="N377" t="n">
        <v>0</v>
      </c>
      <c r="O377" t="n">
        <v>0</v>
      </c>
      <c r="P377" t="n">
        <v>0</v>
      </c>
      <c r="Q377" t="n">
        <v>0</v>
      </c>
      <c r="R377" s="2" t="inlineStr"/>
    </row>
    <row r="378" ht="15" customHeight="1">
      <c r="A378" t="inlineStr">
        <is>
          <t>A 31872-2025</t>
        </is>
      </c>
      <c r="B378" s="1" t="n">
        <v>45834.65040509259</v>
      </c>
      <c r="C378" s="1" t="n">
        <v>45941</v>
      </c>
      <c r="D378" t="inlineStr">
        <is>
          <t>KALMAR LÄN</t>
        </is>
      </c>
      <c r="E378" t="inlineStr">
        <is>
          <t>VIMMERBY</t>
        </is>
      </c>
      <c r="F378" t="inlineStr">
        <is>
          <t>Sveaskog</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31876-2025</t>
        </is>
      </c>
      <c r="B379" s="1" t="n">
        <v>45834.65197916667</v>
      </c>
      <c r="C379" s="1" t="n">
        <v>45941</v>
      </c>
      <c r="D379" t="inlineStr">
        <is>
          <t>KALMAR LÄN</t>
        </is>
      </c>
      <c r="E379" t="inlineStr">
        <is>
          <t>VIMMERBY</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58374-2024</t>
        </is>
      </c>
      <c r="B380" s="1" t="n">
        <v>45632.72635416667</v>
      </c>
      <c r="C380" s="1" t="n">
        <v>45941</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31551-2025</t>
        </is>
      </c>
      <c r="B381" s="1" t="n">
        <v>45833.64237268519</v>
      </c>
      <c r="C381" s="1" t="n">
        <v>45941</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31987-2025</t>
        </is>
      </c>
      <c r="B382" s="1" t="n">
        <v>45835.36229166666</v>
      </c>
      <c r="C382" s="1" t="n">
        <v>45941</v>
      </c>
      <c r="D382" t="inlineStr">
        <is>
          <t>KALMAR LÄN</t>
        </is>
      </c>
      <c r="E382" t="inlineStr">
        <is>
          <t>VIMMERBY</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32120-2025</t>
        </is>
      </c>
      <c r="B383" s="1" t="n">
        <v>45835.4924537037</v>
      </c>
      <c r="C383" s="1" t="n">
        <v>45941</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32116-2025</t>
        </is>
      </c>
      <c r="B384" s="1" t="n">
        <v>45835.48862268519</v>
      </c>
      <c r="C384" s="1" t="n">
        <v>45941</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55300-2021</t>
        </is>
      </c>
      <c r="B385" s="1" t="n">
        <v>44475</v>
      </c>
      <c r="C385" s="1" t="n">
        <v>45941</v>
      </c>
      <c r="D385" t="inlineStr">
        <is>
          <t>KALMAR LÄN</t>
        </is>
      </c>
      <c r="E385" t="inlineStr">
        <is>
          <t>VIMMERBY</t>
        </is>
      </c>
      <c r="G385" t="n">
        <v>3.4</v>
      </c>
      <c r="H385" t="n">
        <v>0</v>
      </c>
      <c r="I385" t="n">
        <v>0</v>
      </c>
      <c r="J385" t="n">
        <v>0</v>
      </c>
      <c r="K385" t="n">
        <v>0</v>
      </c>
      <c r="L385" t="n">
        <v>0</v>
      </c>
      <c r="M385" t="n">
        <v>0</v>
      </c>
      <c r="N385" t="n">
        <v>0</v>
      </c>
      <c r="O385" t="n">
        <v>0</v>
      </c>
      <c r="P385" t="n">
        <v>0</v>
      </c>
      <c r="Q385" t="n">
        <v>0</v>
      </c>
      <c r="R385" s="2" t="inlineStr"/>
    </row>
    <row r="386" ht="15" customHeight="1">
      <c r="A386" t="inlineStr">
        <is>
          <t>A 47263-2023</t>
        </is>
      </c>
      <c r="B386" s="1" t="n">
        <v>45202.4209837963</v>
      </c>
      <c r="C386" s="1" t="n">
        <v>45941</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32380-2025</t>
        </is>
      </c>
      <c r="B387" s="1" t="n">
        <v>45837.77701388889</v>
      </c>
      <c r="C387" s="1" t="n">
        <v>45941</v>
      </c>
      <c r="D387" t="inlineStr">
        <is>
          <t>KALMAR LÄN</t>
        </is>
      </c>
      <c r="E387" t="inlineStr">
        <is>
          <t>VIMMERBY</t>
        </is>
      </c>
      <c r="G387" t="n">
        <v>3.1</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45941</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45941</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49461-2023</t>
        </is>
      </c>
      <c r="B390" s="1" t="n">
        <v>45211.52642361111</v>
      </c>
      <c r="C390" s="1" t="n">
        <v>45941</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49474-2023</t>
        </is>
      </c>
      <c r="B391" s="1" t="n">
        <v>45211.541875</v>
      </c>
      <c r="C391" s="1" t="n">
        <v>45941</v>
      </c>
      <c r="D391" t="inlineStr">
        <is>
          <t>KALMAR LÄN</t>
        </is>
      </c>
      <c r="E391" t="inlineStr">
        <is>
          <t>VIMMERBY</t>
        </is>
      </c>
      <c r="G391" t="n">
        <v>3.6</v>
      </c>
      <c r="H391" t="n">
        <v>0</v>
      </c>
      <c r="I391" t="n">
        <v>0</v>
      </c>
      <c r="J391" t="n">
        <v>0</v>
      </c>
      <c r="K391" t="n">
        <v>0</v>
      </c>
      <c r="L391" t="n">
        <v>0</v>
      </c>
      <c r="M391" t="n">
        <v>0</v>
      </c>
      <c r="N391" t="n">
        <v>0</v>
      </c>
      <c r="O391" t="n">
        <v>0</v>
      </c>
      <c r="P391" t="n">
        <v>0</v>
      </c>
      <c r="Q391" t="n">
        <v>0</v>
      </c>
      <c r="R391" s="2" t="inlineStr"/>
    </row>
    <row r="392" ht="15" customHeight="1">
      <c r="A392" t="inlineStr">
        <is>
          <t>A 32077-2025</t>
        </is>
      </c>
      <c r="B392" s="1" t="n">
        <v>45835.45099537037</v>
      </c>
      <c r="C392" s="1" t="n">
        <v>45941</v>
      </c>
      <c r="D392" t="inlineStr">
        <is>
          <t>KALMAR LÄN</t>
        </is>
      </c>
      <c r="E392" t="inlineStr">
        <is>
          <t>VIMMERBY</t>
        </is>
      </c>
      <c r="G392" t="n">
        <v>1.8</v>
      </c>
      <c r="H392" t="n">
        <v>0</v>
      </c>
      <c r="I392" t="n">
        <v>0</v>
      </c>
      <c r="J392" t="n">
        <v>0</v>
      </c>
      <c r="K392" t="n">
        <v>0</v>
      </c>
      <c r="L392" t="n">
        <v>0</v>
      </c>
      <c r="M392" t="n">
        <v>0</v>
      </c>
      <c r="N392" t="n">
        <v>0</v>
      </c>
      <c r="O392" t="n">
        <v>0</v>
      </c>
      <c r="P392" t="n">
        <v>0</v>
      </c>
      <c r="Q392" t="n">
        <v>0</v>
      </c>
      <c r="R392" s="2" t="inlineStr"/>
    </row>
    <row r="393" ht="15" customHeight="1">
      <c r="A393" t="inlineStr">
        <is>
          <t>A 61861-2024</t>
        </is>
      </c>
      <c r="B393" s="1" t="n">
        <v>45650.37370370371</v>
      </c>
      <c r="C393" s="1" t="n">
        <v>45941</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32064-2025</t>
        </is>
      </c>
      <c r="B394" s="1" t="n">
        <v>45835.44709490741</v>
      </c>
      <c r="C394" s="1" t="n">
        <v>45941</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32065-2025</t>
        </is>
      </c>
      <c r="B395" s="1" t="n">
        <v>45835.44732638889</v>
      </c>
      <c r="C395" s="1" t="n">
        <v>45941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33186-2025</t>
        </is>
      </c>
      <c r="B396" s="1" t="n">
        <v>45840.59474537037</v>
      </c>
      <c r="C396" s="1" t="n">
        <v>45941</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45856-2025</t>
        </is>
      </c>
      <c r="B397" s="1" t="n">
        <v>45923</v>
      </c>
      <c r="C397" s="1" t="n">
        <v>45941</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30977-2025</t>
        </is>
      </c>
      <c r="B398" s="1" t="n">
        <v>45832.46649305556</v>
      </c>
      <c r="C398" s="1" t="n">
        <v>45941</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45846-2023</t>
        </is>
      </c>
      <c r="B399" s="1" t="n">
        <v>45195.58452546296</v>
      </c>
      <c r="C399" s="1" t="n">
        <v>45941</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2536-2023</t>
        </is>
      </c>
      <c r="B400" s="1" t="n">
        <v>44943.62954861111</v>
      </c>
      <c r="C400" s="1" t="n">
        <v>45941</v>
      </c>
      <c r="D400" t="inlineStr">
        <is>
          <t>KALMAR LÄN</t>
        </is>
      </c>
      <c r="E400" t="inlineStr">
        <is>
          <t>VIMMERBY</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33695-2025</t>
        </is>
      </c>
      <c r="B401" s="1" t="n">
        <v>45841.70569444444</v>
      </c>
      <c r="C401" s="1" t="n">
        <v>45941</v>
      </c>
      <c r="D401" t="inlineStr">
        <is>
          <t>KALMAR LÄN</t>
        </is>
      </c>
      <c r="E401" t="inlineStr">
        <is>
          <t>VIMMERBY</t>
        </is>
      </c>
      <c r="G401" t="n">
        <v>2.7</v>
      </c>
      <c r="H401" t="n">
        <v>0</v>
      </c>
      <c r="I401" t="n">
        <v>0</v>
      </c>
      <c r="J401" t="n">
        <v>0</v>
      </c>
      <c r="K401" t="n">
        <v>0</v>
      </c>
      <c r="L401" t="n">
        <v>0</v>
      </c>
      <c r="M401" t="n">
        <v>0</v>
      </c>
      <c r="N401" t="n">
        <v>0</v>
      </c>
      <c r="O401" t="n">
        <v>0</v>
      </c>
      <c r="P401" t="n">
        <v>0</v>
      </c>
      <c r="Q401" t="n">
        <v>0</v>
      </c>
      <c r="R401" s="2" t="inlineStr"/>
    </row>
    <row r="402" ht="15" customHeight="1">
      <c r="A402" t="inlineStr">
        <is>
          <t>A 33698-2025</t>
        </is>
      </c>
      <c r="B402" s="1" t="n">
        <v>45841.70868055556</v>
      </c>
      <c r="C402" s="1" t="n">
        <v>45941</v>
      </c>
      <c r="D402" t="inlineStr">
        <is>
          <t>KALMAR LÄN</t>
        </is>
      </c>
      <c r="E402" t="inlineStr">
        <is>
          <t>VIMMERBY</t>
        </is>
      </c>
      <c r="G402" t="n">
        <v>3.7</v>
      </c>
      <c r="H402" t="n">
        <v>0</v>
      </c>
      <c r="I402" t="n">
        <v>0</v>
      </c>
      <c r="J402" t="n">
        <v>0</v>
      </c>
      <c r="K402" t="n">
        <v>0</v>
      </c>
      <c r="L402" t="n">
        <v>0</v>
      </c>
      <c r="M402" t="n">
        <v>0</v>
      </c>
      <c r="N402" t="n">
        <v>0</v>
      </c>
      <c r="O402" t="n">
        <v>0</v>
      </c>
      <c r="P402" t="n">
        <v>0</v>
      </c>
      <c r="Q402" t="n">
        <v>0</v>
      </c>
      <c r="R402" s="2" t="inlineStr"/>
    </row>
    <row r="403" ht="15" customHeight="1">
      <c r="A403" t="inlineStr">
        <is>
          <t>A 2801-2023</t>
        </is>
      </c>
      <c r="B403" s="1" t="n">
        <v>44944.73487268519</v>
      </c>
      <c r="C403" s="1" t="n">
        <v>45941</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8167-2024</t>
        </is>
      </c>
      <c r="B404" s="1" t="n">
        <v>45351.6062962963</v>
      </c>
      <c r="C404" s="1" t="n">
        <v>45941</v>
      </c>
      <c r="D404" t="inlineStr">
        <is>
          <t>KALMAR LÄN</t>
        </is>
      </c>
      <c r="E404" t="inlineStr">
        <is>
          <t>VIMMERBY</t>
        </is>
      </c>
      <c r="G404" t="n">
        <v>3.8</v>
      </c>
      <c r="H404" t="n">
        <v>0</v>
      </c>
      <c r="I404" t="n">
        <v>0</v>
      </c>
      <c r="J404" t="n">
        <v>0</v>
      </c>
      <c r="K404" t="n">
        <v>0</v>
      </c>
      <c r="L404" t="n">
        <v>0</v>
      </c>
      <c r="M404" t="n">
        <v>0</v>
      </c>
      <c r="N404" t="n">
        <v>0</v>
      </c>
      <c r="O404" t="n">
        <v>0</v>
      </c>
      <c r="P404" t="n">
        <v>0</v>
      </c>
      <c r="Q404" t="n">
        <v>0</v>
      </c>
      <c r="R404" s="2" t="inlineStr"/>
    </row>
    <row r="405" ht="15" customHeight="1">
      <c r="A405" t="inlineStr">
        <is>
          <t>A 49382-2023</t>
        </is>
      </c>
      <c r="B405" s="1" t="n">
        <v>45208</v>
      </c>
      <c r="C405" s="1" t="n">
        <v>45941</v>
      </c>
      <c r="D405" t="inlineStr">
        <is>
          <t>KALMAR LÄN</t>
        </is>
      </c>
      <c r="E405" t="inlineStr">
        <is>
          <t>VIMMERBY</t>
        </is>
      </c>
      <c r="G405" t="n">
        <v>2.2</v>
      </c>
      <c r="H405" t="n">
        <v>0</v>
      </c>
      <c r="I405" t="n">
        <v>0</v>
      </c>
      <c r="J405" t="n">
        <v>0</v>
      </c>
      <c r="K405" t="n">
        <v>0</v>
      </c>
      <c r="L405" t="n">
        <v>0</v>
      </c>
      <c r="M405" t="n">
        <v>0</v>
      </c>
      <c r="N405" t="n">
        <v>0</v>
      </c>
      <c r="O405" t="n">
        <v>0</v>
      </c>
      <c r="P405" t="n">
        <v>0</v>
      </c>
      <c r="Q405" t="n">
        <v>0</v>
      </c>
      <c r="R405" s="2" t="inlineStr"/>
    </row>
    <row r="406" ht="15" customHeight="1">
      <c r="A406" t="inlineStr">
        <is>
          <t>A 17968-2025</t>
        </is>
      </c>
      <c r="B406" s="1" t="n">
        <v>45761.35990740741</v>
      </c>
      <c r="C406" s="1" t="n">
        <v>45941</v>
      </c>
      <c r="D406" t="inlineStr">
        <is>
          <t>KALMAR LÄN</t>
        </is>
      </c>
      <c r="E406" t="inlineStr">
        <is>
          <t>VIMMERBY</t>
        </is>
      </c>
      <c r="G406" t="n">
        <v>3.3</v>
      </c>
      <c r="H406" t="n">
        <v>0</v>
      </c>
      <c r="I406" t="n">
        <v>0</v>
      </c>
      <c r="J406" t="n">
        <v>0</v>
      </c>
      <c r="K406" t="n">
        <v>0</v>
      </c>
      <c r="L406" t="n">
        <v>0</v>
      </c>
      <c r="M406" t="n">
        <v>0</v>
      </c>
      <c r="N406" t="n">
        <v>0</v>
      </c>
      <c r="O406" t="n">
        <v>0</v>
      </c>
      <c r="P406" t="n">
        <v>0</v>
      </c>
      <c r="Q406" t="n">
        <v>0</v>
      </c>
      <c r="R406" s="2" t="inlineStr"/>
    </row>
    <row r="407" ht="15" customHeight="1">
      <c r="A407" t="inlineStr">
        <is>
          <t>A 33696-2025</t>
        </is>
      </c>
      <c r="B407" s="1" t="n">
        <v>45841.7072337963</v>
      </c>
      <c r="C407" s="1" t="n">
        <v>45941</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12121-2025</t>
        </is>
      </c>
      <c r="B408" s="1" t="n">
        <v>45729.36868055556</v>
      </c>
      <c r="C408" s="1" t="n">
        <v>45941</v>
      </c>
      <c r="D408" t="inlineStr">
        <is>
          <t>KALMAR LÄN</t>
        </is>
      </c>
      <c r="E408" t="inlineStr">
        <is>
          <t>VIMMERBY</t>
        </is>
      </c>
      <c r="G408" t="n">
        <v>4.3</v>
      </c>
      <c r="H408" t="n">
        <v>0</v>
      </c>
      <c r="I408" t="n">
        <v>0</v>
      </c>
      <c r="J408" t="n">
        <v>0</v>
      </c>
      <c r="K408" t="n">
        <v>0</v>
      </c>
      <c r="L408" t="n">
        <v>0</v>
      </c>
      <c r="M408" t="n">
        <v>0</v>
      </c>
      <c r="N408" t="n">
        <v>0</v>
      </c>
      <c r="O408" t="n">
        <v>0</v>
      </c>
      <c r="P408" t="n">
        <v>0</v>
      </c>
      <c r="Q408" t="n">
        <v>0</v>
      </c>
      <c r="R408" s="2" t="inlineStr"/>
    </row>
    <row r="409" ht="15" customHeight="1">
      <c r="A409" t="inlineStr">
        <is>
          <t>A 35846-2023</t>
        </is>
      </c>
      <c r="B409" s="1" t="n">
        <v>45148</v>
      </c>
      <c r="C409" s="1" t="n">
        <v>45941</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35913-2023</t>
        </is>
      </c>
      <c r="B410" s="1" t="n">
        <v>45148</v>
      </c>
      <c r="C410" s="1" t="n">
        <v>45941</v>
      </c>
      <c r="D410" t="inlineStr">
        <is>
          <t>KALMAR LÄN</t>
        </is>
      </c>
      <c r="E410" t="inlineStr">
        <is>
          <t>VIMMERBY</t>
        </is>
      </c>
      <c r="G410" t="n">
        <v>6.9</v>
      </c>
      <c r="H410" t="n">
        <v>0</v>
      </c>
      <c r="I410" t="n">
        <v>0</v>
      </c>
      <c r="J410" t="n">
        <v>0</v>
      </c>
      <c r="K410" t="n">
        <v>0</v>
      </c>
      <c r="L410" t="n">
        <v>0</v>
      </c>
      <c r="M410" t="n">
        <v>0</v>
      </c>
      <c r="N410" t="n">
        <v>0</v>
      </c>
      <c r="O410" t="n">
        <v>0</v>
      </c>
      <c r="P410" t="n">
        <v>0</v>
      </c>
      <c r="Q410" t="n">
        <v>0</v>
      </c>
      <c r="R410" s="2" t="inlineStr"/>
    </row>
    <row r="411" ht="15" customHeight="1">
      <c r="A411" t="inlineStr">
        <is>
          <t>A 14451-2024</t>
        </is>
      </c>
      <c r="B411" s="1" t="n">
        <v>45394.50028935185</v>
      </c>
      <c r="C411" s="1" t="n">
        <v>45941</v>
      </c>
      <c r="D411" t="inlineStr">
        <is>
          <t>KALMAR LÄN</t>
        </is>
      </c>
      <c r="E411" t="inlineStr">
        <is>
          <t>VIMMERBY</t>
        </is>
      </c>
      <c r="G411" t="n">
        <v>1.9</v>
      </c>
      <c r="H411" t="n">
        <v>0</v>
      </c>
      <c r="I411" t="n">
        <v>0</v>
      </c>
      <c r="J411" t="n">
        <v>0</v>
      </c>
      <c r="K411" t="n">
        <v>0</v>
      </c>
      <c r="L411" t="n">
        <v>0</v>
      </c>
      <c r="M411" t="n">
        <v>0</v>
      </c>
      <c r="N411" t="n">
        <v>0</v>
      </c>
      <c r="O411" t="n">
        <v>0</v>
      </c>
      <c r="P411" t="n">
        <v>0</v>
      </c>
      <c r="Q411" t="n">
        <v>0</v>
      </c>
      <c r="R411" s="2" t="inlineStr"/>
    </row>
    <row r="412" ht="15" customHeight="1">
      <c r="A412" t="inlineStr">
        <is>
          <t>A 38757-2023</t>
        </is>
      </c>
      <c r="B412" s="1" t="n">
        <v>45163.41376157408</v>
      </c>
      <c r="C412" s="1" t="n">
        <v>45941</v>
      </c>
      <c r="D412" t="inlineStr">
        <is>
          <t>KALMAR LÄN</t>
        </is>
      </c>
      <c r="E412" t="inlineStr">
        <is>
          <t>VIMMERBY</t>
        </is>
      </c>
      <c r="G412" t="n">
        <v>2.5</v>
      </c>
      <c r="H412" t="n">
        <v>0</v>
      </c>
      <c r="I412" t="n">
        <v>0</v>
      </c>
      <c r="J412" t="n">
        <v>0</v>
      </c>
      <c r="K412" t="n">
        <v>0</v>
      </c>
      <c r="L412" t="n">
        <v>0</v>
      </c>
      <c r="M412" t="n">
        <v>0</v>
      </c>
      <c r="N412" t="n">
        <v>0</v>
      </c>
      <c r="O412" t="n">
        <v>0</v>
      </c>
      <c r="P412" t="n">
        <v>0</v>
      </c>
      <c r="Q412" t="n">
        <v>0</v>
      </c>
      <c r="R412" s="2" t="inlineStr"/>
    </row>
    <row r="413" ht="15" customHeight="1">
      <c r="A413" t="inlineStr">
        <is>
          <t>A 28702-2025</t>
        </is>
      </c>
      <c r="B413" s="1" t="n">
        <v>45820.03976851852</v>
      </c>
      <c r="C413" s="1" t="n">
        <v>45941</v>
      </c>
      <c r="D413" t="inlineStr">
        <is>
          <t>KALMAR LÄN</t>
        </is>
      </c>
      <c r="E413" t="inlineStr">
        <is>
          <t>VIMMERBY</t>
        </is>
      </c>
      <c r="G413" t="n">
        <v>2.1</v>
      </c>
      <c r="H413" t="n">
        <v>0</v>
      </c>
      <c r="I413" t="n">
        <v>0</v>
      </c>
      <c r="J413" t="n">
        <v>0</v>
      </c>
      <c r="K413" t="n">
        <v>0</v>
      </c>
      <c r="L413" t="n">
        <v>0</v>
      </c>
      <c r="M413" t="n">
        <v>0</v>
      </c>
      <c r="N413" t="n">
        <v>0</v>
      </c>
      <c r="O413" t="n">
        <v>0</v>
      </c>
      <c r="P413" t="n">
        <v>0</v>
      </c>
      <c r="Q413" t="n">
        <v>0</v>
      </c>
      <c r="R413" s="2" t="inlineStr"/>
    </row>
    <row r="414" ht="15" customHeight="1">
      <c r="A414" t="inlineStr">
        <is>
          <t>A 46238-2024</t>
        </is>
      </c>
      <c r="B414" s="1" t="n">
        <v>45581.58418981481</v>
      </c>
      <c r="C414" s="1" t="n">
        <v>45941</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50993-2022</t>
        </is>
      </c>
      <c r="B415" s="1" t="n">
        <v>44867</v>
      </c>
      <c r="C415" s="1" t="n">
        <v>45941</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46225-2024</t>
        </is>
      </c>
      <c r="B416" s="1" t="n">
        <v>45581.57333333333</v>
      </c>
      <c r="C416" s="1" t="n">
        <v>45941</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20136-2024</t>
        </is>
      </c>
      <c r="B417" s="1" t="n">
        <v>45434.56291666667</v>
      </c>
      <c r="C417" s="1" t="n">
        <v>45941</v>
      </c>
      <c r="D417" t="inlineStr">
        <is>
          <t>KALMAR LÄN</t>
        </is>
      </c>
      <c r="E417" t="inlineStr">
        <is>
          <t>VIMMERBY</t>
        </is>
      </c>
      <c r="F417" t="inlineStr">
        <is>
          <t>Sveaskog</t>
        </is>
      </c>
      <c r="G417" t="n">
        <v>8.4</v>
      </c>
      <c r="H417" t="n">
        <v>0</v>
      </c>
      <c r="I417" t="n">
        <v>0</v>
      </c>
      <c r="J417" t="n">
        <v>0</v>
      </c>
      <c r="K417" t="n">
        <v>0</v>
      </c>
      <c r="L417" t="n">
        <v>0</v>
      </c>
      <c r="M417" t="n">
        <v>0</v>
      </c>
      <c r="N417" t="n">
        <v>0</v>
      </c>
      <c r="O417" t="n">
        <v>0</v>
      </c>
      <c r="P417" t="n">
        <v>0</v>
      </c>
      <c r="Q417" t="n">
        <v>0</v>
      </c>
      <c r="R417" s="2" t="inlineStr"/>
    </row>
    <row r="418" ht="15" customHeight="1">
      <c r="A418" t="inlineStr">
        <is>
          <t>A 36055-2024</t>
        </is>
      </c>
      <c r="B418" s="1" t="n">
        <v>45533.63056712963</v>
      </c>
      <c r="C418" s="1" t="n">
        <v>45941</v>
      </c>
      <c r="D418" t="inlineStr">
        <is>
          <t>KALMAR LÄN</t>
        </is>
      </c>
      <c r="E418" t="inlineStr">
        <is>
          <t>VIMMERBY</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34060-2025</t>
        </is>
      </c>
      <c r="B419" s="1" t="n">
        <v>45845.42015046296</v>
      </c>
      <c r="C419" s="1" t="n">
        <v>45941</v>
      </c>
      <c r="D419" t="inlineStr">
        <is>
          <t>KALMAR LÄN</t>
        </is>
      </c>
      <c r="E419" t="inlineStr">
        <is>
          <t>VIMMERBY</t>
        </is>
      </c>
      <c r="G419" t="n">
        <v>5.7</v>
      </c>
      <c r="H419" t="n">
        <v>0</v>
      </c>
      <c r="I419" t="n">
        <v>0</v>
      </c>
      <c r="J419" t="n">
        <v>0</v>
      </c>
      <c r="K419" t="n">
        <v>0</v>
      </c>
      <c r="L419" t="n">
        <v>0</v>
      </c>
      <c r="M419" t="n">
        <v>0</v>
      </c>
      <c r="N419" t="n">
        <v>0</v>
      </c>
      <c r="O419" t="n">
        <v>0</v>
      </c>
      <c r="P419" t="n">
        <v>0</v>
      </c>
      <c r="Q419" t="n">
        <v>0</v>
      </c>
      <c r="R419" s="2" t="inlineStr"/>
    </row>
    <row r="420" ht="15" customHeight="1">
      <c r="A420" t="inlineStr">
        <is>
          <t>A 46361-2025</t>
        </is>
      </c>
      <c r="B420" s="1" t="n">
        <v>45925.49670138889</v>
      </c>
      <c r="C420" s="1" t="n">
        <v>45941</v>
      </c>
      <c r="D420" t="inlineStr">
        <is>
          <t>KALMAR LÄN</t>
        </is>
      </c>
      <c r="E420" t="inlineStr">
        <is>
          <t>VIMMERBY</t>
        </is>
      </c>
      <c r="G420" t="n">
        <v>4.2</v>
      </c>
      <c r="H420" t="n">
        <v>0</v>
      </c>
      <c r="I420" t="n">
        <v>0</v>
      </c>
      <c r="J420" t="n">
        <v>0</v>
      </c>
      <c r="K420" t="n">
        <v>0</v>
      </c>
      <c r="L420" t="n">
        <v>0</v>
      </c>
      <c r="M420" t="n">
        <v>0</v>
      </c>
      <c r="N420" t="n">
        <v>0</v>
      </c>
      <c r="O420" t="n">
        <v>0</v>
      </c>
      <c r="P420" t="n">
        <v>0</v>
      </c>
      <c r="Q420" t="n">
        <v>0</v>
      </c>
      <c r="R420" s="2" t="inlineStr"/>
    </row>
    <row r="421" ht="15" customHeight="1">
      <c r="A421" t="inlineStr">
        <is>
          <t>A 34071-2025</t>
        </is>
      </c>
      <c r="B421" s="1" t="n">
        <v>45845.43803240741</v>
      </c>
      <c r="C421" s="1" t="n">
        <v>45941</v>
      </c>
      <c r="D421" t="inlineStr">
        <is>
          <t>KALMAR LÄN</t>
        </is>
      </c>
      <c r="E421" t="inlineStr">
        <is>
          <t>VIMMERBY</t>
        </is>
      </c>
      <c r="G421" t="n">
        <v>6.8</v>
      </c>
      <c r="H421" t="n">
        <v>0</v>
      </c>
      <c r="I421" t="n">
        <v>0</v>
      </c>
      <c r="J421" t="n">
        <v>0</v>
      </c>
      <c r="K421" t="n">
        <v>0</v>
      </c>
      <c r="L421" t="n">
        <v>0</v>
      </c>
      <c r="M421" t="n">
        <v>0</v>
      </c>
      <c r="N421" t="n">
        <v>0</v>
      </c>
      <c r="O421" t="n">
        <v>0</v>
      </c>
      <c r="P421" t="n">
        <v>0</v>
      </c>
      <c r="Q421" t="n">
        <v>0</v>
      </c>
      <c r="R421" s="2" t="inlineStr"/>
    </row>
    <row r="422" ht="15" customHeight="1">
      <c r="A422" t="inlineStr">
        <is>
          <t>A 34106-2025</t>
        </is>
      </c>
      <c r="B422" s="1" t="n">
        <v>45845.49414351852</v>
      </c>
      <c r="C422" s="1" t="n">
        <v>45941</v>
      </c>
      <c r="D422" t="inlineStr">
        <is>
          <t>KALMAR LÄN</t>
        </is>
      </c>
      <c r="E422" t="inlineStr">
        <is>
          <t>VIMMERBY</t>
        </is>
      </c>
      <c r="G422" t="n">
        <v>6</v>
      </c>
      <c r="H422" t="n">
        <v>0</v>
      </c>
      <c r="I422" t="n">
        <v>0</v>
      </c>
      <c r="J422" t="n">
        <v>0</v>
      </c>
      <c r="K422" t="n">
        <v>0</v>
      </c>
      <c r="L422" t="n">
        <v>0</v>
      </c>
      <c r="M422" t="n">
        <v>0</v>
      </c>
      <c r="N422" t="n">
        <v>0</v>
      </c>
      <c r="O422" t="n">
        <v>0</v>
      </c>
      <c r="P422" t="n">
        <v>0</v>
      </c>
      <c r="Q422" t="n">
        <v>0</v>
      </c>
      <c r="R422" s="2" t="inlineStr"/>
    </row>
    <row r="423" ht="15" customHeight="1">
      <c r="A423" t="inlineStr">
        <is>
          <t>A 47859-2024</t>
        </is>
      </c>
      <c r="B423" s="1" t="n">
        <v>45588.67070601852</v>
      </c>
      <c r="C423" s="1" t="n">
        <v>45941</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24283-2023</t>
        </is>
      </c>
      <c r="B424" s="1" t="n">
        <v>45079.87827546296</v>
      </c>
      <c r="C424" s="1" t="n">
        <v>45941</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32835-2022</t>
        </is>
      </c>
      <c r="B425" s="1" t="n">
        <v>44784.42528935185</v>
      </c>
      <c r="C425" s="1" t="n">
        <v>45941</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26956-2025</t>
        </is>
      </c>
      <c r="B426" s="1" t="n">
        <v>45811.45460648148</v>
      </c>
      <c r="C426" s="1" t="n">
        <v>45941</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41896-2023</t>
        </is>
      </c>
      <c r="B427" s="1" t="n">
        <v>45176.72427083334</v>
      </c>
      <c r="C427" s="1" t="n">
        <v>45941</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59598-2023</t>
        </is>
      </c>
      <c r="B428" s="1" t="n">
        <v>45254.62489583333</v>
      </c>
      <c r="C428" s="1" t="n">
        <v>45941</v>
      </c>
      <c r="D428" t="inlineStr">
        <is>
          <t>KALMAR LÄN</t>
        </is>
      </c>
      <c r="E428" t="inlineStr">
        <is>
          <t>VIMMERBY</t>
        </is>
      </c>
      <c r="F428" t="inlineStr">
        <is>
          <t>Övriga Aktiebolag</t>
        </is>
      </c>
      <c r="G428" t="n">
        <v>4</v>
      </c>
      <c r="H428" t="n">
        <v>0</v>
      </c>
      <c r="I428" t="n">
        <v>0</v>
      </c>
      <c r="J428" t="n">
        <v>0</v>
      </c>
      <c r="K428" t="n">
        <v>0</v>
      </c>
      <c r="L428" t="n">
        <v>0</v>
      </c>
      <c r="M428" t="n">
        <v>0</v>
      </c>
      <c r="N428" t="n">
        <v>0</v>
      </c>
      <c r="O428" t="n">
        <v>0</v>
      </c>
      <c r="P428" t="n">
        <v>0</v>
      </c>
      <c r="Q428" t="n">
        <v>0</v>
      </c>
      <c r="R428" s="2" t="inlineStr"/>
    </row>
    <row r="429" ht="15" customHeight="1">
      <c r="A429" t="inlineStr">
        <is>
          <t>A 34628-2025</t>
        </is>
      </c>
      <c r="B429" s="1" t="n">
        <v>45847.91280092593</v>
      </c>
      <c r="C429" s="1" t="n">
        <v>45941</v>
      </c>
      <c r="D429" t="inlineStr">
        <is>
          <t>KALMAR LÄN</t>
        </is>
      </c>
      <c r="E429" t="inlineStr">
        <is>
          <t>VIMMERBY</t>
        </is>
      </c>
      <c r="G429" t="n">
        <v>4.2</v>
      </c>
      <c r="H429" t="n">
        <v>0</v>
      </c>
      <c r="I429" t="n">
        <v>0</v>
      </c>
      <c r="J429" t="n">
        <v>0</v>
      </c>
      <c r="K429" t="n">
        <v>0</v>
      </c>
      <c r="L429" t="n">
        <v>0</v>
      </c>
      <c r="M429" t="n">
        <v>0</v>
      </c>
      <c r="N429" t="n">
        <v>0</v>
      </c>
      <c r="O429" t="n">
        <v>0</v>
      </c>
      <c r="P429" t="n">
        <v>0</v>
      </c>
      <c r="Q429" t="n">
        <v>0</v>
      </c>
      <c r="R429" s="2" t="inlineStr"/>
    </row>
    <row r="430" ht="15" customHeight="1">
      <c r="A430" t="inlineStr">
        <is>
          <t>A 30920-2023</t>
        </is>
      </c>
      <c r="B430" s="1" t="n">
        <v>45113.43921296296</v>
      </c>
      <c r="C430" s="1" t="n">
        <v>45941</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43606-2024</t>
        </is>
      </c>
      <c r="B431" s="1" t="n">
        <v>45569.45017361111</v>
      </c>
      <c r="C431" s="1" t="n">
        <v>45941</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12325-2023</t>
        </is>
      </c>
      <c r="B432" s="1" t="n">
        <v>44999.35858796296</v>
      </c>
      <c r="C432" s="1" t="n">
        <v>45941</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8945-2025</t>
        </is>
      </c>
      <c r="B433" s="1" t="n">
        <v>45713.45311342592</v>
      </c>
      <c r="C433" s="1" t="n">
        <v>45941</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40665-2023</t>
        </is>
      </c>
      <c r="B434" s="1" t="n">
        <v>45170</v>
      </c>
      <c r="C434" s="1" t="n">
        <v>45941</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13307-2025</t>
        </is>
      </c>
      <c r="B435" s="1" t="n">
        <v>45735.58024305556</v>
      </c>
      <c r="C435" s="1" t="n">
        <v>45941</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40929-2022</t>
        </is>
      </c>
      <c r="B436" s="1" t="n">
        <v>44825.4336574074</v>
      </c>
      <c r="C436" s="1" t="n">
        <v>45941</v>
      </c>
      <c r="D436" t="inlineStr">
        <is>
          <t>KALMAR LÄN</t>
        </is>
      </c>
      <c r="E436" t="inlineStr">
        <is>
          <t>VIMMERBY</t>
        </is>
      </c>
      <c r="G436" t="n">
        <v>2.5</v>
      </c>
      <c r="H436" t="n">
        <v>0</v>
      </c>
      <c r="I436" t="n">
        <v>0</v>
      </c>
      <c r="J436" t="n">
        <v>0</v>
      </c>
      <c r="K436" t="n">
        <v>0</v>
      </c>
      <c r="L436" t="n">
        <v>0</v>
      </c>
      <c r="M436" t="n">
        <v>0</v>
      </c>
      <c r="N436" t="n">
        <v>0</v>
      </c>
      <c r="O436" t="n">
        <v>0</v>
      </c>
      <c r="P436" t="n">
        <v>0</v>
      </c>
      <c r="Q436" t="n">
        <v>0</v>
      </c>
      <c r="R436" s="2" t="inlineStr"/>
    </row>
    <row r="437" ht="15" customHeight="1">
      <c r="A437" t="inlineStr">
        <is>
          <t>A 28034-2022</t>
        </is>
      </c>
      <c r="B437" s="1" t="n">
        <v>44746.38834490741</v>
      </c>
      <c r="C437" s="1" t="n">
        <v>45941</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35270-2025</t>
        </is>
      </c>
      <c r="B438" s="1" t="n">
        <v>45853.87112268519</v>
      </c>
      <c r="C438" s="1" t="n">
        <v>45941</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33380-2023</t>
        </is>
      </c>
      <c r="B439" s="1" t="n">
        <v>45128</v>
      </c>
      <c r="C439" s="1" t="n">
        <v>45941</v>
      </c>
      <c r="D439" t="inlineStr">
        <is>
          <t>KALMAR LÄN</t>
        </is>
      </c>
      <c r="E439" t="inlineStr">
        <is>
          <t>VIMMERBY</t>
        </is>
      </c>
      <c r="G439" t="n">
        <v>5.2</v>
      </c>
      <c r="H439" t="n">
        <v>0</v>
      </c>
      <c r="I439" t="n">
        <v>0</v>
      </c>
      <c r="J439" t="n">
        <v>0</v>
      </c>
      <c r="K439" t="n">
        <v>0</v>
      </c>
      <c r="L439" t="n">
        <v>0</v>
      </c>
      <c r="M439" t="n">
        <v>0</v>
      </c>
      <c r="N439" t="n">
        <v>0</v>
      </c>
      <c r="O439" t="n">
        <v>0</v>
      </c>
      <c r="P439" t="n">
        <v>0</v>
      </c>
      <c r="Q439" t="n">
        <v>0</v>
      </c>
      <c r="R439" s="2" t="inlineStr"/>
    </row>
    <row r="440" ht="15" customHeight="1">
      <c r="A440" t="inlineStr">
        <is>
          <t>A 35271-2025</t>
        </is>
      </c>
      <c r="B440" s="1" t="n">
        <v>45853.87599537037</v>
      </c>
      <c r="C440" s="1" t="n">
        <v>45941</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35272-2025</t>
        </is>
      </c>
      <c r="B441" s="1" t="n">
        <v>45853.88070601852</v>
      </c>
      <c r="C441" s="1" t="n">
        <v>45941</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46144-2023</t>
        </is>
      </c>
      <c r="B442" s="1" t="n">
        <v>45196.57247685185</v>
      </c>
      <c r="C442" s="1" t="n">
        <v>45941</v>
      </c>
      <c r="D442" t="inlineStr">
        <is>
          <t>KALMAR LÄN</t>
        </is>
      </c>
      <c r="E442" t="inlineStr">
        <is>
          <t>VIMMERBY</t>
        </is>
      </c>
      <c r="G442" t="n">
        <v>6.5</v>
      </c>
      <c r="H442" t="n">
        <v>0</v>
      </c>
      <c r="I442" t="n">
        <v>0</v>
      </c>
      <c r="J442" t="n">
        <v>0</v>
      </c>
      <c r="K442" t="n">
        <v>0</v>
      </c>
      <c r="L442" t="n">
        <v>0</v>
      </c>
      <c r="M442" t="n">
        <v>0</v>
      </c>
      <c r="N442" t="n">
        <v>0</v>
      </c>
      <c r="O442" t="n">
        <v>0</v>
      </c>
      <c r="P442" t="n">
        <v>0</v>
      </c>
      <c r="Q442" t="n">
        <v>0</v>
      </c>
      <c r="R442" s="2" t="inlineStr"/>
    </row>
    <row r="443" ht="15" customHeight="1">
      <c r="A443" t="inlineStr">
        <is>
          <t>A 16953-2025</t>
        </is>
      </c>
      <c r="B443" s="1" t="n">
        <v>45755.44333333334</v>
      </c>
      <c r="C443" s="1" t="n">
        <v>45941</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38604-2025</t>
        </is>
      </c>
      <c r="B444" s="1" t="n">
        <v>45884.50613425926</v>
      </c>
      <c r="C444" s="1" t="n">
        <v>45941</v>
      </c>
      <c r="D444" t="inlineStr">
        <is>
          <t>KALMAR LÄN</t>
        </is>
      </c>
      <c r="E444" t="inlineStr">
        <is>
          <t>VIMMERBY</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55605-2024</t>
        </is>
      </c>
      <c r="B445" s="1" t="n">
        <v>45622</v>
      </c>
      <c r="C445" s="1" t="n">
        <v>45941</v>
      </c>
      <c r="D445" t="inlineStr">
        <is>
          <t>KALMAR LÄN</t>
        </is>
      </c>
      <c r="E445" t="inlineStr">
        <is>
          <t>VIMMERBY</t>
        </is>
      </c>
      <c r="G445" t="n">
        <v>1.1</v>
      </c>
      <c r="H445" t="n">
        <v>0</v>
      </c>
      <c r="I445" t="n">
        <v>0</v>
      </c>
      <c r="J445" t="n">
        <v>0</v>
      </c>
      <c r="K445" t="n">
        <v>0</v>
      </c>
      <c r="L445" t="n">
        <v>0</v>
      </c>
      <c r="M445" t="n">
        <v>0</v>
      </c>
      <c r="N445" t="n">
        <v>0</v>
      </c>
      <c r="O445" t="n">
        <v>0</v>
      </c>
      <c r="P445" t="n">
        <v>0</v>
      </c>
      <c r="Q445" t="n">
        <v>0</v>
      </c>
      <c r="R445" s="2" t="inlineStr"/>
    </row>
    <row r="446" ht="15" customHeight="1">
      <c r="A446" t="inlineStr">
        <is>
          <t>A 42165-2024</t>
        </is>
      </c>
      <c r="B446" s="1" t="n">
        <v>45562.46342592593</v>
      </c>
      <c r="C446" s="1" t="n">
        <v>45941</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20129-2024</t>
        </is>
      </c>
      <c r="B447" s="1" t="n">
        <v>45434.55831018519</v>
      </c>
      <c r="C447" s="1" t="n">
        <v>45941</v>
      </c>
      <c r="D447" t="inlineStr">
        <is>
          <t>KALMAR LÄN</t>
        </is>
      </c>
      <c r="E447" t="inlineStr">
        <is>
          <t>VIMMERBY</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20137-2024</t>
        </is>
      </c>
      <c r="B448" s="1" t="n">
        <v>45434.56398148148</v>
      </c>
      <c r="C448" s="1" t="n">
        <v>45941</v>
      </c>
      <c r="D448" t="inlineStr">
        <is>
          <t>KALMAR LÄN</t>
        </is>
      </c>
      <c r="E448" t="inlineStr">
        <is>
          <t>VIMMERBY</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45941</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15715-2022</t>
        </is>
      </c>
      <c r="B450" s="1" t="n">
        <v>44663</v>
      </c>
      <c r="C450" s="1" t="n">
        <v>45941</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23095-2023</t>
        </is>
      </c>
      <c r="B451" s="1" t="n">
        <v>45075.43059027778</v>
      </c>
      <c r="C451" s="1" t="n">
        <v>45941</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43774-2023</t>
        </is>
      </c>
      <c r="B452" s="1" t="n">
        <v>45187</v>
      </c>
      <c r="C452" s="1" t="n">
        <v>45941</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43705-2023</t>
        </is>
      </c>
      <c r="B453" s="1" t="n">
        <v>45187.42854166667</v>
      </c>
      <c r="C453" s="1" t="n">
        <v>45941</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32919-2022</t>
        </is>
      </c>
      <c r="B454" s="1" t="n">
        <v>44784.62724537037</v>
      </c>
      <c r="C454" s="1" t="n">
        <v>45941</v>
      </c>
      <c r="D454" t="inlineStr">
        <is>
          <t>KALMAR LÄN</t>
        </is>
      </c>
      <c r="E454" t="inlineStr">
        <is>
          <t>VIMMERBY</t>
        </is>
      </c>
      <c r="G454" t="n">
        <v>1.7</v>
      </c>
      <c r="H454" t="n">
        <v>0</v>
      </c>
      <c r="I454" t="n">
        <v>0</v>
      </c>
      <c r="J454" t="n">
        <v>0</v>
      </c>
      <c r="K454" t="n">
        <v>0</v>
      </c>
      <c r="L454" t="n">
        <v>0</v>
      </c>
      <c r="M454" t="n">
        <v>0</v>
      </c>
      <c r="N454" t="n">
        <v>0</v>
      </c>
      <c r="O454" t="n">
        <v>0</v>
      </c>
      <c r="P454" t="n">
        <v>0</v>
      </c>
      <c r="Q454" t="n">
        <v>0</v>
      </c>
      <c r="R454" s="2" t="inlineStr"/>
    </row>
    <row r="455" ht="15" customHeight="1">
      <c r="A455" t="inlineStr">
        <is>
          <t>A 7932-2025</t>
        </is>
      </c>
      <c r="B455" s="1" t="n">
        <v>45707.3793287037</v>
      </c>
      <c r="C455" s="1" t="n">
        <v>45941</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41589-2025</t>
        </is>
      </c>
      <c r="B456" s="1" t="n">
        <v>45901.63219907408</v>
      </c>
      <c r="C456" s="1" t="n">
        <v>45941</v>
      </c>
      <c r="D456" t="inlineStr">
        <is>
          <t>KALMAR LÄN</t>
        </is>
      </c>
      <c r="E456" t="inlineStr">
        <is>
          <t>VIMMERBY</t>
        </is>
      </c>
      <c r="G456" t="n">
        <v>1.7</v>
      </c>
      <c r="H456" t="n">
        <v>0</v>
      </c>
      <c r="I456" t="n">
        <v>0</v>
      </c>
      <c r="J456" t="n">
        <v>0</v>
      </c>
      <c r="K456" t="n">
        <v>0</v>
      </c>
      <c r="L456" t="n">
        <v>0</v>
      </c>
      <c r="M456" t="n">
        <v>0</v>
      </c>
      <c r="N456" t="n">
        <v>0</v>
      </c>
      <c r="O456" t="n">
        <v>0</v>
      </c>
      <c r="P456" t="n">
        <v>0</v>
      </c>
      <c r="Q456" t="n">
        <v>0</v>
      </c>
      <c r="R456" s="2" t="inlineStr"/>
    </row>
    <row r="457" ht="15" customHeight="1">
      <c r="A457" t="inlineStr">
        <is>
          <t>A 41591-2025</t>
        </is>
      </c>
      <c r="B457" s="1" t="n">
        <v>45901.6327662037</v>
      </c>
      <c r="C457" s="1" t="n">
        <v>45941</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35597-2025</t>
        </is>
      </c>
      <c r="B458" s="1" t="n">
        <v>45858.66019675926</v>
      </c>
      <c r="C458" s="1" t="n">
        <v>45941</v>
      </c>
      <c r="D458" t="inlineStr">
        <is>
          <t>KALMAR LÄN</t>
        </is>
      </c>
      <c r="E458" t="inlineStr">
        <is>
          <t>VIMMERBY</t>
        </is>
      </c>
      <c r="G458" t="n">
        <v>6.4</v>
      </c>
      <c r="H458" t="n">
        <v>0</v>
      </c>
      <c r="I458" t="n">
        <v>0</v>
      </c>
      <c r="J458" t="n">
        <v>0</v>
      </c>
      <c r="K458" t="n">
        <v>0</v>
      </c>
      <c r="L458" t="n">
        <v>0</v>
      </c>
      <c r="M458" t="n">
        <v>0</v>
      </c>
      <c r="N458" t="n">
        <v>0</v>
      </c>
      <c r="O458" t="n">
        <v>0</v>
      </c>
      <c r="P458" t="n">
        <v>0</v>
      </c>
      <c r="Q458" t="n">
        <v>0</v>
      </c>
      <c r="R458" s="2" t="inlineStr"/>
    </row>
    <row r="459" ht="15" customHeight="1">
      <c r="A459" t="inlineStr">
        <is>
          <t>A 35596-2025</t>
        </is>
      </c>
      <c r="B459" s="1" t="n">
        <v>45858.60641203704</v>
      </c>
      <c r="C459" s="1" t="n">
        <v>45941</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41735-2025</t>
        </is>
      </c>
      <c r="B460" s="1" t="n">
        <v>45902.47164351852</v>
      </c>
      <c r="C460" s="1" t="n">
        <v>45941</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13532-2025</t>
        </is>
      </c>
      <c r="B461" s="1" t="n">
        <v>45736.50743055555</v>
      </c>
      <c r="C461" s="1" t="n">
        <v>45941</v>
      </c>
      <c r="D461" t="inlineStr">
        <is>
          <t>KALMAR LÄN</t>
        </is>
      </c>
      <c r="E461" t="inlineStr">
        <is>
          <t>VIMMERBY</t>
        </is>
      </c>
      <c r="G461" t="n">
        <v>3.6</v>
      </c>
      <c r="H461" t="n">
        <v>0</v>
      </c>
      <c r="I461" t="n">
        <v>0</v>
      </c>
      <c r="J461" t="n">
        <v>0</v>
      </c>
      <c r="K461" t="n">
        <v>0</v>
      </c>
      <c r="L461" t="n">
        <v>0</v>
      </c>
      <c r="M461" t="n">
        <v>0</v>
      </c>
      <c r="N461" t="n">
        <v>0</v>
      </c>
      <c r="O461" t="n">
        <v>0</v>
      </c>
      <c r="P461" t="n">
        <v>0</v>
      </c>
      <c r="Q461" t="n">
        <v>0</v>
      </c>
      <c r="R461" s="2" t="inlineStr"/>
    </row>
    <row r="462" ht="15" customHeight="1">
      <c r="A462" t="inlineStr">
        <is>
          <t>A 65049-2020</t>
        </is>
      </c>
      <c r="B462" s="1" t="n">
        <v>44172</v>
      </c>
      <c r="C462" s="1" t="n">
        <v>45941</v>
      </c>
      <c r="D462" t="inlineStr">
        <is>
          <t>KALMAR LÄN</t>
        </is>
      </c>
      <c r="E462" t="inlineStr">
        <is>
          <t>VIMMERBY</t>
        </is>
      </c>
      <c r="G462" t="n">
        <v>2.3</v>
      </c>
      <c r="H462" t="n">
        <v>0</v>
      </c>
      <c r="I462" t="n">
        <v>0</v>
      </c>
      <c r="J462" t="n">
        <v>0</v>
      </c>
      <c r="K462" t="n">
        <v>0</v>
      </c>
      <c r="L462" t="n">
        <v>0</v>
      </c>
      <c r="M462" t="n">
        <v>0</v>
      </c>
      <c r="N462" t="n">
        <v>0</v>
      </c>
      <c r="O462" t="n">
        <v>0</v>
      </c>
      <c r="P462" t="n">
        <v>0</v>
      </c>
      <c r="Q462" t="n">
        <v>0</v>
      </c>
      <c r="R462" s="2" t="inlineStr"/>
    </row>
    <row r="463" ht="15" customHeight="1">
      <c r="A463" t="inlineStr">
        <is>
          <t>A 7068-2024</t>
        </is>
      </c>
      <c r="B463" s="1" t="n">
        <v>45343.68038194445</v>
      </c>
      <c r="C463" s="1" t="n">
        <v>45941</v>
      </c>
      <c r="D463" t="inlineStr">
        <is>
          <t>KALMAR LÄN</t>
        </is>
      </c>
      <c r="E463" t="inlineStr">
        <is>
          <t>VIMMERBY</t>
        </is>
      </c>
      <c r="G463" t="n">
        <v>2.5</v>
      </c>
      <c r="H463" t="n">
        <v>0</v>
      </c>
      <c r="I463" t="n">
        <v>0</v>
      </c>
      <c r="J463" t="n">
        <v>0</v>
      </c>
      <c r="K463" t="n">
        <v>0</v>
      </c>
      <c r="L463" t="n">
        <v>0</v>
      </c>
      <c r="M463" t="n">
        <v>0</v>
      </c>
      <c r="N463" t="n">
        <v>0</v>
      </c>
      <c r="O463" t="n">
        <v>0</v>
      </c>
      <c r="P463" t="n">
        <v>0</v>
      </c>
      <c r="Q463" t="n">
        <v>0</v>
      </c>
      <c r="R463" s="2" t="inlineStr"/>
    </row>
    <row r="464" ht="15" customHeight="1">
      <c r="A464" t="inlineStr">
        <is>
          <t>A 12596-2021</t>
        </is>
      </c>
      <c r="B464" s="1" t="n">
        <v>44270.39765046296</v>
      </c>
      <c r="C464" s="1" t="n">
        <v>45941</v>
      </c>
      <c r="D464" t="inlineStr">
        <is>
          <t>KALMAR LÄN</t>
        </is>
      </c>
      <c r="E464" t="inlineStr">
        <is>
          <t>VIMMERBY</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32655-2023</t>
        </is>
      </c>
      <c r="B465" s="1" t="n">
        <v>45121.61318287037</v>
      </c>
      <c r="C465" s="1" t="n">
        <v>45941</v>
      </c>
      <c r="D465" t="inlineStr">
        <is>
          <t>KALMAR LÄN</t>
        </is>
      </c>
      <c r="E465" t="inlineStr">
        <is>
          <t>VIMMERBY</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41896-2025</t>
        </is>
      </c>
      <c r="B466" s="1" t="n">
        <v>45903.38800925926</v>
      </c>
      <c r="C466" s="1" t="n">
        <v>45941</v>
      </c>
      <c r="D466" t="inlineStr">
        <is>
          <t>KALMAR LÄN</t>
        </is>
      </c>
      <c r="E466" t="inlineStr">
        <is>
          <t>VIMMERBY</t>
        </is>
      </c>
      <c r="G466" t="n">
        <v>2.9</v>
      </c>
      <c r="H466" t="n">
        <v>0</v>
      </c>
      <c r="I466" t="n">
        <v>0</v>
      </c>
      <c r="J466" t="n">
        <v>0</v>
      </c>
      <c r="K466" t="n">
        <v>0</v>
      </c>
      <c r="L466" t="n">
        <v>0</v>
      </c>
      <c r="M466" t="n">
        <v>0</v>
      </c>
      <c r="N466" t="n">
        <v>0</v>
      </c>
      <c r="O466" t="n">
        <v>0</v>
      </c>
      <c r="P466" t="n">
        <v>0</v>
      </c>
      <c r="Q466" t="n">
        <v>0</v>
      </c>
      <c r="R466" s="2" t="inlineStr"/>
    </row>
    <row r="467" ht="15" customHeight="1">
      <c r="A467" t="inlineStr">
        <is>
          <t>A 54409-2024</t>
        </is>
      </c>
      <c r="B467" s="1" t="n">
        <v>45617.47570601852</v>
      </c>
      <c r="C467" s="1" t="n">
        <v>45941</v>
      </c>
      <c r="D467" t="inlineStr">
        <is>
          <t>KALMAR LÄN</t>
        </is>
      </c>
      <c r="E467" t="inlineStr">
        <is>
          <t>VIMMERBY</t>
        </is>
      </c>
      <c r="G467" t="n">
        <v>4.3</v>
      </c>
      <c r="H467" t="n">
        <v>0</v>
      </c>
      <c r="I467" t="n">
        <v>0</v>
      </c>
      <c r="J467" t="n">
        <v>0</v>
      </c>
      <c r="K467" t="n">
        <v>0</v>
      </c>
      <c r="L467" t="n">
        <v>0</v>
      </c>
      <c r="M467" t="n">
        <v>0</v>
      </c>
      <c r="N467" t="n">
        <v>0</v>
      </c>
      <c r="O467" t="n">
        <v>0</v>
      </c>
      <c r="P467" t="n">
        <v>0</v>
      </c>
      <c r="Q467" t="n">
        <v>0</v>
      </c>
      <c r="R467" s="2" t="inlineStr"/>
    </row>
    <row r="468" ht="15" customHeight="1">
      <c r="A468" t="inlineStr">
        <is>
          <t>A 1978-2024</t>
        </is>
      </c>
      <c r="B468" s="1" t="n">
        <v>45308.59001157407</v>
      </c>
      <c r="C468" s="1" t="n">
        <v>45941</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6399-2025</t>
        </is>
      </c>
      <c r="B469" s="1" t="n">
        <v>45699.44291666667</v>
      </c>
      <c r="C469" s="1" t="n">
        <v>45941</v>
      </c>
      <c r="D469" t="inlineStr">
        <is>
          <t>KALMAR LÄN</t>
        </is>
      </c>
      <c r="E469" t="inlineStr">
        <is>
          <t>VIMMERBY</t>
        </is>
      </c>
      <c r="G469" t="n">
        <v>3.1</v>
      </c>
      <c r="H469" t="n">
        <v>0</v>
      </c>
      <c r="I469" t="n">
        <v>0</v>
      </c>
      <c r="J469" t="n">
        <v>0</v>
      </c>
      <c r="K469" t="n">
        <v>0</v>
      </c>
      <c r="L469" t="n">
        <v>0</v>
      </c>
      <c r="M469" t="n">
        <v>0</v>
      </c>
      <c r="N469" t="n">
        <v>0</v>
      </c>
      <c r="O469" t="n">
        <v>0</v>
      </c>
      <c r="P469" t="n">
        <v>0</v>
      </c>
      <c r="Q469" t="n">
        <v>0</v>
      </c>
      <c r="R469" s="2" t="inlineStr"/>
    </row>
    <row r="470" ht="15" customHeight="1">
      <c r="A470" t="inlineStr">
        <is>
          <t>A 41311-2023</t>
        </is>
      </c>
      <c r="B470" s="1" t="n">
        <v>45174</v>
      </c>
      <c r="C470" s="1" t="n">
        <v>45941</v>
      </c>
      <c r="D470" t="inlineStr">
        <is>
          <t>KALMAR LÄN</t>
        </is>
      </c>
      <c r="E470" t="inlineStr">
        <is>
          <t>VIMMERBY</t>
        </is>
      </c>
      <c r="G470" t="n">
        <v>0.7</v>
      </c>
      <c r="H470" t="n">
        <v>0</v>
      </c>
      <c r="I470" t="n">
        <v>0</v>
      </c>
      <c r="J470" t="n">
        <v>0</v>
      </c>
      <c r="K470" t="n">
        <v>0</v>
      </c>
      <c r="L470" t="n">
        <v>0</v>
      </c>
      <c r="M470" t="n">
        <v>0</v>
      </c>
      <c r="N470" t="n">
        <v>0</v>
      </c>
      <c r="O470" t="n">
        <v>0</v>
      </c>
      <c r="P470" t="n">
        <v>0</v>
      </c>
      <c r="Q470" t="n">
        <v>0</v>
      </c>
      <c r="R470" s="2" t="inlineStr"/>
    </row>
    <row r="471" ht="15" customHeight="1">
      <c r="A471" t="inlineStr">
        <is>
          <t>A 42828-2025</t>
        </is>
      </c>
      <c r="B471" s="1" t="n">
        <v>45908.57716435185</v>
      </c>
      <c r="C471" s="1" t="n">
        <v>45941</v>
      </c>
      <c r="D471" t="inlineStr">
        <is>
          <t>KALMAR LÄN</t>
        </is>
      </c>
      <c r="E471" t="inlineStr">
        <is>
          <t>VIMMERBY</t>
        </is>
      </c>
      <c r="G471" t="n">
        <v>5.2</v>
      </c>
      <c r="H471" t="n">
        <v>0</v>
      </c>
      <c r="I471" t="n">
        <v>0</v>
      </c>
      <c r="J471" t="n">
        <v>0</v>
      </c>
      <c r="K471" t="n">
        <v>0</v>
      </c>
      <c r="L471" t="n">
        <v>0</v>
      </c>
      <c r="M471" t="n">
        <v>0</v>
      </c>
      <c r="N471" t="n">
        <v>0</v>
      </c>
      <c r="O471" t="n">
        <v>0</v>
      </c>
      <c r="P471" t="n">
        <v>0</v>
      </c>
      <c r="Q471" t="n">
        <v>0</v>
      </c>
      <c r="R471" s="2" t="inlineStr"/>
    </row>
    <row r="472" ht="15" customHeight="1">
      <c r="A472" t="inlineStr">
        <is>
          <t>A 10785-2025</t>
        </is>
      </c>
      <c r="B472" s="1" t="n">
        <v>45722.48634259259</v>
      </c>
      <c r="C472" s="1" t="n">
        <v>45941</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19502-2025</t>
        </is>
      </c>
      <c r="B473" s="1" t="n">
        <v>45769</v>
      </c>
      <c r="C473" s="1" t="n">
        <v>45941</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18020-2025</t>
        </is>
      </c>
      <c r="B474" s="1" t="n">
        <v>45761.4437962963</v>
      </c>
      <c r="C474" s="1" t="n">
        <v>45941</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585-2024</t>
        </is>
      </c>
      <c r="B475" s="1" t="n">
        <v>45299.62576388889</v>
      </c>
      <c r="C475" s="1" t="n">
        <v>45941</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6802-2025</t>
        </is>
      </c>
      <c r="B476" s="1" t="n">
        <v>45700.68289351852</v>
      </c>
      <c r="C476" s="1" t="n">
        <v>45941</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36273-2025</t>
        </is>
      </c>
      <c r="B477" s="1" t="n">
        <v>45867.63094907408</v>
      </c>
      <c r="C477" s="1" t="n">
        <v>45941</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36299-2025</t>
        </is>
      </c>
      <c r="B478" s="1" t="n">
        <v>45867.69346064814</v>
      </c>
      <c r="C478" s="1" t="n">
        <v>45941</v>
      </c>
      <c r="D478" t="inlineStr">
        <is>
          <t>KALMAR LÄN</t>
        </is>
      </c>
      <c r="E478" t="inlineStr">
        <is>
          <t>VIMMERBY</t>
        </is>
      </c>
      <c r="G478" t="n">
        <v>7.6</v>
      </c>
      <c r="H478" t="n">
        <v>0</v>
      </c>
      <c r="I478" t="n">
        <v>0</v>
      </c>
      <c r="J478" t="n">
        <v>0</v>
      </c>
      <c r="K478" t="n">
        <v>0</v>
      </c>
      <c r="L478" t="n">
        <v>0</v>
      </c>
      <c r="M478" t="n">
        <v>0</v>
      </c>
      <c r="N478" t="n">
        <v>0</v>
      </c>
      <c r="O478" t="n">
        <v>0</v>
      </c>
      <c r="P478" t="n">
        <v>0</v>
      </c>
      <c r="Q478" t="n">
        <v>0</v>
      </c>
      <c r="R478" s="2" t="inlineStr"/>
    </row>
    <row r="479" ht="15" customHeight="1">
      <c r="A479" t="inlineStr">
        <is>
          <t>A 36221-2025</t>
        </is>
      </c>
      <c r="B479" s="1" t="n">
        <v>45867.50792824074</v>
      </c>
      <c r="C479" s="1" t="n">
        <v>45941</v>
      </c>
      <c r="D479" t="inlineStr">
        <is>
          <t>KALMAR LÄN</t>
        </is>
      </c>
      <c r="E479" t="inlineStr">
        <is>
          <t>VIMMERBY</t>
        </is>
      </c>
      <c r="G479" t="n">
        <v>2.5</v>
      </c>
      <c r="H479" t="n">
        <v>0</v>
      </c>
      <c r="I479" t="n">
        <v>0</v>
      </c>
      <c r="J479" t="n">
        <v>0</v>
      </c>
      <c r="K479" t="n">
        <v>0</v>
      </c>
      <c r="L479" t="n">
        <v>0</v>
      </c>
      <c r="M479" t="n">
        <v>0</v>
      </c>
      <c r="N479" t="n">
        <v>0</v>
      </c>
      <c r="O479" t="n">
        <v>0</v>
      </c>
      <c r="P479" t="n">
        <v>0</v>
      </c>
      <c r="Q479" t="n">
        <v>0</v>
      </c>
      <c r="R479" s="2" t="inlineStr"/>
    </row>
    <row r="480" ht="15" customHeight="1">
      <c r="A480" t="inlineStr">
        <is>
          <t>A 36226-2025</t>
        </is>
      </c>
      <c r="B480" s="1" t="n">
        <v>45867.51630787037</v>
      </c>
      <c r="C480" s="1" t="n">
        <v>45941</v>
      </c>
      <c r="D480" t="inlineStr">
        <is>
          <t>KALMAR LÄN</t>
        </is>
      </c>
      <c r="E480" t="inlineStr">
        <is>
          <t>VIMMERBY</t>
        </is>
      </c>
      <c r="G480" t="n">
        <v>3.1</v>
      </c>
      <c r="H480" t="n">
        <v>0</v>
      </c>
      <c r="I480" t="n">
        <v>0</v>
      </c>
      <c r="J480" t="n">
        <v>0</v>
      </c>
      <c r="K480" t="n">
        <v>0</v>
      </c>
      <c r="L480" t="n">
        <v>0</v>
      </c>
      <c r="M480" t="n">
        <v>0</v>
      </c>
      <c r="N480" t="n">
        <v>0</v>
      </c>
      <c r="O480" t="n">
        <v>0</v>
      </c>
      <c r="P480" t="n">
        <v>0</v>
      </c>
      <c r="Q480" t="n">
        <v>0</v>
      </c>
      <c r="R480" s="2" t="inlineStr"/>
    </row>
    <row r="481" ht="15" customHeight="1">
      <c r="A481" t="inlineStr">
        <is>
          <t>A 36297-2025</t>
        </is>
      </c>
      <c r="B481" s="1" t="n">
        <v>45867.68625</v>
      </c>
      <c r="C481" s="1" t="n">
        <v>45941</v>
      </c>
      <c r="D481" t="inlineStr">
        <is>
          <t>KALMAR LÄN</t>
        </is>
      </c>
      <c r="E481" t="inlineStr">
        <is>
          <t>VIMMERBY</t>
        </is>
      </c>
      <c r="G481" t="n">
        <v>4.9</v>
      </c>
      <c r="H481" t="n">
        <v>0</v>
      </c>
      <c r="I481" t="n">
        <v>0</v>
      </c>
      <c r="J481" t="n">
        <v>0</v>
      </c>
      <c r="K481" t="n">
        <v>0</v>
      </c>
      <c r="L481" t="n">
        <v>0</v>
      </c>
      <c r="M481" t="n">
        <v>0</v>
      </c>
      <c r="N481" t="n">
        <v>0</v>
      </c>
      <c r="O481" t="n">
        <v>0</v>
      </c>
      <c r="P481" t="n">
        <v>0</v>
      </c>
      <c r="Q481" t="n">
        <v>0</v>
      </c>
      <c r="R481" s="2" t="inlineStr"/>
    </row>
    <row r="482" ht="15" customHeight="1">
      <c r="A482" t="inlineStr">
        <is>
          <t>A 36246-2025</t>
        </is>
      </c>
      <c r="B482" s="1" t="n">
        <v>45867.56320601852</v>
      </c>
      <c r="C482" s="1" t="n">
        <v>45941</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45854-2025</t>
        </is>
      </c>
      <c r="B483" s="1" t="n">
        <v>45923</v>
      </c>
      <c r="C483" s="1" t="n">
        <v>45941</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56020-2024</t>
        </is>
      </c>
      <c r="B484" s="1" t="n">
        <v>45623.9525462963</v>
      </c>
      <c r="C484" s="1" t="n">
        <v>45941</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33842-2022</t>
        </is>
      </c>
      <c r="B485" s="1" t="n">
        <v>44790.49523148148</v>
      </c>
      <c r="C485" s="1" t="n">
        <v>45941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60675-2023</t>
        </is>
      </c>
      <c r="B486" s="1" t="n">
        <v>45260.4716550926</v>
      </c>
      <c r="C486" s="1" t="n">
        <v>45941</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36282-2025</t>
        </is>
      </c>
      <c r="B487" s="1" t="n">
        <v>45867.64663194444</v>
      </c>
      <c r="C487" s="1" t="n">
        <v>45941</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42794-2025</t>
        </is>
      </c>
      <c r="B488" s="1" t="n">
        <v>45908</v>
      </c>
      <c r="C488" s="1" t="n">
        <v>45941</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36538-2025</t>
        </is>
      </c>
      <c r="B489" s="1" t="n">
        <v>45869.62276620371</v>
      </c>
      <c r="C489" s="1" t="n">
        <v>45941</v>
      </c>
      <c r="D489" t="inlineStr">
        <is>
          <t>KALMAR LÄN</t>
        </is>
      </c>
      <c r="E489" t="inlineStr">
        <is>
          <t>VIMMERBY</t>
        </is>
      </c>
      <c r="G489" t="n">
        <v>2.6</v>
      </c>
      <c r="H489" t="n">
        <v>0</v>
      </c>
      <c r="I489" t="n">
        <v>0</v>
      </c>
      <c r="J489" t="n">
        <v>0</v>
      </c>
      <c r="K489" t="n">
        <v>0</v>
      </c>
      <c r="L489" t="n">
        <v>0</v>
      </c>
      <c r="M489" t="n">
        <v>0</v>
      </c>
      <c r="N489" t="n">
        <v>0</v>
      </c>
      <c r="O489" t="n">
        <v>0</v>
      </c>
      <c r="P489" t="n">
        <v>0</v>
      </c>
      <c r="Q489" t="n">
        <v>0</v>
      </c>
      <c r="R489" s="2" t="inlineStr"/>
    </row>
    <row r="490" ht="15" customHeight="1">
      <c r="A490" t="inlineStr">
        <is>
          <t>A 40095-2022</t>
        </is>
      </c>
      <c r="B490" s="1" t="n">
        <v>44820</v>
      </c>
      <c r="C490" s="1" t="n">
        <v>45941</v>
      </c>
      <c r="D490" t="inlineStr">
        <is>
          <t>KALMAR LÄN</t>
        </is>
      </c>
      <c r="E490" t="inlineStr">
        <is>
          <t>VIMMERBY</t>
        </is>
      </c>
      <c r="G490" t="n">
        <v>2.4</v>
      </c>
      <c r="H490" t="n">
        <v>0</v>
      </c>
      <c r="I490" t="n">
        <v>0</v>
      </c>
      <c r="J490" t="n">
        <v>0</v>
      </c>
      <c r="K490" t="n">
        <v>0</v>
      </c>
      <c r="L490" t="n">
        <v>0</v>
      </c>
      <c r="M490" t="n">
        <v>0</v>
      </c>
      <c r="N490" t="n">
        <v>0</v>
      </c>
      <c r="O490" t="n">
        <v>0</v>
      </c>
      <c r="P490" t="n">
        <v>0</v>
      </c>
      <c r="Q490" t="n">
        <v>0</v>
      </c>
      <c r="R490" s="2" t="inlineStr"/>
    </row>
    <row r="491" ht="15" customHeight="1">
      <c r="A491" t="inlineStr">
        <is>
          <t>A 43465-2025</t>
        </is>
      </c>
      <c r="B491" s="1" t="n">
        <v>45911.47138888889</v>
      </c>
      <c r="C491" s="1" t="n">
        <v>45941</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9475-2023</t>
        </is>
      </c>
      <c r="B492" s="1" t="n">
        <v>44981.58834490741</v>
      </c>
      <c r="C492" s="1" t="n">
        <v>45941</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19537-2022</t>
        </is>
      </c>
      <c r="B493" s="1" t="n">
        <v>44693.62822916666</v>
      </c>
      <c r="C493" s="1" t="n">
        <v>45941</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36598-2025</t>
        </is>
      </c>
      <c r="B494" s="1" t="n">
        <v>45870.51708333333</v>
      </c>
      <c r="C494" s="1" t="n">
        <v>45941</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36602-2025</t>
        </is>
      </c>
      <c r="B495" s="1" t="n">
        <v>45870.52111111111</v>
      </c>
      <c r="C495" s="1" t="n">
        <v>45941</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43617-2025</t>
        </is>
      </c>
      <c r="B496" s="1" t="n">
        <v>45911.67798611111</v>
      </c>
      <c r="C496" s="1" t="n">
        <v>45941</v>
      </c>
      <c r="D496" t="inlineStr">
        <is>
          <t>KALMAR LÄN</t>
        </is>
      </c>
      <c r="E496" t="inlineStr">
        <is>
          <t>VIMMERBY</t>
        </is>
      </c>
      <c r="G496" t="n">
        <v>0.6</v>
      </c>
      <c r="H496" t="n">
        <v>0</v>
      </c>
      <c r="I496" t="n">
        <v>0</v>
      </c>
      <c r="J496" t="n">
        <v>0</v>
      </c>
      <c r="K496" t="n">
        <v>0</v>
      </c>
      <c r="L496" t="n">
        <v>0</v>
      </c>
      <c r="M496" t="n">
        <v>0</v>
      </c>
      <c r="N496" t="n">
        <v>0</v>
      </c>
      <c r="O496" t="n">
        <v>0</v>
      </c>
      <c r="P496" t="n">
        <v>0</v>
      </c>
      <c r="Q496" t="n">
        <v>0</v>
      </c>
      <c r="R496" s="2" t="inlineStr"/>
    </row>
    <row r="497" ht="15" customHeight="1">
      <c r="A497" t="inlineStr">
        <is>
          <t>A 57311-2023</t>
        </is>
      </c>
      <c r="B497" s="1" t="n">
        <v>45245.63574074074</v>
      </c>
      <c r="C497" s="1" t="n">
        <v>45941</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64428-2023</t>
        </is>
      </c>
      <c r="B498" s="1" t="n">
        <v>45280.66769675926</v>
      </c>
      <c r="C498" s="1" t="n">
        <v>45941</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4527-2023</t>
        </is>
      </c>
      <c r="B499" s="1" t="n">
        <v>44956</v>
      </c>
      <c r="C499" s="1" t="n">
        <v>45941</v>
      </c>
      <c r="D499" t="inlineStr">
        <is>
          <t>KALMAR LÄN</t>
        </is>
      </c>
      <c r="E499" t="inlineStr">
        <is>
          <t>VIMMERBY</t>
        </is>
      </c>
      <c r="F499" t="inlineStr">
        <is>
          <t>Kommuner</t>
        </is>
      </c>
      <c r="G499" t="n">
        <v>8.5</v>
      </c>
      <c r="H499" t="n">
        <v>0</v>
      </c>
      <c r="I499" t="n">
        <v>0</v>
      </c>
      <c r="J499" t="n">
        <v>0</v>
      </c>
      <c r="K499" t="n">
        <v>0</v>
      </c>
      <c r="L499" t="n">
        <v>0</v>
      </c>
      <c r="M499" t="n">
        <v>0</v>
      </c>
      <c r="N499" t="n">
        <v>0</v>
      </c>
      <c r="O499" t="n">
        <v>0</v>
      </c>
      <c r="P499" t="n">
        <v>0</v>
      </c>
      <c r="Q499" t="n">
        <v>0</v>
      </c>
      <c r="R499" s="2" t="inlineStr"/>
    </row>
    <row r="500" ht="15" customHeight="1">
      <c r="A500" t="inlineStr">
        <is>
          <t>A 34090-2025</t>
        </is>
      </c>
      <c r="B500" s="1" t="n">
        <v>45845</v>
      </c>
      <c r="C500" s="1" t="n">
        <v>45941</v>
      </c>
      <c r="D500" t="inlineStr">
        <is>
          <t>KALMAR LÄN</t>
        </is>
      </c>
      <c r="E500" t="inlineStr">
        <is>
          <t>VIMMERBY</t>
        </is>
      </c>
      <c r="G500" t="n">
        <v>2.8</v>
      </c>
      <c r="H500" t="n">
        <v>0</v>
      </c>
      <c r="I500" t="n">
        <v>0</v>
      </c>
      <c r="J500" t="n">
        <v>0</v>
      </c>
      <c r="K500" t="n">
        <v>0</v>
      </c>
      <c r="L500" t="n">
        <v>0</v>
      </c>
      <c r="M500" t="n">
        <v>0</v>
      </c>
      <c r="N500" t="n">
        <v>0</v>
      </c>
      <c r="O500" t="n">
        <v>0</v>
      </c>
      <c r="P500" t="n">
        <v>0</v>
      </c>
      <c r="Q500" t="n">
        <v>0</v>
      </c>
      <c r="R500" s="2" t="inlineStr"/>
    </row>
    <row r="501" ht="15" customHeight="1">
      <c r="A501" t="inlineStr">
        <is>
          <t>A 36600-2025</t>
        </is>
      </c>
      <c r="B501" s="1" t="n">
        <v>45870.51958333333</v>
      </c>
      <c r="C501" s="1" t="n">
        <v>45941</v>
      </c>
      <c r="D501" t="inlineStr">
        <is>
          <t>KALMAR LÄN</t>
        </is>
      </c>
      <c r="E501" t="inlineStr">
        <is>
          <t>VIMMERBY</t>
        </is>
      </c>
      <c r="G501" t="n">
        <v>2</v>
      </c>
      <c r="H501" t="n">
        <v>0</v>
      </c>
      <c r="I501" t="n">
        <v>0</v>
      </c>
      <c r="J501" t="n">
        <v>0</v>
      </c>
      <c r="K501" t="n">
        <v>0</v>
      </c>
      <c r="L501" t="n">
        <v>0</v>
      </c>
      <c r="M501" t="n">
        <v>0</v>
      </c>
      <c r="N501" t="n">
        <v>0</v>
      </c>
      <c r="O501" t="n">
        <v>0</v>
      </c>
      <c r="P501" t="n">
        <v>0</v>
      </c>
      <c r="Q501" t="n">
        <v>0</v>
      </c>
      <c r="R501" s="2" t="inlineStr"/>
    </row>
    <row r="502" ht="15" customHeight="1">
      <c r="A502" t="inlineStr">
        <is>
          <t>A 36601-2025</t>
        </is>
      </c>
      <c r="B502" s="1" t="n">
        <v>45870.52005787037</v>
      </c>
      <c r="C502" s="1" t="n">
        <v>45941</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36603-2025</t>
        </is>
      </c>
      <c r="B503" s="1" t="n">
        <v>45870.52142361111</v>
      </c>
      <c r="C503" s="1" t="n">
        <v>45941</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3268-2024</t>
        </is>
      </c>
      <c r="B504" s="1" t="n">
        <v>45317</v>
      </c>
      <c r="C504" s="1" t="n">
        <v>45941</v>
      </c>
      <c r="D504" t="inlineStr">
        <is>
          <t>KALMAR LÄN</t>
        </is>
      </c>
      <c r="E504" t="inlineStr">
        <is>
          <t>VIMMERBY</t>
        </is>
      </c>
      <c r="F504" t="inlineStr">
        <is>
          <t>Övriga Aktiebolag</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51408-2023</t>
        </is>
      </c>
      <c r="B505" s="1" t="n">
        <v>45219.69356481481</v>
      </c>
      <c r="C505" s="1" t="n">
        <v>45941</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43092-2024</t>
        </is>
      </c>
      <c r="B506" s="1" t="n">
        <v>45567</v>
      </c>
      <c r="C506" s="1" t="n">
        <v>45941</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47227-2025</t>
        </is>
      </c>
      <c r="B507" s="1" t="n">
        <v>45930.39769675926</v>
      </c>
      <c r="C507" s="1" t="n">
        <v>45941</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12480-2024</t>
        </is>
      </c>
      <c r="B508" s="1" t="n">
        <v>45379</v>
      </c>
      <c r="C508" s="1" t="n">
        <v>45941</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52588-2023</t>
        </is>
      </c>
      <c r="B509" s="1" t="n">
        <v>45225.60192129629</v>
      </c>
      <c r="C509" s="1" t="n">
        <v>45941</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11619-2023</t>
        </is>
      </c>
      <c r="B510" s="1" t="n">
        <v>44994.42113425926</v>
      </c>
      <c r="C510" s="1" t="n">
        <v>45941</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5074-2023</t>
        </is>
      </c>
      <c r="B511" s="1" t="n">
        <v>44958.61047453704</v>
      </c>
      <c r="C511" s="1" t="n">
        <v>45941</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6368-2023</t>
        </is>
      </c>
      <c r="B512" s="1" t="n">
        <v>44965</v>
      </c>
      <c r="C512" s="1" t="n">
        <v>45941</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55236-2023</t>
        </is>
      </c>
      <c r="B513" s="1" t="n">
        <v>45237.63225694445</v>
      </c>
      <c r="C513" s="1" t="n">
        <v>45941</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55245-2023</t>
        </is>
      </c>
      <c r="B514" s="1" t="n">
        <v>45237.64408564815</v>
      </c>
      <c r="C514" s="1" t="n">
        <v>45941</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5701-2024</t>
        </is>
      </c>
      <c r="B515" s="1" t="n">
        <v>45334.78826388889</v>
      </c>
      <c r="C515" s="1" t="n">
        <v>45941</v>
      </c>
      <c r="D515" t="inlineStr">
        <is>
          <t>KALMAR LÄN</t>
        </is>
      </c>
      <c r="E515" t="inlineStr">
        <is>
          <t>VIMMERBY</t>
        </is>
      </c>
      <c r="G515" t="n">
        <v>2.3</v>
      </c>
      <c r="H515" t="n">
        <v>0</v>
      </c>
      <c r="I515" t="n">
        <v>0</v>
      </c>
      <c r="J515" t="n">
        <v>0</v>
      </c>
      <c r="K515" t="n">
        <v>0</v>
      </c>
      <c r="L515" t="n">
        <v>0</v>
      </c>
      <c r="M515" t="n">
        <v>0</v>
      </c>
      <c r="N515" t="n">
        <v>0</v>
      </c>
      <c r="O515" t="n">
        <v>0</v>
      </c>
      <c r="P515" t="n">
        <v>0</v>
      </c>
      <c r="Q515" t="n">
        <v>0</v>
      </c>
      <c r="R515" s="2" t="inlineStr"/>
    </row>
    <row r="516" ht="15" customHeight="1">
      <c r="A516" t="inlineStr">
        <is>
          <t>A 42820-2025</t>
        </is>
      </c>
      <c r="B516" s="1" t="n">
        <v>45908</v>
      </c>
      <c r="C516" s="1" t="n">
        <v>45941</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19111-2025</t>
        </is>
      </c>
      <c r="B517" s="1" t="n">
        <v>45768.65611111111</v>
      </c>
      <c r="C517" s="1" t="n">
        <v>45941</v>
      </c>
      <c r="D517" t="inlineStr">
        <is>
          <t>KALMAR LÄN</t>
        </is>
      </c>
      <c r="E517" t="inlineStr">
        <is>
          <t>VIMMERBY</t>
        </is>
      </c>
      <c r="G517" t="n">
        <v>6.2</v>
      </c>
      <c r="H517" t="n">
        <v>0</v>
      </c>
      <c r="I517" t="n">
        <v>0</v>
      </c>
      <c r="J517" t="n">
        <v>0</v>
      </c>
      <c r="K517" t="n">
        <v>0</v>
      </c>
      <c r="L517" t="n">
        <v>0</v>
      </c>
      <c r="M517" t="n">
        <v>0</v>
      </c>
      <c r="N517" t="n">
        <v>0</v>
      </c>
      <c r="O517" t="n">
        <v>0</v>
      </c>
      <c r="P517" t="n">
        <v>0</v>
      </c>
      <c r="Q517" t="n">
        <v>0</v>
      </c>
      <c r="R517" s="2" t="inlineStr"/>
    </row>
    <row r="518" ht="15" customHeight="1">
      <c r="A518" t="inlineStr">
        <is>
          <t>A 29726-2025</t>
        </is>
      </c>
      <c r="B518" s="1" t="n">
        <v>45825.57805555555</v>
      </c>
      <c r="C518" s="1" t="n">
        <v>45941</v>
      </c>
      <c r="D518" t="inlineStr">
        <is>
          <t>KALMAR LÄN</t>
        </is>
      </c>
      <c r="E518" t="inlineStr">
        <is>
          <t>VIMMERBY</t>
        </is>
      </c>
      <c r="G518" t="n">
        <v>2</v>
      </c>
      <c r="H518" t="n">
        <v>0</v>
      </c>
      <c r="I518" t="n">
        <v>0</v>
      </c>
      <c r="J518" t="n">
        <v>0</v>
      </c>
      <c r="K518" t="n">
        <v>0</v>
      </c>
      <c r="L518" t="n">
        <v>0</v>
      </c>
      <c r="M518" t="n">
        <v>0</v>
      </c>
      <c r="N518" t="n">
        <v>0</v>
      </c>
      <c r="O518" t="n">
        <v>0</v>
      </c>
      <c r="P518" t="n">
        <v>0</v>
      </c>
      <c r="Q518" t="n">
        <v>0</v>
      </c>
      <c r="R518" s="2" t="inlineStr"/>
    </row>
    <row r="519" ht="15" customHeight="1">
      <c r="A519" t="inlineStr">
        <is>
          <t>A 25370-2022</t>
        </is>
      </c>
      <c r="B519" s="1" t="n">
        <v>44732.3659837963</v>
      </c>
      <c r="C519" s="1" t="n">
        <v>45941</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7797-2023</t>
        </is>
      </c>
      <c r="B520" s="1" t="n">
        <v>44973.43075231482</v>
      </c>
      <c r="C520" s="1" t="n">
        <v>45941</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24655-2021</t>
        </is>
      </c>
      <c r="B521" s="1" t="n">
        <v>44340</v>
      </c>
      <c r="C521" s="1" t="n">
        <v>45941</v>
      </c>
      <c r="D521" t="inlineStr">
        <is>
          <t>KALMAR LÄN</t>
        </is>
      </c>
      <c r="E521" t="inlineStr">
        <is>
          <t>VIMMERBY</t>
        </is>
      </c>
      <c r="G521" t="n">
        <v>14.9</v>
      </c>
      <c r="H521" t="n">
        <v>0</v>
      </c>
      <c r="I521" t="n">
        <v>0</v>
      </c>
      <c r="J521" t="n">
        <v>0</v>
      </c>
      <c r="K521" t="n">
        <v>0</v>
      </c>
      <c r="L521" t="n">
        <v>0</v>
      </c>
      <c r="M521" t="n">
        <v>0</v>
      </c>
      <c r="N521" t="n">
        <v>0</v>
      </c>
      <c r="O521" t="n">
        <v>0</v>
      </c>
      <c r="P521" t="n">
        <v>0</v>
      </c>
      <c r="Q521" t="n">
        <v>0</v>
      </c>
      <c r="R521" s="2" t="inlineStr"/>
    </row>
    <row r="522" ht="15" customHeight="1">
      <c r="A522" t="inlineStr">
        <is>
          <t>A 46887-2025</t>
        </is>
      </c>
      <c r="B522" s="1" t="n">
        <v>45929.3672337963</v>
      </c>
      <c r="C522" s="1" t="n">
        <v>45941</v>
      </c>
      <c r="D522" t="inlineStr">
        <is>
          <t>KALMAR LÄN</t>
        </is>
      </c>
      <c r="E522" t="inlineStr">
        <is>
          <t>VIMMERBY</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33838-2022</t>
        </is>
      </c>
      <c r="B523" s="1" t="n">
        <v>44790.49040509259</v>
      </c>
      <c r="C523" s="1" t="n">
        <v>45941</v>
      </c>
      <c r="D523" t="inlineStr">
        <is>
          <t>KALMAR LÄN</t>
        </is>
      </c>
      <c r="E523" t="inlineStr">
        <is>
          <t>VIMMERBY</t>
        </is>
      </c>
      <c r="G523" t="n">
        <v>0.7</v>
      </c>
      <c r="H523" t="n">
        <v>0</v>
      </c>
      <c r="I523" t="n">
        <v>0</v>
      </c>
      <c r="J523" t="n">
        <v>0</v>
      </c>
      <c r="K523" t="n">
        <v>0</v>
      </c>
      <c r="L523" t="n">
        <v>0</v>
      </c>
      <c r="M523" t="n">
        <v>0</v>
      </c>
      <c r="N523" t="n">
        <v>0</v>
      </c>
      <c r="O523" t="n">
        <v>0</v>
      </c>
      <c r="P523" t="n">
        <v>0</v>
      </c>
      <c r="Q523" t="n">
        <v>0</v>
      </c>
      <c r="R523" s="2" t="inlineStr"/>
    </row>
    <row r="524" ht="15" customHeight="1">
      <c r="A524" t="inlineStr">
        <is>
          <t>A 4058-2024</t>
        </is>
      </c>
      <c r="B524" s="1" t="n">
        <v>45323.53744212963</v>
      </c>
      <c r="C524" s="1" t="n">
        <v>45941</v>
      </c>
      <c r="D524" t="inlineStr">
        <is>
          <t>KALMAR LÄN</t>
        </is>
      </c>
      <c r="E524" t="inlineStr">
        <is>
          <t>VIMMERBY</t>
        </is>
      </c>
      <c r="G524" t="n">
        <v>6.5</v>
      </c>
      <c r="H524" t="n">
        <v>0</v>
      </c>
      <c r="I524" t="n">
        <v>0</v>
      </c>
      <c r="J524" t="n">
        <v>0</v>
      </c>
      <c r="K524" t="n">
        <v>0</v>
      </c>
      <c r="L524" t="n">
        <v>0</v>
      </c>
      <c r="M524" t="n">
        <v>0</v>
      </c>
      <c r="N524" t="n">
        <v>0</v>
      </c>
      <c r="O524" t="n">
        <v>0</v>
      </c>
      <c r="P524" t="n">
        <v>0</v>
      </c>
      <c r="Q524" t="n">
        <v>0</v>
      </c>
      <c r="R524" s="2" t="inlineStr"/>
    </row>
    <row r="525" ht="15" customHeight="1">
      <c r="A525" t="inlineStr">
        <is>
          <t>A 38964-2025</t>
        </is>
      </c>
      <c r="B525" s="1" t="n">
        <v>45887.68759259259</v>
      </c>
      <c r="C525" s="1" t="n">
        <v>45941</v>
      </c>
      <c r="D525" t="inlineStr">
        <is>
          <t>KALMAR LÄN</t>
        </is>
      </c>
      <c r="E525" t="inlineStr">
        <is>
          <t>VIMMERBY</t>
        </is>
      </c>
      <c r="G525" t="n">
        <v>7.5</v>
      </c>
      <c r="H525" t="n">
        <v>0</v>
      </c>
      <c r="I525" t="n">
        <v>0</v>
      </c>
      <c r="J525" t="n">
        <v>0</v>
      </c>
      <c r="K525" t="n">
        <v>0</v>
      </c>
      <c r="L525" t="n">
        <v>0</v>
      </c>
      <c r="M525" t="n">
        <v>0</v>
      </c>
      <c r="N525" t="n">
        <v>0</v>
      </c>
      <c r="O525" t="n">
        <v>0</v>
      </c>
      <c r="P525" t="n">
        <v>0</v>
      </c>
      <c r="Q525" t="n">
        <v>0</v>
      </c>
      <c r="R525" s="2" t="inlineStr"/>
    </row>
    <row r="526" ht="15" customHeight="1">
      <c r="A526" t="inlineStr">
        <is>
          <t>A 36008-2024</t>
        </is>
      </c>
      <c r="B526" s="1" t="n">
        <v>45533.55362268518</v>
      </c>
      <c r="C526" s="1" t="n">
        <v>45941</v>
      </c>
      <c r="D526" t="inlineStr">
        <is>
          <t>KALMAR LÄN</t>
        </is>
      </c>
      <c r="E526" t="inlineStr">
        <is>
          <t>VIMMERBY</t>
        </is>
      </c>
      <c r="G526" t="n">
        <v>3.7</v>
      </c>
      <c r="H526" t="n">
        <v>0</v>
      </c>
      <c r="I526" t="n">
        <v>0</v>
      </c>
      <c r="J526" t="n">
        <v>0</v>
      </c>
      <c r="K526" t="n">
        <v>0</v>
      </c>
      <c r="L526" t="n">
        <v>0</v>
      </c>
      <c r="M526" t="n">
        <v>0</v>
      </c>
      <c r="N526" t="n">
        <v>0</v>
      </c>
      <c r="O526" t="n">
        <v>0</v>
      </c>
      <c r="P526" t="n">
        <v>0</v>
      </c>
      <c r="Q526" t="n">
        <v>0</v>
      </c>
      <c r="R526" s="2" t="inlineStr"/>
    </row>
    <row r="527" ht="15" customHeight="1">
      <c r="A527" t="inlineStr">
        <is>
          <t>A 44329-2025</t>
        </is>
      </c>
      <c r="B527" s="1" t="n">
        <v>45916.41019675926</v>
      </c>
      <c r="C527" s="1" t="n">
        <v>45941</v>
      </c>
      <c r="D527" t="inlineStr">
        <is>
          <t>KALMAR LÄN</t>
        </is>
      </c>
      <c r="E527" t="inlineStr">
        <is>
          <t>VIMMERBY</t>
        </is>
      </c>
      <c r="G527" t="n">
        <v>4.3</v>
      </c>
      <c r="H527" t="n">
        <v>0</v>
      </c>
      <c r="I527" t="n">
        <v>0</v>
      </c>
      <c r="J527" t="n">
        <v>0</v>
      </c>
      <c r="K527" t="n">
        <v>0</v>
      </c>
      <c r="L527" t="n">
        <v>0</v>
      </c>
      <c r="M527" t="n">
        <v>0</v>
      </c>
      <c r="N527" t="n">
        <v>0</v>
      </c>
      <c r="O527" t="n">
        <v>0</v>
      </c>
      <c r="P527" t="n">
        <v>0</v>
      </c>
      <c r="Q527" t="n">
        <v>0</v>
      </c>
      <c r="R527" s="2" t="inlineStr"/>
    </row>
    <row r="528" ht="15" customHeight="1">
      <c r="A528" t="inlineStr">
        <is>
          <t>A 18669-2025</t>
        </is>
      </c>
      <c r="B528" s="1" t="n">
        <v>45763.59436342592</v>
      </c>
      <c r="C528" s="1" t="n">
        <v>45941</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8540-2024</t>
        </is>
      </c>
      <c r="B529" s="1" t="n">
        <v>45355.54138888889</v>
      </c>
      <c r="C529" s="1" t="n">
        <v>45941</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9623-2024</t>
        </is>
      </c>
      <c r="B530" s="1" t="n">
        <v>45361.87975694444</v>
      </c>
      <c r="C530" s="1" t="n">
        <v>45941</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8410-2023</t>
        </is>
      </c>
      <c r="B531" s="1" t="n">
        <v>44977</v>
      </c>
      <c r="C531" s="1" t="n">
        <v>45941</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5146-2024</t>
        </is>
      </c>
      <c r="B532" s="1" t="n">
        <v>45330</v>
      </c>
      <c r="C532" s="1" t="n">
        <v>45941</v>
      </c>
      <c r="D532" t="inlineStr">
        <is>
          <t>KALMAR LÄN</t>
        </is>
      </c>
      <c r="E532" t="inlineStr">
        <is>
          <t>VIMMERBY</t>
        </is>
      </c>
      <c r="G532" t="n">
        <v>5.3</v>
      </c>
      <c r="H532" t="n">
        <v>0</v>
      </c>
      <c r="I532" t="n">
        <v>0</v>
      </c>
      <c r="J532" t="n">
        <v>0</v>
      </c>
      <c r="K532" t="n">
        <v>0</v>
      </c>
      <c r="L532" t="n">
        <v>0</v>
      </c>
      <c r="M532" t="n">
        <v>0</v>
      </c>
      <c r="N532" t="n">
        <v>0</v>
      </c>
      <c r="O532" t="n">
        <v>0</v>
      </c>
      <c r="P532" t="n">
        <v>0</v>
      </c>
      <c r="Q532" t="n">
        <v>0</v>
      </c>
      <c r="R532" s="2" t="inlineStr"/>
    </row>
    <row r="533" ht="15" customHeight="1">
      <c r="A533" t="inlineStr">
        <is>
          <t>A 5148-2024</t>
        </is>
      </c>
      <c r="B533" s="1" t="n">
        <v>45330</v>
      </c>
      <c r="C533" s="1" t="n">
        <v>45941</v>
      </c>
      <c r="D533" t="inlineStr">
        <is>
          <t>KALMAR LÄN</t>
        </is>
      </c>
      <c r="E533" t="inlineStr">
        <is>
          <t>VIMMERBY</t>
        </is>
      </c>
      <c r="G533" t="n">
        <v>5.6</v>
      </c>
      <c r="H533" t="n">
        <v>0</v>
      </c>
      <c r="I533" t="n">
        <v>0</v>
      </c>
      <c r="J533" t="n">
        <v>0</v>
      </c>
      <c r="K533" t="n">
        <v>0</v>
      </c>
      <c r="L533" t="n">
        <v>0</v>
      </c>
      <c r="M533" t="n">
        <v>0</v>
      </c>
      <c r="N533" t="n">
        <v>0</v>
      </c>
      <c r="O533" t="n">
        <v>0</v>
      </c>
      <c r="P533" t="n">
        <v>0</v>
      </c>
      <c r="Q533" t="n">
        <v>0</v>
      </c>
      <c r="R533" s="2" t="inlineStr"/>
    </row>
    <row r="534" ht="15" customHeight="1">
      <c r="A534" t="inlineStr">
        <is>
          <t>A 44179-2022</t>
        </is>
      </c>
      <c r="B534" s="1" t="n">
        <v>44839.4528125</v>
      </c>
      <c r="C534" s="1" t="n">
        <v>45941</v>
      </c>
      <c r="D534" t="inlineStr">
        <is>
          <t>KALMAR LÄN</t>
        </is>
      </c>
      <c r="E534" t="inlineStr">
        <is>
          <t>VIMMERBY</t>
        </is>
      </c>
      <c r="G534" t="n">
        <v>2.8</v>
      </c>
      <c r="H534" t="n">
        <v>0</v>
      </c>
      <c r="I534" t="n">
        <v>0</v>
      </c>
      <c r="J534" t="n">
        <v>0</v>
      </c>
      <c r="K534" t="n">
        <v>0</v>
      </c>
      <c r="L534" t="n">
        <v>0</v>
      </c>
      <c r="M534" t="n">
        <v>0</v>
      </c>
      <c r="N534" t="n">
        <v>0</v>
      </c>
      <c r="O534" t="n">
        <v>0</v>
      </c>
      <c r="P534" t="n">
        <v>0</v>
      </c>
      <c r="Q534" t="n">
        <v>0</v>
      </c>
      <c r="R534" s="2" t="inlineStr"/>
    </row>
    <row r="535" ht="15" customHeight="1">
      <c r="A535" t="inlineStr">
        <is>
          <t>A 6028-2023</t>
        </is>
      </c>
      <c r="B535" s="1" t="n">
        <v>44964.44356481481</v>
      </c>
      <c r="C535" s="1" t="n">
        <v>45941</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50648-2023</t>
        </is>
      </c>
      <c r="B536" s="1" t="n">
        <v>45217.47834490741</v>
      </c>
      <c r="C536" s="1" t="n">
        <v>45941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47955-2025</t>
        </is>
      </c>
      <c r="B537" s="1" t="n">
        <v>45932.58896990741</v>
      </c>
      <c r="C537" s="1" t="n">
        <v>45941</v>
      </c>
      <c r="D537" t="inlineStr">
        <is>
          <t>KALMAR LÄN</t>
        </is>
      </c>
      <c r="E537" t="inlineStr">
        <is>
          <t>VIMMERBY</t>
        </is>
      </c>
      <c r="G537" t="n">
        <v>3.4</v>
      </c>
      <c r="H537" t="n">
        <v>0</v>
      </c>
      <c r="I537" t="n">
        <v>0</v>
      </c>
      <c r="J537" t="n">
        <v>0</v>
      </c>
      <c r="K537" t="n">
        <v>0</v>
      </c>
      <c r="L537" t="n">
        <v>0</v>
      </c>
      <c r="M537" t="n">
        <v>0</v>
      </c>
      <c r="N537" t="n">
        <v>0</v>
      </c>
      <c r="O537" t="n">
        <v>0</v>
      </c>
      <c r="P537" t="n">
        <v>0</v>
      </c>
      <c r="Q537" t="n">
        <v>0</v>
      </c>
      <c r="R537" s="2" t="inlineStr"/>
    </row>
    <row r="538" ht="15" customHeight="1">
      <c r="A538" t="inlineStr">
        <is>
          <t>A 52823-2024</t>
        </is>
      </c>
      <c r="B538" s="1" t="n">
        <v>45610.59094907407</v>
      </c>
      <c r="C538" s="1" t="n">
        <v>45941</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44517-2025</t>
        </is>
      </c>
      <c r="B539" s="1" t="n">
        <v>45916.7103587963</v>
      </c>
      <c r="C539" s="1" t="n">
        <v>45941</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2121-2022</t>
        </is>
      </c>
      <c r="B540" s="1" t="n">
        <v>44578.32717592592</v>
      </c>
      <c r="C540" s="1" t="n">
        <v>45941</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47965-2025</t>
        </is>
      </c>
      <c r="B541" s="1" t="n">
        <v>45932.59597222223</v>
      </c>
      <c r="C541" s="1" t="n">
        <v>45941</v>
      </c>
      <c r="D541" t="inlineStr">
        <is>
          <t>KALMAR LÄN</t>
        </is>
      </c>
      <c r="E541" t="inlineStr">
        <is>
          <t>VIMMERBY</t>
        </is>
      </c>
      <c r="G541" t="n">
        <v>2.2</v>
      </c>
      <c r="H541" t="n">
        <v>0</v>
      </c>
      <c r="I541" t="n">
        <v>0</v>
      </c>
      <c r="J541" t="n">
        <v>0</v>
      </c>
      <c r="K541" t="n">
        <v>0</v>
      </c>
      <c r="L541" t="n">
        <v>0</v>
      </c>
      <c r="M541" t="n">
        <v>0</v>
      </c>
      <c r="N541" t="n">
        <v>0</v>
      </c>
      <c r="O541" t="n">
        <v>0</v>
      </c>
      <c r="P541" t="n">
        <v>0</v>
      </c>
      <c r="Q541" t="n">
        <v>0</v>
      </c>
      <c r="R541" s="2" t="inlineStr"/>
    </row>
    <row r="542" ht="15" customHeight="1">
      <c r="A542" t="inlineStr">
        <is>
          <t>A 56853-2022</t>
        </is>
      </c>
      <c r="B542" s="1" t="n">
        <v>44894.49538194444</v>
      </c>
      <c r="C542" s="1" t="n">
        <v>45941</v>
      </c>
      <c r="D542" t="inlineStr">
        <is>
          <t>KALMAR LÄN</t>
        </is>
      </c>
      <c r="E542" t="inlineStr">
        <is>
          <t>VIMMERBY</t>
        </is>
      </c>
      <c r="G542" t="n">
        <v>4.3</v>
      </c>
      <c r="H542" t="n">
        <v>0</v>
      </c>
      <c r="I542" t="n">
        <v>0</v>
      </c>
      <c r="J542" t="n">
        <v>0</v>
      </c>
      <c r="K542" t="n">
        <v>0</v>
      </c>
      <c r="L542" t="n">
        <v>0</v>
      </c>
      <c r="M542" t="n">
        <v>0</v>
      </c>
      <c r="N542" t="n">
        <v>0</v>
      </c>
      <c r="O542" t="n">
        <v>0</v>
      </c>
      <c r="P542" t="n">
        <v>0</v>
      </c>
      <c r="Q542" t="n">
        <v>0</v>
      </c>
      <c r="R542" s="2" t="inlineStr"/>
    </row>
    <row r="543" ht="15" customHeight="1">
      <c r="A543" t="inlineStr">
        <is>
          <t>A 11152-2023</t>
        </is>
      </c>
      <c r="B543" s="1" t="n">
        <v>44992</v>
      </c>
      <c r="C543" s="1" t="n">
        <v>45941</v>
      </c>
      <c r="D543" t="inlineStr">
        <is>
          <t>KALMAR LÄN</t>
        </is>
      </c>
      <c r="E543" t="inlineStr">
        <is>
          <t>VIMMERBY</t>
        </is>
      </c>
      <c r="G543" t="n">
        <v>10.6</v>
      </c>
      <c r="H543" t="n">
        <v>0</v>
      </c>
      <c r="I543" t="n">
        <v>0</v>
      </c>
      <c r="J543" t="n">
        <v>0</v>
      </c>
      <c r="K543" t="n">
        <v>0</v>
      </c>
      <c r="L543" t="n">
        <v>0</v>
      </c>
      <c r="M543" t="n">
        <v>0</v>
      </c>
      <c r="N543" t="n">
        <v>0</v>
      </c>
      <c r="O543" t="n">
        <v>0</v>
      </c>
      <c r="P543" t="n">
        <v>0</v>
      </c>
      <c r="Q543" t="n">
        <v>0</v>
      </c>
      <c r="R543" s="2" t="inlineStr"/>
    </row>
    <row r="544" ht="15" customHeight="1">
      <c r="A544" t="inlineStr">
        <is>
          <t>A 57799-2022</t>
        </is>
      </c>
      <c r="B544" s="1" t="n">
        <v>44897</v>
      </c>
      <c r="C544" s="1" t="n">
        <v>45941</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15550-2023</t>
        </is>
      </c>
      <c r="B545" s="1" t="n">
        <v>45020</v>
      </c>
      <c r="C545" s="1" t="n">
        <v>45941</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15394-2025</t>
        </is>
      </c>
      <c r="B546" s="1" t="n">
        <v>45747.43196759259</v>
      </c>
      <c r="C546" s="1" t="n">
        <v>45941</v>
      </c>
      <c r="D546" t="inlineStr">
        <is>
          <t>KALMAR LÄN</t>
        </is>
      </c>
      <c r="E546" t="inlineStr">
        <is>
          <t>VIMMERBY</t>
        </is>
      </c>
      <c r="G546" t="n">
        <v>0.8</v>
      </c>
      <c r="H546" t="n">
        <v>0</v>
      </c>
      <c r="I546" t="n">
        <v>0</v>
      </c>
      <c r="J546" t="n">
        <v>0</v>
      </c>
      <c r="K546" t="n">
        <v>0</v>
      </c>
      <c r="L546" t="n">
        <v>0</v>
      </c>
      <c r="M546" t="n">
        <v>0</v>
      </c>
      <c r="N546" t="n">
        <v>0</v>
      </c>
      <c r="O546" t="n">
        <v>0</v>
      </c>
      <c r="P546" t="n">
        <v>0</v>
      </c>
      <c r="Q546" t="n">
        <v>0</v>
      </c>
      <c r="R546" s="2" t="inlineStr"/>
    </row>
    <row r="547" ht="15" customHeight="1">
      <c r="A547" t="inlineStr">
        <is>
          <t>A 26318-2023</t>
        </is>
      </c>
      <c r="B547" s="1" t="n">
        <v>45091.67936342592</v>
      </c>
      <c r="C547" s="1" t="n">
        <v>45941</v>
      </c>
      <c r="D547" t="inlineStr">
        <is>
          <t>KALMAR LÄN</t>
        </is>
      </c>
      <c r="E547" t="inlineStr">
        <is>
          <t>VIMMERBY</t>
        </is>
      </c>
      <c r="G547" t="n">
        <v>3.8</v>
      </c>
      <c r="H547" t="n">
        <v>0</v>
      </c>
      <c r="I547" t="n">
        <v>0</v>
      </c>
      <c r="J547" t="n">
        <v>0</v>
      </c>
      <c r="K547" t="n">
        <v>0</v>
      </c>
      <c r="L547" t="n">
        <v>0</v>
      </c>
      <c r="M547" t="n">
        <v>0</v>
      </c>
      <c r="N547" t="n">
        <v>0</v>
      </c>
      <c r="O547" t="n">
        <v>0</v>
      </c>
      <c r="P547" t="n">
        <v>0</v>
      </c>
      <c r="Q547" t="n">
        <v>0</v>
      </c>
      <c r="R547" s="2" t="inlineStr"/>
    </row>
    <row r="548" ht="15" customHeight="1">
      <c r="A548" t="inlineStr">
        <is>
          <t>A 36934-2025</t>
        </is>
      </c>
      <c r="B548" s="1" t="n">
        <v>45874.57109953704</v>
      </c>
      <c r="C548" s="1" t="n">
        <v>45941</v>
      </c>
      <c r="D548" t="inlineStr">
        <is>
          <t>KALMAR LÄN</t>
        </is>
      </c>
      <c r="E548" t="inlineStr">
        <is>
          <t>VIMMERBY</t>
        </is>
      </c>
      <c r="G548" t="n">
        <v>4.2</v>
      </c>
      <c r="H548" t="n">
        <v>0</v>
      </c>
      <c r="I548" t="n">
        <v>0</v>
      </c>
      <c r="J548" t="n">
        <v>0</v>
      </c>
      <c r="K548" t="n">
        <v>0</v>
      </c>
      <c r="L548" t="n">
        <v>0</v>
      </c>
      <c r="M548" t="n">
        <v>0</v>
      </c>
      <c r="N548" t="n">
        <v>0</v>
      </c>
      <c r="O548" t="n">
        <v>0</v>
      </c>
      <c r="P548" t="n">
        <v>0</v>
      </c>
      <c r="Q548" t="n">
        <v>0</v>
      </c>
      <c r="R548" s="2" t="inlineStr"/>
    </row>
    <row r="549" ht="15" customHeight="1">
      <c r="A549" t="inlineStr">
        <is>
          <t>A 60437-2023</t>
        </is>
      </c>
      <c r="B549" s="1" t="n">
        <v>45259.51916666667</v>
      </c>
      <c r="C549" s="1" t="n">
        <v>45941</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60438-2023</t>
        </is>
      </c>
      <c r="B550" s="1" t="n">
        <v>45259.52020833334</v>
      </c>
      <c r="C550" s="1" t="n">
        <v>45941</v>
      </c>
      <c r="D550" t="inlineStr">
        <is>
          <t>KALMAR LÄN</t>
        </is>
      </c>
      <c r="E550" t="inlineStr">
        <is>
          <t>VIMMERBY</t>
        </is>
      </c>
      <c r="F550" t="inlineStr">
        <is>
          <t>Sveaskog</t>
        </is>
      </c>
      <c r="G550" t="n">
        <v>1.2</v>
      </c>
      <c r="H550" t="n">
        <v>0</v>
      </c>
      <c r="I550" t="n">
        <v>0</v>
      </c>
      <c r="J550" t="n">
        <v>0</v>
      </c>
      <c r="K550" t="n">
        <v>0</v>
      </c>
      <c r="L550" t="n">
        <v>0</v>
      </c>
      <c r="M550" t="n">
        <v>0</v>
      </c>
      <c r="N550" t="n">
        <v>0</v>
      </c>
      <c r="O550" t="n">
        <v>0</v>
      </c>
      <c r="P550" t="n">
        <v>0</v>
      </c>
      <c r="Q550" t="n">
        <v>0</v>
      </c>
      <c r="R550" s="2" t="inlineStr"/>
    </row>
    <row r="551" ht="15" customHeight="1">
      <c r="A551" t="inlineStr">
        <is>
          <t>A 44091-2025</t>
        </is>
      </c>
      <c r="B551" s="1" t="n">
        <v>45915.55950231481</v>
      </c>
      <c r="C551" s="1" t="n">
        <v>45941</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44095-2025</t>
        </is>
      </c>
      <c r="B552" s="1" t="n">
        <v>45915.56430555556</v>
      </c>
      <c r="C552" s="1" t="n">
        <v>45941</v>
      </c>
      <c r="D552" t="inlineStr">
        <is>
          <t>KALMAR LÄN</t>
        </is>
      </c>
      <c r="E552" t="inlineStr">
        <is>
          <t>VIMMERBY</t>
        </is>
      </c>
      <c r="G552" t="n">
        <v>2.4</v>
      </c>
      <c r="H552" t="n">
        <v>0</v>
      </c>
      <c r="I552" t="n">
        <v>0</v>
      </c>
      <c r="J552" t="n">
        <v>0</v>
      </c>
      <c r="K552" t="n">
        <v>0</v>
      </c>
      <c r="L552" t="n">
        <v>0</v>
      </c>
      <c r="M552" t="n">
        <v>0</v>
      </c>
      <c r="N552" t="n">
        <v>0</v>
      </c>
      <c r="O552" t="n">
        <v>0</v>
      </c>
      <c r="P552" t="n">
        <v>0</v>
      </c>
      <c r="Q552" t="n">
        <v>0</v>
      </c>
      <c r="R552" s="2" t="inlineStr"/>
    </row>
    <row r="553" ht="15" customHeight="1">
      <c r="A553" t="inlineStr">
        <is>
          <t>A 31355-2023</t>
        </is>
      </c>
      <c r="B553" s="1" t="n">
        <v>45114.49505787037</v>
      </c>
      <c r="C553" s="1" t="n">
        <v>45941</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7758-2024</t>
        </is>
      </c>
      <c r="B554" s="1" t="n">
        <v>45349.54434027777</v>
      </c>
      <c r="C554" s="1" t="n">
        <v>45941</v>
      </c>
      <c r="D554" t="inlineStr">
        <is>
          <t>KALMAR LÄN</t>
        </is>
      </c>
      <c r="E554" t="inlineStr">
        <is>
          <t>VIMMERBY</t>
        </is>
      </c>
      <c r="G554" t="n">
        <v>3.5</v>
      </c>
      <c r="H554" t="n">
        <v>0</v>
      </c>
      <c r="I554" t="n">
        <v>0</v>
      </c>
      <c r="J554" t="n">
        <v>0</v>
      </c>
      <c r="K554" t="n">
        <v>0</v>
      </c>
      <c r="L554" t="n">
        <v>0</v>
      </c>
      <c r="M554" t="n">
        <v>0</v>
      </c>
      <c r="N554" t="n">
        <v>0</v>
      </c>
      <c r="O554" t="n">
        <v>0</v>
      </c>
      <c r="P554" t="n">
        <v>0</v>
      </c>
      <c r="Q554" t="n">
        <v>0</v>
      </c>
      <c r="R554" s="2" t="inlineStr"/>
    </row>
    <row r="555" ht="15" customHeight="1">
      <c r="A555" t="inlineStr">
        <is>
          <t>A 18330-2023</t>
        </is>
      </c>
      <c r="B555" s="1" t="n">
        <v>45041</v>
      </c>
      <c r="C555" s="1" t="n">
        <v>45941</v>
      </c>
      <c r="D555" t="inlineStr">
        <is>
          <t>KALMAR LÄN</t>
        </is>
      </c>
      <c r="E555" t="inlineStr">
        <is>
          <t>VIMMERBY</t>
        </is>
      </c>
      <c r="G555" t="n">
        <v>1.7</v>
      </c>
      <c r="H555" t="n">
        <v>0</v>
      </c>
      <c r="I555" t="n">
        <v>0</v>
      </c>
      <c r="J555" t="n">
        <v>0</v>
      </c>
      <c r="K555" t="n">
        <v>0</v>
      </c>
      <c r="L555" t="n">
        <v>0</v>
      </c>
      <c r="M555" t="n">
        <v>0</v>
      </c>
      <c r="N555" t="n">
        <v>0</v>
      </c>
      <c r="O555" t="n">
        <v>0</v>
      </c>
      <c r="P555" t="n">
        <v>0</v>
      </c>
      <c r="Q555" t="n">
        <v>0</v>
      </c>
      <c r="R555" s="2" t="inlineStr"/>
    </row>
    <row r="556" ht="15" customHeight="1">
      <c r="A556" t="inlineStr">
        <is>
          <t>A 7456-2024</t>
        </is>
      </c>
      <c r="B556" s="1" t="n">
        <v>45345.83557870371</v>
      </c>
      <c r="C556" s="1" t="n">
        <v>45941</v>
      </c>
      <c r="D556" t="inlineStr">
        <is>
          <t>KALMAR LÄN</t>
        </is>
      </c>
      <c r="E556" t="inlineStr">
        <is>
          <t>VIMMERBY</t>
        </is>
      </c>
      <c r="G556" t="n">
        <v>4.1</v>
      </c>
      <c r="H556" t="n">
        <v>0</v>
      </c>
      <c r="I556" t="n">
        <v>0</v>
      </c>
      <c r="J556" t="n">
        <v>0</v>
      </c>
      <c r="K556" t="n">
        <v>0</v>
      </c>
      <c r="L556" t="n">
        <v>0</v>
      </c>
      <c r="M556" t="n">
        <v>0</v>
      </c>
      <c r="N556" t="n">
        <v>0</v>
      </c>
      <c r="O556" t="n">
        <v>0</v>
      </c>
      <c r="P556" t="n">
        <v>0</v>
      </c>
      <c r="Q556" t="n">
        <v>0</v>
      </c>
      <c r="R556" s="2" t="inlineStr"/>
    </row>
    <row r="557" ht="15" customHeight="1">
      <c r="A557" t="inlineStr">
        <is>
          <t>A 48600-2025</t>
        </is>
      </c>
      <c r="B557" s="1" t="n">
        <v>45935</v>
      </c>
      <c r="C557" s="1" t="n">
        <v>45941</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6082-2022</t>
        </is>
      </c>
      <c r="B558" s="1" t="n">
        <v>44599</v>
      </c>
      <c r="C558" s="1" t="n">
        <v>45941</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58100-2024</t>
        </is>
      </c>
      <c r="B559" s="1" t="n">
        <v>45632.36706018518</v>
      </c>
      <c r="C559" s="1" t="n">
        <v>45941</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39801-2025</t>
        </is>
      </c>
      <c r="B560" s="1" t="n">
        <v>45891.50216435185</v>
      </c>
      <c r="C560" s="1" t="n">
        <v>45941</v>
      </c>
      <c r="D560" t="inlineStr">
        <is>
          <t>KALMAR LÄN</t>
        </is>
      </c>
      <c r="E560" t="inlineStr">
        <is>
          <t>VIMMERBY</t>
        </is>
      </c>
      <c r="G560" t="n">
        <v>2</v>
      </c>
      <c r="H560" t="n">
        <v>0</v>
      </c>
      <c r="I560" t="n">
        <v>0</v>
      </c>
      <c r="J560" t="n">
        <v>0</v>
      </c>
      <c r="K560" t="n">
        <v>0</v>
      </c>
      <c r="L560" t="n">
        <v>0</v>
      </c>
      <c r="M560" t="n">
        <v>0</v>
      </c>
      <c r="N560" t="n">
        <v>0</v>
      </c>
      <c r="O560" t="n">
        <v>0</v>
      </c>
      <c r="P560" t="n">
        <v>0</v>
      </c>
      <c r="Q560" t="n">
        <v>0</v>
      </c>
      <c r="R560" s="2" t="inlineStr"/>
    </row>
    <row r="561" ht="15" customHeight="1">
      <c r="A561" t="inlineStr">
        <is>
          <t>A 46979-2023</t>
        </is>
      </c>
      <c r="B561" s="1" t="n">
        <v>45201</v>
      </c>
      <c r="C561" s="1" t="n">
        <v>45941</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27993-2022</t>
        </is>
      </c>
      <c r="B562" s="1" t="n">
        <v>44745.84396990741</v>
      </c>
      <c r="C562" s="1" t="n">
        <v>45941</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2596-2025</t>
        </is>
      </c>
      <c r="B563" s="1" t="n">
        <v>45674.71810185185</v>
      </c>
      <c r="C563" s="1" t="n">
        <v>45941</v>
      </c>
      <c r="D563" t="inlineStr">
        <is>
          <t>KALMAR LÄN</t>
        </is>
      </c>
      <c r="E563" t="inlineStr">
        <is>
          <t>VIMMERBY</t>
        </is>
      </c>
      <c r="G563" t="n">
        <v>9</v>
      </c>
      <c r="H563" t="n">
        <v>0</v>
      </c>
      <c r="I563" t="n">
        <v>0</v>
      </c>
      <c r="J563" t="n">
        <v>0</v>
      </c>
      <c r="K563" t="n">
        <v>0</v>
      </c>
      <c r="L563" t="n">
        <v>0</v>
      </c>
      <c r="M563" t="n">
        <v>0</v>
      </c>
      <c r="N563" t="n">
        <v>0</v>
      </c>
      <c r="O563" t="n">
        <v>0</v>
      </c>
      <c r="P563" t="n">
        <v>0</v>
      </c>
      <c r="Q563" t="n">
        <v>0</v>
      </c>
      <c r="R563" s="2" t="inlineStr"/>
    </row>
    <row r="564" ht="15" customHeight="1">
      <c r="A564" t="inlineStr">
        <is>
          <t>A 47855-2024</t>
        </is>
      </c>
      <c r="B564" s="1" t="n">
        <v>45588.66457175926</v>
      </c>
      <c r="C564" s="1" t="n">
        <v>45941</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63583-2023</t>
        </is>
      </c>
      <c r="B565" s="1" t="n">
        <v>45275.41833333333</v>
      </c>
      <c r="C565" s="1" t="n">
        <v>45941</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37088-2025</t>
        </is>
      </c>
      <c r="B566" s="1" t="n">
        <v>45875.45716435185</v>
      </c>
      <c r="C566" s="1" t="n">
        <v>45941</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37102-2025</t>
        </is>
      </c>
      <c r="B567" s="1" t="n">
        <v>45875.47454861111</v>
      </c>
      <c r="C567" s="1" t="n">
        <v>45941</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39807-2025</t>
        </is>
      </c>
      <c r="B568" s="1" t="n">
        <v>45891.50986111111</v>
      </c>
      <c r="C568" s="1" t="n">
        <v>45941</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38969-2023</t>
        </is>
      </c>
      <c r="B569" s="1" t="n">
        <v>45163.63621527778</v>
      </c>
      <c r="C569" s="1" t="n">
        <v>45941</v>
      </c>
      <c r="D569" t="inlineStr">
        <is>
          <t>KALMAR LÄN</t>
        </is>
      </c>
      <c r="E569" t="inlineStr">
        <is>
          <t>VIMMERBY</t>
        </is>
      </c>
      <c r="F569" t="inlineStr">
        <is>
          <t>Sveaskog</t>
        </is>
      </c>
      <c r="G569" t="n">
        <v>2.4</v>
      </c>
      <c r="H569" t="n">
        <v>0</v>
      </c>
      <c r="I569" t="n">
        <v>0</v>
      </c>
      <c r="J569" t="n">
        <v>0</v>
      </c>
      <c r="K569" t="n">
        <v>0</v>
      </c>
      <c r="L569" t="n">
        <v>0</v>
      </c>
      <c r="M569" t="n">
        <v>0</v>
      </c>
      <c r="N569" t="n">
        <v>0</v>
      </c>
      <c r="O569" t="n">
        <v>0</v>
      </c>
      <c r="P569" t="n">
        <v>0</v>
      </c>
      <c r="Q569" t="n">
        <v>0</v>
      </c>
      <c r="R569" s="2" t="inlineStr"/>
    </row>
    <row r="570" ht="15" customHeight="1">
      <c r="A570" t="inlineStr">
        <is>
          <t>A 53752-2024</t>
        </is>
      </c>
      <c r="B570" s="1" t="n">
        <v>45615.48927083334</v>
      </c>
      <c r="C570" s="1" t="n">
        <v>45941</v>
      </c>
      <c r="D570" t="inlineStr">
        <is>
          <t>KALMAR LÄN</t>
        </is>
      </c>
      <c r="E570" t="inlineStr">
        <is>
          <t>VIMMERBY</t>
        </is>
      </c>
      <c r="G570" t="n">
        <v>2.4</v>
      </c>
      <c r="H570" t="n">
        <v>0</v>
      </c>
      <c r="I570" t="n">
        <v>0</v>
      </c>
      <c r="J570" t="n">
        <v>0</v>
      </c>
      <c r="K570" t="n">
        <v>0</v>
      </c>
      <c r="L570" t="n">
        <v>0</v>
      </c>
      <c r="M570" t="n">
        <v>0</v>
      </c>
      <c r="N570" t="n">
        <v>0</v>
      </c>
      <c r="O570" t="n">
        <v>0</v>
      </c>
      <c r="P570" t="n">
        <v>0</v>
      </c>
      <c r="Q570" t="n">
        <v>0</v>
      </c>
      <c r="R570" s="2" t="inlineStr"/>
    </row>
    <row r="571" ht="15" customHeight="1">
      <c r="A571" t="inlineStr">
        <is>
          <t>A 60228-2021</t>
        </is>
      </c>
      <c r="B571" s="1" t="n">
        <v>44495</v>
      </c>
      <c r="C571" s="1" t="n">
        <v>45941</v>
      </c>
      <c r="D571" t="inlineStr">
        <is>
          <t>KALMAR LÄN</t>
        </is>
      </c>
      <c r="E571" t="inlineStr">
        <is>
          <t>VIMMERBY</t>
        </is>
      </c>
      <c r="G571" t="n">
        <v>4.1</v>
      </c>
      <c r="H571" t="n">
        <v>0</v>
      </c>
      <c r="I571" t="n">
        <v>0</v>
      </c>
      <c r="J571" t="n">
        <v>0</v>
      </c>
      <c r="K571" t="n">
        <v>0</v>
      </c>
      <c r="L571" t="n">
        <v>0</v>
      </c>
      <c r="M571" t="n">
        <v>0</v>
      </c>
      <c r="N571" t="n">
        <v>0</v>
      </c>
      <c r="O571" t="n">
        <v>0</v>
      </c>
      <c r="P571" t="n">
        <v>0</v>
      </c>
      <c r="Q571" t="n">
        <v>0</v>
      </c>
      <c r="R571" s="2" t="inlineStr"/>
    </row>
    <row r="572" ht="15" customHeight="1">
      <c r="A572" t="inlineStr">
        <is>
          <t>A 37079-2025</t>
        </is>
      </c>
      <c r="B572" s="1" t="n">
        <v>45875.42716435185</v>
      </c>
      <c r="C572" s="1" t="n">
        <v>45941</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48408-2025</t>
        </is>
      </c>
      <c r="B573" s="1" t="n">
        <v>45934.40527777778</v>
      </c>
      <c r="C573" s="1" t="n">
        <v>45941</v>
      </c>
      <c r="D573" t="inlineStr">
        <is>
          <t>KALMAR LÄN</t>
        </is>
      </c>
      <c r="E573" t="inlineStr">
        <is>
          <t>VIMMERBY</t>
        </is>
      </c>
      <c r="G573" t="n">
        <v>2.4</v>
      </c>
      <c r="H573" t="n">
        <v>0</v>
      </c>
      <c r="I573" t="n">
        <v>0</v>
      </c>
      <c r="J573" t="n">
        <v>0</v>
      </c>
      <c r="K573" t="n">
        <v>0</v>
      </c>
      <c r="L573" t="n">
        <v>0</v>
      </c>
      <c r="M573" t="n">
        <v>0</v>
      </c>
      <c r="N573" t="n">
        <v>0</v>
      </c>
      <c r="O573" t="n">
        <v>0</v>
      </c>
      <c r="P573" t="n">
        <v>0</v>
      </c>
      <c r="Q573" t="n">
        <v>0</v>
      </c>
      <c r="R573" s="2" t="inlineStr"/>
    </row>
    <row r="574" ht="15" customHeight="1">
      <c r="A574" t="inlineStr">
        <is>
          <t>A 48409-2025</t>
        </is>
      </c>
      <c r="B574" s="1" t="n">
        <v>45934.41387731482</v>
      </c>
      <c r="C574" s="1" t="n">
        <v>45941</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46522-2022</t>
        </is>
      </c>
      <c r="B575" s="1" t="n">
        <v>44848.59133101852</v>
      </c>
      <c r="C575" s="1" t="n">
        <v>45941</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44742-2025</t>
        </is>
      </c>
      <c r="B576" s="1" t="n">
        <v>45917.67054398148</v>
      </c>
      <c r="C576" s="1" t="n">
        <v>45941</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21109-2024</t>
        </is>
      </c>
      <c r="B577" s="1" t="n">
        <v>45440.28329861111</v>
      </c>
      <c r="C577" s="1" t="n">
        <v>45941</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39736-2025</t>
        </is>
      </c>
      <c r="B578" s="1" t="n">
        <v>45891</v>
      </c>
      <c r="C578" s="1" t="n">
        <v>45941</v>
      </c>
      <c r="D578" t="inlineStr">
        <is>
          <t>KALMAR LÄN</t>
        </is>
      </c>
      <c r="E578" t="inlineStr">
        <is>
          <t>VIMMERBY</t>
        </is>
      </c>
      <c r="G578" t="n">
        <v>12.8</v>
      </c>
      <c r="H578" t="n">
        <v>0</v>
      </c>
      <c r="I578" t="n">
        <v>0</v>
      </c>
      <c r="J578" t="n">
        <v>0</v>
      </c>
      <c r="K578" t="n">
        <v>0</v>
      </c>
      <c r="L578" t="n">
        <v>0</v>
      </c>
      <c r="M578" t="n">
        <v>0</v>
      </c>
      <c r="N578" t="n">
        <v>0</v>
      </c>
      <c r="O578" t="n">
        <v>0</v>
      </c>
      <c r="P578" t="n">
        <v>0</v>
      </c>
      <c r="Q578" t="n">
        <v>0</v>
      </c>
      <c r="R578" s="2" t="inlineStr"/>
    </row>
    <row r="579" ht="15" customHeight="1">
      <c r="A579" t="inlineStr">
        <is>
          <t>A 48723-2025</t>
        </is>
      </c>
      <c r="B579" s="1" t="n">
        <v>45936.65121527778</v>
      </c>
      <c r="C579" s="1" t="n">
        <v>45941</v>
      </c>
      <c r="D579" t="inlineStr">
        <is>
          <t>KALMAR LÄN</t>
        </is>
      </c>
      <c r="E579" t="inlineStr">
        <is>
          <t>VIMMERBY</t>
        </is>
      </c>
      <c r="G579" t="n">
        <v>3</v>
      </c>
      <c r="H579" t="n">
        <v>0</v>
      </c>
      <c r="I579" t="n">
        <v>0</v>
      </c>
      <c r="J579" t="n">
        <v>0</v>
      </c>
      <c r="K579" t="n">
        <v>0</v>
      </c>
      <c r="L579" t="n">
        <v>0</v>
      </c>
      <c r="M579" t="n">
        <v>0</v>
      </c>
      <c r="N579" t="n">
        <v>0</v>
      </c>
      <c r="O579" t="n">
        <v>0</v>
      </c>
      <c r="P579" t="n">
        <v>0</v>
      </c>
      <c r="Q579" t="n">
        <v>0</v>
      </c>
      <c r="R579" s="2" t="inlineStr"/>
    </row>
    <row r="580" ht="15" customHeight="1">
      <c r="A580" t="inlineStr">
        <is>
          <t>A 48712-2025</t>
        </is>
      </c>
      <c r="B580" s="1" t="n">
        <v>45936.63373842592</v>
      </c>
      <c r="C580" s="1" t="n">
        <v>45941</v>
      </c>
      <c r="D580" t="inlineStr">
        <is>
          <t>KALMAR LÄN</t>
        </is>
      </c>
      <c r="E580" t="inlineStr">
        <is>
          <t>VIMMERBY</t>
        </is>
      </c>
      <c r="G580" t="n">
        <v>3</v>
      </c>
      <c r="H580" t="n">
        <v>0</v>
      </c>
      <c r="I580" t="n">
        <v>0</v>
      </c>
      <c r="J580" t="n">
        <v>0</v>
      </c>
      <c r="K580" t="n">
        <v>0</v>
      </c>
      <c r="L580" t="n">
        <v>0</v>
      </c>
      <c r="M580" t="n">
        <v>0</v>
      </c>
      <c r="N580" t="n">
        <v>0</v>
      </c>
      <c r="O580" t="n">
        <v>0</v>
      </c>
      <c r="P580" t="n">
        <v>0</v>
      </c>
      <c r="Q580" t="n">
        <v>0</v>
      </c>
      <c r="R580" s="2" t="inlineStr"/>
    </row>
    <row r="581" ht="15" customHeight="1">
      <c r="A581" t="inlineStr">
        <is>
          <t>A 33815-2022</t>
        </is>
      </c>
      <c r="B581" s="1" t="n">
        <v>44790.45876157407</v>
      </c>
      <c r="C581" s="1" t="n">
        <v>45941</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45114-2025</t>
        </is>
      </c>
      <c r="B582" s="1" t="n">
        <v>45919.42387731482</v>
      </c>
      <c r="C582" s="1" t="n">
        <v>45941</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39803-2025</t>
        </is>
      </c>
      <c r="B583" s="1" t="n">
        <v>45891.50525462963</v>
      </c>
      <c r="C583" s="1" t="n">
        <v>45941</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49461-2022</t>
        </is>
      </c>
      <c r="B584" s="1" t="n">
        <v>44861</v>
      </c>
      <c r="C584" s="1" t="n">
        <v>45941</v>
      </c>
      <c r="D584" t="inlineStr">
        <is>
          <t>KALMAR LÄN</t>
        </is>
      </c>
      <c r="E584" t="inlineStr">
        <is>
          <t>VIMMERBY</t>
        </is>
      </c>
      <c r="G584" t="n">
        <v>3.2</v>
      </c>
      <c r="H584" t="n">
        <v>0</v>
      </c>
      <c r="I584" t="n">
        <v>0</v>
      </c>
      <c r="J584" t="n">
        <v>0</v>
      </c>
      <c r="K584" t="n">
        <v>0</v>
      </c>
      <c r="L584" t="n">
        <v>0</v>
      </c>
      <c r="M584" t="n">
        <v>0</v>
      </c>
      <c r="N584" t="n">
        <v>0</v>
      </c>
      <c r="O584" t="n">
        <v>0</v>
      </c>
      <c r="P584" t="n">
        <v>0</v>
      </c>
      <c r="Q584" t="n">
        <v>0</v>
      </c>
      <c r="R584" s="2" t="inlineStr"/>
    </row>
    <row r="585" ht="15" customHeight="1">
      <c r="A585" t="inlineStr">
        <is>
          <t>A 53542-2022</t>
        </is>
      </c>
      <c r="B585" s="1" t="n">
        <v>44879.62173611111</v>
      </c>
      <c r="C585" s="1" t="n">
        <v>45941</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45320-2025</t>
        </is>
      </c>
      <c r="B586" s="1" t="n">
        <v>45921.96395833333</v>
      </c>
      <c r="C586" s="1" t="n">
        <v>45941</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35713-2023</t>
        </is>
      </c>
      <c r="B587" s="1" t="n">
        <v>45147</v>
      </c>
      <c r="C587" s="1" t="n">
        <v>45941</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39889-2025</t>
        </is>
      </c>
      <c r="B588" s="1" t="n">
        <v>45891</v>
      </c>
      <c r="C588" s="1" t="n">
        <v>45941</v>
      </c>
      <c r="D588" t="inlineStr">
        <is>
          <t>KALMAR LÄN</t>
        </is>
      </c>
      <c r="E588" t="inlineStr">
        <is>
          <t>VIMMERBY</t>
        </is>
      </c>
      <c r="G588" t="n">
        <v>4.5</v>
      </c>
      <c r="H588" t="n">
        <v>0</v>
      </c>
      <c r="I588" t="n">
        <v>0</v>
      </c>
      <c r="J588" t="n">
        <v>0</v>
      </c>
      <c r="K588" t="n">
        <v>0</v>
      </c>
      <c r="L588" t="n">
        <v>0</v>
      </c>
      <c r="M588" t="n">
        <v>0</v>
      </c>
      <c r="N588" t="n">
        <v>0</v>
      </c>
      <c r="O588" t="n">
        <v>0</v>
      </c>
      <c r="P588" t="n">
        <v>0</v>
      </c>
      <c r="Q588" t="n">
        <v>0</v>
      </c>
      <c r="R588" s="2" t="inlineStr"/>
    </row>
    <row r="589" ht="15" customHeight="1">
      <c r="A589" t="inlineStr">
        <is>
          <t>A 37668-2025</t>
        </is>
      </c>
      <c r="B589" s="1" t="n">
        <v>45880.51550925926</v>
      </c>
      <c r="C589" s="1" t="n">
        <v>45941</v>
      </c>
      <c r="D589" t="inlineStr">
        <is>
          <t>KALMAR LÄN</t>
        </is>
      </c>
      <c r="E589" t="inlineStr">
        <is>
          <t>VIMMERBY</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10424-2023</t>
        </is>
      </c>
      <c r="B590" s="1" t="n">
        <v>44987.54104166666</v>
      </c>
      <c r="C590" s="1" t="n">
        <v>45941</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58728-2024</t>
        </is>
      </c>
      <c r="B591" s="1" t="n">
        <v>45635.66695601852</v>
      </c>
      <c r="C591" s="1" t="n">
        <v>45941</v>
      </c>
      <c r="D591" t="inlineStr">
        <is>
          <t>KALMAR LÄN</t>
        </is>
      </c>
      <c r="E591" t="inlineStr">
        <is>
          <t>VIMMERBY</t>
        </is>
      </c>
      <c r="G591" t="n">
        <v>0.4</v>
      </c>
      <c r="H591" t="n">
        <v>0</v>
      </c>
      <c r="I591" t="n">
        <v>0</v>
      </c>
      <c r="J591" t="n">
        <v>0</v>
      </c>
      <c r="K591" t="n">
        <v>0</v>
      </c>
      <c r="L591" t="n">
        <v>0</v>
      </c>
      <c r="M591" t="n">
        <v>0</v>
      </c>
      <c r="N591" t="n">
        <v>0</v>
      </c>
      <c r="O591" t="n">
        <v>0</v>
      </c>
      <c r="P591" t="n">
        <v>0</v>
      </c>
      <c r="Q591" t="n">
        <v>0</v>
      </c>
      <c r="R591" s="2" t="inlineStr"/>
    </row>
    <row r="592" ht="15" customHeight="1">
      <c r="A592" t="inlineStr">
        <is>
          <t>A 43242-2024</t>
        </is>
      </c>
      <c r="B592" s="1" t="n">
        <v>45568.30189814815</v>
      </c>
      <c r="C592" s="1" t="n">
        <v>45941</v>
      </c>
      <c r="D592" t="inlineStr">
        <is>
          <t>KALMAR LÄN</t>
        </is>
      </c>
      <c r="E592" t="inlineStr">
        <is>
          <t>VIMMERBY</t>
        </is>
      </c>
      <c r="G592" t="n">
        <v>2.6</v>
      </c>
      <c r="H592" t="n">
        <v>0</v>
      </c>
      <c r="I592" t="n">
        <v>0</v>
      </c>
      <c r="J592" t="n">
        <v>0</v>
      </c>
      <c r="K592" t="n">
        <v>0</v>
      </c>
      <c r="L592" t="n">
        <v>0</v>
      </c>
      <c r="M592" t="n">
        <v>0</v>
      </c>
      <c r="N592" t="n">
        <v>0</v>
      </c>
      <c r="O592" t="n">
        <v>0</v>
      </c>
      <c r="P592" t="n">
        <v>0</v>
      </c>
      <c r="Q592" t="n">
        <v>0</v>
      </c>
      <c r="R592" s="2" t="inlineStr"/>
    </row>
    <row r="593" ht="15" customHeight="1">
      <c r="A593" t="inlineStr">
        <is>
          <t>A 16983-2023</t>
        </is>
      </c>
      <c r="B593" s="1" t="n">
        <v>45033.76043981482</v>
      </c>
      <c r="C593" s="1" t="n">
        <v>45941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48299-2025</t>
        </is>
      </c>
      <c r="B594" s="1" t="n">
        <v>45933.60982638889</v>
      </c>
      <c r="C594" s="1" t="n">
        <v>45941</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6405-2025</t>
        </is>
      </c>
      <c r="B595" s="1" t="n">
        <v>45699.45392361111</v>
      </c>
      <c r="C595" s="1" t="n">
        <v>45941</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36843-2023</t>
        </is>
      </c>
      <c r="B596" s="1" t="n">
        <v>45154.49831018518</v>
      </c>
      <c r="C596" s="1" t="n">
        <v>45941</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57486-2024</t>
        </is>
      </c>
      <c r="B597" s="1" t="n">
        <v>45630.35827546296</v>
      </c>
      <c r="C597" s="1" t="n">
        <v>45941</v>
      </c>
      <c r="D597" t="inlineStr">
        <is>
          <t>KALMAR LÄN</t>
        </is>
      </c>
      <c r="E597" t="inlineStr">
        <is>
          <t>VIMMERBY</t>
        </is>
      </c>
      <c r="G597" t="n">
        <v>0.4</v>
      </c>
      <c r="H597" t="n">
        <v>0</v>
      </c>
      <c r="I597" t="n">
        <v>0</v>
      </c>
      <c r="J597" t="n">
        <v>0</v>
      </c>
      <c r="K597" t="n">
        <v>0</v>
      </c>
      <c r="L597" t="n">
        <v>0</v>
      </c>
      <c r="M597" t="n">
        <v>0</v>
      </c>
      <c r="N597" t="n">
        <v>0</v>
      </c>
      <c r="O597" t="n">
        <v>0</v>
      </c>
      <c r="P597" t="n">
        <v>0</v>
      </c>
      <c r="Q597" t="n">
        <v>0</v>
      </c>
      <c r="R597" s="2" t="inlineStr"/>
    </row>
    <row r="598" ht="15" customHeight="1">
      <c r="A598" t="inlineStr">
        <is>
          <t>A 37578-2025</t>
        </is>
      </c>
      <c r="B598" s="1" t="n">
        <v>45880.38380787037</v>
      </c>
      <c r="C598" s="1" t="n">
        <v>45941</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66295-2020</t>
        </is>
      </c>
      <c r="B599" s="1" t="n">
        <v>44176</v>
      </c>
      <c r="C599" s="1" t="n">
        <v>45941</v>
      </c>
      <c r="D599" t="inlineStr">
        <is>
          <t>KALMAR LÄN</t>
        </is>
      </c>
      <c r="E599" t="inlineStr">
        <is>
          <t>VIMMERBY</t>
        </is>
      </c>
      <c r="G599" t="n">
        <v>4.1</v>
      </c>
      <c r="H599" t="n">
        <v>0</v>
      </c>
      <c r="I599" t="n">
        <v>0</v>
      </c>
      <c r="J599" t="n">
        <v>0</v>
      </c>
      <c r="K599" t="n">
        <v>0</v>
      </c>
      <c r="L599" t="n">
        <v>0</v>
      </c>
      <c r="M599" t="n">
        <v>0</v>
      </c>
      <c r="N599" t="n">
        <v>0</v>
      </c>
      <c r="O599" t="n">
        <v>0</v>
      </c>
      <c r="P599" t="n">
        <v>0</v>
      </c>
      <c r="Q599" t="n">
        <v>0</v>
      </c>
      <c r="R599" s="2" t="inlineStr"/>
    </row>
    <row r="600" ht="15" customHeight="1">
      <c r="A600" t="inlineStr">
        <is>
          <t>A 44423-2023</t>
        </is>
      </c>
      <c r="B600" s="1" t="n">
        <v>45189</v>
      </c>
      <c r="C600" s="1" t="n">
        <v>45941</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33340-2023</t>
        </is>
      </c>
      <c r="B601" s="1" t="n">
        <v>45128.37305555555</v>
      </c>
      <c r="C601" s="1" t="n">
        <v>45941</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20-2025</t>
        </is>
      </c>
      <c r="B602" s="1" t="n">
        <v>45658.80232638889</v>
      </c>
      <c r="C602" s="1" t="n">
        <v>45941</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23-2025</t>
        </is>
      </c>
      <c r="B603" s="1" t="n">
        <v>45658.80827546296</v>
      </c>
      <c r="C603" s="1" t="n">
        <v>45941</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21496-2023</t>
        </is>
      </c>
      <c r="B604" s="1" t="n">
        <v>45063.49936342592</v>
      </c>
      <c r="C604" s="1" t="n">
        <v>45941</v>
      </c>
      <c r="D604" t="inlineStr">
        <is>
          <t>KALMAR LÄN</t>
        </is>
      </c>
      <c r="E604" t="inlineStr">
        <is>
          <t>VIMMERBY</t>
        </is>
      </c>
      <c r="G604" t="n">
        <v>1.1</v>
      </c>
      <c r="H604" t="n">
        <v>0</v>
      </c>
      <c r="I604" t="n">
        <v>0</v>
      </c>
      <c r="J604" t="n">
        <v>0</v>
      </c>
      <c r="K604" t="n">
        <v>0</v>
      </c>
      <c r="L604" t="n">
        <v>0</v>
      </c>
      <c r="M604" t="n">
        <v>0</v>
      </c>
      <c r="N604" t="n">
        <v>0</v>
      </c>
      <c r="O604" t="n">
        <v>0</v>
      </c>
      <c r="P604" t="n">
        <v>0</v>
      </c>
      <c r="Q604" t="n">
        <v>0</v>
      </c>
      <c r="R604" s="2" t="inlineStr"/>
    </row>
    <row r="605" ht="15" customHeight="1">
      <c r="A605" t="inlineStr">
        <is>
          <t>A 29017-2024</t>
        </is>
      </c>
      <c r="B605" s="1" t="n">
        <v>45481.56722222222</v>
      </c>
      <c r="C605" s="1" t="n">
        <v>45941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58046-2022</t>
        </is>
      </c>
      <c r="B606" s="1" t="n">
        <v>44900.57393518519</v>
      </c>
      <c r="C606" s="1" t="n">
        <v>45941</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31056-2022</t>
        </is>
      </c>
      <c r="B607" s="1" t="n">
        <v>44769.45805555556</v>
      </c>
      <c r="C607" s="1" t="n">
        <v>45941</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14548-2024</t>
        </is>
      </c>
      <c r="B608" s="1" t="n">
        <v>45394.66887731481</v>
      </c>
      <c r="C608" s="1" t="n">
        <v>45941</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45319-2025</t>
        </is>
      </c>
      <c r="B609" s="1" t="n">
        <v>45921.95611111111</v>
      </c>
      <c r="C609" s="1" t="n">
        <v>45941</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40970-2025</t>
        </is>
      </c>
      <c r="B610" s="1" t="n">
        <v>45897.88706018519</v>
      </c>
      <c r="C610" s="1" t="n">
        <v>45941</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40973-2025</t>
        </is>
      </c>
      <c r="B611" s="1" t="n">
        <v>45897.89737268518</v>
      </c>
      <c r="C611" s="1" t="n">
        <v>45941</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41224-2025</t>
        </is>
      </c>
      <c r="B612" s="1" t="n">
        <v>45898.58861111111</v>
      </c>
      <c r="C612" s="1" t="n">
        <v>45941</v>
      </c>
      <c r="D612" t="inlineStr">
        <is>
          <t>KALMAR LÄN</t>
        </is>
      </c>
      <c r="E612" t="inlineStr">
        <is>
          <t>VIMMERBY</t>
        </is>
      </c>
      <c r="G612" t="n">
        <v>4.4</v>
      </c>
      <c r="H612" t="n">
        <v>0</v>
      </c>
      <c r="I612" t="n">
        <v>0</v>
      </c>
      <c r="J612" t="n">
        <v>0</v>
      </c>
      <c r="K612" t="n">
        <v>0</v>
      </c>
      <c r="L612" t="n">
        <v>0</v>
      </c>
      <c r="M612" t="n">
        <v>0</v>
      </c>
      <c r="N612" t="n">
        <v>0</v>
      </c>
      <c r="O612" t="n">
        <v>0</v>
      </c>
      <c r="P612" t="n">
        <v>0</v>
      </c>
      <c r="Q612" t="n">
        <v>0</v>
      </c>
      <c r="R612" s="2" t="inlineStr"/>
    </row>
    <row r="613" ht="15" customHeight="1">
      <c r="A613" t="inlineStr">
        <is>
          <t>A 72701-2021</t>
        </is>
      </c>
      <c r="B613" s="1" t="n">
        <v>44546</v>
      </c>
      <c r="C613" s="1" t="n">
        <v>45941</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52294-2023</t>
        </is>
      </c>
      <c r="B614" s="1" t="n">
        <v>45224.60075231481</v>
      </c>
      <c r="C614" s="1" t="n">
        <v>45941</v>
      </c>
      <c r="D614" t="inlineStr">
        <is>
          <t>KALMAR LÄN</t>
        </is>
      </c>
      <c r="E614" t="inlineStr">
        <is>
          <t>VIMMERBY</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61355-2024</t>
        </is>
      </c>
      <c r="B615" s="1" t="n">
        <v>45646.38200231481</v>
      </c>
      <c r="C615" s="1" t="n">
        <v>45941</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48120-2022</t>
        </is>
      </c>
      <c r="B616" s="1" t="n">
        <v>44857.65989583333</v>
      </c>
      <c r="C616" s="1" t="n">
        <v>45941</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3423-2022</t>
        </is>
      </c>
      <c r="B617" s="1" t="n">
        <v>44585.50431712963</v>
      </c>
      <c r="C617" s="1" t="n">
        <v>45941</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49871-2025</t>
        </is>
      </c>
      <c r="B618" s="1" t="n">
        <v>45940.54104166666</v>
      </c>
      <c r="C618" s="1" t="n">
        <v>45941</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11074-2023</t>
        </is>
      </c>
      <c r="B619" s="1" t="n">
        <v>44992.34151620371</v>
      </c>
      <c r="C619" s="1" t="n">
        <v>45941</v>
      </c>
      <c r="D619" t="inlineStr">
        <is>
          <t>KALMAR LÄN</t>
        </is>
      </c>
      <c r="E619" t="inlineStr">
        <is>
          <t>VIMMERBY</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71631-2021</t>
        </is>
      </c>
      <c r="B620" s="1" t="n">
        <v>44542.90072916666</v>
      </c>
      <c r="C620" s="1" t="n">
        <v>45941</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33374-2021</t>
        </is>
      </c>
      <c r="B621" s="1" t="n">
        <v>44377</v>
      </c>
      <c r="C621" s="1" t="n">
        <v>45941</v>
      </c>
      <c r="D621" t="inlineStr">
        <is>
          <t>KALMAR LÄN</t>
        </is>
      </c>
      <c r="E621" t="inlineStr">
        <is>
          <t>VIMMERBY</t>
        </is>
      </c>
      <c r="G621" t="n">
        <v>3.3</v>
      </c>
      <c r="H621" t="n">
        <v>0</v>
      </c>
      <c r="I621" t="n">
        <v>0</v>
      </c>
      <c r="J621" t="n">
        <v>0</v>
      </c>
      <c r="K621" t="n">
        <v>0</v>
      </c>
      <c r="L621" t="n">
        <v>0</v>
      </c>
      <c r="M621" t="n">
        <v>0</v>
      </c>
      <c r="N621" t="n">
        <v>0</v>
      </c>
      <c r="O621" t="n">
        <v>0</v>
      </c>
      <c r="P621" t="n">
        <v>0</v>
      </c>
      <c r="Q621" t="n">
        <v>0</v>
      </c>
      <c r="R621" s="2" t="inlineStr"/>
    </row>
    <row r="622" ht="15" customHeight="1">
      <c r="A622" t="inlineStr">
        <is>
          <t>A 49039-2021</t>
        </is>
      </c>
      <c r="B622" s="1" t="n">
        <v>44453.56578703703</v>
      </c>
      <c r="C622" s="1" t="n">
        <v>45941</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10759-2023</t>
        </is>
      </c>
      <c r="B623" s="1" t="n">
        <v>44988</v>
      </c>
      <c r="C623" s="1" t="n">
        <v>45941</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40925-2025</t>
        </is>
      </c>
      <c r="B624" s="1" t="n">
        <v>45897.64208333333</v>
      </c>
      <c r="C624" s="1" t="n">
        <v>45941</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18899-2025</t>
        </is>
      </c>
      <c r="B625" s="1" t="n">
        <v>45764.44931712963</v>
      </c>
      <c r="C625" s="1" t="n">
        <v>45941</v>
      </c>
      <c r="D625" t="inlineStr">
        <is>
          <t>KALMAR LÄN</t>
        </is>
      </c>
      <c r="E625" t="inlineStr">
        <is>
          <t>VIMMERBY</t>
        </is>
      </c>
      <c r="F625" t="inlineStr">
        <is>
          <t>Kommuner</t>
        </is>
      </c>
      <c r="G625" t="n">
        <v>4</v>
      </c>
      <c r="H625" t="n">
        <v>0</v>
      </c>
      <c r="I625" t="n">
        <v>0</v>
      </c>
      <c r="J625" t="n">
        <v>0</v>
      </c>
      <c r="K625" t="n">
        <v>0</v>
      </c>
      <c r="L625" t="n">
        <v>0</v>
      </c>
      <c r="M625" t="n">
        <v>0</v>
      </c>
      <c r="N625" t="n">
        <v>0</v>
      </c>
      <c r="O625" t="n">
        <v>0</v>
      </c>
      <c r="P625" t="n">
        <v>0</v>
      </c>
      <c r="Q625" t="n">
        <v>0</v>
      </c>
      <c r="R625" s="2" t="inlineStr"/>
    </row>
    <row r="626" ht="15" customHeight="1">
      <c r="A626" t="inlineStr">
        <is>
          <t>A 45855-2025</t>
        </is>
      </c>
      <c r="B626" s="1" t="n">
        <v>45923</v>
      </c>
      <c r="C626" s="1" t="n">
        <v>45941</v>
      </c>
      <c r="D626" t="inlineStr">
        <is>
          <t>KALMAR LÄN</t>
        </is>
      </c>
      <c r="E626" t="inlineStr">
        <is>
          <t>VIMMERBY</t>
        </is>
      </c>
      <c r="G626" t="n">
        <v>1.4</v>
      </c>
      <c r="H626" t="n">
        <v>0</v>
      </c>
      <c r="I626" t="n">
        <v>0</v>
      </c>
      <c r="J626" t="n">
        <v>0</v>
      </c>
      <c r="K626" t="n">
        <v>0</v>
      </c>
      <c r="L626" t="n">
        <v>0</v>
      </c>
      <c r="M626" t="n">
        <v>0</v>
      </c>
      <c r="N626" t="n">
        <v>0</v>
      </c>
      <c r="O626" t="n">
        <v>0</v>
      </c>
      <c r="P626" t="n">
        <v>0</v>
      </c>
      <c r="Q626" t="n">
        <v>0</v>
      </c>
      <c r="R626" s="2" t="inlineStr"/>
    </row>
    <row r="627" ht="15" customHeight="1">
      <c r="A627" t="inlineStr">
        <is>
          <t>A 42918-2021</t>
        </is>
      </c>
      <c r="B627" s="1" t="n">
        <v>44431</v>
      </c>
      <c r="C627" s="1" t="n">
        <v>45941</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40921-2025</t>
        </is>
      </c>
      <c r="B628" s="1" t="n">
        <v>45897.63520833333</v>
      </c>
      <c r="C628" s="1" t="n">
        <v>45941</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40971-2025</t>
        </is>
      </c>
      <c r="B629" s="1" t="n">
        <v>45897.88836805556</v>
      </c>
      <c r="C629" s="1" t="n">
        <v>45941</v>
      </c>
      <c r="D629" t="inlineStr">
        <is>
          <t>KALMAR LÄN</t>
        </is>
      </c>
      <c r="E629" t="inlineStr">
        <is>
          <t>VIMMERBY</t>
        </is>
      </c>
      <c r="G629" t="n">
        <v>1.5</v>
      </c>
      <c r="H629" t="n">
        <v>0</v>
      </c>
      <c r="I629" t="n">
        <v>0</v>
      </c>
      <c r="J629" t="n">
        <v>0</v>
      </c>
      <c r="K629" t="n">
        <v>0</v>
      </c>
      <c r="L629" t="n">
        <v>0</v>
      </c>
      <c r="M629" t="n">
        <v>0</v>
      </c>
      <c r="N629" t="n">
        <v>0</v>
      </c>
      <c r="O629" t="n">
        <v>0</v>
      </c>
      <c r="P629" t="n">
        <v>0</v>
      </c>
      <c r="Q629" t="n">
        <v>0</v>
      </c>
      <c r="R629" s="2" t="inlineStr"/>
    </row>
    <row r="630" ht="15" customHeight="1">
      <c r="A630" t="inlineStr">
        <is>
          <t>A 529-2022</t>
        </is>
      </c>
      <c r="B630" s="1" t="n">
        <v>44566</v>
      </c>
      <c r="C630" s="1" t="n">
        <v>45941</v>
      </c>
      <c r="D630" t="inlineStr">
        <is>
          <t>KALMAR LÄN</t>
        </is>
      </c>
      <c r="E630" t="inlineStr">
        <is>
          <t>VIMMERBY</t>
        </is>
      </c>
      <c r="G630" t="n">
        <v>1.5</v>
      </c>
      <c r="H630" t="n">
        <v>0</v>
      </c>
      <c r="I630" t="n">
        <v>0</v>
      </c>
      <c r="J630" t="n">
        <v>0</v>
      </c>
      <c r="K630" t="n">
        <v>0</v>
      </c>
      <c r="L630" t="n">
        <v>0</v>
      </c>
      <c r="M630" t="n">
        <v>0</v>
      </c>
      <c r="N630" t="n">
        <v>0</v>
      </c>
      <c r="O630" t="n">
        <v>0</v>
      </c>
      <c r="P630" t="n">
        <v>0</v>
      </c>
      <c r="Q630" t="n">
        <v>0</v>
      </c>
      <c r="R630" s="2" t="inlineStr"/>
    </row>
    <row r="631" ht="15" customHeight="1">
      <c r="A631" t="inlineStr">
        <is>
          <t>A 12586-2021</t>
        </is>
      </c>
      <c r="B631" s="1" t="n">
        <v>44270.38002314815</v>
      </c>
      <c r="C631" s="1" t="n">
        <v>45941</v>
      </c>
      <c r="D631" t="inlineStr">
        <is>
          <t>KALMAR LÄN</t>
        </is>
      </c>
      <c r="E631" t="inlineStr">
        <is>
          <t>VIMMERBY</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46118-2025</t>
        </is>
      </c>
      <c r="B632" s="1" t="n">
        <v>45924.57697916667</v>
      </c>
      <c r="C632" s="1" t="n">
        <v>45941</v>
      </c>
      <c r="D632" t="inlineStr">
        <is>
          <t>KALMAR LÄN</t>
        </is>
      </c>
      <c r="E632" t="inlineStr">
        <is>
          <t>VIMMERBY</t>
        </is>
      </c>
      <c r="G632" t="n">
        <v>2.9</v>
      </c>
      <c r="H632" t="n">
        <v>0</v>
      </c>
      <c r="I632" t="n">
        <v>0</v>
      </c>
      <c r="J632" t="n">
        <v>0</v>
      </c>
      <c r="K632" t="n">
        <v>0</v>
      </c>
      <c r="L632" t="n">
        <v>0</v>
      </c>
      <c r="M632" t="n">
        <v>0</v>
      </c>
      <c r="N632" t="n">
        <v>0</v>
      </c>
      <c r="O632" t="n">
        <v>0</v>
      </c>
      <c r="P632" t="n">
        <v>0</v>
      </c>
      <c r="Q632" t="n">
        <v>0</v>
      </c>
      <c r="R632" s="2" t="inlineStr"/>
    </row>
    <row r="633" ht="15" customHeight="1">
      <c r="A633" t="inlineStr">
        <is>
          <t>A 14855-2025</t>
        </is>
      </c>
      <c r="B633" s="1" t="n">
        <v>45743.41148148148</v>
      </c>
      <c r="C633" s="1" t="n">
        <v>45941</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60951-2023</t>
        </is>
      </c>
      <c r="B634" s="1" t="n">
        <v>45261.44914351852</v>
      </c>
      <c r="C634" s="1" t="n">
        <v>45941</v>
      </c>
      <c r="D634" t="inlineStr">
        <is>
          <t>KALMAR LÄN</t>
        </is>
      </c>
      <c r="E634" t="inlineStr">
        <is>
          <t>VIMMERBY</t>
        </is>
      </c>
      <c r="G634" t="n">
        <v>4.3</v>
      </c>
      <c r="H634" t="n">
        <v>0</v>
      </c>
      <c r="I634" t="n">
        <v>0</v>
      </c>
      <c r="J634" t="n">
        <v>0</v>
      </c>
      <c r="K634" t="n">
        <v>0</v>
      </c>
      <c r="L634" t="n">
        <v>0</v>
      </c>
      <c r="M634" t="n">
        <v>0</v>
      </c>
      <c r="N634" t="n">
        <v>0</v>
      </c>
      <c r="O634" t="n">
        <v>0</v>
      </c>
      <c r="P634" t="n">
        <v>0</v>
      </c>
      <c r="Q634" t="n">
        <v>0</v>
      </c>
      <c r="R634" s="2" t="inlineStr"/>
    </row>
    <row r="635" ht="15" customHeight="1">
      <c r="A635" t="inlineStr">
        <is>
          <t>A 32614-2023</t>
        </is>
      </c>
      <c r="B635" s="1" t="n">
        <v>45121</v>
      </c>
      <c r="C635" s="1" t="n">
        <v>45941</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61939-2021</t>
        </is>
      </c>
      <c r="B636" s="1" t="n">
        <v>44502</v>
      </c>
      <c r="C636" s="1" t="n">
        <v>45941</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37866-2025</t>
        </is>
      </c>
      <c r="B637" s="1" t="n">
        <v>45881</v>
      </c>
      <c r="C637" s="1" t="n">
        <v>45941</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19162-2023</t>
        </is>
      </c>
      <c r="B638" s="1" t="n">
        <v>45048.59699074074</v>
      </c>
      <c r="C638" s="1" t="n">
        <v>45941</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31209-2024</t>
        </is>
      </c>
      <c r="B639" s="1" t="n">
        <v>45503.5658912037</v>
      </c>
      <c r="C639" s="1" t="n">
        <v>45941</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37939-2025</t>
        </is>
      </c>
      <c r="B640" s="1" t="n">
        <v>45881.59877314815</v>
      </c>
      <c r="C640" s="1" t="n">
        <v>45941</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5864-2022</t>
        </is>
      </c>
      <c r="B641" s="1" t="n">
        <v>44596</v>
      </c>
      <c r="C641" s="1" t="n">
        <v>45941</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3938-2023</t>
        </is>
      </c>
      <c r="B642" s="1" t="n">
        <v>44952.35775462963</v>
      </c>
      <c r="C642" s="1" t="n">
        <v>45941</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6218-2025</t>
        </is>
      </c>
      <c r="B643" s="1" t="n">
        <v>45698.53336805556</v>
      </c>
      <c r="C643" s="1" t="n">
        <v>45941</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40076-2021</t>
        </is>
      </c>
      <c r="B644" s="1" t="n">
        <v>44418</v>
      </c>
      <c r="C644" s="1" t="n">
        <v>45941</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26937-2023</t>
        </is>
      </c>
      <c r="B645" s="1" t="n">
        <v>45093.62777777778</v>
      </c>
      <c r="C645" s="1" t="n">
        <v>45941</v>
      </c>
      <c r="D645" t="inlineStr">
        <is>
          <t>KALMAR LÄN</t>
        </is>
      </c>
      <c r="E645" t="inlineStr">
        <is>
          <t>VIMMERBY</t>
        </is>
      </c>
      <c r="F645" t="inlineStr">
        <is>
          <t>Sveaskog</t>
        </is>
      </c>
      <c r="G645" t="n">
        <v>14.5</v>
      </c>
      <c r="H645" t="n">
        <v>0</v>
      </c>
      <c r="I645" t="n">
        <v>0</v>
      </c>
      <c r="J645" t="n">
        <v>0</v>
      </c>
      <c r="K645" t="n">
        <v>0</v>
      </c>
      <c r="L645" t="n">
        <v>0</v>
      </c>
      <c r="M645" t="n">
        <v>0</v>
      </c>
      <c r="N645" t="n">
        <v>0</v>
      </c>
      <c r="O645" t="n">
        <v>0</v>
      </c>
      <c r="P645" t="n">
        <v>0</v>
      </c>
      <c r="Q645" t="n">
        <v>0</v>
      </c>
      <c r="R645" s="2" t="inlineStr"/>
    </row>
    <row r="646" ht="15" customHeight="1">
      <c r="A646" t="inlineStr">
        <is>
          <t>A 50085-2023</t>
        </is>
      </c>
      <c r="B646" s="1" t="n">
        <v>45215.5959375</v>
      </c>
      <c r="C646" s="1" t="n">
        <v>45941</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11219-2023</t>
        </is>
      </c>
      <c r="B647" s="1" t="n">
        <v>44992.62498842592</v>
      </c>
      <c r="C647" s="1" t="n">
        <v>45941</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12588-2025</t>
        </is>
      </c>
      <c r="B648" s="1" t="n">
        <v>45732.76936342593</v>
      </c>
      <c r="C648" s="1" t="n">
        <v>45941</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25979-2023</t>
        </is>
      </c>
      <c r="B649" s="1" t="n">
        <v>45090.89653935185</v>
      </c>
      <c r="C649" s="1" t="n">
        <v>45941</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25980-2023</t>
        </is>
      </c>
      <c r="B650" s="1" t="n">
        <v>45090.89880787037</v>
      </c>
      <c r="C650" s="1" t="n">
        <v>45941</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6850-2023</t>
        </is>
      </c>
      <c r="B651" s="1" t="n">
        <v>44967.44255787037</v>
      </c>
      <c r="C651" s="1" t="n">
        <v>45941</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6358-2022</t>
        </is>
      </c>
      <c r="B652" s="1" t="n">
        <v>44600</v>
      </c>
      <c r="C652" s="1" t="n">
        <v>45941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46921-2023</t>
        </is>
      </c>
      <c r="B653" s="1" t="n">
        <v>45201.39996527778</v>
      </c>
      <c r="C653" s="1" t="n">
        <v>45941</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10837-2023</t>
        </is>
      </c>
      <c r="B654" s="1" t="n">
        <v>44991.30547453704</v>
      </c>
      <c r="C654" s="1" t="n">
        <v>45941</v>
      </c>
      <c r="D654" t="inlineStr">
        <is>
          <t>KALMAR LÄN</t>
        </is>
      </c>
      <c r="E654" t="inlineStr">
        <is>
          <t>VIMMERBY</t>
        </is>
      </c>
      <c r="G654" t="n">
        <v>7.3</v>
      </c>
      <c r="H654" t="n">
        <v>0</v>
      </c>
      <c r="I654" t="n">
        <v>0</v>
      </c>
      <c r="J654" t="n">
        <v>0</v>
      </c>
      <c r="K654" t="n">
        <v>0</v>
      </c>
      <c r="L654" t="n">
        <v>0</v>
      </c>
      <c r="M654" t="n">
        <v>0</v>
      </c>
      <c r="N654" t="n">
        <v>0</v>
      </c>
      <c r="O654" t="n">
        <v>0</v>
      </c>
      <c r="P654" t="n">
        <v>0</v>
      </c>
      <c r="Q654" t="n">
        <v>0</v>
      </c>
      <c r="R654" s="2" t="inlineStr"/>
    </row>
    <row r="655" ht="15" customHeight="1">
      <c r="A655" t="inlineStr">
        <is>
          <t>A 10838-2023</t>
        </is>
      </c>
      <c r="B655" s="1" t="n">
        <v>44991</v>
      </c>
      <c r="C655" s="1" t="n">
        <v>45941</v>
      </c>
      <c r="D655" t="inlineStr">
        <is>
          <t>KALMAR LÄN</t>
        </is>
      </c>
      <c r="E655" t="inlineStr">
        <is>
          <t>VIMMERBY</t>
        </is>
      </c>
      <c r="G655" t="n">
        <v>5.1</v>
      </c>
      <c r="H655" t="n">
        <v>0</v>
      </c>
      <c r="I655" t="n">
        <v>0</v>
      </c>
      <c r="J655" t="n">
        <v>0</v>
      </c>
      <c r="K655" t="n">
        <v>0</v>
      </c>
      <c r="L655" t="n">
        <v>0</v>
      </c>
      <c r="M655" t="n">
        <v>0</v>
      </c>
      <c r="N655" t="n">
        <v>0</v>
      </c>
      <c r="O655" t="n">
        <v>0</v>
      </c>
      <c r="P655" t="n">
        <v>0</v>
      </c>
      <c r="Q655" t="n">
        <v>0</v>
      </c>
      <c r="R655" s="2" t="inlineStr"/>
    </row>
    <row r="656" ht="15" customHeight="1">
      <c r="A656" t="inlineStr">
        <is>
          <t>A 30912-2023</t>
        </is>
      </c>
      <c r="B656" s="1" t="n">
        <v>45113.41633101852</v>
      </c>
      <c r="C656" s="1" t="n">
        <v>45941</v>
      </c>
      <c r="D656" t="inlineStr">
        <is>
          <t>KALMAR LÄN</t>
        </is>
      </c>
      <c r="E656" t="inlineStr">
        <is>
          <t>VIMMERBY</t>
        </is>
      </c>
      <c r="G656" t="n">
        <v>5</v>
      </c>
      <c r="H656" t="n">
        <v>0</v>
      </c>
      <c r="I656" t="n">
        <v>0</v>
      </c>
      <c r="J656" t="n">
        <v>0</v>
      </c>
      <c r="K656" t="n">
        <v>0</v>
      </c>
      <c r="L656" t="n">
        <v>0</v>
      </c>
      <c r="M656" t="n">
        <v>0</v>
      </c>
      <c r="N656" t="n">
        <v>0</v>
      </c>
      <c r="O656" t="n">
        <v>0</v>
      </c>
      <c r="P656" t="n">
        <v>0</v>
      </c>
      <c r="Q656" t="n">
        <v>0</v>
      </c>
      <c r="R656" s="2" t="inlineStr"/>
    </row>
    <row r="657" ht="15" customHeight="1">
      <c r="A657" t="inlineStr">
        <is>
          <t>A 43853-2023</t>
        </is>
      </c>
      <c r="B657" s="1" t="n">
        <v>45187.60813657408</v>
      </c>
      <c r="C657" s="1" t="n">
        <v>45941</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7075-2021</t>
        </is>
      </c>
      <c r="B658" s="1" t="n">
        <v>44237</v>
      </c>
      <c r="C658" s="1" t="n">
        <v>45941</v>
      </c>
      <c r="D658" t="inlineStr">
        <is>
          <t>KALMAR LÄN</t>
        </is>
      </c>
      <c r="E658" t="inlineStr">
        <is>
          <t>VIMMERBY</t>
        </is>
      </c>
      <c r="G658" t="n">
        <v>3.6</v>
      </c>
      <c r="H658" t="n">
        <v>0</v>
      </c>
      <c r="I658" t="n">
        <v>0</v>
      </c>
      <c r="J658" t="n">
        <v>0</v>
      </c>
      <c r="K658" t="n">
        <v>0</v>
      </c>
      <c r="L658" t="n">
        <v>0</v>
      </c>
      <c r="M658" t="n">
        <v>0</v>
      </c>
      <c r="N658" t="n">
        <v>0</v>
      </c>
      <c r="O658" t="n">
        <v>0</v>
      </c>
      <c r="P658" t="n">
        <v>0</v>
      </c>
      <c r="Q658" t="n">
        <v>0</v>
      </c>
      <c r="R658" s="2" t="inlineStr"/>
    </row>
    <row r="659" ht="15" customHeight="1">
      <c r="A659" t="inlineStr">
        <is>
          <t>A 46365-2025</t>
        </is>
      </c>
      <c r="B659" s="1" t="n">
        <v>45925.50075231482</v>
      </c>
      <c r="C659" s="1" t="n">
        <v>45941</v>
      </c>
      <c r="D659" t="inlineStr">
        <is>
          <t>KALMAR LÄN</t>
        </is>
      </c>
      <c r="E659" t="inlineStr">
        <is>
          <t>VIMMERBY</t>
        </is>
      </c>
      <c r="G659" t="n">
        <v>5.6</v>
      </c>
      <c r="H659" t="n">
        <v>0</v>
      </c>
      <c r="I659" t="n">
        <v>0</v>
      </c>
      <c r="J659" t="n">
        <v>0</v>
      </c>
      <c r="K659" t="n">
        <v>0</v>
      </c>
      <c r="L659" t="n">
        <v>0</v>
      </c>
      <c r="M659" t="n">
        <v>0</v>
      </c>
      <c r="N659" t="n">
        <v>0</v>
      </c>
      <c r="O659" t="n">
        <v>0</v>
      </c>
      <c r="P659" t="n">
        <v>0</v>
      </c>
      <c r="Q659" t="n">
        <v>0</v>
      </c>
      <c r="R659" s="2" t="inlineStr"/>
    </row>
    <row r="660" ht="15" customHeight="1">
      <c r="A660" t="inlineStr">
        <is>
          <t>A 55436-2023</t>
        </is>
      </c>
      <c r="B660" s="1" t="n">
        <v>45238.4328587963</v>
      </c>
      <c r="C660" s="1" t="n">
        <v>45941</v>
      </c>
      <c r="D660" t="inlineStr">
        <is>
          <t>KALMAR LÄN</t>
        </is>
      </c>
      <c r="E660" t="inlineStr">
        <is>
          <t>VIMMERBY</t>
        </is>
      </c>
      <c r="G660" t="n">
        <v>5.6</v>
      </c>
      <c r="H660" t="n">
        <v>0</v>
      </c>
      <c r="I660" t="n">
        <v>0</v>
      </c>
      <c r="J660" t="n">
        <v>0</v>
      </c>
      <c r="K660" t="n">
        <v>0</v>
      </c>
      <c r="L660" t="n">
        <v>0</v>
      </c>
      <c r="M660" t="n">
        <v>0</v>
      </c>
      <c r="N660" t="n">
        <v>0</v>
      </c>
      <c r="O660" t="n">
        <v>0</v>
      </c>
      <c r="P660" t="n">
        <v>0</v>
      </c>
      <c r="Q660" t="n">
        <v>0</v>
      </c>
      <c r="R660" s="2" t="inlineStr"/>
    </row>
    <row r="661" ht="15" customHeight="1">
      <c r="A661" t="inlineStr">
        <is>
          <t>A 48673-2021</t>
        </is>
      </c>
      <c r="B661" s="1" t="n">
        <v>44452</v>
      </c>
      <c r="C661" s="1" t="n">
        <v>45941</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21507-2023</t>
        </is>
      </c>
      <c r="B662" s="1" t="n">
        <v>45063.508125</v>
      </c>
      <c r="C662" s="1" t="n">
        <v>45941</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51187-2023</t>
        </is>
      </c>
      <c r="B663" s="1" t="n">
        <v>45219.40528935185</v>
      </c>
      <c r="C663" s="1" t="n">
        <v>45941</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14137-2023</t>
        </is>
      </c>
      <c r="B664" s="1" t="n">
        <v>45009.4671875</v>
      </c>
      <c r="C664" s="1" t="n">
        <v>45941</v>
      </c>
      <c r="D664" t="inlineStr">
        <is>
          <t>KALMAR LÄN</t>
        </is>
      </c>
      <c r="E664" t="inlineStr">
        <is>
          <t>VIMMERBY</t>
        </is>
      </c>
      <c r="G664" t="n">
        <v>1.3</v>
      </c>
      <c r="H664" t="n">
        <v>0</v>
      </c>
      <c r="I664" t="n">
        <v>0</v>
      </c>
      <c r="J664" t="n">
        <v>0</v>
      </c>
      <c r="K664" t="n">
        <v>0</v>
      </c>
      <c r="L664" t="n">
        <v>0</v>
      </c>
      <c r="M664" t="n">
        <v>0</v>
      </c>
      <c r="N664" t="n">
        <v>0</v>
      </c>
      <c r="O664" t="n">
        <v>0</v>
      </c>
      <c r="P664" t="n">
        <v>0</v>
      </c>
      <c r="Q664" t="n">
        <v>0</v>
      </c>
      <c r="R664" s="2" t="inlineStr"/>
    </row>
    <row r="665" ht="15" customHeight="1">
      <c r="A665" t="inlineStr">
        <is>
          <t>A 7630-2025</t>
        </is>
      </c>
      <c r="B665" s="1" t="n">
        <v>45705.74418981482</v>
      </c>
      <c r="C665" s="1" t="n">
        <v>45941</v>
      </c>
      <c r="D665" t="inlineStr">
        <is>
          <t>KALMAR LÄN</t>
        </is>
      </c>
      <c r="E665" t="inlineStr">
        <is>
          <t>VIMMERBY</t>
        </is>
      </c>
      <c r="G665" t="n">
        <v>2.5</v>
      </c>
      <c r="H665" t="n">
        <v>0</v>
      </c>
      <c r="I665" t="n">
        <v>0</v>
      </c>
      <c r="J665" t="n">
        <v>0</v>
      </c>
      <c r="K665" t="n">
        <v>0</v>
      </c>
      <c r="L665" t="n">
        <v>0</v>
      </c>
      <c r="M665" t="n">
        <v>0</v>
      </c>
      <c r="N665" t="n">
        <v>0</v>
      </c>
      <c r="O665" t="n">
        <v>0</v>
      </c>
      <c r="P665" t="n">
        <v>0</v>
      </c>
      <c r="Q665" t="n">
        <v>0</v>
      </c>
      <c r="R665" s="2" t="inlineStr"/>
    </row>
    <row r="666" ht="15" customHeight="1">
      <c r="A666" t="inlineStr">
        <is>
          <t>A 13290-2025</t>
        </is>
      </c>
      <c r="B666" s="1" t="n">
        <v>45735.56751157407</v>
      </c>
      <c r="C666" s="1" t="n">
        <v>45941</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45560-2021</t>
        </is>
      </c>
      <c r="B667" s="1" t="n">
        <v>44440</v>
      </c>
      <c r="C667" s="1" t="n">
        <v>45941</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38780-2021</t>
        </is>
      </c>
      <c r="B668" s="1" t="n">
        <v>44410</v>
      </c>
      <c r="C668" s="1" t="n">
        <v>45941</v>
      </c>
      <c r="D668" t="inlineStr">
        <is>
          <t>KALMAR LÄN</t>
        </is>
      </c>
      <c r="E668" t="inlineStr">
        <is>
          <t>VIMMERBY</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30503-2023</t>
        </is>
      </c>
      <c r="B669" s="1" t="n">
        <v>45111</v>
      </c>
      <c r="C669" s="1" t="n">
        <v>45941</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60110-2022</t>
        </is>
      </c>
      <c r="B670" s="1" t="n">
        <v>44909</v>
      </c>
      <c r="C670" s="1" t="n">
        <v>45941</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16622-2025</t>
        </is>
      </c>
      <c r="B671" s="1" t="n">
        <v>45754.33641203704</v>
      </c>
      <c r="C671" s="1" t="n">
        <v>45941</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59300-2024</t>
        </is>
      </c>
      <c r="B672" s="1" t="n">
        <v>45637.66542824074</v>
      </c>
      <c r="C672" s="1" t="n">
        <v>45941</v>
      </c>
      <c r="D672" t="inlineStr">
        <is>
          <t>KALMAR LÄN</t>
        </is>
      </c>
      <c r="E672" t="inlineStr">
        <is>
          <t>VIMMERBY</t>
        </is>
      </c>
      <c r="G672" t="n">
        <v>0.8</v>
      </c>
      <c r="H672" t="n">
        <v>0</v>
      </c>
      <c r="I672" t="n">
        <v>0</v>
      </c>
      <c r="J672" t="n">
        <v>0</v>
      </c>
      <c r="K672" t="n">
        <v>0</v>
      </c>
      <c r="L672" t="n">
        <v>0</v>
      </c>
      <c r="M672" t="n">
        <v>0</v>
      </c>
      <c r="N672" t="n">
        <v>0</v>
      </c>
      <c r="O672" t="n">
        <v>0</v>
      </c>
      <c r="P672" t="n">
        <v>0</v>
      </c>
      <c r="Q672" t="n">
        <v>0</v>
      </c>
      <c r="R672" s="2" t="inlineStr"/>
    </row>
    <row r="673" ht="15" customHeight="1">
      <c r="A673" t="inlineStr">
        <is>
          <t>A 19445-2021</t>
        </is>
      </c>
      <c r="B673" s="1" t="n">
        <v>44310</v>
      </c>
      <c r="C673" s="1" t="n">
        <v>45941</v>
      </c>
      <c r="D673" t="inlineStr">
        <is>
          <t>KALMAR LÄN</t>
        </is>
      </c>
      <c r="E673" t="inlineStr">
        <is>
          <t>VIMMERBY</t>
        </is>
      </c>
      <c r="G673" t="n">
        <v>6.8</v>
      </c>
      <c r="H673" t="n">
        <v>0</v>
      </c>
      <c r="I673" t="n">
        <v>0</v>
      </c>
      <c r="J673" t="n">
        <v>0</v>
      </c>
      <c r="K673" t="n">
        <v>0</v>
      </c>
      <c r="L673" t="n">
        <v>0</v>
      </c>
      <c r="M673" t="n">
        <v>0</v>
      </c>
      <c r="N673" t="n">
        <v>0</v>
      </c>
      <c r="O673" t="n">
        <v>0</v>
      </c>
      <c r="P673" t="n">
        <v>0</v>
      </c>
      <c r="Q673" t="n">
        <v>0</v>
      </c>
      <c r="R673" s="2" t="inlineStr"/>
    </row>
    <row r="674" ht="15" customHeight="1">
      <c r="A674" t="inlineStr">
        <is>
          <t>A 31340-2023</t>
        </is>
      </c>
      <c r="B674" s="1" t="n">
        <v>45114.47895833333</v>
      </c>
      <c r="C674" s="1" t="n">
        <v>45941</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29168-2024</t>
        </is>
      </c>
      <c r="B675" s="1" t="n">
        <v>45482.49870370371</v>
      </c>
      <c r="C675" s="1" t="n">
        <v>45941</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29186-2024</t>
        </is>
      </c>
      <c r="B676" s="1" t="n">
        <v>45482.54844907407</v>
      </c>
      <c r="C676" s="1" t="n">
        <v>45941</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35895-2024</t>
        </is>
      </c>
      <c r="B677" s="1" t="n">
        <v>45533.38870370371</v>
      </c>
      <c r="C677" s="1" t="n">
        <v>45941</v>
      </c>
      <c r="D677" t="inlineStr">
        <is>
          <t>KALMAR LÄN</t>
        </is>
      </c>
      <c r="E677" t="inlineStr">
        <is>
          <t>VIMMERBY</t>
        </is>
      </c>
      <c r="G677" t="n">
        <v>1.4</v>
      </c>
      <c r="H677" t="n">
        <v>0</v>
      </c>
      <c r="I677" t="n">
        <v>0</v>
      </c>
      <c r="J677" t="n">
        <v>0</v>
      </c>
      <c r="K677" t="n">
        <v>0</v>
      </c>
      <c r="L677" t="n">
        <v>0</v>
      </c>
      <c r="M677" t="n">
        <v>0</v>
      </c>
      <c r="N677" t="n">
        <v>0</v>
      </c>
      <c r="O677" t="n">
        <v>0</v>
      </c>
      <c r="P677" t="n">
        <v>0</v>
      </c>
      <c r="Q677" t="n">
        <v>0</v>
      </c>
      <c r="R677" s="2" t="inlineStr"/>
    </row>
    <row r="678" ht="15" customHeight="1">
      <c r="A678" t="inlineStr">
        <is>
          <t>A 12590-2025</t>
        </is>
      </c>
      <c r="B678" s="1" t="n">
        <v>45732.79925925926</v>
      </c>
      <c r="C678" s="1" t="n">
        <v>45941</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30318-2023</t>
        </is>
      </c>
      <c r="B679" s="1" t="n">
        <v>45111.30824074074</v>
      </c>
      <c r="C679" s="1" t="n">
        <v>45941</v>
      </c>
      <c r="D679" t="inlineStr">
        <is>
          <t>KALMAR LÄN</t>
        </is>
      </c>
      <c r="E679" t="inlineStr">
        <is>
          <t>VIMMERBY</t>
        </is>
      </c>
      <c r="G679" t="n">
        <v>2.6</v>
      </c>
      <c r="H679" t="n">
        <v>0</v>
      </c>
      <c r="I679" t="n">
        <v>0</v>
      </c>
      <c r="J679" t="n">
        <v>0</v>
      </c>
      <c r="K679" t="n">
        <v>0</v>
      </c>
      <c r="L679" t="n">
        <v>0</v>
      </c>
      <c r="M679" t="n">
        <v>0</v>
      </c>
      <c r="N679" t="n">
        <v>0</v>
      </c>
      <c r="O679" t="n">
        <v>0</v>
      </c>
      <c r="P679" t="n">
        <v>0</v>
      </c>
      <c r="Q679" t="n">
        <v>0</v>
      </c>
      <c r="R679" s="2" t="inlineStr"/>
    </row>
    <row r="680" ht="15" customHeight="1">
      <c r="A680" t="inlineStr">
        <is>
          <t>A 18329-2023</t>
        </is>
      </c>
      <c r="B680" s="1" t="n">
        <v>45041.63380787037</v>
      </c>
      <c r="C680" s="1" t="n">
        <v>45941</v>
      </c>
      <c r="D680" t="inlineStr">
        <is>
          <t>KALMAR LÄN</t>
        </is>
      </c>
      <c r="E680" t="inlineStr">
        <is>
          <t>VIMMERBY</t>
        </is>
      </c>
      <c r="G680" t="n">
        <v>0.5</v>
      </c>
      <c r="H680" t="n">
        <v>0</v>
      </c>
      <c r="I680" t="n">
        <v>0</v>
      </c>
      <c r="J680" t="n">
        <v>0</v>
      </c>
      <c r="K680" t="n">
        <v>0</v>
      </c>
      <c r="L680" t="n">
        <v>0</v>
      </c>
      <c r="M680" t="n">
        <v>0</v>
      </c>
      <c r="N680" t="n">
        <v>0</v>
      </c>
      <c r="O680" t="n">
        <v>0</v>
      </c>
      <c r="P680" t="n">
        <v>0</v>
      </c>
      <c r="Q680" t="n">
        <v>0</v>
      </c>
      <c r="R680" s="2" t="inlineStr"/>
    </row>
    <row r="681" ht="15" customHeight="1">
      <c r="A681" t="inlineStr">
        <is>
          <t>A 5720-2023</t>
        </is>
      </c>
      <c r="B681" s="1" t="n">
        <v>44961</v>
      </c>
      <c r="C681" s="1" t="n">
        <v>45941</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43186-2021</t>
        </is>
      </c>
      <c r="B682" s="1" t="n">
        <v>44431.84840277778</v>
      </c>
      <c r="C682" s="1" t="n">
        <v>45941</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60215-2022</t>
        </is>
      </c>
      <c r="B683" s="1" t="n">
        <v>44910.41346064815</v>
      </c>
      <c r="C683" s="1" t="n">
        <v>45941</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60230-2022</t>
        </is>
      </c>
      <c r="B684" s="1" t="n">
        <v>44910</v>
      </c>
      <c r="C684" s="1" t="n">
        <v>45941</v>
      </c>
      <c r="D684" t="inlineStr">
        <is>
          <t>KALMAR LÄN</t>
        </is>
      </c>
      <c r="E684" t="inlineStr">
        <is>
          <t>VIMMERBY</t>
        </is>
      </c>
      <c r="G684" t="n">
        <v>11.3</v>
      </c>
      <c r="H684" t="n">
        <v>0</v>
      </c>
      <c r="I684" t="n">
        <v>0</v>
      </c>
      <c r="J684" t="n">
        <v>0</v>
      </c>
      <c r="K684" t="n">
        <v>0</v>
      </c>
      <c r="L684" t="n">
        <v>0</v>
      </c>
      <c r="M684" t="n">
        <v>0</v>
      </c>
      <c r="N684" t="n">
        <v>0</v>
      </c>
      <c r="O684" t="n">
        <v>0</v>
      </c>
      <c r="P684" t="n">
        <v>0</v>
      </c>
      <c r="Q684" t="n">
        <v>0</v>
      </c>
      <c r="R684" s="2" t="inlineStr"/>
    </row>
    <row r="685" ht="15" customHeight="1">
      <c r="A685" t="inlineStr">
        <is>
          <t>A 61538-2022</t>
        </is>
      </c>
      <c r="B685" s="1" t="n">
        <v>44916.55414351852</v>
      </c>
      <c r="C685" s="1" t="n">
        <v>45941</v>
      </c>
      <c r="D685" t="inlineStr">
        <is>
          <t>KALMAR LÄN</t>
        </is>
      </c>
      <c r="E685" t="inlineStr">
        <is>
          <t>VIMMERBY</t>
        </is>
      </c>
      <c r="G685" t="n">
        <v>1.5</v>
      </c>
      <c r="H685" t="n">
        <v>0</v>
      </c>
      <c r="I685" t="n">
        <v>0</v>
      </c>
      <c r="J685" t="n">
        <v>0</v>
      </c>
      <c r="K685" t="n">
        <v>0</v>
      </c>
      <c r="L685" t="n">
        <v>0</v>
      </c>
      <c r="M685" t="n">
        <v>0</v>
      </c>
      <c r="N685" t="n">
        <v>0</v>
      </c>
      <c r="O685" t="n">
        <v>0</v>
      </c>
      <c r="P685" t="n">
        <v>0</v>
      </c>
      <c r="Q685" t="n">
        <v>0</v>
      </c>
      <c r="R685" s="2" t="inlineStr"/>
    </row>
    <row r="686" ht="15" customHeight="1">
      <c r="A686" t="inlineStr">
        <is>
          <t>A 5925-2022</t>
        </is>
      </c>
      <c r="B686" s="1" t="n">
        <v>44598.7384837963</v>
      </c>
      <c r="C686" s="1" t="n">
        <v>45941</v>
      </c>
      <c r="D686" t="inlineStr">
        <is>
          <t>KALMAR LÄN</t>
        </is>
      </c>
      <c r="E686" t="inlineStr">
        <is>
          <t>VIMMERBY</t>
        </is>
      </c>
      <c r="G686" t="n">
        <v>2.1</v>
      </c>
      <c r="H686" t="n">
        <v>0</v>
      </c>
      <c r="I686" t="n">
        <v>0</v>
      </c>
      <c r="J686" t="n">
        <v>0</v>
      </c>
      <c r="K686" t="n">
        <v>0</v>
      </c>
      <c r="L686" t="n">
        <v>0</v>
      </c>
      <c r="M686" t="n">
        <v>0</v>
      </c>
      <c r="N686" t="n">
        <v>0</v>
      </c>
      <c r="O686" t="n">
        <v>0</v>
      </c>
      <c r="P686" t="n">
        <v>0</v>
      </c>
      <c r="Q686" t="n">
        <v>0</v>
      </c>
      <c r="R686" s="2" t="inlineStr"/>
    </row>
    <row r="687" ht="15" customHeight="1">
      <c r="A687" t="inlineStr">
        <is>
          <t>A 845-2023</t>
        </is>
      </c>
      <c r="B687" s="1" t="n">
        <v>44931</v>
      </c>
      <c r="C687" s="1" t="n">
        <v>45941</v>
      </c>
      <c r="D687" t="inlineStr">
        <is>
          <t>KALMAR LÄN</t>
        </is>
      </c>
      <c r="E687" t="inlineStr">
        <is>
          <t>VIMMERBY</t>
        </is>
      </c>
      <c r="F687" t="inlineStr">
        <is>
          <t>Övriga Aktiebolag</t>
        </is>
      </c>
      <c r="G687" t="n">
        <v>19</v>
      </c>
      <c r="H687" t="n">
        <v>0</v>
      </c>
      <c r="I687" t="n">
        <v>0</v>
      </c>
      <c r="J687" t="n">
        <v>0</v>
      </c>
      <c r="K687" t="n">
        <v>0</v>
      </c>
      <c r="L687" t="n">
        <v>0</v>
      </c>
      <c r="M687" t="n">
        <v>0</v>
      </c>
      <c r="N687" t="n">
        <v>0</v>
      </c>
      <c r="O687" t="n">
        <v>0</v>
      </c>
      <c r="P687" t="n">
        <v>0</v>
      </c>
      <c r="Q687" t="n">
        <v>0</v>
      </c>
      <c r="R687" s="2" t="inlineStr"/>
    </row>
    <row r="688" ht="15" customHeight="1">
      <c r="A688" t="inlineStr">
        <is>
          <t>A 694-2024</t>
        </is>
      </c>
      <c r="B688" s="1" t="n">
        <v>45300.3794212963</v>
      </c>
      <c r="C688" s="1" t="n">
        <v>45941</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57114-2023</t>
        </is>
      </c>
      <c r="B689" s="1" t="n">
        <v>45245.36174768519</v>
      </c>
      <c r="C689" s="1" t="n">
        <v>45941</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16119-2023</t>
        </is>
      </c>
      <c r="B690" s="1" t="n">
        <v>45027.59450231482</v>
      </c>
      <c r="C690" s="1" t="n">
        <v>45941</v>
      </c>
      <c r="D690" t="inlineStr">
        <is>
          <t>KALMAR LÄN</t>
        </is>
      </c>
      <c r="E690" t="inlineStr">
        <is>
          <t>VIMMERBY</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30588-2023</t>
        </is>
      </c>
      <c r="B691" s="1" t="n">
        <v>45112.33599537037</v>
      </c>
      <c r="C691" s="1" t="n">
        <v>45941</v>
      </c>
      <c r="D691" t="inlineStr">
        <is>
          <t>KALMAR LÄN</t>
        </is>
      </c>
      <c r="E691" t="inlineStr">
        <is>
          <t>VIMMERBY</t>
        </is>
      </c>
      <c r="G691" t="n">
        <v>2.7</v>
      </c>
      <c r="H691" t="n">
        <v>0</v>
      </c>
      <c r="I691" t="n">
        <v>0</v>
      </c>
      <c r="J691" t="n">
        <v>0</v>
      </c>
      <c r="K691" t="n">
        <v>0</v>
      </c>
      <c r="L691" t="n">
        <v>0</v>
      </c>
      <c r="M691" t="n">
        <v>0</v>
      </c>
      <c r="N691" t="n">
        <v>0</v>
      </c>
      <c r="O691" t="n">
        <v>0</v>
      </c>
      <c r="P691" t="n">
        <v>0</v>
      </c>
      <c r="Q691" t="n">
        <v>0</v>
      </c>
      <c r="R691" s="2" t="inlineStr"/>
    </row>
    <row r="692" ht="15" customHeight="1">
      <c r="A692" t="inlineStr">
        <is>
          <t>A 12327-2023</t>
        </is>
      </c>
      <c r="B692" s="1" t="n">
        <v>44999.36081018519</v>
      </c>
      <c r="C692" s="1" t="n">
        <v>45941</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45528-2021</t>
        </is>
      </c>
      <c r="B693" s="1" t="n">
        <v>44440.60415509259</v>
      </c>
      <c r="C693" s="1" t="n">
        <v>45941</v>
      </c>
      <c r="D693" t="inlineStr">
        <is>
          <t>KALMAR LÄN</t>
        </is>
      </c>
      <c r="E693" t="inlineStr">
        <is>
          <t>VIMMERBY</t>
        </is>
      </c>
      <c r="G693" t="n">
        <v>2.2</v>
      </c>
      <c r="H693" t="n">
        <v>0</v>
      </c>
      <c r="I693" t="n">
        <v>0</v>
      </c>
      <c r="J693" t="n">
        <v>0</v>
      </c>
      <c r="K693" t="n">
        <v>0</v>
      </c>
      <c r="L693" t="n">
        <v>0</v>
      </c>
      <c r="M693" t="n">
        <v>0</v>
      </c>
      <c r="N693" t="n">
        <v>0</v>
      </c>
      <c r="O693" t="n">
        <v>0</v>
      </c>
      <c r="P693" t="n">
        <v>0</v>
      </c>
      <c r="Q693" t="n">
        <v>0</v>
      </c>
      <c r="R693" s="2" t="inlineStr"/>
    </row>
    <row r="694" ht="15" customHeight="1">
      <c r="A694" t="inlineStr">
        <is>
          <t>A 30633-2024</t>
        </is>
      </c>
      <c r="B694" s="1" t="n">
        <v>45495</v>
      </c>
      <c r="C694" s="1" t="n">
        <v>45941</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33424-2023</t>
        </is>
      </c>
      <c r="B695" s="1" t="n">
        <v>45128.9325</v>
      </c>
      <c r="C695" s="1" t="n">
        <v>45941</v>
      </c>
      <c r="D695" t="inlineStr">
        <is>
          <t>KALMAR LÄN</t>
        </is>
      </c>
      <c r="E695" t="inlineStr">
        <is>
          <t>VIMMERBY</t>
        </is>
      </c>
      <c r="G695" t="n">
        <v>2.4</v>
      </c>
      <c r="H695" t="n">
        <v>0</v>
      </c>
      <c r="I695" t="n">
        <v>0</v>
      </c>
      <c r="J695" t="n">
        <v>0</v>
      </c>
      <c r="K695" t="n">
        <v>0</v>
      </c>
      <c r="L695" t="n">
        <v>0</v>
      </c>
      <c r="M695" t="n">
        <v>0</v>
      </c>
      <c r="N695" t="n">
        <v>0</v>
      </c>
      <c r="O695" t="n">
        <v>0</v>
      </c>
      <c r="P695" t="n">
        <v>0</v>
      </c>
      <c r="Q695" t="n">
        <v>0</v>
      </c>
      <c r="R695" s="2" t="inlineStr"/>
    </row>
    <row r="696" ht="15" customHeight="1">
      <c r="A696" t="inlineStr">
        <is>
          <t>A 33425-2023</t>
        </is>
      </c>
      <c r="B696" s="1" t="n">
        <v>45128.93540509259</v>
      </c>
      <c r="C696" s="1" t="n">
        <v>45941</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3609-2024</t>
        </is>
      </c>
      <c r="B697" s="1" t="n">
        <v>45320.89128472222</v>
      </c>
      <c r="C697" s="1" t="n">
        <v>45941</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16516-2023</t>
        </is>
      </c>
      <c r="B698" s="1" t="n">
        <v>45029</v>
      </c>
      <c r="C698" s="1" t="n">
        <v>45941</v>
      </c>
      <c r="D698" t="inlineStr">
        <is>
          <t>KALMAR LÄN</t>
        </is>
      </c>
      <c r="E698" t="inlineStr">
        <is>
          <t>VIMMERBY</t>
        </is>
      </c>
      <c r="G698" t="n">
        <v>4.3</v>
      </c>
      <c r="H698" t="n">
        <v>0</v>
      </c>
      <c r="I698" t="n">
        <v>0</v>
      </c>
      <c r="J698" t="n">
        <v>0</v>
      </c>
      <c r="K698" t="n">
        <v>0</v>
      </c>
      <c r="L698" t="n">
        <v>0</v>
      </c>
      <c r="M698" t="n">
        <v>0</v>
      </c>
      <c r="N698" t="n">
        <v>0</v>
      </c>
      <c r="O698" t="n">
        <v>0</v>
      </c>
      <c r="P698" t="n">
        <v>0</v>
      </c>
      <c r="Q698" t="n">
        <v>0</v>
      </c>
      <c r="R698" s="2" t="inlineStr"/>
    </row>
    <row r="699" ht="15" customHeight="1">
      <c r="A699" t="inlineStr">
        <is>
          <t>A 2510-2023</t>
        </is>
      </c>
      <c r="B699" s="1" t="n">
        <v>44943.57309027778</v>
      </c>
      <c r="C699" s="1" t="n">
        <v>45941</v>
      </c>
      <c r="D699" t="inlineStr">
        <is>
          <t>KALMAR LÄN</t>
        </is>
      </c>
      <c r="E699" t="inlineStr">
        <is>
          <t>VIMMERBY</t>
        </is>
      </c>
      <c r="G699" t="n">
        <v>8.6</v>
      </c>
      <c r="H699" t="n">
        <v>0</v>
      </c>
      <c r="I699" t="n">
        <v>0</v>
      </c>
      <c r="J699" t="n">
        <v>0</v>
      </c>
      <c r="K699" t="n">
        <v>0</v>
      </c>
      <c r="L699" t="n">
        <v>0</v>
      </c>
      <c r="M699" t="n">
        <v>0</v>
      </c>
      <c r="N699" t="n">
        <v>0</v>
      </c>
      <c r="O699" t="n">
        <v>0</v>
      </c>
      <c r="P699" t="n">
        <v>0</v>
      </c>
      <c r="Q699" t="n">
        <v>0</v>
      </c>
      <c r="R699" s="2" t="inlineStr"/>
    </row>
    <row r="700" ht="15" customHeight="1">
      <c r="A700" t="inlineStr">
        <is>
          <t>A 48373-2021</t>
        </is>
      </c>
      <c r="B700" s="1" t="n">
        <v>44451</v>
      </c>
      <c r="C700" s="1" t="n">
        <v>45941</v>
      </c>
      <c r="D700" t="inlineStr">
        <is>
          <t>KALMAR LÄN</t>
        </is>
      </c>
      <c r="E700" t="inlineStr">
        <is>
          <t>VIMMERBY</t>
        </is>
      </c>
      <c r="G700" t="n">
        <v>2.2</v>
      </c>
      <c r="H700" t="n">
        <v>0</v>
      </c>
      <c r="I700" t="n">
        <v>0</v>
      </c>
      <c r="J700" t="n">
        <v>0</v>
      </c>
      <c r="K700" t="n">
        <v>0</v>
      </c>
      <c r="L700" t="n">
        <v>0</v>
      </c>
      <c r="M700" t="n">
        <v>0</v>
      </c>
      <c r="N700" t="n">
        <v>0</v>
      </c>
      <c r="O700" t="n">
        <v>0</v>
      </c>
      <c r="P700" t="n">
        <v>0</v>
      </c>
      <c r="Q700" t="n">
        <v>0</v>
      </c>
      <c r="R700" s="2" t="inlineStr"/>
    </row>
    <row r="701" ht="15" customHeight="1">
      <c r="A701" t="inlineStr">
        <is>
          <t>A 7485-2024</t>
        </is>
      </c>
      <c r="B701" s="1" t="n">
        <v>45346.67184027778</v>
      </c>
      <c r="C701" s="1" t="n">
        <v>45941</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8650-2022</t>
        </is>
      </c>
      <c r="B702" s="1" t="n">
        <v>44613</v>
      </c>
      <c r="C702" s="1" t="n">
        <v>45941</v>
      </c>
      <c r="D702" t="inlineStr">
        <is>
          <t>KALMAR LÄN</t>
        </is>
      </c>
      <c r="E702" t="inlineStr">
        <is>
          <t>VIMMERBY</t>
        </is>
      </c>
      <c r="G702" t="n">
        <v>1.4</v>
      </c>
      <c r="H702" t="n">
        <v>0</v>
      </c>
      <c r="I702" t="n">
        <v>0</v>
      </c>
      <c r="J702" t="n">
        <v>0</v>
      </c>
      <c r="K702" t="n">
        <v>0</v>
      </c>
      <c r="L702" t="n">
        <v>0</v>
      </c>
      <c r="M702" t="n">
        <v>0</v>
      </c>
      <c r="N702" t="n">
        <v>0</v>
      </c>
      <c r="O702" t="n">
        <v>0</v>
      </c>
      <c r="P702" t="n">
        <v>0</v>
      </c>
      <c r="Q702" t="n">
        <v>0</v>
      </c>
      <c r="R702" s="2" t="inlineStr"/>
    </row>
    <row r="703" ht="15" customHeight="1">
      <c r="A703" t="inlineStr">
        <is>
          <t>A 6574-2023</t>
        </is>
      </c>
      <c r="B703" s="1" t="n">
        <v>44966</v>
      </c>
      <c r="C703" s="1" t="n">
        <v>45941</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11147-2023</t>
        </is>
      </c>
      <c r="B704" s="1" t="n">
        <v>44992</v>
      </c>
      <c r="C704" s="1" t="n">
        <v>45941</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20054-2023</t>
        </is>
      </c>
      <c r="B705" s="1" t="n">
        <v>45054.6750462963</v>
      </c>
      <c r="C705" s="1" t="n">
        <v>45941</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58750-2022</t>
        </is>
      </c>
      <c r="B706" s="1" t="n">
        <v>44903.33363425926</v>
      </c>
      <c r="C706" s="1" t="n">
        <v>45941</v>
      </c>
      <c r="D706" t="inlineStr">
        <is>
          <t>KALMAR LÄN</t>
        </is>
      </c>
      <c r="E706" t="inlineStr">
        <is>
          <t>VIMMERBY</t>
        </is>
      </c>
      <c r="G706" t="n">
        <v>3.3</v>
      </c>
      <c r="H706" t="n">
        <v>0</v>
      </c>
      <c r="I706" t="n">
        <v>0</v>
      </c>
      <c r="J706" t="n">
        <v>0</v>
      </c>
      <c r="K706" t="n">
        <v>0</v>
      </c>
      <c r="L706" t="n">
        <v>0</v>
      </c>
      <c r="M706" t="n">
        <v>0</v>
      </c>
      <c r="N706" t="n">
        <v>0</v>
      </c>
      <c r="O706" t="n">
        <v>0</v>
      </c>
      <c r="P706" t="n">
        <v>0</v>
      </c>
      <c r="Q706" t="n">
        <v>0</v>
      </c>
      <c r="R706" s="2" t="inlineStr"/>
    </row>
    <row r="707" ht="15" customHeight="1">
      <c r="A707" t="inlineStr">
        <is>
          <t>A 2260-2022</t>
        </is>
      </c>
      <c r="B707" s="1" t="n">
        <v>44578.62943287037</v>
      </c>
      <c r="C707" s="1" t="n">
        <v>45941</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16676-2023</t>
        </is>
      </c>
      <c r="B708" s="1" t="n">
        <v>45028</v>
      </c>
      <c r="C708" s="1" t="n">
        <v>45941</v>
      </c>
      <c r="D708" t="inlineStr">
        <is>
          <t>KALMAR LÄN</t>
        </is>
      </c>
      <c r="E708" t="inlineStr">
        <is>
          <t>VIMMERBY</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50860-2022</t>
        </is>
      </c>
      <c r="B709" s="1" t="n">
        <v>44867</v>
      </c>
      <c r="C709" s="1" t="n">
        <v>45941</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53483-2022</t>
        </is>
      </c>
      <c r="B710" s="1" t="n">
        <v>44879.55940972222</v>
      </c>
      <c r="C710" s="1" t="n">
        <v>45941</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23263-2024</t>
        </is>
      </c>
      <c r="B711" s="1" t="n">
        <v>45453.36854166666</v>
      </c>
      <c r="C711" s="1" t="n">
        <v>45941</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58962-2022</t>
        </is>
      </c>
      <c r="B712" s="1" t="n">
        <v>44903</v>
      </c>
      <c r="C712" s="1" t="n">
        <v>45941</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58967-2022</t>
        </is>
      </c>
      <c r="B713" s="1" t="n">
        <v>44896</v>
      </c>
      <c r="C713" s="1" t="n">
        <v>45941</v>
      </c>
      <c r="D713" t="inlineStr">
        <is>
          <t>KALMAR LÄN</t>
        </is>
      </c>
      <c r="E713" t="inlineStr">
        <is>
          <t>VIMMERBY</t>
        </is>
      </c>
      <c r="G713" t="n">
        <v>5</v>
      </c>
      <c r="H713" t="n">
        <v>0</v>
      </c>
      <c r="I713" t="n">
        <v>0</v>
      </c>
      <c r="J713" t="n">
        <v>0</v>
      </c>
      <c r="K713" t="n">
        <v>0</v>
      </c>
      <c r="L713" t="n">
        <v>0</v>
      </c>
      <c r="M713" t="n">
        <v>0</v>
      </c>
      <c r="N713" t="n">
        <v>0</v>
      </c>
      <c r="O713" t="n">
        <v>0</v>
      </c>
      <c r="P713" t="n">
        <v>0</v>
      </c>
      <c r="Q713" t="n">
        <v>0</v>
      </c>
      <c r="R713" s="2" t="inlineStr"/>
    </row>
    <row r="714" ht="15" customHeight="1">
      <c r="A714" t="inlineStr">
        <is>
          <t>A 57682-2022</t>
        </is>
      </c>
      <c r="B714" s="1" t="n">
        <v>44890</v>
      </c>
      <c r="C714" s="1" t="n">
        <v>45941</v>
      </c>
      <c r="D714" t="inlineStr">
        <is>
          <t>KALMAR LÄN</t>
        </is>
      </c>
      <c r="E714" t="inlineStr">
        <is>
          <t>VIMMERBY</t>
        </is>
      </c>
      <c r="G714" t="n">
        <v>1.5</v>
      </c>
      <c r="H714" t="n">
        <v>0</v>
      </c>
      <c r="I714" t="n">
        <v>0</v>
      </c>
      <c r="J714" t="n">
        <v>0</v>
      </c>
      <c r="K714" t="n">
        <v>0</v>
      </c>
      <c r="L714" t="n">
        <v>0</v>
      </c>
      <c r="M714" t="n">
        <v>0</v>
      </c>
      <c r="N714" t="n">
        <v>0</v>
      </c>
      <c r="O714" t="n">
        <v>0</v>
      </c>
      <c r="P714" t="n">
        <v>0</v>
      </c>
      <c r="Q714" t="n">
        <v>0</v>
      </c>
      <c r="R714" s="2" t="inlineStr"/>
    </row>
    <row r="715" ht="15" customHeight="1">
      <c r="A715" t="inlineStr">
        <is>
          <t>A 49488-2023</t>
        </is>
      </c>
      <c r="B715" s="1" t="n">
        <v>45211.55472222222</v>
      </c>
      <c r="C715" s="1" t="n">
        <v>45941</v>
      </c>
      <c r="D715" t="inlineStr">
        <is>
          <t>KALMAR LÄN</t>
        </is>
      </c>
      <c r="E715" t="inlineStr">
        <is>
          <t>VIMMERBY</t>
        </is>
      </c>
      <c r="F715" t="inlineStr">
        <is>
          <t>Sveaskog</t>
        </is>
      </c>
      <c r="G715" t="n">
        <v>6.2</v>
      </c>
      <c r="H715" t="n">
        <v>0</v>
      </c>
      <c r="I715" t="n">
        <v>0</v>
      </c>
      <c r="J715" t="n">
        <v>0</v>
      </c>
      <c r="K715" t="n">
        <v>0</v>
      </c>
      <c r="L715" t="n">
        <v>0</v>
      </c>
      <c r="M715" t="n">
        <v>0</v>
      </c>
      <c r="N715" t="n">
        <v>0</v>
      </c>
      <c r="O715" t="n">
        <v>0</v>
      </c>
      <c r="P715" t="n">
        <v>0</v>
      </c>
      <c r="Q715" t="n">
        <v>0</v>
      </c>
      <c r="R715" s="2" t="inlineStr"/>
    </row>
    <row r="716" ht="15" customHeight="1">
      <c r="A716" t="inlineStr">
        <is>
          <t>A 4076-2022</t>
        </is>
      </c>
      <c r="B716" s="1" t="n">
        <v>44588.37998842593</v>
      </c>
      <c r="C716" s="1" t="n">
        <v>45941</v>
      </c>
      <c r="D716" t="inlineStr">
        <is>
          <t>KALMAR LÄN</t>
        </is>
      </c>
      <c r="E716" t="inlineStr">
        <is>
          <t>VIMMERBY</t>
        </is>
      </c>
      <c r="G716" t="n">
        <v>3</v>
      </c>
      <c r="H716" t="n">
        <v>0</v>
      </c>
      <c r="I716" t="n">
        <v>0</v>
      </c>
      <c r="J716" t="n">
        <v>0</v>
      </c>
      <c r="K716" t="n">
        <v>0</v>
      </c>
      <c r="L716" t="n">
        <v>0</v>
      </c>
      <c r="M716" t="n">
        <v>0</v>
      </c>
      <c r="N716" t="n">
        <v>0</v>
      </c>
      <c r="O716" t="n">
        <v>0</v>
      </c>
      <c r="P716" t="n">
        <v>0</v>
      </c>
      <c r="Q716" t="n">
        <v>0</v>
      </c>
      <c r="R716" s="2" t="inlineStr"/>
    </row>
    <row r="717" ht="15" customHeight="1">
      <c r="A717" t="inlineStr">
        <is>
          <t>A 4122-2022</t>
        </is>
      </c>
      <c r="B717" s="1" t="n">
        <v>44588</v>
      </c>
      <c r="C717" s="1" t="n">
        <v>45941</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65961-2020</t>
        </is>
      </c>
      <c r="B718" s="1" t="n">
        <v>44175.39748842592</v>
      </c>
      <c r="C718" s="1" t="n">
        <v>45941</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59768-2024</t>
        </is>
      </c>
      <c r="B719" s="1" t="n">
        <v>45639.56185185185</v>
      </c>
      <c r="C719" s="1" t="n">
        <v>45941</v>
      </c>
      <c r="D719" t="inlineStr">
        <is>
          <t>KALMAR LÄN</t>
        </is>
      </c>
      <c r="E719" t="inlineStr">
        <is>
          <t>VIMMERBY</t>
        </is>
      </c>
      <c r="G719" t="n">
        <v>5.9</v>
      </c>
      <c r="H719" t="n">
        <v>0</v>
      </c>
      <c r="I719" t="n">
        <v>0</v>
      </c>
      <c r="J719" t="n">
        <v>0</v>
      </c>
      <c r="K719" t="n">
        <v>0</v>
      </c>
      <c r="L719" t="n">
        <v>0</v>
      </c>
      <c r="M719" t="n">
        <v>0</v>
      </c>
      <c r="N719" t="n">
        <v>0</v>
      </c>
      <c r="O719" t="n">
        <v>0</v>
      </c>
      <c r="P719" t="n">
        <v>0</v>
      </c>
      <c r="Q719" t="n">
        <v>0</v>
      </c>
      <c r="R719" s="2" t="inlineStr"/>
    </row>
    <row r="720" ht="15" customHeight="1">
      <c r="A720" t="inlineStr">
        <is>
          <t>A 9624-2024</t>
        </is>
      </c>
      <c r="B720" s="1" t="n">
        <v>45361.90282407407</v>
      </c>
      <c r="C720" s="1" t="n">
        <v>45941</v>
      </c>
      <c r="D720" t="inlineStr">
        <is>
          <t>KALMAR LÄN</t>
        </is>
      </c>
      <c r="E720" t="inlineStr">
        <is>
          <t>VIMMERBY</t>
        </is>
      </c>
      <c r="G720" t="n">
        <v>3.8</v>
      </c>
      <c r="H720" t="n">
        <v>0</v>
      </c>
      <c r="I720" t="n">
        <v>0</v>
      </c>
      <c r="J720" t="n">
        <v>0</v>
      </c>
      <c r="K720" t="n">
        <v>0</v>
      </c>
      <c r="L720" t="n">
        <v>0</v>
      </c>
      <c r="M720" t="n">
        <v>0</v>
      </c>
      <c r="N720" t="n">
        <v>0</v>
      </c>
      <c r="O720" t="n">
        <v>0</v>
      </c>
      <c r="P720" t="n">
        <v>0</v>
      </c>
      <c r="Q720" t="n">
        <v>0</v>
      </c>
      <c r="R720" s="2" t="inlineStr"/>
    </row>
    <row r="721" ht="15" customHeight="1">
      <c r="A721" t="inlineStr">
        <is>
          <t>A 72067-2021</t>
        </is>
      </c>
      <c r="B721" s="1" t="n">
        <v>44540</v>
      </c>
      <c r="C721" s="1" t="n">
        <v>45941</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52327-2023</t>
        </is>
      </c>
      <c r="B722" s="1" t="n">
        <v>45224.6515162037</v>
      </c>
      <c r="C722" s="1" t="n">
        <v>45941</v>
      </c>
      <c r="D722" t="inlineStr">
        <is>
          <t>KALMAR LÄN</t>
        </is>
      </c>
      <c r="E722" t="inlineStr">
        <is>
          <t>VIMMERBY</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41158-2023</t>
        </is>
      </c>
      <c r="B723" s="1" t="n">
        <v>45174.31395833333</v>
      </c>
      <c r="C723" s="1" t="n">
        <v>45941</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22198-2024</t>
        </is>
      </c>
      <c r="B724" s="1" t="n">
        <v>45446.36865740741</v>
      </c>
      <c r="C724" s="1" t="n">
        <v>45941</v>
      </c>
      <c r="D724" t="inlineStr">
        <is>
          <t>KALMAR LÄN</t>
        </is>
      </c>
      <c r="E724" t="inlineStr">
        <is>
          <t>VIMMERBY</t>
        </is>
      </c>
      <c r="F724" t="inlineStr">
        <is>
          <t>Sveaskog</t>
        </is>
      </c>
      <c r="G724" t="n">
        <v>2.3</v>
      </c>
      <c r="H724" t="n">
        <v>0</v>
      </c>
      <c r="I724" t="n">
        <v>0</v>
      </c>
      <c r="J724" t="n">
        <v>0</v>
      </c>
      <c r="K724" t="n">
        <v>0</v>
      </c>
      <c r="L724" t="n">
        <v>0</v>
      </c>
      <c r="M724" t="n">
        <v>0</v>
      </c>
      <c r="N724" t="n">
        <v>0</v>
      </c>
      <c r="O724" t="n">
        <v>0</v>
      </c>
      <c r="P724" t="n">
        <v>0</v>
      </c>
      <c r="Q724" t="n">
        <v>0</v>
      </c>
      <c r="R724" s="2" t="inlineStr"/>
    </row>
    <row r="725" ht="15" customHeight="1">
      <c r="A725" t="inlineStr">
        <is>
          <t>A 9511-2023</t>
        </is>
      </c>
      <c r="B725" s="1" t="n">
        <v>44981.64725694444</v>
      </c>
      <c r="C725" s="1" t="n">
        <v>45941</v>
      </c>
      <c r="D725" t="inlineStr">
        <is>
          <t>KALMAR LÄN</t>
        </is>
      </c>
      <c r="E725" t="inlineStr">
        <is>
          <t>VIMMERBY</t>
        </is>
      </c>
      <c r="G725" t="n">
        <v>3.5</v>
      </c>
      <c r="H725" t="n">
        <v>0</v>
      </c>
      <c r="I725" t="n">
        <v>0</v>
      </c>
      <c r="J725" t="n">
        <v>0</v>
      </c>
      <c r="K725" t="n">
        <v>0</v>
      </c>
      <c r="L725" t="n">
        <v>0</v>
      </c>
      <c r="M725" t="n">
        <v>0</v>
      </c>
      <c r="N725" t="n">
        <v>0</v>
      </c>
      <c r="O725" t="n">
        <v>0</v>
      </c>
      <c r="P725" t="n">
        <v>0</v>
      </c>
      <c r="Q725" t="n">
        <v>0</v>
      </c>
      <c r="R725" s="2" t="inlineStr"/>
    </row>
    <row r="726" ht="15" customHeight="1">
      <c r="A726" t="inlineStr">
        <is>
          <t>A 29616-2022</t>
        </is>
      </c>
      <c r="B726" s="1" t="n">
        <v>44754</v>
      </c>
      <c r="C726" s="1" t="n">
        <v>45941</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29348-2023</t>
        </is>
      </c>
      <c r="B727" s="1" t="n">
        <v>45106.25025462963</v>
      </c>
      <c r="C727" s="1" t="n">
        <v>45941</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28403-2023</t>
        </is>
      </c>
      <c r="B728" s="1" t="n">
        <v>45100.85270833333</v>
      </c>
      <c r="C728" s="1" t="n">
        <v>45941</v>
      </c>
      <c r="D728" t="inlineStr">
        <is>
          <t>KALMAR LÄN</t>
        </is>
      </c>
      <c r="E728" t="inlineStr">
        <is>
          <t>VIMMERBY</t>
        </is>
      </c>
      <c r="G728" t="n">
        <v>1.8</v>
      </c>
      <c r="H728" t="n">
        <v>0</v>
      </c>
      <c r="I728" t="n">
        <v>0</v>
      </c>
      <c r="J728" t="n">
        <v>0</v>
      </c>
      <c r="K728" t="n">
        <v>0</v>
      </c>
      <c r="L728" t="n">
        <v>0</v>
      </c>
      <c r="M728" t="n">
        <v>0</v>
      </c>
      <c r="N728" t="n">
        <v>0</v>
      </c>
      <c r="O728" t="n">
        <v>0</v>
      </c>
      <c r="P728" t="n">
        <v>0</v>
      </c>
      <c r="Q728" t="n">
        <v>0</v>
      </c>
      <c r="R728" s="2" t="inlineStr"/>
    </row>
    <row r="729" ht="15" customHeight="1">
      <c r="A729" t="inlineStr">
        <is>
          <t>A 17511-2024</t>
        </is>
      </c>
      <c r="B729" s="1" t="n">
        <v>45415.57682870371</v>
      </c>
      <c r="C729" s="1" t="n">
        <v>45941</v>
      </c>
      <c r="D729" t="inlineStr">
        <is>
          <t>KALMAR LÄN</t>
        </is>
      </c>
      <c r="E729" t="inlineStr">
        <is>
          <t>VIMMERBY</t>
        </is>
      </c>
      <c r="G729" t="n">
        <v>5.3</v>
      </c>
      <c r="H729" t="n">
        <v>0</v>
      </c>
      <c r="I729" t="n">
        <v>0</v>
      </c>
      <c r="J729" t="n">
        <v>0</v>
      </c>
      <c r="K729" t="n">
        <v>0</v>
      </c>
      <c r="L729" t="n">
        <v>0</v>
      </c>
      <c r="M729" t="n">
        <v>0</v>
      </c>
      <c r="N729" t="n">
        <v>0</v>
      </c>
      <c r="O729" t="n">
        <v>0</v>
      </c>
      <c r="P729" t="n">
        <v>0</v>
      </c>
      <c r="Q729" t="n">
        <v>0</v>
      </c>
      <c r="R729" s="2" t="inlineStr"/>
    </row>
    <row r="730" ht="15" customHeight="1">
      <c r="A730" t="inlineStr">
        <is>
          <t>A 66022-2021</t>
        </is>
      </c>
      <c r="B730" s="1" t="n">
        <v>44517</v>
      </c>
      <c r="C730" s="1" t="n">
        <v>45941</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29973-2023</t>
        </is>
      </c>
      <c r="B731" s="1" t="n">
        <v>45108.703125</v>
      </c>
      <c r="C731" s="1" t="n">
        <v>45941</v>
      </c>
      <c r="D731" t="inlineStr">
        <is>
          <t>KALMAR LÄN</t>
        </is>
      </c>
      <c r="E731" t="inlineStr">
        <is>
          <t>VIMMERBY</t>
        </is>
      </c>
      <c r="G731" t="n">
        <v>4</v>
      </c>
      <c r="H731" t="n">
        <v>0</v>
      </c>
      <c r="I731" t="n">
        <v>0</v>
      </c>
      <c r="J731" t="n">
        <v>0</v>
      </c>
      <c r="K731" t="n">
        <v>0</v>
      </c>
      <c r="L731" t="n">
        <v>0</v>
      </c>
      <c r="M731" t="n">
        <v>0</v>
      </c>
      <c r="N731" t="n">
        <v>0</v>
      </c>
      <c r="O731" t="n">
        <v>0</v>
      </c>
      <c r="P731" t="n">
        <v>0</v>
      </c>
      <c r="Q731" t="n">
        <v>0</v>
      </c>
      <c r="R731" s="2" t="inlineStr"/>
    </row>
    <row r="732" ht="15" customHeight="1">
      <c r="A732" t="inlineStr">
        <is>
          <t>A 30070-2023</t>
        </is>
      </c>
      <c r="B732" s="1" t="n">
        <v>45110.4275</v>
      </c>
      <c r="C732" s="1" t="n">
        <v>45941</v>
      </c>
      <c r="D732" t="inlineStr">
        <is>
          <t>KALMAR LÄN</t>
        </is>
      </c>
      <c r="E732" t="inlineStr">
        <is>
          <t>VIMMERBY</t>
        </is>
      </c>
      <c r="G732" t="n">
        <v>1.6</v>
      </c>
      <c r="H732" t="n">
        <v>0</v>
      </c>
      <c r="I732" t="n">
        <v>0</v>
      </c>
      <c r="J732" t="n">
        <v>0</v>
      </c>
      <c r="K732" t="n">
        <v>0</v>
      </c>
      <c r="L732" t="n">
        <v>0</v>
      </c>
      <c r="M732" t="n">
        <v>0</v>
      </c>
      <c r="N732" t="n">
        <v>0</v>
      </c>
      <c r="O732" t="n">
        <v>0</v>
      </c>
      <c r="P732" t="n">
        <v>0</v>
      </c>
      <c r="Q732" t="n">
        <v>0</v>
      </c>
      <c r="R732" s="2" t="inlineStr"/>
    </row>
    <row r="733" ht="15" customHeight="1">
      <c r="A733" t="inlineStr">
        <is>
          <t>A 34205-2023</t>
        </is>
      </c>
      <c r="B733" s="1" t="n">
        <v>45138</v>
      </c>
      <c r="C733" s="1" t="n">
        <v>45941</v>
      </c>
      <c r="D733" t="inlineStr">
        <is>
          <t>KALMAR LÄN</t>
        </is>
      </c>
      <c r="E733" t="inlineStr">
        <is>
          <t>VIMMERBY</t>
        </is>
      </c>
      <c r="G733" t="n">
        <v>0.6</v>
      </c>
      <c r="H733" t="n">
        <v>0</v>
      </c>
      <c r="I733" t="n">
        <v>0</v>
      </c>
      <c r="J733" t="n">
        <v>0</v>
      </c>
      <c r="K733" t="n">
        <v>0</v>
      </c>
      <c r="L733" t="n">
        <v>0</v>
      </c>
      <c r="M733" t="n">
        <v>0</v>
      </c>
      <c r="N733" t="n">
        <v>0</v>
      </c>
      <c r="O733" t="n">
        <v>0</v>
      </c>
      <c r="P733" t="n">
        <v>0</v>
      </c>
      <c r="Q733" t="n">
        <v>0</v>
      </c>
      <c r="R733" s="2" t="inlineStr"/>
    </row>
    <row r="734" ht="15" customHeight="1">
      <c r="A734" t="inlineStr">
        <is>
          <t>A 46078-2023</t>
        </is>
      </c>
      <c r="B734" s="1" t="n">
        <v>45196</v>
      </c>
      <c r="C734" s="1" t="n">
        <v>45941</v>
      </c>
      <c r="D734" t="inlineStr">
        <is>
          <t>KALMAR LÄN</t>
        </is>
      </c>
      <c r="E734" t="inlineStr">
        <is>
          <t>VIMMERBY</t>
        </is>
      </c>
      <c r="G734" t="n">
        <v>0.7</v>
      </c>
      <c r="H734" t="n">
        <v>0</v>
      </c>
      <c r="I734" t="n">
        <v>0</v>
      </c>
      <c r="J734" t="n">
        <v>0</v>
      </c>
      <c r="K734" t="n">
        <v>0</v>
      </c>
      <c r="L734" t="n">
        <v>0</v>
      </c>
      <c r="M734" t="n">
        <v>0</v>
      </c>
      <c r="N734" t="n">
        <v>0</v>
      </c>
      <c r="O734" t="n">
        <v>0</v>
      </c>
      <c r="P734" t="n">
        <v>0</v>
      </c>
      <c r="Q734" t="n">
        <v>0</v>
      </c>
      <c r="R734" s="2" t="inlineStr"/>
    </row>
    <row r="735" ht="15" customHeight="1">
      <c r="A735" t="inlineStr">
        <is>
          <t>A 57091-2022</t>
        </is>
      </c>
      <c r="B735" s="1" t="n">
        <v>44895.46524305556</v>
      </c>
      <c r="C735" s="1" t="n">
        <v>45941</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7643-2022</t>
        </is>
      </c>
      <c r="B736" s="1" t="n">
        <v>44607</v>
      </c>
      <c r="C736" s="1" t="n">
        <v>45941</v>
      </c>
      <c r="D736" t="inlineStr">
        <is>
          <t>KALMAR LÄN</t>
        </is>
      </c>
      <c r="E736" t="inlineStr">
        <is>
          <t>VIMMERBY</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3494-2023</t>
        </is>
      </c>
      <c r="B737" s="1" t="n">
        <v>44949</v>
      </c>
      <c r="C737" s="1" t="n">
        <v>45941</v>
      </c>
      <c r="D737" t="inlineStr">
        <is>
          <t>KALMAR LÄN</t>
        </is>
      </c>
      <c r="E737" t="inlineStr">
        <is>
          <t>VIMMERBY</t>
        </is>
      </c>
      <c r="F737" t="inlineStr">
        <is>
          <t>Kyrkan</t>
        </is>
      </c>
      <c r="G737" t="n">
        <v>0.8</v>
      </c>
      <c r="H737" t="n">
        <v>0</v>
      </c>
      <c r="I737" t="n">
        <v>0</v>
      </c>
      <c r="J737" t="n">
        <v>0</v>
      </c>
      <c r="K737" t="n">
        <v>0</v>
      </c>
      <c r="L737" t="n">
        <v>0</v>
      </c>
      <c r="M737" t="n">
        <v>0</v>
      </c>
      <c r="N737" t="n">
        <v>0</v>
      </c>
      <c r="O737" t="n">
        <v>0</v>
      </c>
      <c r="P737" t="n">
        <v>0</v>
      </c>
      <c r="Q737" t="n">
        <v>0</v>
      </c>
      <c r="R737" s="2" t="inlineStr"/>
    </row>
    <row r="738" ht="15" customHeight="1">
      <c r="A738" t="inlineStr">
        <is>
          <t>A 2604-2025</t>
        </is>
      </c>
      <c r="B738" s="1" t="n">
        <v>45674.74094907408</v>
      </c>
      <c r="C738" s="1" t="n">
        <v>45941</v>
      </c>
      <c r="D738" t="inlineStr">
        <is>
          <t>KALMAR LÄN</t>
        </is>
      </c>
      <c r="E738" t="inlineStr">
        <is>
          <t>VIMMERBY</t>
        </is>
      </c>
      <c r="G738" t="n">
        <v>7.6</v>
      </c>
      <c r="H738" t="n">
        <v>0</v>
      </c>
      <c r="I738" t="n">
        <v>0</v>
      </c>
      <c r="J738" t="n">
        <v>0</v>
      </c>
      <c r="K738" t="n">
        <v>0</v>
      </c>
      <c r="L738" t="n">
        <v>0</v>
      </c>
      <c r="M738" t="n">
        <v>0</v>
      </c>
      <c r="N738" t="n">
        <v>0</v>
      </c>
      <c r="O738" t="n">
        <v>0</v>
      </c>
      <c r="P738" t="n">
        <v>0</v>
      </c>
      <c r="Q738" t="n">
        <v>0</v>
      </c>
      <c r="R738" s="2" t="inlineStr"/>
    </row>
    <row r="739" ht="15" customHeight="1">
      <c r="A739" t="inlineStr">
        <is>
          <t>A 6807-2025</t>
        </is>
      </c>
      <c r="B739" s="1" t="n">
        <v>45700.68672453704</v>
      </c>
      <c r="C739" s="1" t="n">
        <v>45941</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32633-2023</t>
        </is>
      </c>
      <c r="B740" s="1" t="n">
        <v>45121.58699074074</v>
      </c>
      <c r="C740" s="1" t="n">
        <v>45941</v>
      </c>
      <c r="D740" t="inlineStr">
        <is>
          <t>KALMAR LÄN</t>
        </is>
      </c>
      <c r="E740" t="inlineStr">
        <is>
          <t>VIMMERBY</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43601-2024</t>
        </is>
      </c>
      <c r="B741" s="1" t="n">
        <v>45569.44684027778</v>
      </c>
      <c r="C741" s="1" t="n">
        <v>45941</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38851-2023</t>
        </is>
      </c>
      <c r="B742" s="1" t="n">
        <v>45163</v>
      </c>
      <c r="C742" s="1" t="n">
        <v>45941</v>
      </c>
      <c r="D742" t="inlineStr">
        <is>
          <t>KALMAR LÄN</t>
        </is>
      </c>
      <c r="E742" t="inlineStr">
        <is>
          <t>VIMMERBY</t>
        </is>
      </c>
      <c r="G742" t="n">
        <v>4.3</v>
      </c>
      <c r="H742" t="n">
        <v>0</v>
      </c>
      <c r="I742" t="n">
        <v>0</v>
      </c>
      <c r="J742" t="n">
        <v>0</v>
      </c>
      <c r="K742" t="n">
        <v>0</v>
      </c>
      <c r="L742" t="n">
        <v>0</v>
      </c>
      <c r="M742" t="n">
        <v>0</v>
      </c>
      <c r="N742" t="n">
        <v>0</v>
      </c>
      <c r="O742" t="n">
        <v>0</v>
      </c>
      <c r="P742" t="n">
        <v>0</v>
      </c>
      <c r="Q742" t="n">
        <v>0</v>
      </c>
      <c r="R742" s="2" t="inlineStr"/>
    </row>
    <row r="743" ht="15" customHeight="1">
      <c r="A743" t="inlineStr">
        <is>
          <t>A 13813-2024</t>
        </is>
      </c>
      <c r="B743" s="1" t="n">
        <v>45391.41310185185</v>
      </c>
      <c r="C743" s="1" t="n">
        <v>45941</v>
      </c>
      <c r="D743" t="inlineStr">
        <is>
          <t>KALMAR LÄN</t>
        </is>
      </c>
      <c r="E743" t="inlineStr">
        <is>
          <t>VIMMERBY</t>
        </is>
      </c>
      <c r="G743" t="n">
        <v>0.4</v>
      </c>
      <c r="H743" t="n">
        <v>0</v>
      </c>
      <c r="I743" t="n">
        <v>0</v>
      </c>
      <c r="J743" t="n">
        <v>0</v>
      </c>
      <c r="K743" t="n">
        <v>0</v>
      </c>
      <c r="L743" t="n">
        <v>0</v>
      </c>
      <c r="M743" t="n">
        <v>0</v>
      </c>
      <c r="N743" t="n">
        <v>0</v>
      </c>
      <c r="O743" t="n">
        <v>0</v>
      </c>
      <c r="P743" t="n">
        <v>0</v>
      </c>
      <c r="Q743" t="n">
        <v>0</v>
      </c>
      <c r="R743" s="2" t="inlineStr"/>
    </row>
    <row r="744" ht="15" customHeight="1">
      <c r="A744" t="inlineStr">
        <is>
          <t>A 25234-2023</t>
        </is>
      </c>
      <c r="B744" s="1" t="n">
        <v>45086.63194444445</v>
      </c>
      <c r="C744" s="1" t="n">
        <v>45941</v>
      </c>
      <c r="D744" t="inlineStr">
        <is>
          <t>KALMAR LÄN</t>
        </is>
      </c>
      <c r="E744" t="inlineStr">
        <is>
          <t>VIMMERBY</t>
        </is>
      </c>
      <c r="G744" t="n">
        <v>2.1</v>
      </c>
      <c r="H744" t="n">
        <v>0</v>
      </c>
      <c r="I744" t="n">
        <v>0</v>
      </c>
      <c r="J744" t="n">
        <v>0</v>
      </c>
      <c r="K744" t="n">
        <v>0</v>
      </c>
      <c r="L744" t="n">
        <v>0</v>
      </c>
      <c r="M744" t="n">
        <v>0</v>
      </c>
      <c r="N744" t="n">
        <v>0</v>
      </c>
      <c r="O744" t="n">
        <v>0</v>
      </c>
      <c r="P744" t="n">
        <v>0</v>
      </c>
      <c r="Q744" t="n">
        <v>0</v>
      </c>
      <c r="R744" s="2" t="inlineStr"/>
    </row>
    <row r="745" ht="15" customHeight="1">
      <c r="A745" t="inlineStr">
        <is>
          <t>A 25236-2023</t>
        </is>
      </c>
      <c r="B745" s="1" t="n">
        <v>45086.63334490741</v>
      </c>
      <c r="C745" s="1" t="n">
        <v>45941</v>
      </c>
      <c r="D745" t="inlineStr">
        <is>
          <t>KALMAR LÄN</t>
        </is>
      </c>
      <c r="E745" t="inlineStr">
        <is>
          <t>VIMMERBY</t>
        </is>
      </c>
      <c r="G745" t="n">
        <v>0.9</v>
      </c>
      <c r="H745" t="n">
        <v>0</v>
      </c>
      <c r="I745" t="n">
        <v>0</v>
      </c>
      <c r="J745" t="n">
        <v>0</v>
      </c>
      <c r="K745" t="n">
        <v>0</v>
      </c>
      <c r="L745" t="n">
        <v>0</v>
      </c>
      <c r="M745" t="n">
        <v>0</v>
      </c>
      <c r="N745" t="n">
        <v>0</v>
      </c>
      <c r="O745" t="n">
        <v>0</v>
      </c>
      <c r="P745" t="n">
        <v>0</v>
      </c>
      <c r="Q745" t="n">
        <v>0</v>
      </c>
      <c r="R745" s="2" t="inlineStr"/>
    </row>
    <row r="746" ht="15" customHeight="1">
      <c r="A746" t="inlineStr">
        <is>
          <t>A 23252-2024</t>
        </is>
      </c>
      <c r="B746" s="1" t="n">
        <v>45453.36067129629</v>
      </c>
      <c r="C746" s="1" t="n">
        <v>45941</v>
      </c>
      <c r="D746" t="inlineStr">
        <is>
          <t>KALMAR LÄN</t>
        </is>
      </c>
      <c r="E746" t="inlineStr">
        <is>
          <t>VIMMERBY</t>
        </is>
      </c>
      <c r="G746" t="n">
        <v>0.7</v>
      </c>
      <c r="H746" t="n">
        <v>0</v>
      </c>
      <c r="I746" t="n">
        <v>0</v>
      </c>
      <c r="J746" t="n">
        <v>0</v>
      </c>
      <c r="K746" t="n">
        <v>0</v>
      </c>
      <c r="L746" t="n">
        <v>0</v>
      </c>
      <c r="M746" t="n">
        <v>0</v>
      </c>
      <c r="N746" t="n">
        <v>0</v>
      </c>
      <c r="O746" t="n">
        <v>0</v>
      </c>
      <c r="P746" t="n">
        <v>0</v>
      </c>
      <c r="Q746" t="n">
        <v>0</v>
      </c>
      <c r="R746" s="2" t="inlineStr"/>
    </row>
    <row r="747" ht="15" customHeight="1">
      <c r="A747" t="inlineStr">
        <is>
          <t>A 5792-2023</t>
        </is>
      </c>
      <c r="B747" s="1" t="n">
        <v>44963.44769675926</v>
      </c>
      <c r="C747" s="1" t="n">
        <v>45941</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25244-2023</t>
        </is>
      </c>
      <c r="B748" s="1" t="n">
        <v>45086</v>
      </c>
      <c r="C748" s="1" t="n">
        <v>45941</v>
      </c>
      <c r="D748" t="inlineStr">
        <is>
          <t>KALMAR LÄN</t>
        </is>
      </c>
      <c r="E748" t="inlineStr">
        <is>
          <t>VIMMERBY</t>
        </is>
      </c>
      <c r="G748" t="n">
        <v>4.7</v>
      </c>
      <c r="H748" t="n">
        <v>0</v>
      </c>
      <c r="I748" t="n">
        <v>0</v>
      </c>
      <c r="J748" t="n">
        <v>0</v>
      </c>
      <c r="K748" t="n">
        <v>0</v>
      </c>
      <c r="L748" t="n">
        <v>0</v>
      </c>
      <c r="M748" t="n">
        <v>0</v>
      </c>
      <c r="N748" t="n">
        <v>0</v>
      </c>
      <c r="O748" t="n">
        <v>0</v>
      </c>
      <c r="P748" t="n">
        <v>0</v>
      </c>
      <c r="Q748" t="n">
        <v>0</v>
      </c>
      <c r="R748" s="2" t="inlineStr"/>
    </row>
    <row r="749" ht="15" customHeight="1">
      <c r="A749" t="inlineStr">
        <is>
          <t>A 2797-2023</t>
        </is>
      </c>
      <c r="B749" s="1" t="n">
        <v>44944.71386574074</v>
      </c>
      <c r="C749" s="1" t="n">
        <v>45941</v>
      </c>
      <c r="D749" t="inlineStr">
        <is>
          <t>KALMAR LÄN</t>
        </is>
      </c>
      <c r="E749" t="inlineStr">
        <is>
          <t>VIMMERBY</t>
        </is>
      </c>
      <c r="G749" t="n">
        <v>3.4</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44944.72100694444</v>
      </c>
      <c r="C750" s="1" t="n">
        <v>45941</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6220-2025</t>
        </is>
      </c>
      <c r="B751" s="1" t="n">
        <v>45698.53725694444</v>
      </c>
      <c r="C751" s="1" t="n">
        <v>45941</v>
      </c>
      <c r="D751" t="inlineStr">
        <is>
          <t>KALMAR LÄN</t>
        </is>
      </c>
      <c r="E751" t="inlineStr">
        <is>
          <t>VIMMERBY</t>
        </is>
      </c>
      <c r="G751" t="n">
        <v>0.6</v>
      </c>
      <c r="H751" t="n">
        <v>0</v>
      </c>
      <c r="I751" t="n">
        <v>0</v>
      </c>
      <c r="J751" t="n">
        <v>0</v>
      </c>
      <c r="K751" t="n">
        <v>0</v>
      </c>
      <c r="L751" t="n">
        <v>0</v>
      </c>
      <c r="M751" t="n">
        <v>0</v>
      </c>
      <c r="N751" t="n">
        <v>0</v>
      </c>
      <c r="O751" t="n">
        <v>0</v>
      </c>
      <c r="P751" t="n">
        <v>0</v>
      </c>
      <c r="Q751" t="n">
        <v>0</v>
      </c>
      <c r="R751" s="2" t="inlineStr"/>
    </row>
    <row r="752" ht="15" customHeight="1">
      <c r="A752" t="inlineStr">
        <is>
          <t>A 23341-2022</t>
        </is>
      </c>
      <c r="B752" s="1" t="n">
        <v>44720.53898148148</v>
      </c>
      <c r="C752" s="1" t="n">
        <v>45941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8086-2021</t>
        </is>
      </c>
      <c r="B753" s="1" t="n">
        <v>44243</v>
      </c>
      <c r="C753" s="1" t="n">
        <v>45941</v>
      </c>
      <c r="D753" t="inlineStr">
        <is>
          <t>KALMAR LÄN</t>
        </is>
      </c>
      <c r="E753" t="inlineStr">
        <is>
          <t>VIMMERBY</t>
        </is>
      </c>
      <c r="G753" t="n">
        <v>4.1</v>
      </c>
      <c r="H753" t="n">
        <v>0</v>
      </c>
      <c r="I753" t="n">
        <v>0</v>
      </c>
      <c r="J753" t="n">
        <v>0</v>
      </c>
      <c r="K753" t="n">
        <v>0</v>
      </c>
      <c r="L753" t="n">
        <v>0</v>
      </c>
      <c r="M753" t="n">
        <v>0</v>
      </c>
      <c r="N753" t="n">
        <v>0</v>
      </c>
      <c r="O753" t="n">
        <v>0</v>
      </c>
      <c r="P753" t="n">
        <v>0</v>
      </c>
      <c r="Q753" t="n">
        <v>0</v>
      </c>
      <c r="R753" s="2" t="inlineStr"/>
    </row>
    <row r="754" ht="15" customHeight="1">
      <c r="A754" t="inlineStr">
        <is>
          <t>A 58278-2023</t>
        </is>
      </c>
      <c r="B754" s="1" t="n">
        <v>45250.5278587963</v>
      </c>
      <c r="C754" s="1" t="n">
        <v>45941</v>
      </c>
      <c r="D754" t="inlineStr">
        <is>
          <t>KALMAR LÄN</t>
        </is>
      </c>
      <c r="E754" t="inlineStr">
        <is>
          <t>VIMMERBY</t>
        </is>
      </c>
      <c r="G754" t="n">
        <v>1.8</v>
      </c>
      <c r="H754" t="n">
        <v>0</v>
      </c>
      <c r="I754" t="n">
        <v>0</v>
      </c>
      <c r="J754" t="n">
        <v>0</v>
      </c>
      <c r="K754" t="n">
        <v>0</v>
      </c>
      <c r="L754" t="n">
        <v>0</v>
      </c>
      <c r="M754" t="n">
        <v>0</v>
      </c>
      <c r="N754" t="n">
        <v>0</v>
      </c>
      <c r="O754" t="n">
        <v>0</v>
      </c>
      <c r="P754" t="n">
        <v>0</v>
      </c>
      <c r="Q754" t="n">
        <v>0</v>
      </c>
      <c r="R754" s="2" t="inlineStr"/>
    </row>
    <row r="755" ht="15" customHeight="1">
      <c r="A755" t="inlineStr">
        <is>
          <t>A 36259-2022</t>
        </is>
      </c>
      <c r="B755" s="1" t="n">
        <v>44803.59118055556</v>
      </c>
      <c r="C755" s="1" t="n">
        <v>45941</v>
      </c>
      <c r="D755" t="inlineStr">
        <is>
          <t>KALMAR LÄN</t>
        </is>
      </c>
      <c r="E755" t="inlineStr">
        <is>
          <t>VIMMERBY</t>
        </is>
      </c>
      <c r="G755" t="n">
        <v>3.9</v>
      </c>
      <c r="H755" t="n">
        <v>0</v>
      </c>
      <c r="I755" t="n">
        <v>0</v>
      </c>
      <c r="J755" t="n">
        <v>0</v>
      </c>
      <c r="K755" t="n">
        <v>0</v>
      </c>
      <c r="L755" t="n">
        <v>0</v>
      </c>
      <c r="M755" t="n">
        <v>0</v>
      </c>
      <c r="N755" t="n">
        <v>0</v>
      </c>
      <c r="O755" t="n">
        <v>0</v>
      </c>
      <c r="P755" t="n">
        <v>0</v>
      </c>
      <c r="Q755" t="n">
        <v>0</v>
      </c>
      <c r="R755" s="2" t="inlineStr"/>
    </row>
    <row r="756" ht="15" customHeight="1">
      <c r="A756" t="inlineStr">
        <is>
          <t>A 71793-2021</t>
        </is>
      </c>
      <c r="B756" s="1" t="n">
        <v>44539</v>
      </c>
      <c r="C756" s="1" t="n">
        <v>45941</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36526-2023</t>
        </is>
      </c>
      <c r="B757" s="1" t="n">
        <v>45153.32778935185</v>
      </c>
      <c r="C757" s="1" t="n">
        <v>45941</v>
      </c>
      <c r="D757" t="inlineStr">
        <is>
          <t>KALMAR LÄN</t>
        </is>
      </c>
      <c r="E757" t="inlineStr">
        <is>
          <t>VIMMERBY</t>
        </is>
      </c>
      <c r="G757" t="n">
        <v>2.7</v>
      </c>
      <c r="H757" t="n">
        <v>0</v>
      </c>
      <c r="I757" t="n">
        <v>0</v>
      </c>
      <c r="J757" t="n">
        <v>0</v>
      </c>
      <c r="K757" t="n">
        <v>0</v>
      </c>
      <c r="L757" t="n">
        <v>0</v>
      </c>
      <c r="M757" t="n">
        <v>0</v>
      </c>
      <c r="N757" t="n">
        <v>0</v>
      </c>
      <c r="O757" t="n">
        <v>0</v>
      </c>
      <c r="P757" t="n">
        <v>0</v>
      </c>
      <c r="Q757" t="n">
        <v>0</v>
      </c>
      <c r="R757" s="2" t="inlineStr"/>
    </row>
    <row r="758" ht="15" customHeight="1">
      <c r="A758" t="inlineStr">
        <is>
          <t>A 17988-2025</t>
        </is>
      </c>
      <c r="B758" s="1" t="n">
        <v>45761.39600694444</v>
      </c>
      <c r="C758" s="1" t="n">
        <v>45941</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73938-2021</t>
        </is>
      </c>
      <c r="B759" s="1" t="n">
        <v>44553</v>
      </c>
      <c r="C759" s="1" t="n">
        <v>45941</v>
      </c>
      <c r="D759" t="inlineStr">
        <is>
          <t>KALMAR LÄN</t>
        </is>
      </c>
      <c r="E759" t="inlineStr">
        <is>
          <t>VIMMERBY</t>
        </is>
      </c>
      <c r="G759" t="n">
        <v>3.2</v>
      </c>
      <c r="H759" t="n">
        <v>0</v>
      </c>
      <c r="I759" t="n">
        <v>0</v>
      </c>
      <c r="J759" t="n">
        <v>0</v>
      </c>
      <c r="K759" t="n">
        <v>0</v>
      </c>
      <c r="L759" t="n">
        <v>0</v>
      </c>
      <c r="M759" t="n">
        <v>0</v>
      </c>
      <c r="N759" t="n">
        <v>0</v>
      </c>
      <c r="O759" t="n">
        <v>0</v>
      </c>
      <c r="P759" t="n">
        <v>0</v>
      </c>
      <c r="Q759" t="n">
        <v>0</v>
      </c>
      <c r="R759" s="2" t="inlineStr"/>
    </row>
    <row r="760" ht="15" customHeight="1">
      <c r="A760" t="inlineStr">
        <is>
          <t>A 29350-2023</t>
        </is>
      </c>
      <c r="B760" s="1" t="n">
        <v>45106</v>
      </c>
      <c r="C760" s="1" t="n">
        <v>45941</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29351-2023</t>
        </is>
      </c>
      <c r="B761" s="1" t="n">
        <v>45106.2610300926</v>
      </c>
      <c r="C761" s="1" t="n">
        <v>45941</v>
      </c>
      <c r="D761" t="inlineStr">
        <is>
          <t>KALMAR LÄN</t>
        </is>
      </c>
      <c r="E761" t="inlineStr">
        <is>
          <t>VIMMERBY</t>
        </is>
      </c>
      <c r="G761" t="n">
        <v>0.4</v>
      </c>
      <c r="H761" t="n">
        <v>0</v>
      </c>
      <c r="I761" t="n">
        <v>0</v>
      </c>
      <c r="J761" t="n">
        <v>0</v>
      </c>
      <c r="K761" t="n">
        <v>0</v>
      </c>
      <c r="L761" t="n">
        <v>0</v>
      </c>
      <c r="M761" t="n">
        <v>0</v>
      </c>
      <c r="N761" t="n">
        <v>0</v>
      </c>
      <c r="O761" t="n">
        <v>0</v>
      </c>
      <c r="P761" t="n">
        <v>0</v>
      </c>
      <c r="Q761" t="n">
        <v>0</v>
      </c>
      <c r="R761" s="2" t="inlineStr"/>
    </row>
    <row r="762" ht="15" customHeight="1">
      <c r="A762" t="inlineStr">
        <is>
          <t>A 6069-2023</t>
        </is>
      </c>
      <c r="B762" s="1" t="n">
        <v>44964.5115162037</v>
      </c>
      <c r="C762" s="1" t="n">
        <v>45941</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6474-2025</t>
        </is>
      </c>
      <c r="B763" s="1" t="n">
        <v>45699.60055555555</v>
      </c>
      <c r="C763" s="1" t="n">
        <v>45941</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17-2025</t>
        </is>
      </c>
      <c r="B764" s="1" t="n">
        <v>45658.78774305555</v>
      </c>
      <c r="C764" s="1" t="n">
        <v>45941</v>
      </c>
      <c r="D764" t="inlineStr">
        <is>
          <t>KALMAR LÄN</t>
        </is>
      </c>
      <c r="E764" t="inlineStr">
        <is>
          <t>VIMMERBY</t>
        </is>
      </c>
      <c r="G764" t="n">
        <v>4.4</v>
      </c>
      <c r="H764" t="n">
        <v>0</v>
      </c>
      <c r="I764" t="n">
        <v>0</v>
      </c>
      <c r="J764" t="n">
        <v>0</v>
      </c>
      <c r="K764" t="n">
        <v>0</v>
      </c>
      <c r="L764" t="n">
        <v>0</v>
      </c>
      <c r="M764" t="n">
        <v>0</v>
      </c>
      <c r="N764" t="n">
        <v>0</v>
      </c>
      <c r="O764" t="n">
        <v>0</v>
      </c>
      <c r="P764" t="n">
        <v>0</v>
      </c>
      <c r="Q764" t="n">
        <v>0</v>
      </c>
      <c r="R764" s="2" t="inlineStr"/>
    </row>
    <row r="765" ht="15" customHeight="1">
      <c r="A765" t="inlineStr">
        <is>
          <t>A 50995-2022</t>
        </is>
      </c>
      <c r="B765" s="1" t="n">
        <v>44867</v>
      </c>
      <c r="C765" s="1" t="n">
        <v>45941</v>
      </c>
      <c r="D765" t="inlineStr">
        <is>
          <t>KALMAR LÄN</t>
        </is>
      </c>
      <c r="E765" t="inlineStr">
        <is>
          <t>VIMMERBY</t>
        </is>
      </c>
      <c r="G765" t="n">
        <v>2.4</v>
      </c>
      <c r="H765" t="n">
        <v>0</v>
      </c>
      <c r="I765" t="n">
        <v>0</v>
      </c>
      <c r="J765" t="n">
        <v>0</v>
      </c>
      <c r="K765" t="n">
        <v>0</v>
      </c>
      <c r="L765" t="n">
        <v>0</v>
      </c>
      <c r="M765" t="n">
        <v>0</v>
      </c>
      <c r="N765" t="n">
        <v>0</v>
      </c>
      <c r="O765" t="n">
        <v>0</v>
      </c>
      <c r="P765" t="n">
        <v>0</v>
      </c>
      <c r="Q765" t="n">
        <v>0</v>
      </c>
      <c r="R765" s="2" t="inlineStr"/>
    </row>
    <row r="766" ht="15" customHeight="1">
      <c r="A766" t="inlineStr">
        <is>
          <t>A 57555-2024</t>
        </is>
      </c>
      <c r="B766" s="1" t="n">
        <v>45630.45069444444</v>
      </c>
      <c r="C766" s="1" t="n">
        <v>45941</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27122-2023</t>
        </is>
      </c>
      <c r="B767" s="1" t="n">
        <v>45096.45247685185</v>
      </c>
      <c r="C767" s="1" t="n">
        <v>45941</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30402-2023</t>
        </is>
      </c>
      <c r="B768" s="1" t="n">
        <v>45111.48395833333</v>
      </c>
      <c r="C768" s="1" t="n">
        <v>45941</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18411-2021</t>
        </is>
      </c>
      <c r="B769" s="1" t="n">
        <v>44302</v>
      </c>
      <c r="C769" s="1" t="n">
        <v>45941</v>
      </c>
      <c r="D769" t="inlineStr">
        <is>
          <t>KALMAR LÄN</t>
        </is>
      </c>
      <c r="E769" t="inlineStr">
        <is>
          <t>VIMMERBY</t>
        </is>
      </c>
      <c r="G769" t="n">
        <v>0.7</v>
      </c>
      <c r="H769" t="n">
        <v>0</v>
      </c>
      <c r="I769" t="n">
        <v>0</v>
      </c>
      <c r="J769" t="n">
        <v>0</v>
      </c>
      <c r="K769" t="n">
        <v>0</v>
      </c>
      <c r="L769" t="n">
        <v>0</v>
      </c>
      <c r="M769" t="n">
        <v>0</v>
      </c>
      <c r="N769" t="n">
        <v>0</v>
      </c>
      <c r="O769" t="n">
        <v>0</v>
      </c>
      <c r="P769" t="n">
        <v>0</v>
      </c>
      <c r="Q769" t="n">
        <v>0</v>
      </c>
      <c r="R769" s="2" t="inlineStr"/>
    </row>
    <row r="770" ht="15" customHeight="1">
      <c r="A770" t="inlineStr">
        <is>
          <t>A 52279-2023</t>
        </is>
      </c>
      <c r="B770" s="1" t="n">
        <v>45224</v>
      </c>
      <c r="C770" s="1" t="n">
        <v>45941</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52324-2023</t>
        </is>
      </c>
      <c r="B771" s="1" t="n">
        <v>45224.64659722222</v>
      </c>
      <c r="C771" s="1" t="n">
        <v>45941</v>
      </c>
      <c r="D771" t="inlineStr">
        <is>
          <t>KALMAR LÄN</t>
        </is>
      </c>
      <c r="E771" t="inlineStr">
        <is>
          <t>VIMMERBY</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47842-2024</t>
        </is>
      </c>
      <c r="B772" s="1" t="n">
        <v>45588.65545138889</v>
      </c>
      <c r="C772" s="1" t="n">
        <v>45941</v>
      </c>
      <c r="D772" t="inlineStr">
        <is>
          <t>KALMAR LÄN</t>
        </is>
      </c>
      <c r="E772" t="inlineStr">
        <is>
          <t>VIMMERBY</t>
        </is>
      </c>
      <c r="G772" t="n">
        <v>2.4</v>
      </c>
      <c r="H772" t="n">
        <v>0</v>
      </c>
      <c r="I772" t="n">
        <v>0</v>
      </c>
      <c r="J772" t="n">
        <v>0</v>
      </c>
      <c r="K772" t="n">
        <v>0</v>
      </c>
      <c r="L772" t="n">
        <v>0</v>
      </c>
      <c r="M772" t="n">
        <v>0</v>
      </c>
      <c r="N772" t="n">
        <v>0</v>
      </c>
      <c r="O772" t="n">
        <v>0</v>
      </c>
      <c r="P772" t="n">
        <v>0</v>
      </c>
      <c r="Q772" t="n">
        <v>0</v>
      </c>
      <c r="R772" s="2" t="inlineStr"/>
    </row>
    <row r="773" ht="15" customHeight="1">
      <c r="A773" t="inlineStr">
        <is>
          <t>A 6857-2023</t>
        </is>
      </c>
      <c r="B773" s="1" t="n">
        <v>44967.45122685185</v>
      </c>
      <c r="C773" s="1" t="n">
        <v>45941</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32639-2023</t>
        </is>
      </c>
      <c r="B774" s="1" t="n">
        <v>45121.5965162037</v>
      </c>
      <c r="C774" s="1" t="n">
        <v>45941</v>
      </c>
      <c r="D774" t="inlineStr">
        <is>
          <t>KALMAR LÄN</t>
        </is>
      </c>
      <c r="E774" t="inlineStr">
        <is>
          <t>VIMMERBY</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32642-2023</t>
        </is>
      </c>
      <c r="B775" s="1" t="n">
        <v>45121.59954861111</v>
      </c>
      <c r="C775" s="1" t="n">
        <v>45941</v>
      </c>
      <c r="D775" t="inlineStr">
        <is>
          <t>KALMAR LÄN</t>
        </is>
      </c>
      <c r="E775" t="inlineStr">
        <is>
          <t>VIMMERBY</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32651-2023</t>
        </is>
      </c>
      <c r="B776" s="1" t="n">
        <v>45121.6096875</v>
      </c>
      <c r="C776" s="1" t="n">
        <v>45941</v>
      </c>
      <c r="D776" t="inlineStr">
        <is>
          <t>KALMAR LÄN</t>
        </is>
      </c>
      <c r="E776" t="inlineStr">
        <is>
          <t>VIMMERBY</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40730-2024</t>
        </is>
      </c>
      <c r="B777" s="1" t="n">
        <v>45558.44914351852</v>
      </c>
      <c r="C777" s="1" t="n">
        <v>45941</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9643-2023</t>
        </is>
      </c>
      <c r="B778" s="1" t="n">
        <v>44984</v>
      </c>
      <c r="C778" s="1" t="n">
        <v>45941</v>
      </c>
      <c r="D778" t="inlineStr">
        <is>
          <t>KALMAR LÄN</t>
        </is>
      </c>
      <c r="E778" t="inlineStr">
        <is>
          <t>VIMMERBY</t>
        </is>
      </c>
      <c r="G778" t="n">
        <v>2</v>
      </c>
      <c r="H778" t="n">
        <v>0</v>
      </c>
      <c r="I778" t="n">
        <v>0</v>
      </c>
      <c r="J778" t="n">
        <v>0</v>
      </c>
      <c r="K778" t="n">
        <v>0</v>
      </c>
      <c r="L778" t="n">
        <v>0</v>
      </c>
      <c r="M778" t="n">
        <v>0</v>
      </c>
      <c r="N778" t="n">
        <v>0</v>
      </c>
      <c r="O778" t="n">
        <v>0</v>
      </c>
      <c r="P778" t="n">
        <v>0</v>
      </c>
      <c r="Q778" t="n">
        <v>0</v>
      </c>
      <c r="R778" s="2" t="inlineStr"/>
    </row>
    <row r="779" ht="15" customHeight="1">
      <c r="A779" t="inlineStr">
        <is>
          <t>A 56213-2024</t>
        </is>
      </c>
      <c r="B779" s="1" t="n">
        <v>45624.60141203704</v>
      </c>
      <c r="C779" s="1" t="n">
        <v>45941</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20126-2024</t>
        </is>
      </c>
      <c r="B780" s="1" t="n">
        <v>45434.55471064815</v>
      </c>
      <c r="C780" s="1" t="n">
        <v>45941</v>
      </c>
      <c r="D780" t="inlineStr">
        <is>
          <t>KALMAR LÄN</t>
        </is>
      </c>
      <c r="E780" t="inlineStr">
        <is>
          <t>VIMMERBY</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19865-2021</t>
        </is>
      </c>
      <c r="B781" s="1" t="n">
        <v>44312</v>
      </c>
      <c r="C781" s="1" t="n">
        <v>45941</v>
      </c>
      <c r="D781" t="inlineStr">
        <is>
          <t>KALMAR LÄN</t>
        </is>
      </c>
      <c r="E781" t="inlineStr">
        <is>
          <t>VIMMERBY</t>
        </is>
      </c>
      <c r="G781" t="n">
        <v>8.6</v>
      </c>
      <c r="H781" t="n">
        <v>0</v>
      </c>
      <c r="I781" t="n">
        <v>0</v>
      </c>
      <c r="J781" t="n">
        <v>0</v>
      </c>
      <c r="K781" t="n">
        <v>0</v>
      </c>
      <c r="L781" t="n">
        <v>0</v>
      </c>
      <c r="M781" t="n">
        <v>0</v>
      </c>
      <c r="N781" t="n">
        <v>0</v>
      </c>
      <c r="O781" t="n">
        <v>0</v>
      </c>
      <c r="P781" t="n">
        <v>0</v>
      </c>
      <c r="Q781" t="n">
        <v>0</v>
      </c>
      <c r="R781" s="2" t="inlineStr"/>
    </row>
    <row r="782" ht="15" customHeight="1">
      <c r="A782" t="inlineStr">
        <is>
          <t>A 9694-2023</t>
        </is>
      </c>
      <c r="B782" s="1" t="n">
        <v>44984.45895833334</v>
      </c>
      <c r="C782" s="1" t="n">
        <v>45941</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9710-2023</t>
        </is>
      </c>
      <c r="B783" s="1" t="n">
        <v>44984</v>
      </c>
      <c r="C783" s="1" t="n">
        <v>45941</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46224-2024</t>
        </is>
      </c>
      <c r="B784" s="1" t="n">
        <v>45581.57016203704</v>
      </c>
      <c r="C784" s="1" t="n">
        <v>45941</v>
      </c>
      <c r="D784" t="inlineStr">
        <is>
          <t>KALMAR LÄN</t>
        </is>
      </c>
      <c r="E784" t="inlineStr">
        <is>
          <t>VIMMERBY</t>
        </is>
      </c>
      <c r="G784" t="n">
        <v>3.1</v>
      </c>
      <c r="H784" t="n">
        <v>0</v>
      </c>
      <c r="I784" t="n">
        <v>0</v>
      </c>
      <c r="J784" t="n">
        <v>0</v>
      </c>
      <c r="K784" t="n">
        <v>0</v>
      </c>
      <c r="L784" t="n">
        <v>0</v>
      </c>
      <c r="M784" t="n">
        <v>0</v>
      </c>
      <c r="N784" t="n">
        <v>0</v>
      </c>
      <c r="O784" t="n">
        <v>0</v>
      </c>
      <c r="P784" t="n">
        <v>0</v>
      </c>
      <c r="Q784" t="n">
        <v>0</v>
      </c>
      <c r="R784" s="2" t="inlineStr"/>
    </row>
    <row r="785" ht="15" customHeight="1">
      <c r="A785" t="inlineStr">
        <is>
          <t>A 6216-2025</t>
        </is>
      </c>
      <c r="B785" s="1" t="n">
        <v>45698.52806712963</v>
      </c>
      <c r="C785" s="1" t="n">
        <v>45941</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29013-2024</t>
        </is>
      </c>
      <c r="B786" s="1" t="n">
        <v>45481.55984953704</v>
      </c>
      <c r="C786" s="1" t="n">
        <v>45941</v>
      </c>
      <c r="D786" t="inlineStr">
        <is>
          <t>KALMAR LÄN</t>
        </is>
      </c>
      <c r="E786" t="inlineStr">
        <is>
          <t>VIMMERBY</t>
        </is>
      </c>
      <c r="G786" t="n">
        <v>3.4</v>
      </c>
      <c r="H786" t="n">
        <v>0</v>
      </c>
      <c r="I786" t="n">
        <v>0</v>
      </c>
      <c r="J786" t="n">
        <v>0</v>
      </c>
      <c r="K786" t="n">
        <v>0</v>
      </c>
      <c r="L786" t="n">
        <v>0</v>
      </c>
      <c r="M786" t="n">
        <v>0</v>
      </c>
      <c r="N786" t="n">
        <v>0</v>
      </c>
      <c r="O786" t="n">
        <v>0</v>
      </c>
      <c r="P786" t="n">
        <v>0</v>
      </c>
      <c r="Q786" t="n">
        <v>0</v>
      </c>
      <c r="R786" s="2" t="inlineStr"/>
    </row>
    <row r="787" ht="15" customHeight="1">
      <c r="A787" t="inlineStr">
        <is>
          <t>A 37028-2024</t>
        </is>
      </c>
      <c r="B787" s="1" t="n">
        <v>45539.38744212963</v>
      </c>
      <c r="C787" s="1" t="n">
        <v>45941</v>
      </c>
      <c r="D787" t="inlineStr">
        <is>
          <t>KALMAR LÄN</t>
        </is>
      </c>
      <c r="E787" t="inlineStr">
        <is>
          <t>VIMMERBY</t>
        </is>
      </c>
      <c r="G787" t="n">
        <v>5.2</v>
      </c>
      <c r="H787" t="n">
        <v>0</v>
      </c>
      <c r="I787" t="n">
        <v>0</v>
      </c>
      <c r="J787" t="n">
        <v>0</v>
      </c>
      <c r="K787" t="n">
        <v>0</v>
      </c>
      <c r="L787" t="n">
        <v>0</v>
      </c>
      <c r="M787" t="n">
        <v>0</v>
      </c>
      <c r="N787" t="n">
        <v>0</v>
      </c>
      <c r="O787" t="n">
        <v>0</v>
      </c>
      <c r="P787" t="n">
        <v>0</v>
      </c>
      <c r="Q787" t="n">
        <v>0</v>
      </c>
      <c r="R787" s="2" t="inlineStr"/>
    </row>
    <row r="788" ht="15" customHeight="1">
      <c r="A788" t="inlineStr">
        <is>
          <t>A 7944-2024</t>
        </is>
      </c>
      <c r="B788" s="1" t="n">
        <v>45350.53306712963</v>
      </c>
      <c r="C788" s="1" t="n">
        <v>45941</v>
      </c>
      <c r="D788" t="inlineStr">
        <is>
          <t>KALMAR LÄN</t>
        </is>
      </c>
      <c r="E788" t="inlineStr">
        <is>
          <t>VIMMERBY</t>
        </is>
      </c>
      <c r="G788" t="n">
        <v>1.2</v>
      </c>
      <c r="H788" t="n">
        <v>0</v>
      </c>
      <c r="I788" t="n">
        <v>0</v>
      </c>
      <c r="J788" t="n">
        <v>0</v>
      </c>
      <c r="K788" t="n">
        <v>0</v>
      </c>
      <c r="L788" t="n">
        <v>0</v>
      </c>
      <c r="M788" t="n">
        <v>0</v>
      </c>
      <c r="N788" t="n">
        <v>0</v>
      </c>
      <c r="O788" t="n">
        <v>0</v>
      </c>
      <c r="P788" t="n">
        <v>0</v>
      </c>
      <c r="Q788" t="n">
        <v>0</v>
      </c>
      <c r="R788" s="2" t="inlineStr"/>
    </row>
    <row r="789" ht="15" customHeight="1">
      <c r="A789" t="inlineStr">
        <is>
          <t>A 598-2025</t>
        </is>
      </c>
      <c r="B789" s="1" t="n">
        <v>45660</v>
      </c>
      <c r="C789" s="1" t="n">
        <v>45941</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10674-2021</t>
        </is>
      </c>
      <c r="B790" s="1" t="n">
        <v>44258</v>
      </c>
      <c r="C790" s="1" t="n">
        <v>45941</v>
      </c>
      <c r="D790" t="inlineStr">
        <is>
          <t>KALMAR LÄN</t>
        </is>
      </c>
      <c r="E790" t="inlineStr">
        <is>
          <t>VIMMERBY</t>
        </is>
      </c>
      <c r="G790" t="n">
        <v>8.4</v>
      </c>
      <c r="H790" t="n">
        <v>0</v>
      </c>
      <c r="I790" t="n">
        <v>0</v>
      </c>
      <c r="J790" t="n">
        <v>0</v>
      </c>
      <c r="K790" t="n">
        <v>0</v>
      </c>
      <c r="L790" t="n">
        <v>0</v>
      </c>
      <c r="M790" t="n">
        <v>0</v>
      </c>
      <c r="N790" t="n">
        <v>0</v>
      </c>
      <c r="O790" t="n">
        <v>0</v>
      </c>
      <c r="P790" t="n">
        <v>0</v>
      </c>
      <c r="Q790" t="n">
        <v>0</v>
      </c>
      <c r="R790" s="2" t="inlineStr"/>
    </row>
    <row r="791" ht="15" customHeight="1">
      <c r="A791" t="inlineStr">
        <is>
          <t>A 10807-2024</t>
        </is>
      </c>
      <c r="B791" s="1" t="n">
        <v>45369.62780092593</v>
      </c>
      <c r="C791" s="1" t="n">
        <v>45941</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40260-2024</t>
        </is>
      </c>
      <c r="B792" s="1" t="n">
        <v>45554.63225694445</v>
      </c>
      <c r="C792" s="1" t="n">
        <v>45941</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10787-2025</t>
        </is>
      </c>
      <c r="B793" s="1" t="n">
        <v>45722.48915509259</v>
      </c>
      <c r="C793" s="1" t="n">
        <v>45941</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58577-2024</t>
        </is>
      </c>
      <c r="B794" s="1" t="n">
        <v>45635.4874537037</v>
      </c>
      <c r="C794" s="1" t="n">
        <v>45941</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38198-2024</t>
        </is>
      </c>
      <c r="B795" s="1" t="n">
        <v>45545.49508101852</v>
      </c>
      <c r="C795" s="1" t="n">
        <v>45941</v>
      </c>
      <c r="D795" t="inlineStr">
        <is>
          <t>KALMAR LÄN</t>
        </is>
      </c>
      <c r="E795" t="inlineStr">
        <is>
          <t>VIMMERBY</t>
        </is>
      </c>
      <c r="G795" t="n">
        <v>7.9</v>
      </c>
      <c r="H795" t="n">
        <v>0</v>
      </c>
      <c r="I795" t="n">
        <v>0</v>
      </c>
      <c r="J795" t="n">
        <v>0</v>
      </c>
      <c r="K795" t="n">
        <v>0</v>
      </c>
      <c r="L795" t="n">
        <v>0</v>
      </c>
      <c r="M795" t="n">
        <v>0</v>
      </c>
      <c r="N795" t="n">
        <v>0</v>
      </c>
      <c r="O795" t="n">
        <v>0</v>
      </c>
      <c r="P795" t="n">
        <v>0</v>
      </c>
      <c r="Q795" t="n">
        <v>0</v>
      </c>
      <c r="R795" s="2" t="inlineStr"/>
    </row>
    <row r="796" ht="15" customHeight="1">
      <c r="A796" t="inlineStr">
        <is>
          <t>A 43617-2024</t>
        </is>
      </c>
      <c r="B796" s="1" t="n">
        <v>45569.47494212963</v>
      </c>
      <c r="C796" s="1" t="n">
        <v>45941</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22264-2023</t>
        </is>
      </c>
      <c r="B797" s="1" t="n">
        <v>45070.3665625</v>
      </c>
      <c r="C797" s="1" t="n">
        <v>45941</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22266-2023</t>
        </is>
      </c>
      <c r="B798" s="1" t="n">
        <v>45070</v>
      </c>
      <c r="C798" s="1" t="n">
        <v>45941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50091-2023</t>
        </is>
      </c>
      <c r="B799" s="1" t="n">
        <v>45215.60199074074</v>
      </c>
      <c r="C799" s="1" t="n">
        <v>45941</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45941</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11027-2023</t>
        </is>
      </c>
      <c r="B801" s="1" t="n">
        <v>44991.89657407408</v>
      </c>
      <c r="C801" s="1" t="n">
        <v>45941</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11661-2023</t>
        </is>
      </c>
      <c r="B802" s="1" t="n">
        <v>44994.46908564815</v>
      </c>
      <c r="C802" s="1" t="n">
        <v>45941</v>
      </c>
      <c r="D802" t="inlineStr">
        <is>
          <t>KALMAR LÄN</t>
        </is>
      </c>
      <c r="E802" t="inlineStr">
        <is>
          <t>VIMMERBY</t>
        </is>
      </c>
      <c r="G802" t="n">
        <v>2.7</v>
      </c>
      <c r="H802" t="n">
        <v>0</v>
      </c>
      <c r="I802" t="n">
        <v>0</v>
      </c>
      <c r="J802" t="n">
        <v>0</v>
      </c>
      <c r="K802" t="n">
        <v>0</v>
      </c>
      <c r="L802" t="n">
        <v>0</v>
      </c>
      <c r="M802" t="n">
        <v>0</v>
      </c>
      <c r="N802" t="n">
        <v>0</v>
      </c>
      <c r="O802" t="n">
        <v>0</v>
      </c>
      <c r="P802" t="n">
        <v>0</v>
      </c>
      <c r="Q802" t="n">
        <v>0</v>
      </c>
      <c r="R802" s="2" t="inlineStr"/>
    </row>
    <row r="803" ht="15" customHeight="1">
      <c r="A803" t="inlineStr">
        <is>
          <t>A 36155-2023</t>
        </is>
      </c>
      <c r="B803" s="1" t="n">
        <v>45149.60917824074</v>
      </c>
      <c r="C803" s="1" t="n">
        <v>45941</v>
      </c>
      <c r="D803" t="inlineStr">
        <is>
          <t>KALMAR LÄN</t>
        </is>
      </c>
      <c r="E803" t="inlineStr">
        <is>
          <t>VIMMERBY</t>
        </is>
      </c>
      <c r="G803" t="n">
        <v>5</v>
      </c>
      <c r="H803" t="n">
        <v>0</v>
      </c>
      <c r="I803" t="n">
        <v>0</v>
      </c>
      <c r="J803" t="n">
        <v>0</v>
      </c>
      <c r="K803" t="n">
        <v>0</v>
      </c>
      <c r="L803" t="n">
        <v>0</v>
      </c>
      <c r="M803" t="n">
        <v>0</v>
      </c>
      <c r="N803" t="n">
        <v>0</v>
      </c>
      <c r="O803" t="n">
        <v>0</v>
      </c>
      <c r="P803" t="n">
        <v>0</v>
      </c>
      <c r="Q803" t="n">
        <v>0</v>
      </c>
      <c r="R803" s="2" t="inlineStr"/>
    </row>
    <row r="804" ht="15" customHeight="1">
      <c r="A804" t="inlineStr">
        <is>
          <t>A 40147-2023</t>
        </is>
      </c>
      <c r="B804" s="1" t="n">
        <v>45169</v>
      </c>
      <c r="C804" s="1" t="n">
        <v>45941</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63950-2023</t>
        </is>
      </c>
      <c r="B805" s="1" t="n">
        <v>45278</v>
      </c>
      <c r="C805" s="1" t="n">
        <v>45941</v>
      </c>
      <c r="D805" t="inlineStr">
        <is>
          <t>KALMAR LÄN</t>
        </is>
      </c>
      <c r="E805" t="inlineStr">
        <is>
          <t>VIMMERBY</t>
        </is>
      </c>
      <c r="F805" t="inlineStr">
        <is>
          <t>Kyrkan</t>
        </is>
      </c>
      <c r="G805" t="n">
        <v>2.7</v>
      </c>
      <c r="H805" t="n">
        <v>0</v>
      </c>
      <c r="I805" t="n">
        <v>0</v>
      </c>
      <c r="J805" t="n">
        <v>0</v>
      </c>
      <c r="K805" t="n">
        <v>0</v>
      </c>
      <c r="L805" t="n">
        <v>0</v>
      </c>
      <c r="M805" t="n">
        <v>0</v>
      </c>
      <c r="N805" t="n">
        <v>0</v>
      </c>
      <c r="O805" t="n">
        <v>0</v>
      </c>
      <c r="P805" t="n">
        <v>0</v>
      </c>
      <c r="Q805" t="n">
        <v>0</v>
      </c>
      <c r="R805" s="2" t="inlineStr"/>
    </row>
    <row r="806" ht="15" customHeight="1">
      <c r="A806" t="inlineStr">
        <is>
          <t>A 24096-2024</t>
        </is>
      </c>
      <c r="B806" s="1" t="n">
        <v>45456.59289351852</v>
      </c>
      <c r="C806" s="1" t="n">
        <v>45941</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13015-2023</t>
        </is>
      </c>
      <c r="B807" s="1" t="n">
        <v>45002</v>
      </c>
      <c r="C807" s="1" t="n">
        <v>45941</v>
      </c>
      <c r="D807" t="inlineStr">
        <is>
          <t>KALMAR LÄN</t>
        </is>
      </c>
      <c r="E807" t="inlineStr">
        <is>
          <t>VIMMERBY</t>
        </is>
      </c>
      <c r="G807" t="n">
        <v>3.2</v>
      </c>
      <c r="H807" t="n">
        <v>0</v>
      </c>
      <c r="I807" t="n">
        <v>0</v>
      </c>
      <c r="J807" t="n">
        <v>0</v>
      </c>
      <c r="K807" t="n">
        <v>0</v>
      </c>
      <c r="L807" t="n">
        <v>0</v>
      </c>
      <c r="M807" t="n">
        <v>0</v>
      </c>
      <c r="N807" t="n">
        <v>0</v>
      </c>
      <c r="O807" t="n">
        <v>0</v>
      </c>
      <c r="P807" t="n">
        <v>0</v>
      </c>
      <c r="Q807" t="n">
        <v>0</v>
      </c>
      <c r="R807" s="2" t="inlineStr"/>
    </row>
    <row r="808" ht="15" customHeight="1">
      <c r="A808" t="inlineStr">
        <is>
          <t>A 41199-2023</t>
        </is>
      </c>
      <c r="B808" s="1" t="n">
        <v>45174.40454861111</v>
      </c>
      <c r="C808" s="1" t="n">
        <v>45941</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36014-2024</t>
        </is>
      </c>
      <c r="B809" s="1" t="n">
        <v>45533.56108796296</v>
      </c>
      <c r="C809" s="1" t="n">
        <v>45941</v>
      </c>
      <c r="D809" t="inlineStr">
        <is>
          <t>KALMAR LÄN</t>
        </is>
      </c>
      <c r="E809" t="inlineStr">
        <is>
          <t>VIMMERBY</t>
        </is>
      </c>
      <c r="G809" t="n">
        <v>2.3</v>
      </c>
      <c r="H809" t="n">
        <v>0</v>
      </c>
      <c r="I809" t="n">
        <v>0</v>
      </c>
      <c r="J809" t="n">
        <v>0</v>
      </c>
      <c r="K809" t="n">
        <v>0</v>
      </c>
      <c r="L809" t="n">
        <v>0</v>
      </c>
      <c r="M809" t="n">
        <v>0</v>
      </c>
      <c r="N809" t="n">
        <v>0</v>
      </c>
      <c r="O809" t="n">
        <v>0</v>
      </c>
      <c r="P809" t="n">
        <v>0</v>
      </c>
      <c r="Q809" t="n">
        <v>0</v>
      </c>
      <c r="R809" s="2" t="inlineStr"/>
    </row>
    <row r="810" ht="15" customHeight="1">
      <c r="A810" t="inlineStr">
        <is>
          <t>A 36030-2024</t>
        </is>
      </c>
      <c r="B810" s="1" t="n">
        <v>45533.58302083334</v>
      </c>
      <c r="C810" s="1" t="n">
        <v>45941</v>
      </c>
      <c r="D810" t="inlineStr">
        <is>
          <t>KALMAR LÄN</t>
        </is>
      </c>
      <c r="E810" t="inlineStr">
        <is>
          <t>VIMMERBY</t>
        </is>
      </c>
      <c r="F810" t="inlineStr">
        <is>
          <t>Kommuner</t>
        </is>
      </c>
      <c r="G810" t="n">
        <v>4</v>
      </c>
      <c r="H810" t="n">
        <v>0</v>
      </c>
      <c r="I810" t="n">
        <v>0</v>
      </c>
      <c r="J810" t="n">
        <v>0</v>
      </c>
      <c r="K810" t="n">
        <v>0</v>
      </c>
      <c r="L810" t="n">
        <v>0</v>
      </c>
      <c r="M810" t="n">
        <v>0</v>
      </c>
      <c r="N810" t="n">
        <v>0</v>
      </c>
      <c r="O810" t="n">
        <v>0</v>
      </c>
      <c r="P810" t="n">
        <v>0</v>
      </c>
      <c r="Q810" t="n">
        <v>0</v>
      </c>
      <c r="R810" s="2" t="inlineStr"/>
    </row>
    <row r="811" ht="15" customHeight="1">
      <c r="A811" t="inlineStr">
        <is>
          <t>A 7627-2025</t>
        </is>
      </c>
      <c r="B811" s="1" t="n">
        <v>45705.73300925926</v>
      </c>
      <c r="C811" s="1" t="n">
        <v>45941</v>
      </c>
      <c r="D811" t="inlineStr">
        <is>
          <t>KALMAR LÄN</t>
        </is>
      </c>
      <c r="E811" t="inlineStr">
        <is>
          <t>VIMMERBY</t>
        </is>
      </c>
      <c r="G811" t="n">
        <v>2.1</v>
      </c>
      <c r="H811" t="n">
        <v>0</v>
      </c>
      <c r="I811" t="n">
        <v>0</v>
      </c>
      <c r="J811" t="n">
        <v>0</v>
      </c>
      <c r="K811" t="n">
        <v>0</v>
      </c>
      <c r="L811" t="n">
        <v>0</v>
      </c>
      <c r="M811" t="n">
        <v>0</v>
      </c>
      <c r="N811" t="n">
        <v>0</v>
      </c>
      <c r="O811" t="n">
        <v>0</v>
      </c>
      <c r="P811" t="n">
        <v>0</v>
      </c>
      <c r="Q811" t="n">
        <v>0</v>
      </c>
      <c r="R811" s="2" t="inlineStr"/>
    </row>
    <row r="812" ht="15" customHeight="1">
      <c r="A812" t="inlineStr">
        <is>
          <t>A 6321-2023</t>
        </is>
      </c>
      <c r="B812" s="1" t="n">
        <v>44965.4815162037</v>
      </c>
      <c r="C812" s="1" t="n">
        <v>45941</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52755-2022</t>
        </is>
      </c>
      <c r="B813" s="1" t="n">
        <v>44875.27736111111</v>
      </c>
      <c r="C813" s="1" t="n">
        <v>45941</v>
      </c>
      <c r="D813" t="inlineStr">
        <is>
          <t>KALMAR LÄN</t>
        </is>
      </c>
      <c r="E813" t="inlineStr">
        <is>
          <t>VIMMERBY</t>
        </is>
      </c>
      <c r="G813" t="n">
        <v>1.1</v>
      </c>
      <c r="H813" t="n">
        <v>0</v>
      </c>
      <c r="I813" t="n">
        <v>0</v>
      </c>
      <c r="J813" t="n">
        <v>0</v>
      </c>
      <c r="K813" t="n">
        <v>0</v>
      </c>
      <c r="L813" t="n">
        <v>0</v>
      </c>
      <c r="M813" t="n">
        <v>0</v>
      </c>
      <c r="N813" t="n">
        <v>0</v>
      </c>
      <c r="O813" t="n">
        <v>0</v>
      </c>
      <c r="P813" t="n">
        <v>0</v>
      </c>
      <c r="Q813" t="n">
        <v>0</v>
      </c>
      <c r="R813" s="2" t="inlineStr"/>
    </row>
    <row r="814" ht="15" customHeight="1">
      <c r="A814" t="inlineStr">
        <is>
          <t>A 40823-2023</t>
        </is>
      </c>
      <c r="B814" s="1" t="n">
        <v>45171.77335648148</v>
      </c>
      <c r="C814" s="1" t="n">
        <v>45941</v>
      </c>
      <c r="D814" t="inlineStr">
        <is>
          <t>KALMAR LÄN</t>
        </is>
      </c>
      <c r="E814" t="inlineStr">
        <is>
          <t>VIMMERBY</t>
        </is>
      </c>
      <c r="G814" t="n">
        <v>2.7</v>
      </c>
      <c r="H814" t="n">
        <v>0</v>
      </c>
      <c r="I814" t="n">
        <v>0</v>
      </c>
      <c r="J814" t="n">
        <v>0</v>
      </c>
      <c r="K814" t="n">
        <v>0</v>
      </c>
      <c r="L814" t="n">
        <v>0</v>
      </c>
      <c r="M814" t="n">
        <v>0</v>
      </c>
      <c r="N814" t="n">
        <v>0</v>
      </c>
      <c r="O814" t="n">
        <v>0</v>
      </c>
      <c r="P814" t="n">
        <v>0</v>
      </c>
      <c r="Q814" t="n">
        <v>0</v>
      </c>
      <c r="R814" s="2" t="inlineStr"/>
    </row>
    <row r="815" ht="15" customHeight="1">
      <c r="A815" t="inlineStr">
        <is>
          <t>A 27761-2024</t>
        </is>
      </c>
      <c r="B815" s="1" t="n">
        <v>45475.49018518518</v>
      </c>
      <c r="C815" s="1" t="n">
        <v>45941</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21028-2023</t>
        </is>
      </c>
      <c r="B816" s="1" t="n">
        <v>45061</v>
      </c>
      <c r="C816" s="1" t="n">
        <v>45941</v>
      </c>
      <c r="D816" t="inlineStr">
        <is>
          <t>KALMAR LÄN</t>
        </is>
      </c>
      <c r="E816" t="inlineStr">
        <is>
          <t>VIMMERBY</t>
        </is>
      </c>
      <c r="F816" t="inlineStr">
        <is>
          <t>Övriga Aktiebolag</t>
        </is>
      </c>
      <c r="G816" t="n">
        <v>0.7</v>
      </c>
      <c r="H816" t="n">
        <v>0</v>
      </c>
      <c r="I816" t="n">
        <v>0</v>
      </c>
      <c r="J816" t="n">
        <v>0</v>
      </c>
      <c r="K816" t="n">
        <v>0</v>
      </c>
      <c r="L816" t="n">
        <v>0</v>
      </c>
      <c r="M816" t="n">
        <v>0</v>
      </c>
      <c r="N816" t="n">
        <v>0</v>
      </c>
      <c r="O816" t="n">
        <v>0</v>
      </c>
      <c r="P816" t="n">
        <v>0</v>
      </c>
      <c r="Q816" t="n">
        <v>0</v>
      </c>
      <c r="R816" s="2" t="inlineStr"/>
    </row>
    <row r="817" ht="15" customHeight="1">
      <c r="A817" t="inlineStr">
        <is>
          <t>A 64203-2021</t>
        </is>
      </c>
      <c r="B817" s="1" t="n">
        <v>44510.60921296296</v>
      </c>
      <c r="C817" s="1" t="n">
        <v>45941</v>
      </c>
      <c r="D817" t="inlineStr">
        <is>
          <t>KALMAR LÄN</t>
        </is>
      </c>
      <c r="E817" t="inlineStr">
        <is>
          <t>VIMMERBY</t>
        </is>
      </c>
      <c r="F817" t="inlineStr">
        <is>
          <t>Övriga Aktiebolag</t>
        </is>
      </c>
      <c r="G817" t="n">
        <v>5.4</v>
      </c>
      <c r="H817" t="n">
        <v>0</v>
      </c>
      <c r="I817" t="n">
        <v>0</v>
      </c>
      <c r="J817" t="n">
        <v>0</v>
      </c>
      <c r="K817" t="n">
        <v>0</v>
      </c>
      <c r="L817" t="n">
        <v>0</v>
      </c>
      <c r="M817" t="n">
        <v>0</v>
      </c>
      <c r="N817" t="n">
        <v>0</v>
      </c>
      <c r="O817" t="n">
        <v>0</v>
      </c>
      <c r="P817" t="n">
        <v>0</v>
      </c>
      <c r="Q817" t="n">
        <v>0</v>
      </c>
      <c r="R817" s="2" t="inlineStr"/>
    </row>
    <row r="818" ht="15" customHeight="1">
      <c r="A818" t="inlineStr">
        <is>
          <t>A 1016-2024</t>
        </is>
      </c>
      <c r="B818" s="1" t="n">
        <v>45301</v>
      </c>
      <c r="C818" s="1" t="n">
        <v>45941</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1024-2024</t>
        </is>
      </c>
      <c r="B819" s="1" t="n">
        <v>45301.68237268519</v>
      </c>
      <c r="C819" s="1" t="n">
        <v>45941</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27758-2024</t>
        </is>
      </c>
      <c r="B820" s="1" t="n">
        <v>45475.48303240741</v>
      </c>
      <c r="C820" s="1" t="n">
        <v>45941</v>
      </c>
      <c r="D820" t="inlineStr">
        <is>
          <t>KALMAR LÄN</t>
        </is>
      </c>
      <c r="E820" t="inlineStr">
        <is>
          <t>VIMMERBY</t>
        </is>
      </c>
      <c r="G820" t="n">
        <v>2.6</v>
      </c>
      <c r="H820" t="n">
        <v>0</v>
      </c>
      <c r="I820" t="n">
        <v>0</v>
      </c>
      <c r="J820" t="n">
        <v>0</v>
      </c>
      <c r="K820" t="n">
        <v>0</v>
      </c>
      <c r="L820" t="n">
        <v>0</v>
      </c>
      <c r="M820" t="n">
        <v>0</v>
      </c>
      <c r="N820" t="n">
        <v>0</v>
      </c>
      <c r="O820" t="n">
        <v>0</v>
      </c>
      <c r="P820" t="n">
        <v>0</v>
      </c>
      <c r="Q820" t="n">
        <v>0</v>
      </c>
      <c r="R820" s="2" t="inlineStr"/>
    </row>
    <row r="821" ht="15" customHeight="1">
      <c r="A821" t="inlineStr">
        <is>
          <t>A 32865-2023</t>
        </is>
      </c>
      <c r="B821" s="1" t="n">
        <v>45124</v>
      </c>
      <c r="C821" s="1" t="n">
        <v>45941</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22194-2024</t>
        </is>
      </c>
      <c r="B822" s="1" t="n">
        <v>45446.36482638889</v>
      </c>
      <c r="C822" s="1" t="n">
        <v>45941</v>
      </c>
      <c r="D822" t="inlineStr">
        <is>
          <t>KALMAR LÄN</t>
        </is>
      </c>
      <c r="E822" t="inlineStr">
        <is>
          <t>VIMMERBY</t>
        </is>
      </c>
      <c r="F822" t="inlineStr">
        <is>
          <t>Sveaskog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17926-2025</t>
        </is>
      </c>
      <c r="B823" s="1" t="n">
        <v>45759.38987268518</v>
      </c>
      <c r="C823" s="1" t="n">
        <v>45941</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35127-2024</t>
        </is>
      </c>
      <c r="B824" s="1" t="n">
        <v>45530.33202546297</v>
      </c>
      <c r="C824" s="1" t="n">
        <v>45941</v>
      </c>
      <c r="D824" t="inlineStr">
        <is>
          <t>KALMAR LÄN</t>
        </is>
      </c>
      <c r="E824" t="inlineStr">
        <is>
          <t>VIMMERBY</t>
        </is>
      </c>
      <c r="G824" t="n">
        <v>0.5</v>
      </c>
      <c r="H824" t="n">
        <v>0</v>
      </c>
      <c r="I824" t="n">
        <v>0</v>
      </c>
      <c r="J824" t="n">
        <v>0</v>
      </c>
      <c r="K824" t="n">
        <v>0</v>
      </c>
      <c r="L824" t="n">
        <v>0</v>
      </c>
      <c r="M824" t="n">
        <v>0</v>
      </c>
      <c r="N824" t="n">
        <v>0</v>
      </c>
      <c r="O824" t="n">
        <v>0</v>
      </c>
      <c r="P824" t="n">
        <v>0</v>
      </c>
      <c r="Q824" t="n">
        <v>0</v>
      </c>
      <c r="R824" s="2" t="inlineStr"/>
    </row>
    <row r="825" ht="15" customHeight="1">
      <c r="A825" t="inlineStr">
        <is>
          <t>A 33383-2023</t>
        </is>
      </c>
      <c r="B825" s="1" t="n">
        <v>45128.58414351852</v>
      </c>
      <c r="C825" s="1" t="n">
        <v>45941</v>
      </c>
      <c r="D825" t="inlineStr">
        <is>
          <t>KALMAR LÄN</t>
        </is>
      </c>
      <c r="E825" t="inlineStr">
        <is>
          <t>VIMMERBY</t>
        </is>
      </c>
      <c r="G825" t="n">
        <v>2.3</v>
      </c>
      <c r="H825" t="n">
        <v>0</v>
      </c>
      <c r="I825" t="n">
        <v>0</v>
      </c>
      <c r="J825" t="n">
        <v>0</v>
      </c>
      <c r="K825" t="n">
        <v>0</v>
      </c>
      <c r="L825" t="n">
        <v>0</v>
      </c>
      <c r="M825" t="n">
        <v>0</v>
      </c>
      <c r="N825" t="n">
        <v>0</v>
      </c>
      <c r="O825" t="n">
        <v>0</v>
      </c>
      <c r="P825" t="n">
        <v>0</v>
      </c>
      <c r="Q825" t="n">
        <v>0</v>
      </c>
      <c r="R825" s="2" t="inlineStr"/>
    </row>
    <row r="826" ht="15" customHeight="1">
      <c r="A826" t="inlineStr">
        <is>
          <t>A 4297-2022</t>
        </is>
      </c>
      <c r="B826" s="1" t="n">
        <v>44588</v>
      </c>
      <c r="C826" s="1" t="n">
        <v>45941</v>
      </c>
      <c r="D826" t="inlineStr">
        <is>
          <t>KALMAR LÄN</t>
        </is>
      </c>
      <c r="E826" t="inlineStr">
        <is>
          <t>VIMMERBY</t>
        </is>
      </c>
      <c r="G826" t="n">
        <v>1</v>
      </c>
      <c r="H826" t="n">
        <v>0</v>
      </c>
      <c r="I826" t="n">
        <v>0</v>
      </c>
      <c r="J826" t="n">
        <v>0</v>
      </c>
      <c r="K826" t="n">
        <v>0</v>
      </c>
      <c r="L826" t="n">
        <v>0</v>
      </c>
      <c r="M826" t="n">
        <v>0</v>
      </c>
      <c r="N826" t="n">
        <v>0</v>
      </c>
      <c r="O826" t="n">
        <v>0</v>
      </c>
      <c r="P826" t="n">
        <v>0</v>
      </c>
      <c r="Q826" t="n">
        <v>0</v>
      </c>
      <c r="R826" s="2" t="inlineStr"/>
    </row>
    <row r="827" ht="15" customHeight="1">
      <c r="A827" t="inlineStr">
        <is>
          <t>A 55716-2023</t>
        </is>
      </c>
      <c r="B827" s="1" t="n">
        <v>45232</v>
      </c>
      <c r="C827" s="1" t="n">
        <v>45941</v>
      </c>
      <c r="D827" t="inlineStr">
        <is>
          <t>KALMAR LÄN</t>
        </is>
      </c>
      <c r="E827" t="inlineStr">
        <is>
          <t>VIMMERBY</t>
        </is>
      </c>
      <c r="G827" t="n">
        <v>2.3</v>
      </c>
      <c r="H827" t="n">
        <v>0</v>
      </c>
      <c r="I827" t="n">
        <v>0</v>
      </c>
      <c r="J827" t="n">
        <v>0</v>
      </c>
      <c r="K827" t="n">
        <v>0</v>
      </c>
      <c r="L827" t="n">
        <v>0</v>
      </c>
      <c r="M827" t="n">
        <v>0</v>
      </c>
      <c r="N827" t="n">
        <v>0</v>
      </c>
      <c r="O827" t="n">
        <v>0</v>
      </c>
      <c r="P827" t="n">
        <v>0</v>
      </c>
      <c r="Q827" t="n">
        <v>0</v>
      </c>
      <c r="R827" s="2" t="inlineStr"/>
    </row>
    <row r="828" ht="15" customHeight="1">
      <c r="A828" t="inlineStr">
        <is>
          <t>A 34386-2024</t>
        </is>
      </c>
      <c r="B828" s="1" t="n">
        <v>45525.41762731481</v>
      </c>
      <c r="C828" s="1" t="n">
        <v>45941</v>
      </c>
      <c r="D828" t="inlineStr">
        <is>
          <t>KALMAR LÄN</t>
        </is>
      </c>
      <c r="E828" t="inlineStr">
        <is>
          <t>VIMMERBY</t>
        </is>
      </c>
      <c r="G828" t="n">
        <v>0.3</v>
      </c>
      <c r="H828" t="n">
        <v>0</v>
      </c>
      <c r="I828" t="n">
        <v>0</v>
      </c>
      <c r="J828" t="n">
        <v>0</v>
      </c>
      <c r="K828" t="n">
        <v>0</v>
      </c>
      <c r="L828" t="n">
        <v>0</v>
      </c>
      <c r="M828" t="n">
        <v>0</v>
      </c>
      <c r="N828" t="n">
        <v>0</v>
      </c>
      <c r="O828" t="n">
        <v>0</v>
      </c>
      <c r="P828" t="n">
        <v>0</v>
      </c>
      <c r="Q828" t="n">
        <v>0</v>
      </c>
      <c r="R828" s="2" t="inlineStr"/>
    </row>
    <row r="829" ht="15" customHeight="1">
      <c r="A829" t="inlineStr">
        <is>
          <t>A 42429-2024</t>
        </is>
      </c>
      <c r="B829" s="1" t="n">
        <v>45565.40657407408</v>
      </c>
      <c r="C829" s="1" t="n">
        <v>45941</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11946-2025</t>
        </is>
      </c>
      <c r="B830" s="1" t="n">
        <v>45728.54832175926</v>
      </c>
      <c r="C830" s="1" t="n">
        <v>45941</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59943-2023</t>
        </is>
      </c>
      <c r="B831" s="1" t="n">
        <v>45257.67958333333</v>
      </c>
      <c r="C831" s="1" t="n">
        <v>45941</v>
      </c>
      <c r="D831" t="inlineStr">
        <is>
          <t>KALMAR LÄN</t>
        </is>
      </c>
      <c r="E831" t="inlineStr">
        <is>
          <t>VIMMERBY</t>
        </is>
      </c>
      <c r="G831" t="n">
        <v>6.4</v>
      </c>
      <c r="H831" t="n">
        <v>0</v>
      </c>
      <c r="I831" t="n">
        <v>0</v>
      </c>
      <c r="J831" t="n">
        <v>0</v>
      </c>
      <c r="K831" t="n">
        <v>0</v>
      </c>
      <c r="L831" t="n">
        <v>0</v>
      </c>
      <c r="M831" t="n">
        <v>0</v>
      </c>
      <c r="N831" t="n">
        <v>0</v>
      </c>
      <c r="O831" t="n">
        <v>0</v>
      </c>
      <c r="P831" t="n">
        <v>0</v>
      </c>
      <c r="Q831" t="n">
        <v>0</v>
      </c>
      <c r="R831" s="2" t="inlineStr"/>
    </row>
    <row r="832" ht="15" customHeight="1">
      <c r="A832" t="inlineStr">
        <is>
          <t>A 15493-2023</t>
        </is>
      </c>
      <c r="B832" s="1" t="n">
        <v>45018</v>
      </c>
      <c r="C832" s="1" t="n">
        <v>45941</v>
      </c>
      <c r="D832" t="inlineStr">
        <is>
          <t>KALMAR LÄN</t>
        </is>
      </c>
      <c r="E832" t="inlineStr">
        <is>
          <t>VIMMERBY</t>
        </is>
      </c>
      <c r="G832" t="n">
        <v>1</v>
      </c>
      <c r="H832" t="n">
        <v>0</v>
      </c>
      <c r="I832" t="n">
        <v>0</v>
      </c>
      <c r="J832" t="n">
        <v>0</v>
      </c>
      <c r="K832" t="n">
        <v>0</v>
      </c>
      <c r="L832" t="n">
        <v>0</v>
      </c>
      <c r="M832" t="n">
        <v>0</v>
      </c>
      <c r="N832" t="n">
        <v>0</v>
      </c>
      <c r="O832" t="n">
        <v>0</v>
      </c>
      <c r="P832" t="n">
        <v>0</v>
      </c>
      <c r="Q832" t="n">
        <v>0</v>
      </c>
      <c r="R832" s="2" t="inlineStr"/>
    </row>
    <row r="833" ht="15" customHeight="1">
      <c r="A833" t="inlineStr">
        <is>
          <t>A 51881-2024</t>
        </is>
      </c>
      <c r="B833" s="1" t="n">
        <v>45607.56773148148</v>
      </c>
      <c r="C833" s="1" t="n">
        <v>45941</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1021-2024</t>
        </is>
      </c>
      <c r="B834" s="1" t="n">
        <v>45301.67736111111</v>
      </c>
      <c r="C834" s="1" t="n">
        <v>45941</v>
      </c>
      <c r="D834" t="inlineStr">
        <is>
          <t>KALMAR LÄN</t>
        </is>
      </c>
      <c r="E834" t="inlineStr">
        <is>
          <t>VIMMERBY</t>
        </is>
      </c>
      <c r="G834" t="n">
        <v>1</v>
      </c>
      <c r="H834" t="n">
        <v>0</v>
      </c>
      <c r="I834" t="n">
        <v>0</v>
      </c>
      <c r="J834" t="n">
        <v>0</v>
      </c>
      <c r="K834" t="n">
        <v>0</v>
      </c>
      <c r="L834" t="n">
        <v>0</v>
      </c>
      <c r="M834" t="n">
        <v>0</v>
      </c>
      <c r="N834" t="n">
        <v>0</v>
      </c>
      <c r="O834" t="n">
        <v>0</v>
      </c>
      <c r="P834" t="n">
        <v>0</v>
      </c>
      <c r="Q834" t="n">
        <v>0</v>
      </c>
      <c r="R834" s="2" t="inlineStr"/>
    </row>
    <row r="835" ht="15" customHeight="1">
      <c r="A835" t="inlineStr">
        <is>
          <t>A 32569-2024</t>
        </is>
      </c>
      <c r="B835" s="1" t="n">
        <v>45513.55840277778</v>
      </c>
      <c r="C835" s="1" t="n">
        <v>45941</v>
      </c>
      <c r="D835" t="inlineStr">
        <is>
          <t>KALMAR LÄN</t>
        </is>
      </c>
      <c r="E835" t="inlineStr">
        <is>
          <t>VIMMERBY</t>
        </is>
      </c>
      <c r="G835" t="n">
        <v>3.7</v>
      </c>
      <c r="H835" t="n">
        <v>0</v>
      </c>
      <c r="I835" t="n">
        <v>0</v>
      </c>
      <c r="J835" t="n">
        <v>0</v>
      </c>
      <c r="K835" t="n">
        <v>0</v>
      </c>
      <c r="L835" t="n">
        <v>0</v>
      </c>
      <c r="M835" t="n">
        <v>0</v>
      </c>
      <c r="N835" t="n">
        <v>0</v>
      </c>
      <c r="O835" t="n">
        <v>0</v>
      </c>
      <c r="P835" t="n">
        <v>0</v>
      </c>
      <c r="Q835" t="n">
        <v>0</v>
      </c>
      <c r="R835" s="2" t="inlineStr"/>
    </row>
    <row r="836" ht="15" customHeight="1">
      <c r="A836" t="inlineStr">
        <is>
          <t>A 32575-2024</t>
        </is>
      </c>
      <c r="B836" s="1" t="n">
        <v>45513.56527777778</v>
      </c>
      <c r="C836" s="1" t="n">
        <v>45941</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30063-2023</t>
        </is>
      </c>
      <c r="B837" s="1" t="n">
        <v>45110.4184375</v>
      </c>
      <c r="C837" s="1" t="n">
        <v>45941</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17482-2024</t>
        </is>
      </c>
      <c r="B838" s="1" t="n">
        <v>45415.47848379629</v>
      </c>
      <c r="C838" s="1" t="n">
        <v>45941</v>
      </c>
      <c r="D838" t="inlineStr">
        <is>
          <t>KALMAR LÄN</t>
        </is>
      </c>
      <c r="E838" t="inlineStr">
        <is>
          <t>VIMMERBY</t>
        </is>
      </c>
      <c r="G838" t="n">
        <v>1.7</v>
      </c>
      <c r="H838" t="n">
        <v>0</v>
      </c>
      <c r="I838" t="n">
        <v>0</v>
      </c>
      <c r="J838" t="n">
        <v>0</v>
      </c>
      <c r="K838" t="n">
        <v>0</v>
      </c>
      <c r="L838" t="n">
        <v>0</v>
      </c>
      <c r="M838" t="n">
        <v>0</v>
      </c>
      <c r="N838" t="n">
        <v>0</v>
      </c>
      <c r="O838" t="n">
        <v>0</v>
      </c>
      <c r="P838" t="n">
        <v>0</v>
      </c>
      <c r="Q838" t="n">
        <v>0</v>
      </c>
      <c r="R838" s="2" t="inlineStr"/>
    </row>
    <row r="839" ht="15" customHeight="1">
      <c r="A839" t="inlineStr">
        <is>
          <t>A 13817-2024</t>
        </is>
      </c>
      <c r="B839" s="1" t="n">
        <v>45391.41976851852</v>
      </c>
      <c r="C839" s="1" t="n">
        <v>45941</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30406-2023</t>
        </is>
      </c>
      <c r="B840" s="1" t="n">
        <v>45111.48787037037</v>
      </c>
      <c r="C840" s="1" t="n">
        <v>45941</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29020-2024</t>
        </is>
      </c>
      <c r="B841" s="1" t="n">
        <v>45481.58048611111</v>
      </c>
      <c r="C841" s="1" t="n">
        <v>45941</v>
      </c>
      <c r="D841" t="inlineStr">
        <is>
          <t>KALMAR LÄN</t>
        </is>
      </c>
      <c r="E841" t="inlineStr">
        <is>
          <t>VIMMERBY</t>
        </is>
      </c>
      <c r="G841" t="n">
        <v>2.3</v>
      </c>
      <c r="H841" t="n">
        <v>0</v>
      </c>
      <c r="I841" t="n">
        <v>0</v>
      </c>
      <c r="J841" t="n">
        <v>0</v>
      </c>
      <c r="K841" t="n">
        <v>0</v>
      </c>
      <c r="L841" t="n">
        <v>0</v>
      </c>
      <c r="M841" t="n">
        <v>0</v>
      </c>
      <c r="N841" t="n">
        <v>0</v>
      </c>
      <c r="O841" t="n">
        <v>0</v>
      </c>
      <c r="P841" t="n">
        <v>0</v>
      </c>
      <c r="Q841" t="n">
        <v>0</v>
      </c>
      <c r="R841" s="2" t="inlineStr"/>
    </row>
    <row r="842" ht="15" customHeight="1">
      <c r="A842" t="inlineStr">
        <is>
          <t>A 25582-2024</t>
        </is>
      </c>
      <c r="B842" s="1" t="n">
        <v>45463</v>
      </c>
      <c r="C842" s="1" t="n">
        <v>45941</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57578-2024</t>
        </is>
      </c>
      <c r="B843" s="1" t="n">
        <v>45630.47564814815</v>
      </c>
      <c r="C843" s="1" t="n">
        <v>45941</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22399-2025</t>
        </is>
      </c>
      <c r="B844" s="1" t="n">
        <v>45786.52996527778</v>
      </c>
      <c r="C844" s="1" t="n">
        <v>45941</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22397-2025</t>
        </is>
      </c>
      <c r="B845" s="1" t="n">
        <v>45786.52878472222</v>
      </c>
      <c r="C845" s="1" t="n">
        <v>45941</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11442-2025</t>
        </is>
      </c>
      <c r="B846" s="1" t="n">
        <v>45726.62721064815</v>
      </c>
      <c r="C846" s="1" t="n">
        <v>45941</v>
      </c>
      <c r="D846" t="inlineStr">
        <is>
          <t>KALMAR LÄN</t>
        </is>
      </c>
      <c r="E846" t="inlineStr">
        <is>
          <t>VIMMERBY</t>
        </is>
      </c>
      <c r="G846" t="n">
        <v>2.6</v>
      </c>
      <c r="H846" t="n">
        <v>0</v>
      </c>
      <c r="I846" t="n">
        <v>0</v>
      </c>
      <c r="J846" t="n">
        <v>0</v>
      </c>
      <c r="K846" t="n">
        <v>0</v>
      </c>
      <c r="L846" t="n">
        <v>0</v>
      </c>
      <c r="M846" t="n">
        <v>0</v>
      </c>
      <c r="N846" t="n">
        <v>0</v>
      </c>
      <c r="O846" t="n">
        <v>0</v>
      </c>
      <c r="P846" t="n">
        <v>0</v>
      </c>
      <c r="Q846" t="n">
        <v>0</v>
      </c>
      <c r="R846" s="2" t="inlineStr"/>
    </row>
    <row r="847" ht="15" customHeight="1">
      <c r="A847" t="inlineStr">
        <is>
          <t>A 6307-2025</t>
        </is>
      </c>
      <c r="B847" s="1" t="n">
        <v>45698.69016203703</v>
      </c>
      <c r="C847" s="1" t="n">
        <v>45941</v>
      </c>
      <c r="D847" t="inlineStr">
        <is>
          <t>KALMAR LÄN</t>
        </is>
      </c>
      <c r="E847" t="inlineStr">
        <is>
          <t>VIMMERBY</t>
        </is>
      </c>
      <c r="G847" t="n">
        <v>3</v>
      </c>
      <c r="H847" t="n">
        <v>0</v>
      </c>
      <c r="I847" t="n">
        <v>0</v>
      </c>
      <c r="J847" t="n">
        <v>0</v>
      </c>
      <c r="K847" t="n">
        <v>0</v>
      </c>
      <c r="L847" t="n">
        <v>0</v>
      </c>
      <c r="M847" t="n">
        <v>0</v>
      </c>
      <c r="N847" t="n">
        <v>0</v>
      </c>
      <c r="O847" t="n">
        <v>0</v>
      </c>
      <c r="P847" t="n">
        <v>0</v>
      </c>
      <c r="Q847" t="n">
        <v>0</v>
      </c>
      <c r="R847" s="2" t="inlineStr"/>
    </row>
    <row r="848" ht="15" customHeight="1">
      <c r="A848" t="inlineStr">
        <is>
          <t>A 23394-2025</t>
        </is>
      </c>
      <c r="B848" s="1" t="n">
        <v>45791.89865740741</v>
      </c>
      <c r="C848" s="1" t="n">
        <v>45941</v>
      </c>
      <c r="D848" t="inlineStr">
        <is>
          <t>KALMAR LÄN</t>
        </is>
      </c>
      <c r="E848" t="inlineStr">
        <is>
          <t>VIMMERBY</t>
        </is>
      </c>
      <c r="G848" t="n">
        <v>3.1</v>
      </c>
      <c r="H848" t="n">
        <v>0</v>
      </c>
      <c r="I848" t="n">
        <v>0</v>
      </c>
      <c r="J848" t="n">
        <v>0</v>
      </c>
      <c r="K848" t="n">
        <v>0</v>
      </c>
      <c r="L848" t="n">
        <v>0</v>
      </c>
      <c r="M848" t="n">
        <v>0</v>
      </c>
      <c r="N848" t="n">
        <v>0</v>
      </c>
      <c r="O848" t="n">
        <v>0</v>
      </c>
      <c r="P848" t="n">
        <v>0</v>
      </c>
      <c r="Q848" t="n">
        <v>0</v>
      </c>
      <c r="R848" s="2" t="inlineStr"/>
    </row>
    <row r="849" ht="15" customHeight="1">
      <c r="A849" t="inlineStr">
        <is>
          <t>A 23984-2025</t>
        </is>
      </c>
      <c r="B849" s="1" t="n">
        <v>45796</v>
      </c>
      <c r="C849" s="1" t="n">
        <v>45941</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51278-2024</t>
        </is>
      </c>
      <c r="B850" s="1" t="n">
        <v>45603.74959490741</v>
      </c>
      <c r="C850" s="1" t="n">
        <v>45941</v>
      </c>
      <c r="D850" t="inlineStr">
        <is>
          <t>KALMAR LÄN</t>
        </is>
      </c>
      <c r="E850" t="inlineStr">
        <is>
          <t>VIMMERBY</t>
        </is>
      </c>
      <c r="G850" t="n">
        <v>3.4</v>
      </c>
      <c r="H850" t="n">
        <v>0</v>
      </c>
      <c r="I850" t="n">
        <v>0</v>
      </c>
      <c r="J850" t="n">
        <v>0</v>
      </c>
      <c r="K850" t="n">
        <v>0</v>
      </c>
      <c r="L850" t="n">
        <v>0</v>
      </c>
      <c r="M850" t="n">
        <v>0</v>
      </c>
      <c r="N850" t="n">
        <v>0</v>
      </c>
      <c r="O850" t="n">
        <v>0</v>
      </c>
      <c r="P850" t="n">
        <v>0</v>
      </c>
      <c r="Q850" t="n">
        <v>0</v>
      </c>
      <c r="R850" s="2" t="inlineStr"/>
    </row>
    <row r="851" ht="15" customHeight="1">
      <c r="A851" t="inlineStr">
        <is>
          <t>A 35082-2024</t>
        </is>
      </c>
      <c r="B851" s="1" t="n">
        <v>45527.68784722222</v>
      </c>
      <c r="C851" s="1" t="n">
        <v>45941</v>
      </c>
      <c r="D851" t="inlineStr">
        <is>
          <t>KALMAR LÄN</t>
        </is>
      </c>
      <c r="E851" t="inlineStr">
        <is>
          <t>VIMMERBY</t>
        </is>
      </c>
      <c r="G851" t="n">
        <v>0.8</v>
      </c>
      <c r="H851" t="n">
        <v>0</v>
      </c>
      <c r="I851" t="n">
        <v>0</v>
      </c>
      <c r="J851" t="n">
        <v>0</v>
      </c>
      <c r="K851" t="n">
        <v>0</v>
      </c>
      <c r="L851" t="n">
        <v>0</v>
      </c>
      <c r="M851" t="n">
        <v>0</v>
      </c>
      <c r="N851" t="n">
        <v>0</v>
      </c>
      <c r="O851" t="n">
        <v>0</v>
      </c>
      <c r="P851" t="n">
        <v>0</v>
      </c>
      <c r="Q851" t="n">
        <v>0</v>
      </c>
      <c r="R851" s="2" t="inlineStr"/>
    </row>
    <row r="852" ht="15" customHeight="1">
      <c r="A852" t="inlineStr">
        <is>
          <t>A 44582-2024</t>
        </is>
      </c>
      <c r="B852" s="1" t="n">
        <v>45574.49298611111</v>
      </c>
      <c r="C852" s="1" t="n">
        <v>45941</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9456-2025</t>
        </is>
      </c>
      <c r="B853" s="1" t="n">
        <v>45715.44159722222</v>
      </c>
      <c r="C853" s="1" t="n">
        <v>45941</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11111-2023</t>
        </is>
      </c>
      <c r="B854" s="1" t="n">
        <v>44992.4255787037</v>
      </c>
      <c r="C854" s="1" t="n">
        <v>45941</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58724-2024</t>
        </is>
      </c>
      <c r="B855" s="1" t="n">
        <v>45635.66409722222</v>
      </c>
      <c r="C855" s="1" t="n">
        <v>45941</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15494-2024</t>
        </is>
      </c>
      <c r="B856" s="1" t="n">
        <v>45401.53033564815</v>
      </c>
      <c r="C856" s="1" t="n">
        <v>45941</v>
      </c>
      <c r="D856" t="inlineStr">
        <is>
          <t>KALMAR LÄN</t>
        </is>
      </c>
      <c r="E856" t="inlineStr">
        <is>
          <t>VIMMERBY</t>
        </is>
      </c>
      <c r="G856" t="n">
        <v>3.2</v>
      </c>
      <c r="H856" t="n">
        <v>0</v>
      </c>
      <c r="I856" t="n">
        <v>0</v>
      </c>
      <c r="J856" t="n">
        <v>0</v>
      </c>
      <c r="K856" t="n">
        <v>0</v>
      </c>
      <c r="L856" t="n">
        <v>0</v>
      </c>
      <c r="M856" t="n">
        <v>0</v>
      </c>
      <c r="N856" t="n">
        <v>0</v>
      </c>
      <c r="O856" t="n">
        <v>0</v>
      </c>
      <c r="P856" t="n">
        <v>0</v>
      </c>
      <c r="Q856" t="n">
        <v>0</v>
      </c>
      <c r="R856" s="2" t="inlineStr"/>
    </row>
    <row r="857" ht="15" customHeight="1">
      <c r="A857" t="inlineStr">
        <is>
          <t>A 26039-2025</t>
        </is>
      </c>
      <c r="B857" s="1" t="n">
        <v>45804.6953587963</v>
      </c>
      <c r="C857" s="1" t="n">
        <v>45941</v>
      </c>
      <c r="D857" t="inlineStr">
        <is>
          <t>KALMAR LÄN</t>
        </is>
      </c>
      <c r="E857" t="inlineStr">
        <is>
          <t>VIMMERBY</t>
        </is>
      </c>
      <c r="F857" t="inlineStr">
        <is>
          <t>Sveaskog</t>
        </is>
      </c>
      <c r="G857" t="n">
        <v>5.2</v>
      </c>
      <c r="H857" t="n">
        <v>0</v>
      </c>
      <c r="I857" t="n">
        <v>0</v>
      </c>
      <c r="J857" t="n">
        <v>0</v>
      </c>
      <c r="K857" t="n">
        <v>0</v>
      </c>
      <c r="L857" t="n">
        <v>0</v>
      </c>
      <c r="M857" t="n">
        <v>0</v>
      </c>
      <c r="N857" t="n">
        <v>0</v>
      </c>
      <c r="O857" t="n">
        <v>0</v>
      </c>
      <c r="P857" t="n">
        <v>0</v>
      </c>
      <c r="Q857" t="n">
        <v>0</v>
      </c>
      <c r="R857" s="2" t="inlineStr"/>
    </row>
    <row r="858" ht="15" customHeight="1">
      <c r="A858" t="inlineStr">
        <is>
          <t>A 26046-2025</t>
        </is>
      </c>
      <c r="B858" s="1" t="n">
        <v>45804.708125</v>
      </c>
      <c r="C858" s="1" t="n">
        <v>45941</v>
      </c>
      <c r="D858" t="inlineStr">
        <is>
          <t>KALMAR LÄN</t>
        </is>
      </c>
      <c r="E858" t="inlineStr">
        <is>
          <t>VIMMERBY</t>
        </is>
      </c>
      <c r="F858" t="inlineStr">
        <is>
          <t>Sveaskog</t>
        </is>
      </c>
      <c r="G858" t="n">
        <v>5.1</v>
      </c>
      <c r="H858" t="n">
        <v>0</v>
      </c>
      <c r="I858" t="n">
        <v>0</v>
      </c>
      <c r="J858" t="n">
        <v>0</v>
      </c>
      <c r="K858" t="n">
        <v>0</v>
      </c>
      <c r="L858" t="n">
        <v>0</v>
      </c>
      <c r="M858" t="n">
        <v>0</v>
      </c>
      <c r="N858" t="n">
        <v>0</v>
      </c>
      <c r="O858" t="n">
        <v>0</v>
      </c>
      <c r="P858" t="n">
        <v>0</v>
      </c>
      <c r="Q858" t="n">
        <v>0</v>
      </c>
      <c r="R858" s="2" t="inlineStr"/>
    </row>
    <row r="859">
      <c r="A859" t="inlineStr">
        <is>
          <t>A 25792-2025</t>
        </is>
      </c>
      <c r="B859" s="1" t="n">
        <v>45804.39141203704</v>
      </c>
      <c r="C859" s="1" t="n">
        <v>45941</v>
      </c>
      <c r="D859" t="inlineStr">
        <is>
          <t>KALMAR LÄN</t>
        </is>
      </c>
      <c r="E859" t="inlineStr">
        <is>
          <t>VIMMERBY</t>
        </is>
      </c>
      <c r="G859" t="n">
        <v>0.8</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2025-10-11T12:35:12Z</dcterms:created>
  <dcterms:modified xmlns:dcterms="http://purl.org/dc/terms/" xmlns:xsi="http://www.w3.org/2001/XMLSchema-instance" xsi:type="dcterms:W3CDTF">2025-10-11T12:35:13Z</dcterms:modified>
</cp:coreProperties>
</file>