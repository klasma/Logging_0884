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46011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46011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46011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58997-2025</t>
        </is>
      </c>
      <c r="B10" s="1" t="n">
        <v>45987</v>
      </c>
      <c r="C10" s="1" t="n">
        <v>46011</v>
      </c>
      <c r="D10" t="inlineStr">
        <is>
          <t>KALMAR LÄN</t>
        </is>
      </c>
      <c r="E10" t="inlineStr">
        <is>
          <t>VIMMERBY</t>
        </is>
      </c>
      <c r="G10" t="n">
        <v>7.9</v>
      </c>
      <c r="H10" t="n">
        <v>2</v>
      </c>
      <c r="I10" t="n">
        <v>2</v>
      </c>
      <c r="J10" t="n">
        <v>1</v>
      </c>
      <c r="K10" t="n">
        <v>2</v>
      </c>
      <c r="L10" t="n">
        <v>0</v>
      </c>
      <c r="M10" t="n">
        <v>0</v>
      </c>
      <c r="N10" t="n">
        <v>0</v>
      </c>
      <c r="O10" t="n">
        <v>3</v>
      </c>
      <c r="P10" t="n">
        <v>2</v>
      </c>
      <c r="Q10" t="n">
        <v>5</v>
      </c>
      <c r="R10" s="2" t="inlineStr">
        <is>
          <t>Doftticka
Knärot
Tallticka
Brandticka
Dropptaggsvamp</t>
        </is>
      </c>
      <c r="S10">
        <f>HYPERLINK("https://klasma.github.io/Logging_0884/artfynd/A 58997-2025 artfynd.xlsx", "A 58997-2025")</f>
        <v/>
      </c>
      <c r="T10">
        <f>HYPERLINK("https://klasma.github.io/Logging_0884/kartor/A 58997-2025 karta.png", "A 58997-2025")</f>
        <v/>
      </c>
      <c r="U10">
        <f>HYPERLINK("https://klasma.github.io/Logging_0884/knärot/A 58997-2025 karta knärot.png", "A 58997-2025")</f>
        <v/>
      </c>
      <c r="V10">
        <f>HYPERLINK("https://klasma.github.io/Logging_0884/klagomål/A 58997-2025 FSC-klagomål.docx", "A 58997-2025")</f>
        <v/>
      </c>
      <c r="W10">
        <f>HYPERLINK("https://klasma.github.io/Logging_0884/klagomålsmail/A 58997-2025 FSC-klagomål mail.docx", "A 58997-2025")</f>
        <v/>
      </c>
      <c r="X10">
        <f>HYPERLINK("https://klasma.github.io/Logging_0884/tillsyn/A 58997-2025 tillsynsbegäran.docx", "A 58997-2025")</f>
        <v/>
      </c>
      <c r="Y10">
        <f>HYPERLINK("https://klasma.github.io/Logging_0884/tillsynsmail/A 58997-2025 tillsynsbegäran mail.docx", "A 58997-2025")</f>
        <v/>
      </c>
    </row>
    <row r="11" ht="15" customHeight="1">
      <c r="A11" t="inlineStr">
        <is>
          <t>A 16954-2025</t>
        </is>
      </c>
      <c r="B11" s="1" t="n">
        <v>45755</v>
      </c>
      <c r="C11" s="1" t="n">
        <v>46011</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12081-2024</t>
        </is>
      </c>
      <c r="B12" s="1" t="n">
        <v>45377.54726851852</v>
      </c>
      <c r="C12" s="1" t="n">
        <v>46011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32645-2023</t>
        </is>
      </c>
      <c r="B13" s="1" t="n">
        <v>45121.60543981481</v>
      </c>
      <c r="C13" s="1" t="n">
        <v>46011</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55604-2025</t>
        </is>
      </c>
      <c r="B14" s="1" t="n">
        <v>45971</v>
      </c>
      <c r="C14" s="1" t="n">
        <v>46011</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15808-2025</t>
        </is>
      </c>
      <c r="B15" s="1" t="n">
        <v>45748</v>
      </c>
      <c r="C15" s="1" t="n">
        <v>46011</v>
      </c>
      <c r="D15" t="inlineStr">
        <is>
          <t>KALMAR LÄN</t>
        </is>
      </c>
      <c r="E15" t="inlineStr">
        <is>
          <t>VIMMERBY</t>
        </is>
      </c>
      <c r="G15" t="n">
        <v>6.1</v>
      </c>
      <c r="H15" t="n">
        <v>4</v>
      </c>
      <c r="I15" t="n">
        <v>0</v>
      </c>
      <c r="J15" t="n">
        <v>1</v>
      </c>
      <c r="K15" t="n">
        <v>0</v>
      </c>
      <c r="L15" t="n">
        <v>0</v>
      </c>
      <c r="M15" t="n">
        <v>0</v>
      </c>
      <c r="N15" t="n">
        <v>0</v>
      </c>
      <c r="O15" t="n">
        <v>1</v>
      </c>
      <c r="P15" t="n">
        <v>0</v>
      </c>
      <c r="Q15" t="n">
        <v>4</v>
      </c>
      <c r="R15" s="2" t="inlineStr">
        <is>
          <t>Talltita
Kungsfågel
Åkergroda
Mattlummer</t>
        </is>
      </c>
      <c r="S15">
        <f>HYPERLINK("https://klasma.github.io/Logging_0884/artfynd/A 15808-2025 artfynd.xlsx", "A 15808-2025")</f>
        <v/>
      </c>
      <c r="T15">
        <f>HYPERLINK("https://klasma.github.io/Logging_0884/kartor/A 15808-2025 karta.png", "A 15808-2025")</f>
        <v/>
      </c>
      <c r="V15">
        <f>HYPERLINK("https://klasma.github.io/Logging_0884/klagomål/A 15808-2025 FSC-klagomål.docx", "A 15808-2025")</f>
        <v/>
      </c>
      <c r="W15">
        <f>HYPERLINK("https://klasma.github.io/Logging_0884/klagomålsmail/A 15808-2025 FSC-klagomål mail.docx", "A 15808-2025")</f>
        <v/>
      </c>
      <c r="X15">
        <f>HYPERLINK("https://klasma.github.io/Logging_0884/tillsyn/A 15808-2025 tillsynsbegäran.docx", "A 15808-2025")</f>
        <v/>
      </c>
      <c r="Y15">
        <f>HYPERLINK("https://klasma.github.io/Logging_0884/tillsynsmail/A 15808-2025 tillsynsbegäran mail.docx", "A 15808-2025")</f>
        <v/>
      </c>
      <c r="Z15">
        <f>HYPERLINK("https://klasma.github.io/Logging_0884/fåglar/A 15808-2025 prioriterade fågelarter.docx", "A 15808-2025")</f>
        <v/>
      </c>
    </row>
    <row r="16" ht="15" customHeight="1">
      <c r="A16" t="inlineStr">
        <is>
          <t>A 3075-2025</t>
        </is>
      </c>
      <c r="B16" s="1" t="n">
        <v>45678</v>
      </c>
      <c r="C16" s="1" t="n">
        <v>46011</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46824-2025</t>
        </is>
      </c>
      <c r="B17" s="1" t="n">
        <v>45926.90006944445</v>
      </c>
      <c r="C17" s="1" t="n">
        <v>46011</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46011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46011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46011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46011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46011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46011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46011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46011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46011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46011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46011</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46011</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22825-2023</t>
        </is>
      </c>
      <c r="B30" s="1" t="n">
        <v>45072</v>
      </c>
      <c r="C30" s="1" t="n">
        <v>46011</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46011</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46011</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46011</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46011</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46011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46011</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6841-2021</t>
        </is>
      </c>
      <c r="B37" s="1" t="n">
        <v>44236</v>
      </c>
      <c r="C37" s="1" t="n">
        <v>46011</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46011</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46011</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46011</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46011</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46011</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55384-2025</t>
        </is>
      </c>
      <c r="B43" s="1" t="n">
        <v>45971.43178240741</v>
      </c>
      <c r="C43" s="1" t="n">
        <v>46011</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46011</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23602-2023</t>
        </is>
      </c>
      <c r="B45" s="1" t="n">
        <v>45077</v>
      </c>
      <c r="C45" s="1" t="n">
        <v>46011</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53400-2025</t>
        </is>
      </c>
      <c r="B46" s="1" t="n">
        <v>45959.56684027778</v>
      </c>
      <c r="C46" s="1" t="n">
        <v>46011</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46011</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15122-2024</t>
        </is>
      </c>
      <c r="B48" s="1" t="n">
        <v>45399.71412037037</v>
      </c>
      <c r="C48" s="1" t="n">
        <v>46011</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46011</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46011</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46011</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46011</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46011</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46011</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46011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46011</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46011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46011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46011</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46011</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46011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46011</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46011</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46011</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46011</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46011</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46011</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46011</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46011</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46011</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46011</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46011</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46011</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46011</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46011</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46011</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46011</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46011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46011</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46011</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46011</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46011</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46011</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46011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46011</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46011</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46011</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46011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46011</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46011</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46011</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46011</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46011</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46011</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46011</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46011</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46011</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46011</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46011</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46011</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46011</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46011</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46011</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46011</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46011</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46011</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46011</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46011</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46011</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46011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46011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46011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46011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46011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46011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46011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46011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46011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46011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46011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46011</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46011</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46011</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46011</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46011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46011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46011</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46011</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46011</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46011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46011</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46011</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46011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46011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46011</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46011</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46011</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46011</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46011</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46011</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46011</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46011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46011</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46011</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46011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46011</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46011</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46011</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46011</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46011</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46011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46011</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46011</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46011</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46011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46011</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46011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46011</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46011</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46011</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46011</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46011</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46011</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46011</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46011</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46011</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46011</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46011</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46011</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46011</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46011</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46011</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46011</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46011</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46011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46011</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46011</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46011</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46011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46011</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46011</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46011</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46011</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46011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46011</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46011</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46011</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46011</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46011</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46011</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46011</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46011</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46011</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46011</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46011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46011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46011</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46011</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29441-2024</t>
        </is>
      </c>
      <c r="B199" s="1" t="n">
        <v>45483.82834490741</v>
      </c>
      <c r="C199" s="1" t="n">
        <v>46011</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25728-2023</t>
        </is>
      </c>
      <c r="B200" s="1" t="n">
        <v>45090.38012731481</v>
      </c>
      <c r="C200" s="1" t="n">
        <v>46011</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33359-2021</t>
        </is>
      </c>
      <c r="B201" s="1" t="n">
        <v>44377.49684027778</v>
      </c>
      <c r="C201" s="1" t="n">
        <v>46011</v>
      </c>
      <c r="D201" t="inlineStr">
        <is>
          <t>KALMAR LÄN</t>
        </is>
      </c>
      <c r="E201" t="inlineStr">
        <is>
          <t>VIMMERBY</t>
        </is>
      </c>
      <c r="F201" t="inlineStr">
        <is>
          <t>Kommuner</t>
        </is>
      </c>
      <c r="G201" t="n">
        <v>8</v>
      </c>
      <c r="H201" t="n">
        <v>0</v>
      </c>
      <c r="I201" t="n">
        <v>0</v>
      </c>
      <c r="J201" t="n">
        <v>0</v>
      </c>
      <c r="K201" t="n">
        <v>0</v>
      </c>
      <c r="L201" t="n">
        <v>0</v>
      </c>
      <c r="M201" t="n">
        <v>0</v>
      </c>
      <c r="N201" t="n">
        <v>0</v>
      </c>
      <c r="O201" t="n">
        <v>0</v>
      </c>
      <c r="P201" t="n">
        <v>0</v>
      </c>
      <c r="Q201" t="n">
        <v>0</v>
      </c>
      <c r="R201" s="2" t="inlineStr"/>
    </row>
    <row r="202" ht="15" customHeight="1">
      <c r="A202" t="inlineStr">
        <is>
          <t>A 43038-2022</t>
        </is>
      </c>
      <c r="B202" s="1" t="n">
        <v>44833.60123842592</v>
      </c>
      <c r="C202" s="1" t="n">
        <v>46011</v>
      </c>
      <c r="D202" t="inlineStr">
        <is>
          <t>KALMAR LÄN</t>
        </is>
      </c>
      <c r="E202" t="inlineStr">
        <is>
          <t>VIMMERBY</t>
        </is>
      </c>
      <c r="G202" t="n">
        <v>4.2</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46011</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46011</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50087-2023</t>
        </is>
      </c>
      <c r="B205" s="1" t="n">
        <v>45215.59743055556</v>
      </c>
      <c r="C205" s="1" t="n">
        <v>46011</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14220-2021</t>
        </is>
      </c>
      <c r="B206" s="1" t="n">
        <v>44278.54855324074</v>
      </c>
      <c r="C206" s="1" t="n">
        <v>46011</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33681-2022</t>
        </is>
      </c>
      <c r="B207" s="1" t="n">
        <v>44789</v>
      </c>
      <c r="C207" s="1" t="n">
        <v>46011</v>
      </c>
      <c r="D207" t="inlineStr">
        <is>
          <t>KALMAR LÄN</t>
        </is>
      </c>
      <c r="E207" t="inlineStr">
        <is>
          <t>VIMMERBY</t>
        </is>
      </c>
      <c r="G207" t="n">
        <v>3.2</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46011</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12033-2024</t>
        </is>
      </c>
      <c r="B209" s="1" t="n">
        <v>45377.40043981482</v>
      </c>
      <c r="C209" s="1" t="n">
        <v>46011</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46011</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46011</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28395-2023</t>
        </is>
      </c>
      <c r="B212" s="1" t="n">
        <v>45100.4062962963</v>
      </c>
      <c r="C212" s="1" t="n">
        <v>46011</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49408-2023</t>
        </is>
      </c>
      <c r="B213" s="1" t="n">
        <v>45211.43555555555</v>
      </c>
      <c r="C213" s="1" t="n">
        <v>46011</v>
      </c>
      <c r="D213" t="inlineStr">
        <is>
          <t>KALMAR LÄN</t>
        </is>
      </c>
      <c r="E213" t="inlineStr">
        <is>
          <t>VIMMERBY</t>
        </is>
      </c>
      <c r="G213" t="n">
        <v>13.1</v>
      </c>
      <c r="H213" t="n">
        <v>0</v>
      </c>
      <c r="I213" t="n">
        <v>0</v>
      </c>
      <c r="J213" t="n">
        <v>0</v>
      </c>
      <c r="K213" t="n">
        <v>0</v>
      </c>
      <c r="L213" t="n">
        <v>0</v>
      </c>
      <c r="M213" t="n">
        <v>0</v>
      </c>
      <c r="N213" t="n">
        <v>0</v>
      </c>
      <c r="O213" t="n">
        <v>0</v>
      </c>
      <c r="P213" t="n">
        <v>0</v>
      </c>
      <c r="Q213" t="n">
        <v>0</v>
      </c>
      <c r="R213" s="2" t="inlineStr"/>
    </row>
    <row r="214" ht="15" customHeight="1">
      <c r="A214" t="inlineStr">
        <is>
          <t>A 27443-2023</t>
        </is>
      </c>
      <c r="B214" s="1" t="n">
        <v>45097.40524305555</v>
      </c>
      <c r="C214" s="1" t="n">
        <v>46011</v>
      </c>
      <c r="D214" t="inlineStr">
        <is>
          <t>KALMAR LÄN</t>
        </is>
      </c>
      <c r="E214" t="inlineStr">
        <is>
          <t>VIMMERBY</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57256-2023</t>
        </is>
      </c>
      <c r="B215" s="1" t="n">
        <v>45245.5735300926</v>
      </c>
      <c r="C215" s="1" t="n">
        <v>46011</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25799-2023</t>
        </is>
      </c>
      <c r="B216" s="1" t="n">
        <v>45090</v>
      </c>
      <c r="C216" s="1" t="n">
        <v>46011</v>
      </c>
      <c r="D216" t="inlineStr">
        <is>
          <t>KALMAR LÄN</t>
        </is>
      </c>
      <c r="E216" t="inlineStr">
        <is>
          <t>VIMMERBY</t>
        </is>
      </c>
      <c r="G216" t="n">
        <v>7.7</v>
      </c>
      <c r="H216" t="n">
        <v>0</v>
      </c>
      <c r="I216" t="n">
        <v>0</v>
      </c>
      <c r="J216" t="n">
        <v>0</v>
      </c>
      <c r="K216" t="n">
        <v>0</v>
      </c>
      <c r="L216" t="n">
        <v>0</v>
      </c>
      <c r="M216" t="n">
        <v>0</v>
      </c>
      <c r="N216" t="n">
        <v>0</v>
      </c>
      <c r="O216" t="n">
        <v>0</v>
      </c>
      <c r="P216" t="n">
        <v>0</v>
      </c>
      <c r="Q216" t="n">
        <v>0</v>
      </c>
      <c r="R216" s="2" t="inlineStr"/>
    </row>
    <row r="217" ht="15" customHeight="1">
      <c r="A217" t="inlineStr">
        <is>
          <t>A 57189-2022</t>
        </is>
      </c>
      <c r="B217" s="1" t="n">
        <v>44895.62296296296</v>
      </c>
      <c r="C217" s="1" t="n">
        <v>46011</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23088-2024</t>
        </is>
      </c>
      <c r="B218" s="1" t="n">
        <v>45450.51092592593</v>
      </c>
      <c r="C218" s="1" t="n">
        <v>46011</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16015-2025</t>
        </is>
      </c>
      <c r="B219" s="1" t="n">
        <v>45749.60487268519</v>
      </c>
      <c r="C219" s="1" t="n">
        <v>46011</v>
      </c>
      <c r="D219" t="inlineStr">
        <is>
          <t>KALMAR LÄN</t>
        </is>
      </c>
      <c r="E219" t="inlineStr">
        <is>
          <t>VIMMERBY</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1987-2024</t>
        </is>
      </c>
      <c r="B220" s="1" t="n">
        <v>45308.61152777778</v>
      </c>
      <c r="C220" s="1" t="n">
        <v>46011</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527-2024</t>
        </is>
      </c>
      <c r="B221" s="1" t="n">
        <v>45299.47513888889</v>
      </c>
      <c r="C221" s="1" t="n">
        <v>46011</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37192-2024</t>
        </is>
      </c>
      <c r="B222" s="1" t="n">
        <v>45539.66027777778</v>
      </c>
      <c r="C222" s="1" t="n">
        <v>46011</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46011</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46011</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46011</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11073-2023</t>
        </is>
      </c>
      <c r="B226" s="1" t="n">
        <v>44992</v>
      </c>
      <c r="C226" s="1" t="n">
        <v>46011</v>
      </c>
      <c r="D226" t="inlineStr">
        <is>
          <t>KALMAR LÄN</t>
        </is>
      </c>
      <c r="E226" t="inlineStr">
        <is>
          <t>VIMMERBY</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61820-2023</t>
        </is>
      </c>
      <c r="B227" s="1" t="n">
        <v>45266.32614583334</v>
      </c>
      <c r="C227" s="1" t="n">
        <v>46011</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3269-2024</t>
        </is>
      </c>
      <c r="B228" s="1" t="n">
        <v>45317.40372685185</v>
      </c>
      <c r="C228" s="1" t="n">
        <v>46011</v>
      </c>
      <c r="D228" t="inlineStr">
        <is>
          <t>KALMAR LÄN</t>
        </is>
      </c>
      <c r="E228" t="inlineStr">
        <is>
          <t>VIMMERBY</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9418-2024</t>
        </is>
      </c>
      <c r="B229" s="1" t="n">
        <v>45359.45038194444</v>
      </c>
      <c r="C229" s="1" t="n">
        <v>46011</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46011</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59955-2023</t>
        </is>
      </c>
      <c r="B231" s="1" t="n">
        <v>45257.70313657408</v>
      </c>
      <c r="C231" s="1" t="n">
        <v>46011</v>
      </c>
      <c r="D231" t="inlineStr">
        <is>
          <t>KALMAR LÄN</t>
        </is>
      </c>
      <c r="E231" t="inlineStr">
        <is>
          <t>VIMMERBY</t>
        </is>
      </c>
      <c r="G231" t="n">
        <v>13.8</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46011</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46011</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46011</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46011</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22197-2024</t>
        </is>
      </c>
      <c r="B236" s="1" t="n">
        <v>45446.36774305555</v>
      </c>
      <c r="C236" s="1" t="n">
        <v>46011</v>
      </c>
      <c r="D236" t="inlineStr">
        <is>
          <t>KALMAR LÄN</t>
        </is>
      </c>
      <c r="E236" t="inlineStr">
        <is>
          <t>VIMMERBY</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49313-2022</t>
        </is>
      </c>
      <c r="B237" s="1" t="n">
        <v>44861.52505787037</v>
      </c>
      <c r="C237" s="1" t="n">
        <v>46011</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46011</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46011</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46011</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46011</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46011</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36802-2021</t>
        </is>
      </c>
      <c r="B243" s="1" t="n">
        <v>44392</v>
      </c>
      <c r="C243" s="1" t="n">
        <v>46011</v>
      </c>
      <c r="D243" t="inlineStr">
        <is>
          <t>KALMAR LÄN</t>
        </is>
      </c>
      <c r="E243" t="inlineStr">
        <is>
          <t>VIMMERBY</t>
        </is>
      </c>
      <c r="F243" t="inlineStr">
        <is>
          <t>Sveaskog</t>
        </is>
      </c>
      <c r="G243" t="n">
        <v>4.6</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46011</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35711-2023</t>
        </is>
      </c>
      <c r="B245" s="1" t="n">
        <v>45147.67172453704</v>
      </c>
      <c r="C245" s="1" t="n">
        <v>46011</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34588-2024</t>
        </is>
      </c>
      <c r="B246" s="1" t="n">
        <v>45526.3865625</v>
      </c>
      <c r="C246" s="1" t="n">
        <v>46011</v>
      </c>
      <c r="D246" t="inlineStr">
        <is>
          <t>KALMAR LÄN</t>
        </is>
      </c>
      <c r="E246" t="inlineStr">
        <is>
          <t>VIMMERBY</t>
        </is>
      </c>
      <c r="F246" t="inlineStr">
        <is>
          <t>Övriga Aktiebolag</t>
        </is>
      </c>
      <c r="G246" t="n">
        <v>3.3</v>
      </c>
      <c r="H246" t="n">
        <v>0</v>
      </c>
      <c r="I246" t="n">
        <v>0</v>
      </c>
      <c r="J246" t="n">
        <v>0</v>
      </c>
      <c r="K246" t="n">
        <v>0</v>
      </c>
      <c r="L246" t="n">
        <v>0</v>
      </c>
      <c r="M246" t="n">
        <v>0</v>
      </c>
      <c r="N246" t="n">
        <v>0</v>
      </c>
      <c r="O246" t="n">
        <v>0</v>
      </c>
      <c r="P246" t="n">
        <v>0</v>
      </c>
      <c r="Q246" t="n">
        <v>0</v>
      </c>
      <c r="R246" s="2" t="inlineStr"/>
    </row>
    <row r="247" ht="15" customHeight="1">
      <c r="A247" t="inlineStr">
        <is>
          <t>A 23984-2025</t>
        </is>
      </c>
      <c r="B247" s="1" t="n">
        <v>45796</v>
      </c>
      <c r="C247" s="1" t="n">
        <v>46011</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56659-2023</t>
        </is>
      </c>
      <c r="B248" s="1" t="n">
        <v>45243.84869212963</v>
      </c>
      <c r="C248" s="1" t="n">
        <v>46011</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38604-2025</t>
        </is>
      </c>
      <c r="B249" s="1" t="n">
        <v>45884.50613425926</v>
      </c>
      <c r="C249" s="1" t="n">
        <v>46011</v>
      </c>
      <c r="D249" t="inlineStr">
        <is>
          <t>KALMAR LÄN</t>
        </is>
      </c>
      <c r="E249" t="inlineStr">
        <is>
          <t>VIMMERBY</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3331-2023</t>
        </is>
      </c>
      <c r="B250" s="1" t="n">
        <v>44949</v>
      </c>
      <c r="C250" s="1" t="n">
        <v>46011</v>
      </c>
      <c r="D250" t="inlineStr">
        <is>
          <t>KALMAR LÄN</t>
        </is>
      </c>
      <c r="E250" t="inlineStr">
        <is>
          <t>VIMMERBY</t>
        </is>
      </c>
      <c r="G250" t="n">
        <v>6.2</v>
      </c>
      <c r="H250" t="n">
        <v>0</v>
      </c>
      <c r="I250" t="n">
        <v>0</v>
      </c>
      <c r="J250" t="n">
        <v>0</v>
      </c>
      <c r="K250" t="n">
        <v>0</v>
      </c>
      <c r="L250" t="n">
        <v>0</v>
      </c>
      <c r="M250" t="n">
        <v>0</v>
      </c>
      <c r="N250" t="n">
        <v>0</v>
      </c>
      <c r="O250" t="n">
        <v>0</v>
      </c>
      <c r="P250" t="n">
        <v>0</v>
      </c>
      <c r="Q250" t="n">
        <v>0</v>
      </c>
      <c r="R250" s="2" t="inlineStr"/>
    </row>
    <row r="251" ht="15" customHeight="1">
      <c r="A251" t="inlineStr">
        <is>
          <t>A 40828-2023</t>
        </is>
      </c>
      <c r="B251" s="1" t="n">
        <v>45171.96248842592</v>
      </c>
      <c r="C251" s="1" t="n">
        <v>46011</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16734-2023</t>
        </is>
      </c>
      <c r="B252" s="1" t="n">
        <v>45030.71012731481</v>
      </c>
      <c r="C252" s="1" t="n">
        <v>46011</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64143-2021</t>
        </is>
      </c>
      <c r="B253" s="1" t="n">
        <v>44510.52157407408</v>
      </c>
      <c r="C253" s="1" t="n">
        <v>46011</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51278-2024</t>
        </is>
      </c>
      <c r="B254" s="1" t="n">
        <v>45603.74959490741</v>
      </c>
      <c r="C254" s="1" t="n">
        <v>46011</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9720-2023</t>
        </is>
      </c>
      <c r="B255" s="1" t="n">
        <v>44984</v>
      </c>
      <c r="C255" s="1" t="n">
        <v>46011</v>
      </c>
      <c r="D255" t="inlineStr">
        <is>
          <t>KALMAR LÄN</t>
        </is>
      </c>
      <c r="E255" t="inlineStr">
        <is>
          <t>VIMMERBY</t>
        </is>
      </c>
      <c r="G255" t="n">
        <v>4.4</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46011</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1687-2023</t>
        </is>
      </c>
      <c r="B257" s="1" t="n">
        <v>44938</v>
      </c>
      <c r="C257" s="1" t="n">
        <v>46011</v>
      </c>
      <c r="D257" t="inlineStr">
        <is>
          <t>KALMAR LÄN</t>
        </is>
      </c>
      <c r="E257" t="inlineStr">
        <is>
          <t>VIMMERBY</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29440-2024</t>
        </is>
      </c>
      <c r="B258" s="1" t="n">
        <v>45483.82479166667</v>
      </c>
      <c r="C258" s="1" t="n">
        <v>46011</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30921-2024</t>
        </is>
      </c>
      <c r="B259" s="1" t="n">
        <v>45498</v>
      </c>
      <c r="C259" s="1" t="n">
        <v>46011</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53482-2022</t>
        </is>
      </c>
      <c r="B260" s="1" t="n">
        <v>44879</v>
      </c>
      <c r="C260" s="1" t="n">
        <v>46011</v>
      </c>
      <c r="D260" t="inlineStr">
        <is>
          <t>KALMAR LÄN</t>
        </is>
      </c>
      <c r="E260" t="inlineStr">
        <is>
          <t>VIMMERBY</t>
        </is>
      </c>
      <c r="G260" t="n">
        <v>10.1</v>
      </c>
      <c r="H260" t="n">
        <v>0</v>
      </c>
      <c r="I260" t="n">
        <v>0</v>
      </c>
      <c r="J260" t="n">
        <v>0</v>
      </c>
      <c r="K260" t="n">
        <v>0</v>
      </c>
      <c r="L260" t="n">
        <v>0</v>
      </c>
      <c r="M260" t="n">
        <v>0</v>
      </c>
      <c r="N260" t="n">
        <v>0</v>
      </c>
      <c r="O260" t="n">
        <v>0</v>
      </c>
      <c r="P260" t="n">
        <v>0</v>
      </c>
      <c r="Q260" t="n">
        <v>0</v>
      </c>
      <c r="R260" s="2" t="inlineStr"/>
    </row>
    <row r="261" ht="15" customHeight="1">
      <c r="A261" t="inlineStr">
        <is>
          <t>A 35082-2024</t>
        </is>
      </c>
      <c r="B261" s="1" t="n">
        <v>45527.68784722222</v>
      </c>
      <c r="C261" s="1" t="n">
        <v>46011</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44582-2024</t>
        </is>
      </c>
      <c r="B262" s="1" t="n">
        <v>45574.49298611111</v>
      </c>
      <c r="C262" s="1" t="n">
        <v>46011</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46011</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11111-2023</t>
        </is>
      </c>
      <c r="B264" s="1" t="n">
        <v>44992.4255787037</v>
      </c>
      <c r="C264" s="1" t="n">
        <v>46011</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29180-2024</t>
        </is>
      </c>
      <c r="B265" s="1" t="n">
        <v>45482.54108796296</v>
      </c>
      <c r="C265" s="1" t="n">
        <v>46011</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58724-2024</t>
        </is>
      </c>
      <c r="B266" s="1" t="n">
        <v>45635.66409722222</v>
      </c>
      <c r="C266" s="1" t="n">
        <v>46011</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15494-2024</t>
        </is>
      </c>
      <c r="B267" s="1" t="n">
        <v>45401.53033564815</v>
      </c>
      <c r="C267" s="1" t="n">
        <v>46011</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29783-2024</t>
        </is>
      </c>
      <c r="B268" s="1" t="n">
        <v>45485.45778935185</v>
      </c>
      <c r="C268" s="1" t="n">
        <v>46011</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54838-2024</t>
        </is>
      </c>
      <c r="B269" s="1" t="n">
        <v>45618.56787037037</v>
      </c>
      <c r="C269" s="1" t="n">
        <v>46011</v>
      </c>
      <c r="D269" t="inlineStr">
        <is>
          <t>KALMAR LÄN</t>
        </is>
      </c>
      <c r="E269" t="inlineStr">
        <is>
          <t>VIMMERBY</t>
        </is>
      </c>
      <c r="G269" t="n">
        <v>3.3</v>
      </c>
      <c r="H269" t="n">
        <v>0</v>
      </c>
      <c r="I269" t="n">
        <v>0</v>
      </c>
      <c r="J269" t="n">
        <v>0</v>
      </c>
      <c r="K269" t="n">
        <v>0</v>
      </c>
      <c r="L269" t="n">
        <v>0</v>
      </c>
      <c r="M269" t="n">
        <v>0</v>
      </c>
      <c r="N269" t="n">
        <v>0</v>
      </c>
      <c r="O269" t="n">
        <v>0</v>
      </c>
      <c r="P269" t="n">
        <v>0</v>
      </c>
      <c r="Q269" t="n">
        <v>0</v>
      </c>
      <c r="R269" s="2" t="inlineStr"/>
    </row>
    <row r="270" ht="15" customHeight="1">
      <c r="A270" t="inlineStr">
        <is>
          <t>A 26039-2025</t>
        </is>
      </c>
      <c r="B270" s="1" t="n">
        <v>45804.6953587963</v>
      </c>
      <c r="C270" s="1" t="n">
        <v>46011</v>
      </c>
      <c r="D270" t="inlineStr">
        <is>
          <t>KALMAR LÄN</t>
        </is>
      </c>
      <c r="E270" t="inlineStr">
        <is>
          <t>VIMMERBY</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26046-2025</t>
        </is>
      </c>
      <c r="B271" s="1" t="n">
        <v>45804.708125</v>
      </c>
      <c r="C271" s="1" t="n">
        <v>46011</v>
      </c>
      <c r="D271" t="inlineStr">
        <is>
          <t>KALMAR LÄN</t>
        </is>
      </c>
      <c r="E271" t="inlineStr">
        <is>
          <t>VIMMERBY</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25792-2025</t>
        </is>
      </c>
      <c r="B272" s="1" t="n">
        <v>45804.39141203704</v>
      </c>
      <c r="C272" s="1" t="n">
        <v>46011</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25987-2024</t>
        </is>
      </c>
      <c r="B273" s="1" t="n">
        <v>45467.74417824074</v>
      </c>
      <c r="C273" s="1" t="n">
        <v>46011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29726-2025</t>
        </is>
      </c>
      <c r="B274" s="1" t="n">
        <v>45825.57805555555</v>
      </c>
      <c r="C274" s="1" t="n">
        <v>46011</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25109-2023</t>
        </is>
      </c>
      <c r="B275" s="1" t="n">
        <v>45086</v>
      </c>
      <c r="C275" s="1" t="n">
        <v>46011</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25830-2025</t>
        </is>
      </c>
      <c r="B276" s="1" t="n">
        <v>45804.44519675926</v>
      </c>
      <c r="C276" s="1" t="n">
        <v>46011</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62023-2022</t>
        </is>
      </c>
      <c r="B277" s="1" t="n">
        <v>44918.50106481482</v>
      </c>
      <c r="C277" s="1" t="n">
        <v>46011</v>
      </c>
      <c r="D277" t="inlineStr">
        <is>
          <t>KALMAR LÄN</t>
        </is>
      </c>
      <c r="E277" t="inlineStr">
        <is>
          <t>VIMMERBY</t>
        </is>
      </c>
      <c r="G277" t="n">
        <v>0.3</v>
      </c>
      <c r="H277" t="n">
        <v>0</v>
      </c>
      <c r="I277" t="n">
        <v>0</v>
      </c>
      <c r="J277" t="n">
        <v>0</v>
      </c>
      <c r="K277" t="n">
        <v>0</v>
      </c>
      <c r="L277" t="n">
        <v>0</v>
      </c>
      <c r="M277" t="n">
        <v>0</v>
      </c>
      <c r="N277" t="n">
        <v>0</v>
      </c>
      <c r="O277" t="n">
        <v>0</v>
      </c>
      <c r="P277" t="n">
        <v>0</v>
      </c>
      <c r="Q277" t="n">
        <v>0</v>
      </c>
      <c r="R277" s="2" t="inlineStr"/>
    </row>
    <row r="278" ht="15" customHeight="1">
      <c r="A278" t="inlineStr">
        <is>
          <t>A 38964-2025</t>
        </is>
      </c>
      <c r="B278" s="1" t="n">
        <v>45887.68759259259</v>
      </c>
      <c r="C278" s="1" t="n">
        <v>46011</v>
      </c>
      <c r="D278" t="inlineStr">
        <is>
          <t>KALMAR LÄN</t>
        </is>
      </c>
      <c r="E278" t="inlineStr">
        <is>
          <t>VIMMERBY</t>
        </is>
      </c>
      <c r="G278" t="n">
        <v>7.5</v>
      </c>
      <c r="H278" t="n">
        <v>0</v>
      </c>
      <c r="I278" t="n">
        <v>0</v>
      </c>
      <c r="J278" t="n">
        <v>0</v>
      </c>
      <c r="K278" t="n">
        <v>0</v>
      </c>
      <c r="L278" t="n">
        <v>0</v>
      </c>
      <c r="M278" t="n">
        <v>0</v>
      </c>
      <c r="N278" t="n">
        <v>0</v>
      </c>
      <c r="O278" t="n">
        <v>0</v>
      </c>
      <c r="P278" t="n">
        <v>0</v>
      </c>
      <c r="Q278" t="n">
        <v>0</v>
      </c>
      <c r="R278" s="2" t="inlineStr"/>
    </row>
    <row r="279" ht="15" customHeight="1">
      <c r="A279" t="inlineStr">
        <is>
          <t>A 58104-2024</t>
        </is>
      </c>
      <c r="B279" s="1" t="n">
        <v>45632.37459490741</v>
      </c>
      <c r="C279" s="1" t="n">
        <v>46011</v>
      </c>
      <c r="D279" t="inlineStr">
        <is>
          <t>KALMAR LÄN</t>
        </is>
      </c>
      <c r="E279" t="inlineStr">
        <is>
          <t>VIMMERBY</t>
        </is>
      </c>
      <c r="G279" t="n">
        <v>5</v>
      </c>
      <c r="H279" t="n">
        <v>0</v>
      </c>
      <c r="I279" t="n">
        <v>0</v>
      </c>
      <c r="J279" t="n">
        <v>0</v>
      </c>
      <c r="K279" t="n">
        <v>0</v>
      </c>
      <c r="L279" t="n">
        <v>0</v>
      </c>
      <c r="M279" t="n">
        <v>0</v>
      </c>
      <c r="N279" t="n">
        <v>0</v>
      </c>
      <c r="O279" t="n">
        <v>0</v>
      </c>
      <c r="P279" t="n">
        <v>0</v>
      </c>
      <c r="Q279" t="n">
        <v>0</v>
      </c>
      <c r="R279" s="2" t="inlineStr"/>
    </row>
    <row r="280" ht="15" customHeight="1">
      <c r="A280" t="inlineStr">
        <is>
          <t>A 26124-2025</t>
        </is>
      </c>
      <c r="B280" s="1" t="n">
        <v>45805.39247685186</v>
      </c>
      <c r="C280" s="1" t="n">
        <v>46011</v>
      </c>
      <c r="D280" t="inlineStr">
        <is>
          <t>KALMAR LÄN</t>
        </is>
      </c>
      <c r="E280" t="inlineStr">
        <is>
          <t>VIMMERBY</t>
        </is>
      </c>
      <c r="G280" t="n">
        <v>6.6</v>
      </c>
      <c r="H280" t="n">
        <v>0</v>
      </c>
      <c r="I280" t="n">
        <v>0</v>
      </c>
      <c r="J280" t="n">
        <v>0</v>
      </c>
      <c r="K280" t="n">
        <v>0</v>
      </c>
      <c r="L280" t="n">
        <v>0</v>
      </c>
      <c r="M280" t="n">
        <v>0</v>
      </c>
      <c r="N280" t="n">
        <v>0</v>
      </c>
      <c r="O280" t="n">
        <v>0</v>
      </c>
      <c r="P280" t="n">
        <v>0</v>
      </c>
      <c r="Q280" t="n">
        <v>0</v>
      </c>
      <c r="R280" s="2" t="inlineStr"/>
    </row>
    <row r="281" ht="15" customHeight="1">
      <c r="A281" t="inlineStr">
        <is>
          <t>A 12215-2024</t>
        </is>
      </c>
      <c r="B281" s="1" t="n">
        <v>45378.32185185186</v>
      </c>
      <c r="C281" s="1" t="n">
        <v>46011</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30920-2024</t>
        </is>
      </c>
      <c r="B282" s="1" t="n">
        <v>45498.673125</v>
      </c>
      <c r="C282" s="1" t="n">
        <v>46011</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56536-2022</t>
        </is>
      </c>
      <c r="B283" s="1" t="n">
        <v>44893</v>
      </c>
      <c r="C283" s="1" t="n">
        <v>46011</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26254-2025</t>
        </is>
      </c>
      <c r="B284" s="1" t="n">
        <v>45805</v>
      </c>
      <c r="C284" s="1" t="n">
        <v>46011</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63541-2023</t>
        </is>
      </c>
      <c r="B285" s="1" t="n">
        <v>45275.32266203704</v>
      </c>
      <c r="C285" s="1" t="n">
        <v>46011</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37323-2024</t>
        </is>
      </c>
      <c r="B286" s="1" t="n">
        <v>45540.50098379629</v>
      </c>
      <c r="C286" s="1" t="n">
        <v>46011</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26207-2025</t>
        </is>
      </c>
      <c r="B287" s="1" t="n">
        <v>45805.52983796296</v>
      </c>
      <c r="C287" s="1" t="n">
        <v>46011</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39801-2025</t>
        </is>
      </c>
      <c r="B288" s="1" t="n">
        <v>45891.50216435185</v>
      </c>
      <c r="C288" s="1" t="n">
        <v>46011</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39807-2025</t>
        </is>
      </c>
      <c r="B289" s="1" t="n">
        <v>45891.50986111111</v>
      </c>
      <c r="C289" s="1" t="n">
        <v>46011</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11429-2022</t>
        </is>
      </c>
      <c r="B290" s="1" t="n">
        <v>44630</v>
      </c>
      <c r="C290" s="1" t="n">
        <v>46011</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56582-2022</t>
        </is>
      </c>
      <c r="B291" s="1" t="n">
        <v>44893</v>
      </c>
      <c r="C291" s="1" t="n">
        <v>46011</v>
      </c>
      <c r="D291" t="inlineStr">
        <is>
          <t>KALMAR LÄN</t>
        </is>
      </c>
      <c r="E291" t="inlineStr">
        <is>
          <t>VIMMERBY</t>
        </is>
      </c>
      <c r="G291" t="n">
        <v>2.2</v>
      </c>
      <c r="H291" t="n">
        <v>0</v>
      </c>
      <c r="I291" t="n">
        <v>0</v>
      </c>
      <c r="J291" t="n">
        <v>0</v>
      </c>
      <c r="K291" t="n">
        <v>0</v>
      </c>
      <c r="L291" t="n">
        <v>0</v>
      </c>
      <c r="M291" t="n">
        <v>0</v>
      </c>
      <c r="N291" t="n">
        <v>0</v>
      </c>
      <c r="O291" t="n">
        <v>0</v>
      </c>
      <c r="P291" t="n">
        <v>0</v>
      </c>
      <c r="Q291" t="n">
        <v>0</v>
      </c>
      <c r="R291" s="2" t="inlineStr"/>
    </row>
    <row r="292" ht="15" customHeight="1">
      <c r="A292" t="inlineStr">
        <is>
          <t>A 39736-2025</t>
        </is>
      </c>
      <c r="B292" s="1" t="n">
        <v>45891</v>
      </c>
      <c r="C292" s="1" t="n">
        <v>46011</v>
      </c>
      <c r="D292" t="inlineStr">
        <is>
          <t>KALMAR LÄN</t>
        </is>
      </c>
      <c r="E292" t="inlineStr">
        <is>
          <t>VIMMERBY</t>
        </is>
      </c>
      <c r="G292" t="n">
        <v>12.8</v>
      </c>
      <c r="H292" t="n">
        <v>0</v>
      </c>
      <c r="I292" t="n">
        <v>0</v>
      </c>
      <c r="J292" t="n">
        <v>0</v>
      </c>
      <c r="K292" t="n">
        <v>0</v>
      </c>
      <c r="L292" t="n">
        <v>0</v>
      </c>
      <c r="M292" t="n">
        <v>0</v>
      </c>
      <c r="N292" t="n">
        <v>0</v>
      </c>
      <c r="O292" t="n">
        <v>0</v>
      </c>
      <c r="P292" t="n">
        <v>0</v>
      </c>
      <c r="Q292" t="n">
        <v>0</v>
      </c>
      <c r="R292" s="2" t="inlineStr"/>
    </row>
    <row r="293" ht="15" customHeight="1">
      <c r="A293" t="inlineStr">
        <is>
          <t>A 6408-2025</t>
        </is>
      </c>
      <c r="B293" s="1" t="n">
        <v>45699.45671296296</v>
      </c>
      <c r="C293" s="1" t="n">
        <v>46011</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39803-2025</t>
        </is>
      </c>
      <c r="B294" s="1" t="n">
        <v>45891.50525462963</v>
      </c>
      <c r="C294" s="1" t="n">
        <v>46011</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39889-2025</t>
        </is>
      </c>
      <c r="B295" s="1" t="n">
        <v>45891</v>
      </c>
      <c r="C295" s="1" t="n">
        <v>46011</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11609-2023</t>
        </is>
      </c>
      <c r="B296" s="1" t="n">
        <v>44994.40635416667</v>
      </c>
      <c r="C296" s="1" t="n">
        <v>46011</v>
      </c>
      <c r="D296" t="inlineStr">
        <is>
          <t>KALMAR LÄN</t>
        </is>
      </c>
      <c r="E296" t="inlineStr">
        <is>
          <t>VIMMERBY</t>
        </is>
      </c>
      <c r="G296" t="n">
        <v>4.9</v>
      </c>
      <c r="H296" t="n">
        <v>0</v>
      </c>
      <c r="I296" t="n">
        <v>0</v>
      </c>
      <c r="J296" t="n">
        <v>0</v>
      </c>
      <c r="K296" t="n">
        <v>0</v>
      </c>
      <c r="L296" t="n">
        <v>0</v>
      </c>
      <c r="M296" t="n">
        <v>0</v>
      </c>
      <c r="N296" t="n">
        <v>0</v>
      </c>
      <c r="O296" t="n">
        <v>0</v>
      </c>
      <c r="P296" t="n">
        <v>0</v>
      </c>
      <c r="Q296" t="n">
        <v>0</v>
      </c>
      <c r="R296" s="2" t="inlineStr"/>
    </row>
    <row r="297" ht="15" customHeight="1">
      <c r="A297" t="inlineStr">
        <is>
          <t>A 44464-2024</t>
        </is>
      </c>
      <c r="B297" s="1" t="n">
        <v>45574.35809027778</v>
      </c>
      <c r="C297" s="1" t="n">
        <v>46011</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41066-2024</t>
        </is>
      </c>
      <c r="B298" s="1" t="n">
        <v>45559.38876157408</v>
      </c>
      <c r="C298" s="1" t="n">
        <v>46011</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3816-2022</t>
        </is>
      </c>
      <c r="B299" s="1" t="n">
        <v>44587</v>
      </c>
      <c r="C299" s="1" t="n">
        <v>46011</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40970-2025</t>
        </is>
      </c>
      <c r="B300" s="1" t="n">
        <v>45897.88706018519</v>
      </c>
      <c r="C300" s="1" t="n">
        <v>46011</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40973-2025</t>
        </is>
      </c>
      <c r="B301" s="1" t="n">
        <v>45897.89737268518</v>
      </c>
      <c r="C301" s="1" t="n">
        <v>46011</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1081-2023</t>
        </is>
      </c>
      <c r="B302" s="1" t="n">
        <v>44935</v>
      </c>
      <c r="C302" s="1" t="n">
        <v>46011</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7047-2022</t>
        </is>
      </c>
      <c r="B303" s="1" t="n">
        <v>44603</v>
      </c>
      <c r="C303" s="1" t="n">
        <v>46011</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46011</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12499-2023</t>
        </is>
      </c>
      <c r="B305" s="1" t="n">
        <v>44999.86172453704</v>
      </c>
      <c r="C305" s="1" t="n">
        <v>46011</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12500-2023</t>
        </is>
      </c>
      <c r="B306" s="1" t="n">
        <v>44999.8625</v>
      </c>
      <c r="C306" s="1" t="n">
        <v>46011</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6066-2023</t>
        </is>
      </c>
      <c r="B307" s="1" t="n">
        <v>44964.50894675926</v>
      </c>
      <c r="C307" s="1" t="n">
        <v>46011</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33103-2024</t>
        </is>
      </c>
      <c r="B308" s="1" t="n">
        <v>45517.8162037037</v>
      </c>
      <c r="C308" s="1" t="n">
        <v>46011</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33161-2024</t>
        </is>
      </c>
      <c r="B309" s="1" t="n">
        <v>45518.40657407408</v>
      </c>
      <c r="C309" s="1" t="n">
        <v>46011</v>
      </c>
      <c r="D309" t="inlineStr">
        <is>
          <t>KALMAR LÄN</t>
        </is>
      </c>
      <c r="E309" t="inlineStr">
        <is>
          <t>VIMMERBY</t>
        </is>
      </c>
      <c r="G309" t="n">
        <v>4.7</v>
      </c>
      <c r="H309" t="n">
        <v>0</v>
      </c>
      <c r="I309" t="n">
        <v>0</v>
      </c>
      <c r="J309" t="n">
        <v>0</v>
      </c>
      <c r="K309" t="n">
        <v>0</v>
      </c>
      <c r="L309" t="n">
        <v>0</v>
      </c>
      <c r="M309" t="n">
        <v>0</v>
      </c>
      <c r="N309" t="n">
        <v>0</v>
      </c>
      <c r="O309" t="n">
        <v>0</v>
      </c>
      <c r="P309" t="n">
        <v>0</v>
      </c>
      <c r="Q309" t="n">
        <v>0</v>
      </c>
      <c r="R309" s="2" t="inlineStr"/>
    </row>
    <row r="310" ht="15" customHeight="1">
      <c r="A310" t="inlineStr">
        <is>
          <t>A 12510-2022</t>
        </is>
      </c>
      <c r="B310" s="1" t="n">
        <v>44638.55256944444</v>
      </c>
      <c r="C310" s="1" t="n">
        <v>46011</v>
      </c>
      <c r="D310" t="inlineStr">
        <is>
          <t>KALMAR LÄN</t>
        </is>
      </c>
      <c r="E310" t="inlineStr">
        <is>
          <t>VIMMERBY</t>
        </is>
      </c>
      <c r="G310" t="n">
        <v>2.4</v>
      </c>
      <c r="H310" t="n">
        <v>0</v>
      </c>
      <c r="I310" t="n">
        <v>0</v>
      </c>
      <c r="J310" t="n">
        <v>0</v>
      </c>
      <c r="K310" t="n">
        <v>0</v>
      </c>
      <c r="L310" t="n">
        <v>0</v>
      </c>
      <c r="M310" t="n">
        <v>0</v>
      </c>
      <c r="N310" t="n">
        <v>0</v>
      </c>
      <c r="O310" t="n">
        <v>0</v>
      </c>
      <c r="P310" t="n">
        <v>0</v>
      </c>
      <c r="Q310" t="n">
        <v>0</v>
      </c>
      <c r="R310" s="2" t="inlineStr"/>
    </row>
    <row r="311" ht="15" customHeight="1">
      <c r="A311" t="inlineStr">
        <is>
          <t>A 28290-2025</t>
        </is>
      </c>
      <c r="B311" s="1" t="n">
        <v>45818.59261574074</v>
      </c>
      <c r="C311" s="1" t="n">
        <v>46011</v>
      </c>
      <c r="D311" t="inlineStr">
        <is>
          <t>KALMAR LÄN</t>
        </is>
      </c>
      <c r="E311" t="inlineStr">
        <is>
          <t>VIMMERBY</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40925-2025</t>
        </is>
      </c>
      <c r="B312" s="1" t="n">
        <v>45897.64208333333</v>
      </c>
      <c r="C312" s="1" t="n">
        <v>46011</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28280-2025</t>
        </is>
      </c>
      <c r="B313" s="1" t="n">
        <v>45818.5862037037</v>
      </c>
      <c r="C313" s="1" t="n">
        <v>46011</v>
      </c>
      <c r="D313" t="inlineStr">
        <is>
          <t>KALMAR LÄN</t>
        </is>
      </c>
      <c r="E313" t="inlineStr">
        <is>
          <t>VIMMERBY</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28286-2025</t>
        </is>
      </c>
      <c r="B314" s="1" t="n">
        <v>45818.58993055556</v>
      </c>
      <c r="C314" s="1" t="n">
        <v>46011</v>
      </c>
      <c r="D314" t="inlineStr">
        <is>
          <t>KALMAR LÄN</t>
        </is>
      </c>
      <c r="E314" t="inlineStr">
        <is>
          <t>VIMMERBY</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40921-2025</t>
        </is>
      </c>
      <c r="B315" s="1" t="n">
        <v>45897.63520833333</v>
      </c>
      <c r="C315" s="1" t="n">
        <v>46011</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40971-2025</t>
        </is>
      </c>
      <c r="B316" s="1" t="n">
        <v>45897.88836805556</v>
      </c>
      <c r="C316" s="1" t="n">
        <v>46011</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1146-2025</t>
        </is>
      </c>
      <c r="B317" s="1" t="n">
        <v>45666</v>
      </c>
      <c r="C317" s="1" t="n">
        <v>46011</v>
      </c>
      <c r="D317" t="inlineStr">
        <is>
          <t>KALMAR LÄN</t>
        </is>
      </c>
      <c r="E317" t="inlineStr">
        <is>
          <t>VIMMERBY</t>
        </is>
      </c>
      <c r="G317" t="n">
        <v>4</v>
      </c>
      <c r="H317" t="n">
        <v>0</v>
      </c>
      <c r="I317" t="n">
        <v>0</v>
      </c>
      <c r="J317" t="n">
        <v>0</v>
      </c>
      <c r="K317" t="n">
        <v>0</v>
      </c>
      <c r="L317" t="n">
        <v>0</v>
      </c>
      <c r="M317" t="n">
        <v>0</v>
      </c>
      <c r="N317" t="n">
        <v>0</v>
      </c>
      <c r="O317" t="n">
        <v>0</v>
      </c>
      <c r="P317" t="n">
        <v>0</v>
      </c>
      <c r="Q317" t="n">
        <v>0</v>
      </c>
      <c r="R317" s="2" t="inlineStr"/>
    </row>
    <row r="318" ht="15" customHeight="1">
      <c r="A318" t="inlineStr">
        <is>
          <t>A 41591-2025</t>
        </is>
      </c>
      <c r="B318" s="1" t="n">
        <v>45901.6327662037</v>
      </c>
      <c r="C318" s="1" t="n">
        <v>46011</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46011</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46011</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41589-2025</t>
        </is>
      </c>
      <c r="B321" s="1" t="n">
        <v>45901.63219907408</v>
      </c>
      <c r="C321" s="1" t="n">
        <v>46011</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12890-2023</t>
        </is>
      </c>
      <c r="B322" s="1" t="n">
        <v>45001.59209490741</v>
      </c>
      <c r="C322" s="1" t="n">
        <v>46011</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3902-2022</t>
        </is>
      </c>
      <c r="B323" s="1" t="n">
        <v>44587.48847222222</v>
      </c>
      <c r="C323" s="1" t="n">
        <v>46011</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89-2023</t>
        </is>
      </c>
      <c r="B324" s="1" t="n">
        <v>44918</v>
      </c>
      <c r="C324" s="1" t="n">
        <v>46011</v>
      </c>
      <c r="D324" t="inlineStr">
        <is>
          <t>KALMAR LÄN</t>
        </is>
      </c>
      <c r="E324" t="inlineStr">
        <is>
          <t>VIMMERBY</t>
        </is>
      </c>
      <c r="G324" t="n">
        <v>16.1</v>
      </c>
      <c r="H324" t="n">
        <v>0</v>
      </c>
      <c r="I324" t="n">
        <v>0</v>
      </c>
      <c r="J324" t="n">
        <v>0</v>
      </c>
      <c r="K324" t="n">
        <v>0</v>
      </c>
      <c r="L324" t="n">
        <v>0</v>
      </c>
      <c r="M324" t="n">
        <v>0</v>
      </c>
      <c r="N324" t="n">
        <v>0</v>
      </c>
      <c r="O324" t="n">
        <v>0</v>
      </c>
      <c r="P324" t="n">
        <v>0</v>
      </c>
      <c r="Q324" t="n">
        <v>0</v>
      </c>
      <c r="R324" s="2" t="inlineStr"/>
    </row>
    <row r="325" ht="15" customHeight="1">
      <c r="A325" t="inlineStr">
        <is>
          <t>A 5382-2023</t>
        </is>
      </c>
      <c r="B325" s="1" t="n">
        <v>44959.66407407408</v>
      </c>
      <c r="C325" s="1" t="n">
        <v>46011</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6668-2023</t>
        </is>
      </c>
      <c r="B326" s="1" t="n">
        <v>44966</v>
      </c>
      <c r="C326" s="1" t="n">
        <v>46011</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172-2022</t>
        </is>
      </c>
      <c r="B327" s="1" t="n">
        <v>44564.62598379629</v>
      </c>
      <c r="C327" s="1" t="n">
        <v>46011</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34090-2025</t>
        </is>
      </c>
      <c r="B328" s="1" t="n">
        <v>45845</v>
      </c>
      <c r="C328" s="1" t="n">
        <v>46011</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28713-2025</t>
        </is>
      </c>
      <c r="B329" s="1" t="n">
        <v>45820.33930555556</v>
      </c>
      <c r="C329" s="1" t="n">
        <v>46011</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30634-2024</t>
        </is>
      </c>
      <c r="B330" s="1" t="n">
        <v>45495</v>
      </c>
      <c r="C330" s="1" t="n">
        <v>46011</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41735-2025</t>
        </is>
      </c>
      <c r="B331" s="1" t="n">
        <v>45902.47164351852</v>
      </c>
      <c r="C331" s="1" t="n">
        <v>46011</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6355-2022</t>
        </is>
      </c>
      <c r="B332" s="1" t="n">
        <v>44600</v>
      </c>
      <c r="C332" s="1" t="n">
        <v>46011</v>
      </c>
      <c r="D332" t="inlineStr">
        <is>
          <t>KALMAR LÄN</t>
        </is>
      </c>
      <c r="E332" t="inlineStr">
        <is>
          <t>VIMMERBY</t>
        </is>
      </c>
      <c r="G332" t="n">
        <v>4.9</v>
      </c>
      <c r="H332" t="n">
        <v>0</v>
      </c>
      <c r="I332" t="n">
        <v>0</v>
      </c>
      <c r="J332" t="n">
        <v>0</v>
      </c>
      <c r="K332" t="n">
        <v>0</v>
      </c>
      <c r="L332" t="n">
        <v>0</v>
      </c>
      <c r="M332" t="n">
        <v>0</v>
      </c>
      <c r="N332" t="n">
        <v>0</v>
      </c>
      <c r="O332" t="n">
        <v>0</v>
      </c>
      <c r="P332" t="n">
        <v>0</v>
      </c>
      <c r="Q332" t="n">
        <v>0</v>
      </c>
      <c r="R332" s="2" t="inlineStr"/>
    </row>
    <row r="333" ht="15" customHeight="1">
      <c r="A333" t="inlineStr">
        <is>
          <t>A 28712-2025</t>
        </is>
      </c>
      <c r="B333" s="1" t="n">
        <v>45820.33708333333</v>
      </c>
      <c r="C333" s="1" t="n">
        <v>46011</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28714-2025</t>
        </is>
      </c>
      <c r="B334" s="1" t="n">
        <v>45820.34128472222</v>
      </c>
      <c r="C334" s="1" t="n">
        <v>46011</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46011</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16020-2023</t>
        </is>
      </c>
      <c r="B336" s="1" t="n">
        <v>45026.82216435186</v>
      </c>
      <c r="C336" s="1" t="n">
        <v>46011</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60292-2022</t>
        </is>
      </c>
      <c r="B337" s="1" t="n">
        <v>44910.54231481482</v>
      </c>
      <c r="C337" s="1" t="n">
        <v>46011</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43034-2024</t>
        </is>
      </c>
      <c r="B338" s="1" t="n">
        <v>45567.42011574074</v>
      </c>
      <c r="C338" s="1" t="n">
        <v>46011</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40256-2024</t>
        </is>
      </c>
      <c r="B339" s="1" t="n">
        <v>45554.62944444444</v>
      </c>
      <c r="C339" s="1" t="n">
        <v>46011</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45825.5796875</v>
      </c>
      <c r="C340" s="1" t="n">
        <v>46011</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46011</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42828-2025</t>
        </is>
      </c>
      <c r="B342" s="1" t="n">
        <v>45908.57716435185</v>
      </c>
      <c r="C342" s="1" t="n">
        <v>46011</v>
      </c>
      <c r="D342" t="inlineStr">
        <is>
          <t>KALMAR LÄN</t>
        </is>
      </c>
      <c r="E342" t="inlineStr">
        <is>
          <t>VIMMERBY</t>
        </is>
      </c>
      <c r="G342" t="n">
        <v>5.2</v>
      </c>
      <c r="H342" t="n">
        <v>0</v>
      </c>
      <c r="I342" t="n">
        <v>0</v>
      </c>
      <c r="J342" t="n">
        <v>0</v>
      </c>
      <c r="K342" t="n">
        <v>0</v>
      </c>
      <c r="L342" t="n">
        <v>0</v>
      </c>
      <c r="M342" t="n">
        <v>0</v>
      </c>
      <c r="N342" t="n">
        <v>0</v>
      </c>
      <c r="O342" t="n">
        <v>0</v>
      </c>
      <c r="P342" t="n">
        <v>0</v>
      </c>
      <c r="Q342" t="n">
        <v>0</v>
      </c>
      <c r="R342" s="2" t="inlineStr"/>
    </row>
    <row r="343" ht="15" customHeight="1">
      <c r="A343" t="inlineStr">
        <is>
          <t>A 42794-2025</t>
        </is>
      </c>
      <c r="B343" s="1" t="n">
        <v>45908</v>
      </c>
      <c r="C343" s="1" t="n">
        <v>46011</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43093-2024</t>
        </is>
      </c>
      <c r="B344" s="1" t="n">
        <v>45567</v>
      </c>
      <c r="C344" s="1" t="n">
        <v>46011</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42820-2025</t>
        </is>
      </c>
      <c r="B345" s="1" t="n">
        <v>45908</v>
      </c>
      <c r="C345" s="1" t="n">
        <v>46011</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30293-2025</t>
        </is>
      </c>
      <c r="B346" s="1" t="n">
        <v>45827</v>
      </c>
      <c r="C346" s="1" t="n">
        <v>46011</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35198-2023</t>
        </is>
      </c>
      <c r="B347" s="1" t="n">
        <v>45145</v>
      </c>
      <c r="C347" s="1" t="n">
        <v>46011</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34060-2025</t>
        </is>
      </c>
      <c r="B348" s="1" t="n">
        <v>45845.42015046296</v>
      </c>
      <c r="C348" s="1" t="n">
        <v>46011</v>
      </c>
      <c r="D348" t="inlineStr">
        <is>
          <t>KALMAR LÄN</t>
        </is>
      </c>
      <c r="E348" t="inlineStr">
        <is>
          <t>VIMMERBY</t>
        </is>
      </c>
      <c r="G348" t="n">
        <v>5.7</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46011</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58374-2024</t>
        </is>
      </c>
      <c r="B350" s="1" t="n">
        <v>45632.72635416667</v>
      </c>
      <c r="C350" s="1" t="n">
        <v>46011</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30850-2025</t>
        </is>
      </c>
      <c r="B351" s="1" t="n">
        <v>45831</v>
      </c>
      <c r="C351" s="1" t="n">
        <v>46011</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43617-2025</t>
        </is>
      </c>
      <c r="B352" s="1" t="n">
        <v>45911.67798611111</v>
      </c>
      <c r="C352" s="1" t="n">
        <v>46011</v>
      </c>
      <c r="D352" t="inlineStr">
        <is>
          <t>KALMAR LÄN</t>
        </is>
      </c>
      <c r="E352" t="inlineStr">
        <is>
          <t>VIMMERBY</t>
        </is>
      </c>
      <c r="G352" t="n">
        <v>0.6</v>
      </c>
      <c r="H352" t="n">
        <v>0</v>
      </c>
      <c r="I352" t="n">
        <v>0</v>
      </c>
      <c r="J352" t="n">
        <v>0</v>
      </c>
      <c r="K352" t="n">
        <v>0</v>
      </c>
      <c r="L352" t="n">
        <v>0</v>
      </c>
      <c r="M352" t="n">
        <v>0</v>
      </c>
      <c r="N352" t="n">
        <v>0</v>
      </c>
      <c r="O352" t="n">
        <v>0</v>
      </c>
      <c r="P352" t="n">
        <v>0</v>
      </c>
      <c r="Q352" t="n">
        <v>0</v>
      </c>
      <c r="R352" s="2" t="inlineStr"/>
    </row>
    <row r="353" ht="15" customHeight="1">
      <c r="A353" t="inlineStr">
        <is>
          <t>A 55300-2021</t>
        </is>
      </c>
      <c r="B353" s="1" t="n">
        <v>44475</v>
      </c>
      <c r="C353" s="1" t="n">
        <v>46011</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30882-2025</t>
        </is>
      </c>
      <c r="B354" s="1" t="n">
        <v>45832.34540509259</v>
      </c>
      <c r="C354" s="1" t="n">
        <v>46011</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47263-2023</t>
        </is>
      </c>
      <c r="B355" s="1" t="n">
        <v>45202.4209837963</v>
      </c>
      <c r="C355" s="1" t="n">
        <v>46011</v>
      </c>
      <c r="D355" t="inlineStr">
        <is>
          <t>KALMAR LÄN</t>
        </is>
      </c>
      <c r="E355" t="inlineStr">
        <is>
          <t>VIMMERBY</t>
        </is>
      </c>
      <c r="G355" t="n">
        <v>1.8</v>
      </c>
      <c r="H355" t="n">
        <v>0</v>
      </c>
      <c r="I355" t="n">
        <v>0</v>
      </c>
      <c r="J355" t="n">
        <v>0</v>
      </c>
      <c r="K355" t="n">
        <v>0</v>
      </c>
      <c r="L355" t="n">
        <v>0</v>
      </c>
      <c r="M355" t="n">
        <v>0</v>
      </c>
      <c r="N355" t="n">
        <v>0</v>
      </c>
      <c r="O355" t="n">
        <v>0</v>
      </c>
      <c r="P355" t="n">
        <v>0</v>
      </c>
      <c r="Q355" t="n">
        <v>0</v>
      </c>
      <c r="R355" s="2" t="inlineStr"/>
    </row>
    <row r="356" ht="15" customHeight="1">
      <c r="A356" t="inlineStr">
        <is>
          <t>A 30971-2025</t>
        </is>
      </c>
      <c r="B356" s="1" t="n">
        <v>45832.46146990741</v>
      </c>
      <c r="C356" s="1" t="n">
        <v>46011</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43465-2025</t>
        </is>
      </c>
      <c r="B357" s="1" t="n">
        <v>45911.47138888889</v>
      </c>
      <c r="C357" s="1" t="n">
        <v>46011</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31552-2025</t>
        </is>
      </c>
      <c r="B358" s="1" t="n">
        <v>45833.64563657407</v>
      </c>
      <c r="C358" s="1" t="n">
        <v>46011</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31555-2025</t>
        </is>
      </c>
      <c r="B359" s="1" t="n">
        <v>45833.64814814815</v>
      </c>
      <c r="C359" s="1" t="n">
        <v>46011</v>
      </c>
      <c r="D359" t="inlineStr">
        <is>
          <t>KALMAR LÄN</t>
        </is>
      </c>
      <c r="E359" t="inlineStr">
        <is>
          <t>VIMMERBY</t>
        </is>
      </c>
      <c r="G359" t="n">
        <v>1.8</v>
      </c>
      <c r="H359" t="n">
        <v>0</v>
      </c>
      <c r="I359" t="n">
        <v>0</v>
      </c>
      <c r="J359" t="n">
        <v>0</v>
      </c>
      <c r="K359" t="n">
        <v>0</v>
      </c>
      <c r="L359" t="n">
        <v>0</v>
      </c>
      <c r="M359" t="n">
        <v>0</v>
      </c>
      <c r="N359" t="n">
        <v>0</v>
      </c>
      <c r="O359" t="n">
        <v>0</v>
      </c>
      <c r="P359" t="n">
        <v>0</v>
      </c>
      <c r="Q359" t="n">
        <v>0</v>
      </c>
      <c r="R359" s="2" t="inlineStr"/>
    </row>
    <row r="360" ht="15" customHeight="1">
      <c r="A360" t="inlineStr">
        <is>
          <t>A 2536-2023</t>
        </is>
      </c>
      <c r="B360" s="1" t="n">
        <v>44943.62954861111</v>
      </c>
      <c r="C360" s="1" t="n">
        <v>46011</v>
      </c>
      <c r="D360" t="inlineStr">
        <is>
          <t>KALMAR LÄN</t>
        </is>
      </c>
      <c r="E360" t="inlineStr">
        <is>
          <t>VIMMERBY</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44329-2025</t>
        </is>
      </c>
      <c r="B361" s="1" t="n">
        <v>45916.41019675926</v>
      </c>
      <c r="C361" s="1" t="n">
        <v>46011</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2801-2023</t>
        </is>
      </c>
      <c r="B362" s="1" t="n">
        <v>44944.73487268519</v>
      </c>
      <c r="C362" s="1" t="n">
        <v>46011</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17968-2025</t>
        </is>
      </c>
      <c r="B363" s="1" t="n">
        <v>45761.35990740741</v>
      </c>
      <c r="C363" s="1" t="n">
        <v>46011</v>
      </c>
      <c r="D363" t="inlineStr">
        <is>
          <t>KALMAR LÄN</t>
        </is>
      </c>
      <c r="E363" t="inlineStr">
        <is>
          <t>VIMMERBY</t>
        </is>
      </c>
      <c r="G363" t="n">
        <v>3.3</v>
      </c>
      <c r="H363" t="n">
        <v>0</v>
      </c>
      <c r="I363" t="n">
        <v>0</v>
      </c>
      <c r="J363" t="n">
        <v>0</v>
      </c>
      <c r="K363" t="n">
        <v>0</v>
      </c>
      <c r="L363" t="n">
        <v>0</v>
      </c>
      <c r="M363" t="n">
        <v>0</v>
      </c>
      <c r="N363" t="n">
        <v>0</v>
      </c>
      <c r="O363" t="n">
        <v>0</v>
      </c>
      <c r="P363" t="n">
        <v>0</v>
      </c>
      <c r="Q363" t="n">
        <v>0</v>
      </c>
      <c r="R363" s="2" t="inlineStr"/>
    </row>
    <row r="364" ht="15" customHeight="1">
      <c r="A364" t="inlineStr">
        <is>
          <t>A 31870-2025</t>
        </is>
      </c>
      <c r="B364" s="1" t="n">
        <v>45834.64667824074</v>
      </c>
      <c r="C364" s="1" t="n">
        <v>46011</v>
      </c>
      <c r="D364" t="inlineStr">
        <is>
          <t>KALMAR LÄN</t>
        </is>
      </c>
      <c r="E364" t="inlineStr">
        <is>
          <t>VIMMERBY</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44517-2025</t>
        </is>
      </c>
      <c r="B365" s="1" t="n">
        <v>45916.7103587963</v>
      </c>
      <c r="C365" s="1" t="n">
        <v>46011</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8559-2025</t>
        </is>
      </c>
      <c r="B366" s="1" t="n">
        <v>45709.62280092593</v>
      </c>
      <c r="C366" s="1" t="n">
        <v>46011</v>
      </c>
      <c r="D366" t="inlineStr">
        <is>
          <t>KALMAR LÄN</t>
        </is>
      </c>
      <c r="E366" t="inlineStr">
        <is>
          <t>VIMMERBY</t>
        </is>
      </c>
      <c r="G366" t="n">
        <v>8.9</v>
      </c>
      <c r="H366" t="n">
        <v>0</v>
      </c>
      <c r="I366" t="n">
        <v>0</v>
      </c>
      <c r="J366" t="n">
        <v>0</v>
      </c>
      <c r="K366" t="n">
        <v>0</v>
      </c>
      <c r="L366" t="n">
        <v>0</v>
      </c>
      <c r="M366" t="n">
        <v>0</v>
      </c>
      <c r="N366" t="n">
        <v>0</v>
      </c>
      <c r="O366" t="n">
        <v>0</v>
      </c>
      <c r="P366" t="n">
        <v>0</v>
      </c>
      <c r="Q366" t="n">
        <v>0</v>
      </c>
      <c r="R366" s="2" t="inlineStr"/>
    </row>
    <row r="367" ht="15" customHeight="1">
      <c r="A367" t="inlineStr">
        <is>
          <t>A 31872-2025</t>
        </is>
      </c>
      <c r="B367" s="1" t="n">
        <v>45834.65040509259</v>
      </c>
      <c r="C367" s="1" t="n">
        <v>46011</v>
      </c>
      <c r="D367" t="inlineStr">
        <is>
          <t>KALMAR LÄN</t>
        </is>
      </c>
      <c r="E367" t="inlineStr">
        <is>
          <t>VIMMERBY</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46011</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31551-2025</t>
        </is>
      </c>
      <c r="B369" s="1" t="n">
        <v>45833.64237268519</v>
      </c>
      <c r="C369" s="1" t="n">
        <v>46011</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44091-2025</t>
        </is>
      </c>
      <c r="B370" s="1" t="n">
        <v>45915.55950231481</v>
      </c>
      <c r="C370" s="1" t="n">
        <v>46011</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31987-2025</t>
        </is>
      </c>
      <c r="B371" s="1" t="n">
        <v>45835.36229166666</v>
      </c>
      <c r="C371" s="1" t="n">
        <v>46011</v>
      </c>
      <c r="D371" t="inlineStr">
        <is>
          <t>KALMAR LÄN</t>
        </is>
      </c>
      <c r="E371" t="inlineStr">
        <is>
          <t>VIMMERBY</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14451-2024</t>
        </is>
      </c>
      <c r="B372" s="1" t="n">
        <v>45394.50028935185</v>
      </c>
      <c r="C372" s="1" t="n">
        <v>46011</v>
      </c>
      <c r="D372" t="inlineStr">
        <is>
          <t>KALMAR LÄN</t>
        </is>
      </c>
      <c r="E372" t="inlineStr">
        <is>
          <t>VIMMERBY</t>
        </is>
      </c>
      <c r="G372" t="n">
        <v>1.9</v>
      </c>
      <c r="H372" t="n">
        <v>0</v>
      </c>
      <c r="I372" t="n">
        <v>0</v>
      </c>
      <c r="J372" t="n">
        <v>0</v>
      </c>
      <c r="K372" t="n">
        <v>0</v>
      </c>
      <c r="L372" t="n">
        <v>0</v>
      </c>
      <c r="M372" t="n">
        <v>0</v>
      </c>
      <c r="N372" t="n">
        <v>0</v>
      </c>
      <c r="O372" t="n">
        <v>0</v>
      </c>
      <c r="P372" t="n">
        <v>0</v>
      </c>
      <c r="Q372" t="n">
        <v>0</v>
      </c>
      <c r="R372" s="2" t="inlineStr"/>
    </row>
    <row r="373" ht="15" customHeight="1">
      <c r="A373" t="inlineStr">
        <is>
          <t>A 32120-2025</t>
        </is>
      </c>
      <c r="B373" s="1" t="n">
        <v>45835.4924537037</v>
      </c>
      <c r="C373" s="1" t="n">
        <v>46011</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44095-2025</t>
        </is>
      </c>
      <c r="B374" s="1" t="n">
        <v>45915.56430555556</v>
      </c>
      <c r="C374" s="1" t="n">
        <v>46011</v>
      </c>
      <c r="D374" t="inlineStr">
        <is>
          <t>KALMAR LÄN</t>
        </is>
      </c>
      <c r="E374" t="inlineStr">
        <is>
          <t>VIMMERBY</t>
        </is>
      </c>
      <c r="G374" t="n">
        <v>2.4</v>
      </c>
      <c r="H374" t="n">
        <v>0</v>
      </c>
      <c r="I374" t="n">
        <v>0</v>
      </c>
      <c r="J374" t="n">
        <v>0</v>
      </c>
      <c r="K374" t="n">
        <v>0</v>
      </c>
      <c r="L374" t="n">
        <v>0</v>
      </c>
      <c r="M374" t="n">
        <v>0</v>
      </c>
      <c r="N374" t="n">
        <v>0</v>
      </c>
      <c r="O374" t="n">
        <v>0</v>
      </c>
      <c r="P374" t="n">
        <v>0</v>
      </c>
      <c r="Q374" t="n">
        <v>0</v>
      </c>
      <c r="R374" s="2" t="inlineStr"/>
    </row>
    <row r="375" ht="15" customHeight="1">
      <c r="A375" t="inlineStr">
        <is>
          <t>A 46238-2024</t>
        </is>
      </c>
      <c r="B375" s="1" t="n">
        <v>45581.58418981481</v>
      </c>
      <c r="C375" s="1" t="n">
        <v>46011</v>
      </c>
      <c r="D375" t="inlineStr">
        <is>
          <t>KALMAR LÄN</t>
        </is>
      </c>
      <c r="E375" t="inlineStr">
        <is>
          <t>VIMMERBY</t>
        </is>
      </c>
      <c r="G375" t="n">
        <v>2.1</v>
      </c>
      <c r="H375" t="n">
        <v>0</v>
      </c>
      <c r="I375" t="n">
        <v>0</v>
      </c>
      <c r="J375" t="n">
        <v>0</v>
      </c>
      <c r="K375" t="n">
        <v>0</v>
      </c>
      <c r="L375" t="n">
        <v>0</v>
      </c>
      <c r="M375" t="n">
        <v>0</v>
      </c>
      <c r="N375" t="n">
        <v>0</v>
      </c>
      <c r="O375" t="n">
        <v>0</v>
      </c>
      <c r="P375" t="n">
        <v>0</v>
      </c>
      <c r="Q375" t="n">
        <v>0</v>
      </c>
      <c r="R375" s="2" t="inlineStr"/>
    </row>
    <row r="376" ht="15" customHeight="1">
      <c r="A376" t="inlineStr">
        <is>
          <t>A 32116-2025</t>
        </is>
      </c>
      <c r="B376" s="1" t="n">
        <v>45835.48862268519</v>
      </c>
      <c r="C376" s="1" t="n">
        <v>46011</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50993-2022</t>
        </is>
      </c>
      <c r="B377" s="1" t="n">
        <v>44867</v>
      </c>
      <c r="C377" s="1" t="n">
        <v>46011</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46225-2024</t>
        </is>
      </c>
      <c r="B378" s="1" t="n">
        <v>45581.57333333333</v>
      </c>
      <c r="C378" s="1" t="n">
        <v>46011</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44742-2025</t>
        </is>
      </c>
      <c r="B379" s="1" t="n">
        <v>45917.67054398148</v>
      </c>
      <c r="C379" s="1" t="n">
        <v>46011</v>
      </c>
      <c r="D379" t="inlineStr">
        <is>
          <t>KALMAR LÄN</t>
        </is>
      </c>
      <c r="E379" t="inlineStr">
        <is>
          <t>VIMMERBY</t>
        </is>
      </c>
      <c r="G379" t="n">
        <v>4.7</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46011</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36055-2024</t>
        </is>
      </c>
      <c r="B381" s="1" t="n">
        <v>45533.63056712963</v>
      </c>
      <c r="C381" s="1" t="n">
        <v>46011</v>
      </c>
      <c r="D381" t="inlineStr">
        <is>
          <t>KALMAR LÄN</t>
        </is>
      </c>
      <c r="E381" t="inlineStr">
        <is>
          <t>VIMMERBY</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32380-2025</t>
        </is>
      </c>
      <c r="B382" s="1" t="n">
        <v>45837.77701388889</v>
      </c>
      <c r="C382" s="1" t="n">
        <v>46011</v>
      </c>
      <c r="D382" t="inlineStr">
        <is>
          <t>KALMAR LÄN</t>
        </is>
      </c>
      <c r="E382" t="inlineStr">
        <is>
          <t>VIMMERBY</t>
        </is>
      </c>
      <c r="G382" t="n">
        <v>3.1</v>
      </c>
      <c r="H382" t="n">
        <v>0</v>
      </c>
      <c r="I382" t="n">
        <v>0</v>
      </c>
      <c r="J382" t="n">
        <v>0</v>
      </c>
      <c r="K382" t="n">
        <v>0</v>
      </c>
      <c r="L382" t="n">
        <v>0</v>
      </c>
      <c r="M382" t="n">
        <v>0</v>
      </c>
      <c r="N382" t="n">
        <v>0</v>
      </c>
      <c r="O382" t="n">
        <v>0</v>
      </c>
      <c r="P382" t="n">
        <v>0</v>
      </c>
      <c r="Q382" t="n">
        <v>0</v>
      </c>
      <c r="R382" s="2" t="inlineStr"/>
    </row>
    <row r="383" ht="15" customHeight="1">
      <c r="A383" t="inlineStr">
        <is>
          <t>A 32109-2025</t>
        </is>
      </c>
      <c r="B383" s="1" t="n">
        <v>45835.48267361111</v>
      </c>
      <c r="C383" s="1" t="n">
        <v>46011</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32113-2025</t>
        </is>
      </c>
      <c r="B384" s="1" t="n">
        <v>45835.48445601852</v>
      </c>
      <c r="C384" s="1" t="n">
        <v>46011</v>
      </c>
      <c r="D384" t="inlineStr">
        <is>
          <t>KALMAR LÄN</t>
        </is>
      </c>
      <c r="E384" t="inlineStr">
        <is>
          <t>VIMMERBY</t>
        </is>
      </c>
      <c r="G384" t="n">
        <v>3.5</v>
      </c>
      <c r="H384" t="n">
        <v>0</v>
      </c>
      <c r="I384" t="n">
        <v>0</v>
      </c>
      <c r="J384" t="n">
        <v>0</v>
      </c>
      <c r="K384" t="n">
        <v>0</v>
      </c>
      <c r="L384" t="n">
        <v>0</v>
      </c>
      <c r="M384" t="n">
        <v>0</v>
      </c>
      <c r="N384" t="n">
        <v>0</v>
      </c>
      <c r="O384" t="n">
        <v>0</v>
      </c>
      <c r="P384" t="n">
        <v>0</v>
      </c>
      <c r="Q384" t="n">
        <v>0</v>
      </c>
      <c r="R384" s="2" t="inlineStr"/>
    </row>
    <row r="385" ht="15" customHeight="1">
      <c r="A385" t="inlineStr">
        <is>
          <t>A 47859-2024</t>
        </is>
      </c>
      <c r="B385" s="1" t="n">
        <v>45588.67070601852</v>
      </c>
      <c r="C385" s="1" t="n">
        <v>46011</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32077-2025</t>
        </is>
      </c>
      <c r="B386" s="1" t="n">
        <v>45835.45099537037</v>
      </c>
      <c r="C386" s="1" t="n">
        <v>46011</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32835-2022</t>
        </is>
      </c>
      <c r="B387" s="1" t="n">
        <v>44784.42528935185</v>
      </c>
      <c r="C387" s="1" t="n">
        <v>46011</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32064-2025</t>
        </is>
      </c>
      <c r="B388" s="1" t="n">
        <v>45835.44709490741</v>
      </c>
      <c r="C388" s="1" t="n">
        <v>46011</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32065-2025</t>
        </is>
      </c>
      <c r="B389" s="1" t="n">
        <v>45835.44732638889</v>
      </c>
      <c r="C389" s="1" t="n">
        <v>46011</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45319-2025</t>
        </is>
      </c>
      <c r="B390" s="1" t="n">
        <v>45921.95611111111</v>
      </c>
      <c r="C390" s="1" t="n">
        <v>46011</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46011</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41896-2023</t>
        </is>
      </c>
      <c r="B392" s="1" t="n">
        <v>45176.72427083334</v>
      </c>
      <c r="C392" s="1" t="n">
        <v>46011</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45114-2025</t>
        </is>
      </c>
      <c r="B393" s="1" t="n">
        <v>45919.42387731482</v>
      </c>
      <c r="C393" s="1" t="n">
        <v>46011</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33186-2025</t>
        </is>
      </c>
      <c r="B394" s="1" t="n">
        <v>45840.59474537037</v>
      </c>
      <c r="C394" s="1" t="n">
        <v>46011</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30977-2025</t>
        </is>
      </c>
      <c r="B395" s="1" t="n">
        <v>45832.46649305556</v>
      </c>
      <c r="C395" s="1" t="n">
        <v>46011</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43606-2024</t>
        </is>
      </c>
      <c r="B396" s="1" t="n">
        <v>45569.45017361111</v>
      </c>
      <c r="C396" s="1" t="n">
        <v>46011</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46118-2025</t>
        </is>
      </c>
      <c r="B397" s="1" t="n">
        <v>45924.57697916667</v>
      </c>
      <c r="C397" s="1" t="n">
        <v>46011</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12325-2023</t>
        </is>
      </c>
      <c r="B398" s="1" t="n">
        <v>44999.35858796296</v>
      </c>
      <c r="C398" s="1" t="n">
        <v>46011</v>
      </c>
      <c r="D398" t="inlineStr">
        <is>
          <t>KALMAR LÄN</t>
        </is>
      </c>
      <c r="E398" t="inlineStr">
        <is>
          <t>VIMMERBY</t>
        </is>
      </c>
      <c r="G398" t="n">
        <v>3.4</v>
      </c>
      <c r="H398" t="n">
        <v>0</v>
      </c>
      <c r="I398" t="n">
        <v>0</v>
      </c>
      <c r="J398" t="n">
        <v>0</v>
      </c>
      <c r="K398" t="n">
        <v>0</v>
      </c>
      <c r="L398" t="n">
        <v>0</v>
      </c>
      <c r="M398" t="n">
        <v>0</v>
      </c>
      <c r="N398" t="n">
        <v>0</v>
      </c>
      <c r="O398" t="n">
        <v>0</v>
      </c>
      <c r="P398" t="n">
        <v>0</v>
      </c>
      <c r="Q398" t="n">
        <v>0</v>
      </c>
      <c r="R398" s="2" t="inlineStr"/>
    </row>
    <row r="399" ht="15" customHeight="1">
      <c r="A399" t="inlineStr">
        <is>
          <t>A 33695-2025</t>
        </is>
      </c>
      <c r="B399" s="1" t="n">
        <v>45841.70569444444</v>
      </c>
      <c r="C399" s="1" t="n">
        <v>46011</v>
      </c>
      <c r="D399" t="inlineStr">
        <is>
          <t>KALMAR LÄN</t>
        </is>
      </c>
      <c r="E399" t="inlineStr">
        <is>
          <t>VIMMERBY</t>
        </is>
      </c>
      <c r="G399" t="n">
        <v>2.7</v>
      </c>
      <c r="H399" t="n">
        <v>0</v>
      </c>
      <c r="I399" t="n">
        <v>0</v>
      </c>
      <c r="J399" t="n">
        <v>0</v>
      </c>
      <c r="K399" t="n">
        <v>0</v>
      </c>
      <c r="L399" t="n">
        <v>0</v>
      </c>
      <c r="M399" t="n">
        <v>0</v>
      </c>
      <c r="N399" t="n">
        <v>0</v>
      </c>
      <c r="O399" t="n">
        <v>0</v>
      </c>
      <c r="P399" t="n">
        <v>0</v>
      </c>
      <c r="Q399" t="n">
        <v>0</v>
      </c>
      <c r="R399" s="2" t="inlineStr"/>
    </row>
    <row r="400" ht="15" customHeight="1">
      <c r="A400" t="inlineStr">
        <is>
          <t>A 33698-2025</t>
        </is>
      </c>
      <c r="B400" s="1" t="n">
        <v>45841.70868055556</v>
      </c>
      <c r="C400" s="1" t="n">
        <v>46011</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8945-2025</t>
        </is>
      </c>
      <c r="B401" s="1" t="n">
        <v>45713.45311342592</v>
      </c>
      <c r="C401" s="1" t="n">
        <v>46011</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40665-2023</t>
        </is>
      </c>
      <c r="B402" s="1" t="n">
        <v>45170</v>
      </c>
      <c r="C402" s="1" t="n">
        <v>46011</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13307-2025</t>
        </is>
      </c>
      <c r="B403" s="1" t="n">
        <v>45735.58024305556</v>
      </c>
      <c r="C403" s="1" t="n">
        <v>46011</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28034-2022</t>
        </is>
      </c>
      <c r="B404" s="1" t="n">
        <v>44746.38834490741</v>
      </c>
      <c r="C404" s="1" t="n">
        <v>46011</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33696-2025</t>
        </is>
      </c>
      <c r="B405" s="1" t="n">
        <v>45841.7072337963</v>
      </c>
      <c r="C405" s="1" t="n">
        <v>46011</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28702-2025</t>
        </is>
      </c>
      <c r="B406" s="1" t="n">
        <v>45820.03976851852</v>
      </c>
      <c r="C406" s="1" t="n">
        <v>46011</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55605-2024</t>
        </is>
      </c>
      <c r="B407" s="1" t="n">
        <v>45622</v>
      </c>
      <c r="C407" s="1" t="n">
        <v>46011</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46011</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46011</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42165-2024</t>
        </is>
      </c>
      <c r="B410" s="1" t="n">
        <v>45562.46342592593</v>
      </c>
      <c r="C410" s="1" t="n">
        <v>46011</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46361-2025</t>
        </is>
      </c>
      <c r="B411" s="1" t="n">
        <v>45925.49670138889</v>
      </c>
      <c r="C411" s="1" t="n">
        <v>46011</v>
      </c>
      <c r="D411" t="inlineStr">
        <is>
          <t>KALMAR LÄN</t>
        </is>
      </c>
      <c r="E411" t="inlineStr">
        <is>
          <t>VIMMERBY</t>
        </is>
      </c>
      <c r="G411" t="n">
        <v>4.2</v>
      </c>
      <c r="H411" t="n">
        <v>0</v>
      </c>
      <c r="I411" t="n">
        <v>0</v>
      </c>
      <c r="J411" t="n">
        <v>0</v>
      </c>
      <c r="K411" t="n">
        <v>0</v>
      </c>
      <c r="L411" t="n">
        <v>0</v>
      </c>
      <c r="M411" t="n">
        <v>0</v>
      </c>
      <c r="N411" t="n">
        <v>0</v>
      </c>
      <c r="O411" t="n">
        <v>0</v>
      </c>
      <c r="P411" t="n">
        <v>0</v>
      </c>
      <c r="Q411" t="n">
        <v>0</v>
      </c>
      <c r="R411" s="2" t="inlineStr"/>
    </row>
    <row r="412" ht="15" customHeight="1">
      <c r="A412" t="inlineStr">
        <is>
          <t>A 46365-2025</t>
        </is>
      </c>
      <c r="B412" s="1" t="n">
        <v>45925.50075231482</v>
      </c>
      <c r="C412" s="1" t="n">
        <v>46011</v>
      </c>
      <c r="D412" t="inlineStr">
        <is>
          <t>KALMAR LÄN</t>
        </is>
      </c>
      <c r="E412" t="inlineStr">
        <is>
          <t>VIMMERBY</t>
        </is>
      </c>
      <c r="G412" t="n">
        <v>5.6</v>
      </c>
      <c r="H412" t="n">
        <v>0</v>
      </c>
      <c r="I412" t="n">
        <v>0</v>
      </c>
      <c r="J412" t="n">
        <v>0</v>
      </c>
      <c r="K412" t="n">
        <v>0</v>
      </c>
      <c r="L412" t="n">
        <v>0</v>
      </c>
      <c r="M412" t="n">
        <v>0</v>
      </c>
      <c r="N412" t="n">
        <v>0</v>
      </c>
      <c r="O412" t="n">
        <v>0</v>
      </c>
      <c r="P412" t="n">
        <v>0</v>
      </c>
      <c r="Q412" t="n">
        <v>0</v>
      </c>
      <c r="R412" s="2" t="inlineStr"/>
    </row>
    <row r="413" ht="15" customHeight="1">
      <c r="A413" t="inlineStr">
        <is>
          <t>A 20129-2024</t>
        </is>
      </c>
      <c r="B413" s="1" t="n">
        <v>45434.55831018519</v>
      </c>
      <c r="C413" s="1" t="n">
        <v>46011</v>
      </c>
      <c r="D413" t="inlineStr">
        <is>
          <t>KALMAR LÄN</t>
        </is>
      </c>
      <c r="E413" t="inlineStr">
        <is>
          <t>VIMMERBY</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20137-2024</t>
        </is>
      </c>
      <c r="B414" s="1" t="n">
        <v>45434.56398148148</v>
      </c>
      <c r="C414" s="1" t="n">
        <v>46011</v>
      </c>
      <c r="D414" t="inlineStr">
        <is>
          <t>KALMAR LÄN</t>
        </is>
      </c>
      <c r="E414" t="inlineStr">
        <is>
          <t>VIMMERBY</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34071-2025</t>
        </is>
      </c>
      <c r="B415" s="1" t="n">
        <v>45845.43803240741</v>
      </c>
      <c r="C415" s="1" t="n">
        <v>46011</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23095-2023</t>
        </is>
      </c>
      <c r="B416" s="1" t="n">
        <v>45075.43059027778</v>
      </c>
      <c r="C416" s="1" t="n">
        <v>46011</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34106-2025</t>
        </is>
      </c>
      <c r="B417" s="1" t="n">
        <v>45845.49414351852</v>
      </c>
      <c r="C417" s="1" t="n">
        <v>46011</v>
      </c>
      <c r="D417" t="inlineStr">
        <is>
          <t>KALMAR LÄN</t>
        </is>
      </c>
      <c r="E417" t="inlineStr">
        <is>
          <t>VIMMERBY</t>
        </is>
      </c>
      <c r="G417" t="n">
        <v>6</v>
      </c>
      <c r="H417" t="n">
        <v>0</v>
      </c>
      <c r="I417" t="n">
        <v>0</v>
      </c>
      <c r="J417" t="n">
        <v>0</v>
      </c>
      <c r="K417" t="n">
        <v>0</v>
      </c>
      <c r="L417" t="n">
        <v>0</v>
      </c>
      <c r="M417" t="n">
        <v>0</v>
      </c>
      <c r="N417" t="n">
        <v>0</v>
      </c>
      <c r="O417" t="n">
        <v>0</v>
      </c>
      <c r="P417" t="n">
        <v>0</v>
      </c>
      <c r="Q417" t="n">
        <v>0</v>
      </c>
      <c r="R417" s="2" t="inlineStr"/>
    </row>
    <row r="418" ht="15" customHeight="1">
      <c r="A418" t="inlineStr">
        <is>
          <t>A 32919-2022</t>
        </is>
      </c>
      <c r="B418" s="1" t="n">
        <v>44784.62724537037</v>
      </c>
      <c r="C418" s="1" t="n">
        <v>46011</v>
      </c>
      <c r="D418" t="inlineStr">
        <is>
          <t>KALMAR LÄN</t>
        </is>
      </c>
      <c r="E418" t="inlineStr">
        <is>
          <t>VIMMERBY</t>
        </is>
      </c>
      <c r="G418" t="n">
        <v>1.7</v>
      </c>
      <c r="H418" t="n">
        <v>0</v>
      </c>
      <c r="I418" t="n">
        <v>0</v>
      </c>
      <c r="J418" t="n">
        <v>0</v>
      </c>
      <c r="K418" t="n">
        <v>0</v>
      </c>
      <c r="L418" t="n">
        <v>0</v>
      </c>
      <c r="M418" t="n">
        <v>0</v>
      </c>
      <c r="N418" t="n">
        <v>0</v>
      </c>
      <c r="O418" t="n">
        <v>0</v>
      </c>
      <c r="P418" t="n">
        <v>0</v>
      </c>
      <c r="Q418" t="n">
        <v>0</v>
      </c>
      <c r="R418" s="2" t="inlineStr"/>
    </row>
    <row r="419" ht="15" customHeight="1">
      <c r="A419" t="inlineStr">
        <is>
          <t>A 45856-2025</t>
        </is>
      </c>
      <c r="B419" s="1" t="n">
        <v>45923</v>
      </c>
      <c r="C419" s="1" t="n">
        <v>46011</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26956-2025</t>
        </is>
      </c>
      <c r="B420" s="1" t="n">
        <v>45811.45460648148</v>
      </c>
      <c r="C420" s="1" t="n">
        <v>46011</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46887-2025</t>
        </is>
      </c>
      <c r="B421" s="1" t="n">
        <v>45929.3672337963</v>
      </c>
      <c r="C421" s="1" t="n">
        <v>46011</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7068-2024</t>
        </is>
      </c>
      <c r="B422" s="1" t="n">
        <v>45343.68038194445</v>
      </c>
      <c r="C422" s="1" t="n">
        <v>46011</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34628-2025</t>
        </is>
      </c>
      <c r="B423" s="1" t="n">
        <v>45847.91280092593</v>
      </c>
      <c r="C423" s="1" t="n">
        <v>46011</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12596-2021</t>
        </is>
      </c>
      <c r="B424" s="1" t="n">
        <v>44270.39765046296</v>
      </c>
      <c r="C424" s="1" t="n">
        <v>46011</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47227-2025</t>
        </is>
      </c>
      <c r="B425" s="1" t="n">
        <v>45930.39769675926</v>
      </c>
      <c r="C425" s="1" t="n">
        <v>46011</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55385-2025</t>
        </is>
      </c>
      <c r="B426" s="1" t="n">
        <v>45971.43350694444</v>
      </c>
      <c r="C426" s="1" t="n">
        <v>46011</v>
      </c>
      <c r="D426" t="inlineStr">
        <is>
          <t>KALMAR LÄN</t>
        </is>
      </c>
      <c r="E426" t="inlineStr">
        <is>
          <t>VIMMERBY</t>
        </is>
      </c>
      <c r="G426" t="n">
        <v>5</v>
      </c>
      <c r="H426" t="n">
        <v>0</v>
      </c>
      <c r="I426" t="n">
        <v>0</v>
      </c>
      <c r="J426" t="n">
        <v>0</v>
      </c>
      <c r="K426" t="n">
        <v>0</v>
      </c>
      <c r="L426" t="n">
        <v>0</v>
      </c>
      <c r="M426" t="n">
        <v>0</v>
      </c>
      <c r="N426" t="n">
        <v>0</v>
      </c>
      <c r="O426" t="n">
        <v>0</v>
      </c>
      <c r="P426" t="n">
        <v>0</v>
      </c>
      <c r="Q426" t="n">
        <v>0</v>
      </c>
      <c r="R426" s="2" t="inlineStr"/>
    </row>
    <row r="427" ht="15" customHeight="1">
      <c r="A427" t="inlineStr">
        <is>
          <t>A 32655-2023</t>
        </is>
      </c>
      <c r="B427" s="1" t="n">
        <v>45121.61318287037</v>
      </c>
      <c r="C427" s="1" t="n">
        <v>46011</v>
      </c>
      <c r="D427" t="inlineStr">
        <is>
          <t>KALMAR LÄN</t>
        </is>
      </c>
      <c r="E427" t="inlineStr">
        <is>
          <t>VIMMERBY</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55602-2025</t>
        </is>
      </c>
      <c r="B428" s="1" t="n">
        <v>45971</v>
      </c>
      <c r="C428" s="1" t="n">
        <v>46011</v>
      </c>
      <c r="D428" t="inlineStr">
        <is>
          <t>KALMAR LÄN</t>
        </is>
      </c>
      <c r="E428" t="inlineStr">
        <is>
          <t>VIMMERBY</t>
        </is>
      </c>
      <c r="G428" t="n">
        <v>2.7</v>
      </c>
      <c r="H428" t="n">
        <v>0</v>
      </c>
      <c r="I428" t="n">
        <v>0</v>
      </c>
      <c r="J428" t="n">
        <v>0</v>
      </c>
      <c r="K428" t="n">
        <v>0</v>
      </c>
      <c r="L428" t="n">
        <v>0</v>
      </c>
      <c r="M428" t="n">
        <v>0</v>
      </c>
      <c r="N428" t="n">
        <v>0</v>
      </c>
      <c r="O428" t="n">
        <v>0</v>
      </c>
      <c r="P428" t="n">
        <v>0</v>
      </c>
      <c r="Q428" t="n">
        <v>0</v>
      </c>
      <c r="R428" s="2" t="inlineStr"/>
    </row>
    <row r="429" ht="15" customHeight="1">
      <c r="A429" t="inlineStr">
        <is>
          <t>A 54409-2024</t>
        </is>
      </c>
      <c r="B429" s="1" t="n">
        <v>45617.47570601852</v>
      </c>
      <c r="C429" s="1" t="n">
        <v>46011</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55603-2025</t>
        </is>
      </c>
      <c r="B430" s="1" t="n">
        <v>45971</v>
      </c>
      <c r="C430" s="1" t="n">
        <v>46011</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55605-2025</t>
        </is>
      </c>
      <c r="B431" s="1" t="n">
        <v>45971</v>
      </c>
      <c r="C431" s="1" t="n">
        <v>46011</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35270-2025</t>
        </is>
      </c>
      <c r="B432" s="1" t="n">
        <v>45853.87112268519</v>
      </c>
      <c r="C432" s="1" t="n">
        <v>46011</v>
      </c>
      <c r="D432" t="inlineStr">
        <is>
          <t>KALMAR LÄN</t>
        </is>
      </c>
      <c r="E432" t="inlineStr">
        <is>
          <t>VIMMERBY</t>
        </is>
      </c>
      <c r="G432" t="n">
        <v>2.4</v>
      </c>
      <c r="H432" t="n">
        <v>0</v>
      </c>
      <c r="I432" t="n">
        <v>0</v>
      </c>
      <c r="J432" t="n">
        <v>0</v>
      </c>
      <c r="K432" t="n">
        <v>0</v>
      </c>
      <c r="L432" t="n">
        <v>0</v>
      </c>
      <c r="M432" t="n">
        <v>0</v>
      </c>
      <c r="N432" t="n">
        <v>0</v>
      </c>
      <c r="O432" t="n">
        <v>0</v>
      </c>
      <c r="P432" t="n">
        <v>0</v>
      </c>
      <c r="Q432" t="n">
        <v>0</v>
      </c>
      <c r="R432" s="2" t="inlineStr"/>
    </row>
    <row r="433" ht="15" customHeight="1">
      <c r="A433" t="inlineStr">
        <is>
          <t>A 35271-2025</t>
        </is>
      </c>
      <c r="B433" s="1" t="n">
        <v>45853.87599537037</v>
      </c>
      <c r="C433" s="1" t="n">
        <v>46011</v>
      </c>
      <c r="D433" t="inlineStr">
        <is>
          <t>KALMAR LÄN</t>
        </is>
      </c>
      <c r="E433" t="inlineStr">
        <is>
          <t>VIMMERBY</t>
        </is>
      </c>
      <c r="G433" t="n">
        <v>0.4</v>
      </c>
      <c r="H433" t="n">
        <v>0</v>
      </c>
      <c r="I433" t="n">
        <v>0</v>
      </c>
      <c r="J433" t="n">
        <v>0</v>
      </c>
      <c r="K433" t="n">
        <v>0</v>
      </c>
      <c r="L433" t="n">
        <v>0</v>
      </c>
      <c r="M433" t="n">
        <v>0</v>
      </c>
      <c r="N433" t="n">
        <v>0</v>
      </c>
      <c r="O433" t="n">
        <v>0</v>
      </c>
      <c r="P433" t="n">
        <v>0</v>
      </c>
      <c r="Q433" t="n">
        <v>0</v>
      </c>
      <c r="R433" s="2" t="inlineStr"/>
    </row>
    <row r="434" ht="15" customHeight="1">
      <c r="A434" t="inlineStr">
        <is>
          <t>A 35272-2025</t>
        </is>
      </c>
      <c r="B434" s="1" t="n">
        <v>45853.88070601852</v>
      </c>
      <c r="C434" s="1" t="n">
        <v>46011</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16953-2025</t>
        </is>
      </c>
      <c r="B435" s="1" t="n">
        <v>45755.44333333334</v>
      </c>
      <c r="C435" s="1" t="n">
        <v>46011</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9475-2023</t>
        </is>
      </c>
      <c r="B436" s="1" t="n">
        <v>44981.58834490741</v>
      </c>
      <c r="C436" s="1" t="n">
        <v>46011</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43092-2024</t>
        </is>
      </c>
      <c r="B437" s="1" t="n">
        <v>45567</v>
      </c>
      <c r="C437" s="1" t="n">
        <v>46011</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35597-2025</t>
        </is>
      </c>
      <c r="B438" s="1" t="n">
        <v>45858.66019675926</v>
      </c>
      <c r="C438" s="1" t="n">
        <v>46011</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47965-2025</t>
        </is>
      </c>
      <c r="B439" s="1" t="n">
        <v>45932.59597222223</v>
      </c>
      <c r="C439" s="1" t="n">
        <v>46011</v>
      </c>
      <c r="D439" t="inlineStr">
        <is>
          <t>KALMAR LÄN</t>
        </is>
      </c>
      <c r="E439" t="inlineStr">
        <is>
          <t>VIMMERBY</t>
        </is>
      </c>
      <c r="G439" t="n">
        <v>2.2</v>
      </c>
      <c r="H439" t="n">
        <v>0</v>
      </c>
      <c r="I439" t="n">
        <v>0</v>
      </c>
      <c r="J439" t="n">
        <v>0</v>
      </c>
      <c r="K439" t="n">
        <v>0</v>
      </c>
      <c r="L439" t="n">
        <v>0</v>
      </c>
      <c r="M439" t="n">
        <v>0</v>
      </c>
      <c r="N439" t="n">
        <v>0</v>
      </c>
      <c r="O439" t="n">
        <v>0</v>
      </c>
      <c r="P439" t="n">
        <v>0</v>
      </c>
      <c r="Q439" t="n">
        <v>0</v>
      </c>
      <c r="R439" s="2" t="inlineStr"/>
    </row>
    <row r="440" ht="15" customHeight="1">
      <c r="A440" t="inlineStr">
        <is>
          <t>A 11619-2023</t>
        </is>
      </c>
      <c r="B440" s="1" t="n">
        <v>44994.42113425926</v>
      </c>
      <c r="C440" s="1" t="n">
        <v>46011</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35596-2025</t>
        </is>
      </c>
      <c r="B441" s="1" t="n">
        <v>45858.60641203704</v>
      </c>
      <c r="C441" s="1" t="n">
        <v>46011</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5074-2023</t>
        </is>
      </c>
      <c r="B442" s="1" t="n">
        <v>44958.61047453704</v>
      </c>
      <c r="C442" s="1" t="n">
        <v>46011</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6368-2023</t>
        </is>
      </c>
      <c r="B443" s="1" t="n">
        <v>44965</v>
      </c>
      <c r="C443" s="1" t="n">
        <v>46011</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5701-2024</t>
        </is>
      </c>
      <c r="B444" s="1" t="n">
        <v>45334.78826388889</v>
      </c>
      <c r="C444" s="1" t="n">
        <v>46011</v>
      </c>
      <c r="D444" t="inlineStr">
        <is>
          <t>KALMAR LÄN</t>
        </is>
      </c>
      <c r="E444" t="inlineStr">
        <is>
          <t>VIMMERBY</t>
        </is>
      </c>
      <c r="G444" t="n">
        <v>2.3</v>
      </c>
      <c r="H444" t="n">
        <v>0</v>
      </c>
      <c r="I444" t="n">
        <v>0</v>
      </c>
      <c r="J444" t="n">
        <v>0</v>
      </c>
      <c r="K444" t="n">
        <v>0</v>
      </c>
      <c r="L444" t="n">
        <v>0</v>
      </c>
      <c r="M444" t="n">
        <v>0</v>
      </c>
      <c r="N444" t="n">
        <v>0</v>
      </c>
      <c r="O444" t="n">
        <v>0</v>
      </c>
      <c r="P444" t="n">
        <v>0</v>
      </c>
      <c r="Q444" t="n">
        <v>0</v>
      </c>
      <c r="R444" s="2" t="inlineStr"/>
    </row>
    <row r="445" ht="15" customHeight="1">
      <c r="A445" t="inlineStr">
        <is>
          <t>A 19502-2025</t>
        </is>
      </c>
      <c r="B445" s="1" t="n">
        <v>45769</v>
      </c>
      <c r="C445" s="1" t="n">
        <v>46011</v>
      </c>
      <c r="D445" t="inlineStr">
        <is>
          <t>KALMAR LÄN</t>
        </is>
      </c>
      <c r="E445" t="inlineStr">
        <is>
          <t>VIMMERBY</t>
        </is>
      </c>
      <c r="G445" t="n">
        <v>1.9</v>
      </c>
      <c r="H445" t="n">
        <v>0</v>
      </c>
      <c r="I445" t="n">
        <v>0</v>
      </c>
      <c r="J445" t="n">
        <v>0</v>
      </c>
      <c r="K445" t="n">
        <v>0</v>
      </c>
      <c r="L445" t="n">
        <v>0</v>
      </c>
      <c r="M445" t="n">
        <v>0</v>
      </c>
      <c r="N445" t="n">
        <v>0</v>
      </c>
      <c r="O445" t="n">
        <v>0</v>
      </c>
      <c r="P445" t="n">
        <v>0</v>
      </c>
      <c r="Q445" t="n">
        <v>0</v>
      </c>
      <c r="R445" s="2" t="inlineStr"/>
    </row>
    <row r="446" ht="15" customHeight="1">
      <c r="A446" t="inlineStr">
        <is>
          <t>A 7797-2023</t>
        </is>
      </c>
      <c r="B446" s="1" t="n">
        <v>44973.43075231482</v>
      </c>
      <c r="C446" s="1" t="n">
        <v>46011</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46011</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24655-2021</t>
        </is>
      </c>
      <c r="B448" s="1" t="n">
        <v>44340</v>
      </c>
      <c r="C448" s="1" t="n">
        <v>46011</v>
      </c>
      <c r="D448" t="inlineStr">
        <is>
          <t>KALMAR LÄN</t>
        </is>
      </c>
      <c r="E448" t="inlineStr">
        <is>
          <t>VIMMERBY</t>
        </is>
      </c>
      <c r="G448" t="n">
        <v>14.9</v>
      </c>
      <c r="H448" t="n">
        <v>0</v>
      </c>
      <c r="I448" t="n">
        <v>0</v>
      </c>
      <c r="J448" t="n">
        <v>0</v>
      </c>
      <c r="K448" t="n">
        <v>0</v>
      </c>
      <c r="L448" t="n">
        <v>0</v>
      </c>
      <c r="M448" t="n">
        <v>0</v>
      </c>
      <c r="N448" t="n">
        <v>0</v>
      </c>
      <c r="O448" t="n">
        <v>0</v>
      </c>
      <c r="P448" t="n">
        <v>0</v>
      </c>
      <c r="Q448" t="n">
        <v>0</v>
      </c>
      <c r="R448" s="2" t="inlineStr"/>
    </row>
    <row r="449" ht="15" customHeight="1">
      <c r="A449" t="inlineStr">
        <is>
          <t>A 36273-2025</t>
        </is>
      </c>
      <c r="B449" s="1" t="n">
        <v>45867.63094907408</v>
      </c>
      <c r="C449" s="1" t="n">
        <v>46011</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48299-2025</t>
        </is>
      </c>
      <c r="B450" s="1" t="n">
        <v>45933.60982638889</v>
      </c>
      <c r="C450" s="1" t="n">
        <v>46011</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36299-2025</t>
        </is>
      </c>
      <c r="B451" s="1" t="n">
        <v>45867.69346064814</v>
      </c>
      <c r="C451" s="1" t="n">
        <v>46011</v>
      </c>
      <c r="D451" t="inlineStr">
        <is>
          <t>KALMAR LÄN</t>
        </is>
      </c>
      <c r="E451" t="inlineStr">
        <is>
          <t>VIMMERBY</t>
        </is>
      </c>
      <c r="G451" t="n">
        <v>7.6</v>
      </c>
      <c r="H451" t="n">
        <v>0</v>
      </c>
      <c r="I451" t="n">
        <v>0</v>
      </c>
      <c r="J451" t="n">
        <v>0</v>
      </c>
      <c r="K451" t="n">
        <v>0</v>
      </c>
      <c r="L451" t="n">
        <v>0</v>
      </c>
      <c r="M451" t="n">
        <v>0</v>
      </c>
      <c r="N451" t="n">
        <v>0</v>
      </c>
      <c r="O451" t="n">
        <v>0</v>
      </c>
      <c r="P451" t="n">
        <v>0</v>
      </c>
      <c r="Q451" t="n">
        <v>0</v>
      </c>
      <c r="R451" s="2" t="inlineStr"/>
    </row>
    <row r="452" ht="15" customHeight="1">
      <c r="A452" t="inlineStr">
        <is>
          <t>A 36221-2025</t>
        </is>
      </c>
      <c r="B452" s="1" t="n">
        <v>45867.50792824074</v>
      </c>
      <c r="C452" s="1" t="n">
        <v>46011</v>
      </c>
      <c r="D452" t="inlineStr">
        <is>
          <t>KALMAR LÄN</t>
        </is>
      </c>
      <c r="E452" t="inlineStr">
        <is>
          <t>VIMMERBY</t>
        </is>
      </c>
      <c r="G452" t="n">
        <v>2.5</v>
      </c>
      <c r="H452" t="n">
        <v>0</v>
      </c>
      <c r="I452" t="n">
        <v>0</v>
      </c>
      <c r="J452" t="n">
        <v>0</v>
      </c>
      <c r="K452" t="n">
        <v>0</v>
      </c>
      <c r="L452" t="n">
        <v>0</v>
      </c>
      <c r="M452" t="n">
        <v>0</v>
      </c>
      <c r="N452" t="n">
        <v>0</v>
      </c>
      <c r="O452" t="n">
        <v>0</v>
      </c>
      <c r="P452" t="n">
        <v>0</v>
      </c>
      <c r="Q452" t="n">
        <v>0</v>
      </c>
      <c r="R452" s="2" t="inlineStr"/>
    </row>
    <row r="453" ht="15" customHeight="1">
      <c r="A453" t="inlineStr">
        <is>
          <t>A 36226-2025</t>
        </is>
      </c>
      <c r="B453" s="1" t="n">
        <v>45867.51630787037</v>
      </c>
      <c r="C453" s="1" t="n">
        <v>46011</v>
      </c>
      <c r="D453" t="inlineStr">
        <is>
          <t>KALMAR LÄN</t>
        </is>
      </c>
      <c r="E453" t="inlineStr">
        <is>
          <t>VIMMERBY</t>
        </is>
      </c>
      <c r="G453" t="n">
        <v>3.1</v>
      </c>
      <c r="H453" t="n">
        <v>0</v>
      </c>
      <c r="I453" t="n">
        <v>0</v>
      </c>
      <c r="J453" t="n">
        <v>0</v>
      </c>
      <c r="K453" t="n">
        <v>0</v>
      </c>
      <c r="L453" t="n">
        <v>0</v>
      </c>
      <c r="M453" t="n">
        <v>0</v>
      </c>
      <c r="N453" t="n">
        <v>0</v>
      </c>
      <c r="O453" t="n">
        <v>0</v>
      </c>
      <c r="P453" t="n">
        <v>0</v>
      </c>
      <c r="Q453" t="n">
        <v>0</v>
      </c>
      <c r="R453" s="2" t="inlineStr"/>
    </row>
    <row r="454" ht="15" customHeight="1">
      <c r="A454" t="inlineStr">
        <is>
          <t>A 8410-2023</t>
        </is>
      </c>
      <c r="B454" s="1" t="n">
        <v>44977</v>
      </c>
      <c r="C454" s="1" t="n">
        <v>46011</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36297-2025</t>
        </is>
      </c>
      <c r="B455" s="1" t="n">
        <v>45867.68625</v>
      </c>
      <c r="C455" s="1" t="n">
        <v>46011</v>
      </c>
      <c r="D455" t="inlineStr">
        <is>
          <t>KALMAR LÄN</t>
        </is>
      </c>
      <c r="E455" t="inlineStr">
        <is>
          <t>VIMMERBY</t>
        </is>
      </c>
      <c r="G455" t="n">
        <v>4.9</v>
      </c>
      <c r="H455" t="n">
        <v>0</v>
      </c>
      <c r="I455" t="n">
        <v>0</v>
      </c>
      <c r="J455" t="n">
        <v>0</v>
      </c>
      <c r="K455" t="n">
        <v>0</v>
      </c>
      <c r="L455" t="n">
        <v>0</v>
      </c>
      <c r="M455" t="n">
        <v>0</v>
      </c>
      <c r="N455" t="n">
        <v>0</v>
      </c>
      <c r="O455" t="n">
        <v>0</v>
      </c>
      <c r="P455" t="n">
        <v>0</v>
      </c>
      <c r="Q455" t="n">
        <v>0</v>
      </c>
      <c r="R455" s="2" t="inlineStr"/>
    </row>
    <row r="456" ht="15" customHeight="1">
      <c r="A456" t="inlineStr">
        <is>
          <t>A 36246-2025</t>
        </is>
      </c>
      <c r="B456" s="1" t="n">
        <v>45867.56320601852</v>
      </c>
      <c r="C456" s="1" t="n">
        <v>46011</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36282-2025</t>
        </is>
      </c>
      <c r="B457" s="1" t="n">
        <v>45867.64663194444</v>
      </c>
      <c r="C457" s="1" t="n">
        <v>46011</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36538-2025</t>
        </is>
      </c>
      <c r="B458" s="1" t="n">
        <v>45869.62276620371</v>
      </c>
      <c r="C458" s="1" t="n">
        <v>46011</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48723-2025</t>
        </is>
      </c>
      <c r="B459" s="1" t="n">
        <v>45936.65121527778</v>
      </c>
      <c r="C459" s="1" t="n">
        <v>46011</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6028-2023</t>
        </is>
      </c>
      <c r="B460" s="1" t="n">
        <v>44964.44356481481</v>
      </c>
      <c r="C460" s="1" t="n">
        <v>46011</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36598-2025</t>
        </is>
      </c>
      <c r="B461" s="1" t="n">
        <v>45870.51708333333</v>
      </c>
      <c r="C461" s="1" t="n">
        <v>46011</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36602-2025</t>
        </is>
      </c>
      <c r="B462" s="1" t="n">
        <v>45870.52111111111</v>
      </c>
      <c r="C462" s="1" t="n">
        <v>46011</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52823-2024</t>
        </is>
      </c>
      <c r="B463" s="1" t="n">
        <v>45610.59094907407</v>
      </c>
      <c r="C463" s="1" t="n">
        <v>46011</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36600-2025</t>
        </is>
      </c>
      <c r="B464" s="1" t="n">
        <v>45870.51958333333</v>
      </c>
      <c r="C464" s="1" t="n">
        <v>46011</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36601-2025</t>
        </is>
      </c>
      <c r="B465" s="1" t="n">
        <v>45870.52005787037</v>
      </c>
      <c r="C465" s="1" t="n">
        <v>46011</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36603-2025</t>
        </is>
      </c>
      <c r="B466" s="1" t="n">
        <v>45870.52142361111</v>
      </c>
      <c r="C466" s="1" t="n">
        <v>46011</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48600-2025</t>
        </is>
      </c>
      <c r="B467" s="1" t="n">
        <v>45935</v>
      </c>
      <c r="C467" s="1" t="n">
        <v>46011</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56853-2022</t>
        </is>
      </c>
      <c r="B468" s="1" t="n">
        <v>44894.49538194444</v>
      </c>
      <c r="C468" s="1" t="n">
        <v>46011</v>
      </c>
      <c r="D468" t="inlineStr">
        <is>
          <t>KALMAR LÄN</t>
        </is>
      </c>
      <c r="E468" t="inlineStr">
        <is>
          <t>VIMMERBY</t>
        </is>
      </c>
      <c r="G468" t="n">
        <v>4.3</v>
      </c>
      <c r="H468" t="n">
        <v>0</v>
      </c>
      <c r="I468" t="n">
        <v>0</v>
      </c>
      <c r="J468" t="n">
        <v>0</v>
      </c>
      <c r="K468" t="n">
        <v>0</v>
      </c>
      <c r="L468" t="n">
        <v>0</v>
      </c>
      <c r="M468" t="n">
        <v>0</v>
      </c>
      <c r="N468" t="n">
        <v>0</v>
      </c>
      <c r="O468" t="n">
        <v>0</v>
      </c>
      <c r="P468" t="n">
        <v>0</v>
      </c>
      <c r="Q468" t="n">
        <v>0</v>
      </c>
      <c r="R468" s="2" t="inlineStr"/>
    </row>
    <row r="469" ht="15" customHeight="1">
      <c r="A469" t="inlineStr">
        <is>
          <t>A 11152-2023</t>
        </is>
      </c>
      <c r="B469" s="1" t="n">
        <v>44992</v>
      </c>
      <c r="C469" s="1" t="n">
        <v>46011</v>
      </c>
      <c r="D469" t="inlineStr">
        <is>
          <t>KALMAR LÄN</t>
        </is>
      </c>
      <c r="E469" t="inlineStr">
        <is>
          <t>VIMMERBY</t>
        </is>
      </c>
      <c r="G469" t="n">
        <v>10.6</v>
      </c>
      <c r="H469" t="n">
        <v>0</v>
      </c>
      <c r="I469" t="n">
        <v>0</v>
      </c>
      <c r="J469" t="n">
        <v>0</v>
      </c>
      <c r="K469" t="n">
        <v>0</v>
      </c>
      <c r="L469" t="n">
        <v>0</v>
      </c>
      <c r="M469" t="n">
        <v>0</v>
      </c>
      <c r="N469" t="n">
        <v>0</v>
      </c>
      <c r="O469" t="n">
        <v>0</v>
      </c>
      <c r="P469" t="n">
        <v>0</v>
      </c>
      <c r="Q469" t="n">
        <v>0</v>
      </c>
      <c r="R469" s="2" t="inlineStr"/>
    </row>
    <row r="470" ht="15" customHeight="1">
      <c r="A470" t="inlineStr">
        <is>
          <t>A 15550-2023</t>
        </is>
      </c>
      <c r="B470" s="1" t="n">
        <v>45020</v>
      </c>
      <c r="C470" s="1" t="n">
        <v>46011</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48408-2025</t>
        </is>
      </c>
      <c r="B471" s="1" t="n">
        <v>45934.40527777778</v>
      </c>
      <c r="C471" s="1" t="n">
        <v>46011</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48409-2025</t>
        </is>
      </c>
      <c r="B472" s="1" t="n">
        <v>45934.41387731482</v>
      </c>
      <c r="C472" s="1" t="n">
        <v>46011</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48712-2025</t>
        </is>
      </c>
      <c r="B473" s="1" t="n">
        <v>45936.63373842592</v>
      </c>
      <c r="C473" s="1" t="n">
        <v>46011</v>
      </c>
      <c r="D473" t="inlineStr">
        <is>
          <t>KALMAR LÄN</t>
        </is>
      </c>
      <c r="E473" t="inlineStr">
        <is>
          <t>VIMMERBY</t>
        </is>
      </c>
      <c r="G473" t="n">
        <v>3</v>
      </c>
      <c r="H473" t="n">
        <v>0</v>
      </c>
      <c r="I473" t="n">
        <v>0</v>
      </c>
      <c r="J473" t="n">
        <v>0</v>
      </c>
      <c r="K473" t="n">
        <v>0</v>
      </c>
      <c r="L473" t="n">
        <v>0</v>
      </c>
      <c r="M473" t="n">
        <v>0</v>
      </c>
      <c r="N473" t="n">
        <v>0</v>
      </c>
      <c r="O473" t="n">
        <v>0</v>
      </c>
      <c r="P473" t="n">
        <v>0</v>
      </c>
      <c r="Q473" t="n">
        <v>0</v>
      </c>
      <c r="R473" s="2" t="inlineStr"/>
    </row>
    <row r="474" ht="15" customHeight="1">
      <c r="A474" t="inlineStr">
        <is>
          <t>A 31355-2023</t>
        </is>
      </c>
      <c r="B474" s="1" t="n">
        <v>45114.49505787037</v>
      </c>
      <c r="C474" s="1" t="n">
        <v>46011</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18330-2023</t>
        </is>
      </c>
      <c r="B475" s="1" t="n">
        <v>45041</v>
      </c>
      <c r="C475" s="1" t="n">
        <v>46011</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36934-2025</t>
        </is>
      </c>
      <c r="B476" s="1" t="n">
        <v>45874.57109953704</v>
      </c>
      <c r="C476" s="1" t="n">
        <v>46011</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58100-2024</t>
        </is>
      </c>
      <c r="B477" s="1" t="n">
        <v>45632.36706018518</v>
      </c>
      <c r="C477" s="1" t="n">
        <v>46011</v>
      </c>
      <c r="D477" t="inlineStr">
        <is>
          <t>KALMAR LÄN</t>
        </is>
      </c>
      <c r="E477" t="inlineStr">
        <is>
          <t>VIMMERBY</t>
        </is>
      </c>
      <c r="G477" t="n">
        <v>0.9</v>
      </c>
      <c r="H477" t="n">
        <v>0</v>
      </c>
      <c r="I477" t="n">
        <v>0</v>
      </c>
      <c r="J477" t="n">
        <v>0</v>
      </c>
      <c r="K477" t="n">
        <v>0</v>
      </c>
      <c r="L477" t="n">
        <v>0</v>
      </c>
      <c r="M477" t="n">
        <v>0</v>
      </c>
      <c r="N477" t="n">
        <v>0</v>
      </c>
      <c r="O477" t="n">
        <v>0</v>
      </c>
      <c r="P477" t="n">
        <v>0</v>
      </c>
      <c r="Q477" t="n">
        <v>0</v>
      </c>
      <c r="R477" s="2" t="inlineStr"/>
    </row>
    <row r="478" ht="15" customHeight="1">
      <c r="A478" t="inlineStr">
        <is>
          <t>A 27993-2022</t>
        </is>
      </c>
      <c r="B478" s="1" t="n">
        <v>44745.84396990741</v>
      </c>
      <c r="C478" s="1" t="n">
        <v>46011</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37088-2025</t>
        </is>
      </c>
      <c r="B479" s="1" t="n">
        <v>45875.45716435185</v>
      </c>
      <c r="C479" s="1" t="n">
        <v>46011</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37102-2025</t>
        </is>
      </c>
      <c r="B480" s="1" t="n">
        <v>45875.47454861111</v>
      </c>
      <c r="C480" s="1" t="n">
        <v>46011</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38969-2023</t>
        </is>
      </c>
      <c r="B481" s="1" t="n">
        <v>45163.63621527778</v>
      </c>
      <c r="C481" s="1" t="n">
        <v>46011</v>
      </c>
      <c r="D481" t="inlineStr">
        <is>
          <t>KALMAR LÄN</t>
        </is>
      </c>
      <c r="E481" t="inlineStr">
        <is>
          <t>VIMMERBY</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37079-2025</t>
        </is>
      </c>
      <c r="B482" s="1" t="n">
        <v>45875.42716435185</v>
      </c>
      <c r="C482" s="1" t="n">
        <v>46011</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37668-2025</t>
        </is>
      </c>
      <c r="B483" s="1" t="n">
        <v>45880.51550925926</v>
      </c>
      <c r="C483" s="1" t="n">
        <v>46011</v>
      </c>
      <c r="D483" t="inlineStr">
        <is>
          <t>KALMAR LÄN</t>
        </is>
      </c>
      <c r="E483" t="inlineStr">
        <is>
          <t>VIMMERBY</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53752-2024</t>
        </is>
      </c>
      <c r="B484" s="1" t="n">
        <v>45615.48927083334</v>
      </c>
      <c r="C484" s="1" t="n">
        <v>46011</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37578-2025</t>
        </is>
      </c>
      <c r="B485" s="1" t="n">
        <v>45880.38380787037</v>
      </c>
      <c r="C485" s="1" t="n">
        <v>46011</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58728-2024</t>
        </is>
      </c>
      <c r="B486" s="1" t="n">
        <v>45635.66695601852</v>
      </c>
      <c r="C486" s="1" t="n">
        <v>46011</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43242-2024</t>
        </is>
      </c>
      <c r="B487" s="1" t="n">
        <v>45568.30189814815</v>
      </c>
      <c r="C487" s="1" t="n">
        <v>46011</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16983-2023</t>
        </is>
      </c>
      <c r="B488" s="1" t="n">
        <v>45033.76043981482</v>
      </c>
      <c r="C488" s="1" t="n">
        <v>46011</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6405-2025</t>
        </is>
      </c>
      <c r="B489" s="1" t="n">
        <v>45699.45392361111</v>
      </c>
      <c r="C489" s="1" t="n">
        <v>46011</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36843-2023</t>
        </is>
      </c>
      <c r="B490" s="1" t="n">
        <v>45154.49831018518</v>
      </c>
      <c r="C490" s="1" t="n">
        <v>46011</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57486-2024</t>
        </is>
      </c>
      <c r="B491" s="1" t="n">
        <v>45630.35827546296</v>
      </c>
      <c r="C491" s="1" t="n">
        <v>46011</v>
      </c>
      <c r="D491" t="inlineStr">
        <is>
          <t>KALMAR LÄN</t>
        </is>
      </c>
      <c r="E491" t="inlineStr">
        <is>
          <t>VIMMERBY</t>
        </is>
      </c>
      <c r="G491" t="n">
        <v>0.4</v>
      </c>
      <c r="H491" t="n">
        <v>0</v>
      </c>
      <c r="I491" t="n">
        <v>0</v>
      </c>
      <c r="J491" t="n">
        <v>0</v>
      </c>
      <c r="K491" t="n">
        <v>0</v>
      </c>
      <c r="L491" t="n">
        <v>0</v>
      </c>
      <c r="M491" t="n">
        <v>0</v>
      </c>
      <c r="N491" t="n">
        <v>0</v>
      </c>
      <c r="O491" t="n">
        <v>0</v>
      </c>
      <c r="P491" t="n">
        <v>0</v>
      </c>
      <c r="Q491" t="n">
        <v>0</v>
      </c>
      <c r="R491" s="2" t="inlineStr"/>
    </row>
    <row r="492" ht="15" customHeight="1">
      <c r="A492" t="inlineStr">
        <is>
          <t>A 37866-2025</t>
        </is>
      </c>
      <c r="B492" s="1" t="n">
        <v>45881</v>
      </c>
      <c r="C492" s="1" t="n">
        <v>46011</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37939-2025</t>
        </is>
      </c>
      <c r="B493" s="1" t="n">
        <v>45881.59877314815</v>
      </c>
      <c r="C493" s="1" t="n">
        <v>46011</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44423-2023</t>
        </is>
      </c>
      <c r="B494" s="1" t="n">
        <v>45189</v>
      </c>
      <c r="C494" s="1" t="n">
        <v>46011</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20-2025</t>
        </is>
      </c>
      <c r="B495" s="1" t="n">
        <v>45658.80232638889</v>
      </c>
      <c r="C495" s="1" t="n">
        <v>46011</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23-2025</t>
        </is>
      </c>
      <c r="B496" s="1" t="n">
        <v>45658.80827546296</v>
      </c>
      <c r="C496" s="1" t="n">
        <v>46011</v>
      </c>
      <c r="D496" t="inlineStr">
        <is>
          <t>KALMAR LÄN</t>
        </is>
      </c>
      <c r="E496" t="inlineStr">
        <is>
          <t>VIMMERBY</t>
        </is>
      </c>
      <c r="G496" t="n">
        <v>1.8</v>
      </c>
      <c r="H496" t="n">
        <v>0</v>
      </c>
      <c r="I496" t="n">
        <v>0</v>
      </c>
      <c r="J496" t="n">
        <v>0</v>
      </c>
      <c r="K496" t="n">
        <v>0</v>
      </c>
      <c r="L496" t="n">
        <v>0</v>
      </c>
      <c r="M496" t="n">
        <v>0</v>
      </c>
      <c r="N496" t="n">
        <v>0</v>
      </c>
      <c r="O496" t="n">
        <v>0</v>
      </c>
      <c r="P496" t="n">
        <v>0</v>
      </c>
      <c r="Q496" t="n">
        <v>0</v>
      </c>
      <c r="R496" s="2" t="inlineStr"/>
    </row>
    <row r="497" ht="15" customHeight="1">
      <c r="A497" t="inlineStr">
        <is>
          <t>A 21496-2023</t>
        </is>
      </c>
      <c r="B497" s="1" t="n">
        <v>45063.49936342592</v>
      </c>
      <c r="C497" s="1" t="n">
        <v>46011</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31056-2022</t>
        </is>
      </c>
      <c r="B498" s="1" t="n">
        <v>44769.45805555556</v>
      </c>
      <c r="C498" s="1" t="n">
        <v>46011</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49871-2025</t>
        </is>
      </c>
      <c r="B499" s="1" t="n">
        <v>45940.54104166666</v>
      </c>
      <c r="C499" s="1" t="n">
        <v>46011</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72701-2021</t>
        </is>
      </c>
      <c r="B500" s="1" t="n">
        <v>44546</v>
      </c>
      <c r="C500" s="1" t="n">
        <v>46011</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58435-2025</t>
        </is>
      </c>
      <c r="B501" s="1" t="n">
        <v>45985.61501157407</v>
      </c>
      <c r="C501" s="1" t="n">
        <v>46011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52294-2023</t>
        </is>
      </c>
      <c r="B502" s="1" t="n">
        <v>45224.60075231481</v>
      </c>
      <c r="C502" s="1" t="n">
        <v>46011</v>
      </c>
      <c r="D502" t="inlineStr">
        <is>
          <t>KALMAR LÄN</t>
        </is>
      </c>
      <c r="E502" t="inlineStr">
        <is>
          <t>VIMMERBY</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61355-2024</t>
        </is>
      </c>
      <c r="B503" s="1" t="n">
        <v>45646.38200231481</v>
      </c>
      <c r="C503" s="1" t="n">
        <v>46011</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57728-2025</t>
        </is>
      </c>
      <c r="B504" s="1" t="n">
        <v>45981</v>
      </c>
      <c r="C504" s="1" t="n">
        <v>46011</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46011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46011</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58500-2025</t>
        </is>
      </c>
      <c r="B507" s="1" t="n">
        <v>45985.69008101852</v>
      </c>
      <c r="C507" s="1" t="n">
        <v>46011</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58503-2025</t>
        </is>
      </c>
      <c r="B508" s="1" t="n">
        <v>45985.69509259259</v>
      </c>
      <c r="C508" s="1" t="n">
        <v>46011</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58446-2025</t>
        </is>
      </c>
      <c r="B509" s="1" t="n">
        <v>45985.62168981481</v>
      </c>
      <c r="C509" s="1" t="n">
        <v>46011</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33374-2021</t>
        </is>
      </c>
      <c r="B510" s="1" t="n">
        <v>44377</v>
      </c>
      <c r="C510" s="1" t="n">
        <v>46011</v>
      </c>
      <c r="D510" t="inlineStr">
        <is>
          <t>KALMAR LÄN</t>
        </is>
      </c>
      <c r="E510" t="inlineStr">
        <is>
          <t>VIMMERBY</t>
        </is>
      </c>
      <c r="G510" t="n">
        <v>3.3</v>
      </c>
      <c r="H510" t="n">
        <v>0</v>
      </c>
      <c r="I510" t="n">
        <v>0</v>
      </c>
      <c r="J510" t="n">
        <v>0</v>
      </c>
      <c r="K510" t="n">
        <v>0</v>
      </c>
      <c r="L510" t="n">
        <v>0</v>
      </c>
      <c r="M510" t="n">
        <v>0</v>
      </c>
      <c r="N510" t="n">
        <v>0</v>
      </c>
      <c r="O510" t="n">
        <v>0</v>
      </c>
      <c r="P510" t="n">
        <v>0</v>
      </c>
      <c r="Q510" t="n">
        <v>0</v>
      </c>
      <c r="R510" s="2" t="inlineStr"/>
    </row>
    <row r="511" ht="15" customHeight="1">
      <c r="A511" t="inlineStr">
        <is>
          <t>A 58514-2025</t>
        </is>
      </c>
      <c r="B511" s="1" t="n">
        <v>45985.70513888889</v>
      </c>
      <c r="C511" s="1" t="n">
        <v>46011</v>
      </c>
      <c r="D511" t="inlineStr">
        <is>
          <t>KALMAR LÄN</t>
        </is>
      </c>
      <c r="E511" t="inlineStr">
        <is>
          <t>VIMMERBY</t>
        </is>
      </c>
      <c r="G511" t="n">
        <v>3.7</v>
      </c>
      <c r="H511" t="n">
        <v>0</v>
      </c>
      <c r="I511" t="n">
        <v>0</v>
      </c>
      <c r="J511" t="n">
        <v>0</v>
      </c>
      <c r="K511" t="n">
        <v>0</v>
      </c>
      <c r="L511" t="n">
        <v>0</v>
      </c>
      <c r="M511" t="n">
        <v>0</v>
      </c>
      <c r="N511" t="n">
        <v>0</v>
      </c>
      <c r="O511" t="n">
        <v>0</v>
      </c>
      <c r="P511" t="n">
        <v>0</v>
      </c>
      <c r="Q511" t="n">
        <v>0</v>
      </c>
      <c r="R511" s="2" t="inlineStr"/>
    </row>
    <row r="512" ht="15" customHeight="1">
      <c r="A512" t="inlineStr">
        <is>
          <t>A 10759-2023</t>
        </is>
      </c>
      <c r="B512" s="1" t="n">
        <v>44988</v>
      </c>
      <c r="C512" s="1" t="n">
        <v>46011</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18899-2025</t>
        </is>
      </c>
      <c r="B513" s="1" t="n">
        <v>45764.44931712963</v>
      </c>
      <c r="C513" s="1" t="n">
        <v>46011</v>
      </c>
      <c r="D513" t="inlineStr">
        <is>
          <t>KALMAR LÄN</t>
        </is>
      </c>
      <c r="E513" t="inlineStr">
        <is>
          <t>VIMMERBY</t>
        </is>
      </c>
      <c r="F513" t="inlineStr">
        <is>
          <t>Kommuner</t>
        </is>
      </c>
      <c r="G513" t="n">
        <v>4</v>
      </c>
      <c r="H513" t="n">
        <v>0</v>
      </c>
      <c r="I513" t="n">
        <v>0</v>
      </c>
      <c r="J513" t="n">
        <v>0</v>
      </c>
      <c r="K513" t="n">
        <v>0</v>
      </c>
      <c r="L513" t="n">
        <v>0</v>
      </c>
      <c r="M513" t="n">
        <v>0</v>
      </c>
      <c r="N513" t="n">
        <v>0</v>
      </c>
      <c r="O513" t="n">
        <v>0</v>
      </c>
      <c r="P513" t="n">
        <v>0</v>
      </c>
      <c r="Q513" t="n">
        <v>0</v>
      </c>
      <c r="R513" s="2" t="inlineStr"/>
    </row>
    <row r="514" ht="15" customHeight="1">
      <c r="A514" t="inlineStr">
        <is>
          <t>A 50324-2025</t>
        </is>
      </c>
      <c r="B514" s="1" t="n">
        <v>45944.45962962963</v>
      </c>
      <c r="C514" s="1" t="n">
        <v>46011</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58442-2025</t>
        </is>
      </c>
      <c r="B515" s="1" t="n">
        <v>45985.61635416667</v>
      </c>
      <c r="C515" s="1" t="n">
        <v>46011</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12586-2021</t>
        </is>
      </c>
      <c r="B516" s="1" t="n">
        <v>44270.38002314815</v>
      </c>
      <c r="C516" s="1" t="n">
        <v>46011</v>
      </c>
      <c r="D516" t="inlineStr">
        <is>
          <t>KALMAR LÄN</t>
        </is>
      </c>
      <c r="E516" t="inlineStr">
        <is>
          <t>VIMMERBY</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58841-2025</t>
        </is>
      </c>
      <c r="B517" s="1" t="n">
        <v>45987.36275462963</v>
      </c>
      <c r="C517" s="1" t="n">
        <v>46011</v>
      </c>
      <c r="D517" t="inlineStr">
        <is>
          <t>KALMAR LÄN</t>
        </is>
      </c>
      <c r="E517" t="inlineStr">
        <is>
          <t>VIMMERBY</t>
        </is>
      </c>
      <c r="G517" t="n">
        <v>3.5</v>
      </c>
      <c r="H517" t="n">
        <v>0</v>
      </c>
      <c r="I517" t="n">
        <v>0</v>
      </c>
      <c r="J517" t="n">
        <v>0</v>
      </c>
      <c r="K517" t="n">
        <v>0</v>
      </c>
      <c r="L517" t="n">
        <v>0</v>
      </c>
      <c r="M517" t="n">
        <v>0</v>
      </c>
      <c r="N517" t="n">
        <v>0</v>
      </c>
      <c r="O517" t="n">
        <v>0</v>
      </c>
      <c r="P517" t="n">
        <v>0</v>
      </c>
      <c r="Q517" t="n">
        <v>0</v>
      </c>
      <c r="R517" s="2" t="inlineStr"/>
    </row>
    <row r="518" ht="15" customHeight="1">
      <c r="A518" t="inlineStr">
        <is>
          <t>A 59039-2025</t>
        </is>
      </c>
      <c r="B518" s="1" t="n">
        <v>45988.36790509259</v>
      </c>
      <c r="C518" s="1" t="n">
        <v>46011</v>
      </c>
      <c r="D518" t="inlineStr">
        <is>
          <t>KALMAR LÄN</t>
        </is>
      </c>
      <c r="E518" t="inlineStr">
        <is>
          <t>VIMMERBY</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32614-2023</t>
        </is>
      </c>
      <c r="B519" s="1" t="n">
        <v>45121</v>
      </c>
      <c r="C519" s="1" t="n">
        <v>46011</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61939-2021</t>
        </is>
      </c>
      <c r="B520" s="1" t="n">
        <v>44502</v>
      </c>
      <c r="C520" s="1" t="n">
        <v>46011</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58858-2025</t>
        </is>
      </c>
      <c r="B521" s="1" t="n">
        <v>45987.4243287037</v>
      </c>
      <c r="C521" s="1" t="n">
        <v>46011</v>
      </c>
      <c r="D521" t="inlineStr">
        <is>
          <t>KALMAR LÄN</t>
        </is>
      </c>
      <c r="E521" t="inlineStr">
        <is>
          <t>VIMMERBY</t>
        </is>
      </c>
      <c r="G521" t="n">
        <v>1.2</v>
      </c>
      <c r="H521" t="n">
        <v>0</v>
      </c>
      <c r="I521" t="n">
        <v>0</v>
      </c>
      <c r="J521" t="n">
        <v>0</v>
      </c>
      <c r="K521" t="n">
        <v>0</v>
      </c>
      <c r="L521" t="n">
        <v>0</v>
      </c>
      <c r="M521" t="n">
        <v>0</v>
      </c>
      <c r="N521" t="n">
        <v>0</v>
      </c>
      <c r="O521" t="n">
        <v>0</v>
      </c>
      <c r="P521" t="n">
        <v>0</v>
      </c>
      <c r="Q521" t="n">
        <v>0</v>
      </c>
      <c r="R521" s="2" t="inlineStr"/>
    </row>
    <row r="522" ht="15" customHeight="1">
      <c r="A522" t="inlineStr">
        <is>
          <t>A 59037-2025</t>
        </is>
      </c>
      <c r="B522" s="1" t="n">
        <v>45988.36508101852</v>
      </c>
      <c r="C522" s="1" t="n">
        <v>46011</v>
      </c>
      <c r="D522" t="inlineStr">
        <is>
          <t>KALMAR LÄN</t>
        </is>
      </c>
      <c r="E522" t="inlineStr">
        <is>
          <t>VIMMERBY</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59068-2025</t>
        </is>
      </c>
      <c r="B523" s="1" t="n">
        <v>45988.41725694444</v>
      </c>
      <c r="C523" s="1" t="n">
        <v>46011</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50544-2025</t>
        </is>
      </c>
      <c r="B524" s="1" t="n">
        <v>45945.50736111111</v>
      </c>
      <c r="C524" s="1" t="n">
        <v>46011</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59034-2025</t>
        </is>
      </c>
      <c r="B525" s="1" t="n">
        <v>45988.36243055556</v>
      </c>
      <c r="C525" s="1" t="n">
        <v>46011</v>
      </c>
      <c r="D525" t="inlineStr">
        <is>
          <t>KALMAR LÄN</t>
        </is>
      </c>
      <c r="E525" t="inlineStr">
        <is>
          <t>VIMMERBY</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6218-2025</t>
        </is>
      </c>
      <c r="B526" s="1" t="n">
        <v>45698.53336805556</v>
      </c>
      <c r="C526" s="1" t="n">
        <v>46011</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40076-2021</t>
        </is>
      </c>
      <c r="B527" s="1" t="n">
        <v>44418</v>
      </c>
      <c r="C527" s="1" t="n">
        <v>46011</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51062-2025</t>
        </is>
      </c>
      <c r="B528" s="1" t="n">
        <v>45947.44685185186</v>
      </c>
      <c r="C528" s="1" t="n">
        <v>46011</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59579-2025</t>
        </is>
      </c>
      <c r="B529" s="1" t="n">
        <v>45992.30569444445</v>
      </c>
      <c r="C529" s="1" t="n">
        <v>46011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12588-2025</t>
        </is>
      </c>
      <c r="B530" s="1" t="n">
        <v>45732.76936342593</v>
      </c>
      <c r="C530" s="1" t="n">
        <v>46011</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25979-2023</t>
        </is>
      </c>
      <c r="B531" s="1" t="n">
        <v>45090.89653935185</v>
      </c>
      <c r="C531" s="1" t="n">
        <v>46011</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25980-2023</t>
        </is>
      </c>
      <c r="B532" s="1" t="n">
        <v>45090.89880787037</v>
      </c>
      <c r="C532" s="1" t="n">
        <v>46011</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46921-2023</t>
        </is>
      </c>
      <c r="B533" s="1" t="n">
        <v>45201.39996527778</v>
      </c>
      <c r="C533" s="1" t="n">
        <v>46011</v>
      </c>
      <c r="D533" t="inlineStr">
        <is>
          <t>KALMAR LÄN</t>
        </is>
      </c>
      <c r="E533" t="inlineStr">
        <is>
          <t>VIMMERBY</t>
        </is>
      </c>
      <c r="G533" t="n">
        <v>2.6</v>
      </c>
      <c r="H533" t="n">
        <v>0</v>
      </c>
      <c r="I533" t="n">
        <v>0</v>
      </c>
      <c r="J533" t="n">
        <v>0</v>
      </c>
      <c r="K533" t="n">
        <v>0</v>
      </c>
      <c r="L533" t="n">
        <v>0</v>
      </c>
      <c r="M533" t="n">
        <v>0</v>
      </c>
      <c r="N533" t="n">
        <v>0</v>
      </c>
      <c r="O533" t="n">
        <v>0</v>
      </c>
      <c r="P533" t="n">
        <v>0</v>
      </c>
      <c r="Q533" t="n">
        <v>0</v>
      </c>
      <c r="R533" s="2" t="inlineStr"/>
    </row>
    <row r="534" ht="15" customHeight="1">
      <c r="A534" t="inlineStr">
        <is>
          <t>A 10837-2023</t>
        </is>
      </c>
      <c r="B534" s="1" t="n">
        <v>44991.30547453704</v>
      </c>
      <c r="C534" s="1" t="n">
        <v>46011</v>
      </c>
      <c r="D534" t="inlineStr">
        <is>
          <t>KALMAR LÄN</t>
        </is>
      </c>
      <c r="E534" t="inlineStr">
        <is>
          <t>VIMMERBY</t>
        </is>
      </c>
      <c r="G534" t="n">
        <v>7.3</v>
      </c>
      <c r="H534" t="n">
        <v>0</v>
      </c>
      <c r="I534" t="n">
        <v>0</v>
      </c>
      <c r="J534" t="n">
        <v>0</v>
      </c>
      <c r="K534" t="n">
        <v>0</v>
      </c>
      <c r="L534" t="n">
        <v>0</v>
      </c>
      <c r="M534" t="n">
        <v>0</v>
      </c>
      <c r="N534" t="n">
        <v>0</v>
      </c>
      <c r="O534" t="n">
        <v>0</v>
      </c>
      <c r="P534" t="n">
        <v>0</v>
      </c>
      <c r="Q534" t="n">
        <v>0</v>
      </c>
      <c r="R534" s="2" t="inlineStr"/>
    </row>
    <row r="535" ht="15" customHeight="1">
      <c r="A535" t="inlineStr">
        <is>
          <t>A 10838-2023</t>
        </is>
      </c>
      <c r="B535" s="1" t="n">
        <v>44991</v>
      </c>
      <c r="C535" s="1" t="n">
        <v>46011</v>
      </c>
      <c r="D535" t="inlineStr">
        <is>
          <t>KALMAR LÄN</t>
        </is>
      </c>
      <c r="E535" t="inlineStr">
        <is>
          <t>VIMMERBY</t>
        </is>
      </c>
      <c r="G535" t="n">
        <v>5.1</v>
      </c>
      <c r="H535" t="n">
        <v>0</v>
      </c>
      <c r="I535" t="n">
        <v>0</v>
      </c>
      <c r="J535" t="n">
        <v>0</v>
      </c>
      <c r="K535" t="n">
        <v>0</v>
      </c>
      <c r="L535" t="n">
        <v>0</v>
      </c>
      <c r="M535" t="n">
        <v>0</v>
      </c>
      <c r="N535" t="n">
        <v>0</v>
      </c>
      <c r="O535" t="n">
        <v>0</v>
      </c>
      <c r="P535" t="n">
        <v>0</v>
      </c>
      <c r="Q535" t="n">
        <v>0</v>
      </c>
      <c r="R535" s="2" t="inlineStr"/>
    </row>
    <row r="536" ht="15" customHeight="1">
      <c r="A536" t="inlineStr">
        <is>
          <t>A 30912-2023</t>
        </is>
      </c>
      <c r="B536" s="1" t="n">
        <v>45113.41633101852</v>
      </c>
      <c r="C536" s="1" t="n">
        <v>46011</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55436-2023</t>
        </is>
      </c>
      <c r="B537" s="1" t="n">
        <v>45238.4328587963</v>
      </c>
      <c r="C537" s="1" t="n">
        <v>46011</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51993-2025</t>
        </is>
      </c>
      <c r="B538" s="1" t="n">
        <v>45952.58194444444</v>
      </c>
      <c r="C538" s="1" t="n">
        <v>46011</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46011</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46011</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46011</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60180-2025</t>
        </is>
      </c>
      <c r="B542" s="1" t="n">
        <v>45994.46428240741</v>
      </c>
      <c r="C542" s="1" t="n">
        <v>46011</v>
      </c>
      <c r="D542" t="inlineStr">
        <is>
          <t>KALMAR LÄN</t>
        </is>
      </c>
      <c r="E542" t="inlineStr">
        <is>
          <t>VIMMERBY</t>
        </is>
      </c>
      <c r="G542" t="n">
        <v>6.8</v>
      </c>
      <c r="H542" t="n">
        <v>0</v>
      </c>
      <c r="I542" t="n">
        <v>0</v>
      </c>
      <c r="J542" t="n">
        <v>0</v>
      </c>
      <c r="K542" t="n">
        <v>0</v>
      </c>
      <c r="L542" t="n">
        <v>0</v>
      </c>
      <c r="M542" t="n">
        <v>0</v>
      </c>
      <c r="N542" t="n">
        <v>0</v>
      </c>
      <c r="O542" t="n">
        <v>0</v>
      </c>
      <c r="P542" t="n">
        <v>0</v>
      </c>
      <c r="Q542" t="n">
        <v>0</v>
      </c>
      <c r="R542" s="2" t="inlineStr"/>
    </row>
    <row r="543" ht="15" customHeight="1">
      <c r="A543" t="inlineStr">
        <is>
          <t>A 45560-2021</t>
        </is>
      </c>
      <c r="B543" s="1" t="n">
        <v>44440</v>
      </c>
      <c r="C543" s="1" t="n">
        <v>46011</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46011</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51990-2025</t>
        </is>
      </c>
      <c r="B545" s="1" t="n">
        <v>45952.58061342593</v>
      </c>
      <c r="C545" s="1" t="n">
        <v>46011</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52473-2025</t>
        </is>
      </c>
      <c r="B546" s="1" t="n">
        <v>45954.45947916667</v>
      </c>
      <c r="C546" s="1" t="n">
        <v>46011</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52480-2025</t>
        </is>
      </c>
      <c r="B547" s="1" t="n">
        <v>45954.47172453703</v>
      </c>
      <c r="C547" s="1" t="n">
        <v>46011</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31340-2023</t>
        </is>
      </c>
      <c r="B548" s="1" t="n">
        <v>45114.47895833333</v>
      </c>
      <c r="C548" s="1" t="n">
        <v>46011</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29168-2024</t>
        </is>
      </c>
      <c r="B549" s="1" t="n">
        <v>45482.49870370371</v>
      </c>
      <c r="C549" s="1" t="n">
        <v>46011</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29186-2024</t>
        </is>
      </c>
      <c r="B550" s="1" t="n">
        <v>45482.54844907407</v>
      </c>
      <c r="C550" s="1" t="n">
        <v>46011</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35895-2024</t>
        </is>
      </c>
      <c r="B551" s="1" t="n">
        <v>45533.38870370371</v>
      </c>
      <c r="C551" s="1" t="n">
        <v>46011</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12590-2025</t>
        </is>
      </c>
      <c r="B552" s="1" t="n">
        <v>45732.79925925926</v>
      </c>
      <c r="C552" s="1" t="n">
        <v>46011</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30318-2023</t>
        </is>
      </c>
      <c r="B553" s="1" t="n">
        <v>45111.30824074074</v>
      </c>
      <c r="C553" s="1" t="n">
        <v>46011</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52466-2025</t>
        </is>
      </c>
      <c r="B554" s="1" t="n">
        <v>45954.44707175926</v>
      </c>
      <c r="C554" s="1" t="n">
        <v>46011</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60297-2025</t>
        </is>
      </c>
      <c r="B555" s="1" t="n">
        <v>45994</v>
      </c>
      <c r="C555" s="1" t="n">
        <v>46011</v>
      </c>
      <c r="D555" t="inlineStr">
        <is>
          <t>KALMAR LÄN</t>
        </is>
      </c>
      <c r="E555" t="inlineStr">
        <is>
          <t>VIMMERBY</t>
        </is>
      </c>
      <c r="G555" t="n">
        <v>4.2</v>
      </c>
      <c r="H555" t="n">
        <v>0</v>
      </c>
      <c r="I555" t="n">
        <v>0</v>
      </c>
      <c r="J555" t="n">
        <v>0</v>
      </c>
      <c r="K555" t="n">
        <v>0</v>
      </c>
      <c r="L555" t="n">
        <v>0</v>
      </c>
      <c r="M555" t="n">
        <v>0</v>
      </c>
      <c r="N555" t="n">
        <v>0</v>
      </c>
      <c r="O555" t="n">
        <v>0</v>
      </c>
      <c r="P555" t="n">
        <v>0</v>
      </c>
      <c r="Q555" t="n">
        <v>0</v>
      </c>
      <c r="R555" s="2" t="inlineStr"/>
    </row>
    <row r="556" ht="15" customHeight="1">
      <c r="A556" t="inlineStr">
        <is>
          <t>A 43186-2021</t>
        </is>
      </c>
      <c r="B556" s="1" t="n">
        <v>44431.84840277778</v>
      </c>
      <c r="C556" s="1" t="n">
        <v>46011</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60215-2022</t>
        </is>
      </c>
      <c r="B557" s="1" t="n">
        <v>44910.41346064815</v>
      </c>
      <c r="C557" s="1" t="n">
        <v>46011</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60230-2022</t>
        </is>
      </c>
      <c r="B558" s="1" t="n">
        <v>44910</v>
      </c>
      <c r="C558" s="1" t="n">
        <v>46011</v>
      </c>
      <c r="D558" t="inlineStr">
        <is>
          <t>KALMAR LÄN</t>
        </is>
      </c>
      <c r="E558" t="inlineStr">
        <is>
          <t>VIMMERBY</t>
        </is>
      </c>
      <c r="G558" t="n">
        <v>11.3</v>
      </c>
      <c r="H558" t="n">
        <v>0</v>
      </c>
      <c r="I558" t="n">
        <v>0</v>
      </c>
      <c r="J558" t="n">
        <v>0</v>
      </c>
      <c r="K558" t="n">
        <v>0</v>
      </c>
      <c r="L558" t="n">
        <v>0</v>
      </c>
      <c r="M558" t="n">
        <v>0</v>
      </c>
      <c r="N558" t="n">
        <v>0</v>
      </c>
      <c r="O558" t="n">
        <v>0</v>
      </c>
      <c r="P558" t="n">
        <v>0</v>
      </c>
      <c r="Q558" t="n">
        <v>0</v>
      </c>
      <c r="R558" s="2" t="inlineStr"/>
    </row>
    <row r="559" ht="15" customHeight="1">
      <c r="A559" t="inlineStr">
        <is>
          <t>A 5925-2022</t>
        </is>
      </c>
      <c r="B559" s="1" t="n">
        <v>44598.7384837963</v>
      </c>
      <c r="C559" s="1" t="n">
        <v>46011</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845-2023</t>
        </is>
      </c>
      <c r="B560" s="1" t="n">
        <v>44931</v>
      </c>
      <c r="C560" s="1" t="n">
        <v>46011</v>
      </c>
      <c r="D560" t="inlineStr">
        <is>
          <t>KALMAR LÄN</t>
        </is>
      </c>
      <c r="E560" t="inlineStr">
        <is>
          <t>VIMMERBY</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52516-2025</t>
        </is>
      </c>
      <c r="B561" s="1" t="n">
        <v>45954.51412037037</v>
      </c>
      <c r="C561" s="1" t="n">
        <v>46011</v>
      </c>
      <c r="D561" t="inlineStr">
        <is>
          <t>KALMAR LÄN</t>
        </is>
      </c>
      <c r="E561" t="inlineStr">
        <is>
          <t>VIMMERBY</t>
        </is>
      </c>
      <c r="G561" t="n">
        <v>2.8</v>
      </c>
      <c r="H561" t="n">
        <v>0</v>
      </c>
      <c r="I561" t="n">
        <v>0</v>
      </c>
      <c r="J561" t="n">
        <v>0</v>
      </c>
      <c r="K561" t="n">
        <v>0</v>
      </c>
      <c r="L561" t="n">
        <v>0</v>
      </c>
      <c r="M561" t="n">
        <v>0</v>
      </c>
      <c r="N561" t="n">
        <v>0</v>
      </c>
      <c r="O561" t="n">
        <v>0</v>
      </c>
      <c r="P561" t="n">
        <v>0</v>
      </c>
      <c r="Q561" t="n">
        <v>0</v>
      </c>
      <c r="R561" s="2" t="inlineStr"/>
    </row>
    <row r="562" ht="15" customHeight="1">
      <c r="A562" t="inlineStr">
        <is>
          <t>A 16119-2023</t>
        </is>
      </c>
      <c r="B562" s="1" t="n">
        <v>45027.59450231482</v>
      </c>
      <c r="C562" s="1" t="n">
        <v>46011</v>
      </c>
      <c r="D562" t="inlineStr">
        <is>
          <t>KALMAR LÄN</t>
        </is>
      </c>
      <c r="E562" t="inlineStr">
        <is>
          <t>VIMMERBY</t>
        </is>
      </c>
      <c r="F562" t="inlineStr">
        <is>
          <t>Kommuner</t>
        </is>
      </c>
      <c r="G562" t="n">
        <v>4.4</v>
      </c>
      <c r="H562" t="n">
        <v>0</v>
      </c>
      <c r="I562" t="n">
        <v>0</v>
      </c>
      <c r="J562" t="n">
        <v>0</v>
      </c>
      <c r="K562" t="n">
        <v>0</v>
      </c>
      <c r="L562" t="n">
        <v>0</v>
      </c>
      <c r="M562" t="n">
        <v>0</v>
      </c>
      <c r="N562" t="n">
        <v>0</v>
      </c>
      <c r="O562" t="n">
        <v>0</v>
      </c>
      <c r="P562" t="n">
        <v>0</v>
      </c>
      <c r="Q562" t="n">
        <v>0</v>
      </c>
      <c r="R562" s="2" t="inlineStr"/>
    </row>
    <row r="563" ht="15" customHeight="1">
      <c r="A563" t="inlineStr">
        <is>
          <t>A 30588-2023</t>
        </is>
      </c>
      <c r="B563" s="1" t="n">
        <v>45112.33599537037</v>
      </c>
      <c r="C563" s="1" t="n">
        <v>46011</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52465-2025</t>
        </is>
      </c>
      <c r="B564" s="1" t="n">
        <v>45954.44543981482</v>
      </c>
      <c r="C564" s="1" t="n">
        <v>46011</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45528-2021</t>
        </is>
      </c>
      <c r="B565" s="1" t="n">
        <v>44440.60415509259</v>
      </c>
      <c r="C565" s="1" t="n">
        <v>46011</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16516-2023</t>
        </is>
      </c>
      <c r="B566" s="1" t="n">
        <v>45029</v>
      </c>
      <c r="C566" s="1" t="n">
        <v>46011</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2510-2023</t>
        </is>
      </c>
      <c r="B567" s="1" t="n">
        <v>44943.57309027778</v>
      </c>
      <c r="C567" s="1" t="n">
        <v>46011</v>
      </c>
      <c r="D567" t="inlineStr">
        <is>
          <t>KALMAR LÄN</t>
        </is>
      </c>
      <c r="E567" t="inlineStr">
        <is>
          <t>VIMMERBY</t>
        </is>
      </c>
      <c r="G567" t="n">
        <v>8.6</v>
      </c>
      <c r="H567" t="n">
        <v>0</v>
      </c>
      <c r="I567" t="n">
        <v>0</v>
      </c>
      <c r="J567" t="n">
        <v>0</v>
      </c>
      <c r="K567" t="n">
        <v>0</v>
      </c>
      <c r="L567" t="n">
        <v>0</v>
      </c>
      <c r="M567" t="n">
        <v>0</v>
      </c>
      <c r="N567" t="n">
        <v>0</v>
      </c>
      <c r="O567" t="n">
        <v>0</v>
      </c>
      <c r="P567" t="n">
        <v>0</v>
      </c>
      <c r="Q567" t="n">
        <v>0</v>
      </c>
      <c r="R567" s="2" t="inlineStr"/>
    </row>
    <row r="568" ht="15" customHeight="1">
      <c r="A568" t="inlineStr">
        <is>
          <t>A 48373-2021</t>
        </is>
      </c>
      <c r="B568" s="1" t="n">
        <v>44451</v>
      </c>
      <c r="C568" s="1" t="n">
        <v>46011</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7485-2024</t>
        </is>
      </c>
      <c r="B569" s="1" t="n">
        <v>45346.67184027778</v>
      </c>
      <c r="C569" s="1" t="n">
        <v>46011</v>
      </c>
      <c r="D569" t="inlineStr">
        <is>
          <t>KALMAR LÄN</t>
        </is>
      </c>
      <c r="E569" t="inlineStr">
        <is>
          <t>VIMMERBY</t>
        </is>
      </c>
      <c r="G569" t="n">
        <v>1.9</v>
      </c>
      <c r="H569" t="n">
        <v>0</v>
      </c>
      <c r="I569" t="n">
        <v>0</v>
      </c>
      <c r="J569" t="n">
        <v>0</v>
      </c>
      <c r="K569" t="n">
        <v>0</v>
      </c>
      <c r="L569" t="n">
        <v>0</v>
      </c>
      <c r="M569" t="n">
        <v>0</v>
      </c>
      <c r="N569" t="n">
        <v>0</v>
      </c>
      <c r="O569" t="n">
        <v>0</v>
      </c>
      <c r="P569" t="n">
        <v>0</v>
      </c>
      <c r="Q569" t="n">
        <v>0</v>
      </c>
      <c r="R569" s="2" t="inlineStr"/>
    </row>
    <row r="570" ht="15" customHeight="1">
      <c r="A570" t="inlineStr">
        <is>
          <t>A 52475-2025</t>
        </is>
      </c>
      <c r="B570" s="1" t="n">
        <v>45954.468125</v>
      </c>
      <c r="C570" s="1" t="n">
        <v>46011</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6574-2023</t>
        </is>
      </c>
      <c r="B571" s="1" t="n">
        <v>44966</v>
      </c>
      <c r="C571" s="1" t="n">
        <v>46011</v>
      </c>
      <c r="D571" t="inlineStr">
        <is>
          <t>KALMAR LÄN</t>
        </is>
      </c>
      <c r="E571" t="inlineStr">
        <is>
          <t>VIMMERBY</t>
        </is>
      </c>
      <c r="G571" t="n">
        <v>2.5</v>
      </c>
      <c r="H571" t="n">
        <v>0</v>
      </c>
      <c r="I571" t="n">
        <v>0</v>
      </c>
      <c r="J571" t="n">
        <v>0</v>
      </c>
      <c r="K571" t="n">
        <v>0</v>
      </c>
      <c r="L571" t="n">
        <v>0</v>
      </c>
      <c r="M571" t="n">
        <v>0</v>
      </c>
      <c r="N571" t="n">
        <v>0</v>
      </c>
      <c r="O571" t="n">
        <v>0</v>
      </c>
      <c r="P571" t="n">
        <v>0</v>
      </c>
      <c r="Q571" t="n">
        <v>0</v>
      </c>
      <c r="R571" s="2" t="inlineStr"/>
    </row>
    <row r="572" ht="15" customHeight="1">
      <c r="A572" t="inlineStr">
        <is>
          <t>A 20054-2023</t>
        </is>
      </c>
      <c r="B572" s="1" t="n">
        <v>45054.6750462963</v>
      </c>
      <c r="C572" s="1" t="n">
        <v>46011</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53220-2025</t>
        </is>
      </c>
      <c r="B573" s="1" t="n">
        <v>45958.60146990741</v>
      </c>
      <c r="C573" s="1" t="n">
        <v>46011</v>
      </c>
      <c r="D573" t="inlineStr">
        <is>
          <t>KALMAR LÄN</t>
        </is>
      </c>
      <c r="E573" t="inlineStr">
        <is>
          <t>VIMMERBY</t>
        </is>
      </c>
      <c r="G573" t="n">
        <v>2.2</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46011</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52451-2025</t>
        </is>
      </c>
      <c r="B575" s="1" t="n">
        <v>45954.42326388889</v>
      </c>
      <c r="C575" s="1" t="n">
        <v>46011</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53393-2025</t>
        </is>
      </c>
      <c r="B576" s="1" t="n">
        <v>45959.55284722222</v>
      </c>
      <c r="C576" s="1" t="n">
        <v>46011</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53398-2025</t>
        </is>
      </c>
      <c r="B577" s="1" t="n">
        <v>45959.56247685185</v>
      </c>
      <c r="C577" s="1" t="n">
        <v>46011</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53397-2025</t>
        </is>
      </c>
      <c r="B578" s="1" t="n">
        <v>45959.55918981481</v>
      </c>
      <c r="C578" s="1" t="n">
        <v>46011</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53416-2025</t>
        </is>
      </c>
      <c r="B579" s="1" t="n">
        <v>45959.58387731481</v>
      </c>
      <c r="C579" s="1" t="n">
        <v>46011</v>
      </c>
      <c r="D579" t="inlineStr">
        <is>
          <t>KALMAR LÄN</t>
        </is>
      </c>
      <c r="E579" t="inlineStr">
        <is>
          <t>VIMMERBY</t>
        </is>
      </c>
      <c r="G579" t="n">
        <v>4.4</v>
      </c>
      <c r="H579" t="n">
        <v>0</v>
      </c>
      <c r="I579" t="n">
        <v>0</v>
      </c>
      <c r="J579" t="n">
        <v>0</v>
      </c>
      <c r="K579" t="n">
        <v>0</v>
      </c>
      <c r="L579" t="n">
        <v>0</v>
      </c>
      <c r="M579" t="n">
        <v>0</v>
      </c>
      <c r="N579" t="n">
        <v>0</v>
      </c>
      <c r="O579" t="n">
        <v>0</v>
      </c>
      <c r="P579" t="n">
        <v>0</v>
      </c>
      <c r="Q579" t="n">
        <v>0</v>
      </c>
      <c r="R579" s="2" t="inlineStr"/>
    </row>
    <row r="580" ht="15" customHeight="1">
      <c r="A580" t="inlineStr">
        <is>
          <t>A 61726-2025</t>
        </is>
      </c>
      <c r="B580" s="1" t="n">
        <v>46002.58822916666</v>
      </c>
      <c r="C580" s="1" t="n">
        <v>46011</v>
      </c>
      <c r="D580" t="inlineStr">
        <is>
          <t>KALMAR LÄN</t>
        </is>
      </c>
      <c r="E580" t="inlineStr">
        <is>
          <t>VIMMERBY</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2260-2022</t>
        </is>
      </c>
      <c r="B581" s="1" t="n">
        <v>44578.62943287037</v>
      </c>
      <c r="C581" s="1" t="n">
        <v>46011</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61725-2025</t>
        </is>
      </c>
      <c r="B582" s="1" t="n">
        <v>46002.58680555555</v>
      </c>
      <c r="C582" s="1" t="n">
        <v>46011</v>
      </c>
      <c r="D582" t="inlineStr">
        <is>
          <t>KALMAR LÄN</t>
        </is>
      </c>
      <c r="E582" t="inlineStr">
        <is>
          <t>VIMMERBY</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53413-2025</t>
        </is>
      </c>
      <c r="B583" s="1" t="n">
        <v>45959.5787037037</v>
      </c>
      <c r="C583" s="1" t="n">
        <v>46011</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50860-2022</t>
        </is>
      </c>
      <c r="B584" s="1" t="n">
        <v>44867</v>
      </c>
      <c r="C584" s="1" t="n">
        <v>46011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53483-2022</t>
        </is>
      </c>
      <c r="B585" s="1" t="n">
        <v>44879.55940972222</v>
      </c>
      <c r="C585" s="1" t="n">
        <v>46011</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58962-2022</t>
        </is>
      </c>
      <c r="B586" s="1" t="n">
        <v>44903</v>
      </c>
      <c r="C586" s="1" t="n">
        <v>46011</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58967-2022</t>
        </is>
      </c>
      <c r="B587" s="1" t="n">
        <v>44896</v>
      </c>
      <c r="C587" s="1" t="n">
        <v>46011</v>
      </c>
      <c r="D587" t="inlineStr">
        <is>
          <t>KALMAR LÄN</t>
        </is>
      </c>
      <c r="E587" t="inlineStr">
        <is>
          <t>VIMMERBY</t>
        </is>
      </c>
      <c r="G587" t="n">
        <v>5</v>
      </c>
      <c r="H587" t="n">
        <v>0</v>
      </c>
      <c r="I587" t="n">
        <v>0</v>
      </c>
      <c r="J587" t="n">
        <v>0</v>
      </c>
      <c r="K587" t="n">
        <v>0</v>
      </c>
      <c r="L587" t="n">
        <v>0</v>
      </c>
      <c r="M587" t="n">
        <v>0</v>
      </c>
      <c r="N587" t="n">
        <v>0</v>
      </c>
      <c r="O587" t="n">
        <v>0</v>
      </c>
      <c r="P587" t="n">
        <v>0</v>
      </c>
      <c r="Q587" t="n">
        <v>0</v>
      </c>
      <c r="R587" s="2" t="inlineStr"/>
    </row>
    <row r="588" ht="15" customHeight="1">
      <c r="A588" t="inlineStr">
        <is>
          <t>A 57682-2022</t>
        </is>
      </c>
      <c r="B588" s="1" t="n">
        <v>44890</v>
      </c>
      <c r="C588" s="1" t="n">
        <v>46011</v>
      </c>
      <c r="D588" t="inlineStr">
        <is>
          <t>KALMAR LÄN</t>
        </is>
      </c>
      <c r="E588" t="inlineStr">
        <is>
          <t>VIMMERBY</t>
        </is>
      </c>
      <c r="G588" t="n">
        <v>1.5</v>
      </c>
      <c r="H588" t="n">
        <v>0</v>
      </c>
      <c r="I588" t="n">
        <v>0</v>
      </c>
      <c r="J588" t="n">
        <v>0</v>
      </c>
      <c r="K588" t="n">
        <v>0</v>
      </c>
      <c r="L588" t="n">
        <v>0</v>
      </c>
      <c r="M588" t="n">
        <v>0</v>
      </c>
      <c r="N588" t="n">
        <v>0</v>
      </c>
      <c r="O588" t="n">
        <v>0</v>
      </c>
      <c r="P588" t="n">
        <v>0</v>
      </c>
      <c r="Q588" t="n">
        <v>0</v>
      </c>
      <c r="R588" s="2" t="inlineStr"/>
    </row>
    <row r="589" ht="15" customHeight="1">
      <c r="A589" t="inlineStr">
        <is>
          <t>A 61790-2025</t>
        </is>
      </c>
      <c r="B589" s="1" t="n">
        <v>46002.68768518518</v>
      </c>
      <c r="C589" s="1" t="n">
        <v>46011</v>
      </c>
      <c r="D589" t="inlineStr">
        <is>
          <t>KALMAR LÄN</t>
        </is>
      </c>
      <c r="E589" t="inlineStr">
        <is>
          <t>VIMMERBY</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44588.37998842593</v>
      </c>
      <c r="C590" s="1" t="n">
        <v>46011</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46011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53396-2025</t>
        </is>
      </c>
      <c r="B592" s="1" t="n">
        <v>45959.55577546296</v>
      </c>
      <c r="C592" s="1" t="n">
        <v>46011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53788-2025</t>
        </is>
      </c>
      <c r="B593" s="1" t="n">
        <v>45960</v>
      </c>
      <c r="C593" s="1" t="n">
        <v>46011</v>
      </c>
      <c r="D593" t="inlineStr">
        <is>
          <t>KALMAR LÄN</t>
        </is>
      </c>
      <c r="E593" t="inlineStr">
        <is>
          <t>VIMMERBY</t>
        </is>
      </c>
      <c r="F593" t="inlineStr">
        <is>
          <t>Övriga statliga verk och myndigheter</t>
        </is>
      </c>
      <c r="G593" t="n">
        <v>6.3</v>
      </c>
      <c r="H593" t="n">
        <v>0</v>
      </c>
      <c r="I593" t="n">
        <v>0</v>
      </c>
      <c r="J593" t="n">
        <v>0</v>
      </c>
      <c r="K593" t="n">
        <v>0</v>
      </c>
      <c r="L593" t="n">
        <v>0</v>
      </c>
      <c r="M593" t="n">
        <v>0</v>
      </c>
      <c r="N593" t="n">
        <v>0</v>
      </c>
      <c r="O593" t="n">
        <v>0</v>
      </c>
      <c r="P593" t="n">
        <v>0</v>
      </c>
      <c r="Q593" t="n">
        <v>0</v>
      </c>
      <c r="R593" s="2" t="inlineStr"/>
    </row>
    <row r="594" ht="15" customHeight="1">
      <c r="A594" t="inlineStr">
        <is>
          <t>A 53927-2025</t>
        </is>
      </c>
      <c r="B594" s="1" t="n">
        <v>45961.46740740741</v>
      </c>
      <c r="C594" s="1" t="n">
        <v>46011</v>
      </c>
      <c r="D594" t="inlineStr">
        <is>
          <t>KALMAR LÄN</t>
        </is>
      </c>
      <c r="E594" t="inlineStr">
        <is>
          <t>VIMMERBY</t>
        </is>
      </c>
      <c r="G594" t="n">
        <v>2.5</v>
      </c>
      <c r="H594" t="n">
        <v>0</v>
      </c>
      <c r="I594" t="n">
        <v>0</v>
      </c>
      <c r="J594" t="n">
        <v>0</v>
      </c>
      <c r="K594" t="n">
        <v>0</v>
      </c>
      <c r="L594" t="n">
        <v>0</v>
      </c>
      <c r="M594" t="n">
        <v>0</v>
      </c>
      <c r="N594" t="n">
        <v>0</v>
      </c>
      <c r="O594" t="n">
        <v>0</v>
      </c>
      <c r="P594" t="n">
        <v>0</v>
      </c>
      <c r="Q594" t="n">
        <v>0</v>
      </c>
      <c r="R594" s="2" t="inlineStr"/>
    </row>
    <row r="595" ht="15" customHeight="1">
      <c r="A595" t="inlineStr">
        <is>
          <t>A 53933-2025</t>
        </is>
      </c>
      <c r="B595" s="1" t="n">
        <v>45961.47650462963</v>
      </c>
      <c r="C595" s="1" t="n">
        <v>46011</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46011</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46011</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54236-2025</t>
        </is>
      </c>
      <c r="B598" s="1" t="n">
        <v>45964.62671296296</v>
      </c>
      <c r="C598" s="1" t="n">
        <v>46011</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53923-2025</t>
        </is>
      </c>
      <c r="B599" s="1" t="n">
        <v>45961.4569212963</v>
      </c>
      <c r="C599" s="1" t="n">
        <v>46011</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53920-2025</t>
        </is>
      </c>
      <c r="B600" s="1" t="n">
        <v>45961.44951388889</v>
      </c>
      <c r="C600" s="1" t="n">
        <v>46011</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29616-2022</t>
        </is>
      </c>
      <c r="B601" s="1" t="n">
        <v>44754</v>
      </c>
      <c r="C601" s="1" t="n">
        <v>46011</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29348-2023</t>
        </is>
      </c>
      <c r="B602" s="1" t="n">
        <v>45106.25025462963</v>
      </c>
      <c r="C602" s="1" t="n">
        <v>46011</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28403-2023</t>
        </is>
      </c>
      <c r="B603" s="1" t="n">
        <v>45100.85270833333</v>
      </c>
      <c r="C603" s="1" t="n">
        <v>46011</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54234-2025</t>
        </is>
      </c>
      <c r="B604" s="1" t="n">
        <v>45964.62486111111</v>
      </c>
      <c r="C604" s="1" t="n">
        <v>46011</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17511-2024</t>
        </is>
      </c>
      <c r="B605" s="1" t="n">
        <v>45415.57682870371</v>
      </c>
      <c r="C605" s="1" t="n">
        <v>46011</v>
      </c>
      <c r="D605" t="inlineStr">
        <is>
          <t>KALMAR LÄN</t>
        </is>
      </c>
      <c r="E605" t="inlineStr">
        <is>
          <t>VIMMERBY</t>
        </is>
      </c>
      <c r="G605" t="n">
        <v>5.3</v>
      </c>
      <c r="H605" t="n">
        <v>0</v>
      </c>
      <c r="I605" t="n">
        <v>0</v>
      </c>
      <c r="J605" t="n">
        <v>0</v>
      </c>
      <c r="K605" t="n">
        <v>0</v>
      </c>
      <c r="L605" t="n">
        <v>0</v>
      </c>
      <c r="M605" t="n">
        <v>0</v>
      </c>
      <c r="N605" t="n">
        <v>0</v>
      </c>
      <c r="O605" t="n">
        <v>0</v>
      </c>
      <c r="P605" t="n">
        <v>0</v>
      </c>
      <c r="Q605" t="n">
        <v>0</v>
      </c>
      <c r="R605" s="2" t="inlineStr"/>
    </row>
    <row r="606" ht="15" customHeight="1">
      <c r="A606" t="inlineStr">
        <is>
          <t>A 66022-2021</t>
        </is>
      </c>
      <c r="B606" s="1" t="n">
        <v>44517</v>
      </c>
      <c r="C606" s="1" t="n">
        <v>46011</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29973-2023</t>
        </is>
      </c>
      <c r="B607" s="1" t="n">
        <v>45108.703125</v>
      </c>
      <c r="C607" s="1" t="n">
        <v>46011</v>
      </c>
      <c r="D607" t="inlineStr">
        <is>
          <t>KALMAR LÄN</t>
        </is>
      </c>
      <c r="E607" t="inlineStr">
        <is>
          <t>VIMMERBY</t>
        </is>
      </c>
      <c r="G607" t="n">
        <v>4</v>
      </c>
      <c r="H607" t="n">
        <v>0</v>
      </c>
      <c r="I607" t="n">
        <v>0</v>
      </c>
      <c r="J607" t="n">
        <v>0</v>
      </c>
      <c r="K607" t="n">
        <v>0</v>
      </c>
      <c r="L607" t="n">
        <v>0</v>
      </c>
      <c r="M607" t="n">
        <v>0</v>
      </c>
      <c r="N607" t="n">
        <v>0</v>
      </c>
      <c r="O607" t="n">
        <v>0</v>
      </c>
      <c r="P607" t="n">
        <v>0</v>
      </c>
      <c r="Q607" t="n">
        <v>0</v>
      </c>
      <c r="R607" s="2" t="inlineStr"/>
    </row>
    <row r="608" ht="15" customHeight="1">
      <c r="A608" t="inlineStr">
        <is>
          <t>A 30070-2023</t>
        </is>
      </c>
      <c r="B608" s="1" t="n">
        <v>45110.4275</v>
      </c>
      <c r="C608" s="1" t="n">
        <v>46011</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53789-2025</t>
        </is>
      </c>
      <c r="B609" s="1" t="n">
        <v>45960</v>
      </c>
      <c r="C609" s="1" t="n">
        <v>46011</v>
      </c>
      <c r="D609" t="inlineStr">
        <is>
          <t>KALMAR LÄN</t>
        </is>
      </c>
      <c r="E609" t="inlineStr">
        <is>
          <t>VIMMERBY</t>
        </is>
      </c>
      <c r="F609" t="inlineStr">
        <is>
          <t>Övriga statliga verk och myndigheter</t>
        </is>
      </c>
      <c r="G609" t="n">
        <v>1.6</v>
      </c>
      <c r="H609" t="n">
        <v>0</v>
      </c>
      <c r="I609" t="n">
        <v>0</v>
      </c>
      <c r="J609" t="n">
        <v>0</v>
      </c>
      <c r="K609" t="n">
        <v>0</v>
      </c>
      <c r="L609" t="n">
        <v>0</v>
      </c>
      <c r="M609" t="n">
        <v>0</v>
      </c>
      <c r="N609" t="n">
        <v>0</v>
      </c>
      <c r="O609" t="n">
        <v>0</v>
      </c>
      <c r="P609" t="n">
        <v>0</v>
      </c>
      <c r="Q609" t="n">
        <v>0</v>
      </c>
      <c r="R609" s="2" t="inlineStr"/>
    </row>
    <row r="610" ht="15" customHeight="1">
      <c r="A610" t="inlineStr">
        <is>
          <t>A 46078-2023</t>
        </is>
      </c>
      <c r="B610" s="1" t="n">
        <v>45196</v>
      </c>
      <c r="C610" s="1" t="n">
        <v>46011</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53903-2025</t>
        </is>
      </c>
      <c r="B611" s="1" t="n">
        <v>45961.43738425926</v>
      </c>
      <c r="C611" s="1" t="n">
        <v>46011</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46011</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3494-2023</t>
        </is>
      </c>
      <c r="B613" s="1" t="n">
        <v>44949</v>
      </c>
      <c r="C613" s="1" t="n">
        <v>46011</v>
      </c>
      <c r="D613" t="inlineStr">
        <is>
          <t>KALMAR LÄN</t>
        </is>
      </c>
      <c r="E613" t="inlineStr">
        <is>
          <t>VIMMERBY</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32633-2023</t>
        </is>
      </c>
      <c r="B614" s="1" t="n">
        <v>45121.58699074074</v>
      </c>
      <c r="C614" s="1" t="n">
        <v>46011</v>
      </c>
      <c r="D614" t="inlineStr">
        <is>
          <t>KALMAR LÄN</t>
        </is>
      </c>
      <c r="E614" t="inlineStr">
        <is>
          <t>VIMMERBY</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54737-2025</t>
        </is>
      </c>
      <c r="B615" s="1" t="n">
        <v>45966.56826388889</v>
      </c>
      <c r="C615" s="1" t="n">
        <v>46011</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43601-2024</t>
        </is>
      </c>
      <c r="B616" s="1" t="n">
        <v>45569.44684027778</v>
      </c>
      <c r="C616" s="1" t="n">
        <v>46011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13813-2024</t>
        </is>
      </c>
      <c r="B617" s="1" t="n">
        <v>45391.41310185185</v>
      </c>
      <c r="C617" s="1" t="n">
        <v>46011</v>
      </c>
      <c r="D617" t="inlineStr">
        <is>
          <t>KALMAR LÄN</t>
        </is>
      </c>
      <c r="E617" t="inlineStr">
        <is>
          <t>VIMMERBY</t>
        </is>
      </c>
      <c r="G617" t="n">
        <v>0.4</v>
      </c>
      <c r="H617" t="n">
        <v>0</v>
      </c>
      <c r="I617" t="n">
        <v>0</v>
      </c>
      <c r="J617" t="n">
        <v>0</v>
      </c>
      <c r="K617" t="n">
        <v>0</v>
      </c>
      <c r="L617" t="n">
        <v>0</v>
      </c>
      <c r="M617" t="n">
        <v>0</v>
      </c>
      <c r="N617" t="n">
        <v>0</v>
      </c>
      <c r="O617" t="n">
        <v>0</v>
      </c>
      <c r="P617" t="n">
        <v>0</v>
      </c>
      <c r="Q617" t="n">
        <v>0</v>
      </c>
      <c r="R617" s="2" t="inlineStr"/>
    </row>
    <row r="618" ht="15" customHeight="1">
      <c r="A618" t="inlineStr">
        <is>
          <t>A 25234-2023</t>
        </is>
      </c>
      <c r="B618" s="1" t="n">
        <v>45086.63194444445</v>
      </c>
      <c r="C618" s="1" t="n">
        <v>46011</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25236-2023</t>
        </is>
      </c>
      <c r="B619" s="1" t="n">
        <v>45086.63334490741</v>
      </c>
      <c r="C619" s="1" t="n">
        <v>46011</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54813-2025</t>
        </is>
      </c>
      <c r="B620" s="1" t="n">
        <v>45966.64881944445</v>
      </c>
      <c r="C620" s="1" t="n">
        <v>46011</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25244-2023</t>
        </is>
      </c>
      <c r="B621" s="1" t="n">
        <v>45086</v>
      </c>
      <c r="C621" s="1" t="n">
        <v>46011</v>
      </c>
      <c r="D621" t="inlineStr">
        <is>
          <t>KALMAR LÄN</t>
        </is>
      </c>
      <c r="E621" t="inlineStr">
        <is>
          <t>VIMMERBY</t>
        </is>
      </c>
      <c r="G621" t="n">
        <v>4.7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44720.53898148148</v>
      </c>
      <c r="C622" s="1" t="n">
        <v>46011</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8086-2021</t>
        </is>
      </c>
      <c r="B623" s="1" t="n">
        <v>44243</v>
      </c>
      <c r="C623" s="1" t="n">
        <v>46011</v>
      </c>
      <c r="D623" t="inlineStr">
        <is>
          <t>KALMAR LÄN</t>
        </is>
      </c>
      <c r="E623" t="inlineStr">
        <is>
          <t>VIMMERBY</t>
        </is>
      </c>
      <c r="G623" t="n">
        <v>4.1</v>
      </c>
      <c r="H623" t="n">
        <v>0</v>
      </c>
      <c r="I623" t="n">
        <v>0</v>
      </c>
      <c r="J623" t="n">
        <v>0</v>
      </c>
      <c r="K623" t="n">
        <v>0</v>
      </c>
      <c r="L623" t="n">
        <v>0</v>
      </c>
      <c r="M623" t="n">
        <v>0</v>
      </c>
      <c r="N623" t="n">
        <v>0</v>
      </c>
      <c r="O623" t="n">
        <v>0</v>
      </c>
      <c r="P623" t="n">
        <v>0</v>
      </c>
      <c r="Q623" t="n">
        <v>0</v>
      </c>
      <c r="R623" s="2" t="inlineStr"/>
    </row>
    <row r="624" ht="15" customHeight="1">
      <c r="A624" t="inlineStr">
        <is>
          <t>A 71793-2021</t>
        </is>
      </c>
      <c r="B624" s="1" t="n">
        <v>44539</v>
      </c>
      <c r="C624" s="1" t="n">
        <v>46011</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73938-2021</t>
        </is>
      </c>
      <c r="B625" s="1" t="n">
        <v>44553</v>
      </c>
      <c r="C625" s="1" t="n">
        <v>46011</v>
      </c>
      <c r="D625" t="inlineStr">
        <is>
          <t>KALMAR LÄN</t>
        </is>
      </c>
      <c r="E625" t="inlineStr">
        <is>
          <t>VIMMERBY</t>
        </is>
      </c>
      <c r="G625" t="n">
        <v>3.2</v>
      </c>
      <c r="H625" t="n">
        <v>0</v>
      </c>
      <c r="I625" t="n">
        <v>0</v>
      </c>
      <c r="J625" t="n">
        <v>0</v>
      </c>
      <c r="K625" t="n">
        <v>0</v>
      </c>
      <c r="L625" t="n">
        <v>0</v>
      </c>
      <c r="M625" t="n">
        <v>0</v>
      </c>
      <c r="N625" t="n">
        <v>0</v>
      </c>
      <c r="O625" t="n">
        <v>0</v>
      </c>
      <c r="P625" t="n">
        <v>0</v>
      </c>
      <c r="Q625" t="n">
        <v>0</v>
      </c>
      <c r="R625" s="2" t="inlineStr"/>
    </row>
    <row r="626" ht="15" customHeight="1">
      <c r="A626" t="inlineStr">
        <is>
          <t>A 6069-2023</t>
        </is>
      </c>
      <c r="B626" s="1" t="n">
        <v>44964.5115162037</v>
      </c>
      <c r="C626" s="1" t="n">
        <v>46011</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50995-2022</t>
        </is>
      </c>
      <c r="B627" s="1" t="n">
        <v>44867</v>
      </c>
      <c r="C627" s="1" t="n">
        <v>46011</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46011</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46011</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47842-2024</t>
        </is>
      </c>
      <c r="B630" s="1" t="n">
        <v>45588.65545138889</v>
      </c>
      <c r="C630" s="1" t="n">
        <v>46011</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6857-2023</t>
        </is>
      </c>
      <c r="B631" s="1" t="n">
        <v>44967.45122685185</v>
      </c>
      <c r="C631" s="1" t="n">
        <v>46011</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46224-2024</t>
        </is>
      </c>
      <c r="B632" s="1" t="n">
        <v>45581.57016203704</v>
      </c>
      <c r="C632" s="1" t="n">
        <v>46011</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29013-2024</t>
        </is>
      </c>
      <c r="B633" s="1" t="n">
        <v>45481.55984953704</v>
      </c>
      <c r="C633" s="1" t="n">
        <v>46011</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37028-2024</t>
        </is>
      </c>
      <c r="B634" s="1" t="n">
        <v>45539.38744212963</v>
      </c>
      <c r="C634" s="1" t="n">
        <v>46011</v>
      </c>
      <c r="D634" t="inlineStr">
        <is>
          <t>KALMAR LÄN</t>
        </is>
      </c>
      <c r="E634" t="inlineStr">
        <is>
          <t>VIMMERBY</t>
        </is>
      </c>
      <c r="G634" t="n">
        <v>5.2</v>
      </c>
      <c r="H634" t="n">
        <v>0</v>
      </c>
      <c r="I634" t="n">
        <v>0</v>
      </c>
      <c r="J634" t="n">
        <v>0</v>
      </c>
      <c r="K634" t="n">
        <v>0</v>
      </c>
      <c r="L634" t="n">
        <v>0</v>
      </c>
      <c r="M634" t="n">
        <v>0</v>
      </c>
      <c r="N634" t="n">
        <v>0</v>
      </c>
      <c r="O634" t="n">
        <v>0</v>
      </c>
      <c r="P634" t="n">
        <v>0</v>
      </c>
      <c r="Q634" t="n">
        <v>0</v>
      </c>
      <c r="R634" s="2" t="inlineStr"/>
    </row>
    <row r="635" ht="15" customHeight="1">
      <c r="A635" t="inlineStr">
        <is>
          <t>A 37187-2024</t>
        </is>
      </c>
      <c r="B635" s="1" t="n">
        <v>45539.65212962963</v>
      </c>
      <c r="C635" s="1" t="n">
        <v>46011</v>
      </c>
      <c r="D635" t="inlineStr">
        <is>
          <t>KALMAR LÄN</t>
        </is>
      </c>
      <c r="E635" t="inlineStr">
        <is>
          <t>VIMMERBY</t>
        </is>
      </c>
      <c r="G635" t="n">
        <v>2.7</v>
      </c>
      <c r="H635" t="n">
        <v>0</v>
      </c>
      <c r="I635" t="n">
        <v>0</v>
      </c>
      <c r="J635" t="n">
        <v>0</v>
      </c>
      <c r="K635" t="n">
        <v>0</v>
      </c>
      <c r="L635" t="n">
        <v>0</v>
      </c>
      <c r="M635" t="n">
        <v>0</v>
      </c>
      <c r="N635" t="n">
        <v>0</v>
      </c>
      <c r="O635" t="n">
        <v>0</v>
      </c>
      <c r="P635" t="n">
        <v>0</v>
      </c>
      <c r="Q635" t="n">
        <v>0</v>
      </c>
      <c r="R635" s="2" t="inlineStr"/>
    </row>
    <row r="636" ht="15" customHeight="1">
      <c r="A636" t="inlineStr">
        <is>
          <t>A 12630-2023</t>
        </is>
      </c>
      <c r="B636" s="1" t="n">
        <v>45000.47998842593</v>
      </c>
      <c r="C636" s="1" t="n">
        <v>46011</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39584-2024</t>
        </is>
      </c>
      <c r="B637" s="1" t="n">
        <v>45552.36759259259</v>
      </c>
      <c r="C637" s="1" t="n">
        <v>46011</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27705-2023</t>
        </is>
      </c>
      <c r="B638" s="1" t="n">
        <v>45098.30535879629</v>
      </c>
      <c r="C638" s="1" t="n">
        <v>46011</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31013-2023</t>
        </is>
      </c>
      <c r="B639" s="1" t="n">
        <v>45113.56574074074</v>
      </c>
      <c r="C639" s="1" t="n">
        <v>46011</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15388-2025</t>
        </is>
      </c>
      <c r="B640" s="1" t="n">
        <v>45747.42633101852</v>
      </c>
      <c r="C640" s="1" t="n">
        <v>46011</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15391-2025</t>
        </is>
      </c>
      <c r="B641" s="1" t="n">
        <v>45747.42958333333</v>
      </c>
      <c r="C641" s="1" t="n">
        <v>46011</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11303-2025</t>
        </is>
      </c>
      <c r="B642" s="1" t="n">
        <v>45726.44471064815</v>
      </c>
      <c r="C642" s="1" t="n">
        <v>46011</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46011</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46234-2024</t>
        </is>
      </c>
      <c r="B644" s="1" t="n">
        <v>45581.57958333333</v>
      </c>
      <c r="C644" s="1" t="n">
        <v>46011</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39053-2024</t>
        </is>
      </c>
      <c r="B645" s="1" t="n">
        <v>45548</v>
      </c>
      <c r="C645" s="1" t="n">
        <v>46011</v>
      </c>
      <c r="D645" t="inlineStr">
        <is>
          <t>KALMAR LÄN</t>
        </is>
      </c>
      <c r="E645" t="inlineStr">
        <is>
          <t>VIMMERBY</t>
        </is>
      </c>
      <c r="G645" t="n">
        <v>5</v>
      </c>
      <c r="H645" t="n">
        <v>0</v>
      </c>
      <c r="I645" t="n">
        <v>0</v>
      </c>
      <c r="J645" t="n">
        <v>0</v>
      </c>
      <c r="K645" t="n">
        <v>0</v>
      </c>
      <c r="L645" t="n">
        <v>0</v>
      </c>
      <c r="M645" t="n">
        <v>0</v>
      </c>
      <c r="N645" t="n">
        <v>0</v>
      </c>
      <c r="O645" t="n">
        <v>0</v>
      </c>
      <c r="P645" t="n">
        <v>0</v>
      </c>
      <c r="Q645" t="n">
        <v>0</v>
      </c>
      <c r="R645" s="2" t="inlineStr"/>
    </row>
    <row r="646" ht="15" customHeight="1">
      <c r="A646" t="inlineStr">
        <is>
          <t>A 15449-2023</t>
        </is>
      </c>
      <c r="B646" s="1" t="n">
        <v>45020</v>
      </c>
      <c r="C646" s="1" t="n">
        <v>46011</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43594-2024</t>
        </is>
      </c>
      <c r="B647" s="1" t="n">
        <v>45569.44295138889</v>
      </c>
      <c r="C647" s="1" t="n">
        <v>46011</v>
      </c>
      <c r="D647" t="inlineStr">
        <is>
          <t>KALMAR LÄN</t>
        </is>
      </c>
      <c r="E647" t="inlineStr">
        <is>
          <t>VIMMERBY</t>
        </is>
      </c>
      <c r="G647" t="n">
        <v>3.9</v>
      </c>
      <c r="H647" t="n">
        <v>0</v>
      </c>
      <c r="I647" t="n">
        <v>0</v>
      </c>
      <c r="J647" t="n">
        <v>0</v>
      </c>
      <c r="K647" t="n">
        <v>0</v>
      </c>
      <c r="L647" t="n">
        <v>0</v>
      </c>
      <c r="M647" t="n">
        <v>0</v>
      </c>
      <c r="N647" t="n">
        <v>0</v>
      </c>
      <c r="O647" t="n">
        <v>0</v>
      </c>
      <c r="P647" t="n">
        <v>0</v>
      </c>
      <c r="Q647" t="n">
        <v>0</v>
      </c>
      <c r="R647" s="2" t="inlineStr"/>
    </row>
    <row r="648" ht="15" customHeight="1">
      <c r="A648" t="inlineStr">
        <is>
          <t>A 17486-2024</t>
        </is>
      </c>
      <c r="B648" s="1" t="n">
        <v>45415.48979166667</v>
      </c>
      <c r="C648" s="1" t="n">
        <v>46011</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14248-2023</t>
        </is>
      </c>
      <c r="B649" s="1" t="n">
        <v>45009</v>
      </c>
      <c r="C649" s="1" t="n">
        <v>46011</v>
      </c>
      <c r="D649" t="inlineStr">
        <is>
          <t>KALMAR LÄN</t>
        </is>
      </c>
      <c r="E649" t="inlineStr">
        <is>
          <t>VIMMERBY</t>
        </is>
      </c>
      <c r="G649" t="n">
        <v>2.6</v>
      </c>
      <c r="H649" t="n">
        <v>0</v>
      </c>
      <c r="I649" t="n">
        <v>0</v>
      </c>
      <c r="J649" t="n">
        <v>0</v>
      </c>
      <c r="K649" t="n">
        <v>0</v>
      </c>
      <c r="L649" t="n">
        <v>0</v>
      </c>
      <c r="M649" t="n">
        <v>0</v>
      </c>
      <c r="N649" t="n">
        <v>0</v>
      </c>
      <c r="O649" t="n">
        <v>0</v>
      </c>
      <c r="P649" t="n">
        <v>0</v>
      </c>
      <c r="Q649" t="n">
        <v>0</v>
      </c>
      <c r="R649" s="2" t="inlineStr"/>
    </row>
    <row r="650" ht="15" customHeight="1">
      <c r="A650" t="inlineStr">
        <is>
          <t>A 30400-2023</t>
        </is>
      </c>
      <c r="B650" s="1" t="n">
        <v>45111.48225694444</v>
      </c>
      <c r="C650" s="1" t="n">
        <v>46011</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30404-2023</t>
        </is>
      </c>
      <c r="B651" s="1" t="n">
        <v>45111.48636574074</v>
      </c>
      <c r="C651" s="1" t="n">
        <v>46011</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55123-2024</t>
        </is>
      </c>
      <c r="B652" s="1" t="n">
        <v>45621.46103009259</v>
      </c>
      <c r="C652" s="1" t="n">
        <v>46011</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31405-2023</t>
        </is>
      </c>
      <c r="B653" s="1" t="n">
        <v>45114.58148148148</v>
      </c>
      <c r="C653" s="1" t="n">
        <v>46011</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24707-2024</t>
        </is>
      </c>
      <c r="B654" s="1" t="n">
        <v>45460.62172453704</v>
      </c>
      <c r="C654" s="1" t="n">
        <v>46011</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36049-2024</t>
        </is>
      </c>
      <c r="B655" s="1" t="n">
        <v>45533.61996527778</v>
      </c>
      <c r="C655" s="1" t="n">
        <v>46011</v>
      </c>
      <c r="D655" t="inlineStr">
        <is>
          <t>KALMAR LÄN</t>
        </is>
      </c>
      <c r="E655" t="inlineStr">
        <is>
          <t>VIMMERBY</t>
        </is>
      </c>
      <c r="F655" t="inlineStr">
        <is>
          <t>Kommuner</t>
        </is>
      </c>
      <c r="G655" t="n">
        <v>2.6</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46011</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46011</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46011</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62779-2023</t>
        </is>
      </c>
      <c r="B659" s="1" t="n">
        <v>45271.66576388889</v>
      </c>
      <c r="C659" s="1" t="n">
        <v>46011</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46399-2024</t>
        </is>
      </c>
      <c r="B660" s="1" t="n">
        <v>45582.41200231481</v>
      </c>
      <c r="C660" s="1" t="n">
        <v>46011</v>
      </c>
      <c r="D660" t="inlineStr">
        <is>
          <t>KALMAR LÄN</t>
        </is>
      </c>
      <c r="E660" t="inlineStr">
        <is>
          <t>VIMMERBY</t>
        </is>
      </c>
      <c r="G660" t="n">
        <v>4.6</v>
      </c>
      <c r="H660" t="n">
        <v>0</v>
      </c>
      <c r="I660" t="n">
        <v>0</v>
      </c>
      <c r="J660" t="n">
        <v>0</v>
      </c>
      <c r="K660" t="n">
        <v>0</v>
      </c>
      <c r="L660" t="n">
        <v>0</v>
      </c>
      <c r="M660" t="n">
        <v>0</v>
      </c>
      <c r="N660" t="n">
        <v>0</v>
      </c>
      <c r="O660" t="n">
        <v>0</v>
      </c>
      <c r="P660" t="n">
        <v>0</v>
      </c>
      <c r="Q660" t="n">
        <v>0</v>
      </c>
      <c r="R660" s="2" t="inlineStr"/>
    </row>
    <row r="661" ht="15" customHeight="1">
      <c r="A661" t="inlineStr">
        <is>
          <t>A 3425-2022</t>
        </is>
      </c>
      <c r="B661" s="1" t="n">
        <v>44585.51060185185</v>
      </c>
      <c r="C661" s="1" t="n">
        <v>46011</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43962-2024</t>
        </is>
      </c>
      <c r="B662" s="1" t="n">
        <v>45572.48293981481</v>
      </c>
      <c r="C662" s="1" t="n">
        <v>46011</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12810-2023</t>
        </is>
      </c>
      <c r="B663" s="1" t="n">
        <v>45001.43854166667</v>
      </c>
      <c r="C663" s="1" t="n">
        <v>46011</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43068-2023</t>
        </is>
      </c>
      <c r="B664" s="1" t="n">
        <v>45182.78834490741</v>
      </c>
      <c r="C664" s="1" t="n">
        <v>46011</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12075-2024</t>
        </is>
      </c>
      <c r="B665" s="1" t="n">
        <v>45377</v>
      </c>
      <c r="C665" s="1" t="n">
        <v>46011</v>
      </c>
      <c r="D665" t="inlineStr">
        <is>
          <t>KALMAR LÄN</t>
        </is>
      </c>
      <c r="E665" t="inlineStr">
        <is>
          <t>VIMMERBY</t>
        </is>
      </c>
      <c r="G665" t="n">
        <v>3.7</v>
      </c>
      <c r="H665" t="n">
        <v>0</v>
      </c>
      <c r="I665" t="n">
        <v>0</v>
      </c>
      <c r="J665" t="n">
        <v>0</v>
      </c>
      <c r="K665" t="n">
        <v>0</v>
      </c>
      <c r="L665" t="n">
        <v>0</v>
      </c>
      <c r="M665" t="n">
        <v>0</v>
      </c>
      <c r="N665" t="n">
        <v>0</v>
      </c>
      <c r="O665" t="n">
        <v>0</v>
      </c>
      <c r="P665" t="n">
        <v>0</v>
      </c>
      <c r="Q665" t="n">
        <v>0</v>
      </c>
      <c r="R665" s="2" t="inlineStr"/>
    </row>
    <row r="666" ht="15" customHeight="1">
      <c r="A666" t="inlineStr">
        <is>
          <t>A 1799-2025</t>
        </is>
      </c>
      <c r="B666" s="1" t="n">
        <v>45671.46746527778</v>
      </c>
      <c r="C666" s="1" t="n">
        <v>46011</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2462-2022</t>
        </is>
      </c>
      <c r="B667" s="1" t="n">
        <v>44579.62225694444</v>
      </c>
      <c r="C667" s="1" t="n">
        <v>46011</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13015-2022</t>
        </is>
      </c>
      <c r="B668" s="1" t="n">
        <v>44643</v>
      </c>
      <c r="C668" s="1" t="n">
        <v>46011</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4624-2024</t>
        </is>
      </c>
      <c r="B669" s="1" t="n">
        <v>45328.38755787037</v>
      </c>
      <c r="C669" s="1" t="n">
        <v>46011</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9129-2025</t>
        </is>
      </c>
      <c r="B670" s="1" t="n">
        <v>45713.92412037037</v>
      </c>
      <c r="C670" s="1" t="n">
        <v>46011</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22643-2023</t>
        </is>
      </c>
      <c r="B671" s="1" t="n">
        <v>45071</v>
      </c>
      <c r="C671" s="1" t="n">
        <v>46011</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46011</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40079-2023</t>
        </is>
      </c>
      <c r="B673" s="1" t="n">
        <v>45168.89298611111</v>
      </c>
      <c r="C673" s="1" t="n">
        <v>46011</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19833-2023</t>
        </is>
      </c>
      <c r="B674" s="1" t="n">
        <v>45052</v>
      </c>
      <c r="C674" s="1" t="n">
        <v>46011</v>
      </c>
      <c r="D674" t="inlineStr">
        <is>
          <t>KALMAR LÄN</t>
        </is>
      </c>
      <c r="E674" t="inlineStr">
        <is>
          <t>VIMMERBY</t>
        </is>
      </c>
      <c r="G674" t="n">
        <v>6.7</v>
      </c>
      <c r="H674" t="n">
        <v>0</v>
      </c>
      <c r="I674" t="n">
        <v>0</v>
      </c>
      <c r="J674" t="n">
        <v>0</v>
      </c>
      <c r="K674" t="n">
        <v>0</v>
      </c>
      <c r="L674" t="n">
        <v>0</v>
      </c>
      <c r="M674" t="n">
        <v>0</v>
      </c>
      <c r="N674" t="n">
        <v>0</v>
      </c>
      <c r="O674" t="n">
        <v>0</v>
      </c>
      <c r="P674" t="n">
        <v>0</v>
      </c>
      <c r="Q674" t="n">
        <v>0</v>
      </c>
      <c r="R674" s="2" t="inlineStr"/>
    </row>
    <row r="675" ht="15" customHeight="1">
      <c r="A675" t="inlineStr">
        <is>
          <t>A 17084-2025</t>
        </is>
      </c>
      <c r="B675" s="1" t="n">
        <v>45755.64450231481</v>
      </c>
      <c r="C675" s="1" t="n">
        <v>46011</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56022-2024</t>
        </is>
      </c>
      <c r="B676" s="1" t="n">
        <v>45623.95947916667</v>
      </c>
      <c r="C676" s="1" t="n">
        <v>46011</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11928-2022</t>
        </is>
      </c>
      <c r="B677" s="1" t="n">
        <v>44635</v>
      </c>
      <c r="C677" s="1" t="n">
        <v>46011</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5527-2022</t>
        </is>
      </c>
      <c r="B678" s="1" t="n">
        <v>44595.583125</v>
      </c>
      <c r="C678" s="1" t="n">
        <v>46011</v>
      </c>
      <c r="D678" t="inlineStr">
        <is>
          <t>KALMAR LÄN</t>
        </is>
      </c>
      <c r="E678" t="inlineStr">
        <is>
          <t>VIMMERBY</t>
        </is>
      </c>
      <c r="G678" t="n">
        <v>3.6</v>
      </c>
      <c r="H678" t="n">
        <v>0</v>
      </c>
      <c r="I678" t="n">
        <v>0</v>
      </c>
      <c r="J678" t="n">
        <v>0</v>
      </c>
      <c r="K678" t="n">
        <v>0</v>
      </c>
      <c r="L678" t="n">
        <v>0</v>
      </c>
      <c r="M678" t="n">
        <v>0</v>
      </c>
      <c r="N678" t="n">
        <v>0</v>
      </c>
      <c r="O678" t="n">
        <v>0</v>
      </c>
      <c r="P678" t="n">
        <v>0</v>
      </c>
      <c r="Q678" t="n">
        <v>0</v>
      </c>
      <c r="R678" s="2" t="inlineStr"/>
    </row>
    <row r="679" ht="15" customHeight="1">
      <c r="A679" t="inlineStr">
        <is>
          <t>A 49461-2023</t>
        </is>
      </c>
      <c r="B679" s="1" t="n">
        <v>45211.52642361111</v>
      </c>
      <c r="C679" s="1" t="n">
        <v>46011</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49474-2023</t>
        </is>
      </c>
      <c r="B680" s="1" t="n">
        <v>45211.541875</v>
      </c>
      <c r="C680" s="1" t="n">
        <v>46011</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61861-2024</t>
        </is>
      </c>
      <c r="B681" s="1" t="n">
        <v>45650.37370370371</v>
      </c>
      <c r="C681" s="1" t="n">
        <v>46011</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45846-2023</t>
        </is>
      </c>
      <c r="B682" s="1" t="n">
        <v>45195.58452546296</v>
      </c>
      <c r="C682" s="1" t="n">
        <v>46011</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8167-2024</t>
        </is>
      </c>
      <c r="B683" s="1" t="n">
        <v>45351.6062962963</v>
      </c>
      <c r="C683" s="1" t="n">
        <v>46011</v>
      </c>
      <c r="D683" t="inlineStr">
        <is>
          <t>KALMAR LÄN</t>
        </is>
      </c>
      <c r="E683" t="inlineStr">
        <is>
          <t>VIMMERBY</t>
        </is>
      </c>
      <c r="G683" t="n">
        <v>3.8</v>
      </c>
      <c r="H683" t="n">
        <v>0</v>
      </c>
      <c r="I683" t="n">
        <v>0</v>
      </c>
      <c r="J683" t="n">
        <v>0</v>
      </c>
      <c r="K683" t="n">
        <v>0</v>
      </c>
      <c r="L683" t="n">
        <v>0</v>
      </c>
      <c r="M683" t="n">
        <v>0</v>
      </c>
      <c r="N683" t="n">
        <v>0</v>
      </c>
      <c r="O683" t="n">
        <v>0</v>
      </c>
      <c r="P683" t="n">
        <v>0</v>
      </c>
      <c r="Q683" t="n">
        <v>0</v>
      </c>
      <c r="R683" s="2" t="inlineStr"/>
    </row>
    <row r="684" ht="15" customHeight="1">
      <c r="A684" t="inlineStr">
        <is>
          <t>A 49382-2023</t>
        </is>
      </c>
      <c r="B684" s="1" t="n">
        <v>45208</v>
      </c>
      <c r="C684" s="1" t="n">
        <v>46011</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12121-2025</t>
        </is>
      </c>
      <c r="B685" s="1" t="n">
        <v>45729.36868055556</v>
      </c>
      <c r="C685" s="1" t="n">
        <v>46011</v>
      </c>
      <c r="D685" t="inlineStr">
        <is>
          <t>KALMAR LÄN</t>
        </is>
      </c>
      <c r="E685" t="inlineStr">
        <is>
          <t>VIMMERBY</t>
        </is>
      </c>
      <c r="G685" t="n">
        <v>4.3</v>
      </c>
      <c r="H685" t="n">
        <v>0</v>
      </c>
      <c r="I685" t="n">
        <v>0</v>
      </c>
      <c r="J685" t="n">
        <v>0</v>
      </c>
      <c r="K685" t="n">
        <v>0</v>
      </c>
      <c r="L685" t="n">
        <v>0</v>
      </c>
      <c r="M685" t="n">
        <v>0</v>
      </c>
      <c r="N685" t="n">
        <v>0</v>
      </c>
      <c r="O685" t="n">
        <v>0</v>
      </c>
      <c r="P685" t="n">
        <v>0</v>
      </c>
      <c r="Q685" t="n">
        <v>0</v>
      </c>
      <c r="R685" s="2" t="inlineStr"/>
    </row>
    <row r="686" ht="15" customHeight="1">
      <c r="A686" t="inlineStr">
        <is>
          <t>A 35846-2023</t>
        </is>
      </c>
      <c r="B686" s="1" t="n">
        <v>45148</v>
      </c>
      <c r="C686" s="1" t="n">
        <v>46011</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35913-2023</t>
        </is>
      </c>
      <c r="B687" s="1" t="n">
        <v>45148</v>
      </c>
      <c r="C687" s="1" t="n">
        <v>46011</v>
      </c>
      <c r="D687" t="inlineStr">
        <is>
          <t>KALMAR LÄN</t>
        </is>
      </c>
      <c r="E687" t="inlineStr">
        <is>
          <t>VIMMERBY</t>
        </is>
      </c>
      <c r="G687" t="n">
        <v>6.9</v>
      </c>
      <c r="H687" t="n">
        <v>0</v>
      </c>
      <c r="I687" t="n">
        <v>0</v>
      </c>
      <c r="J687" t="n">
        <v>0</v>
      </c>
      <c r="K687" t="n">
        <v>0</v>
      </c>
      <c r="L687" t="n">
        <v>0</v>
      </c>
      <c r="M687" t="n">
        <v>0</v>
      </c>
      <c r="N687" t="n">
        <v>0</v>
      </c>
      <c r="O687" t="n">
        <v>0</v>
      </c>
      <c r="P687" t="n">
        <v>0</v>
      </c>
      <c r="Q687" t="n">
        <v>0</v>
      </c>
      <c r="R687" s="2" t="inlineStr"/>
    </row>
    <row r="688" ht="15" customHeight="1">
      <c r="A688" t="inlineStr">
        <is>
          <t>A 38757-2023</t>
        </is>
      </c>
      <c r="B688" s="1" t="n">
        <v>45163.41376157408</v>
      </c>
      <c r="C688" s="1" t="n">
        <v>46011</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20136-2024</t>
        </is>
      </c>
      <c r="B689" s="1" t="n">
        <v>45434.56291666667</v>
      </c>
      <c r="C689" s="1" t="n">
        <v>46011</v>
      </c>
      <c r="D689" t="inlineStr">
        <is>
          <t>KALMAR LÄN</t>
        </is>
      </c>
      <c r="E689" t="inlineStr">
        <is>
          <t>VIMMERBY</t>
        </is>
      </c>
      <c r="F689" t="inlineStr">
        <is>
          <t>Sveaskog</t>
        </is>
      </c>
      <c r="G689" t="n">
        <v>8.4</v>
      </c>
      <c r="H689" t="n">
        <v>0</v>
      </c>
      <c r="I689" t="n">
        <v>0</v>
      </c>
      <c r="J689" t="n">
        <v>0</v>
      </c>
      <c r="K689" t="n">
        <v>0</v>
      </c>
      <c r="L689" t="n">
        <v>0</v>
      </c>
      <c r="M689" t="n">
        <v>0</v>
      </c>
      <c r="N689" t="n">
        <v>0</v>
      </c>
      <c r="O689" t="n">
        <v>0</v>
      </c>
      <c r="P689" t="n">
        <v>0</v>
      </c>
      <c r="Q689" t="n">
        <v>0</v>
      </c>
      <c r="R689" s="2" t="inlineStr"/>
    </row>
    <row r="690" ht="15" customHeight="1">
      <c r="A690" t="inlineStr">
        <is>
          <t>A 24283-2023</t>
        </is>
      </c>
      <c r="B690" s="1" t="n">
        <v>45079.87827546296</v>
      </c>
      <c r="C690" s="1" t="n">
        <v>46011</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59598-2023</t>
        </is>
      </c>
      <c r="B691" s="1" t="n">
        <v>45254.62489583333</v>
      </c>
      <c r="C691" s="1" t="n">
        <v>46011</v>
      </c>
      <c r="D691" t="inlineStr">
        <is>
          <t>KALMAR LÄN</t>
        </is>
      </c>
      <c r="E691" t="inlineStr">
        <is>
          <t>VIMMERBY</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30920-2023</t>
        </is>
      </c>
      <c r="B692" s="1" t="n">
        <v>45113.43921296296</v>
      </c>
      <c r="C692" s="1" t="n">
        <v>46011</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44825.4336574074</v>
      </c>
      <c r="C693" s="1" t="n">
        <v>46011</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33380-2023</t>
        </is>
      </c>
      <c r="B694" s="1" t="n">
        <v>45128</v>
      </c>
      <c r="C694" s="1" t="n">
        <v>46011</v>
      </c>
      <c r="D694" t="inlineStr">
        <is>
          <t>KALMAR LÄN</t>
        </is>
      </c>
      <c r="E694" t="inlineStr">
        <is>
          <t>VIMMERBY</t>
        </is>
      </c>
      <c r="G694" t="n">
        <v>5.2</v>
      </c>
      <c r="H694" t="n">
        <v>0</v>
      </c>
      <c r="I694" t="n">
        <v>0</v>
      </c>
      <c r="J694" t="n">
        <v>0</v>
      </c>
      <c r="K694" t="n">
        <v>0</v>
      </c>
      <c r="L694" t="n">
        <v>0</v>
      </c>
      <c r="M694" t="n">
        <v>0</v>
      </c>
      <c r="N694" t="n">
        <v>0</v>
      </c>
      <c r="O694" t="n">
        <v>0</v>
      </c>
      <c r="P694" t="n">
        <v>0</v>
      </c>
      <c r="Q694" t="n">
        <v>0</v>
      </c>
      <c r="R694" s="2" t="inlineStr"/>
    </row>
    <row r="695" ht="15" customHeight="1">
      <c r="A695" t="inlineStr">
        <is>
          <t>A 46144-2023</t>
        </is>
      </c>
      <c r="B695" s="1" t="n">
        <v>45196.57247685185</v>
      </c>
      <c r="C695" s="1" t="n">
        <v>46011</v>
      </c>
      <c r="D695" t="inlineStr">
        <is>
          <t>KALMAR LÄN</t>
        </is>
      </c>
      <c r="E695" t="inlineStr">
        <is>
          <t>VIMMERBY</t>
        </is>
      </c>
      <c r="G695" t="n">
        <v>6.5</v>
      </c>
      <c r="H695" t="n">
        <v>0</v>
      </c>
      <c r="I695" t="n">
        <v>0</v>
      </c>
      <c r="J695" t="n">
        <v>0</v>
      </c>
      <c r="K695" t="n">
        <v>0</v>
      </c>
      <c r="L695" t="n">
        <v>0</v>
      </c>
      <c r="M695" t="n">
        <v>0</v>
      </c>
      <c r="N695" t="n">
        <v>0</v>
      </c>
      <c r="O695" t="n">
        <v>0</v>
      </c>
      <c r="P695" t="n">
        <v>0</v>
      </c>
      <c r="Q695" t="n">
        <v>0</v>
      </c>
      <c r="R695" s="2" t="inlineStr"/>
    </row>
    <row r="696" ht="15" customHeight="1">
      <c r="A696" t="inlineStr">
        <is>
          <t>A 54787-2023</t>
        </is>
      </c>
      <c r="B696" s="1" t="n">
        <v>45236</v>
      </c>
      <c r="C696" s="1" t="n">
        <v>46011</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15715-2022</t>
        </is>
      </c>
      <c r="B697" s="1" t="n">
        <v>44663</v>
      </c>
      <c r="C697" s="1" t="n">
        <v>46011</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43774-2023</t>
        </is>
      </c>
      <c r="B698" s="1" t="n">
        <v>45187</v>
      </c>
      <c r="C698" s="1" t="n">
        <v>46011</v>
      </c>
      <c r="D698" t="inlineStr">
        <is>
          <t>KALMAR LÄN</t>
        </is>
      </c>
      <c r="E698" t="inlineStr">
        <is>
          <t>VIMMERBY</t>
        </is>
      </c>
      <c r="G698" t="n">
        <v>3.4</v>
      </c>
      <c r="H698" t="n">
        <v>0</v>
      </c>
      <c r="I698" t="n">
        <v>0</v>
      </c>
      <c r="J698" t="n">
        <v>0</v>
      </c>
      <c r="K698" t="n">
        <v>0</v>
      </c>
      <c r="L698" t="n">
        <v>0</v>
      </c>
      <c r="M698" t="n">
        <v>0</v>
      </c>
      <c r="N698" t="n">
        <v>0</v>
      </c>
      <c r="O698" t="n">
        <v>0</v>
      </c>
      <c r="P698" t="n">
        <v>0</v>
      </c>
      <c r="Q698" t="n">
        <v>0</v>
      </c>
      <c r="R698" s="2" t="inlineStr"/>
    </row>
    <row r="699" ht="15" customHeight="1">
      <c r="A699" t="inlineStr">
        <is>
          <t>A 43705-2023</t>
        </is>
      </c>
      <c r="B699" s="1" t="n">
        <v>45187.42854166667</v>
      </c>
      <c r="C699" s="1" t="n">
        <v>46011</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7932-2025</t>
        </is>
      </c>
      <c r="B700" s="1" t="n">
        <v>45707.3793287037</v>
      </c>
      <c r="C700" s="1" t="n">
        <v>46011</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13532-2025</t>
        </is>
      </c>
      <c r="B701" s="1" t="n">
        <v>45736.50743055555</v>
      </c>
      <c r="C701" s="1" t="n">
        <v>46011</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1978-2024</t>
        </is>
      </c>
      <c r="B702" s="1" t="n">
        <v>45308.59001157407</v>
      </c>
      <c r="C702" s="1" t="n">
        <v>46011</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6399-2025</t>
        </is>
      </c>
      <c r="B703" s="1" t="n">
        <v>45699.44291666667</v>
      </c>
      <c r="C703" s="1" t="n">
        <v>46011</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41311-2023</t>
        </is>
      </c>
      <c r="B704" s="1" t="n">
        <v>45174</v>
      </c>
      <c r="C704" s="1" t="n">
        <v>46011</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10785-2025</t>
        </is>
      </c>
      <c r="B705" s="1" t="n">
        <v>45722.48634259259</v>
      </c>
      <c r="C705" s="1" t="n">
        <v>46011</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18020-2025</t>
        </is>
      </c>
      <c r="B706" s="1" t="n">
        <v>45761.4437962963</v>
      </c>
      <c r="C706" s="1" t="n">
        <v>46011</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585-2024</t>
        </is>
      </c>
      <c r="B707" s="1" t="n">
        <v>45299.62576388889</v>
      </c>
      <c r="C707" s="1" t="n">
        <v>46011</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6802-2025</t>
        </is>
      </c>
      <c r="B708" s="1" t="n">
        <v>45700.68289351852</v>
      </c>
      <c r="C708" s="1" t="n">
        <v>46011</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56020-2024</t>
        </is>
      </c>
      <c r="B709" s="1" t="n">
        <v>45623.9525462963</v>
      </c>
      <c r="C709" s="1" t="n">
        <v>46011</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46011</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60675-2023</t>
        </is>
      </c>
      <c r="B711" s="1" t="n">
        <v>45260.4716550926</v>
      </c>
      <c r="C711" s="1" t="n">
        <v>46011</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40095-2022</t>
        </is>
      </c>
      <c r="B712" s="1" t="n">
        <v>44820</v>
      </c>
      <c r="C712" s="1" t="n">
        <v>46011</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19537-2022</t>
        </is>
      </c>
      <c r="B713" s="1" t="n">
        <v>44693.62822916666</v>
      </c>
      <c r="C713" s="1" t="n">
        <v>46011</v>
      </c>
      <c r="D713" t="inlineStr">
        <is>
          <t>KALMAR LÄN</t>
        </is>
      </c>
      <c r="E713" t="inlineStr">
        <is>
          <t>VIMMERBY</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57311-2023</t>
        </is>
      </c>
      <c r="B714" s="1" t="n">
        <v>45245.63574074074</v>
      </c>
      <c r="C714" s="1" t="n">
        <v>46011</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64428-2023</t>
        </is>
      </c>
      <c r="B715" s="1" t="n">
        <v>45280.66769675926</v>
      </c>
      <c r="C715" s="1" t="n">
        <v>46011</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4527-2023</t>
        </is>
      </c>
      <c r="B716" s="1" t="n">
        <v>44956</v>
      </c>
      <c r="C716" s="1" t="n">
        <v>46011</v>
      </c>
      <c r="D716" t="inlineStr">
        <is>
          <t>KALMAR LÄN</t>
        </is>
      </c>
      <c r="E716" t="inlineStr">
        <is>
          <t>VIMMERBY</t>
        </is>
      </c>
      <c r="F716" t="inlineStr">
        <is>
          <t>Kommuner</t>
        </is>
      </c>
      <c r="G716" t="n">
        <v>8.5</v>
      </c>
      <c r="H716" t="n">
        <v>0</v>
      </c>
      <c r="I716" t="n">
        <v>0</v>
      </c>
      <c r="J716" t="n">
        <v>0</v>
      </c>
      <c r="K716" t="n">
        <v>0</v>
      </c>
      <c r="L716" t="n">
        <v>0</v>
      </c>
      <c r="M716" t="n">
        <v>0</v>
      </c>
      <c r="N716" t="n">
        <v>0</v>
      </c>
      <c r="O716" t="n">
        <v>0</v>
      </c>
      <c r="P716" t="n">
        <v>0</v>
      </c>
      <c r="Q716" t="n">
        <v>0</v>
      </c>
      <c r="R716" s="2" t="inlineStr"/>
    </row>
    <row r="717" ht="15" customHeight="1">
      <c r="A717" t="inlineStr">
        <is>
          <t>A 3268-2024</t>
        </is>
      </c>
      <c r="B717" s="1" t="n">
        <v>45317</v>
      </c>
      <c r="C717" s="1" t="n">
        <v>46011</v>
      </c>
      <c r="D717" t="inlineStr">
        <is>
          <t>KALMAR LÄN</t>
        </is>
      </c>
      <c r="E717" t="inlineStr">
        <is>
          <t>VIMMERBY</t>
        </is>
      </c>
      <c r="F717" t="inlineStr">
        <is>
          <t>Övriga Aktiebolag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51408-2023</t>
        </is>
      </c>
      <c r="B718" s="1" t="n">
        <v>45219.69356481481</v>
      </c>
      <c r="C718" s="1" t="n">
        <v>46011</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12480-2024</t>
        </is>
      </c>
      <c r="B719" s="1" t="n">
        <v>45379</v>
      </c>
      <c r="C719" s="1" t="n">
        <v>46011</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52588-2023</t>
        </is>
      </c>
      <c r="B720" s="1" t="n">
        <v>45225.60192129629</v>
      </c>
      <c r="C720" s="1" t="n">
        <v>46011</v>
      </c>
      <c r="D720" t="inlineStr">
        <is>
          <t>KALMAR LÄN</t>
        </is>
      </c>
      <c r="E720" t="inlineStr">
        <is>
          <t>VIMMERBY</t>
        </is>
      </c>
      <c r="G720" t="n">
        <v>2.9</v>
      </c>
      <c r="H720" t="n">
        <v>0</v>
      </c>
      <c r="I720" t="n">
        <v>0</v>
      </c>
      <c r="J720" t="n">
        <v>0</v>
      </c>
      <c r="K720" t="n">
        <v>0</v>
      </c>
      <c r="L720" t="n">
        <v>0</v>
      </c>
      <c r="M720" t="n">
        <v>0</v>
      </c>
      <c r="N720" t="n">
        <v>0</v>
      </c>
      <c r="O720" t="n">
        <v>0</v>
      </c>
      <c r="P720" t="n">
        <v>0</v>
      </c>
      <c r="Q720" t="n">
        <v>0</v>
      </c>
      <c r="R720" s="2" t="inlineStr"/>
    </row>
    <row r="721" ht="15" customHeight="1">
      <c r="A721" t="inlineStr">
        <is>
          <t>A 55236-2023</t>
        </is>
      </c>
      <c r="B721" s="1" t="n">
        <v>45237.63225694445</v>
      </c>
      <c r="C721" s="1" t="n">
        <v>46011</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55245-2023</t>
        </is>
      </c>
      <c r="B722" s="1" t="n">
        <v>45237.64408564815</v>
      </c>
      <c r="C722" s="1" t="n">
        <v>46011</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19111-2025</t>
        </is>
      </c>
      <c r="B723" s="1" t="n">
        <v>45768.65611111111</v>
      </c>
      <c r="C723" s="1" t="n">
        <v>46011</v>
      </c>
      <c r="D723" t="inlineStr">
        <is>
          <t>KALMAR LÄN</t>
        </is>
      </c>
      <c r="E723" t="inlineStr">
        <is>
          <t>VIMMERBY</t>
        </is>
      </c>
      <c r="G723" t="n">
        <v>6.2</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46011</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33838-2022</t>
        </is>
      </c>
      <c r="B725" s="1" t="n">
        <v>44790.49040509259</v>
      </c>
      <c r="C725" s="1" t="n">
        <v>46011</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4058-2024</t>
        </is>
      </c>
      <c r="B726" s="1" t="n">
        <v>45323.53744212963</v>
      </c>
      <c r="C726" s="1" t="n">
        <v>46011</v>
      </c>
      <c r="D726" t="inlineStr">
        <is>
          <t>KALMAR LÄN</t>
        </is>
      </c>
      <c r="E726" t="inlineStr">
        <is>
          <t>VIMMERBY</t>
        </is>
      </c>
      <c r="G726" t="n">
        <v>6.5</v>
      </c>
      <c r="H726" t="n">
        <v>0</v>
      </c>
      <c r="I726" t="n">
        <v>0</v>
      </c>
      <c r="J726" t="n">
        <v>0</v>
      </c>
      <c r="K726" t="n">
        <v>0</v>
      </c>
      <c r="L726" t="n">
        <v>0</v>
      </c>
      <c r="M726" t="n">
        <v>0</v>
      </c>
      <c r="N726" t="n">
        <v>0</v>
      </c>
      <c r="O726" t="n">
        <v>0</v>
      </c>
      <c r="P726" t="n">
        <v>0</v>
      </c>
      <c r="Q726" t="n">
        <v>0</v>
      </c>
      <c r="R726" s="2" t="inlineStr"/>
    </row>
    <row r="727" ht="15" customHeight="1">
      <c r="A727" t="inlineStr">
        <is>
          <t>A 36008-2024</t>
        </is>
      </c>
      <c r="B727" s="1" t="n">
        <v>45533.55362268518</v>
      </c>
      <c r="C727" s="1" t="n">
        <v>46011</v>
      </c>
      <c r="D727" t="inlineStr">
        <is>
          <t>KALMAR LÄN</t>
        </is>
      </c>
      <c r="E727" t="inlineStr">
        <is>
          <t>VIMMERBY</t>
        </is>
      </c>
      <c r="G727" t="n">
        <v>3.7</v>
      </c>
      <c r="H727" t="n">
        <v>0</v>
      </c>
      <c r="I727" t="n">
        <v>0</v>
      </c>
      <c r="J727" t="n">
        <v>0</v>
      </c>
      <c r="K727" t="n">
        <v>0</v>
      </c>
      <c r="L727" t="n">
        <v>0</v>
      </c>
      <c r="M727" t="n">
        <v>0</v>
      </c>
      <c r="N727" t="n">
        <v>0</v>
      </c>
      <c r="O727" t="n">
        <v>0</v>
      </c>
      <c r="P727" t="n">
        <v>0</v>
      </c>
      <c r="Q727" t="n">
        <v>0</v>
      </c>
      <c r="R727" s="2" t="inlineStr"/>
    </row>
    <row r="728" ht="15" customHeight="1">
      <c r="A728" t="inlineStr">
        <is>
          <t>A 18669-2025</t>
        </is>
      </c>
      <c r="B728" s="1" t="n">
        <v>45763.59436342592</v>
      </c>
      <c r="C728" s="1" t="n">
        <v>46011</v>
      </c>
      <c r="D728" t="inlineStr">
        <is>
          <t>KALMAR LÄN</t>
        </is>
      </c>
      <c r="E728" t="inlineStr">
        <is>
          <t>VIMMERBY</t>
        </is>
      </c>
      <c r="G728" t="n">
        <v>2.7</v>
      </c>
      <c r="H728" t="n">
        <v>0</v>
      </c>
      <c r="I728" t="n">
        <v>0</v>
      </c>
      <c r="J728" t="n">
        <v>0</v>
      </c>
      <c r="K728" t="n">
        <v>0</v>
      </c>
      <c r="L728" t="n">
        <v>0</v>
      </c>
      <c r="M728" t="n">
        <v>0</v>
      </c>
      <c r="N728" t="n">
        <v>0</v>
      </c>
      <c r="O728" t="n">
        <v>0</v>
      </c>
      <c r="P728" t="n">
        <v>0</v>
      </c>
      <c r="Q728" t="n">
        <v>0</v>
      </c>
      <c r="R728" s="2" t="inlineStr"/>
    </row>
    <row r="729" ht="15" customHeight="1">
      <c r="A729" t="inlineStr">
        <is>
          <t>A 8540-2024</t>
        </is>
      </c>
      <c r="B729" s="1" t="n">
        <v>45355.54138888889</v>
      </c>
      <c r="C729" s="1" t="n">
        <v>46011</v>
      </c>
      <c r="D729" t="inlineStr">
        <is>
          <t>KALMAR LÄN</t>
        </is>
      </c>
      <c r="E729" t="inlineStr">
        <is>
          <t>VIMMERBY</t>
        </is>
      </c>
      <c r="G729" t="n">
        <v>1.9</v>
      </c>
      <c r="H729" t="n">
        <v>0</v>
      </c>
      <c r="I729" t="n">
        <v>0</v>
      </c>
      <c r="J729" t="n">
        <v>0</v>
      </c>
      <c r="K729" t="n">
        <v>0</v>
      </c>
      <c r="L729" t="n">
        <v>0</v>
      </c>
      <c r="M729" t="n">
        <v>0</v>
      </c>
      <c r="N729" t="n">
        <v>0</v>
      </c>
      <c r="O729" t="n">
        <v>0</v>
      </c>
      <c r="P729" t="n">
        <v>0</v>
      </c>
      <c r="Q729" t="n">
        <v>0</v>
      </c>
      <c r="R729" s="2" t="inlineStr"/>
    </row>
    <row r="730" ht="15" customHeight="1">
      <c r="A730" t="inlineStr">
        <is>
          <t>A 9623-2024</t>
        </is>
      </c>
      <c r="B730" s="1" t="n">
        <v>45361.87975694444</v>
      </c>
      <c r="C730" s="1" t="n">
        <v>46011</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5146-2024</t>
        </is>
      </c>
      <c r="B731" s="1" t="n">
        <v>45330</v>
      </c>
      <c r="C731" s="1" t="n">
        <v>46011</v>
      </c>
      <c r="D731" t="inlineStr">
        <is>
          <t>KALMAR LÄN</t>
        </is>
      </c>
      <c r="E731" t="inlineStr">
        <is>
          <t>VIMMERBY</t>
        </is>
      </c>
      <c r="G731" t="n">
        <v>5.3</v>
      </c>
      <c r="H731" t="n">
        <v>0</v>
      </c>
      <c r="I731" t="n">
        <v>0</v>
      </c>
      <c r="J731" t="n">
        <v>0</v>
      </c>
      <c r="K731" t="n">
        <v>0</v>
      </c>
      <c r="L731" t="n">
        <v>0</v>
      </c>
      <c r="M731" t="n">
        <v>0</v>
      </c>
      <c r="N731" t="n">
        <v>0</v>
      </c>
      <c r="O731" t="n">
        <v>0</v>
      </c>
      <c r="P731" t="n">
        <v>0</v>
      </c>
      <c r="Q731" t="n">
        <v>0</v>
      </c>
      <c r="R731" s="2" t="inlineStr"/>
    </row>
    <row r="732" ht="15" customHeight="1">
      <c r="A732" t="inlineStr">
        <is>
          <t>A 5148-2024</t>
        </is>
      </c>
      <c r="B732" s="1" t="n">
        <v>45330</v>
      </c>
      <c r="C732" s="1" t="n">
        <v>46011</v>
      </c>
      <c r="D732" t="inlineStr">
        <is>
          <t>KALMAR LÄN</t>
        </is>
      </c>
      <c r="E732" t="inlineStr">
        <is>
          <t>VIMMERBY</t>
        </is>
      </c>
      <c r="G732" t="n">
        <v>5.6</v>
      </c>
      <c r="H732" t="n">
        <v>0</v>
      </c>
      <c r="I732" t="n">
        <v>0</v>
      </c>
      <c r="J732" t="n">
        <v>0</v>
      </c>
      <c r="K732" t="n">
        <v>0</v>
      </c>
      <c r="L732" t="n">
        <v>0</v>
      </c>
      <c r="M732" t="n">
        <v>0</v>
      </c>
      <c r="N732" t="n">
        <v>0</v>
      </c>
      <c r="O732" t="n">
        <v>0</v>
      </c>
      <c r="P732" t="n">
        <v>0</v>
      </c>
      <c r="Q732" t="n">
        <v>0</v>
      </c>
      <c r="R732" s="2" t="inlineStr"/>
    </row>
    <row r="733" ht="15" customHeight="1">
      <c r="A733" t="inlineStr">
        <is>
          <t>A 44179-2022</t>
        </is>
      </c>
      <c r="B733" s="1" t="n">
        <v>44839.4528125</v>
      </c>
      <c r="C733" s="1" t="n">
        <v>46011</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50648-2023</t>
        </is>
      </c>
      <c r="B734" s="1" t="n">
        <v>45217.47834490741</v>
      </c>
      <c r="C734" s="1" t="n">
        <v>46011</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2121-2022</t>
        </is>
      </c>
      <c r="B735" s="1" t="n">
        <v>44578.32717592592</v>
      </c>
      <c r="C735" s="1" t="n">
        <v>46011</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46011</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15394-2025</t>
        </is>
      </c>
      <c r="B737" s="1" t="n">
        <v>45747.43196759259</v>
      </c>
      <c r="C737" s="1" t="n">
        <v>46011</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26318-2023</t>
        </is>
      </c>
      <c r="B738" s="1" t="n">
        <v>45091.67936342592</v>
      </c>
      <c r="C738" s="1" t="n">
        <v>46011</v>
      </c>
      <c r="D738" t="inlineStr">
        <is>
          <t>KALMAR LÄN</t>
        </is>
      </c>
      <c r="E738" t="inlineStr">
        <is>
          <t>VIMMERBY</t>
        </is>
      </c>
      <c r="G738" t="n">
        <v>3.8</v>
      </c>
      <c r="H738" t="n">
        <v>0</v>
      </c>
      <c r="I738" t="n">
        <v>0</v>
      </c>
      <c r="J738" t="n">
        <v>0</v>
      </c>
      <c r="K738" t="n">
        <v>0</v>
      </c>
      <c r="L738" t="n">
        <v>0</v>
      </c>
      <c r="M738" t="n">
        <v>0</v>
      </c>
      <c r="N738" t="n">
        <v>0</v>
      </c>
      <c r="O738" t="n">
        <v>0</v>
      </c>
      <c r="P738" t="n">
        <v>0</v>
      </c>
      <c r="Q738" t="n">
        <v>0</v>
      </c>
      <c r="R738" s="2" t="inlineStr"/>
    </row>
    <row r="739" ht="15" customHeight="1">
      <c r="A739" t="inlineStr">
        <is>
          <t>A 60437-2023</t>
        </is>
      </c>
      <c r="B739" s="1" t="n">
        <v>45259.51916666667</v>
      </c>
      <c r="C739" s="1" t="n">
        <v>46011</v>
      </c>
      <c r="D739" t="inlineStr">
        <is>
          <t>KALMAR LÄN</t>
        </is>
      </c>
      <c r="E739" t="inlineStr">
        <is>
          <t>VIMMERBY</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60438-2023</t>
        </is>
      </c>
      <c r="B740" s="1" t="n">
        <v>45259.52020833334</v>
      </c>
      <c r="C740" s="1" t="n">
        <v>46011</v>
      </c>
      <c r="D740" t="inlineStr">
        <is>
          <t>KALMAR LÄN</t>
        </is>
      </c>
      <c r="E740" t="inlineStr">
        <is>
          <t>VIMMERBY</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7758-2024</t>
        </is>
      </c>
      <c r="B741" s="1" t="n">
        <v>45349.54434027777</v>
      </c>
      <c r="C741" s="1" t="n">
        <v>46011</v>
      </c>
      <c r="D741" t="inlineStr">
        <is>
          <t>KALMAR LÄN</t>
        </is>
      </c>
      <c r="E741" t="inlineStr">
        <is>
          <t>VIMMERBY</t>
        </is>
      </c>
      <c r="G741" t="n">
        <v>3.5</v>
      </c>
      <c r="H741" t="n">
        <v>0</v>
      </c>
      <c r="I741" t="n">
        <v>0</v>
      </c>
      <c r="J741" t="n">
        <v>0</v>
      </c>
      <c r="K741" t="n">
        <v>0</v>
      </c>
      <c r="L741" t="n">
        <v>0</v>
      </c>
      <c r="M741" t="n">
        <v>0</v>
      </c>
      <c r="N741" t="n">
        <v>0</v>
      </c>
      <c r="O741" t="n">
        <v>0</v>
      </c>
      <c r="P741" t="n">
        <v>0</v>
      </c>
      <c r="Q741" t="n">
        <v>0</v>
      </c>
      <c r="R741" s="2" t="inlineStr"/>
    </row>
    <row r="742" ht="15" customHeight="1">
      <c r="A742" t="inlineStr">
        <is>
          <t>A 7456-2024</t>
        </is>
      </c>
      <c r="B742" s="1" t="n">
        <v>45345.83557870371</v>
      </c>
      <c r="C742" s="1" t="n">
        <v>46011</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6082-2022</t>
        </is>
      </c>
      <c r="B743" s="1" t="n">
        <v>44599</v>
      </c>
      <c r="C743" s="1" t="n">
        <v>46011</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46979-2023</t>
        </is>
      </c>
      <c r="B744" s="1" t="n">
        <v>45201</v>
      </c>
      <c r="C744" s="1" t="n">
        <v>46011</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2596-2025</t>
        </is>
      </c>
      <c r="B745" s="1" t="n">
        <v>45674.71810185185</v>
      </c>
      <c r="C745" s="1" t="n">
        <v>46011</v>
      </c>
      <c r="D745" t="inlineStr">
        <is>
          <t>KALMAR LÄN</t>
        </is>
      </c>
      <c r="E745" t="inlineStr">
        <is>
          <t>VIMMERBY</t>
        </is>
      </c>
      <c r="G745" t="n">
        <v>9</v>
      </c>
      <c r="H745" t="n">
        <v>0</v>
      </c>
      <c r="I745" t="n">
        <v>0</v>
      </c>
      <c r="J745" t="n">
        <v>0</v>
      </c>
      <c r="K745" t="n">
        <v>0</v>
      </c>
      <c r="L745" t="n">
        <v>0</v>
      </c>
      <c r="M745" t="n">
        <v>0</v>
      </c>
      <c r="N745" t="n">
        <v>0</v>
      </c>
      <c r="O745" t="n">
        <v>0</v>
      </c>
      <c r="P745" t="n">
        <v>0</v>
      </c>
      <c r="Q745" t="n">
        <v>0</v>
      </c>
      <c r="R745" s="2" t="inlineStr"/>
    </row>
    <row r="746" ht="15" customHeight="1">
      <c r="A746" t="inlineStr">
        <is>
          <t>A 47855-2024</t>
        </is>
      </c>
      <c r="B746" s="1" t="n">
        <v>45588.66457175926</v>
      </c>
      <c r="C746" s="1" t="n">
        <v>46011</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63583-2023</t>
        </is>
      </c>
      <c r="B747" s="1" t="n">
        <v>45275.41833333333</v>
      </c>
      <c r="C747" s="1" t="n">
        <v>46011</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60228-2021</t>
        </is>
      </c>
      <c r="B748" s="1" t="n">
        <v>44495</v>
      </c>
      <c r="C748" s="1" t="n">
        <v>46011</v>
      </c>
      <c r="D748" t="inlineStr">
        <is>
          <t>KALMAR LÄN</t>
        </is>
      </c>
      <c r="E748" t="inlineStr">
        <is>
          <t>VIMMERBY</t>
        </is>
      </c>
      <c r="G748" t="n">
        <v>4.1</v>
      </c>
      <c r="H748" t="n">
        <v>0</v>
      </c>
      <c r="I748" t="n">
        <v>0</v>
      </c>
      <c r="J748" t="n">
        <v>0</v>
      </c>
      <c r="K748" t="n">
        <v>0</v>
      </c>
      <c r="L748" t="n">
        <v>0</v>
      </c>
      <c r="M748" t="n">
        <v>0</v>
      </c>
      <c r="N748" t="n">
        <v>0</v>
      </c>
      <c r="O748" t="n">
        <v>0</v>
      </c>
      <c r="P748" t="n">
        <v>0</v>
      </c>
      <c r="Q748" t="n">
        <v>0</v>
      </c>
      <c r="R748" s="2" t="inlineStr"/>
    </row>
    <row r="749" ht="15" customHeight="1">
      <c r="A749" t="inlineStr">
        <is>
          <t>A 46522-2022</t>
        </is>
      </c>
      <c r="B749" s="1" t="n">
        <v>44848.59133101852</v>
      </c>
      <c r="C749" s="1" t="n">
        <v>46011</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21109-2024</t>
        </is>
      </c>
      <c r="B750" s="1" t="n">
        <v>45440.28329861111</v>
      </c>
      <c r="C750" s="1" t="n">
        <v>46011</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33815-2022</t>
        </is>
      </c>
      <c r="B751" s="1" t="n">
        <v>44790.45876157407</v>
      </c>
      <c r="C751" s="1" t="n">
        <v>46011</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49461-2022</t>
        </is>
      </c>
      <c r="B752" s="1" t="n">
        <v>44861</v>
      </c>
      <c r="C752" s="1" t="n">
        <v>46011</v>
      </c>
      <c r="D752" t="inlineStr">
        <is>
          <t>KALMAR LÄN</t>
        </is>
      </c>
      <c r="E752" t="inlineStr">
        <is>
          <t>VIMMERBY</t>
        </is>
      </c>
      <c r="G752" t="n">
        <v>3.2</v>
      </c>
      <c r="H752" t="n">
        <v>0</v>
      </c>
      <c r="I752" t="n">
        <v>0</v>
      </c>
      <c r="J752" t="n">
        <v>0</v>
      </c>
      <c r="K752" t="n">
        <v>0</v>
      </c>
      <c r="L752" t="n">
        <v>0</v>
      </c>
      <c r="M752" t="n">
        <v>0</v>
      </c>
      <c r="N752" t="n">
        <v>0</v>
      </c>
      <c r="O752" t="n">
        <v>0</v>
      </c>
      <c r="P752" t="n">
        <v>0</v>
      </c>
      <c r="Q752" t="n">
        <v>0</v>
      </c>
      <c r="R752" s="2" t="inlineStr"/>
    </row>
    <row r="753" ht="15" customHeight="1">
      <c r="A753" t="inlineStr">
        <is>
          <t>A 53542-2022</t>
        </is>
      </c>
      <c r="B753" s="1" t="n">
        <v>44879.62173611111</v>
      </c>
      <c r="C753" s="1" t="n">
        <v>46011</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35713-2023</t>
        </is>
      </c>
      <c r="B754" s="1" t="n">
        <v>45147</v>
      </c>
      <c r="C754" s="1" t="n">
        <v>46011</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10424-2023</t>
        </is>
      </c>
      <c r="B755" s="1" t="n">
        <v>44987.54104166666</v>
      </c>
      <c r="C755" s="1" t="n">
        <v>46011</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33340-2023</t>
        </is>
      </c>
      <c r="B756" s="1" t="n">
        <v>45128.37305555555</v>
      </c>
      <c r="C756" s="1" t="n">
        <v>46011</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29017-2024</t>
        </is>
      </c>
      <c r="B757" s="1" t="n">
        <v>45481.56722222222</v>
      </c>
      <c r="C757" s="1" t="n">
        <v>46011</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58046-2022</t>
        </is>
      </c>
      <c r="B758" s="1" t="n">
        <v>44900.57393518519</v>
      </c>
      <c r="C758" s="1" t="n">
        <v>46011</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14548-2024</t>
        </is>
      </c>
      <c r="B759" s="1" t="n">
        <v>45394.66887731481</v>
      </c>
      <c r="C759" s="1" t="n">
        <v>46011</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46011</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46011</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46011</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46011</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46011</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46011</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46011</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46011</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46011</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46011</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46011</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46011</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46011</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46011</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46011</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46011</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44967.44255787037</v>
      </c>
      <c r="C776" s="1" t="n">
        <v>46011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6358-2022</t>
        </is>
      </c>
      <c r="B777" s="1" t="n">
        <v>44600</v>
      </c>
      <c r="C777" s="1" t="n">
        <v>46011</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43853-2023</t>
        </is>
      </c>
      <c r="B778" s="1" t="n">
        <v>45187.60813657408</v>
      </c>
      <c r="C778" s="1" t="n">
        <v>46011</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7075-2021</t>
        </is>
      </c>
      <c r="B779" s="1" t="n">
        <v>44237</v>
      </c>
      <c r="C779" s="1" t="n">
        <v>46011</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48673-2021</t>
        </is>
      </c>
      <c r="B780" s="1" t="n">
        <v>44452</v>
      </c>
      <c r="C780" s="1" t="n">
        <v>46011</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14137-2023</t>
        </is>
      </c>
      <c r="B781" s="1" t="n">
        <v>45009.4671875</v>
      </c>
      <c r="C781" s="1" t="n">
        <v>46011</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7630-2025</t>
        </is>
      </c>
      <c r="B782" s="1" t="n">
        <v>45705.74418981482</v>
      </c>
      <c r="C782" s="1" t="n">
        <v>46011</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38780-2021</t>
        </is>
      </c>
      <c r="B783" s="1" t="n">
        <v>44410</v>
      </c>
      <c r="C783" s="1" t="n">
        <v>46011</v>
      </c>
      <c r="D783" t="inlineStr">
        <is>
          <t>KALMAR LÄN</t>
        </is>
      </c>
      <c r="E783" t="inlineStr">
        <is>
          <t>VIMMERBY</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30503-2023</t>
        </is>
      </c>
      <c r="B784" s="1" t="n">
        <v>45111</v>
      </c>
      <c r="C784" s="1" t="n">
        <v>46011</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60110-2022</t>
        </is>
      </c>
      <c r="B785" s="1" t="n">
        <v>44909</v>
      </c>
      <c r="C785" s="1" t="n">
        <v>46011</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59300-2024</t>
        </is>
      </c>
      <c r="B786" s="1" t="n">
        <v>45637.66542824074</v>
      </c>
      <c r="C786" s="1" t="n">
        <v>46011</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19445-2021</t>
        </is>
      </c>
      <c r="B787" s="1" t="n">
        <v>44310</v>
      </c>
      <c r="C787" s="1" t="n">
        <v>46011</v>
      </c>
      <c r="D787" t="inlineStr">
        <is>
          <t>KALMAR LÄN</t>
        </is>
      </c>
      <c r="E787" t="inlineStr">
        <is>
          <t>VIMMERBY</t>
        </is>
      </c>
      <c r="G787" t="n">
        <v>6.8</v>
      </c>
      <c r="H787" t="n">
        <v>0</v>
      </c>
      <c r="I787" t="n">
        <v>0</v>
      </c>
      <c r="J787" t="n">
        <v>0</v>
      </c>
      <c r="K787" t="n">
        <v>0</v>
      </c>
      <c r="L787" t="n">
        <v>0</v>
      </c>
      <c r="M787" t="n">
        <v>0</v>
      </c>
      <c r="N787" t="n">
        <v>0</v>
      </c>
      <c r="O787" t="n">
        <v>0</v>
      </c>
      <c r="P787" t="n">
        <v>0</v>
      </c>
      <c r="Q787" t="n">
        <v>0</v>
      </c>
      <c r="R787" s="2" t="inlineStr"/>
    </row>
    <row r="788" ht="15" customHeight="1">
      <c r="A788" t="inlineStr">
        <is>
          <t>A 18329-2023</t>
        </is>
      </c>
      <c r="B788" s="1" t="n">
        <v>45041.63380787037</v>
      </c>
      <c r="C788" s="1" t="n">
        <v>46011</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5720-2023</t>
        </is>
      </c>
      <c r="B789" s="1" t="n">
        <v>44961</v>
      </c>
      <c r="C789" s="1" t="n">
        <v>46011</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61538-2022</t>
        </is>
      </c>
      <c r="B790" s="1" t="n">
        <v>44916.55414351852</v>
      </c>
      <c r="C790" s="1" t="n">
        <v>46011</v>
      </c>
      <c r="D790" t="inlineStr">
        <is>
          <t>KALMAR LÄN</t>
        </is>
      </c>
      <c r="E790" t="inlineStr">
        <is>
          <t>VIMMERBY</t>
        </is>
      </c>
      <c r="G790" t="n">
        <v>1.5</v>
      </c>
      <c r="H790" t="n">
        <v>0</v>
      </c>
      <c r="I790" t="n">
        <v>0</v>
      </c>
      <c r="J790" t="n">
        <v>0</v>
      </c>
      <c r="K790" t="n">
        <v>0</v>
      </c>
      <c r="L790" t="n">
        <v>0</v>
      </c>
      <c r="M790" t="n">
        <v>0</v>
      </c>
      <c r="N790" t="n">
        <v>0</v>
      </c>
      <c r="O790" t="n">
        <v>0</v>
      </c>
      <c r="P790" t="n">
        <v>0</v>
      </c>
      <c r="Q790" t="n">
        <v>0</v>
      </c>
      <c r="R790" s="2" t="inlineStr"/>
    </row>
    <row r="791" ht="15" customHeight="1">
      <c r="A791" t="inlineStr">
        <is>
          <t>A 694-2024</t>
        </is>
      </c>
      <c r="B791" s="1" t="n">
        <v>45300.3794212963</v>
      </c>
      <c r="C791" s="1" t="n">
        <v>46011</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57114-2023</t>
        </is>
      </c>
      <c r="B792" s="1" t="n">
        <v>45245.36174768519</v>
      </c>
      <c r="C792" s="1" t="n">
        <v>46011</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12327-2023</t>
        </is>
      </c>
      <c r="B793" s="1" t="n">
        <v>44999.36081018519</v>
      </c>
      <c r="C793" s="1" t="n">
        <v>46011</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30633-2024</t>
        </is>
      </c>
      <c r="B794" s="1" t="n">
        <v>45495</v>
      </c>
      <c r="C794" s="1" t="n">
        <v>46011</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33424-2023</t>
        </is>
      </c>
      <c r="B795" s="1" t="n">
        <v>45128.9325</v>
      </c>
      <c r="C795" s="1" t="n">
        <v>46011</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33425-2023</t>
        </is>
      </c>
      <c r="B796" s="1" t="n">
        <v>45128.93540509259</v>
      </c>
      <c r="C796" s="1" t="n">
        <v>46011</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3609-2024</t>
        </is>
      </c>
      <c r="B797" s="1" t="n">
        <v>45320.89128472222</v>
      </c>
      <c r="C797" s="1" t="n">
        <v>46011</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8650-2022</t>
        </is>
      </c>
      <c r="B798" s="1" t="n">
        <v>44613</v>
      </c>
      <c r="C798" s="1" t="n">
        <v>46011</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11147-2023</t>
        </is>
      </c>
      <c r="B799" s="1" t="n">
        <v>44992</v>
      </c>
      <c r="C799" s="1" t="n">
        <v>46011</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16676-2023</t>
        </is>
      </c>
      <c r="B800" s="1" t="n">
        <v>45028</v>
      </c>
      <c r="C800" s="1" t="n">
        <v>46011</v>
      </c>
      <c r="D800" t="inlineStr">
        <is>
          <t>KALMAR LÄN</t>
        </is>
      </c>
      <c r="E800" t="inlineStr">
        <is>
          <t>VIMMERBY</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23263-2024</t>
        </is>
      </c>
      <c r="B801" s="1" t="n">
        <v>45453.36854166666</v>
      </c>
      <c r="C801" s="1" t="n">
        <v>46011</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49488-2023</t>
        </is>
      </c>
      <c r="B802" s="1" t="n">
        <v>45211.55472222222</v>
      </c>
      <c r="C802" s="1" t="n">
        <v>46011</v>
      </c>
      <c r="D802" t="inlineStr">
        <is>
          <t>KALMAR LÄN</t>
        </is>
      </c>
      <c r="E802" t="inlineStr">
        <is>
          <t>VIMMERBY</t>
        </is>
      </c>
      <c r="F802" t="inlineStr">
        <is>
          <t>Sveaskog</t>
        </is>
      </c>
      <c r="G802" t="n">
        <v>6.2</v>
      </c>
      <c r="H802" t="n">
        <v>0</v>
      </c>
      <c r="I802" t="n">
        <v>0</v>
      </c>
      <c r="J802" t="n">
        <v>0</v>
      </c>
      <c r="K802" t="n">
        <v>0</v>
      </c>
      <c r="L802" t="n">
        <v>0</v>
      </c>
      <c r="M802" t="n">
        <v>0</v>
      </c>
      <c r="N802" t="n">
        <v>0</v>
      </c>
      <c r="O802" t="n">
        <v>0</v>
      </c>
      <c r="P802" t="n">
        <v>0</v>
      </c>
      <c r="Q802" t="n">
        <v>0</v>
      </c>
      <c r="R802" s="2" t="inlineStr"/>
    </row>
    <row r="803" ht="15" customHeight="1">
      <c r="A803" t="inlineStr">
        <is>
          <t>A 59768-2024</t>
        </is>
      </c>
      <c r="B803" s="1" t="n">
        <v>45639.56185185185</v>
      </c>
      <c r="C803" s="1" t="n">
        <v>46011</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72067-2021</t>
        </is>
      </c>
      <c r="B804" s="1" t="n">
        <v>44540</v>
      </c>
      <c r="C804" s="1" t="n">
        <v>46011</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41158-2023</t>
        </is>
      </c>
      <c r="B805" s="1" t="n">
        <v>45174.31395833333</v>
      </c>
      <c r="C805" s="1" t="n">
        <v>46011</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22198-2024</t>
        </is>
      </c>
      <c r="B806" s="1" t="n">
        <v>45446.36865740741</v>
      </c>
      <c r="C806" s="1" t="n">
        <v>46011</v>
      </c>
      <c r="D806" t="inlineStr">
        <is>
          <t>KALMAR LÄN</t>
        </is>
      </c>
      <c r="E806" t="inlineStr">
        <is>
          <t>VIMMERBY</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44981.64725694444</v>
      </c>
      <c r="C807" s="1" t="n">
        <v>46011</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34205-2023</t>
        </is>
      </c>
      <c r="B808" s="1" t="n">
        <v>45138</v>
      </c>
      <c r="C808" s="1" t="n">
        <v>46011</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57091-2022</t>
        </is>
      </c>
      <c r="B809" s="1" t="n">
        <v>44895.46524305556</v>
      </c>
      <c r="C809" s="1" t="n">
        <v>46011</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2604-2025</t>
        </is>
      </c>
      <c r="B810" s="1" t="n">
        <v>45674.74094907408</v>
      </c>
      <c r="C810" s="1" t="n">
        <v>46011</v>
      </c>
      <c r="D810" t="inlineStr">
        <is>
          <t>KALMAR LÄN</t>
        </is>
      </c>
      <c r="E810" t="inlineStr">
        <is>
          <t>VIMMERBY</t>
        </is>
      </c>
      <c r="G810" t="n">
        <v>7.6</v>
      </c>
      <c r="H810" t="n">
        <v>0</v>
      </c>
      <c r="I810" t="n">
        <v>0</v>
      </c>
      <c r="J810" t="n">
        <v>0</v>
      </c>
      <c r="K810" t="n">
        <v>0</v>
      </c>
      <c r="L810" t="n">
        <v>0</v>
      </c>
      <c r="M810" t="n">
        <v>0</v>
      </c>
      <c r="N810" t="n">
        <v>0</v>
      </c>
      <c r="O810" t="n">
        <v>0</v>
      </c>
      <c r="P810" t="n">
        <v>0</v>
      </c>
      <c r="Q810" t="n">
        <v>0</v>
      </c>
      <c r="R810" s="2" t="inlineStr"/>
    </row>
    <row r="811" ht="15" customHeight="1">
      <c r="A811" t="inlineStr">
        <is>
          <t>A 6807-2025</t>
        </is>
      </c>
      <c r="B811" s="1" t="n">
        <v>45700.68672453704</v>
      </c>
      <c r="C811" s="1" t="n">
        <v>46011</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38851-2023</t>
        </is>
      </c>
      <c r="B812" s="1" t="n">
        <v>45163</v>
      </c>
      <c r="C812" s="1" t="n">
        <v>46011</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23252-2024</t>
        </is>
      </c>
      <c r="B813" s="1" t="n">
        <v>45453.36067129629</v>
      </c>
      <c r="C813" s="1" t="n">
        <v>46011</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5792-2023</t>
        </is>
      </c>
      <c r="B814" s="1" t="n">
        <v>44963.44769675926</v>
      </c>
      <c r="C814" s="1" t="n">
        <v>46011</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2797-2023</t>
        </is>
      </c>
      <c r="B815" s="1" t="n">
        <v>44944.71386574074</v>
      </c>
      <c r="C815" s="1" t="n">
        <v>46011</v>
      </c>
      <c r="D815" t="inlineStr">
        <is>
          <t>KALMAR LÄN</t>
        </is>
      </c>
      <c r="E815" t="inlineStr">
        <is>
          <t>VIMMERBY</t>
        </is>
      </c>
      <c r="G815" t="n">
        <v>3.4</v>
      </c>
      <c r="H815" t="n">
        <v>0</v>
      </c>
      <c r="I815" t="n">
        <v>0</v>
      </c>
      <c r="J815" t="n">
        <v>0</v>
      </c>
      <c r="K815" t="n">
        <v>0</v>
      </c>
      <c r="L815" t="n">
        <v>0</v>
      </c>
      <c r="M815" t="n">
        <v>0</v>
      </c>
      <c r="N815" t="n">
        <v>0</v>
      </c>
      <c r="O815" t="n">
        <v>0</v>
      </c>
      <c r="P815" t="n">
        <v>0</v>
      </c>
      <c r="Q815" t="n">
        <v>0</v>
      </c>
      <c r="R815" s="2" t="inlineStr"/>
    </row>
    <row r="816" ht="15" customHeight="1">
      <c r="A816" t="inlineStr">
        <is>
          <t>A 2799-2023</t>
        </is>
      </c>
      <c r="B816" s="1" t="n">
        <v>44944.72100694444</v>
      </c>
      <c r="C816" s="1" t="n">
        <v>46011</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6220-2025</t>
        </is>
      </c>
      <c r="B817" s="1" t="n">
        <v>45698.53725694444</v>
      </c>
      <c r="C817" s="1" t="n">
        <v>46011</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58278-2023</t>
        </is>
      </c>
      <c r="B818" s="1" t="n">
        <v>45250.5278587963</v>
      </c>
      <c r="C818" s="1" t="n">
        <v>46011</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36259-2022</t>
        </is>
      </c>
      <c r="B819" s="1" t="n">
        <v>44803.59118055556</v>
      </c>
      <c r="C819" s="1" t="n">
        <v>46011</v>
      </c>
      <c r="D819" t="inlineStr">
        <is>
          <t>KALMAR LÄN</t>
        </is>
      </c>
      <c r="E819" t="inlineStr">
        <is>
          <t>VIMMERBY</t>
        </is>
      </c>
      <c r="G819" t="n">
        <v>3.9</v>
      </c>
      <c r="H819" t="n">
        <v>0</v>
      </c>
      <c r="I819" t="n">
        <v>0</v>
      </c>
      <c r="J819" t="n">
        <v>0</v>
      </c>
      <c r="K819" t="n">
        <v>0</v>
      </c>
      <c r="L819" t="n">
        <v>0</v>
      </c>
      <c r="M819" t="n">
        <v>0</v>
      </c>
      <c r="N819" t="n">
        <v>0</v>
      </c>
      <c r="O819" t="n">
        <v>0</v>
      </c>
      <c r="P819" t="n">
        <v>0</v>
      </c>
      <c r="Q819" t="n">
        <v>0</v>
      </c>
      <c r="R819" s="2" t="inlineStr"/>
    </row>
    <row r="820" ht="15" customHeight="1">
      <c r="A820" t="inlineStr">
        <is>
          <t>A 36526-2023</t>
        </is>
      </c>
      <c r="B820" s="1" t="n">
        <v>45153.32778935185</v>
      </c>
      <c r="C820" s="1" t="n">
        <v>46011</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17988-2025</t>
        </is>
      </c>
      <c r="B821" s="1" t="n">
        <v>45761.39600694444</v>
      </c>
      <c r="C821" s="1" t="n">
        <v>46011</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29350-2023</t>
        </is>
      </c>
      <c r="B822" s="1" t="n">
        <v>45106</v>
      </c>
      <c r="C822" s="1" t="n">
        <v>46011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29351-2023</t>
        </is>
      </c>
      <c r="B823" s="1" t="n">
        <v>45106.2610300926</v>
      </c>
      <c r="C823" s="1" t="n">
        <v>46011</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6474-2025</t>
        </is>
      </c>
      <c r="B824" s="1" t="n">
        <v>45699.60055555555</v>
      </c>
      <c r="C824" s="1" t="n">
        <v>46011</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17-2025</t>
        </is>
      </c>
      <c r="B825" s="1" t="n">
        <v>45658.78774305555</v>
      </c>
      <c r="C825" s="1" t="n">
        <v>46011</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57555-2024</t>
        </is>
      </c>
      <c r="B826" s="1" t="n">
        <v>45630.45069444444</v>
      </c>
      <c r="C826" s="1" t="n">
        <v>46011</v>
      </c>
      <c r="D826" t="inlineStr">
        <is>
          <t>KALMAR LÄN</t>
        </is>
      </c>
      <c r="E826" t="inlineStr">
        <is>
          <t>VIMMERBY</t>
        </is>
      </c>
      <c r="G826" t="n">
        <v>1.1</v>
      </c>
      <c r="H826" t="n">
        <v>0</v>
      </c>
      <c r="I826" t="n">
        <v>0</v>
      </c>
      <c r="J826" t="n">
        <v>0</v>
      </c>
      <c r="K826" t="n">
        <v>0</v>
      </c>
      <c r="L826" t="n">
        <v>0</v>
      </c>
      <c r="M826" t="n">
        <v>0</v>
      </c>
      <c r="N826" t="n">
        <v>0</v>
      </c>
      <c r="O826" t="n">
        <v>0</v>
      </c>
      <c r="P826" t="n">
        <v>0</v>
      </c>
      <c r="Q826" t="n">
        <v>0</v>
      </c>
      <c r="R826" s="2" t="inlineStr"/>
    </row>
    <row r="827" ht="15" customHeight="1">
      <c r="A827" t="inlineStr">
        <is>
          <t>A 18411-2021</t>
        </is>
      </c>
      <c r="B827" s="1" t="n">
        <v>44302</v>
      </c>
      <c r="C827" s="1" t="n">
        <v>46011</v>
      </c>
      <c r="D827" t="inlineStr">
        <is>
          <t>KALMAR LÄN</t>
        </is>
      </c>
      <c r="E827" t="inlineStr">
        <is>
          <t>VIMMERBY</t>
        </is>
      </c>
      <c r="G827" t="n">
        <v>0.7</v>
      </c>
      <c r="H827" t="n">
        <v>0</v>
      </c>
      <c r="I827" t="n">
        <v>0</v>
      </c>
      <c r="J827" t="n">
        <v>0</v>
      </c>
      <c r="K827" t="n">
        <v>0</v>
      </c>
      <c r="L827" t="n">
        <v>0</v>
      </c>
      <c r="M827" t="n">
        <v>0</v>
      </c>
      <c r="N827" t="n">
        <v>0</v>
      </c>
      <c r="O827" t="n">
        <v>0</v>
      </c>
      <c r="P827" t="n">
        <v>0</v>
      </c>
      <c r="Q827" t="n">
        <v>0</v>
      </c>
      <c r="R827" s="2" t="inlineStr"/>
    </row>
    <row r="828" ht="15" customHeight="1">
      <c r="A828" t="inlineStr">
        <is>
          <t>A 52279-2023</t>
        </is>
      </c>
      <c r="B828" s="1" t="n">
        <v>45224</v>
      </c>
      <c r="C828" s="1" t="n">
        <v>46011</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52324-2023</t>
        </is>
      </c>
      <c r="B829" s="1" t="n">
        <v>45224.64659722222</v>
      </c>
      <c r="C829" s="1" t="n">
        <v>46011</v>
      </c>
      <c r="D829" t="inlineStr">
        <is>
          <t>KALMAR LÄN</t>
        </is>
      </c>
      <c r="E829" t="inlineStr">
        <is>
          <t>VIMMERBY</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32639-2023</t>
        </is>
      </c>
      <c r="B830" s="1" t="n">
        <v>45121.5965162037</v>
      </c>
      <c r="C830" s="1" t="n">
        <v>46011</v>
      </c>
      <c r="D830" t="inlineStr">
        <is>
          <t>KALMAR LÄN</t>
        </is>
      </c>
      <c r="E830" t="inlineStr">
        <is>
          <t>VIMMERBY</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32642-2023</t>
        </is>
      </c>
      <c r="B831" s="1" t="n">
        <v>45121.59954861111</v>
      </c>
      <c r="C831" s="1" t="n">
        <v>46011</v>
      </c>
      <c r="D831" t="inlineStr">
        <is>
          <t>KALMAR LÄN</t>
        </is>
      </c>
      <c r="E831" t="inlineStr">
        <is>
          <t>VIMMERBY</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32651-2023</t>
        </is>
      </c>
      <c r="B832" s="1" t="n">
        <v>45121.6096875</v>
      </c>
      <c r="C832" s="1" t="n">
        <v>46011</v>
      </c>
      <c r="D832" t="inlineStr">
        <is>
          <t>KALMAR LÄN</t>
        </is>
      </c>
      <c r="E832" t="inlineStr">
        <is>
          <t>VIMMERBY</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40730-2024</t>
        </is>
      </c>
      <c r="B833" s="1" t="n">
        <v>45558.44914351852</v>
      </c>
      <c r="C833" s="1" t="n">
        <v>46011</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9643-2023</t>
        </is>
      </c>
      <c r="B834" s="1" t="n">
        <v>44984</v>
      </c>
      <c r="C834" s="1" t="n">
        <v>46011</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56213-2024</t>
        </is>
      </c>
      <c r="B835" s="1" t="n">
        <v>45624.60141203704</v>
      </c>
      <c r="C835" s="1" t="n">
        <v>46011</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20126-2024</t>
        </is>
      </c>
      <c r="B836" s="1" t="n">
        <v>45434.55471064815</v>
      </c>
      <c r="C836" s="1" t="n">
        <v>46011</v>
      </c>
      <c r="D836" t="inlineStr">
        <is>
          <t>KALMAR LÄN</t>
        </is>
      </c>
      <c r="E836" t="inlineStr">
        <is>
          <t>VIMMERBY</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19865-2021</t>
        </is>
      </c>
      <c r="B837" s="1" t="n">
        <v>44312</v>
      </c>
      <c r="C837" s="1" t="n">
        <v>46011</v>
      </c>
      <c r="D837" t="inlineStr">
        <is>
          <t>KALMAR LÄN</t>
        </is>
      </c>
      <c r="E837" t="inlineStr">
        <is>
          <t>VIMMERBY</t>
        </is>
      </c>
      <c r="G837" t="n">
        <v>8.6</v>
      </c>
      <c r="H837" t="n">
        <v>0</v>
      </c>
      <c r="I837" t="n">
        <v>0</v>
      </c>
      <c r="J837" t="n">
        <v>0</v>
      </c>
      <c r="K837" t="n">
        <v>0</v>
      </c>
      <c r="L837" t="n">
        <v>0</v>
      </c>
      <c r="M837" t="n">
        <v>0</v>
      </c>
      <c r="N837" t="n">
        <v>0</v>
      </c>
      <c r="O837" t="n">
        <v>0</v>
      </c>
      <c r="P837" t="n">
        <v>0</v>
      </c>
      <c r="Q837" t="n">
        <v>0</v>
      </c>
      <c r="R837" s="2" t="inlineStr"/>
    </row>
    <row r="838" ht="15" customHeight="1">
      <c r="A838" t="inlineStr">
        <is>
          <t>A 9694-2023</t>
        </is>
      </c>
      <c r="B838" s="1" t="n">
        <v>44984.45895833334</v>
      </c>
      <c r="C838" s="1" t="n">
        <v>46011</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9710-2023</t>
        </is>
      </c>
      <c r="B839" s="1" t="n">
        <v>44984</v>
      </c>
      <c r="C839" s="1" t="n">
        <v>46011</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6216-2025</t>
        </is>
      </c>
      <c r="B840" s="1" t="n">
        <v>45698.52806712963</v>
      </c>
      <c r="C840" s="1" t="n">
        <v>46011</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7944-2024</t>
        </is>
      </c>
      <c r="B841" s="1" t="n">
        <v>45350.53306712963</v>
      </c>
      <c r="C841" s="1" t="n">
        <v>46011</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598-2025</t>
        </is>
      </c>
      <c r="B842" s="1" t="n">
        <v>45660</v>
      </c>
      <c r="C842" s="1" t="n">
        <v>46011</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10674-2021</t>
        </is>
      </c>
      <c r="B843" s="1" t="n">
        <v>44258</v>
      </c>
      <c r="C843" s="1" t="n">
        <v>46011</v>
      </c>
      <c r="D843" t="inlineStr">
        <is>
          <t>KALMAR LÄN</t>
        </is>
      </c>
      <c r="E843" t="inlineStr">
        <is>
          <t>VIMMERBY</t>
        </is>
      </c>
      <c r="G843" t="n">
        <v>8.4</v>
      </c>
      <c r="H843" t="n">
        <v>0</v>
      </c>
      <c r="I843" t="n">
        <v>0</v>
      </c>
      <c r="J843" t="n">
        <v>0</v>
      </c>
      <c r="K843" t="n">
        <v>0</v>
      </c>
      <c r="L843" t="n">
        <v>0</v>
      </c>
      <c r="M843" t="n">
        <v>0</v>
      </c>
      <c r="N843" t="n">
        <v>0</v>
      </c>
      <c r="O843" t="n">
        <v>0</v>
      </c>
      <c r="P843" t="n">
        <v>0</v>
      </c>
      <c r="Q843" t="n">
        <v>0</v>
      </c>
      <c r="R843" s="2" t="inlineStr"/>
    </row>
    <row r="844" ht="15" customHeight="1">
      <c r="A844" t="inlineStr">
        <is>
          <t>A 10807-2024</t>
        </is>
      </c>
      <c r="B844" s="1" t="n">
        <v>45369.62780092593</v>
      </c>
      <c r="C844" s="1" t="n">
        <v>46011</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40260-2024</t>
        </is>
      </c>
      <c r="B845" s="1" t="n">
        <v>45554.63225694445</v>
      </c>
      <c r="C845" s="1" t="n">
        <v>46011</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10787-2025</t>
        </is>
      </c>
      <c r="B846" s="1" t="n">
        <v>45722.48915509259</v>
      </c>
      <c r="C846" s="1" t="n">
        <v>46011</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58577-2024</t>
        </is>
      </c>
      <c r="B847" s="1" t="n">
        <v>45635.4874537037</v>
      </c>
      <c r="C847" s="1" t="n">
        <v>46011</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38198-2024</t>
        </is>
      </c>
      <c r="B848" s="1" t="n">
        <v>45545.49508101852</v>
      </c>
      <c r="C848" s="1" t="n">
        <v>46011</v>
      </c>
      <c r="D848" t="inlineStr">
        <is>
          <t>KALMAR LÄN</t>
        </is>
      </c>
      <c r="E848" t="inlineStr">
        <is>
          <t>VIMMERBY</t>
        </is>
      </c>
      <c r="G848" t="n">
        <v>7.9</v>
      </c>
      <c r="H848" t="n">
        <v>0</v>
      </c>
      <c r="I848" t="n">
        <v>0</v>
      </c>
      <c r="J848" t="n">
        <v>0</v>
      </c>
      <c r="K848" t="n">
        <v>0</v>
      </c>
      <c r="L848" t="n">
        <v>0</v>
      </c>
      <c r="M848" t="n">
        <v>0</v>
      </c>
      <c r="N848" t="n">
        <v>0</v>
      </c>
      <c r="O848" t="n">
        <v>0</v>
      </c>
      <c r="P848" t="n">
        <v>0</v>
      </c>
      <c r="Q848" t="n">
        <v>0</v>
      </c>
      <c r="R848" s="2" t="inlineStr"/>
    </row>
    <row r="849" ht="15" customHeight="1">
      <c r="A849" t="inlineStr">
        <is>
          <t>A 43617-2024</t>
        </is>
      </c>
      <c r="B849" s="1" t="n">
        <v>45569.47494212963</v>
      </c>
      <c r="C849" s="1" t="n">
        <v>46011</v>
      </c>
      <c r="D849" t="inlineStr">
        <is>
          <t>KALMAR LÄN</t>
        </is>
      </c>
      <c r="E849" t="inlineStr">
        <is>
          <t>VIMMERBY</t>
        </is>
      </c>
      <c r="G849" t="n">
        <v>2.7</v>
      </c>
      <c r="H849" t="n">
        <v>0</v>
      </c>
      <c r="I849" t="n">
        <v>0</v>
      </c>
      <c r="J849" t="n">
        <v>0</v>
      </c>
      <c r="K849" t="n">
        <v>0</v>
      </c>
      <c r="L849" t="n">
        <v>0</v>
      </c>
      <c r="M849" t="n">
        <v>0</v>
      </c>
      <c r="N849" t="n">
        <v>0</v>
      </c>
      <c r="O849" t="n">
        <v>0</v>
      </c>
      <c r="P849" t="n">
        <v>0</v>
      </c>
      <c r="Q849" t="n">
        <v>0</v>
      </c>
      <c r="R849" s="2" t="inlineStr"/>
    </row>
    <row r="850" ht="15" customHeight="1">
      <c r="A850" t="inlineStr">
        <is>
          <t>A 22264-2023</t>
        </is>
      </c>
      <c r="B850" s="1" t="n">
        <v>45070.3665625</v>
      </c>
      <c r="C850" s="1" t="n">
        <v>46011</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22266-2023</t>
        </is>
      </c>
      <c r="B851" s="1" t="n">
        <v>45070</v>
      </c>
      <c r="C851" s="1" t="n">
        <v>46011</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50091-2023</t>
        </is>
      </c>
      <c r="B852" s="1" t="n">
        <v>45215.60199074074</v>
      </c>
      <c r="C852" s="1" t="n">
        <v>46011</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10303-2025</t>
        </is>
      </c>
      <c r="B853" s="1" t="n">
        <v>45720.44217592593</v>
      </c>
      <c r="C853" s="1" t="n">
        <v>46011</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11027-2023</t>
        </is>
      </c>
      <c r="B854" s="1" t="n">
        <v>44991.89657407408</v>
      </c>
      <c r="C854" s="1" t="n">
        <v>46011</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11661-2023</t>
        </is>
      </c>
      <c r="B855" s="1" t="n">
        <v>44994.46908564815</v>
      </c>
      <c r="C855" s="1" t="n">
        <v>46011</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36155-2023</t>
        </is>
      </c>
      <c r="B856" s="1" t="n">
        <v>45149.60917824074</v>
      </c>
      <c r="C856" s="1" t="n">
        <v>46011</v>
      </c>
      <c r="D856" t="inlineStr">
        <is>
          <t>KALMAR LÄN</t>
        </is>
      </c>
      <c r="E856" t="inlineStr">
        <is>
          <t>VIMMERBY</t>
        </is>
      </c>
      <c r="G856" t="n">
        <v>5</v>
      </c>
      <c r="H856" t="n">
        <v>0</v>
      </c>
      <c r="I856" t="n">
        <v>0</v>
      </c>
      <c r="J856" t="n">
        <v>0</v>
      </c>
      <c r="K856" t="n">
        <v>0</v>
      </c>
      <c r="L856" t="n">
        <v>0</v>
      </c>
      <c r="M856" t="n">
        <v>0</v>
      </c>
      <c r="N856" t="n">
        <v>0</v>
      </c>
      <c r="O856" t="n">
        <v>0</v>
      </c>
      <c r="P856" t="n">
        <v>0</v>
      </c>
      <c r="Q856" t="n">
        <v>0</v>
      </c>
      <c r="R856" s="2" t="inlineStr"/>
    </row>
    <row r="857" ht="15" customHeight="1">
      <c r="A857" t="inlineStr">
        <is>
          <t>A 40147-2023</t>
        </is>
      </c>
      <c r="B857" s="1" t="n">
        <v>45169</v>
      </c>
      <c r="C857" s="1" t="n">
        <v>46011</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63950-2023</t>
        </is>
      </c>
      <c r="B858" s="1" t="n">
        <v>45278</v>
      </c>
      <c r="C858" s="1" t="n">
        <v>46011</v>
      </c>
      <c r="D858" t="inlineStr">
        <is>
          <t>KALMAR LÄN</t>
        </is>
      </c>
      <c r="E858" t="inlineStr">
        <is>
          <t>VIMMERBY</t>
        </is>
      </c>
      <c r="F858" t="inlineStr">
        <is>
          <t>Kyrkan</t>
        </is>
      </c>
      <c r="G858" t="n">
        <v>2.7</v>
      </c>
      <c r="H858" t="n">
        <v>0</v>
      </c>
      <c r="I858" t="n">
        <v>0</v>
      </c>
      <c r="J858" t="n">
        <v>0</v>
      </c>
      <c r="K858" t="n">
        <v>0</v>
      </c>
      <c r="L858" t="n">
        <v>0</v>
      </c>
      <c r="M858" t="n">
        <v>0</v>
      </c>
      <c r="N858" t="n">
        <v>0</v>
      </c>
      <c r="O858" t="n">
        <v>0</v>
      </c>
      <c r="P858" t="n">
        <v>0</v>
      </c>
      <c r="Q858" t="n">
        <v>0</v>
      </c>
      <c r="R858" s="2" t="inlineStr"/>
    </row>
    <row r="859" ht="15" customHeight="1">
      <c r="A859" t="inlineStr">
        <is>
          <t>A 24096-2024</t>
        </is>
      </c>
      <c r="B859" s="1" t="n">
        <v>45456.59289351852</v>
      </c>
      <c r="C859" s="1" t="n">
        <v>46011</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13015-2023</t>
        </is>
      </c>
      <c r="B860" s="1" t="n">
        <v>45002</v>
      </c>
      <c r="C860" s="1" t="n">
        <v>46011</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41199-2023</t>
        </is>
      </c>
      <c r="B861" s="1" t="n">
        <v>45174.40454861111</v>
      </c>
      <c r="C861" s="1" t="n">
        <v>46011</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36014-2024</t>
        </is>
      </c>
      <c r="B862" s="1" t="n">
        <v>45533.56108796296</v>
      </c>
      <c r="C862" s="1" t="n">
        <v>46011</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36030-2024</t>
        </is>
      </c>
      <c r="B863" s="1" t="n">
        <v>45533.58302083334</v>
      </c>
      <c r="C863" s="1" t="n">
        <v>46011</v>
      </c>
      <c r="D863" t="inlineStr">
        <is>
          <t>KALMAR LÄN</t>
        </is>
      </c>
      <c r="E863" t="inlineStr">
        <is>
          <t>VIMMERBY</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6321-2023</t>
        </is>
      </c>
      <c r="B864" s="1" t="n">
        <v>44965.4815162037</v>
      </c>
      <c r="C864" s="1" t="n">
        <v>46011</v>
      </c>
      <c r="D864" t="inlineStr">
        <is>
          <t>KALMAR LÄN</t>
        </is>
      </c>
      <c r="E864" t="inlineStr">
        <is>
          <t>VIMMERBY</t>
        </is>
      </c>
      <c r="G864" t="n">
        <v>1.8</v>
      </c>
      <c r="H864" t="n">
        <v>0</v>
      </c>
      <c r="I864" t="n">
        <v>0</v>
      </c>
      <c r="J864" t="n">
        <v>0</v>
      </c>
      <c r="K864" t="n">
        <v>0</v>
      </c>
      <c r="L864" t="n">
        <v>0</v>
      </c>
      <c r="M864" t="n">
        <v>0</v>
      </c>
      <c r="N864" t="n">
        <v>0</v>
      </c>
      <c r="O864" t="n">
        <v>0</v>
      </c>
      <c r="P864" t="n">
        <v>0</v>
      </c>
      <c r="Q864" t="n">
        <v>0</v>
      </c>
      <c r="R864" s="2" t="inlineStr"/>
    </row>
    <row r="865" ht="15" customHeight="1">
      <c r="A865" t="inlineStr">
        <is>
          <t>A 52755-2022</t>
        </is>
      </c>
      <c r="B865" s="1" t="n">
        <v>44875.27736111111</v>
      </c>
      <c r="C865" s="1" t="n">
        <v>46011</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40823-2023</t>
        </is>
      </c>
      <c r="B866" s="1" t="n">
        <v>45171.77335648148</v>
      </c>
      <c r="C866" s="1" t="n">
        <v>46011</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27761-2024</t>
        </is>
      </c>
      <c r="B867" s="1" t="n">
        <v>45475.49018518518</v>
      </c>
      <c r="C867" s="1" t="n">
        <v>46011</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46011</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64203-2021</t>
        </is>
      </c>
      <c r="B869" s="1" t="n">
        <v>44510.60921296296</v>
      </c>
      <c r="C869" s="1" t="n">
        <v>46011</v>
      </c>
      <c r="D869" t="inlineStr">
        <is>
          <t>KALMAR LÄN</t>
        </is>
      </c>
      <c r="E869" t="inlineStr">
        <is>
          <t>VIMMERBY</t>
        </is>
      </c>
      <c r="F869" t="inlineStr">
        <is>
          <t>Övriga Aktiebolag</t>
        </is>
      </c>
      <c r="G869" t="n">
        <v>5.4</v>
      </c>
      <c r="H869" t="n">
        <v>0</v>
      </c>
      <c r="I869" t="n">
        <v>0</v>
      </c>
      <c r="J869" t="n">
        <v>0</v>
      </c>
      <c r="K869" t="n">
        <v>0</v>
      </c>
      <c r="L869" t="n">
        <v>0</v>
      </c>
      <c r="M869" t="n">
        <v>0</v>
      </c>
      <c r="N869" t="n">
        <v>0</v>
      </c>
      <c r="O869" t="n">
        <v>0</v>
      </c>
      <c r="P869" t="n">
        <v>0</v>
      </c>
      <c r="Q869" t="n">
        <v>0</v>
      </c>
      <c r="R869" s="2" t="inlineStr"/>
    </row>
    <row r="870" ht="15" customHeight="1">
      <c r="A870" t="inlineStr">
        <is>
          <t>A 1016-2024</t>
        </is>
      </c>
      <c r="B870" s="1" t="n">
        <v>45301</v>
      </c>
      <c r="C870" s="1" t="n">
        <v>46011</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1024-2024</t>
        </is>
      </c>
      <c r="B871" s="1" t="n">
        <v>45301.68237268519</v>
      </c>
      <c r="C871" s="1" t="n">
        <v>46011</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27758-2024</t>
        </is>
      </c>
      <c r="B872" s="1" t="n">
        <v>45475.48303240741</v>
      </c>
      <c r="C872" s="1" t="n">
        <v>46011</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32865-2023</t>
        </is>
      </c>
      <c r="B873" s="1" t="n">
        <v>45124</v>
      </c>
      <c r="C873" s="1" t="n">
        <v>46011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22194-2024</t>
        </is>
      </c>
      <c r="B874" s="1" t="n">
        <v>45446.36482638889</v>
      </c>
      <c r="C874" s="1" t="n">
        <v>46011</v>
      </c>
      <c r="D874" t="inlineStr">
        <is>
          <t>KALMAR LÄN</t>
        </is>
      </c>
      <c r="E874" t="inlineStr">
        <is>
          <t>VIMMERBY</t>
        </is>
      </c>
      <c r="F874" t="inlineStr">
        <is>
          <t>Sveaskog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17926-2025</t>
        </is>
      </c>
      <c r="B875" s="1" t="n">
        <v>45759.38987268518</v>
      </c>
      <c r="C875" s="1" t="n">
        <v>46011</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35127-2024</t>
        </is>
      </c>
      <c r="B876" s="1" t="n">
        <v>45530.33202546297</v>
      </c>
      <c r="C876" s="1" t="n">
        <v>46011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33383-2023</t>
        </is>
      </c>
      <c r="B877" s="1" t="n">
        <v>45128.58414351852</v>
      </c>
      <c r="C877" s="1" t="n">
        <v>46011</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4297-2022</t>
        </is>
      </c>
      <c r="B878" s="1" t="n">
        <v>44588</v>
      </c>
      <c r="C878" s="1" t="n">
        <v>46011</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55716-2023</t>
        </is>
      </c>
      <c r="B879" s="1" t="n">
        <v>45232</v>
      </c>
      <c r="C879" s="1" t="n">
        <v>46011</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34386-2024</t>
        </is>
      </c>
      <c r="B880" s="1" t="n">
        <v>45525.41762731481</v>
      </c>
      <c r="C880" s="1" t="n">
        <v>46011</v>
      </c>
      <c r="D880" t="inlineStr">
        <is>
          <t>KALMAR LÄN</t>
        </is>
      </c>
      <c r="E880" t="inlineStr">
        <is>
          <t>VIMMERBY</t>
        </is>
      </c>
      <c r="G880" t="n">
        <v>0.3</v>
      </c>
      <c r="H880" t="n">
        <v>0</v>
      </c>
      <c r="I880" t="n">
        <v>0</v>
      </c>
      <c r="J880" t="n">
        <v>0</v>
      </c>
      <c r="K880" t="n">
        <v>0</v>
      </c>
      <c r="L880" t="n">
        <v>0</v>
      </c>
      <c r="M880" t="n">
        <v>0</v>
      </c>
      <c r="N880" t="n">
        <v>0</v>
      </c>
      <c r="O880" t="n">
        <v>0</v>
      </c>
      <c r="P880" t="n">
        <v>0</v>
      </c>
      <c r="Q880" t="n">
        <v>0</v>
      </c>
      <c r="R880" s="2" t="inlineStr"/>
    </row>
    <row r="881" ht="15" customHeight="1">
      <c r="A881" t="inlineStr">
        <is>
          <t>A 42429-2024</t>
        </is>
      </c>
      <c r="B881" s="1" t="n">
        <v>45565.40657407408</v>
      </c>
      <c r="C881" s="1" t="n">
        <v>46011</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11946-2025</t>
        </is>
      </c>
      <c r="B882" s="1" t="n">
        <v>45728.54832175926</v>
      </c>
      <c r="C882" s="1" t="n">
        <v>46011</v>
      </c>
      <c r="D882" t="inlineStr">
        <is>
          <t>KALMAR LÄN</t>
        </is>
      </c>
      <c r="E882" t="inlineStr">
        <is>
          <t>VIMMERBY</t>
        </is>
      </c>
      <c r="G882" t="n">
        <v>0.4</v>
      </c>
      <c r="H882" t="n">
        <v>0</v>
      </c>
      <c r="I882" t="n">
        <v>0</v>
      </c>
      <c r="J882" t="n">
        <v>0</v>
      </c>
      <c r="K882" t="n">
        <v>0</v>
      </c>
      <c r="L882" t="n">
        <v>0</v>
      </c>
      <c r="M882" t="n">
        <v>0</v>
      </c>
      <c r="N882" t="n">
        <v>0</v>
      </c>
      <c r="O882" t="n">
        <v>0</v>
      </c>
      <c r="P882" t="n">
        <v>0</v>
      </c>
      <c r="Q882" t="n">
        <v>0</v>
      </c>
      <c r="R882" s="2" t="inlineStr"/>
    </row>
    <row r="883" ht="15" customHeight="1">
      <c r="A883" t="inlineStr">
        <is>
          <t>A 59943-2023</t>
        </is>
      </c>
      <c r="B883" s="1" t="n">
        <v>45257.67958333333</v>
      </c>
      <c r="C883" s="1" t="n">
        <v>46011</v>
      </c>
      <c r="D883" t="inlineStr">
        <is>
          <t>KALMAR LÄN</t>
        </is>
      </c>
      <c r="E883" t="inlineStr">
        <is>
          <t>VIMMERBY</t>
        </is>
      </c>
      <c r="G883" t="n">
        <v>6.4</v>
      </c>
      <c r="H883" t="n">
        <v>0</v>
      </c>
      <c r="I883" t="n">
        <v>0</v>
      </c>
      <c r="J883" t="n">
        <v>0</v>
      </c>
      <c r="K883" t="n">
        <v>0</v>
      </c>
      <c r="L883" t="n">
        <v>0</v>
      </c>
      <c r="M883" t="n">
        <v>0</v>
      </c>
      <c r="N883" t="n">
        <v>0</v>
      </c>
      <c r="O883" t="n">
        <v>0</v>
      </c>
      <c r="P883" t="n">
        <v>0</v>
      </c>
      <c r="Q883" t="n">
        <v>0</v>
      </c>
      <c r="R883" s="2" t="inlineStr"/>
    </row>
    <row r="884" ht="15" customHeight="1">
      <c r="A884" t="inlineStr">
        <is>
          <t>A 15493-2023</t>
        </is>
      </c>
      <c r="B884" s="1" t="n">
        <v>45018</v>
      </c>
      <c r="C884" s="1" t="n">
        <v>46011</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51881-2024</t>
        </is>
      </c>
      <c r="B885" s="1" t="n">
        <v>45607.56773148148</v>
      </c>
      <c r="C885" s="1" t="n">
        <v>46011</v>
      </c>
      <c r="D885" t="inlineStr">
        <is>
          <t>KALMAR LÄN</t>
        </is>
      </c>
      <c r="E885" t="inlineStr">
        <is>
          <t>VIMMERBY</t>
        </is>
      </c>
      <c r="G885" t="n">
        <v>3.4</v>
      </c>
      <c r="H885" t="n">
        <v>0</v>
      </c>
      <c r="I885" t="n">
        <v>0</v>
      </c>
      <c r="J885" t="n">
        <v>0</v>
      </c>
      <c r="K885" t="n">
        <v>0</v>
      </c>
      <c r="L885" t="n">
        <v>0</v>
      </c>
      <c r="M885" t="n">
        <v>0</v>
      </c>
      <c r="N885" t="n">
        <v>0</v>
      </c>
      <c r="O885" t="n">
        <v>0</v>
      </c>
      <c r="P885" t="n">
        <v>0</v>
      </c>
      <c r="Q885" t="n">
        <v>0</v>
      </c>
      <c r="R885" s="2" t="inlineStr"/>
    </row>
    <row r="886" ht="15" customHeight="1">
      <c r="A886" t="inlineStr">
        <is>
          <t>A 1021-2024</t>
        </is>
      </c>
      <c r="B886" s="1" t="n">
        <v>45301.67736111111</v>
      </c>
      <c r="C886" s="1" t="n">
        <v>46011</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32569-2024</t>
        </is>
      </c>
      <c r="B887" s="1" t="n">
        <v>45513.55840277778</v>
      </c>
      <c r="C887" s="1" t="n">
        <v>46011</v>
      </c>
      <c r="D887" t="inlineStr">
        <is>
          <t>KALMAR LÄN</t>
        </is>
      </c>
      <c r="E887" t="inlineStr">
        <is>
          <t>VIMMERBY</t>
        </is>
      </c>
      <c r="G887" t="n">
        <v>3.7</v>
      </c>
      <c r="H887" t="n">
        <v>0</v>
      </c>
      <c r="I887" t="n">
        <v>0</v>
      </c>
      <c r="J887" t="n">
        <v>0</v>
      </c>
      <c r="K887" t="n">
        <v>0</v>
      </c>
      <c r="L887" t="n">
        <v>0</v>
      </c>
      <c r="M887" t="n">
        <v>0</v>
      </c>
      <c r="N887" t="n">
        <v>0</v>
      </c>
      <c r="O887" t="n">
        <v>0</v>
      </c>
      <c r="P887" t="n">
        <v>0</v>
      </c>
      <c r="Q887" t="n">
        <v>0</v>
      </c>
      <c r="R887" s="2" t="inlineStr"/>
    </row>
    <row r="888" ht="15" customHeight="1">
      <c r="A888" t="inlineStr">
        <is>
          <t>A 32575-2024</t>
        </is>
      </c>
      <c r="B888" s="1" t="n">
        <v>45513.56527777778</v>
      </c>
      <c r="C888" s="1" t="n">
        <v>46011</v>
      </c>
      <c r="D888" t="inlineStr">
        <is>
          <t>KALMAR LÄN</t>
        </is>
      </c>
      <c r="E888" t="inlineStr">
        <is>
          <t>VIMMERBY</t>
        </is>
      </c>
      <c r="G888" t="n">
        <v>1.5</v>
      </c>
      <c r="H888" t="n">
        <v>0</v>
      </c>
      <c r="I888" t="n">
        <v>0</v>
      </c>
      <c r="J888" t="n">
        <v>0</v>
      </c>
      <c r="K888" t="n">
        <v>0</v>
      </c>
      <c r="L888" t="n">
        <v>0</v>
      </c>
      <c r="M888" t="n">
        <v>0</v>
      </c>
      <c r="N888" t="n">
        <v>0</v>
      </c>
      <c r="O888" t="n">
        <v>0</v>
      </c>
      <c r="P888" t="n">
        <v>0</v>
      </c>
      <c r="Q888" t="n">
        <v>0</v>
      </c>
      <c r="R888" s="2" t="inlineStr"/>
    </row>
    <row r="889" ht="15" customHeight="1">
      <c r="A889" t="inlineStr">
        <is>
          <t>A 30063-2023</t>
        </is>
      </c>
      <c r="B889" s="1" t="n">
        <v>45110.4184375</v>
      </c>
      <c r="C889" s="1" t="n">
        <v>46011</v>
      </c>
      <c r="D889" t="inlineStr">
        <is>
          <t>KALMAR LÄN</t>
        </is>
      </c>
      <c r="E889" t="inlineStr">
        <is>
          <t>VIMMERBY</t>
        </is>
      </c>
      <c r="G889" t="n">
        <v>1.2</v>
      </c>
      <c r="H889" t="n">
        <v>0</v>
      </c>
      <c r="I889" t="n">
        <v>0</v>
      </c>
      <c r="J889" t="n">
        <v>0</v>
      </c>
      <c r="K889" t="n">
        <v>0</v>
      </c>
      <c r="L889" t="n">
        <v>0</v>
      </c>
      <c r="M889" t="n">
        <v>0</v>
      </c>
      <c r="N889" t="n">
        <v>0</v>
      </c>
      <c r="O889" t="n">
        <v>0</v>
      </c>
      <c r="P889" t="n">
        <v>0</v>
      </c>
      <c r="Q889" t="n">
        <v>0</v>
      </c>
      <c r="R889" s="2" t="inlineStr"/>
    </row>
    <row r="890" ht="15" customHeight="1">
      <c r="A890" t="inlineStr">
        <is>
          <t>A 17482-2024</t>
        </is>
      </c>
      <c r="B890" s="1" t="n">
        <v>45415.47848379629</v>
      </c>
      <c r="C890" s="1" t="n">
        <v>46011</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46011</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30406-2023</t>
        </is>
      </c>
      <c r="B892" s="1" t="n">
        <v>45111.48787037037</v>
      </c>
      <c r="C892" s="1" t="n">
        <v>46011</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46011</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46011</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46011</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46011</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46011</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11442-2025</t>
        </is>
      </c>
      <c r="B898" s="1" t="n">
        <v>45726.62721064815</v>
      </c>
      <c r="C898" s="1" t="n">
        <v>46011</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46011</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23394-2025</t>
        </is>
      </c>
      <c r="B900" s="1" t="n">
        <v>45791.89865740741</v>
      </c>
      <c r="C900" s="1" t="n">
        <v>46011</v>
      </c>
      <c r="D900" t="inlineStr">
        <is>
          <t>KALMAR LÄN</t>
        </is>
      </c>
      <c r="E900" t="inlineStr">
        <is>
          <t>VIMMERBY</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2025-12-20T14:08:19Z</dcterms:created>
  <dcterms:modified xmlns:dcterms="http://purl.org/dc/terms/" xmlns:xsi="http://www.w3.org/2001/XMLSchema-instance" xsi:type="dcterms:W3CDTF">2025-12-20T14:08:20Z</dcterms:modified>
</cp:coreProperties>
</file>