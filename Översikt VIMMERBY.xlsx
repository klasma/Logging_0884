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46163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46163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46163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46163</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46163</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46163</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46163</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46163</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46163</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46163</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46163</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46163</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46163</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46163</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46163</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46163</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46163</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46163</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46163</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46163</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46163</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14426-2026</t>
        </is>
      </c>
      <c r="B28" s="1" t="n">
        <v>46100.46956018519</v>
      </c>
      <c r="C28" s="1" t="n">
        <v>46163</v>
      </c>
      <c r="D28" t="inlineStr">
        <is>
          <t>KALMAR LÄN</t>
        </is>
      </c>
      <c r="E28" t="inlineStr">
        <is>
          <t>VIMMERBY</t>
        </is>
      </c>
      <c r="F28" t="inlineStr">
        <is>
          <t>Kyrkan</t>
        </is>
      </c>
      <c r="G28" t="n">
        <v>8.6</v>
      </c>
      <c r="H28" t="n">
        <v>1</v>
      </c>
      <c r="I28" t="n">
        <v>0</v>
      </c>
      <c r="J28" t="n">
        <v>1</v>
      </c>
      <c r="K28" t="n">
        <v>1</v>
      </c>
      <c r="L28" t="n">
        <v>0</v>
      </c>
      <c r="M28" t="n">
        <v>0</v>
      </c>
      <c r="N28" t="n">
        <v>0</v>
      </c>
      <c r="O28" t="n">
        <v>2</v>
      </c>
      <c r="P28" t="n">
        <v>1</v>
      </c>
      <c r="Q28" t="n">
        <v>2</v>
      </c>
      <c r="R28" s="2" t="inlineStr">
        <is>
          <t>Knärot
Tallticka</t>
        </is>
      </c>
      <c r="S28">
        <f>HYPERLINK("https://klasma.github.io/Logging_0884/artfynd/A 14426-2026 artfynd.xlsx", "A 14426-2026")</f>
        <v/>
      </c>
      <c r="T28">
        <f>HYPERLINK("https://klasma.github.io/Logging_0884/kartor/A 14426-2026 karta.png", "A 14426-2026")</f>
        <v/>
      </c>
      <c r="U28">
        <f>HYPERLINK("https://klasma.github.io/Logging_0884/knärot/A 14426-2026 karta knärot.png", "A 14426-2026")</f>
        <v/>
      </c>
      <c r="V28">
        <f>HYPERLINK("https://klasma.github.io/Logging_0884/klagomål/A 14426-2026 FSC-klagomål.docx", "A 14426-2026")</f>
        <v/>
      </c>
      <c r="W28">
        <f>HYPERLINK("https://klasma.github.io/Logging_0884/klagomålsmail/A 14426-2026 FSC-klagomål mail.docx", "A 14426-2026")</f>
        <v/>
      </c>
      <c r="X28">
        <f>HYPERLINK("https://klasma.github.io/Logging_0884/tillsyn/A 14426-2026 tillsynsbegäran.docx", "A 14426-2026")</f>
        <v/>
      </c>
      <c r="Y28">
        <f>HYPERLINK("https://klasma.github.io/Logging_0884/tillsynsmail/A 14426-2026 tillsynsbegäran mail.docx", "A 14426-2026")</f>
        <v/>
      </c>
    </row>
    <row r="29" ht="15" customHeight="1">
      <c r="A29" t="inlineStr">
        <is>
          <t>A 22825-2023</t>
        </is>
      </c>
      <c r="B29" s="1" t="n">
        <v>45072</v>
      </c>
      <c r="C29" s="1" t="n">
        <v>46163</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46163</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46163</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46163</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46163</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46163</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46163</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46163</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46163</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46163</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46163</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23602-2023</t>
        </is>
      </c>
      <c r="B40" s="1" t="n">
        <v>45077</v>
      </c>
      <c r="C40" s="1" t="n">
        <v>46163</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32985-2023</t>
        </is>
      </c>
      <c r="B41" s="1" t="n">
        <v>45125</v>
      </c>
      <c r="C41" s="1" t="n">
        <v>46163</v>
      </c>
      <c r="D41" t="inlineStr">
        <is>
          <t>KALMAR LÄN</t>
        </is>
      </c>
      <c r="E41" t="inlineStr">
        <is>
          <t>VIMMERBY</t>
        </is>
      </c>
      <c r="G41" t="n">
        <v>1.9</v>
      </c>
      <c r="H41" t="n">
        <v>0</v>
      </c>
      <c r="I41" t="n">
        <v>0</v>
      </c>
      <c r="J41" t="n">
        <v>0</v>
      </c>
      <c r="K41" t="n">
        <v>0</v>
      </c>
      <c r="L41" t="n">
        <v>1</v>
      </c>
      <c r="M41" t="n">
        <v>0</v>
      </c>
      <c r="N41" t="n">
        <v>0</v>
      </c>
      <c r="O41" t="n">
        <v>1</v>
      </c>
      <c r="P41" t="n">
        <v>1</v>
      </c>
      <c r="Q41" t="n">
        <v>1</v>
      </c>
      <c r="R41" s="2" t="inlineStr">
        <is>
          <t>Ryl</t>
        </is>
      </c>
      <c r="S41">
        <f>HYPERLINK("https://klasma.github.io/Logging_0884/artfynd/A 32985-2023 artfynd.xlsx", "A 32985-2023")</f>
        <v/>
      </c>
      <c r="T41">
        <f>HYPERLINK("https://klasma.github.io/Logging_0884/kartor/A 32985-2023 karta.png", "A 32985-2023")</f>
        <v/>
      </c>
      <c r="V41">
        <f>HYPERLINK("https://klasma.github.io/Logging_0884/klagomål/A 32985-2023 FSC-klagomål.docx", "A 32985-2023")</f>
        <v/>
      </c>
      <c r="W41">
        <f>HYPERLINK("https://klasma.github.io/Logging_0884/klagomålsmail/A 32985-2023 FSC-klagomål mail.docx", "A 32985-2023")</f>
        <v/>
      </c>
      <c r="X41">
        <f>HYPERLINK("https://klasma.github.io/Logging_0884/tillsyn/A 32985-2023 tillsynsbegäran.docx", "A 32985-2023")</f>
        <v/>
      </c>
      <c r="Y41">
        <f>HYPERLINK("https://klasma.github.io/Logging_0884/tillsynsmail/A 32985-2023 tillsynsbegäran mail.docx", "A 32985-2023")</f>
        <v/>
      </c>
    </row>
    <row r="42" ht="15" customHeight="1">
      <c r="A42" t="inlineStr">
        <is>
          <t>A 15122-2024</t>
        </is>
      </c>
      <c r="B42" s="1" t="n">
        <v>45399.71412037037</v>
      </c>
      <c r="C42" s="1" t="n">
        <v>46163</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53404-2025</t>
        </is>
      </c>
      <c r="B43" s="1" t="n">
        <v>45959.57126157408</v>
      </c>
      <c r="C43" s="1" t="n">
        <v>46163</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53400-2025</t>
        </is>
      </c>
      <c r="B44" s="1" t="n">
        <v>45959.56684027778</v>
      </c>
      <c r="C44" s="1" t="n">
        <v>46163</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55384-2025</t>
        </is>
      </c>
      <c r="B45" s="1" t="n">
        <v>45971.43178240741</v>
      </c>
      <c r="C45" s="1" t="n">
        <v>46163</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57062-2025</t>
        </is>
      </c>
      <c r="B46" s="1" t="n">
        <v>45979.37598379629</v>
      </c>
      <c r="C46" s="1" t="n">
        <v>46163</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61860-2024</t>
        </is>
      </c>
      <c r="B47" s="1" t="n">
        <v>45649</v>
      </c>
      <c r="C47" s="1" t="n">
        <v>46163</v>
      </c>
      <c r="D47" t="inlineStr">
        <is>
          <t>KALMAR LÄN</t>
        </is>
      </c>
      <c r="E47" t="inlineStr">
        <is>
          <t>VIMMERBY</t>
        </is>
      </c>
      <c r="G47" t="n">
        <v>4.4</v>
      </c>
      <c r="H47" t="n">
        <v>1</v>
      </c>
      <c r="I47" t="n">
        <v>0</v>
      </c>
      <c r="J47" t="n">
        <v>0</v>
      </c>
      <c r="K47" t="n">
        <v>1</v>
      </c>
      <c r="L47" t="n">
        <v>0</v>
      </c>
      <c r="M47" t="n">
        <v>0</v>
      </c>
      <c r="N47" t="n">
        <v>0</v>
      </c>
      <c r="O47" t="n">
        <v>1</v>
      </c>
      <c r="P47" t="n">
        <v>1</v>
      </c>
      <c r="Q47" t="n">
        <v>1</v>
      </c>
      <c r="R47" s="2" t="inlineStr">
        <is>
          <t>Knärot</t>
        </is>
      </c>
      <c r="S47">
        <f>HYPERLINK("https://klasma.github.io/Logging_0884/artfynd/A 61860-2024 artfynd.xlsx", "A 61860-2024")</f>
        <v/>
      </c>
      <c r="T47">
        <f>HYPERLINK("https://klasma.github.io/Logging_0884/kartor/A 61860-2024 karta.png", "A 61860-2024")</f>
        <v/>
      </c>
      <c r="U47">
        <f>HYPERLINK("https://klasma.github.io/Logging_0884/knärot/A 61860-2024 karta knärot.png", "A 61860-2024")</f>
        <v/>
      </c>
      <c r="V47">
        <f>HYPERLINK("https://klasma.github.io/Logging_0884/klagomål/A 61860-2024 FSC-klagomål.docx", "A 61860-2024")</f>
        <v/>
      </c>
      <c r="W47">
        <f>HYPERLINK("https://klasma.github.io/Logging_0884/klagomålsmail/A 61860-2024 FSC-klagomål mail.docx", "A 61860-2024")</f>
        <v/>
      </c>
      <c r="X47">
        <f>HYPERLINK("https://klasma.github.io/Logging_0884/tillsyn/A 61860-2024 tillsynsbegäran.docx", "A 61860-2024")</f>
        <v/>
      </c>
      <c r="Y47">
        <f>HYPERLINK("https://klasma.github.io/Logging_0884/tillsynsmail/A 61860-2024 tillsynsbegäran mail.docx", "A 61860-2024")</f>
        <v/>
      </c>
    </row>
    <row r="48" ht="15" customHeight="1">
      <c r="A48" t="inlineStr">
        <is>
          <t>A 37930-2021</t>
        </is>
      </c>
      <c r="B48" s="1" t="n">
        <v>44403</v>
      </c>
      <c r="C48" s="1" t="n">
        <v>46163</v>
      </c>
      <c r="D48" t="inlineStr">
        <is>
          <t>KALMAR LÄN</t>
        </is>
      </c>
      <c r="E48" t="inlineStr">
        <is>
          <t>VIMMERBY</t>
        </is>
      </c>
      <c r="G48" t="n">
        <v>4.4</v>
      </c>
      <c r="H48" t="n">
        <v>0</v>
      </c>
      <c r="I48" t="n">
        <v>0</v>
      </c>
      <c r="J48" t="n">
        <v>1</v>
      </c>
      <c r="K48" t="n">
        <v>0</v>
      </c>
      <c r="L48" t="n">
        <v>0</v>
      </c>
      <c r="M48" t="n">
        <v>0</v>
      </c>
      <c r="N48" t="n">
        <v>0</v>
      </c>
      <c r="O48" t="n">
        <v>1</v>
      </c>
      <c r="P48" t="n">
        <v>0</v>
      </c>
      <c r="Q48" t="n">
        <v>1</v>
      </c>
      <c r="R48" s="2" t="inlineStr">
        <is>
          <t>Spindelört</t>
        </is>
      </c>
      <c r="S48">
        <f>HYPERLINK("https://klasma.github.io/Logging_0884/artfynd/A 37930-2021 artfynd.xlsx", "A 37930-2021")</f>
        <v/>
      </c>
      <c r="T48">
        <f>HYPERLINK("https://klasma.github.io/Logging_0884/kartor/A 37930-2021 karta.png", "A 37930-2021")</f>
        <v/>
      </c>
      <c r="V48">
        <f>HYPERLINK("https://klasma.github.io/Logging_0884/klagomål/A 37930-2021 FSC-klagomål.docx", "A 37930-2021")</f>
        <v/>
      </c>
      <c r="W48">
        <f>HYPERLINK("https://klasma.github.io/Logging_0884/klagomålsmail/A 37930-2021 FSC-klagomål mail.docx", "A 37930-2021")</f>
        <v/>
      </c>
      <c r="X48">
        <f>HYPERLINK("https://klasma.github.io/Logging_0884/tillsyn/A 37930-2021 tillsynsbegäran.docx", "A 37930-2021")</f>
        <v/>
      </c>
      <c r="Y48">
        <f>HYPERLINK("https://klasma.github.io/Logging_0884/tillsynsmail/A 37930-2021 tillsynsbegäran mail.docx", "A 37930-2021")</f>
        <v/>
      </c>
    </row>
    <row r="49" ht="15" customHeight="1">
      <c r="A49" t="inlineStr">
        <is>
          <t>A 33436-2021</t>
        </is>
      </c>
      <c r="B49" s="1" t="n">
        <v>44377.61104166666</v>
      </c>
      <c r="C49" s="1" t="n">
        <v>46163</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44515-2024</t>
        </is>
      </c>
      <c r="B50" s="1" t="n">
        <v>45574.42767361111</v>
      </c>
      <c r="C50" s="1" t="n">
        <v>46163</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1201-2025</t>
        </is>
      </c>
      <c r="B51" s="1" t="n">
        <v>45667</v>
      </c>
      <c r="C51" s="1" t="n">
        <v>46163</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46163</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47205-2021</t>
        </is>
      </c>
      <c r="B53" s="1" t="n">
        <v>44447</v>
      </c>
      <c r="C53" s="1" t="n">
        <v>46163</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46163</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27100-2021</t>
        </is>
      </c>
      <c r="B55" s="1" t="n">
        <v>44350</v>
      </c>
      <c r="C55" s="1" t="n">
        <v>46163</v>
      </c>
      <c r="D55" t="inlineStr">
        <is>
          <t>KALMAR LÄN</t>
        </is>
      </c>
      <c r="E55" t="inlineStr">
        <is>
          <t>VIMMERBY</t>
        </is>
      </c>
      <c r="G55" t="n">
        <v>9.6</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46163</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46163</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46163</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46163</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46163</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46163</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46163</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46163</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46163</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46163</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46163</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46163</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46163</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46163</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50809-2022</t>
        </is>
      </c>
      <c r="B70" s="1" t="n">
        <v>44862</v>
      </c>
      <c r="C70" s="1" t="n">
        <v>46163</v>
      </c>
      <c r="D70" t="inlineStr">
        <is>
          <t>KALMAR LÄN</t>
        </is>
      </c>
      <c r="E70" t="inlineStr">
        <is>
          <t>VIMMERBY</t>
        </is>
      </c>
      <c r="G70" t="n">
        <v>3.7</v>
      </c>
      <c r="H70" t="n">
        <v>0</v>
      </c>
      <c r="I70" t="n">
        <v>0</v>
      </c>
      <c r="J70" t="n">
        <v>0</v>
      </c>
      <c r="K70" t="n">
        <v>0</v>
      </c>
      <c r="L70" t="n">
        <v>0</v>
      </c>
      <c r="M70" t="n">
        <v>0</v>
      </c>
      <c r="N70" t="n">
        <v>0</v>
      </c>
      <c r="O70" t="n">
        <v>0</v>
      </c>
      <c r="P70" t="n">
        <v>0</v>
      </c>
      <c r="Q70" t="n">
        <v>0</v>
      </c>
      <c r="R70" s="2" t="inlineStr"/>
    </row>
    <row r="71" ht="15" customHeight="1">
      <c r="A71" t="inlineStr">
        <is>
          <t>A 2183-2022</t>
        </is>
      </c>
      <c r="B71" s="1" t="n">
        <v>44578.47597222222</v>
      </c>
      <c r="C71" s="1" t="n">
        <v>46163</v>
      </c>
      <c r="D71" t="inlineStr">
        <is>
          <t>KALMAR LÄN</t>
        </is>
      </c>
      <c r="E71" t="inlineStr">
        <is>
          <t>VIMMERBY</t>
        </is>
      </c>
      <c r="G71" t="n">
        <v>4.8</v>
      </c>
      <c r="H71" t="n">
        <v>0</v>
      </c>
      <c r="I71" t="n">
        <v>0</v>
      </c>
      <c r="J71" t="n">
        <v>0</v>
      </c>
      <c r="K71" t="n">
        <v>0</v>
      </c>
      <c r="L71" t="n">
        <v>0</v>
      </c>
      <c r="M71" t="n">
        <v>0</v>
      </c>
      <c r="N71" t="n">
        <v>0</v>
      </c>
      <c r="O71" t="n">
        <v>0</v>
      </c>
      <c r="P71" t="n">
        <v>0</v>
      </c>
      <c r="Q71" t="n">
        <v>0</v>
      </c>
      <c r="R71" s="2" t="inlineStr"/>
    </row>
    <row r="72" ht="15" customHeight="1">
      <c r="A72" t="inlineStr">
        <is>
          <t>A 65670-2021</t>
        </is>
      </c>
      <c r="B72" s="1" t="n">
        <v>44516.59703703703</v>
      </c>
      <c r="C72" s="1" t="n">
        <v>46163</v>
      </c>
      <c r="D72" t="inlineStr">
        <is>
          <t>KALMAR LÄN</t>
        </is>
      </c>
      <c r="E72" t="inlineStr">
        <is>
          <t>VIMMERBY</t>
        </is>
      </c>
      <c r="G72" t="n">
        <v>1.9</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46163</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46163</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46163</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46163</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46163</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46163</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46163</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46163</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46163</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46163</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46163</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46163</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46163</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46163</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46163</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46163</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46163</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46163</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46163</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46163</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46163</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46163</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46163</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46163</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46163</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46163</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46163</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24369-2021</t>
        </is>
      </c>
      <c r="B100" s="1" t="n">
        <v>44337</v>
      </c>
      <c r="C100" s="1" t="n">
        <v>46163</v>
      </c>
      <c r="D100" t="inlineStr">
        <is>
          <t>KALMAR LÄN</t>
        </is>
      </c>
      <c r="E100" t="inlineStr">
        <is>
          <t>VIMMERBY</t>
        </is>
      </c>
      <c r="G100" t="n">
        <v>8.800000000000001</v>
      </c>
      <c r="H100" t="n">
        <v>0</v>
      </c>
      <c r="I100" t="n">
        <v>0</v>
      </c>
      <c r="J100" t="n">
        <v>0</v>
      </c>
      <c r="K100" t="n">
        <v>0</v>
      </c>
      <c r="L100" t="n">
        <v>0</v>
      </c>
      <c r="M100" t="n">
        <v>0</v>
      </c>
      <c r="N100" t="n">
        <v>0</v>
      </c>
      <c r="O100" t="n">
        <v>0</v>
      </c>
      <c r="P100" t="n">
        <v>0</v>
      </c>
      <c r="Q100" t="n">
        <v>0</v>
      </c>
      <c r="R100" s="2" t="inlineStr"/>
    </row>
    <row r="101" ht="15" customHeight="1">
      <c r="A101" t="inlineStr">
        <is>
          <t>A 51972-2021</t>
        </is>
      </c>
      <c r="B101" s="1" t="n">
        <v>44463.29439814815</v>
      </c>
      <c r="C101" s="1" t="n">
        <v>46163</v>
      </c>
      <c r="D101" t="inlineStr">
        <is>
          <t>KALMAR LÄN</t>
        </is>
      </c>
      <c r="E101" t="inlineStr">
        <is>
          <t>VIMMERBY</t>
        </is>
      </c>
      <c r="G101" t="n">
        <v>4.5</v>
      </c>
      <c r="H101" t="n">
        <v>0</v>
      </c>
      <c r="I101" t="n">
        <v>0</v>
      </c>
      <c r="J101" t="n">
        <v>0</v>
      </c>
      <c r="K101" t="n">
        <v>0</v>
      </c>
      <c r="L101" t="n">
        <v>0</v>
      </c>
      <c r="M101" t="n">
        <v>0</v>
      </c>
      <c r="N101" t="n">
        <v>0</v>
      </c>
      <c r="O101" t="n">
        <v>0</v>
      </c>
      <c r="P101" t="n">
        <v>0</v>
      </c>
      <c r="Q101" t="n">
        <v>0</v>
      </c>
      <c r="R101" s="2" t="inlineStr"/>
    </row>
    <row r="102" ht="15" customHeight="1">
      <c r="A102" t="inlineStr">
        <is>
          <t>A 56343-2021</t>
        </is>
      </c>
      <c r="B102" s="1" t="n">
        <v>44480</v>
      </c>
      <c r="C102" s="1" t="n">
        <v>46163</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4042-2022</t>
        </is>
      </c>
      <c r="B103" s="1" t="n">
        <v>44588</v>
      </c>
      <c r="C103" s="1" t="n">
        <v>46163</v>
      </c>
      <c r="D103" t="inlineStr">
        <is>
          <t>KALMAR LÄN</t>
        </is>
      </c>
      <c r="E103" t="inlineStr">
        <is>
          <t>VIMMERBY</t>
        </is>
      </c>
      <c r="G103" t="n">
        <v>4.7</v>
      </c>
      <c r="H103" t="n">
        <v>0</v>
      </c>
      <c r="I103" t="n">
        <v>0</v>
      </c>
      <c r="J103" t="n">
        <v>0</v>
      </c>
      <c r="K103" t="n">
        <v>0</v>
      </c>
      <c r="L103" t="n">
        <v>0</v>
      </c>
      <c r="M103" t="n">
        <v>0</v>
      </c>
      <c r="N103" t="n">
        <v>0</v>
      </c>
      <c r="O103" t="n">
        <v>0</v>
      </c>
      <c r="P103" t="n">
        <v>0</v>
      </c>
      <c r="Q103" t="n">
        <v>0</v>
      </c>
      <c r="R103" s="2" t="inlineStr"/>
    </row>
    <row r="104" ht="15" customHeight="1">
      <c r="A104" t="inlineStr">
        <is>
          <t>A 33690-2022</t>
        </is>
      </c>
      <c r="B104" s="1" t="n">
        <v>44789</v>
      </c>
      <c r="C104" s="1" t="n">
        <v>46163</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35198-2021</t>
        </is>
      </c>
      <c r="B105" s="1" t="n">
        <v>44377</v>
      </c>
      <c r="C105" s="1" t="n">
        <v>46163</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34036-2021</t>
        </is>
      </c>
      <c r="B106" s="1" t="n">
        <v>44379</v>
      </c>
      <c r="C106" s="1" t="n">
        <v>46163</v>
      </c>
      <c r="D106" t="inlineStr">
        <is>
          <t>KALMAR LÄN</t>
        </is>
      </c>
      <c r="E106" t="inlineStr">
        <is>
          <t>VIMMERBY</t>
        </is>
      </c>
      <c r="F106" t="inlineStr">
        <is>
          <t>Sveaskog</t>
        </is>
      </c>
      <c r="G106" t="n">
        <v>7</v>
      </c>
      <c r="H106" t="n">
        <v>0</v>
      </c>
      <c r="I106" t="n">
        <v>0</v>
      </c>
      <c r="J106" t="n">
        <v>0</v>
      </c>
      <c r="K106" t="n">
        <v>0</v>
      </c>
      <c r="L106" t="n">
        <v>0</v>
      </c>
      <c r="M106" t="n">
        <v>0</v>
      </c>
      <c r="N106" t="n">
        <v>0</v>
      </c>
      <c r="O106" t="n">
        <v>0</v>
      </c>
      <c r="P106" t="n">
        <v>0</v>
      </c>
      <c r="Q106" t="n">
        <v>0</v>
      </c>
      <c r="R106" s="2" t="inlineStr"/>
    </row>
    <row r="107" ht="15" customHeight="1">
      <c r="A107" t="inlineStr">
        <is>
          <t>A 63244-2021</t>
        </is>
      </c>
      <c r="B107" s="1" t="n">
        <v>44508</v>
      </c>
      <c r="C107" s="1" t="n">
        <v>46163</v>
      </c>
      <c r="D107" t="inlineStr">
        <is>
          <t>KALMAR LÄN</t>
        </is>
      </c>
      <c r="E107" t="inlineStr">
        <is>
          <t>VIMMERBY</t>
        </is>
      </c>
      <c r="F107" t="inlineStr">
        <is>
          <t>Övriga statliga verk och myndigheter</t>
        </is>
      </c>
      <c r="G107" t="n">
        <v>0.6</v>
      </c>
      <c r="H107" t="n">
        <v>0</v>
      </c>
      <c r="I107" t="n">
        <v>0</v>
      </c>
      <c r="J107" t="n">
        <v>0</v>
      </c>
      <c r="K107" t="n">
        <v>0</v>
      </c>
      <c r="L107" t="n">
        <v>0</v>
      </c>
      <c r="M107" t="n">
        <v>0</v>
      </c>
      <c r="N107" t="n">
        <v>0</v>
      </c>
      <c r="O107" t="n">
        <v>0</v>
      </c>
      <c r="P107" t="n">
        <v>0</v>
      </c>
      <c r="Q107" t="n">
        <v>0</v>
      </c>
      <c r="R107" s="2" t="inlineStr"/>
    </row>
    <row r="108" ht="15" customHeight="1">
      <c r="A108" t="inlineStr">
        <is>
          <t>A 11814-2022</t>
        </is>
      </c>
      <c r="B108" s="1" t="n">
        <v>44634.69703703704</v>
      </c>
      <c r="C108" s="1" t="n">
        <v>46163</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56385-2021</t>
        </is>
      </c>
      <c r="B109" s="1" t="n">
        <v>44480</v>
      </c>
      <c r="C109" s="1" t="n">
        <v>46163</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46163</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31053-2022</t>
        </is>
      </c>
      <c r="B111" s="1" t="n">
        <v>44769.45422453704</v>
      </c>
      <c r="C111" s="1" t="n">
        <v>46163</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8454-2022</t>
        </is>
      </c>
      <c r="B112" s="1" t="n">
        <v>44612.86762731482</v>
      </c>
      <c r="C112" s="1" t="n">
        <v>46163</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65887-2021</t>
        </is>
      </c>
      <c r="B113" s="1" t="n">
        <v>44517</v>
      </c>
      <c r="C113" s="1" t="n">
        <v>46163</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46163</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24999-2021</t>
        </is>
      </c>
      <c r="B115" s="1" t="n">
        <v>44341</v>
      </c>
      <c r="C115" s="1" t="n">
        <v>46163</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7917-2022</t>
        </is>
      </c>
      <c r="B116" s="1" t="n">
        <v>44608</v>
      </c>
      <c r="C116" s="1" t="n">
        <v>46163</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47208-2021</t>
        </is>
      </c>
      <c r="B117" s="1" t="n">
        <v>44447.34237268518</v>
      </c>
      <c r="C117" s="1" t="n">
        <v>46163</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56389-2021</t>
        </is>
      </c>
      <c r="B118" s="1" t="n">
        <v>44480</v>
      </c>
      <c r="C118" s="1" t="n">
        <v>46163</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67952-2021</t>
        </is>
      </c>
      <c r="B119" s="1" t="n">
        <v>44525.63913194444</v>
      </c>
      <c r="C119" s="1" t="n">
        <v>46163</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15533-2022</t>
        </is>
      </c>
      <c r="B120" s="1" t="n">
        <v>44662</v>
      </c>
      <c r="C120" s="1" t="n">
        <v>46163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165-2022</t>
        </is>
      </c>
      <c r="B121" s="1" t="n">
        <v>44564</v>
      </c>
      <c r="C121" s="1" t="n">
        <v>46163</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34040-2021</t>
        </is>
      </c>
      <c r="B122" s="1" t="n">
        <v>44379</v>
      </c>
      <c r="C122" s="1" t="n">
        <v>46163</v>
      </c>
      <c r="D122" t="inlineStr">
        <is>
          <t>KALMAR LÄN</t>
        </is>
      </c>
      <c r="E122" t="inlineStr">
        <is>
          <t>VIMMERBY</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12107-2022</t>
        </is>
      </c>
      <c r="B123" s="1" t="n">
        <v>44636</v>
      </c>
      <c r="C123" s="1" t="n">
        <v>46163</v>
      </c>
      <c r="D123" t="inlineStr">
        <is>
          <t>KALMAR LÄN</t>
        </is>
      </c>
      <c r="E123" t="inlineStr">
        <is>
          <t>VIMMERBY</t>
        </is>
      </c>
      <c r="G123" t="n">
        <v>1.8</v>
      </c>
      <c r="H123" t="n">
        <v>0</v>
      </c>
      <c r="I123" t="n">
        <v>0</v>
      </c>
      <c r="J123" t="n">
        <v>0</v>
      </c>
      <c r="K123" t="n">
        <v>0</v>
      </c>
      <c r="L123" t="n">
        <v>0</v>
      </c>
      <c r="M123" t="n">
        <v>0</v>
      </c>
      <c r="N123" t="n">
        <v>0</v>
      </c>
      <c r="O123" t="n">
        <v>0</v>
      </c>
      <c r="P123" t="n">
        <v>0</v>
      </c>
      <c r="Q123" t="n">
        <v>0</v>
      </c>
      <c r="R123" s="2" t="inlineStr"/>
    </row>
    <row r="124" ht="15" customHeight="1">
      <c r="A124" t="inlineStr">
        <is>
          <t>A 39225-2022</t>
        </is>
      </c>
      <c r="B124" s="1" t="n">
        <v>44817.57988425926</v>
      </c>
      <c r="C124" s="1" t="n">
        <v>46163</v>
      </c>
      <c r="D124" t="inlineStr">
        <is>
          <t>KALMAR LÄN</t>
        </is>
      </c>
      <c r="E124" t="inlineStr">
        <is>
          <t>VIMMERBY</t>
        </is>
      </c>
      <c r="G124" t="n">
        <v>2.2</v>
      </c>
      <c r="H124" t="n">
        <v>0</v>
      </c>
      <c r="I124" t="n">
        <v>0</v>
      </c>
      <c r="J124" t="n">
        <v>0</v>
      </c>
      <c r="K124" t="n">
        <v>0</v>
      </c>
      <c r="L124" t="n">
        <v>0</v>
      </c>
      <c r="M124" t="n">
        <v>0</v>
      </c>
      <c r="N124" t="n">
        <v>0</v>
      </c>
      <c r="O124" t="n">
        <v>0</v>
      </c>
      <c r="P124" t="n">
        <v>0</v>
      </c>
      <c r="Q124" t="n">
        <v>0</v>
      </c>
      <c r="R124" s="2" t="inlineStr"/>
    </row>
    <row r="125" ht="15" customHeight="1">
      <c r="A125" t="inlineStr">
        <is>
          <t>A 17029-2022</t>
        </is>
      </c>
      <c r="B125" s="1" t="n">
        <v>44676.85248842592</v>
      </c>
      <c r="C125" s="1" t="n">
        <v>46163</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7167-2022</t>
        </is>
      </c>
      <c r="B126" s="1" t="n">
        <v>44604</v>
      </c>
      <c r="C126" s="1" t="n">
        <v>46163</v>
      </c>
      <c r="D126" t="inlineStr">
        <is>
          <t>KALMAR LÄN</t>
        </is>
      </c>
      <c r="E126" t="inlineStr">
        <is>
          <t>VIMMERBY</t>
        </is>
      </c>
      <c r="G126" t="n">
        <v>1.7</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46163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46163</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46163</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47769-2022</t>
        </is>
      </c>
      <c r="B130" s="1" t="n">
        <v>44854</v>
      </c>
      <c r="C130" s="1" t="n">
        <v>46163</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48377-2021</t>
        </is>
      </c>
      <c r="B131" s="1" t="n">
        <v>44451.8375</v>
      </c>
      <c r="C131" s="1" t="n">
        <v>46163</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40472-2022</t>
        </is>
      </c>
      <c r="B132" s="1" t="n">
        <v>44823</v>
      </c>
      <c r="C132" s="1" t="n">
        <v>46163</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35316-2021</t>
        </is>
      </c>
      <c r="B133" s="1" t="n">
        <v>44384</v>
      </c>
      <c r="C133" s="1" t="n">
        <v>46163</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33831-2022</t>
        </is>
      </c>
      <c r="B134" s="1" t="n">
        <v>44790.48503472222</v>
      </c>
      <c r="C134" s="1" t="n">
        <v>46163</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47708-2022</t>
        </is>
      </c>
      <c r="B135" s="1" t="n">
        <v>44854.59157407407</v>
      </c>
      <c r="C135" s="1" t="n">
        <v>46163</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9918-2022</t>
        </is>
      </c>
      <c r="B136" s="1" t="n">
        <v>44620</v>
      </c>
      <c r="C136" s="1" t="n">
        <v>46163</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23825-2022</t>
        </is>
      </c>
      <c r="B137" s="1" t="n">
        <v>44722.48768518519</v>
      </c>
      <c r="C137" s="1" t="n">
        <v>46163</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47473-2021</t>
        </is>
      </c>
      <c r="B138" s="1" t="n">
        <v>44447</v>
      </c>
      <c r="C138" s="1" t="n">
        <v>46163</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41056-2022</t>
        </is>
      </c>
      <c r="B139" s="1" t="n">
        <v>44824</v>
      </c>
      <c r="C139" s="1" t="n">
        <v>46163</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31660-2021</t>
        </is>
      </c>
      <c r="B140" s="1" t="n">
        <v>44369</v>
      </c>
      <c r="C140" s="1" t="n">
        <v>46163</v>
      </c>
      <c r="D140" t="inlineStr">
        <is>
          <t>KALMAR LÄN</t>
        </is>
      </c>
      <c r="E140" t="inlineStr">
        <is>
          <t>VIMMERBY</t>
        </is>
      </c>
      <c r="G140" t="n">
        <v>4.2</v>
      </c>
      <c r="H140" t="n">
        <v>0</v>
      </c>
      <c r="I140" t="n">
        <v>0</v>
      </c>
      <c r="J140" t="n">
        <v>0</v>
      </c>
      <c r="K140" t="n">
        <v>0</v>
      </c>
      <c r="L140" t="n">
        <v>0</v>
      </c>
      <c r="M140" t="n">
        <v>0</v>
      </c>
      <c r="N140" t="n">
        <v>0</v>
      </c>
      <c r="O140" t="n">
        <v>0</v>
      </c>
      <c r="P140" t="n">
        <v>0</v>
      </c>
      <c r="Q140" t="n">
        <v>0</v>
      </c>
      <c r="R140" s="2" t="inlineStr"/>
    </row>
    <row r="141" ht="15" customHeight="1">
      <c r="A141" t="inlineStr">
        <is>
          <t>A 27455-2022</t>
        </is>
      </c>
      <c r="B141" s="1" t="n">
        <v>44742</v>
      </c>
      <c r="C141" s="1" t="n">
        <v>46163</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46163</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36117-2021</t>
        </is>
      </c>
      <c r="B143" s="1" t="n">
        <v>44386</v>
      </c>
      <c r="C143" s="1" t="n">
        <v>46163</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42521-2021</t>
        </is>
      </c>
      <c r="B144" s="1" t="n">
        <v>44427</v>
      </c>
      <c r="C144" s="1" t="n">
        <v>46163</v>
      </c>
      <c r="D144" t="inlineStr">
        <is>
          <t>KALMAR LÄN</t>
        </is>
      </c>
      <c r="E144" t="inlineStr">
        <is>
          <t>VIMMERBY</t>
        </is>
      </c>
      <c r="G144" t="n">
        <v>5.4</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44851.95016203704</v>
      </c>
      <c r="C145" s="1" t="n">
        <v>46163</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13180-2022</t>
        </is>
      </c>
      <c r="B146" s="1" t="n">
        <v>44644</v>
      </c>
      <c r="C146" s="1" t="n">
        <v>46163</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42850-2022</t>
        </is>
      </c>
      <c r="B147" s="1" t="n">
        <v>44832.67608796297</v>
      </c>
      <c r="C147" s="1" t="n">
        <v>46163</v>
      </c>
      <c r="D147" t="inlineStr">
        <is>
          <t>KALMAR LÄN</t>
        </is>
      </c>
      <c r="E147" t="inlineStr">
        <is>
          <t>VIMMERBY</t>
        </is>
      </c>
      <c r="G147" t="n">
        <v>5.9</v>
      </c>
      <c r="H147" t="n">
        <v>0</v>
      </c>
      <c r="I147" t="n">
        <v>0</v>
      </c>
      <c r="J147" t="n">
        <v>0</v>
      </c>
      <c r="K147" t="n">
        <v>0</v>
      </c>
      <c r="L147" t="n">
        <v>0</v>
      </c>
      <c r="M147" t="n">
        <v>0</v>
      </c>
      <c r="N147" t="n">
        <v>0</v>
      </c>
      <c r="O147" t="n">
        <v>0</v>
      </c>
      <c r="P147" t="n">
        <v>0</v>
      </c>
      <c r="Q147" t="n">
        <v>0</v>
      </c>
      <c r="R147" s="2" t="inlineStr"/>
    </row>
    <row r="148" ht="15" customHeight="1">
      <c r="A148" t="inlineStr">
        <is>
          <t>A 10086-2022</t>
        </is>
      </c>
      <c r="B148" s="1" t="n">
        <v>44621</v>
      </c>
      <c r="C148" s="1" t="n">
        <v>46163</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53145-2022</t>
        </is>
      </c>
      <c r="B149" s="1" t="n">
        <v>44876.48346064815</v>
      </c>
      <c r="C149" s="1" t="n">
        <v>46163</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25738-2022</t>
        </is>
      </c>
      <c r="B150" s="1" t="n">
        <v>44733.43092592592</v>
      </c>
      <c r="C150" s="1" t="n">
        <v>46163</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8194-2022</t>
        </is>
      </c>
      <c r="B151" s="1" t="n">
        <v>44609</v>
      </c>
      <c r="C151" s="1" t="n">
        <v>46163</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40971-2021</t>
        </is>
      </c>
      <c r="B152" s="1" t="n">
        <v>44421</v>
      </c>
      <c r="C152" s="1" t="n">
        <v>46163</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46163</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8453-2022</t>
        </is>
      </c>
      <c r="B154" s="1" t="n">
        <v>44612.86554398148</v>
      </c>
      <c r="C154" s="1" t="n">
        <v>46163</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31824-2022</t>
        </is>
      </c>
      <c r="B155" s="1" t="n">
        <v>44776</v>
      </c>
      <c r="C155" s="1" t="n">
        <v>46163</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52433-2021</t>
        </is>
      </c>
      <c r="B156" s="1" t="n">
        <v>44466.34726851852</v>
      </c>
      <c r="C156" s="1" t="n">
        <v>46163</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50621-2022</t>
        </is>
      </c>
      <c r="B157" s="1" t="n">
        <v>44866.81100694444</v>
      </c>
      <c r="C157" s="1" t="n">
        <v>46163</v>
      </c>
      <c r="D157" t="inlineStr">
        <is>
          <t>KALMAR LÄN</t>
        </is>
      </c>
      <c r="E157" t="inlineStr">
        <is>
          <t>VIMMERBY</t>
        </is>
      </c>
      <c r="F157" t="inlineStr">
        <is>
          <t>Övriga Aktiebolag</t>
        </is>
      </c>
      <c r="G157" t="n">
        <v>5.1</v>
      </c>
      <c r="H157" t="n">
        <v>0</v>
      </c>
      <c r="I157" t="n">
        <v>0</v>
      </c>
      <c r="J157" t="n">
        <v>0</v>
      </c>
      <c r="K157" t="n">
        <v>0</v>
      </c>
      <c r="L157" t="n">
        <v>0</v>
      </c>
      <c r="M157" t="n">
        <v>0</v>
      </c>
      <c r="N157" t="n">
        <v>0</v>
      </c>
      <c r="O157" t="n">
        <v>0</v>
      </c>
      <c r="P157" t="n">
        <v>0</v>
      </c>
      <c r="Q157" t="n">
        <v>0</v>
      </c>
      <c r="R157" s="2" t="inlineStr"/>
    </row>
    <row r="158" ht="15" customHeight="1">
      <c r="A158" t="inlineStr">
        <is>
          <t>A 11733-2022</t>
        </is>
      </c>
      <c r="B158" s="1" t="n">
        <v>44634</v>
      </c>
      <c r="C158" s="1" t="n">
        <v>46163</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46163</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39042-2022</t>
        </is>
      </c>
      <c r="B160" s="1" t="n">
        <v>44817</v>
      </c>
      <c r="C160" s="1" t="n">
        <v>46163</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16983-2023</t>
        </is>
      </c>
      <c r="B161" s="1" t="n">
        <v>45033.76043981482</v>
      </c>
      <c r="C161" s="1" t="n">
        <v>46163</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30402-2023</t>
        </is>
      </c>
      <c r="B162" s="1" t="n">
        <v>45111.48395833333</v>
      </c>
      <c r="C162" s="1" t="n">
        <v>46163</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46144-2023</t>
        </is>
      </c>
      <c r="B163" s="1" t="n">
        <v>45196.57247685185</v>
      </c>
      <c r="C163" s="1" t="n">
        <v>46163</v>
      </c>
      <c r="D163" t="inlineStr">
        <is>
          <t>KALMAR LÄN</t>
        </is>
      </c>
      <c r="E163" t="inlineStr">
        <is>
          <t>VIMMERBY</t>
        </is>
      </c>
      <c r="G163" t="n">
        <v>6.5</v>
      </c>
      <c r="H163" t="n">
        <v>0</v>
      </c>
      <c r="I163" t="n">
        <v>0</v>
      </c>
      <c r="J163" t="n">
        <v>0</v>
      </c>
      <c r="K163" t="n">
        <v>0</v>
      </c>
      <c r="L163" t="n">
        <v>0</v>
      </c>
      <c r="M163" t="n">
        <v>0</v>
      </c>
      <c r="N163" t="n">
        <v>0</v>
      </c>
      <c r="O163" t="n">
        <v>0</v>
      </c>
      <c r="P163" t="n">
        <v>0</v>
      </c>
      <c r="Q163" t="n">
        <v>0</v>
      </c>
      <c r="R163" s="2" t="inlineStr"/>
    </row>
    <row r="164" ht="15" customHeight="1">
      <c r="A164" t="inlineStr">
        <is>
          <t>A 56213-2024</t>
        </is>
      </c>
      <c r="B164" s="1" t="n">
        <v>45624.60141203704</v>
      </c>
      <c r="C164" s="1" t="n">
        <v>46163</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11609-2023</t>
        </is>
      </c>
      <c r="B165" s="1" t="n">
        <v>44994.40635416667</v>
      </c>
      <c r="C165" s="1" t="n">
        <v>46163</v>
      </c>
      <c r="D165" t="inlineStr">
        <is>
          <t>KALMAR LÄN</t>
        </is>
      </c>
      <c r="E165" t="inlineStr">
        <is>
          <t>VIMMERBY</t>
        </is>
      </c>
      <c r="G165" t="n">
        <v>4.9</v>
      </c>
      <c r="H165" t="n">
        <v>0</v>
      </c>
      <c r="I165" t="n">
        <v>0</v>
      </c>
      <c r="J165" t="n">
        <v>0</v>
      </c>
      <c r="K165" t="n">
        <v>0</v>
      </c>
      <c r="L165" t="n">
        <v>0</v>
      </c>
      <c r="M165" t="n">
        <v>0</v>
      </c>
      <c r="N165" t="n">
        <v>0</v>
      </c>
      <c r="O165" t="n">
        <v>0</v>
      </c>
      <c r="P165" t="n">
        <v>0</v>
      </c>
      <c r="Q165" t="n">
        <v>0</v>
      </c>
      <c r="R165" s="2" t="inlineStr"/>
    </row>
    <row r="166" ht="15" customHeight="1">
      <c r="A166" t="inlineStr">
        <is>
          <t>A 54409-2024</t>
        </is>
      </c>
      <c r="B166" s="1" t="n">
        <v>45617.47570601852</v>
      </c>
      <c r="C166" s="1" t="n">
        <v>46163</v>
      </c>
      <c r="D166" t="inlineStr">
        <is>
          <t>KALMAR LÄN</t>
        </is>
      </c>
      <c r="E166" t="inlineStr">
        <is>
          <t>VIMMERBY</t>
        </is>
      </c>
      <c r="G166" t="n">
        <v>4.3</v>
      </c>
      <c r="H166" t="n">
        <v>0</v>
      </c>
      <c r="I166" t="n">
        <v>0</v>
      </c>
      <c r="J166" t="n">
        <v>0</v>
      </c>
      <c r="K166" t="n">
        <v>0</v>
      </c>
      <c r="L166" t="n">
        <v>0</v>
      </c>
      <c r="M166" t="n">
        <v>0</v>
      </c>
      <c r="N166" t="n">
        <v>0</v>
      </c>
      <c r="O166" t="n">
        <v>0</v>
      </c>
      <c r="P166" t="n">
        <v>0</v>
      </c>
      <c r="Q166" t="n">
        <v>0</v>
      </c>
      <c r="R166" s="2" t="inlineStr"/>
    </row>
    <row r="167" ht="15" customHeight="1">
      <c r="A167" t="inlineStr">
        <is>
          <t>A 7643-2022</t>
        </is>
      </c>
      <c r="B167" s="1" t="n">
        <v>44607</v>
      </c>
      <c r="C167" s="1" t="n">
        <v>46163</v>
      </c>
      <c r="D167" t="inlineStr">
        <is>
          <t>KALMAR LÄN</t>
        </is>
      </c>
      <c r="E167" t="inlineStr">
        <is>
          <t>VIMMERBY</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4076-2022</t>
        </is>
      </c>
      <c r="B168" s="1" t="n">
        <v>44588.37998842593</v>
      </c>
      <c r="C168" s="1" t="n">
        <v>46163</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11027-2023</t>
        </is>
      </c>
      <c r="B169" s="1" t="n">
        <v>44991.89657407408</v>
      </c>
      <c r="C169" s="1" t="n">
        <v>46163</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16825-2024</t>
        </is>
      </c>
      <c r="B170" s="1" t="n">
        <v>45411.47335648148</v>
      </c>
      <c r="C170" s="1" t="n">
        <v>46163</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31382-2023</t>
        </is>
      </c>
      <c r="B171" s="1" t="n">
        <v>45114.55136574074</v>
      </c>
      <c r="C171" s="1" t="n">
        <v>46163</v>
      </c>
      <c r="D171" t="inlineStr">
        <is>
          <t>KALMAR LÄN</t>
        </is>
      </c>
      <c r="E171" t="inlineStr">
        <is>
          <t>VIMMERBY</t>
        </is>
      </c>
      <c r="G171" t="n">
        <v>3.7</v>
      </c>
      <c r="H171" t="n">
        <v>0</v>
      </c>
      <c r="I171" t="n">
        <v>0</v>
      </c>
      <c r="J171" t="n">
        <v>0</v>
      </c>
      <c r="K171" t="n">
        <v>0</v>
      </c>
      <c r="L171" t="n">
        <v>0</v>
      </c>
      <c r="M171" t="n">
        <v>0</v>
      </c>
      <c r="N171" t="n">
        <v>0</v>
      </c>
      <c r="O171" t="n">
        <v>0</v>
      </c>
      <c r="P171" t="n">
        <v>0</v>
      </c>
      <c r="Q171" t="n">
        <v>0</v>
      </c>
      <c r="R171" s="2" t="inlineStr"/>
    </row>
    <row r="172" ht="15" customHeight="1">
      <c r="A172" t="inlineStr">
        <is>
          <t>A 4122-2022</t>
        </is>
      </c>
      <c r="B172" s="1" t="n">
        <v>44588</v>
      </c>
      <c r="C172" s="1" t="n">
        <v>46163</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58962-2022</t>
        </is>
      </c>
      <c r="B173" s="1" t="n">
        <v>44903</v>
      </c>
      <c r="C173" s="1" t="n">
        <v>46163</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53483-2022</t>
        </is>
      </c>
      <c r="B174" s="1" t="n">
        <v>44879.55940972222</v>
      </c>
      <c r="C174" s="1" t="n">
        <v>46163</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18899-2025</t>
        </is>
      </c>
      <c r="B175" s="1" t="n">
        <v>45764.44931712963</v>
      </c>
      <c r="C175" s="1" t="n">
        <v>46163</v>
      </c>
      <c r="D175" t="inlineStr">
        <is>
          <t>KALMAR LÄN</t>
        </is>
      </c>
      <c r="E175" t="inlineStr">
        <is>
          <t>VIMMERBY</t>
        </is>
      </c>
      <c r="F175" t="inlineStr">
        <is>
          <t>Kommuner</t>
        </is>
      </c>
      <c r="G175" t="n">
        <v>4</v>
      </c>
      <c r="H175" t="n">
        <v>0</v>
      </c>
      <c r="I175" t="n">
        <v>0</v>
      </c>
      <c r="J175" t="n">
        <v>0</v>
      </c>
      <c r="K175" t="n">
        <v>0</v>
      </c>
      <c r="L175" t="n">
        <v>0</v>
      </c>
      <c r="M175" t="n">
        <v>0</v>
      </c>
      <c r="N175" t="n">
        <v>0</v>
      </c>
      <c r="O175" t="n">
        <v>0</v>
      </c>
      <c r="P175" t="n">
        <v>0</v>
      </c>
      <c r="Q175" t="n">
        <v>0</v>
      </c>
      <c r="R175" s="2" t="inlineStr"/>
    </row>
    <row r="176" ht="15" customHeight="1">
      <c r="A176" t="inlineStr">
        <is>
          <t>A 10837-2023</t>
        </is>
      </c>
      <c r="B176" s="1" t="n">
        <v>44991.30547453704</v>
      </c>
      <c r="C176" s="1" t="n">
        <v>46163</v>
      </c>
      <c r="D176" t="inlineStr">
        <is>
          <t>KALMAR LÄN</t>
        </is>
      </c>
      <c r="E176" t="inlineStr">
        <is>
          <t>VIMMERBY</t>
        </is>
      </c>
      <c r="G176" t="n">
        <v>7.3</v>
      </c>
      <c r="H176" t="n">
        <v>0</v>
      </c>
      <c r="I176" t="n">
        <v>0</v>
      </c>
      <c r="J176" t="n">
        <v>0</v>
      </c>
      <c r="K176" t="n">
        <v>0</v>
      </c>
      <c r="L176" t="n">
        <v>0</v>
      </c>
      <c r="M176" t="n">
        <v>0</v>
      </c>
      <c r="N176" t="n">
        <v>0</v>
      </c>
      <c r="O176" t="n">
        <v>0</v>
      </c>
      <c r="P176" t="n">
        <v>0</v>
      </c>
      <c r="Q176" t="n">
        <v>0</v>
      </c>
      <c r="R176" s="2" t="inlineStr"/>
    </row>
    <row r="177" ht="15" customHeight="1">
      <c r="A177" t="inlineStr">
        <is>
          <t>A 10838-2023</t>
        </is>
      </c>
      <c r="B177" s="1" t="n">
        <v>44991</v>
      </c>
      <c r="C177" s="1" t="n">
        <v>46163</v>
      </c>
      <c r="D177" t="inlineStr">
        <is>
          <t>KALMAR LÄN</t>
        </is>
      </c>
      <c r="E177" t="inlineStr">
        <is>
          <t>VIMMERBY</t>
        </is>
      </c>
      <c r="G177" t="n">
        <v>5.1</v>
      </c>
      <c r="H177" t="n">
        <v>0</v>
      </c>
      <c r="I177" t="n">
        <v>0</v>
      </c>
      <c r="J177" t="n">
        <v>0</v>
      </c>
      <c r="K177" t="n">
        <v>0</v>
      </c>
      <c r="L177" t="n">
        <v>0</v>
      </c>
      <c r="M177" t="n">
        <v>0</v>
      </c>
      <c r="N177" t="n">
        <v>0</v>
      </c>
      <c r="O177" t="n">
        <v>0</v>
      </c>
      <c r="P177" t="n">
        <v>0</v>
      </c>
      <c r="Q177" t="n">
        <v>0</v>
      </c>
      <c r="R177" s="2" t="inlineStr"/>
    </row>
    <row r="178" ht="15" customHeight="1">
      <c r="A178" t="inlineStr">
        <is>
          <t>A 20054-2023</t>
        </is>
      </c>
      <c r="B178" s="1" t="n">
        <v>45054.6750462963</v>
      </c>
      <c r="C178" s="1" t="n">
        <v>46163</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13290-2025</t>
        </is>
      </c>
      <c r="B179" s="1" t="n">
        <v>45735.56751157407</v>
      </c>
      <c r="C179" s="1" t="n">
        <v>46163</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19162-2023</t>
        </is>
      </c>
      <c r="B180" s="1" t="n">
        <v>45048.59699074074</v>
      </c>
      <c r="C180" s="1" t="n">
        <v>46163</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60951-2023</t>
        </is>
      </c>
      <c r="B181" s="1" t="n">
        <v>45261.44914351852</v>
      </c>
      <c r="C181" s="1" t="n">
        <v>46163</v>
      </c>
      <c r="D181" t="inlineStr">
        <is>
          <t>KALMAR LÄN</t>
        </is>
      </c>
      <c r="E181" t="inlineStr">
        <is>
          <t>VIMMERBY</t>
        </is>
      </c>
      <c r="G181" t="n">
        <v>4.3</v>
      </c>
      <c r="H181" t="n">
        <v>0</v>
      </c>
      <c r="I181" t="n">
        <v>0</v>
      </c>
      <c r="J181" t="n">
        <v>0</v>
      </c>
      <c r="K181" t="n">
        <v>0</v>
      </c>
      <c r="L181" t="n">
        <v>0</v>
      </c>
      <c r="M181" t="n">
        <v>0</v>
      </c>
      <c r="N181" t="n">
        <v>0</v>
      </c>
      <c r="O181" t="n">
        <v>0</v>
      </c>
      <c r="P181" t="n">
        <v>0</v>
      </c>
      <c r="Q181" t="n">
        <v>0</v>
      </c>
      <c r="R181" s="2" t="inlineStr"/>
    </row>
    <row r="182" ht="15" customHeight="1">
      <c r="A182" t="inlineStr">
        <is>
          <t>A 60292-2022</t>
        </is>
      </c>
      <c r="B182" s="1" t="n">
        <v>44910.54231481482</v>
      </c>
      <c r="C182" s="1" t="n">
        <v>46163</v>
      </c>
      <c r="D182" t="inlineStr">
        <is>
          <t>KALMAR LÄN</t>
        </is>
      </c>
      <c r="E182" t="inlineStr">
        <is>
          <t>VIMMERBY</t>
        </is>
      </c>
      <c r="G182" t="n">
        <v>4.4</v>
      </c>
      <c r="H182" t="n">
        <v>0</v>
      </c>
      <c r="I182" t="n">
        <v>0</v>
      </c>
      <c r="J182" t="n">
        <v>0</v>
      </c>
      <c r="K182" t="n">
        <v>0</v>
      </c>
      <c r="L182" t="n">
        <v>0</v>
      </c>
      <c r="M182" t="n">
        <v>0</v>
      </c>
      <c r="N182" t="n">
        <v>0</v>
      </c>
      <c r="O182" t="n">
        <v>0</v>
      </c>
      <c r="P182" t="n">
        <v>0</v>
      </c>
      <c r="Q182" t="n">
        <v>0</v>
      </c>
      <c r="R182" s="2" t="inlineStr"/>
    </row>
    <row r="183" ht="15" customHeight="1">
      <c r="A183" t="inlineStr">
        <is>
          <t>A 11946-2025</t>
        </is>
      </c>
      <c r="B183" s="1" t="n">
        <v>45728.54832175926</v>
      </c>
      <c r="C183" s="1" t="n">
        <v>46163</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19537-2022</t>
        </is>
      </c>
      <c r="B184" s="1" t="n">
        <v>44693.62822916666</v>
      </c>
      <c r="C184" s="1" t="n">
        <v>46163</v>
      </c>
      <c r="D184" t="inlineStr">
        <is>
          <t>KALMAR LÄN</t>
        </is>
      </c>
      <c r="E184" t="inlineStr">
        <is>
          <t>VIMMERBY</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9475-2023</t>
        </is>
      </c>
      <c r="B185" s="1" t="n">
        <v>44981.58834490741</v>
      </c>
      <c r="C185" s="1" t="n">
        <v>46163</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7485-2024</t>
        </is>
      </c>
      <c r="B186" s="1" t="n">
        <v>45346.67184027778</v>
      </c>
      <c r="C186" s="1" t="n">
        <v>46163</v>
      </c>
      <c r="D186" t="inlineStr">
        <is>
          <t>KALMAR LÄN</t>
        </is>
      </c>
      <c r="E186" t="inlineStr">
        <is>
          <t>VIMMERBY</t>
        </is>
      </c>
      <c r="G186" t="n">
        <v>1.9</v>
      </c>
      <c r="H186" t="n">
        <v>0</v>
      </c>
      <c r="I186" t="n">
        <v>0</v>
      </c>
      <c r="J186" t="n">
        <v>0</v>
      </c>
      <c r="K186" t="n">
        <v>0</v>
      </c>
      <c r="L186" t="n">
        <v>0</v>
      </c>
      <c r="M186" t="n">
        <v>0</v>
      </c>
      <c r="N186" t="n">
        <v>0</v>
      </c>
      <c r="O186" t="n">
        <v>0</v>
      </c>
      <c r="P186" t="n">
        <v>0</v>
      </c>
      <c r="Q186" t="n">
        <v>0</v>
      </c>
      <c r="R186" s="2" t="inlineStr"/>
    </row>
    <row r="187" ht="15" customHeight="1">
      <c r="A187" t="inlineStr">
        <is>
          <t>A 12590-2025</t>
        </is>
      </c>
      <c r="B187" s="1" t="n">
        <v>45732.79925925926</v>
      </c>
      <c r="C187" s="1" t="n">
        <v>46163</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35710-2023</t>
        </is>
      </c>
      <c r="B188" s="1" t="n">
        <v>45147.67096064815</v>
      </c>
      <c r="C188" s="1" t="n">
        <v>46163</v>
      </c>
      <c r="D188" t="inlineStr">
        <is>
          <t>KALMAR LÄN</t>
        </is>
      </c>
      <c r="E188" t="inlineStr">
        <is>
          <t>VIMMERBY</t>
        </is>
      </c>
      <c r="G188" t="n">
        <v>3.1</v>
      </c>
      <c r="H188" t="n">
        <v>0</v>
      </c>
      <c r="I188" t="n">
        <v>0</v>
      </c>
      <c r="J188" t="n">
        <v>0</v>
      </c>
      <c r="K188" t="n">
        <v>0</v>
      </c>
      <c r="L188" t="n">
        <v>0</v>
      </c>
      <c r="M188" t="n">
        <v>0</v>
      </c>
      <c r="N188" t="n">
        <v>0</v>
      </c>
      <c r="O188" t="n">
        <v>0</v>
      </c>
      <c r="P188" t="n">
        <v>0</v>
      </c>
      <c r="Q188" t="n">
        <v>0</v>
      </c>
      <c r="R188" s="2" t="inlineStr"/>
    </row>
    <row r="189" ht="15" customHeight="1">
      <c r="A189" t="inlineStr">
        <is>
          <t>A 52823-2024</t>
        </is>
      </c>
      <c r="B189" s="1" t="n">
        <v>45610.59094907407</v>
      </c>
      <c r="C189" s="1" t="n">
        <v>46163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11147-2023</t>
        </is>
      </c>
      <c r="B190" s="1" t="n">
        <v>44992</v>
      </c>
      <c r="C190" s="1" t="n">
        <v>46163</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23252-2024</t>
        </is>
      </c>
      <c r="B191" s="1" t="n">
        <v>45453.36067129629</v>
      </c>
      <c r="C191" s="1" t="n">
        <v>46163</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19833-2023</t>
        </is>
      </c>
      <c r="B192" s="1" t="n">
        <v>45052</v>
      </c>
      <c r="C192" s="1" t="n">
        <v>46163</v>
      </c>
      <c r="D192" t="inlineStr">
        <is>
          <t>KALMAR LÄN</t>
        </is>
      </c>
      <c r="E192" t="inlineStr">
        <is>
          <t>VIMMERBY</t>
        </is>
      </c>
      <c r="G192" t="n">
        <v>6.7</v>
      </c>
      <c r="H192" t="n">
        <v>0</v>
      </c>
      <c r="I192" t="n">
        <v>0</v>
      </c>
      <c r="J192" t="n">
        <v>0</v>
      </c>
      <c r="K192" t="n">
        <v>0</v>
      </c>
      <c r="L192" t="n">
        <v>0</v>
      </c>
      <c r="M192" t="n">
        <v>0</v>
      </c>
      <c r="N192" t="n">
        <v>0</v>
      </c>
      <c r="O192" t="n">
        <v>0</v>
      </c>
      <c r="P192" t="n">
        <v>0</v>
      </c>
      <c r="Q192" t="n">
        <v>0</v>
      </c>
      <c r="R192" s="2" t="inlineStr"/>
    </row>
    <row r="193" ht="15" customHeight="1">
      <c r="A193" t="inlineStr">
        <is>
          <t>A 14548-2024</t>
        </is>
      </c>
      <c r="B193" s="1" t="n">
        <v>45394.66887731481</v>
      </c>
      <c r="C193" s="1" t="n">
        <v>46163</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47855-2024</t>
        </is>
      </c>
      <c r="B194" s="1" t="n">
        <v>45588.66457175926</v>
      </c>
      <c r="C194" s="1" t="n">
        <v>46163</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585-2024</t>
        </is>
      </c>
      <c r="B195" s="1" t="n">
        <v>45299.62576388889</v>
      </c>
      <c r="C195" s="1" t="n">
        <v>46163</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15550-2023</t>
        </is>
      </c>
      <c r="B196" s="1" t="n">
        <v>45020</v>
      </c>
      <c r="C196" s="1" t="n">
        <v>46163</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56020-2024</t>
        </is>
      </c>
      <c r="B197" s="1" t="n">
        <v>45623.9525462963</v>
      </c>
      <c r="C197" s="1" t="n">
        <v>46163</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172-2022</t>
        </is>
      </c>
      <c r="B198" s="1" t="n">
        <v>44564.62598379629</v>
      </c>
      <c r="C198" s="1" t="n">
        <v>46163</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11219-2023</t>
        </is>
      </c>
      <c r="B199" s="1" t="n">
        <v>44992.62498842592</v>
      </c>
      <c r="C199" s="1" t="n">
        <v>46163</v>
      </c>
      <c r="D199" t="inlineStr">
        <is>
          <t>KALMAR LÄN</t>
        </is>
      </c>
      <c r="E199" t="inlineStr">
        <is>
          <t>VIMMERBY</t>
        </is>
      </c>
      <c r="G199" t="n">
        <v>2.5</v>
      </c>
      <c r="H199" t="n">
        <v>0</v>
      </c>
      <c r="I199" t="n">
        <v>0</v>
      </c>
      <c r="J199" t="n">
        <v>0</v>
      </c>
      <c r="K199" t="n">
        <v>0</v>
      </c>
      <c r="L199" t="n">
        <v>0</v>
      </c>
      <c r="M199" t="n">
        <v>0</v>
      </c>
      <c r="N199" t="n">
        <v>0</v>
      </c>
      <c r="O199" t="n">
        <v>0</v>
      </c>
      <c r="P199" t="n">
        <v>0</v>
      </c>
      <c r="Q199" t="n">
        <v>0</v>
      </c>
      <c r="R199" s="2" t="inlineStr"/>
    </row>
    <row r="200" ht="15" customHeight="1">
      <c r="A200" t="inlineStr">
        <is>
          <t>A 39584-2024</t>
        </is>
      </c>
      <c r="B200" s="1" t="n">
        <v>45552.36759259259</v>
      </c>
      <c r="C200" s="1" t="n">
        <v>46163</v>
      </c>
      <c r="D200" t="inlineStr">
        <is>
          <t>KALMAR LÄN</t>
        </is>
      </c>
      <c r="E200" t="inlineStr">
        <is>
          <t>VIMMERBY</t>
        </is>
      </c>
      <c r="G200" t="n">
        <v>1.9</v>
      </c>
      <c r="H200" t="n">
        <v>0</v>
      </c>
      <c r="I200" t="n">
        <v>0</v>
      </c>
      <c r="J200" t="n">
        <v>0</v>
      </c>
      <c r="K200" t="n">
        <v>0</v>
      </c>
      <c r="L200" t="n">
        <v>0</v>
      </c>
      <c r="M200" t="n">
        <v>0</v>
      </c>
      <c r="N200" t="n">
        <v>0</v>
      </c>
      <c r="O200" t="n">
        <v>0</v>
      </c>
      <c r="P200" t="n">
        <v>0</v>
      </c>
      <c r="Q200" t="n">
        <v>0</v>
      </c>
      <c r="R200" s="2" t="inlineStr"/>
    </row>
    <row r="201" ht="15" customHeight="1">
      <c r="A201" t="inlineStr">
        <is>
          <t>A 58374-2024</t>
        </is>
      </c>
      <c r="B201" s="1" t="n">
        <v>45632.72635416667</v>
      </c>
      <c r="C201" s="1" t="n">
        <v>46163</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51881-2024</t>
        </is>
      </c>
      <c r="B202" s="1" t="n">
        <v>45607.56773148148</v>
      </c>
      <c r="C202" s="1" t="n">
        <v>46163</v>
      </c>
      <c r="D202" t="inlineStr">
        <is>
          <t>KALMAR LÄN</t>
        </is>
      </c>
      <c r="E202" t="inlineStr">
        <is>
          <t>VIMMERBY</t>
        </is>
      </c>
      <c r="G202" t="n">
        <v>3.4</v>
      </c>
      <c r="H202" t="n">
        <v>0</v>
      </c>
      <c r="I202" t="n">
        <v>0</v>
      </c>
      <c r="J202" t="n">
        <v>0</v>
      </c>
      <c r="K202" t="n">
        <v>0</v>
      </c>
      <c r="L202" t="n">
        <v>0</v>
      </c>
      <c r="M202" t="n">
        <v>0</v>
      </c>
      <c r="N202" t="n">
        <v>0</v>
      </c>
      <c r="O202" t="n">
        <v>0</v>
      </c>
      <c r="P202" t="n">
        <v>0</v>
      </c>
      <c r="Q202" t="n">
        <v>0</v>
      </c>
      <c r="R202" s="2" t="inlineStr"/>
    </row>
    <row r="203" ht="15" customHeight="1">
      <c r="A203" t="inlineStr">
        <is>
          <t>A 16734-2023</t>
        </is>
      </c>
      <c r="B203" s="1" t="n">
        <v>45030.71012731481</v>
      </c>
      <c r="C203" s="1" t="n">
        <v>46163</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2596-2025</t>
        </is>
      </c>
      <c r="B204" s="1" t="n">
        <v>45674.71810185185</v>
      </c>
      <c r="C204" s="1" t="n">
        <v>46163</v>
      </c>
      <c r="D204" t="inlineStr">
        <is>
          <t>KALMAR LÄN</t>
        </is>
      </c>
      <c r="E204" t="inlineStr">
        <is>
          <t>VIMMERBY</t>
        </is>
      </c>
      <c r="G204" t="n">
        <v>9</v>
      </c>
      <c r="H204" t="n">
        <v>0</v>
      </c>
      <c r="I204" t="n">
        <v>0</v>
      </c>
      <c r="J204" t="n">
        <v>0</v>
      </c>
      <c r="K204" t="n">
        <v>0</v>
      </c>
      <c r="L204" t="n">
        <v>0</v>
      </c>
      <c r="M204" t="n">
        <v>0</v>
      </c>
      <c r="N204" t="n">
        <v>0</v>
      </c>
      <c r="O204" t="n">
        <v>0</v>
      </c>
      <c r="P204" t="n">
        <v>0</v>
      </c>
      <c r="Q204" t="n">
        <v>0</v>
      </c>
      <c r="R204" s="2" t="inlineStr"/>
    </row>
    <row r="205" ht="15" customHeight="1">
      <c r="A205" t="inlineStr">
        <is>
          <t>A 20129-2024</t>
        </is>
      </c>
      <c r="B205" s="1" t="n">
        <v>45434.55831018519</v>
      </c>
      <c r="C205" s="1" t="n">
        <v>46163</v>
      </c>
      <c r="D205" t="inlineStr">
        <is>
          <t>KALMAR LÄN</t>
        </is>
      </c>
      <c r="E205" t="inlineStr">
        <is>
          <t>VIMMERBY</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20137-2024</t>
        </is>
      </c>
      <c r="B206" s="1" t="n">
        <v>45434.56398148148</v>
      </c>
      <c r="C206" s="1" t="n">
        <v>46163</v>
      </c>
      <c r="D206" t="inlineStr">
        <is>
          <t>KALMAR LÄN</t>
        </is>
      </c>
      <c r="E206" t="inlineStr">
        <is>
          <t>VIMMERBY</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7456-2024</t>
        </is>
      </c>
      <c r="B207" s="1" t="n">
        <v>45345.83557870371</v>
      </c>
      <c r="C207" s="1" t="n">
        <v>46163</v>
      </c>
      <c r="D207" t="inlineStr">
        <is>
          <t>KALMAR LÄN</t>
        </is>
      </c>
      <c r="E207" t="inlineStr">
        <is>
          <t>VIMMERBY</t>
        </is>
      </c>
      <c r="G207" t="n">
        <v>4.1</v>
      </c>
      <c r="H207" t="n">
        <v>0</v>
      </c>
      <c r="I207" t="n">
        <v>0</v>
      </c>
      <c r="J207" t="n">
        <v>0</v>
      </c>
      <c r="K207" t="n">
        <v>0</v>
      </c>
      <c r="L207" t="n">
        <v>0</v>
      </c>
      <c r="M207" t="n">
        <v>0</v>
      </c>
      <c r="N207" t="n">
        <v>0</v>
      </c>
      <c r="O207" t="n">
        <v>0</v>
      </c>
      <c r="P207" t="n">
        <v>0</v>
      </c>
      <c r="Q207" t="n">
        <v>0</v>
      </c>
      <c r="R207" s="2" t="inlineStr"/>
    </row>
    <row r="208" ht="15" customHeight="1">
      <c r="A208" t="inlineStr">
        <is>
          <t>A 52324-2023</t>
        </is>
      </c>
      <c r="B208" s="1" t="n">
        <v>45224.64659722222</v>
      </c>
      <c r="C208" s="1" t="n">
        <v>46163</v>
      </c>
      <c r="D208" t="inlineStr">
        <is>
          <t>KALMAR LÄN</t>
        </is>
      </c>
      <c r="E208" t="inlineStr">
        <is>
          <t>VIMMERBY</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37028-2024</t>
        </is>
      </c>
      <c r="B209" s="1" t="n">
        <v>45539.38744212963</v>
      </c>
      <c r="C209" s="1" t="n">
        <v>46163</v>
      </c>
      <c r="D209" t="inlineStr">
        <is>
          <t>KALMAR LÄN</t>
        </is>
      </c>
      <c r="E209" t="inlineStr">
        <is>
          <t>VIMMERBY</t>
        </is>
      </c>
      <c r="G209" t="n">
        <v>5.2</v>
      </c>
      <c r="H209" t="n">
        <v>0</v>
      </c>
      <c r="I209" t="n">
        <v>0</v>
      </c>
      <c r="J209" t="n">
        <v>0</v>
      </c>
      <c r="K209" t="n">
        <v>0</v>
      </c>
      <c r="L209" t="n">
        <v>0</v>
      </c>
      <c r="M209" t="n">
        <v>0</v>
      </c>
      <c r="N209" t="n">
        <v>0</v>
      </c>
      <c r="O209" t="n">
        <v>0</v>
      </c>
      <c r="P209" t="n">
        <v>0</v>
      </c>
      <c r="Q209" t="n">
        <v>0</v>
      </c>
      <c r="R209" s="2" t="inlineStr"/>
    </row>
    <row r="210" ht="15" customHeight="1">
      <c r="A210" t="inlineStr">
        <is>
          <t>A 55236-2023</t>
        </is>
      </c>
      <c r="B210" s="1" t="n">
        <v>45237.63225694445</v>
      </c>
      <c r="C210" s="1" t="n">
        <v>46163</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55245-2023</t>
        </is>
      </c>
      <c r="B211" s="1" t="n">
        <v>45237.64408564815</v>
      </c>
      <c r="C211" s="1" t="n">
        <v>46163</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17988-2025</t>
        </is>
      </c>
      <c r="B212" s="1" t="n">
        <v>45761.39600694444</v>
      </c>
      <c r="C212" s="1" t="n">
        <v>46163</v>
      </c>
      <c r="D212" t="inlineStr">
        <is>
          <t>KALMAR LÄN</t>
        </is>
      </c>
      <c r="E212" t="inlineStr">
        <is>
          <t>VIMMERBY</t>
        </is>
      </c>
      <c r="G212" t="n">
        <v>2.8</v>
      </c>
      <c r="H212" t="n">
        <v>0</v>
      </c>
      <c r="I212" t="n">
        <v>0</v>
      </c>
      <c r="J212" t="n">
        <v>0</v>
      </c>
      <c r="K212" t="n">
        <v>0</v>
      </c>
      <c r="L212" t="n">
        <v>0</v>
      </c>
      <c r="M212" t="n">
        <v>0</v>
      </c>
      <c r="N212" t="n">
        <v>0</v>
      </c>
      <c r="O212" t="n">
        <v>0</v>
      </c>
      <c r="P212" t="n">
        <v>0</v>
      </c>
      <c r="Q212" t="n">
        <v>0</v>
      </c>
      <c r="R212" s="2" t="inlineStr"/>
    </row>
    <row r="213" ht="15" customHeight="1">
      <c r="A213" t="inlineStr">
        <is>
          <t>A 36055-2024</t>
        </is>
      </c>
      <c r="B213" s="1" t="n">
        <v>45533.63056712963</v>
      </c>
      <c r="C213" s="1" t="n">
        <v>46163</v>
      </c>
      <c r="D213" t="inlineStr">
        <is>
          <t>KALMAR LÄN</t>
        </is>
      </c>
      <c r="E213" t="inlineStr">
        <is>
          <t>VIMMERBY</t>
        </is>
      </c>
      <c r="F213" t="inlineStr">
        <is>
          <t>Kommuner</t>
        </is>
      </c>
      <c r="G213" t="n">
        <v>1.9</v>
      </c>
      <c r="H213" t="n">
        <v>0</v>
      </c>
      <c r="I213" t="n">
        <v>0</v>
      </c>
      <c r="J213" t="n">
        <v>0</v>
      </c>
      <c r="K213" t="n">
        <v>0</v>
      </c>
      <c r="L213" t="n">
        <v>0</v>
      </c>
      <c r="M213" t="n">
        <v>0</v>
      </c>
      <c r="N213" t="n">
        <v>0</v>
      </c>
      <c r="O213" t="n">
        <v>0</v>
      </c>
      <c r="P213" t="n">
        <v>0</v>
      </c>
      <c r="Q213" t="n">
        <v>0</v>
      </c>
      <c r="R213" s="2" t="inlineStr"/>
    </row>
    <row r="214" ht="15" customHeight="1">
      <c r="A214" t="inlineStr">
        <is>
          <t>A 23341-2022</t>
        </is>
      </c>
      <c r="B214" s="1" t="n">
        <v>44720.53898148148</v>
      </c>
      <c r="C214" s="1" t="n">
        <v>46163</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6668-2023</t>
        </is>
      </c>
      <c r="B215" s="1" t="n">
        <v>44966</v>
      </c>
      <c r="C215" s="1" t="n">
        <v>46163</v>
      </c>
      <c r="D215" t="inlineStr">
        <is>
          <t>KALMAR LÄN</t>
        </is>
      </c>
      <c r="E215" t="inlineStr">
        <is>
          <t>VIMMERBY</t>
        </is>
      </c>
      <c r="G215" t="n">
        <v>0.9</v>
      </c>
      <c r="H215" t="n">
        <v>0</v>
      </c>
      <c r="I215" t="n">
        <v>0</v>
      </c>
      <c r="J215" t="n">
        <v>0</v>
      </c>
      <c r="K215" t="n">
        <v>0</v>
      </c>
      <c r="L215" t="n">
        <v>0</v>
      </c>
      <c r="M215" t="n">
        <v>0</v>
      </c>
      <c r="N215" t="n">
        <v>0</v>
      </c>
      <c r="O215" t="n">
        <v>0</v>
      </c>
      <c r="P215" t="n">
        <v>0</v>
      </c>
      <c r="Q215" t="n">
        <v>0</v>
      </c>
      <c r="R215" s="2" t="inlineStr"/>
    </row>
    <row r="216" ht="15" customHeight="1">
      <c r="A216" t="inlineStr">
        <is>
          <t>A 29168-2024</t>
        </is>
      </c>
      <c r="B216" s="1" t="n">
        <v>45482.49870370371</v>
      </c>
      <c r="C216" s="1" t="n">
        <v>46163</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6321-2023</t>
        </is>
      </c>
      <c r="B217" s="1" t="n">
        <v>44965.4815162037</v>
      </c>
      <c r="C217" s="1" t="n">
        <v>46163</v>
      </c>
      <c r="D217" t="inlineStr">
        <is>
          <t>KALMAR LÄN</t>
        </is>
      </c>
      <c r="E217" t="inlineStr">
        <is>
          <t>VIMMERBY</t>
        </is>
      </c>
      <c r="G217" t="n">
        <v>1.8</v>
      </c>
      <c r="H217" t="n">
        <v>0</v>
      </c>
      <c r="I217" t="n">
        <v>0</v>
      </c>
      <c r="J217" t="n">
        <v>0</v>
      </c>
      <c r="K217" t="n">
        <v>0</v>
      </c>
      <c r="L217" t="n">
        <v>0</v>
      </c>
      <c r="M217" t="n">
        <v>0</v>
      </c>
      <c r="N217" t="n">
        <v>0</v>
      </c>
      <c r="O217" t="n">
        <v>0</v>
      </c>
      <c r="P217" t="n">
        <v>0</v>
      </c>
      <c r="Q217" t="n">
        <v>0</v>
      </c>
      <c r="R217" s="2" t="inlineStr"/>
    </row>
    <row r="218" ht="15" customHeight="1">
      <c r="A218" t="inlineStr">
        <is>
          <t>A 4624-2024</t>
        </is>
      </c>
      <c r="B218" s="1" t="n">
        <v>45328.38755787037</v>
      </c>
      <c r="C218" s="1" t="n">
        <v>46163</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46163</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845-2023</t>
        </is>
      </c>
      <c r="B220" s="1" t="n">
        <v>44931</v>
      </c>
      <c r="C220" s="1" t="n">
        <v>46163</v>
      </c>
      <c r="D220" t="inlineStr">
        <is>
          <t>KALMAR LÄN</t>
        </is>
      </c>
      <c r="E220" t="inlineStr">
        <is>
          <t>VIMMERBY</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40730-2024</t>
        </is>
      </c>
      <c r="B221" s="1" t="n">
        <v>45558.44914351852</v>
      </c>
      <c r="C221" s="1" t="n">
        <v>46163</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59598-2023</t>
        </is>
      </c>
      <c r="B222" s="1" t="n">
        <v>45254.62489583333</v>
      </c>
      <c r="C222" s="1" t="n">
        <v>46163</v>
      </c>
      <c r="D222" t="inlineStr">
        <is>
          <t>KALMAR LÄN</t>
        </is>
      </c>
      <c r="E222" t="inlineStr">
        <is>
          <t>VIMMERBY</t>
        </is>
      </c>
      <c r="F222" t="inlineStr">
        <is>
          <t>Övriga Aktiebolag</t>
        </is>
      </c>
      <c r="G222" t="n">
        <v>4</v>
      </c>
      <c r="H222" t="n">
        <v>0</v>
      </c>
      <c r="I222" t="n">
        <v>0</v>
      </c>
      <c r="J222" t="n">
        <v>0</v>
      </c>
      <c r="K222" t="n">
        <v>0</v>
      </c>
      <c r="L222" t="n">
        <v>0</v>
      </c>
      <c r="M222" t="n">
        <v>0</v>
      </c>
      <c r="N222" t="n">
        <v>0</v>
      </c>
      <c r="O222" t="n">
        <v>0</v>
      </c>
      <c r="P222" t="n">
        <v>0</v>
      </c>
      <c r="Q222" t="n">
        <v>0</v>
      </c>
      <c r="R222" s="2" t="inlineStr"/>
    </row>
    <row r="223" ht="15" customHeight="1">
      <c r="A223" t="inlineStr">
        <is>
          <t>A 2157-2024</t>
        </is>
      </c>
      <c r="B223" s="1" t="n">
        <v>45309.59487268519</v>
      </c>
      <c r="C223" s="1" t="n">
        <v>46163</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7944-2024</t>
        </is>
      </c>
      <c r="B224" s="1" t="n">
        <v>45350.53306712963</v>
      </c>
      <c r="C224" s="1" t="n">
        <v>46163</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21496-2023</t>
        </is>
      </c>
      <c r="B225" s="1" t="n">
        <v>45063.49936342592</v>
      </c>
      <c r="C225" s="1" t="n">
        <v>46163</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49461-2022</t>
        </is>
      </c>
      <c r="B226" s="1" t="n">
        <v>44861</v>
      </c>
      <c r="C226" s="1" t="n">
        <v>46163</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694-2024</t>
        </is>
      </c>
      <c r="B227" s="1" t="n">
        <v>45300.3794212963</v>
      </c>
      <c r="C227" s="1" t="n">
        <v>46163</v>
      </c>
      <c r="D227" t="inlineStr">
        <is>
          <t>KALMAR LÄN</t>
        </is>
      </c>
      <c r="E227" t="inlineStr">
        <is>
          <t>VIMMERBY</t>
        </is>
      </c>
      <c r="G227" t="n">
        <v>1.4</v>
      </c>
      <c r="H227" t="n">
        <v>0</v>
      </c>
      <c r="I227" t="n">
        <v>0</v>
      </c>
      <c r="J227" t="n">
        <v>0</v>
      </c>
      <c r="K227" t="n">
        <v>0</v>
      </c>
      <c r="L227" t="n">
        <v>0</v>
      </c>
      <c r="M227" t="n">
        <v>0</v>
      </c>
      <c r="N227" t="n">
        <v>0</v>
      </c>
      <c r="O227" t="n">
        <v>0</v>
      </c>
      <c r="P227" t="n">
        <v>0</v>
      </c>
      <c r="Q227" t="n">
        <v>0</v>
      </c>
      <c r="R227" s="2" t="inlineStr"/>
    </row>
    <row r="228" ht="15" customHeight="1">
      <c r="A228" t="inlineStr">
        <is>
          <t>A 29783-2024</t>
        </is>
      </c>
      <c r="B228" s="1" t="n">
        <v>45485.45778935185</v>
      </c>
      <c r="C228" s="1" t="n">
        <v>46163</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35198-2023</t>
        </is>
      </c>
      <c r="B229" s="1" t="n">
        <v>45145</v>
      </c>
      <c r="C229" s="1" t="n">
        <v>46163</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38757-2023</t>
        </is>
      </c>
      <c r="B230" s="1" t="n">
        <v>45163.41376157408</v>
      </c>
      <c r="C230" s="1" t="n">
        <v>46163</v>
      </c>
      <c r="D230" t="inlineStr">
        <is>
          <t>KALMAR LÄN</t>
        </is>
      </c>
      <c r="E230" t="inlineStr">
        <is>
          <t>VIMMERBY</t>
        </is>
      </c>
      <c r="G230" t="n">
        <v>2.5</v>
      </c>
      <c r="H230" t="n">
        <v>0</v>
      </c>
      <c r="I230" t="n">
        <v>0</v>
      </c>
      <c r="J230" t="n">
        <v>0</v>
      </c>
      <c r="K230" t="n">
        <v>0</v>
      </c>
      <c r="L230" t="n">
        <v>0</v>
      </c>
      <c r="M230" t="n">
        <v>0</v>
      </c>
      <c r="N230" t="n">
        <v>0</v>
      </c>
      <c r="O230" t="n">
        <v>0</v>
      </c>
      <c r="P230" t="n">
        <v>0</v>
      </c>
      <c r="Q230" t="n">
        <v>0</v>
      </c>
      <c r="R230" s="2" t="inlineStr"/>
    </row>
    <row r="231" ht="15" customHeight="1">
      <c r="A231" t="inlineStr">
        <is>
          <t>A 43853-2023</t>
        </is>
      </c>
      <c r="B231" s="1" t="n">
        <v>45187.60813657408</v>
      </c>
      <c r="C231" s="1" t="n">
        <v>46163</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9511-2023</t>
        </is>
      </c>
      <c r="B232" s="1" t="n">
        <v>44981.64725694444</v>
      </c>
      <c r="C232" s="1" t="n">
        <v>46163</v>
      </c>
      <c r="D232" t="inlineStr">
        <is>
          <t>KALMAR LÄN</t>
        </is>
      </c>
      <c r="E232" t="inlineStr">
        <is>
          <t>VIMMERBY</t>
        </is>
      </c>
      <c r="G232" t="n">
        <v>3.5</v>
      </c>
      <c r="H232" t="n">
        <v>0</v>
      </c>
      <c r="I232" t="n">
        <v>0</v>
      </c>
      <c r="J232" t="n">
        <v>0</v>
      </c>
      <c r="K232" t="n">
        <v>0</v>
      </c>
      <c r="L232" t="n">
        <v>0</v>
      </c>
      <c r="M232" t="n">
        <v>0</v>
      </c>
      <c r="N232" t="n">
        <v>0</v>
      </c>
      <c r="O232" t="n">
        <v>0</v>
      </c>
      <c r="P232" t="n">
        <v>0</v>
      </c>
      <c r="Q232" t="n">
        <v>0</v>
      </c>
      <c r="R232" s="2" t="inlineStr"/>
    </row>
    <row r="233" ht="15" customHeight="1">
      <c r="A233" t="inlineStr">
        <is>
          <t>A 29973-2023</t>
        </is>
      </c>
      <c r="B233" s="1" t="n">
        <v>45108.703125</v>
      </c>
      <c r="C233" s="1" t="n">
        <v>46163</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50648-2023</t>
        </is>
      </c>
      <c r="B234" s="1" t="n">
        <v>45217.47834490741</v>
      </c>
      <c r="C234" s="1" t="n">
        <v>46163</v>
      </c>
      <c r="D234" t="inlineStr">
        <is>
          <t>KALMAR LÄN</t>
        </is>
      </c>
      <c r="E234" t="inlineStr">
        <is>
          <t>VIMMERBY</t>
        </is>
      </c>
      <c r="G234" t="n">
        <v>1.6</v>
      </c>
      <c r="H234" t="n">
        <v>0</v>
      </c>
      <c r="I234" t="n">
        <v>0</v>
      </c>
      <c r="J234" t="n">
        <v>0</v>
      </c>
      <c r="K234" t="n">
        <v>0</v>
      </c>
      <c r="L234" t="n">
        <v>0</v>
      </c>
      <c r="M234" t="n">
        <v>0</v>
      </c>
      <c r="N234" t="n">
        <v>0</v>
      </c>
      <c r="O234" t="n">
        <v>0</v>
      </c>
      <c r="P234" t="n">
        <v>0</v>
      </c>
      <c r="Q234" t="n">
        <v>0</v>
      </c>
      <c r="R234" s="2" t="inlineStr"/>
    </row>
    <row r="235" ht="15" customHeight="1">
      <c r="A235" t="inlineStr">
        <is>
          <t>A 64143-2021</t>
        </is>
      </c>
      <c r="B235" s="1" t="n">
        <v>44510.52157407408</v>
      </c>
      <c r="C235" s="1" t="n">
        <v>46163</v>
      </c>
      <c r="D235" t="inlineStr">
        <is>
          <t>KALMAR LÄN</t>
        </is>
      </c>
      <c r="E235" t="inlineStr">
        <is>
          <t>VIMMERBY</t>
        </is>
      </c>
      <c r="G235" t="n">
        <v>1.6</v>
      </c>
      <c r="H235" t="n">
        <v>0</v>
      </c>
      <c r="I235" t="n">
        <v>0</v>
      </c>
      <c r="J235" t="n">
        <v>0</v>
      </c>
      <c r="K235" t="n">
        <v>0</v>
      </c>
      <c r="L235" t="n">
        <v>0</v>
      </c>
      <c r="M235" t="n">
        <v>0</v>
      </c>
      <c r="N235" t="n">
        <v>0</v>
      </c>
      <c r="O235" t="n">
        <v>0</v>
      </c>
      <c r="P235" t="n">
        <v>0</v>
      </c>
      <c r="Q235" t="n">
        <v>0</v>
      </c>
      <c r="R235" s="2" t="inlineStr"/>
    </row>
    <row r="236" ht="15" customHeight="1">
      <c r="A236" t="inlineStr">
        <is>
          <t>A 529-2022</t>
        </is>
      </c>
      <c r="B236" s="1" t="n">
        <v>44566</v>
      </c>
      <c r="C236" s="1" t="n">
        <v>46163</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58318-2021</t>
        </is>
      </c>
      <c r="B237" s="1" t="n">
        <v>44488.35878472222</v>
      </c>
      <c r="C237" s="1" t="n">
        <v>46163</v>
      </c>
      <c r="D237" t="inlineStr">
        <is>
          <t>KALMAR LÄN</t>
        </is>
      </c>
      <c r="E237" t="inlineStr">
        <is>
          <t>VIMMERBY</t>
        </is>
      </c>
      <c r="G237" t="n">
        <v>4</v>
      </c>
      <c r="H237" t="n">
        <v>0</v>
      </c>
      <c r="I237" t="n">
        <v>0</v>
      </c>
      <c r="J237" t="n">
        <v>0</v>
      </c>
      <c r="K237" t="n">
        <v>0</v>
      </c>
      <c r="L237" t="n">
        <v>0</v>
      </c>
      <c r="M237" t="n">
        <v>0</v>
      </c>
      <c r="N237" t="n">
        <v>0</v>
      </c>
      <c r="O237" t="n">
        <v>0</v>
      </c>
      <c r="P237" t="n">
        <v>0</v>
      </c>
      <c r="Q237" t="n">
        <v>0</v>
      </c>
      <c r="R237" s="2" t="inlineStr"/>
    </row>
    <row r="238" ht="15" customHeight="1">
      <c r="A238" t="inlineStr">
        <is>
          <t>A 73938-2021</t>
        </is>
      </c>
      <c r="B238" s="1" t="n">
        <v>44553</v>
      </c>
      <c r="C238" s="1" t="n">
        <v>46163</v>
      </c>
      <c r="D238" t="inlineStr">
        <is>
          <t>KALMAR LÄN</t>
        </is>
      </c>
      <c r="E238" t="inlineStr">
        <is>
          <t>VIMMERBY</t>
        </is>
      </c>
      <c r="G238" t="n">
        <v>3.2</v>
      </c>
      <c r="H238" t="n">
        <v>0</v>
      </c>
      <c r="I238" t="n">
        <v>0</v>
      </c>
      <c r="J238" t="n">
        <v>0</v>
      </c>
      <c r="K238" t="n">
        <v>0</v>
      </c>
      <c r="L238" t="n">
        <v>0</v>
      </c>
      <c r="M238" t="n">
        <v>0</v>
      </c>
      <c r="N238" t="n">
        <v>0</v>
      </c>
      <c r="O238" t="n">
        <v>0</v>
      </c>
      <c r="P238" t="n">
        <v>0</v>
      </c>
      <c r="Q238" t="n">
        <v>0</v>
      </c>
      <c r="R238" s="2" t="inlineStr"/>
    </row>
    <row r="239" ht="15" customHeight="1">
      <c r="A239" t="inlineStr">
        <is>
          <t>A 89-2023</t>
        </is>
      </c>
      <c r="B239" s="1" t="n">
        <v>44918</v>
      </c>
      <c r="C239" s="1" t="n">
        <v>46163</v>
      </c>
      <c r="D239" t="inlineStr">
        <is>
          <t>KALMAR LÄN</t>
        </is>
      </c>
      <c r="E239" t="inlineStr">
        <is>
          <t>VIMMERBY</t>
        </is>
      </c>
      <c r="G239" t="n">
        <v>16.1</v>
      </c>
      <c r="H239" t="n">
        <v>0</v>
      </c>
      <c r="I239" t="n">
        <v>0</v>
      </c>
      <c r="J239" t="n">
        <v>0</v>
      </c>
      <c r="K239" t="n">
        <v>0</v>
      </c>
      <c r="L239" t="n">
        <v>0</v>
      </c>
      <c r="M239" t="n">
        <v>0</v>
      </c>
      <c r="N239" t="n">
        <v>0</v>
      </c>
      <c r="O239" t="n">
        <v>0</v>
      </c>
      <c r="P239" t="n">
        <v>0</v>
      </c>
      <c r="Q239" t="n">
        <v>0</v>
      </c>
      <c r="R239" s="2" t="inlineStr"/>
    </row>
    <row r="240" ht="15" customHeight="1">
      <c r="A240" t="inlineStr">
        <is>
          <t>A 40076-2021</t>
        </is>
      </c>
      <c r="B240" s="1" t="n">
        <v>44418</v>
      </c>
      <c r="C240" s="1" t="n">
        <v>46163</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23088-2024</t>
        </is>
      </c>
      <c r="B241" s="1" t="n">
        <v>45450.51092592593</v>
      </c>
      <c r="C241" s="1" t="n">
        <v>46163</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63583-2023</t>
        </is>
      </c>
      <c r="B242" s="1" t="n">
        <v>45275.41833333333</v>
      </c>
      <c r="C242" s="1" t="n">
        <v>46163</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39578-2024</t>
        </is>
      </c>
      <c r="B243" s="1" t="n">
        <v>45552.36484953704</v>
      </c>
      <c r="C243" s="1" t="n">
        <v>46163</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24707-2024</t>
        </is>
      </c>
      <c r="B244" s="1" t="n">
        <v>45460.62172453704</v>
      </c>
      <c r="C244" s="1" t="n">
        <v>46163</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38851-2023</t>
        </is>
      </c>
      <c r="B245" s="1" t="n">
        <v>45163</v>
      </c>
      <c r="C245" s="1" t="n">
        <v>46163</v>
      </c>
      <c r="D245" t="inlineStr">
        <is>
          <t>KALMAR LÄN</t>
        </is>
      </c>
      <c r="E245" t="inlineStr">
        <is>
          <t>VIMMERBY</t>
        </is>
      </c>
      <c r="G245" t="n">
        <v>4.3</v>
      </c>
      <c r="H245" t="n">
        <v>0</v>
      </c>
      <c r="I245" t="n">
        <v>0</v>
      </c>
      <c r="J245" t="n">
        <v>0</v>
      </c>
      <c r="K245" t="n">
        <v>0</v>
      </c>
      <c r="L245" t="n">
        <v>0</v>
      </c>
      <c r="M245" t="n">
        <v>0</v>
      </c>
      <c r="N245" t="n">
        <v>0</v>
      </c>
      <c r="O245" t="n">
        <v>0</v>
      </c>
      <c r="P245" t="n">
        <v>0</v>
      </c>
      <c r="Q245" t="n">
        <v>0</v>
      </c>
      <c r="R245" s="2" t="inlineStr"/>
    </row>
    <row r="246" ht="15" customHeight="1">
      <c r="A246" t="inlineStr">
        <is>
          <t>A 10759-2023</t>
        </is>
      </c>
      <c r="B246" s="1" t="n">
        <v>44988</v>
      </c>
      <c r="C246" s="1" t="n">
        <v>46163</v>
      </c>
      <c r="D246" t="inlineStr">
        <is>
          <t>KALMAR LÄN</t>
        </is>
      </c>
      <c r="E246" t="inlineStr">
        <is>
          <t>VIMMERBY</t>
        </is>
      </c>
      <c r="G246" t="n">
        <v>0.4</v>
      </c>
      <c r="H246" t="n">
        <v>0</v>
      </c>
      <c r="I246" t="n">
        <v>0</v>
      </c>
      <c r="J246" t="n">
        <v>0</v>
      </c>
      <c r="K246" t="n">
        <v>0</v>
      </c>
      <c r="L246" t="n">
        <v>0</v>
      </c>
      <c r="M246" t="n">
        <v>0</v>
      </c>
      <c r="N246" t="n">
        <v>0</v>
      </c>
      <c r="O246" t="n">
        <v>0</v>
      </c>
      <c r="P246" t="n">
        <v>0</v>
      </c>
      <c r="Q246" t="n">
        <v>0</v>
      </c>
      <c r="R246" s="2" t="inlineStr"/>
    </row>
    <row r="247" ht="15" customHeight="1">
      <c r="A247" t="inlineStr">
        <is>
          <t>A 40828-2023</t>
        </is>
      </c>
      <c r="B247" s="1" t="n">
        <v>45171.96248842592</v>
      </c>
      <c r="C247" s="1" t="n">
        <v>46163</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8650-2022</t>
        </is>
      </c>
      <c r="B248" s="1" t="n">
        <v>44613</v>
      </c>
      <c r="C248" s="1" t="n">
        <v>46163</v>
      </c>
      <c r="D248" t="inlineStr">
        <is>
          <t>KALMAR LÄN</t>
        </is>
      </c>
      <c r="E248" t="inlineStr">
        <is>
          <t>VIMMERBY</t>
        </is>
      </c>
      <c r="G248" t="n">
        <v>1.4</v>
      </c>
      <c r="H248" t="n">
        <v>0</v>
      </c>
      <c r="I248" t="n">
        <v>0</v>
      </c>
      <c r="J248" t="n">
        <v>0</v>
      </c>
      <c r="K248" t="n">
        <v>0</v>
      </c>
      <c r="L248" t="n">
        <v>0</v>
      </c>
      <c r="M248" t="n">
        <v>0</v>
      </c>
      <c r="N248" t="n">
        <v>0</v>
      </c>
      <c r="O248" t="n">
        <v>0</v>
      </c>
      <c r="P248" t="n">
        <v>0</v>
      </c>
      <c r="Q248" t="n">
        <v>0</v>
      </c>
      <c r="R248" s="2" t="inlineStr"/>
    </row>
    <row r="249" ht="15" customHeight="1">
      <c r="A249" t="inlineStr">
        <is>
          <t>A 33340-2023</t>
        </is>
      </c>
      <c r="B249" s="1" t="n">
        <v>45128.37305555555</v>
      </c>
      <c r="C249" s="1" t="n">
        <v>46163</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44423-2023</t>
        </is>
      </c>
      <c r="B250" s="1" t="n">
        <v>45189</v>
      </c>
      <c r="C250" s="1" t="n">
        <v>46163</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31056-2022</t>
        </is>
      </c>
      <c r="B251" s="1" t="n">
        <v>44769.45805555556</v>
      </c>
      <c r="C251" s="1" t="n">
        <v>46163</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33383-2023</t>
        </is>
      </c>
      <c r="B252" s="1" t="n">
        <v>45128.58414351852</v>
      </c>
      <c r="C252" s="1" t="n">
        <v>46163</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61861-2024</t>
        </is>
      </c>
      <c r="B253" s="1" t="n">
        <v>45650.37370370371</v>
      </c>
      <c r="C253" s="1" t="n">
        <v>46163</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37323-2024</t>
        </is>
      </c>
      <c r="B254" s="1" t="n">
        <v>45540.50098379629</v>
      </c>
      <c r="C254" s="1" t="n">
        <v>46163</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40079-2023</t>
        </is>
      </c>
      <c r="B255" s="1" t="n">
        <v>45168.89298611111</v>
      </c>
      <c r="C255" s="1" t="n">
        <v>46163</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18501-2024</t>
        </is>
      </c>
      <c r="B256" s="1" t="n">
        <v>45425.57538194444</v>
      </c>
      <c r="C256" s="1" t="n">
        <v>46163</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27758-2024</t>
        </is>
      </c>
      <c r="B257" s="1" t="n">
        <v>45475.48303240741</v>
      </c>
      <c r="C257" s="1" t="n">
        <v>46163</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13307-2025</t>
        </is>
      </c>
      <c r="B258" s="1" t="n">
        <v>45735.58024305556</v>
      </c>
      <c r="C258" s="1" t="n">
        <v>46163</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18329-2023</t>
        </is>
      </c>
      <c r="B259" s="1" t="n">
        <v>45041.63380787037</v>
      </c>
      <c r="C259" s="1" t="n">
        <v>46163</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43774-2023</t>
        </is>
      </c>
      <c r="B260" s="1" t="n">
        <v>45187</v>
      </c>
      <c r="C260" s="1" t="n">
        <v>46163</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55716-2023</t>
        </is>
      </c>
      <c r="B261" s="1" t="n">
        <v>45232</v>
      </c>
      <c r="C261" s="1" t="n">
        <v>46163</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13015-2023</t>
        </is>
      </c>
      <c r="B262" s="1" t="n">
        <v>45002</v>
      </c>
      <c r="C262" s="1" t="n">
        <v>46163</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29737-2025</t>
        </is>
      </c>
      <c r="B263" s="1" t="n">
        <v>45825.58672453704</v>
      </c>
      <c r="C263" s="1" t="n">
        <v>46163</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29186-2024</t>
        </is>
      </c>
      <c r="B264" s="1" t="n">
        <v>45482.54844907407</v>
      </c>
      <c r="C264" s="1" t="n">
        <v>46163</v>
      </c>
      <c r="D264" t="inlineStr">
        <is>
          <t>KALMAR LÄN</t>
        </is>
      </c>
      <c r="E264" t="inlineStr">
        <is>
          <t>VIMMERBY</t>
        </is>
      </c>
      <c r="G264" t="n">
        <v>2.6</v>
      </c>
      <c r="H264" t="n">
        <v>0</v>
      </c>
      <c r="I264" t="n">
        <v>0</v>
      </c>
      <c r="J264" t="n">
        <v>0</v>
      </c>
      <c r="K264" t="n">
        <v>0</v>
      </c>
      <c r="L264" t="n">
        <v>0</v>
      </c>
      <c r="M264" t="n">
        <v>0</v>
      </c>
      <c r="N264" t="n">
        <v>0</v>
      </c>
      <c r="O264" t="n">
        <v>0</v>
      </c>
      <c r="P264" t="n">
        <v>0</v>
      </c>
      <c r="Q264" t="n">
        <v>0</v>
      </c>
      <c r="R264" s="2" t="inlineStr"/>
    </row>
    <row r="265" ht="15" customHeight="1">
      <c r="A265" t="inlineStr">
        <is>
          <t>A 29616-2022</t>
        </is>
      </c>
      <c r="B265" s="1" t="n">
        <v>44754</v>
      </c>
      <c r="C265" s="1" t="n">
        <v>46163</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29727-2025</t>
        </is>
      </c>
      <c r="B266" s="1" t="n">
        <v>45825.5796875</v>
      </c>
      <c r="C266" s="1" t="n">
        <v>46163</v>
      </c>
      <c r="D266" t="inlineStr">
        <is>
          <t>KALMAR LÄN</t>
        </is>
      </c>
      <c r="E266" t="inlineStr">
        <is>
          <t>VIMMERBY</t>
        </is>
      </c>
      <c r="G266" t="n">
        <v>1.3</v>
      </c>
      <c r="H266" t="n">
        <v>0</v>
      </c>
      <c r="I266" t="n">
        <v>0</v>
      </c>
      <c r="J266" t="n">
        <v>0</v>
      </c>
      <c r="K266" t="n">
        <v>0</v>
      </c>
      <c r="L266" t="n">
        <v>0</v>
      </c>
      <c r="M266" t="n">
        <v>0</v>
      </c>
      <c r="N266" t="n">
        <v>0</v>
      </c>
      <c r="O266" t="n">
        <v>0</v>
      </c>
      <c r="P266" t="n">
        <v>0</v>
      </c>
      <c r="Q266" t="n">
        <v>0</v>
      </c>
      <c r="R266" s="2" t="inlineStr"/>
    </row>
    <row r="267" ht="15" customHeight="1">
      <c r="A267" t="inlineStr">
        <is>
          <t>A 50993-2022</t>
        </is>
      </c>
      <c r="B267" s="1" t="n">
        <v>44867</v>
      </c>
      <c r="C267" s="1" t="n">
        <v>46163</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54787-2023</t>
        </is>
      </c>
      <c r="B268" s="1" t="n">
        <v>45236</v>
      </c>
      <c r="C268" s="1" t="n">
        <v>46163</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32614-2023</t>
        </is>
      </c>
      <c r="B269" s="1" t="n">
        <v>45121</v>
      </c>
      <c r="C269" s="1" t="n">
        <v>46163</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6850-2023</t>
        </is>
      </c>
      <c r="B270" s="1" t="n">
        <v>44967.44255787037</v>
      </c>
      <c r="C270" s="1" t="n">
        <v>46163</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58750-2022</t>
        </is>
      </c>
      <c r="B271" s="1" t="n">
        <v>44903.33363425926</v>
      </c>
      <c r="C271" s="1" t="n">
        <v>46163</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41158-2023</t>
        </is>
      </c>
      <c r="B272" s="1" t="n">
        <v>45174.31395833333</v>
      </c>
      <c r="C272" s="1" t="n">
        <v>46163</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30293-2025</t>
        </is>
      </c>
      <c r="B273" s="1" t="n">
        <v>45827</v>
      </c>
      <c r="C273" s="1" t="n">
        <v>46163</v>
      </c>
      <c r="D273" t="inlineStr">
        <is>
          <t>KALMAR LÄN</t>
        </is>
      </c>
      <c r="E273" t="inlineStr">
        <is>
          <t>VIMMERBY</t>
        </is>
      </c>
      <c r="G273" t="n">
        <v>0.5</v>
      </c>
      <c r="H273" t="n">
        <v>0</v>
      </c>
      <c r="I273" t="n">
        <v>0</v>
      </c>
      <c r="J273" t="n">
        <v>0</v>
      </c>
      <c r="K273" t="n">
        <v>0</v>
      </c>
      <c r="L273" t="n">
        <v>0</v>
      </c>
      <c r="M273" t="n">
        <v>0</v>
      </c>
      <c r="N273" t="n">
        <v>0</v>
      </c>
      <c r="O273" t="n">
        <v>0</v>
      </c>
      <c r="P273" t="n">
        <v>0</v>
      </c>
      <c r="Q273" t="n">
        <v>0</v>
      </c>
      <c r="R273" s="2" t="inlineStr"/>
    </row>
    <row r="274" ht="15" customHeight="1">
      <c r="A274" t="inlineStr">
        <is>
          <t>A 2510-2023</t>
        </is>
      </c>
      <c r="B274" s="1" t="n">
        <v>44943.57309027778</v>
      </c>
      <c r="C274" s="1" t="n">
        <v>46163</v>
      </c>
      <c r="D274" t="inlineStr">
        <is>
          <t>KALMAR LÄN</t>
        </is>
      </c>
      <c r="E274" t="inlineStr">
        <is>
          <t>VIMMERBY</t>
        </is>
      </c>
      <c r="G274" t="n">
        <v>8.6</v>
      </c>
      <c r="H274" t="n">
        <v>0</v>
      </c>
      <c r="I274" t="n">
        <v>0</v>
      </c>
      <c r="J274" t="n">
        <v>0</v>
      </c>
      <c r="K274" t="n">
        <v>0</v>
      </c>
      <c r="L274" t="n">
        <v>0</v>
      </c>
      <c r="M274" t="n">
        <v>0</v>
      </c>
      <c r="N274" t="n">
        <v>0</v>
      </c>
      <c r="O274" t="n">
        <v>0</v>
      </c>
      <c r="P274" t="n">
        <v>0</v>
      </c>
      <c r="Q274" t="n">
        <v>0</v>
      </c>
      <c r="R274" s="2" t="inlineStr"/>
    </row>
    <row r="275" ht="15" customHeight="1">
      <c r="A275" t="inlineStr">
        <is>
          <t>A 30290-2025</t>
        </is>
      </c>
      <c r="B275" s="1" t="n">
        <v>45827</v>
      </c>
      <c r="C275" s="1" t="n">
        <v>46163</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38604-2025</t>
        </is>
      </c>
      <c r="B276" s="1" t="n">
        <v>45884.50613425926</v>
      </c>
      <c r="C276" s="1" t="n">
        <v>46163</v>
      </c>
      <c r="D276" t="inlineStr">
        <is>
          <t>KALMAR LÄN</t>
        </is>
      </c>
      <c r="E276" t="inlineStr">
        <is>
          <t>VIMMERBY</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3269-2024</t>
        </is>
      </c>
      <c r="B277" s="1" t="n">
        <v>45317.40372685185</v>
      </c>
      <c r="C277" s="1" t="n">
        <v>46163</v>
      </c>
      <c r="D277" t="inlineStr">
        <is>
          <t>KALMAR LÄN</t>
        </is>
      </c>
      <c r="E277" t="inlineStr">
        <is>
          <t>VIMMERBY</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48120-2022</t>
        </is>
      </c>
      <c r="B278" s="1" t="n">
        <v>44857.65989583333</v>
      </c>
      <c r="C278" s="1" t="n">
        <v>46163</v>
      </c>
      <c r="D278" t="inlineStr">
        <is>
          <t>KALMAR LÄN</t>
        </is>
      </c>
      <c r="E278" t="inlineStr">
        <is>
          <t>VIMMERBY</t>
        </is>
      </c>
      <c r="G278" t="n">
        <v>1.7</v>
      </c>
      <c r="H278" t="n">
        <v>0</v>
      </c>
      <c r="I278" t="n">
        <v>0</v>
      </c>
      <c r="J278" t="n">
        <v>0</v>
      </c>
      <c r="K278" t="n">
        <v>0</v>
      </c>
      <c r="L278" t="n">
        <v>0</v>
      </c>
      <c r="M278" t="n">
        <v>0</v>
      </c>
      <c r="N278" t="n">
        <v>0</v>
      </c>
      <c r="O278" t="n">
        <v>0</v>
      </c>
      <c r="P278" t="n">
        <v>0</v>
      </c>
      <c r="Q278" t="n">
        <v>0</v>
      </c>
      <c r="R278" s="2" t="inlineStr"/>
    </row>
    <row r="279" ht="15" customHeight="1">
      <c r="A279" t="inlineStr">
        <is>
          <t>A 6368-2023</t>
        </is>
      </c>
      <c r="B279" s="1" t="n">
        <v>44965</v>
      </c>
      <c r="C279" s="1" t="n">
        <v>46163</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30850-2025</t>
        </is>
      </c>
      <c r="B280" s="1" t="n">
        <v>45831</v>
      </c>
      <c r="C280" s="1" t="n">
        <v>46163</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9416-2024</t>
        </is>
      </c>
      <c r="B281" s="1" t="n">
        <v>45359.44837962963</v>
      </c>
      <c r="C281" s="1" t="n">
        <v>46163</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2797-2023</t>
        </is>
      </c>
      <c r="B282" s="1" t="n">
        <v>44944.71386574074</v>
      </c>
      <c r="C282" s="1" t="n">
        <v>46163</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2799-2023</t>
        </is>
      </c>
      <c r="B283" s="1" t="n">
        <v>44944.72100694444</v>
      </c>
      <c r="C283" s="1" t="n">
        <v>46163</v>
      </c>
      <c r="D283" t="inlineStr">
        <is>
          <t>KALMAR LÄN</t>
        </is>
      </c>
      <c r="E283" t="inlineStr">
        <is>
          <t>VIMMERBY</t>
        </is>
      </c>
      <c r="G283" t="n">
        <v>1.3</v>
      </c>
      <c r="H283" t="n">
        <v>0</v>
      </c>
      <c r="I283" t="n">
        <v>0</v>
      </c>
      <c r="J283" t="n">
        <v>0</v>
      </c>
      <c r="K283" t="n">
        <v>0</v>
      </c>
      <c r="L283" t="n">
        <v>0</v>
      </c>
      <c r="M283" t="n">
        <v>0</v>
      </c>
      <c r="N283" t="n">
        <v>0</v>
      </c>
      <c r="O283" t="n">
        <v>0</v>
      </c>
      <c r="P283" t="n">
        <v>0</v>
      </c>
      <c r="Q283" t="n">
        <v>0</v>
      </c>
      <c r="R283" s="2" t="inlineStr"/>
    </row>
    <row r="284" ht="15" customHeight="1">
      <c r="A284" t="inlineStr">
        <is>
          <t>A 25987-2024</t>
        </is>
      </c>
      <c r="B284" s="1" t="n">
        <v>45467.74417824074</v>
      </c>
      <c r="C284" s="1" t="n">
        <v>46163</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22194-2024</t>
        </is>
      </c>
      <c r="B285" s="1" t="n">
        <v>45446.36482638889</v>
      </c>
      <c r="C285" s="1" t="n">
        <v>46163</v>
      </c>
      <c r="D285" t="inlineStr">
        <is>
          <t>KALMAR LÄN</t>
        </is>
      </c>
      <c r="E285" t="inlineStr">
        <is>
          <t>VIMMERBY</t>
        </is>
      </c>
      <c r="F285" t="inlineStr">
        <is>
          <t>Sveaskog</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31552-2025</t>
        </is>
      </c>
      <c r="B286" s="1" t="n">
        <v>45833.64563657407</v>
      </c>
      <c r="C286" s="1" t="n">
        <v>46163</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31555-2025</t>
        </is>
      </c>
      <c r="B287" s="1" t="n">
        <v>45833.64814814815</v>
      </c>
      <c r="C287" s="1" t="n">
        <v>46163</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30971-2025</t>
        </is>
      </c>
      <c r="B288" s="1" t="n">
        <v>45832.46146990741</v>
      </c>
      <c r="C288" s="1" t="n">
        <v>46163</v>
      </c>
      <c r="D288" t="inlineStr">
        <is>
          <t>KALMAR LÄN</t>
        </is>
      </c>
      <c r="E288" t="inlineStr">
        <is>
          <t>VIMMERBY</t>
        </is>
      </c>
      <c r="G288" t="n">
        <v>1.2</v>
      </c>
      <c r="H288" t="n">
        <v>0</v>
      </c>
      <c r="I288" t="n">
        <v>0</v>
      </c>
      <c r="J288" t="n">
        <v>0</v>
      </c>
      <c r="K288" t="n">
        <v>0</v>
      </c>
      <c r="L288" t="n">
        <v>0</v>
      </c>
      <c r="M288" t="n">
        <v>0</v>
      </c>
      <c r="N288" t="n">
        <v>0</v>
      </c>
      <c r="O288" t="n">
        <v>0</v>
      </c>
      <c r="P288" t="n">
        <v>0</v>
      </c>
      <c r="Q288" t="n">
        <v>0</v>
      </c>
      <c r="R288" s="2" t="inlineStr"/>
    </row>
    <row r="289" ht="15" customHeight="1">
      <c r="A289" t="inlineStr">
        <is>
          <t>A 31551-2025</t>
        </is>
      </c>
      <c r="B289" s="1" t="n">
        <v>45833.64237268519</v>
      </c>
      <c r="C289" s="1" t="n">
        <v>46163</v>
      </c>
      <c r="D289" t="inlineStr">
        <is>
          <t>KALMAR LÄN</t>
        </is>
      </c>
      <c r="E289" t="inlineStr">
        <is>
          <t>VIMMERBY</t>
        </is>
      </c>
      <c r="G289" t="n">
        <v>1.9</v>
      </c>
      <c r="H289" t="n">
        <v>0</v>
      </c>
      <c r="I289" t="n">
        <v>0</v>
      </c>
      <c r="J289" t="n">
        <v>0</v>
      </c>
      <c r="K289" t="n">
        <v>0</v>
      </c>
      <c r="L289" t="n">
        <v>0</v>
      </c>
      <c r="M289" t="n">
        <v>0</v>
      </c>
      <c r="N289" t="n">
        <v>0</v>
      </c>
      <c r="O289" t="n">
        <v>0</v>
      </c>
      <c r="P289" t="n">
        <v>0</v>
      </c>
      <c r="Q289" t="n">
        <v>0</v>
      </c>
      <c r="R289" s="2" t="inlineStr"/>
    </row>
    <row r="290" ht="15" customHeight="1">
      <c r="A290" t="inlineStr">
        <is>
          <t>A 12630-2023</t>
        </is>
      </c>
      <c r="B290" s="1" t="n">
        <v>45000.47998842593</v>
      </c>
      <c r="C290" s="1" t="n">
        <v>46163</v>
      </c>
      <c r="D290" t="inlineStr">
        <is>
          <t>KALMAR LÄN</t>
        </is>
      </c>
      <c r="E290" t="inlineStr">
        <is>
          <t>VIMMERBY</t>
        </is>
      </c>
      <c r="G290" t="n">
        <v>2.1</v>
      </c>
      <c r="H290" t="n">
        <v>0</v>
      </c>
      <c r="I290" t="n">
        <v>0</v>
      </c>
      <c r="J290" t="n">
        <v>0</v>
      </c>
      <c r="K290" t="n">
        <v>0</v>
      </c>
      <c r="L290" t="n">
        <v>0</v>
      </c>
      <c r="M290" t="n">
        <v>0</v>
      </c>
      <c r="N290" t="n">
        <v>0</v>
      </c>
      <c r="O290" t="n">
        <v>0</v>
      </c>
      <c r="P290" t="n">
        <v>0</v>
      </c>
      <c r="Q290" t="n">
        <v>0</v>
      </c>
      <c r="R290" s="2" t="inlineStr"/>
    </row>
    <row r="291" ht="15" customHeight="1">
      <c r="A291" t="inlineStr">
        <is>
          <t>A 30882-2025</t>
        </is>
      </c>
      <c r="B291" s="1" t="n">
        <v>45832.34540509259</v>
      </c>
      <c r="C291" s="1" t="n">
        <v>46163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21109-2024</t>
        </is>
      </c>
      <c r="B292" s="1" t="n">
        <v>45440.28329861111</v>
      </c>
      <c r="C292" s="1" t="n">
        <v>46163</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29726-2025</t>
        </is>
      </c>
      <c r="B293" s="1" t="n">
        <v>45825.57805555555</v>
      </c>
      <c r="C293" s="1" t="n">
        <v>46163</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31872-2025</t>
        </is>
      </c>
      <c r="B294" s="1" t="n">
        <v>45834.65040509259</v>
      </c>
      <c r="C294" s="1" t="n">
        <v>46163</v>
      </c>
      <c r="D294" t="inlineStr">
        <is>
          <t>KALMAR LÄN</t>
        </is>
      </c>
      <c r="E294" t="inlineStr">
        <is>
          <t>VIMMERBY</t>
        </is>
      </c>
      <c r="F294" t="inlineStr">
        <is>
          <t>Sveaskog</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30634-2024</t>
        </is>
      </c>
      <c r="B295" s="1" t="n">
        <v>45495</v>
      </c>
      <c r="C295" s="1" t="n">
        <v>46163</v>
      </c>
      <c r="D295" t="inlineStr">
        <is>
          <t>KALMAR LÄN</t>
        </is>
      </c>
      <c r="E295" t="inlineStr">
        <is>
          <t>VIMMERBY</t>
        </is>
      </c>
      <c r="G295" t="n">
        <v>1.2</v>
      </c>
      <c r="H295" t="n">
        <v>0</v>
      </c>
      <c r="I295" t="n">
        <v>0</v>
      </c>
      <c r="J295" t="n">
        <v>0</v>
      </c>
      <c r="K295" t="n">
        <v>0</v>
      </c>
      <c r="L295" t="n">
        <v>0</v>
      </c>
      <c r="M295" t="n">
        <v>0</v>
      </c>
      <c r="N295" t="n">
        <v>0</v>
      </c>
      <c r="O295" t="n">
        <v>0</v>
      </c>
      <c r="P295" t="n">
        <v>0</v>
      </c>
      <c r="Q295" t="n">
        <v>0</v>
      </c>
      <c r="R295" s="2" t="inlineStr"/>
    </row>
    <row r="296" ht="15" customHeight="1">
      <c r="A296" t="inlineStr">
        <is>
          <t>A 40260-2024</t>
        </is>
      </c>
      <c r="B296" s="1" t="n">
        <v>45554.63225694445</v>
      </c>
      <c r="C296" s="1" t="n">
        <v>46163</v>
      </c>
      <c r="D296" t="inlineStr">
        <is>
          <t>KALMAR LÄN</t>
        </is>
      </c>
      <c r="E296" t="inlineStr">
        <is>
          <t>VIMMERBY</t>
        </is>
      </c>
      <c r="G296" t="n">
        <v>1.2</v>
      </c>
      <c r="H296" t="n">
        <v>0</v>
      </c>
      <c r="I296" t="n">
        <v>0</v>
      </c>
      <c r="J296" t="n">
        <v>0</v>
      </c>
      <c r="K296" t="n">
        <v>0</v>
      </c>
      <c r="L296" t="n">
        <v>0</v>
      </c>
      <c r="M296" t="n">
        <v>0</v>
      </c>
      <c r="N296" t="n">
        <v>0</v>
      </c>
      <c r="O296" t="n">
        <v>0</v>
      </c>
      <c r="P296" t="n">
        <v>0</v>
      </c>
      <c r="Q296" t="n">
        <v>0</v>
      </c>
      <c r="R296" s="2" t="inlineStr"/>
    </row>
    <row r="297" ht="15" customHeight="1">
      <c r="A297" t="inlineStr">
        <is>
          <t>A 8559-2025</t>
        </is>
      </c>
      <c r="B297" s="1" t="n">
        <v>45709.62280092593</v>
      </c>
      <c r="C297" s="1" t="n">
        <v>46163</v>
      </c>
      <c r="D297" t="inlineStr">
        <is>
          <t>KALMAR LÄN</t>
        </is>
      </c>
      <c r="E297" t="inlineStr">
        <is>
          <t>VIMMERBY</t>
        </is>
      </c>
      <c r="G297" t="n">
        <v>8.9</v>
      </c>
      <c r="H297" t="n">
        <v>0</v>
      </c>
      <c r="I297" t="n">
        <v>0</v>
      </c>
      <c r="J297" t="n">
        <v>0</v>
      </c>
      <c r="K297" t="n">
        <v>0</v>
      </c>
      <c r="L297" t="n">
        <v>0</v>
      </c>
      <c r="M297" t="n">
        <v>0</v>
      </c>
      <c r="N297" t="n">
        <v>0</v>
      </c>
      <c r="O297" t="n">
        <v>0</v>
      </c>
      <c r="P297" t="n">
        <v>0</v>
      </c>
      <c r="Q297" t="n">
        <v>0</v>
      </c>
      <c r="R297" s="2" t="inlineStr"/>
    </row>
    <row r="298" ht="15" customHeight="1">
      <c r="A298" t="inlineStr">
        <is>
          <t>A 32064-2025</t>
        </is>
      </c>
      <c r="B298" s="1" t="n">
        <v>45835.44709490741</v>
      </c>
      <c r="C298" s="1" t="n">
        <v>46163</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32109-2025</t>
        </is>
      </c>
      <c r="B299" s="1" t="n">
        <v>45835.48267361111</v>
      </c>
      <c r="C299" s="1" t="n">
        <v>46163</v>
      </c>
      <c r="D299" t="inlineStr">
        <is>
          <t>KALMAR LÄN</t>
        </is>
      </c>
      <c r="E299" t="inlineStr">
        <is>
          <t>VIMMERBY</t>
        </is>
      </c>
      <c r="G299" t="n">
        <v>2.5</v>
      </c>
      <c r="H299" t="n">
        <v>0</v>
      </c>
      <c r="I299" t="n">
        <v>0</v>
      </c>
      <c r="J299" t="n">
        <v>0</v>
      </c>
      <c r="K299" t="n">
        <v>0</v>
      </c>
      <c r="L299" t="n">
        <v>0</v>
      </c>
      <c r="M299" t="n">
        <v>0</v>
      </c>
      <c r="N299" t="n">
        <v>0</v>
      </c>
      <c r="O299" t="n">
        <v>0</v>
      </c>
      <c r="P299" t="n">
        <v>0</v>
      </c>
      <c r="Q299" t="n">
        <v>0</v>
      </c>
      <c r="R299" s="2" t="inlineStr"/>
    </row>
    <row r="300" ht="15" customHeight="1">
      <c r="A300" t="inlineStr">
        <is>
          <t>A 32113-2025</t>
        </is>
      </c>
      <c r="B300" s="1" t="n">
        <v>45835.48445601852</v>
      </c>
      <c r="C300" s="1" t="n">
        <v>46163</v>
      </c>
      <c r="D300" t="inlineStr">
        <is>
          <t>KALMAR LÄN</t>
        </is>
      </c>
      <c r="E300" t="inlineStr">
        <is>
          <t>VIMMERBY</t>
        </is>
      </c>
      <c r="G300" t="n">
        <v>3.5</v>
      </c>
      <c r="H300" t="n">
        <v>0</v>
      </c>
      <c r="I300" t="n">
        <v>0</v>
      </c>
      <c r="J300" t="n">
        <v>0</v>
      </c>
      <c r="K300" t="n">
        <v>0</v>
      </c>
      <c r="L300" t="n">
        <v>0</v>
      </c>
      <c r="M300" t="n">
        <v>0</v>
      </c>
      <c r="N300" t="n">
        <v>0</v>
      </c>
      <c r="O300" t="n">
        <v>0</v>
      </c>
      <c r="P300" t="n">
        <v>0</v>
      </c>
      <c r="Q300" t="n">
        <v>0</v>
      </c>
      <c r="R300" s="2" t="inlineStr"/>
    </row>
    <row r="301" ht="15" customHeight="1">
      <c r="A301" t="inlineStr">
        <is>
          <t>A 32116-2025</t>
        </is>
      </c>
      <c r="B301" s="1" t="n">
        <v>45835.48862268519</v>
      </c>
      <c r="C301" s="1" t="n">
        <v>46163</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59943-2023</t>
        </is>
      </c>
      <c r="B302" s="1" t="n">
        <v>45257.67958333333</v>
      </c>
      <c r="C302" s="1" t="n">
        <v>46163</v>
      </c>
      <c r="D302" t="inlineStr">
        <is>
          <t>KALMAR LÄN</t>
        </is>
      </c>
      <c r="E302" t="inlineStr">
        <is>
          <t>VIMMERBY</t>
        </is>
      </c>
      <c r="G302" t="n">
        <v>6.4</v>
      </c>
      <c r="H302" t="n">
        <v>0</v>
      </c>
      <c r="I302" t="n">
        <v>0</v>
      </c>
      <c r="J302" t="n">
        <v>0</v>
      </c>
      <c r="K302" t="n">
        <v>0</v>
      </c>
      <c r="L302" t="n">
        <v>0</v>
      </c>
      <c r="M302" t="n">
        <v>0</v>
      </c>
      <c r="N302" t="n">
        <v>0</v>
      </c>
      <c r="O302" t="n">
        <v>0</v>
      </c>
      <c r="P302" t="n">
        <v>0</v>
      </c>
      <c r="Q302" t="n">
        <v>0</v>
      </c>
      <c r="R302" s="2" t="inlineStr"/>
    </row>
    <row r="303" ht="15" customHeight="1">
      <c r="A303" t="inlineStr">
        <is>
          <t>A 31870-2025</t>
        </is>
      </c>
      <c r="B303" s="1" t="n">
        <v>45834.64667824074</v>
      </c>
      <c r="C303" s="1" t="n">
        <v>46163</v>
      </c>
      <c r="D303" t="inlineStr">
        <is>
          <t>KALMAR LÄN</t>
        </is>
      </c>
      <c r="E303" t="inlineStr">
        <is>
          <t>VIMMERBY</t>
        </is>
      </c>
      <c r="F303" t="inlineStr">
        <is>
          <t>Sveaskog</t>
        </is>
      </c>
      <c r="G303" t="n">
        <v>3.5</v>
      </c>
      <c r="H303" t="n">
        <v>0</v>
      </c>
      <c r="I303" t="n">
        <v>0</v>
      </c>
      <c r="J303" t="n">
        <v>0</v>
      </c>
      <c r="K303" t="n">
        <v>0</v>
      </c>
      <c r="L303" t="n">
        <v>0</v>
      </c>
      <c r="M303" t="n">
        <v>0</v>
      </c>
      <c r="N303" t="n">
        <v>0</v>
      </c>
      <c r="O303" t="n">
        <v>0</v>
      </c>
      <c r="P303" t="n">
        <v>0</v>
      </c>
      <c r="Q303" t="n">
        <v>0</v>
      </c>
      <c r="R303" s="2" t="inlineStr"/>
    </row>
    <row r="304" ht="15" customHeight="1">
      <c r="A304" t="inlineStr">
        <is>
          <t>A 32065-2025</t>
        </is>
      </c>
      <c r="B304" s="1" t="n">
        <v>45835.44732638889</v>
      </c>
      <c r="C304" s="1" t="n">
        <v>46163</v>
      </c>
      <c r="D304" t="inlineStr">
        <is>
          <t>KALMAR LÄN</t>
        </is>
      </c>
      <c r="E304" t="inlineStr">
        <is>
          <t>VIMMERBY</t>
        </is>
      </c>
      <c r="G304" t="n">
        <v>1</v>
      </c>
      <c r="H304" t="n">
        <v>0</v>
      </c>
      <c r="I304" t="n">
        <v>0</v>
      </c>
      <c r="J304" t="n">
        <v>0</v>
      </c>
      <c r="K304" t="n">
        <v>0</v>
      </c>
      <c r="L304" t="n">
        <v>0</v>
      </c>
      <c r="M304" t="n">
        <v>0</v>
      </c>
      <c r="N304" t="n">
        <v>0</v>
      </c>
      <c r="O304" t="n">
        <v>0</v>
      </c>
      <c r="P304" t="n">
        <v>0</v>
      </c>
      <c r="Q304" t="n">
        <v>0</v>
      </c>
      <c r="R304" s="2" t="inlineStr"/>
    </row>
    <row r="305" ht="15" customHeight="1">
      <c r="A305" t="inlineStr">
        <is>
          <t>A 31987-2025</t>
        </is>
      </c>
      <c r="B305" s="1" t="n">
        <v>45835.36229166666</v>
      </c>
      <c r="C305" s="1" t="n">
        <v>46163</v>
      </c>
      <c r="D305" t="inlineStr">
        <is>
          <t>KALMAR LÄN</t>
        </is>
      </c>
      <c r="E305" t="inlineStr">
        <is>
          <t>VIMMERBY</t>
        </is>
      </c>
      <c r="F305" t="inlineStr">
        <is>
          <t>Kyrkan</t>
        </is>
      </c>
      <c r="G305" t="n">
        <v>1.2</v>
      </c>
      <c r="H305" t="n">
        <v>0</v>
      </c>
      <c r="I305" t="n">
        <v>0</v>
      </c>
      <c r="J305" t="n">
        <v>0</v>
      </c>
      <c r="K305" t="n">
        <v>0</v>
      </c>
      <c r="L305" t="n">
        <v>0</v>
      </c>
      <c r="M305" t="n">
        <v>0</v>
      </c>
      <c r="N305" t="n">
        <v>0</v>
      </c>
      <c r="O305" t="n">
        <v>0</v>
      </c>
      <c r="P305" t="n">
        <v>0</v>
      </c>
      <c r="Q305" t="n">
        <v>0</v>
      </c>
      <c r="R305" s="2" t="inlineStr"/>
    </row>
    <row r="306" ht="15" customHeight="1">
      <c r="A306" t="inlineStr">
        <is>
          <t>A 32077-2025</t>
        </is>
      </c>
      <c r="B306" s="1" t="n">
        <v>45835.45099537037</v>
      </c>
      <c r="C306" s="1" t="n">
        <v>46163</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32120-2025</t>
        </is>
      </c>
      <c r="B307" s="1" t="n">
        <v>45835.4924537037</v>
      </c>
      <c r="C307" s="1" t="n">
        <v>46163</v>
      </c>
      <c r="D307" t="inlineStr">
        <is>
          <t>KALMAR LÄN</t>
        </is>
      </c>
      <c r="E307" t="inlineStr">
        <is>
          <t>VIMMERBY</t>
        </is>
      </c>
      <c r="G307" t="n">
        <v>0.8</v>
      </c>
      <c r="H307" t="n">
        <v>0</v>
      </c>
      <c r="I307" t="n">
        <v>0</v>
      </c>
      <c r="J307" t="n">
        <v>0</v>
      </c>
      <c r="K307" t="n">
        <v>0</v>
      </c>
      <c r="L307" t="n">
        <v>0</v>
      </c>
      <c r="M307" t="n">
        <v>0</v>
      </c>
      <c r="N307" t="n">
        <v>0</v>
      </c>
      <c r="O307" t="n">
        <v>0</v>
      </c>
      <c r="P307" t="n">
        <v>0</v>
      </c>
      <c r="Q307" t="n">
        <v>0</v>
      </c>
      <c r="R307" s="2" t="inlineStr"/>
    </row>
    <row r="308" ht="15" customHeight="1">
      <c r="A308" t="inlineStr">
        <is>
          <t>A 5527-2022</t>
        </is>
      </c>
      <c r="B308" s="1" t="n">
        <v>44595.583125</v>
      </c>
      <c r="C308" s="1" t="n">
        <v>46163</v>
      </c>
      <c r="D308" t="inlineStr">
        <is>
          <t>KALMAR LÄN</t>
        </is>
      </c>
      <c r="E308" t="inlineStr">
        <is>
          <t>VIMMERBY</t>
        </is>
      </c>
      <c r="G308" t="n">
        <v>3.6</v>
      </c>
      <c r="H308" t="n">
        <v>0</v>
      </c>
      <c r="I308" t="n">
        <v>0</v>
      </c>
      <c r="J308" t="n">
        <v>0</v>
      </c>
      <c r="K308" t="n">
        <v>0</v>
      </c>
      <c r="L308" t="n">
        <v>0</v>
      </c>
      <c r="M308" t="n">
        <v>0</v>
      </c>
      <c r="N308" t="n">
        <v>0</v>
      </c>
      <c r="O308" t="n">
        <v>0</v>
      </c>
      <c r="P308" t="n">
        <v>0</v>
      </c>
      <c r="Q308" t="n">
        <v>0</v>
      </c>
      <c r="R308" s="2" t="inlineStr"/>
    </row>
    <row r="309" ht="15" customHeight="1">
      <c r="A309" t="inlineStr">
        <is>
          <t>A 31876-2025</t>
        </is>
      </c>
      <c r="B309" s="1" t="n">
        <v>45834.65197916667</v>
      </c>
      <c r="C309" s="1" t="n">
        <v>46163</v>
      </c>
      <c r="D309" t="inlineStr">
        <is>
          <t>KALMAR LÄN</t>
        </is>
      </c>
      <c r="E309" t="inlineStr">
        <is>
          <t>VIMMERBY</t>
        </is>
      </c>
      <c r="F309" t="inlineStr">
        <is>
          <t>Sveaskog</t>
        </is>
      </c>
      <c r="G309" t="n">
        <v>3.3</v>
      </c>
      <c r="H309" t="n">
        <v>0</v>
      </c>
      <c r="I309" t="n">
        <v>0</v>
      </c>
      <c r="J309" t="n">
        <v>0</v>
      </c>
      <c r="K309" t="n">
        <v>0</v>
      </c>
      <c r="L309" t="n">
        <v>0</v>
      </c>
      <c r="M309" t="n">
        <v>0</v>
      </c>
      <c r="N309" t="n">
        <v>0</v>
      </c>
      <c r="O309" t="n">
        <v>0</v>
      </c>
      <c r="P309" t="n">
        <v>0</v>
      </c>
      <c r="Q309" t="n">
        <v>0</v>
      </c>
      <c r="R309" s="2" t="inlineStr"/>
    </row>
    <row r="310" ht="15" customHeight="1">
      <c r="A310" t="inlineStr">
        <is>
          <t>A 39801-2025</t>
        </is>
      </c>
      <c r="B310" s="1" t="n">
        <v>45891.50216435185</v>
      </c>
      <c r="C310" s="1" t="n">
        <v>46163</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12325-2023</t>
        </is>
      </c>
      <c r="B311" s="1" t="n">
        <v>44999.35858796296</v>
      </c>
      <c r="C311" s="1" t="n">
        <v>46163</v>
      </c>
      <c r="D311" t="inlineStr">
        <is>
          <t>KALMAR LÄN</t>
        </is>
      </c>
      <c r="E311" t="inlineStr">
        <is>
          <t>VIMMERBY</t>
        </is>
      </c>
      <c r="G311" t="n">
        <v>3.4</v>
      </c>
      <c r="H311" t="n">
        <v>0</v>
      </c>
      <c r="I311" t="n">
        <v>0</v>
      </c>
      <c r="J311" t="n">
        <v>0</v>
      </c>
      <c r="K311" t="n">
        <v>0</v>
      </c>
      <c r="L311" t="n">
        <v>0</v>
      </c>
      <c r="M311" t="n">
        <v>0</v>
      </c>
      <c r="N311" t="n">
        <v>0</v>
      </c>
      <c r="O311" t="n">
        <v>0</v>
      </c>
      <c r="P311" t="n">
        <v>0</v>
      </c>
      <c r="Q311" t="n">
        <v>0</v>
      </c>
      <c r="R311" s="2" t="inlineStr"/>
    </row>
    <row r="312" ht="15" customHeight="1">
      <c r="A312" t="inlineStr">
        <is>
          <t>A 1016-2024</t>
        </is>
      </c>
      <c r="B312" s="1" t="n">
        <v>45301</v>
      </c>
      <c r="C312" s="1" t="n">
        <v>46163</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39807-2025</t>
        </is>
      </c>
      <c r="B313" s="1" t="n">
        <v>45891.50986111111</v>
      </c>
      <c r="C313" s="1" t="n">
        <v>46163</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39736-2025</t>
        </is>
      </c>
      <c r="B314" s="1" t="n">
        <v>45891</v>
      </c>
      <c r="C314" s="1" t="n">
        <v>46163</v>
      </c>
      <c r="D314" t="inlineStr">
        <is>
          <t>KALMAR LÄN</t>
        </is>
      </c>
      <c r="E314" t="inlineStr">
        <is>
          <t>VIMMERBY</t>
        </is>
      </c>
      <c r="G314" t="n">
        <v>12.8</v>
      </c>
      <c r="H314" t="n">
        <v>0</v>
      </c>
      <c r="I314" t="n">
        <v>0</v>
      </c>
      <c r="J314" t="n">
        <v>0</v>
      </c>
      <c r="K314" t="n">
        <v>0</v>
      </c>
      <c r="L314" t="n">
        <v>0</v>
      </c>
      <c r="M314" t="n">
        <v>0</v>
      </c>
      <c r="N314" t="n">
        <v>0</v>
      </c>
      <c r="O314" t="n">
        <v>0</v>
      </c>
      <c r="P314" t="n">
        <v>0</v>
      </c>
      <c r="Q314" t="n">
        <v>0</v>
      </c>
      <c r="R314" s="2" t="inlineStr"/>
    </row>
    <row r="315" ht="15" customHeight="1">
      <c r="A315" t="inlineStr">
        <is>
          <t>A 33681-2022</t>
        </is>
      </c>
      <c r="B315" s="1" t="n">
        <v>44789</v>
      </c>
      <c r="C315" s="1" t="n">
        <v>46163</v>
      </c>
      <c r="D315" t="inlineStr">
        <is>
          <t>KALMAR LÄN</t>
        </is>
      </c>
      <c r="E315" t="inlineStr">
        <is>
          <t>VIMMERBY</t>
        </is>
      </c>
      <c r="G315" t="n">
        <v>3.2</v>
      </c>
      <c r="H315" t="n">
        <v>0</v>
      </c>
      <c r="I315" t="n">
        <v>0</v>
      </c>
      <c r="J315" t="n">
        <v>0</v>
      </c>
      <c r="K315" t="n">
        <v>0</v>
      </c>
      <c r="L315" t="n">
        <v>0</v>
      </c>
      <c r="M315" t="n">
        <v>0</v>
      </c>
      <c r="N315" t="n">
        <v>0</v>
      </c>
      <c r="O315" t="n">
        <v>0</v>
      </c>
      <c r="P315" t="n">
        <v>0</v>
      </c>
      <c r="Q315" t="n">
        <v>0</v>
      </c>
      <c r="R315" s="2" t="inlineStr"/>
    </row>
    <row r="316" ht="15" customHeight="1">
      <c r="A316" t="inlineStr">
        <is>
          <t>A 39803-2025</t>
        </is>
      </c>
      <c r="B316" s="1" t="n">
        <v>45891.50525462963</v>
      </c>
      <c r="C316" s="1" t="n">
        <v>46163</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39889-2025</t>
        </is>
      </c>
      <c r="B317" s="1" t="n">
        <v>45891</v>
      </c>
      <c r="C317" s="1" t="n">
        <v>46163</v>
      </c>
      <c r="D317" t="inlineStr">
        <is>
          <t>KALMAR LÄN</t>
        </is>
      </c>
      <c r="E317" t="inlineStr">
        <is>
          <t>VIMMERBY</t>
        </is>
      </c>
      <c r="G317" t="n">
        <v>4.5</v>
      </c>
      <c r="H317" t="n">
        <v>0</v>
      </c>
      <c r="I317" t="n">
        <v>0</v>
      </c>
      <c r="J317" t="n">
        <v>0</v>
      </c>
      <c r="K317" t="n">
        <v>0</v>
      </c>
      <c r="L317" t="n">
        <v>0</v>
      </c>
      <c r="M317" t="n">
        <v>0</v>
      </c>
      <c r="N317" t="n">
        <v>0</v>
      </c>
      <c r="O317" t="n">
        <v>0</v>
      </c>
      <c r="P317" t="n">
        <v>0</v>
      </c>
      <c r="Q317" t="n">
        <v>0</v>
      </c>
      <c r="R317" s="2" t="inlineStr"/>
    </row>
    <row r="318" ht="15" customHeight="1">
      <c r="A318" t="inlineStr">
        <is>
          <t>A 32380-2025</t>
        </is>
      </c>
      <c r="B318" s="1" t="n">
        <v>45837.77701388889</v>
      </c>
      <c r="C318" s="1" t="n">
        <v>46163</v>
      </c>
      <c r="D318" t="inlineStr">
        <is>
          <t>KALMAR LÄN</t>
        </is>
      </c>
      <c r="E318" t="inlineStr">
        <is>
          <t>VIMMERBY</t>
        </is>
      </c>
      <c r="G318" t="n">
        <v>3.1</v>
      </c>
      <c r="H318" t="n">
        <v>0</v>
      </c>
      <c r="I318" t="n">
        <v>0</v>
      </c>
      <c r="J318" t="n">
        <v>0</v>
      </c>
      <c r="K318" t="n">
        <v>0</v>
      </c>
      <c r="L318" t="n">
        <v>0</v>
      </c>
      <c r="M318" t="n">
        <v>0</v>
      </c>
      <c r="N318" t="n">
        <v>0</v>
      </c>
      <c r="O318" t="n">
        <v>0</v>
      </c>
      <c r="P318" t="n">
        <v>0</v>
      </c>
      <c r="Q318" t="n">
        <v>0</v>
      </c>
      <c r="R318" s="2" t="inlineStr"/>
    </row>
    <row r="319" ht="15" customHeight="1">
      <c r="A319" t="inlineStr">
        <is>
          <t>A 33186-2025</t>
        </is>
      </c>
      <c r="B319" s="1" t="n">
        <v>45840.59474537037</v>
      </c>
      <c r="C319" s="1" t="n">
        <v>46163</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33695-2025</t>
        </is>
      </c>
      <c r="B320" s="1" t="n">
        <v>45841.70569444444</v>
      </c>
      <c r="C320" s="1" t="n">
        <v>46163</v>
      </c>
      <c r="D320" t="inlineStr">
        <is>
          <t>KALMAR LÄN</t>
        </is>
      </c>
      <c r="E320" t="inlineStr">
        <is>
          <t>VIMMERBY</t>
        </is>
      </c>
      <c r="G320" t="n">
        <v>2.7</v>
      </c>
      <c r="H320" t="n">
        <v>0</v>
      </c>
      <c r="I320" t="n">
        <v>0</v>
      </c>
      <c r="J320" t="n">
        <v>0</v>
      </c>
      <c r="K320" t="n">
        <v>0</v>
      </c>
      <c r="L320" t="n">
        <v>0</v>
      </c>
      <c r="M320" t="n">
        <v>0</v>
      </c>
      <c r="N320" t="n">
        <v>0</v>
      </c>
      <c r="O320" t="n">
        <v>0</v>
      </c>
      <c r="P320" t="n">
        <v>0</v>
      </c>
      <c r="Q320" t="n">
        <v>0</v>
      </c>
      <c r="R320" s="2" t="inlineStr"/>
    </row>
    <row r="321" ht="15" customHeight="1">
      <c r="A321" t="inlineStr">
        <is>
          <t>A 33698-2025</t>
        </is>
      </c>
      <c r="B321" s="1" t="n">
        <v>45841.70868055556</v>
      </c>
      <c r="C321" s="1" t="n">
        <v>46163</v>
      </c>
      <c r="D321" t="inlineStr">
        <is>
          <t>KALMAR LÄN</t>
        </is>
      </c>
      <c r="E321" t="inlineStr">
        <is>
          <t>VIMMERBY</t>
        </is>
      </c>
      <c r="G321" t="n">
        <v>3.7</v>
      </c>
      <c r="H321" t="n">
        <v>0</v>
      </c>
      <c r="I321" t="n">
        <v>0</v>
      </c>
      <c r="J321" t="n">
        <v>0</v>
      </c>
      <c r="K321" t="n">
        <v>0</v>
      </c>
      <c r="L321" t="n">
        <v>0</v>
      </c>
      <c r="M321" t="n">
        <v>0</v>
      </c>
      <c r="N321" t="n">
        <v>0</v>
      </c>
      <c r="O321" t="n">
        <v>0</v>
      </c>
      <c r="P321" t="n">
        <v>0</v>
      </c>
      <c r="Q321" t="n">
        <v>0</v>
      </c>
      <c r="R321" s="2" t="inlineStr"/>
    </row>
    <row r="322" ht="15" customHeight="1">
      <c r="A322" t="inlineStr">
        <is>
          <t>A 5074-2023</t>
        </is>
      </c>
      <c r="B322" s="1" t="n">
        <v>44958.61047453704</v>
      </c>
      <c r="C322" s="1" t="n">
        <v>46163</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30977-2025</t>
        </is>
      </c>
      <c r="B323" s="1" t="n">
        <v>45832.46649305556</v>
      </c>
      <c r="C323" s="1" t="n">
        <v>46163</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51187-2023</t>
        </is>
      </c>
      <c r="B324" s="1" t="n">
        <v>45219.40528935185</v>
      </c>
      <c r="C324" s="1" t="n">
        <v>46163</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33696-2025</t>
        </is>
      </c>
      <c r="B325" s="1" t="n">
        <v>45841.7072337963</v>
      </c>
      <c r="C325" s="1" t="n">
        <v>46163</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40925-2025</t>
        </is>
      </c>
      <c r="B326" s="1" t="n">
        <v>45897.64208333333</v>
      </c>
      <c r="C326" s="1" t="n">
        <v>46163</v>
      </c>
      <c r="D326" t="inlineStr">
        <is>
          <t>KALMAR LÄN</t>
        </is>
      </c>
      <c r="E326" t="inlineStr">
        <is>
          <t>VIMMERBY</t>
        </is>
      </c>
      <c r="G326" t="n">
        <v>1.9</v>
      </c>
      <c r="H326" t="n">
        <v>0</v>
      </c>
      <c r="I326" t="n">
        <v>0</v>
      </c>
      <c r="J326" t="n">
        <v>0</v>
      </c>
      <c r="K326" t="n">
        <v>0</v>
      </c>
      <c r="L326" t="n">
        <v>0</v>
      </c>
      <c r="M326" t="n">
        <v>0</v>
      </c>
      <c r="N326" t="n">
        <v>0</v>
      </c>
      <c r="O326" t="n">
        <v>0</v>
      </c>
      <c r="P326" t="n">
        <v>0</v>
      </c>
      <c r="Q326" t="n">
        <v>0</v>
      </c>
      <c r="R326" s="2" t="inlineStr"/>
    </row>
    <row r="327" ht="15" customHeight="1">
      <c r="A327" t="inlineStr">
        <is>
          <t>A 15715-2022</t>
        </is>
      </c>
      <c r="B327" s="1" t="n">
        <v>44663</v>
      </c>
      <c r="C327" s="1" t="n">
        <v>46163</v>
      </c>
      <c r="D327" t="inlineStr">
        <is>
          <t>KALMAR LÄN</t>
        </is>
      </c>
      <c r="E327" t="inlineStr">
        <is>
          <t>VIMMERBY</t>
        </is>
      </c>
      <c r="G327" t="n">
        <v>2.3</v>
      </c>
      <c r="H327" t="n">
        <v>0</v>
      </c>
      <c r="I327" t="n">
        <v>0</v>
      </c>
      <c r="J327" t="n">
        <v>0</v>
      </c>
      <c r="K327" t="n">
        <v>0</v>
      </c>
      <c r="L327" t="n">
        <v>0</v>
      </c>
      <c r="M327" t="n">
        <v>0</v>
      </c>
      <c r="N327" t="n">
        <v>0</v>
      </c>
      <c r="O327" t="n">
        <v>0</v>
      </c>
      <c r="P327" t="n">
        <v>0</v>
      </c>
      <c r="Q327" t="n">
        <v>0</v>
      </c>
      <c r="R327" s="2" t="inlineStr"/>
    </row>
    <row r="328" ht="15" customHeight="1">
      <c r="A328" t="inlineStr">
        <is>
          <t>A 43093-2024</t>
        </is>
      </c>
      <c r="B328" s="1" t="n">
        <v>45567</v>
      </c>
      <c r="C328" s="1" t="n">
        <v>46163</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26956-2025</t>
        </is>
      </c>
      <c r="B329" s="1" t="n">
        <v>45811.45460648148</v>
      </c>
      <c r="C329" s="1" t="n">
        <v>46163</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56022-2024</t>
        </is>
      </c>
      <c r="B330" s="1" t="n">
        <v>45623.95947916667</v>
      </c>
      <c r="C330" s="1" t="n">
        <v>46163</v>
      </c>
      <c r="D330" t="inlineStr">
        <is>
          <t>KALMAR LÄN</t>
        </is>
      </c>
      <c r="E330" t="inlineStr">
        <is>
          <t>VIMMERBY</t>
        </is>
      </c>
      <c r="G330" t="n">
        <v>0.3</v>
      </c>
      <c r="H330" t="n">
        <v>0</v>
      </c>
      <c r="I330" t="n">
        <v>0</v>
      </c>
      <c r="J330" t="n">
        <v>0</v>
      </c>
      <c r="K330" t="n">
        <v>0</v>
      </c>
      <c r="L330" t="n">
        <v>0</v>
      </c>
      <c r="M330" t="n">
        <v>0</v>
      </c>
      <c r="N330" t="n">
        <v>0</v>
      </c>
      <c r="O330" t="n">
        <v>0</v>
      </c>
      <c r="P330" t="n">
        <v>0</v>
      </c>
      <c r="Q330" t="n">
        <v>0</v>
      </c>
      <c r="R330" s="2" t="inlineStr"/>
    </row>
    <row r="331" ht="15" customHeight="1">
      <c r="A331" t="inlineStr">
        <is>
          <t>A 40921-2025</t>
        </is>
      </c>
      <c r="B331" s="1" t="n">
        <v>45897.63520833333</v>
      </c>
      <c r="C331" s="1" t="n">
        <v>46163</v>
      </c>
      <c r="D331" t="inlineStr">
        <is>
          <t>KALMAR LÄN</t>
        </is>
      </c>
      <c r="E331" t="inlineStr">
        <is>
          <t>VIMMERBY</t>
        </is>
      </c>
      <c r="G331" t="n">
        <v>4.2</v>
      </c>
      <c r="H331" t="n">
        <v>0</v>
      </c>
      <c r="I331" t="n">
        <v>0</v>
      </c>
      <c r="J331" t="n">
        <v>0</v>
      </c>
      <c r="K331" t="n">
        <v>0</v>
      </c>
      <c r="L331" t="n">
        <v>0</v>
      </c>
      <c r="M331" t="n">
        <v>0</v>
      </c>
      <c r="N331" t="n">
        <v>0</v>
      </c>
      <c r="O331" t="n">
        <v>0</v>
      </c>
      <c r="P331" t="n">
        <v>0</v>
      </c>
      <c r="Q331" t="n">
        <v>0</v>
      </c>
      <c r="R331" s="2" t="inlineStr"/>
    </row>
    <row r="332" ht="15" customHeight="1">
      <c r="A332" t="inlineStr">
        <is>
          <t>A 18330-2023</t>
        </is>
      </c>
      <c r="B332" s="1" t="n">
        <v>45041</v>
      </c>
      <c r="C332" s="1" t="n">
        <v>46163</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34071-2025</t>
        </is>
      </c>
      <c r="B333" s="1" t="n">
        <v>45845.43803240741</v>
      </c>
      <c r="C333" s="1" t="n">
        <v>46163</v>
      </c>
      <c r="D333" t="inlineStr">
        <is>
          <t>KALMAR LÄN</t>
        </is>
      </c>
      <c r="E333" t="inlineStr">
        <is>
          <t>VIMMERBY</t>
        </is>
      </c>
      <c r="G333" t="n">
        <v>6.8</v>
      </c>
      <c r="H333" t="n">
        <v>0</v>
      </c>
      <c r="I333" t="n">
        <v>0</v>
      </c>
      <c r="J333" t="n">
        <v>0</v>
      </c>
      <c r="K333" t="n">
        <v>0</v>
      </c>
      <c r="L333" t="n">
        <v>0</v>
      </c>
      <c r="M333" t="n">
        <v>0</v>
      </c>
      <c r="N333" t="n">
        <v>0</v>
      </c>
      <c r="O333" t="n">
        <v>0</v>
      </c>
      <c r="P333" t="n">
        <v>0</v>
      </c>
      <c r="Q333" t="n">
        <v>0</v>
      </c>
      <c r="R333" s="2" t="inlineStr"/>
    </row>
    <row r="334" ht="15" customHeight="1">
      <c r="A334" t="inlineStr">
        <is>
          <t>A 34106-2025</t>
        </is>
      </c>
      <c r="B334" s="1" t="n">
        <v>45845.49414351852</v>
      </c>
      <c r="C334" s="1" t="n">
        <v>46163</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28702-2025</t>
        </is>
      </c>
      <c r="B335" s="1" t="n">
        <v>45820.03976851852</v>
      </c>
      <c r="C335" s="1" t="n">
        <v>46163</v>
      </c>
      <c r="D335" t="inlineStr">
        <is>
          <t>KALMAR LÄN</t>
        </is>
      </c>
      <c r="E335" t="inlineStr">
        <is>
          <t>VIMMERBY</t>
        </is>
      </c>
      <c r="G335" t="n">
        <v>2.1</v>
      </c>
      <c r="H335" t="n">
        <v>0</v>
      </c>
      <c r="I335" t="n">
        <v>0</v>
      </c>
      <c r="J335" t="n">
        <v>0</v>
      </c>
      <c r="K335" t="n">
        <v>0</v>
      </c>
      <c r="L335" t="n">
        <v>0</v>
      </c>
      <c r="M335" t="n">
        <v>0</v>
      </c>
      <c r="N335" t="n">
        <v>0</v>
      </c>
      <c r="O335" t="n">
        <v>0</v>
      </c>
      <c r="P335" t="n">
        <v>0</v>
      </c>
      <c r="Q335" t="n">
        <v>0</v>
      </c>
      <c r="R335" s="2" t="inlineStr"/>
    </row>
    <row r="336" ht="15" customHeight="1">
      <c r="A336" t="inlineStr">
        <is>
          <t>A 20126-2024</t>
        </is>
      </c>
      <c r="B336" s="1" t="n">
        <v>45434.55471064815</v>
      </c>
      <c r="C336" s="1" t="n">
        <v>46163</v>
      </c>
      <c r="D336" t="inlineStr">
        <is>
          <t>KALMAR LÄN</t>
        </is>
      </c>
      <c r="E336" t="inlineStr">
        <is>
          <t>VIMMERBY</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20136-2024</t>
        </is>
      </c>
      <c r="B337" s="1" t="n">
        <v>45434.56291666667</v>
      </c>
      <c r="C337" s="1" t="n">
        <v>46163</v>
      </c>
      <c r="D337" t="inlineStr">
        <is>
          <t>KALMAR LÄN</t>
        </is>
      </c>
      <c r="E337" t="inlineStr">
        <is>
          <t>VIMMERBY</t>
        </is>
      </c>
      <c r="F337" t="inlineStr">
        <is>
          <t>Sveaskog</t>
        </is>
      </c>
      <c r="G337" t="n">
        <v>8.4</v>
      </c>
      <c r="H337" t="n">
        <v>0</v>
      </c>
      <c r="I337" t="n">
        <v>0</v>
      </c>
      <c r="J337" t="n">
        <v>0</v>
      </c>
      <c r="K337" t="n">
        <v>0</v>
      </c>
      <c r="L337" t="n">
        <v>0</v>
      </c>
      <c r="M337" t="n">
        <v>0</v>
      </c>
      <c r="N337" t="n">
        <v>0</v>
      </c>
      <c r="O337" t="n">
        <v>0</v>
      </c>
      <c r="P337" t="n">
        <v>0</v>
      </c>
      <c r="Q337" t="n">
        <v>0</v>
      </c>
      <c r="R337" s="2" t="inlineStr"/>
    </row>
    <row r="338" ht="15" customHeight="1">
      <c r="A338" t="inlineStr">
        <is>
          <t>A 46921-2023</t>
        </is>
      </c>
      <c r="B338" s="1" t="n">
        <v>45201.39996527778</v>
      </c>
      <c r="C338" s="1" t="n">
        <v>46163</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25236-2023</t>
        </is>
      </c>
      <c r="B339" s="1" t="n">
        <v>45086.63334490741</v>
      </c>
      <c r="C339" s="1" t="n">
        <v>46163</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6082-2022</t>
        </is>
      </c>
      <c r="B340" s="1" t="n">
        <v>44599</v>
      </c>
      <c r="C340" s="1" t="n">
        <v>46163</v>
      </c>
      <c r="D340" t="inlineStr">
        <is>
          <t>KALMAR LÄN</t>
        </is>
      </c>
      <c r="E340" t="inlineStr">
        <is>
          <t>VIMMERBY</t>
        </is>
      </c>
      <c r="G340" t="n">
        <v>0.6</v>
      </c>
      <c r="H340" t="n">
        <v>0</v>
      </c>
      <c r="I340" t="n">
        <v>0</v>
      </c>
      <c r="J340" t="n">
        <v>0</v>
      </c>
      <c r="K340" t="n">
        <v>0</v>
      </c>
      <c r="L340" t="n">
        <v>0</v>
      </c>
      <c r="M340" t="n">
        <v>0</v>
      </c>
      <c r="N340" t="n">
        <v>0</v>
      </c>
      <c r="O340" t="n">
        <v>0</v>
      </c>
      <c r="P340" t="n">
        <v>0</v>
      </c>
      <c r="Q340" t="n">
        <v>0</v>
      </c>
      <c r="R340" s="2" t="inlineStr"/>
    </row>
    <row r="341" ht="15" customHeight="1">
      <c r="A341" t="inlineStr">
        <is>
          <t>A 41224-2025</t>
        </is>
      </c>
      <c r="B341" s="1" t="n">
        <v>45898.58861111111</v>
      </c>
      <c r="C341" s="1" t="n">
        <v>46163</v>
      </c>
      <c r="D341" t="inlineStr">
        <is>
          <t>KALMAR LÄN</t>
        </is>
      </c>
      <c r="E341" t="inlineStr">
        <is>
          <t>VIMMERBY</t>
        </is>
      </c>
      <c r="G341" t="n">
        <v>4.4</v>
      </c>
      <c r="H341" t="n">
        <v>0</v>
      </c>
      <c r="I341" t="n">
        <v>0</v>
      </c>
      <c r="J341" t="n">
        <v>0</v>
      </c>
      <c r="K341" t="n">
        <v>0</v>
      </c>
      <c r="L341" t="n">
        <v>0</v>
      </c>
      <c r="M341" t="n">
        <v>0</v>
      </c>
      <c r="N341" t="n">
        <v>0</v>
      </c>
      <c r="O341" t="n">
        <v>0</v>
      </c>
      <c r="P341" t="n">
        <v>0</v>
      </c>
      <c r="Q341" t="n">
        <v>0</v>
      </c>
      <c r="R341" s="2" t="inlineStr"/>
    </row>
    <row r="342" ht="15" customHeight="1">
      <c r="A342" t="inlineStr">
        <is>
          <t>A 34628-2025</t>
        </is>
      </c>
      <c r="B342" s="1" t="n">
        <v>45847.91280092593</v>
      </c>
      <c r="C342" s="1" t="n">
        <v>46163</v>
      </c>
      <c r="D342" t="inlineStr">
        <is>
          <t>KALMAR LÄN</t>
        </is>
      </c>
      <c r="E342" t="inlineStr">
        <is>
          <t>VIMMERBY</t>
        </is>
      </c>
      <c r="G342" t="n">
        <v>4.2</v>
      </c>
      <c r="H342" t="n">
        <v>0</v>
      </c>
      <c r="I342" t="n">
        <v>0</v>
      </c>
      <c r="J342" t="n">
        <v>0</v>
      </c>
      <c r="K342" t="n">
        <v>0</v>
      </c>
      <c r="L342" t="n">
        <v>0</v>
      </c>
      <c r="M342" t="n">
        <v>0</v>
      </c>
      <c r="N342" t="n">
        <v>0</v>
      </c>
      <c r="O342" t="n">
        <v>0</v>
      </c>
      <c r="P342" t="n">
        <v>0</v>
      </c>
      <c r="Q342" t="n">
        <v>0</v>
      </c>
      <c r="R342" s="2" t="inlineStr"/>
    </row>
    <row r="343" ht="15" customHeight="1">
      <c r="A343" t="inlineStr">
        <is>
          <t>A 2801-2023</t>
        </is>
      </c>
      <c r="B343" s="1" t="n">
        <v>44944.73487268519</v>
      </c>
      <c r="C343" s="1" t="n">
        <v>46163</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41591-2025</t>
        </is>
      </c>
      <c r="B344" s="1" t="n">
        <v>45901.6327662037</v>
      </c>
      <c r="C344" s="1" t="n">
        <v>46163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40971-2025</t>
        </is>
      </c>
      <c r="B345" s="1" t="n">
        <v>45897.88836805556</v>
      </c>
      <c r="C345" s="1" t="n">
        <v>46163</v>
      </c>
      <c r="D345" t="inlineStr">
        <is>
          <t>KALMAR LÄN</t>
        </is>
      </c>
      <c r="E345" t="inlineStr">
        <is>
          <t>VIMMERBY</t>
        </is>
      </c>
      <c r="G345" t="n">
        <v>1.5</v>
      </c>
      <c r="H345" t="n">
        <v>0</v>
      </c>
      <c r="I345" t="n">
        <v>0</v>
      </c>
      <c r="J345" t="n">
        <v>0</v>
      </c>
      <c r="K345" t="n">
        <v>0</v>
      </c>
      <c r="L345" t="n">
        <v>0</v>
      </c>
      <c r="M345" t="n">
        <v>0</v>
      </c>
      <c r="N345" t="n">
        <v>0</v>
      </c>
      <c r="O345" t="n">
        <v>0</v>
      </c>
      <c r="P345" t="n">
        <v>0</v>
      </c>
      <c r="Q345" t="n">
        <v>0</v>
      </c>
      <c r="R345" s="2" t="inlineStr"/>
    </row>
    <row r="346" ht="15" customHeight="1">
      <c r="A346" t="inlineStr">
        <is>
          <t>A 41589-2025</t>
        </is>
      </c>
      <c r="B346" s="1" t="n">
        <v>45901.63219907408</v>
      </c>
      <c r="C346" s="1" t="n">
        <v>46163</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5146-2024</t>
        </is>
      </c>
      <c r="B347" s="1" t="n">
        <v>45330</v>
      </c>
      <c r="C347" s="1" t="n">
        <v>46163</v>
      </c>
      <c r="D347" t="inlineStr">
        <is>
          <t>KALMAR LÄN</t>
        </is>
      </c>
      <c r="E347" t="inlineStr">
        <is>
          <t>VIMMERBY</t>
        </is>
      </c>
      <c r="G347" t="n">
        <v>5.3</v>
      </c>
      <c r="H347" t="n">
        <v>0</v>
      </c>
      <c r="I347" t="n">
        <v>0</v>
      </c>
      <c r="J347" t="n">
        <v>0</v>
      </c>
      <c r="K347" t="n">
        <v>0</v>
      </c>
      <c r="L347" t="n">
        <v>0</v>
      </c>
      <c r="M347" t="n">
        <v>0</v>
      </c>
      <c r="N347" t="n">
        <v>0</v>
      </c>
      <c r="O347" t="n">
        <v>0</v>
      </c>
      <c r="P347" t="n">
        <v>0</v>
      </c>
      <c r="Q347" t="n">
        <v>0</v>
      </c>
      <c r="R347" s="2" t="inlineStr"/>
    </row>
    <row r="348" ht="15" customHeight="1">
      <c r="A348" t="inlineStr">
        <is>
          <t>A 5148-2024</t>
        </is>
      </c>
      <c r="B348" s="1" t="n">
        <v>45330</v>
      </c>
      <c r="C348" s="1" t="n">
        <v>46163</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40970-2025</t>
        </is>
      </c>
      <c r="B349" s="1" t="n">
        <v>45897.88706018519</v>
      </c>
      <c r="C349" s="1" t="n">
        <v>46163</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40973-2025</t>
        </is>
      </c>
      <c r="B350" s="1" t="n">
        <v>45897.89737268518</v>
      </c>
      <c r="C350" s="1" t="n">
        <v>46163</v>
      </c>
      <c r="D350" t="inlineStr">
        <is>
          <t>KALMAR LÄN</t>
        </is>
      </c>
      <c r="E350" t="inlineStr">
        <is>
          <t>VIMMERBY</t>
        </is>
      </c>
      <c r="G350" t="n">
        <v>1.8</v>
      </c>
      <c r="H350" t="n">
        <v>0</v>
      </c>
      <c r="I350" t="n">
        <v>0</v>
      </c>
      <c r="J350" t="n">
        <v>0</v>
      </c>
      <c r="K350" t="n">
        <v>0</v>
      </c>
      <c r="L350" t="n">
        <v>0</v>
      </c>
      <c r="M350" t="n">
        <v>0</v>
      </c>
      <c r="N350" t="n">
        <v>0</v>
      </c>
      <c r="O350" t="n">
        <v>0</v>
      </c>
      <c r="P350" t="n">
        <v>0</v>
      </c>
      <c r="Q350" t="n">
        <v>0</v>
      </c>
      <c r="R350" s="2" t="inlineStr"/>
    </row>
    <row r="351" ht="15" customHeight="1">
      <c r="A351" t="inlineStr">
        <is>
          <t>A 58278-2023</t>
        </is>
      </c>
      <c r="B351" s="1" t="n">
        <v>45250.5278587963</v>
      </c>
      <c r="C351" s="1" t="n">
        <v>46163</v>
      </c>
      <c r="D351" t="inlineStr">
        <is>
          <t>KALMAR LÄN</t>
        </is>
      </c>
      <c r="E351" t="inlineStr">
        <is>
          <t>VIMMERBY</t>
        </is>
      </c>
      <c r="G351" t="n">
        <v>1.8</v>
      </c>
      <c r="H351" t="n">
        <v>0</v>
      </c>
      <c r="I351" t="n">
        <v>0</v>
      </c>
      <c r="J351" t="n">
        <v>0</v>
      </c>
      <c r="K351" t="n">
        <v>0</v>
      </c>
      <c r="L351" t="n">
        <v>0</v>
      </c>
      <c r="M351" t="n">
        <v>0</v>
      </c>
      <c r="N351" t="n">
        <v>0</v>
      </c>
      <c r="O351" t="n">
        <v>0</v>
      </c>
      <c r="P351" t="n">
        <v>0</v>
      </c>
      <c r="Q351" t="n">
        <v>0</v>
      </c>
      <c r="R351" s="2" t="inlineStr"/>
    </row>
    <row r="352" ht="15" customHeight="1">
      <c r="A352" t="inlineStr">
        <is>
          <t>A 22266-2023</t>
        </is>
      </c>
      <c r="B352" s="1" t="n">
        <v>45070</v>
      </c>
      <c r="C352" s="1" t="n">
        <v>46163</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52588-2023</t>
        </is>
      </c>
      <c r="B353" s="1" t="n">
        <v>45225.60192129629</v>
      </c>
      <c r="C353" s="1" t="n">
        <v>46163</v>
      </c>
      <c r="D353" t="inlineStr">
        <is>
          <t>KALMAR LÄN</t>
        </is>
      </c>
      <c r="E353" t="inlineStr">
        <is>
          <t>VIMMERBY</t>
        </is>
      </c>
      <c r="G353" t="n">
        <v>2.9</v>
      </c>
      <c r="H353" t="n">
        <v>0</v>
      </c>
      <c r="I353" t="n">
        <v>0</v>
      </c>
      <c r="J353" t="n">
        <v>0</v>
      </c>
      <c r="K353" t="n">
        <v>0</v>
      </c>
      <c r="L353" t="n">
        <v>0</v>
      </c>
      <c r="M353" t="n">
        <v>0</v>
      </c>
      <c r="N353" t="n">
        <v>0</v>
      </c>
      <c r="O353" t="n">
        <v>0</v>
      </c>
      <c r="P353" t="n">
        <v>0</v>
      </c>
      <c r="Q353" t="n">
        <v>0</v>
      </c>
      <c r="R353" s="2" t="inlineStr"/>
    </row>
    <row r="354" ht="15" customHeight="1">
      <c r="A354" t="inlineStr">
        <is>
          <t>A 34090-2025</t>
        </is>
      </c>
      <c r="B354" s="1" t="n">
        <v>45845</v>
      </c>
      <c r="C354" s="1" t="n">
        <v>46163</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6802-2025</t>
        </is>
      </c>
      <c r="B355" s="1" t="n">
        <v>45700.68289351852</v>
      </c>
      <c r="C355" s="1" t="n">
        <v>46163</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71793-2021</t>
        </is>
      </c>
      <c r="B356" s="1" t="n">
        <v>44539</v>
      </c>
      <c r="C356" s="1" t="n">
        <v>46163</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527-2024</t>
        </is>
      </c>
      <c r="B357" s="1" t="n">
        <v>45299.47513888889</v>
      </c>
      <c r="C357" s="1" t="n">
        <v>46163</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35270-2025</t>
        </is>
      </c>
      <c r="B358" s="1" t="n">
        <v>45853.87112268519</v>
      </c>
      <c r="C358" s="1" t="n">
        <v>46163</v>
      </c>
      <c r="D358" t="inlineStr">
        <is>
          <t>KALMAR LÄN</t>
        </is>
      </c>
      <c r="E358" t="inlineStr">
        <is>
          <t>VIMMERBY</t>
        </is>
      </c>
      <c r="G358" t="n">
        <v>2.4</v>
      </c>
      <c r="H358" t="n">
        <v>0</v>
      </c>
      <c r="I358" t="n">
        <v>0</v>
      </c>
      <c r="J358" t="n">
        <v>0</v>
      </c>
      <c r="K358" t="n">
        <v>0</v>
      </c>
      <c r="L358" t="n">
        <v>0</v>
      </c>
      <c r="M358" t="n">
        <v>0</v>
      </c>
      <c r="N358" t="n">
        <v>0</v>
      </c>
      <c r="O358" t="n">
        <v>0</v>
      </c>
      <c r="P358" t="n">
        <v>0</v>
      </c>
      <c r="Q358" t="n">
        <v>0</v>
      </c>
      <c r="R358" s="2" t="inlineStr"/>
    </row>
    <row r="359" ht="15" customHeight="1">
      <c r="A359" t="inlineStr">
        <is>
          <t>A 35271-2025</t>
        </is>
      </c>
      <c r="B359" s="1" t="n">
        <v>45853.87599537037</v>
      </c>
      <c r="C359" s="1" t="n">
        <v>46163</v>
      </c>
      <c r="D359" t="inlineStr">
        <is>
          <t>KALMAR LÄN</t>
        </is>
      </c>
      <c r="E359" t="inlineStr">
        <is>
          <t>VIMMERBY</t>
        </is>
      </c>
      <c r="G359" t="n">
        <v>0.4</v>
      </c>
      <c r="H359" t="n">
        <v>0</v>
      </c>
      <c r="I359" t="n">
        <v>0</v>
      </c>
      <c r="J359" t="n">
        <v>0</v>
      </c>
      <c r="K359" t="n">
        <v>0</v>
      </c>
      <c r="L359" t="n">
        <v>0</v>
      </c>
      <c r="M359" t="n">
        <v>0</v>
      </c>
      <c r="N359" t="n">
        <v>0</v>
      </c>
      <c r="O359" t="n">
        <v>0</v>
      </c>
      <c r="P359" t="n">
        <v>0</v>
      </c>
      <c r="Q359" t="n">
        <v>0</v>
      </c>
      <c r="R359" s="2" t="inlineStr"/>
    </row>
    <row r="360" ht="15" customHeight="1">
      <c r="A360" t="inlineStr">
        <is>
          <t>A 35272-2025</t>
        </is>
      </c>
      <c r="B360" s="1" t="n">
        <v>45853.88070601852</v>
      </c>
      <c r="C360" s="1" t="n">
        <v>46163</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60230-2022</t>
        </is>
      </c>
      <c r="B361" s="1" t="n">
        <v>44910</v>
      </c>
      <c r="C361" s="1" t="n">
        <v>46163</v>
      </c>
      <c r="D361" t="inlineStr">
        <is>
          <t>KALMAR LÄN</t>
        </is>
      </c>
      <c r="E361" t="inlineStr">
        <is>
          <t>VIMMERBY</t>
        </is>
      </c>
      <c r="G361" t="n">
        <v>11.3</v>
      </c>
      <c r="H361" t="n">
        <v>0</v>
      </c>
      <c r="I361" t="n">
        <v>0</v>
      </c>
      <c r="J361" t="n">
        <v>0</v>
      </c>
      <c r="K361" t="n">
        <v>0</v>
      </c>
      <c r="L361" t="n">
        <v>0</v>
      </c>
      <c r="M361" t="n">
        <v>0</v>
      </c>
      <c r="N361" t="n">
        <v>0</v>
      </c>
      <c r="O361" t="n">
        <v>0</v>
      </c>
      <c r="P361" t="n">
        <v>0</v>
      </c>
      <c r="Q361" t="n">
        <v>0</v>
      </c>
      <c r="R361" s="2" t="inlineStr"/>
    </row>
    <row r="362" ht="15" customHeight="1">
      <c r="A362" t="inlineStr">
        <is>
          <t>A 16953-2025</t>
        </is>
      </c>
      <c r="B362" s="1" t="n">
        <v>45755.44333333334</v>
      </c>
      <c r="C362" s="1" t="n">
        <v>46163</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35596-2025</t>
        </is>
      </c>
      <c r="B363" s="1" t="n">
        <v>45858.60641203704</v>
      </c>
      <c r="C363" s="1" t="n">
        <v>46163</v>
      </c>
      <c r="D363" t="inlineStr">
        <is>
          <t>KALMAR LÄN</t>
        </is>
      </c>
      <c r="E363" t="inlineStr">
        <is>
          <t>VIMMERBY</t>
        </is>
      </c>
      <c r="G363" t="n">
        <v>2.8</v>
      </c>
      <c r="H363" t="n">
        <v>0</v>
      </c>
      <c r="I363" t="n">
        <v>0</v>
      </c>
      <c r="J363" t="n">
        <v>0</v>
      </c>
      <c r="K363" t="n">
        <v>0</v>
      </c>
      <c r="L363" t="n">
        <v>0</v>
      </c>
      <c r="M363" t="n">
        <v>0</v>
      </c>
      <c r="N363" t="n">
        <v>0</v>
      </c>
      <c r="O363" t="n">
        <v>0</v>
      </c>
      <c r="P363" t="n">
        <v>0</v>
      </c>
      <c r="Q363" t="n">
        <v>0</v>
      </c>
      <c r="R363" s="2" t="inlineStr"/>
    </row>
    <row r="364" ht="15" customHeight="1">
      <c r="A364" t="inlineStr">
        <is>
          <t>A 35597-2025</t>
        </is>
      </c>
      <c r="B364" s="1" t="n">
        <v>45858.66019675926</v>
      </c>
      <c r="C364" s="1" t="n">
        <v>46163</v>
      </c>
      <c r="D364" t="inlineStr">
        <is>
          <t>KALMAR LÄN</t>
        </is>
      </c>
      <c r="E364" t="inlineStr">
        <is>
          <t>VIMMERBY</t>
        </is>
      </c>
      <c r="G364" t="n">
        <v>6.4</v>
      </c>
      <c r="H364" t="n">
        <v>0</v>
      </c>
      <c r="I364" t="n">
        <v>0</v>
      </c>
      <c r="J364" t="n">
        <v>0</v>
      </c>
      <c r="K364" t="n">
        <v>0</v>
      </c>
      <c r="L364" t="n">
        <v>0</v>
      </c>
      <c r="M364" t="n">
        <v>0</v>
      </c>
      <c r="N364" t="n">
        <v>0</v>
      </c>
      <c r="O364" t="n">
        <v>0</v>
      </c>
      <c r="P364" t="n">
        <v>0</v>
      </c>
      <c r="Q364" t="n">
        <v>0</v>
      </c>
      <c r="R364" s="2" t="inlineStr"/>
    </row>
    <row r="365" ht="15" customHeight="1">
      <c r="A365" t="inlineStr">
        <is>
          <t>A 5925-2022</t>
        </is>
      </c>
      <c r="B365" s="1" t="n">
        <v>44598.7384837963</v>
      </c>
      <c r="C365" s="1" t="n">
        <v>46163</v>
      </c>
      <c r="D365" t="inlineStr">
        <is>
          <t>KALMAR LÄN</t>
        </is>
      </c>
      <c r="E365" t="inlineStr">
        <is>
          <t>VIMMERBY</t>
        </is>
      </c>
      <c r="G365" t="n">
        <v>2.1</v>
      </c>
      <c r="H365" t="n">
        <v>0</v>
      </c>
      <c r="I365" t="n">
        <v>0</v>
      </c>
      <c r="J365" t="n">
        <v>0</v>
      </c>
      <c r="K365" t="n">
        <v>0</v>
      </c>
      <c r="L365" t="n">
        <v>0</v>
      </c>
      <c r="M365" t="n">
        <v>0</v>
      </c>
      <c r="N365" t="n">
        <v>0</v>
      </c>
      <c r="O365" t="n">
        <v>0</v>
      </c>
      <c r="P365" t="n">
        <v>0</v>
      </c>
      <c r="Q365" t="n">
        <v>0</v>
      </c>
      <c r="R365" s="2" t="inlineStr"/>
    </row>
    <row r="366" ht="15" customHeight="1">
      <c r="A366" t="inlineStr">
        <is>
          <t>A 41735-2025</t>
        </is>
      </c>
      <c r="B366" s="1" t="n">
        <v>45902.47164351852</v>
      </c>
      <c r="C366" s="1" t="n">
        <v>46163</v>
      </c>
      <c r="D366" t="inlineStr">
        <is>
          <t>KALMAR LÄN</t>
        </is>
      </c>
      <c r="E366" t="inlineStr">
        <is>
          <t>VIMMERBY</t>
        </is>
      </c>
      <c r="G366" t="n">
        <v>3</v>
      </c>
      <c r="H366" t="n">
        <v>0</v>
      </c>
      <c r="I366" t="n">
        <v>0</v>
      </c>
      <c r="J366" t="n">
        <v>0</v>
      </c>
      <c r="K366" t="n">
        <v>0</v>
      </c>
      <c r="L366" t="n">
        <v>0</v>
      </c>
      <c r="M366" t="n">
        <v>0</v>
      </c>
      <c r="N366" t="n">
        <v>0</v>
      </c>
      <c r="O366" t="n">
        <v>0</v>
      </c>
      <c r="P366" t="n">
        <v>0</v>
      </c>
      <c r="Q366" t="n">
        <v>0</v>
      </c>
      <c r="R366" s="2" t="inlineStr"/>
    </row>
    <row r="367" ht="15" customHeight="1">
      <c r="A367" t="inlineStr">
        <is>
          <t>A 46522-2022</t>
        </is>
      </c>
      <c r="B367" s="1" t="n">
        <v>44848.59133101852</v>
      </c>
      <c r="C367" s="1" t="n">
        <v>46163</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41066-2024</t>
        </is>
      </c>
      <c r="B368" s="1" t="n">
        <v>45559.38876157408</v>
      </c>
      <c r="C368" s="1" t="n">
        <v>46163</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52279-2023</t>
        </is>
      </c>
      <c r="B369" s="1" t="n">
        <v>45224</v>
      </c>
      <c r="C369" s="1" t="n">
        <v>46163</v>
      </c>
      <c r="D369" t="inlineStr">
        <is>
          <t>KALMAR LÄN</t>
        </is>
      </c>
      <c r="E369" t="inlineStr">
        <is>
          <t>VIMMERBY</t>
        </is>
      </c>
      <c r="G369" t="n">
        <v>1.8</v>
      </c>
      <c r="H369" t="n">
        <v>0</v>
      </c>
      <c r="I369" t="n">
        <v>0</v>
      </c>
      <c r="J369" t="n">
        <v>0</v>
      </c>
      <c r="K369" t="n">
        <v>0</v>
      </c>
      <c r="L369" t="n">
        <v>0</v>
      </c>
      <c r="M369" t="n">
        <v>0</v>
      </c>
      <c r="N369" t="n">
        <v>0</v>
      </c>
      <c r="O369" t="n">
        <v>0</v>
      </c>
      <c r="P369" t="n">
        <v>0</v>
      </c>
      <c r="Q369" t="n">
        <v>0</v>
      </c>
      <c r="R369" s="2" t="inlineStr"/>
    </row>
    <row r="370" ht="15" customHeight="1">
      <c r="A370" t="inlineStr">
        <is>
          <t>A 17486-2024</t>
        </is>
      </c>
      <c r="B370" s="1" t="n">
        <v>45415.48979166667</v>
      </c>
      <c r="C370" s="1" t="n">
        <v>46163</v>
      </c>
      <c r="D370" t="inlineStr">
        <is>
          <t>KALMAR LÄN</t>
        </is>
      </c>
      <c r="E370" t="inlineStr">
        <is>
          <t>VIMMERBY</t>
        </is>
      </c>
      <c r="G370" t="n">
        <v>2.6</v>
      </c>
      <c r="H370" t="n">
        <v>0</v>
      </c>
      <c r="I370" t="n">
        <v>0</v>
      </c>
      <c r="J370" t="n">
        <v>0</v>
      </c>
      <c r="K370" t="n">
        <v>0</v>
      </c>
      <c r="L370" t="n">
        <v>0</v>
      </c>
      <c r="M370" t="n">
        <v>0</v>
      </c>
      <c r="N370" t="n">
        <v>0</v>
      </c>
      <c r="O370" t="n">
        <v>0</v>
      </c>
      <c r="P370" t="n">
        <v>0</v>
      </c>
      <c r="Q370" t="n">
        <v>0</v>
      </c>
      <c r="R370" s="2" t="inlineStr"/>
    </row>
    <row r="371" ht="15" customHeight="1">
      <c r="A371" t="inlineStr">
        <is>
          <t>A 71631-2021</t>
        </is>
      </c>
      <c r="B371" s="1" t="n">
        <v>44542.90072916666</v>
      </c>
      <c r="C371" s="1" t="n">
        <v>46163</v>
      </c>
      <c r="D371" t="inlineStr">
        <is>
          <t>KALMAR LÄN</t>
        </is>
      </c>
      <c r="E371" t="inlineStr">
        <is>
          <t>VIMMERBY</t>
        </is>
      </c>
      <c r="G371" t="n">
        <v>0.9</v>
      </c>
      <c r="H371" t="n">
        <v>0</v>
      </c>
      <c r="I371" t="n">
        <v>0</v>
      </c>
      <c r="J371" t="n">
        <v>0</v>
      </c>
      <c r="K371" t="n">
        <v>0</v>
      </c>
      <c r="L371" t="n">
        <v>0</v>
      </c>
      <c r="M371" t="n">
        <v>0</v>
      </c>
      <c r="N371" t="n">
        <v>0</v>
      </c>
      <c r="O371" t="n">
        <v>0</v>
      </c>
      <c r="P371" t="n">
        <v>0</v>
      </c>
      <c r="Q371" t="n">
        <v>0</v>
      </c>
      <c r="R371" s="2" t="inlineStr"/>
    </row>
    <row r="372" ht="15" customHeight="1">
      <c r="A372" t="inlineStr">
        <is>
          <t>A 36226-2025</t>
        </is>
      </c>
      <c r="B372" s="1" t="n">
        <v>45867.51630787037</v>
      </c>
      <c r="C372" s="1" t="n">
        <v>46163</v>
      </c>
      <c r="D372" t="inlineStr">
        <is>
          <t>KALMAR LÄN</t>
        </is>
      </c>
      <c r="E372" t="inlineStr">
        <is>
          <t>VIMMERBY</t>
        </is>
      </c>
      <c r="G372" t="n">
        <v>3.1</v>
      </c>
      <c r="H372" t="n">
        <v>0</v>
      </c>
      <c r="I372" t="n">
        <v>0</v>
      </c>
      <c r="J372" t="n">
        <v>0</v>
      </c>
      <c r="K372" t="n">
        <v>0</v>
      </c>
      <c r="L372" t="n">
        <v>0</v>
      </c>
      <c r="M372" t="n">
        <v>0</v>
      </c>
      <c r="N372" t="n">
        <v>0</v>
      </c>
      <c r="O372" t="n">
        <v>0</v>
      </c>
      <c r="P372" t="n">
        <v>0</v>
      </c>
      <c r="Q372" t="n">
        <v>0</v>
      </c>
      <c r="R372" s="2" t="inlineStr"/>
    </row>
    <row r="373" ht="15" customHeight="1">
      <c r="A373" t="inlineStr">
        <is>
          <t>A 36273-2025</t>
        </is>
      </c>
      <c r="B373" s="1" t="n">
        <v>45867.63094907408</v>
      </c>
      <c r="C373" s="1" t="n">
        <v>46163</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36282-2025</t>
        </is>
      </c>
      <c r="B374" s="1" t="n">
        <v>45867.64663194444</v>
      </c>
      <c r="C374" s="1" t="n">
        <v>46163</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36246-2025</t>
        </is>
      </c>
      <c r="B375" s="1" t="n">
        <v>45867.56320601852</v>
      </c>
      <c r="C375" s="1" t="n">
        <v>46163</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36297-2025</t>
        </is>
      </c>
      <c r="B376" s="1" t="n">
        <v>45867.68625</v>
      </c>
      <c r="C376" s="1" t="n">
        <v>46163</v>
      </c>
      <c r="D376" t="inlineStr">
        <is>
          <t>KALMAR LÄN</t>
        </is>
      </c>
      <c r="E376" t="inlineStr">
        <is>
          <t>VIMMERBY</t>
        </is>
      </c>
      <c r="G376" t="n">
        <v>4.9</v>
      </c>
      <c r="H376" t="n">
        <v>0</v>
      </c>
      <c r="I376" t="n">
        <v>0</v>
      </c>
      <c r="J376" t="n">
        <v>0</v>
      </c>
      <c r="K376" t="n">
        <v>0</v>
      </c>
      <c r="L376" t="n">
        <v>0</v>
      </c>
      <c r="M376" t="n">
        <v>0</v>
      </c>
      <c r="N376" t="n">
        <v>0</v>
      </c>
      <c r="O376" t="n">
        <v>0</v>
      </c>
      <c r="P376" t="n">
        <v>0</v>
      </c>
      <c r="Q376" t="n">
        <v>0</v>
      </c>
      <c r="R376" s="2" t="inlineStr"/>
    </row>
    <row r="377" ht="15" customHeight="1">
      <c r="A377" t="inlineStr">
        <is>
          <t>A 36221-2025</t>
        </is>
      </c>
      <c r="B377" s="1" t="n">
        <v>45867.50792824074</v>
      </c>
      <c r="C377" s="1" t="n">
        <v>46163</v>
      </c>
      <c r="D377" t="inlineStr">
        <is>
          <t>KALMAR LÄN</t>
        </is>
      </c>
      <c r="E377" t="inlineStr">
        <is>
          <t>VIMMERBY</t>
        </is>
      </c>
      <c r="G377" t="n">
        <v>2.5</v>
      </c>
      <c r="H377" t="n">
        <v>0</v>
      </c>
      <c r="I377" t="n">
        <v>0</v>
      </c>
      <c r="J377" t="n">
        <v>0</v>
      </c>
      <c r="K377" t="n">
        <v>0</v>
      </c>
      <c r="L377" t="n">
        <v>0</v>
      </c>
      <c r="M377" t="n">
        <v>0</v>
      </c>
      <c r="N377" t="n">
        <v>0</v>
      </c>
      <c r="O377" t="n">
        <v>0</v>
      </c>
      <c r="P377" t="n">
        <v>0</v>
      </c>
      <c r="Q377" t="n">
        <v>0</v>
      </c>
      <c r="R377" s="2" t="inlineStr"/>
    </row>
    <row r="378" ht="15" customHeight="1">
      <c r="A378" t="inlineStr">
        <is>
          <t>A 19502-2025</t>
        </is>
      </c>
      <c r="B378" s="1" t="n">
        <v>45769</v>
      </c>
      <c r="C378" s="1" t="n">
        <v>46163</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36299-2025</t>
        </is>
      </c>
      <c r="B379" s="1" t="n">
        <v>45867.69346064814</v>
      </c>
      <c r="C379" s="1" t="n">
        <v>46163</v>
      </c>
      <c r="D379" t="inlineStr">
        <is>
          <t>KALMAR LÄN</t>
        </is>
      </c>
      <c r="E379" t="inlineStr">
        <is>
          <t>VIMMERBY</t>
        </is>
      </c>
      <c r="G379" t="n">
        <v>7.6</v>
      </c>
      <c r="H379" t="n">
        <v>0</v>
      </c>
      <c r="I379" t="n">
        <v>0</v>
      </c>
      <c r="J379" t="n">
        <v>0</v>
      </c>
      <c r="K379" t="n">
        <v>0</v>
      </c>
      <c r="L379" t="n">
        <v>0</v>
      </c>
      <c r="M379" t="n">
        <v>0</v>
      </c>
      <c r="N379" t="n">
        <v>0</v>
      </c>
      <c r="O379" t="n">
        <v>0</v>
      </c>
      <c r="P379" t="n">
        <v>0</v>
      </c>
      <c r="Q379" t="n">
        <v>0</v>
      </c>
      <c r="R379" s="2" t="inlineStr"/>
    </row>
    <row r="380" ht="15" customHeight="1">
      <c r="A380" t="inlineStr">
        <is>
          <t>A 42828-2025</t>
        </is>
      </c>
      <c r="B380" s="1" t="n">
        <v>45908.57716435185</v>
      </c>
      <c r="C380" s="1" t="n">
        <v>46163</v>
      </c>
      <c r="D380" t="inlineStr">
        <is>
          <t>KALMAR LÄN</t>
        </is>
      </c>
      <c r="E380" t="inlineStr">
        <is>
          <t>VIMMERBY</t>
        </is>
      </c>
      <c r="G380" t="n">
        <v>5.2</v>
      </c>
      <c r="H380" t="n">
        <v>0</v>
      </c>
      <c r="I380" t="n">
        <v>0</v>
      </c>
      <c r="J380" t="n">
        <v>0</v>
      </c>
      <c r="K380" t="n">
        <v>0</v>
      </c>
      <c r="L380" t="n">
        <v>0</v>
      </c>
      <c r="M380" t="n">
        <v>0</v>
      </c>
      <c r="N380" t="n">
        <v>0</v>
      </c>
      <c r="O380" t="n">
        <v>0</v>
      </c>
      <c r="P380" t="n">
        <v>0</v>
      </c>
      <c r="Q380" t="n">
        <v>0</v>
      </c>
      <c r="R380" s="2" t="inlineStr"/>
    </row>
    <row r="381" ht="15" customHeight="1">
      <c r="A381" t="inlineStr">
        <is>
          <t>A 16015-2025</t>
        </is>
      </c>
      <c r="B381" s="1" t="n">
        <v>45749.60487268519</v>
      </c>
      <c r="C381" s="1" t="n">
        <v>46163</v>
      </c>
      <c r="D381" t="inlineStr">
        <is>
          <t>KALMAR LÄN</t>
        </is>
      </c>
      <c r="E381" t="inlineStr">
        <is>
          <t>VIMMERBY</t>
        </is>
      </c>
      <c r="F381" t="inlineStr">
        <is>
          <t>Kyrkan</t>
        </is>
      </c>
      <c r="G381" t="n">
        <v>2.7</v>
      </c>
      <c r="H381" t="n">
        <v>0</v>
      </c>
      <c r="I381" t="n">
        <v>0</v>
      </c>
      <c r="J381" t="n">
        <v>0</v>
      </c>
      <c r="K381" t="n">
        <v>0</v>
      </c>
      <c r="L381" t="n">
        <v>0</v>
      </c>
      <c r="M381" t="n">
        <v>0</v>
      </c>
      <c r="N381" t="n">
        <v>0</v>
      </c>
      <c r="O381" t="n">
        <v>0</v>
      </c>
      <c r="P381" t="n">
        <v>0</v>
      </c>
      <c r="Q381" t="n">
        <v>0</v>
      </c>
      <c r="R381" s="2" t="inlineStr"/>
    </row>
    <row r="382" ht="15" customHeight="1">
      <c r="A382" t="inlineStr">
        <is>
          <t>A 42794-2025</t>
        </is>
      </c>
      <c r="B382" s="1" t="n">
        <v>45908</v>
      </c>
      <c r="C382" s="1" t="n">
        <v>46163</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8595-2026</t>
        </is>
      </c>
      <c r="B383" s="1" t="n">
        <v>46065.7372337963</v>
      </c>
      <c r="C383" s="1" t="n">
        <v>46163</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42820-2025</t>
        </is>
      </c>
      <c r="B384" s="1" t="n">
        <v>45908</v>
      </c>
      <c r="C384" s="1" t="n">
        <v>46163</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9694-2023</t>
        </is>
      </c>
      <c r="B385" s="1" t="n">
        <v>44984.45895833334</v>
      </c>
      <c r="C385" s="1" t="n">
        <v>46163</v>
      </c>
      <c r="D385" t="inlineStr">
        <is>
          <t>KALMAR LÄN</t>
        </is>
      </c>
      <c r="E385" t="inlineStr">
        <is>
          <t>VIMMERBY</t>
        </is>
      </c>
      <c r="G385" t="n">
        <v>2.1</v>
      </c>
      <c r="H385" t="n">
        <v>0</v>
      </c>
      <c r="I385" t="n">
        <v>0</v>
      </c>
      <c r="J385" t="n">
        <v>0</v>
      </c>
      <c r="K385" t="n">
        <v>0</v>
      </c>
      <c r="L385" t="n">
        <v>0</v>
      </c>
      <c r="M385" t="n">
        <v>0</v>
      </c>
      <c r="N385" t="n">
        <v>0</v>
      </c>
      <c r="O385" t="n">
        <v>0</v>
      </c>
      <c r="P385" t="n">
        <v>0</v>
      </c>
      <c r="Q385" t="n">
        <v>0</v>
      </c>
      <c r="R385" s="2" t="inlineStr"/>
    </row>
    <row r="386" ht="15" customHeight="1">
      <c r="A386" t="inlineStr">
        <is>
          <t>A 36538-2025</t>
        </is>
      </c>
      <c r="B386" s="1" t="n">
        <v>45869.62276620371</v>
      </c>
      <c r="C386" s="1" t="n">
        <v>46163</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22198-2024</t>
        </is>
      </c>
      <c r="B387" s="1" t="n">
        <v>45446.36865740741</v>
      </c>
      <c r="C387" s="1" t="n">
        <v>46163</v>
      </c>
      <c r="D387" t="inlineStr">
        <is>
          <t>KALMAR LÄN</t>
        </is>
      </c>
      <c r="E387" t="inlineStr">
        <is>
          <t>VIMMERBY</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57311-2023</t>
        </is>
      </c>
      <c r="B388" s="1" t="n">
        <v>45245.63574074074</v>
      </c>
      <c r="C388" s="1" t="n">
        <v>46163</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12588-2025</t>
        </is>
      </c>
      <c r="B389" s="1" t="n">
        <v>45732.76936342593</v>
      </c>
      <c r="C389" s="1" t="n">
        <v>46163</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36598-2025</t>
        </is>
      </c>
      <c r="B390" s="1" t="n">
        <v>45870.51708333333</v>
      </c>
      <c r="C390" s="1" t="n">
        <v>46163</v>
      </c>
      <c r="D390" t="inlineStr">
        <is>
          <t>KALMAR LÄN</t>
        </is>
      </c>
      <c r="E390" t="inlineStr">
        <is>
          <t>VIMMERBY</t>
        </is>
      </c>
      <c r="G390" t="n">
        <v>3.7</v>
      </c>
      <c r="H390" t="n">
        <v>0</v>
      </c>
      <c r="I390" t="n">
        <v>0</v>
      </c>
      <c r="J390" t="n">
        <v>0</v>
      </c>
      <c r="K390" t="n">
        <v>0</v>
      </c>
      <c r="L390" t="n">
        <v>0</v>
      </c>
      <c r="M390" t="n">
        <v>0</v>
      </c>
      <c r="N390" t="n">
        <v>0</v>
      </c>
      <c r="O390" t="n">
        <v>0</v>
      </c>
      <c r="P390" t="n">
        <v>0</v>
      </c>
      <c r="Q390" t="n">
        <v>0</v>
      </c>
      <c r="R390" s="2" t="inlineStr"/>
    </row>
    <row r="391" ht="15" customHeight="1">
      <c r="A391" t="inlineStr">
        <is>
          <t>A 36602-2025</t>
        </is>
      </c>
      <c r="B391" s="1" t="n">
        <v>45870.52111111111</v>
      </c>
      <c r="C391" s="1" t="n">
        <v>46163</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7932-2025</t>
        </is>
      </c>
      <c r="B392" s="1" t="n">
        <v>45707.3793287037</v>
      </c>
      <c r="C392" s="1" t="n">
        <v>46163</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34060-2025</t>
        </is>
      </c>
      <c r="B393" s="1" t="n">
        <v>45845.42015046296</v>
      </c>
      <c r="C393" s="1" t="n">
        <v>46163</v>
      </c>
      <c r="D393" t="inlineStr">
        <is>
          <t>KALMAR LÄN</t>
        </is>
      </c>
      <c r="E393" t="inlineStr">
        <is>
          <t>VIMMERBY</t>
        </is>
      </c>
      <c r="G393" t="n">
        <v>5.7</v>
      </c>
      <c r="H393" t="n">
        <v>0</v>
      </c>
      <c r="I393" t="n">
        <v>0</v>
      </c>
      <c r="J393" t="n">
        <v>0</v>
      </c>
      <c r="K393" t="n">
        <v>0</v>
      </c>
      <c r="L393" t="n">
        <v>0</v>
      </c>
      <c r="M393" t="n">
        <v>0</v>
      </c>
      <c r="N393" t="n">
        <v>0</v>
      </c>
      <c r="O393" t="n">
        <v>0</v>
      </c>
      <c r="P393" t="n">
        <v>0</v>
      </c>
      <c r="Q393" t="n">
        <v>0</v>
      </c>
      <c r="R393" s="2" t="inlineStr"/>
    </row>
    <row r="394" ht="15" customHeight="1">
      <c r="A394" t="inlineStr">
        <is>
          <t>A 43465-2025</t>
        </is>
      </c>
      <c r="B394" s="1" t="n">
        <v>45911.47138888889</v>
      </c>
      <c r="C394" s="1" t="n">
        <v>46163</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43617-2025</t>
        </is>
      </c>
      <c r="B395" s="1" t="n">
        <v>45911.67798611111</v>
      </c>
      <c r="C395" s="1" t="n">
        <v>46163</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36603-2025</t>
        </is>
      </c>
      <c r="B396" s="1" t="n">
        <v>45870.52142361111</v>
      </c>
      <c r="C396" s="1" t="n">
        <v>46163</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2121-2022</t>
        </is>
      </c>
      <c r="B397" s="1" t="n">
        <v>44578.32717592592</v>
      </c>
      <c r="C397" s="1" t="n">
        <v>46163</v>
      </c>
      <c r="D397" t="inlineStr">
        <is>
          <t>KALMAR LÄN</t>
        </is>
      </c>
      <c r="E397" t="inlineStr">
        <is>
          <t>VIMMERBY</t>
        </is>
      </c>
      <c r="G397" t="n">
        <v>2</v>
      </c>
      <c r="H397" t="n">
        <v>0</v>
      </c>
      <c r="I397" t="n">
        <v>0</v>
      </c>
      <c r="J397" t="n">
        <v>0</v>
      </c>
      <c r="K397" t="n">
        <v>0</v>
      </c>
      <c r="L397" t="n">
        <v>0</v>
      </c>
      <c r="M397" t="n">
        <v>0</v>
      </c>
      <c r="N397" t="n">
        <v>0</v>
      </c>
      <c r="O397" t="n">
        <v>0</v>
      </c>
      <c r="P397" t="n">
        <v>0</v>
      </c>
      <c r="Q397" t="n">
        <v>0</v>
      </c>
      <c r="R397" s="2" t="inlineStr"/>
    </row>
    <row r="398" ht="15" customHeight="1">
      <c r="A398" t="inlineStr">
        <is>
          <t>A 36600-2025</t>
        </is>
      </c>
      <c r="B398" s="1" t="n">
        <v>45870.51958333333</v>
      </c>
      <c r="C398" s="1" t="n">
        <v>46163</v>
      </c>
      <c r="D398" t="inlineStr">
        <is>
          <t>KALMAR LÄN</t>
        </is>
      </c>
      <c r="E398" t="inlineStr">
        <is>
          <t>VIMMERBY</t>
        </is>
      </c>
      <c r="G398" t="n">
        <v>2</v>
      </c>
      <c r="H398" t="n">
        <v>0</v>
      </c>
      <c r="I398" t="n">
        <v>0</v>
      </c>
      <c r="J398" t="n">
        <v>0</v>
      </c>
      <c r="K398" t="n">
        <v>0</v>
      </c>
      <c r="L398" t="n">
        <v>0</v>
      </c>
      <c r="M398" t="n">
        <v>0</v>
      </c>
      <c r="N398" t="n">
        <v>0</v>
      </c>
      <c r="O398" t="n">
        <v>0</v>
      </c>
      <c r="P398" t="n">
        <v>0</v>
      </c>
      <c r="Q398" t="n">
        <v>0</v>
      </c>
      <c r="R398" s="2" t="inlineStr"/>
    </row>
    <row r="399" ht="15" customHeight="1">
      <c r="A399" t="inlineStr">
        <is>
          <t>A 36601-2025</t>
        </is>
      </c>
      <c r="B399" s="1" t="n">
        <v>45870.52005787037</v>
      </c>
      <c r="C399" s="1" t="n">
        <v>46163</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34386-2024</t>
        </is>
      </c>
      <c r="B400" s="1" t="n">
        <v>45525.41762731481</v>
      </c>
      <c r="C400" s="1" t="n">
        <v>46163</v>
      </c>
      <c r="D400" t="inlineStr">
        <is>
          <t>KALMAR LÄN</t>
        </is>
      </c>
      <c r="E400" t="inlineStr">
        <is>
          <t>VIMMERBY</t>
        </is>
      </c>
      <c r="G400" t="n">
        <v>0.3</v>
      </c>
      <c r="H400" t="n">
        <v>0</v>
      </c>
      <c r="I400" t="n">
        <v>0</v>
      </c>
      <c r="J400" t="n">
        <v>0</v>
      </c>
      <c r="K400" t="n">
        <v>0</v>
      </c>
      <c r="L400" t="n">
        <v>0</v>
      </c>
      <c r="M400" t="n">
        <v>0</v>
      </c>
      <c r="N400" t="n">
        <v>0</v>
      </c>
      <c r="O400" t="n">
        <v>0</v>
      </c>
      <c r="P400" t="n">
        <v>0</v>
      </c>
      <c r="Q400" t="n">
        <v>0</v>
      </c>
      <c r="R400" s="2" t="inlineStr"/>
    </row>
    <row r="401" ht="15" customHeight="1">
      <c r="A401" t="inlineStr">
        <is>
          <t>A 6069-2023</t>
        </is>
      </c>
      <c r="B401" s="1" t="n">
        <v>44964.5115162037</v>
      </c>
      <c r="C401" s="1" t="n">
        <v>46163</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44095-2025</t>
        </is>
      </c>
      <c r="B402" s="1" t="n">
        <v>45915.56430555556</v>
      </c>
      <c r="C402" s="1" t="n">
        <v>46163</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37088-2025</t>
        </is>
      </c>
      <c r="B403" s="1" t="n">
        <v>45875.45716435185</v>
      </c>
      <c r="C403" s="1" t="n">
        <v>46163</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37102-2025</t>
        </is>
      </c>
      <c r="B404" s="1" t="n">
        <v>45875.47454861111</v>
      </c>
      <c r="C404" s="1" t="n">
        <v>46163</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37079-2025</t>
        </is>
      </c>
      <c r="B405" s="1" t="n">
        <v>45875.42716435185</v>
      </c>
      <c r="C405" s="1" t="n">
        <v>46163</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44091-2025</t>
        </is>
      </c>
      <c r="B406" s="1" t="n">
        <v>45915.55950231481</v>
      </c>
      <c r="C406" s="1" t="n">
        <v>46163</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32633-2023</t>
        </is>
      </c>
      <c r="B407" s="1" t="n">
        <v>45121.58699074074</v>
      </c>
      <c r="C407" s="1" t="n">
        <v>46163</v>
      </c>
      <c r="D407" t="inlineStr">
        <is>
          <t>KALMAR LÄN</t>
        </is>
      </c>
      <c r="E407" t="inlineStr">
        <is>
          <t>VIMMERBY</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8696-2026</t>
        </is>
      </c>
      <c r="B408" s="1" t="n">
        <v>46066.45273148148</v>
      </c>
      <c r="C408" s="1" t="n">
        <v>46163</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36934-2025</t>
        </is>
      </c>
      <c r="B409" s="1" t="n">
        <v>45874.57109953704</v>
      </c>
      <c r="C409" s="1" t="n">
        <v>46163</v>
      </c>
      <c r="D409" t="inlineStr">
        <is>
          <t>KALMAR LÄN</t>
        </is>
      </c>
      <c r="E409" t="inlineStr">
        <is>
          <t>VIMMERBY</t>
        </is>
      </c>
      <c r="G409" t="n">
        <v>4.2</v>
      </c>
      <c r="H409" t="n">
        <v>0</v>
      </c>
      <c r="I409" t="n">
        <v>0</v>
      </c>
      <c r="J409" t="n">
        <v>0</v>
      </c>
      <c r="K409" t="n">
        <v>0</v>
      </c>
      <c r="L409" t="n">
        <v>0</v>
      </c>
      <c r="M409" t="n">
        <v>0</v>
      </c>
      <c r="N409" t="n">
        <v>0</v>
      </c>
      <c r="O409" t="n">
        <v>0</v>
      </c>
      <c r="P409" t="n">
        <v>0</v>
      </c>
      <c r="Q409" t="n">
        <v>0</v>
      </c>
      <c r="R409" s="2" t="inlineStr"/>
    </row>
    <row r="410" ht="15" customHeight="1">
      <c r="A410" t="inlineStr">
        <is>
          <t>A 49461-2023</t>
        </is>
      </c>
      <c r="B410" s="1" t="n">
        <v>45211.52642361111</v>
      </c>
      <c r="C410" s="1" t="n">
        <v>46163</v>
      </c>
      <c r="D410" t="inlineStr">
        <is>
          <t>KALMAR LÄN</t>
        </is>
      </c>
      <c r="E410" t="inlineStr">
        <is>
          <t>VIMMERBY</t>
        </is>
      </c>
      <c r="G410" t="n">
        <v>1.5</v>
      </c>
      <c r="H410" t="n">
        <v>0</v>
      </c>
      <c r="I410" t="n">
        <v>0</v>
      </c>
      <c r="J410" t="n">
        <v>0</v>
      </c>
      <c r="K410" t="n">
        <v>0</v>
      </c>
      <c r="L410" t="n">
        <v>0</v>
      </c>
      <c r="M410" t="n">
        <v>0</v>
      </c>
      <c r="N410" t="n">
        <v>0</v>
      </c>
      <c r="O410" t="n">
        <v>0</v>
      </c>
      <c r="P410" t="n">
        <v>0</v>
      </c>
      <c r="Q410" t="n">
        <v>0</v>
      </c>
      <c r="R410" s="2" t="inlineStr"/>
    </row>
    <row r="411" ht="15" customHeight="1">
      <c r="A411" t="inlineStr">
        <is>
          <t>A 23095-2023</t>
        </is>
      </c>
      <c r="B411" s="1" t="n">
        <v>45075.43059027778</v>
      </c>
      <c r="C411" s="1" t="n">
        <v>46163</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11429-2022</t>
        </is>
      </c>
      <c r="B412" s="1" t="n">
        <v>44630</v>
      </c>
      <c r="C412" s="1" t="n">
        <v>46163</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44517-2025</t>
        </is>
      </c>
      <c r="B413" s="1" t="n">
        <v>45916.7103587963</v>
      </c>
      <c r="C413" s="1" t="n">
        <v>46163</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44742-2025</t>
        </is>
      </c>
      <c r="B414" s="1" t="n">
        <v>45917.67054398148</v>
      </c>
      <c r="C414" s="1" t="n">
        <v>46163</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44329-2025</t>
        </is>
      </c>
      <c r="B415" s="1" t="n">
        <v>45916.41019675926</v>
      </c>
      <c r="C415" s="1" t="n">
        <v>46163</v>
      </c>
      <c r="D415" t="inlineStr">
        <is>
          <t>KALMAR LÄN</t>
        </is>
      </c>
      <c r="E415" t="inlineStr">
        <is>
          <t>VIMMERBY</t>
        </is>
      </c>
      <c r="G415" t="n">
        <v>4.3</v>
      </c>
      <c r="H415" t="n">
        <v>0</v>
      </c>
      <c r="I415" t="n">
        <v>0</v>
      </c>
      <c r="J415" t="n">
        <v>0</v>
      </c>
      <c r="K415" t="n">
        <v>0</v>
      </c>
      <c r="L415" t="n">
        <v>0</v>
      </c>
      <c r="M415" t="n">
        <v>0</v>
      </c>
      <c r="N415" t="n">
        <v>0</v>
      </c>
      <c r="O415" t="n">
        <v>0</v>
      </c>
      <c r="P415" t="n">
        <v>0</v>
      </c>
      <c r="Q415" t="n">
        <v>0</v>
      </c>
      <c r="R415" s="2" t="inlineStr"/>
    </row>
    <row r="416" ht="15" customHeight="1">
      <c r="A416" t="inlineStr">
        <is>
          <t>A 41896-2025</t>
        </is>
      </c>
      <c r="B416" s="1" t="n">
        <v>45903.38800925926</v>
      </c>
      <c r="C416" s="1" t="n">
        <v>46163</v>
      </c>
      <c r="D416" t="inlineStr">
        <is>
          <t>KALMAR LÄN</t>
        </is>
      </c>
      <c r="E416" t="inlineStr">
        <is>
          <t>VIMMERBY</t>
        </is>
      </c>
      <c r="G416" t="n">
        <v>2.9</v>
      </c>
      <c r="H416" t="n">
        <v>0</v>
      </c>
      <c r="I416" t="n">
        <v>0</v>
      </c>
      <c r="J416" t="n">
        <v>0</v>
      </c>
      <c r="K416" t="n">
        <v>0</v>
      </c>
      <c r="L416" t="n">
        <v>0</v>
      </c>
      <c r="M416" t="n">
        <v>0</v>
      </c>
      <c r="N416" t="n">
        <v>0</v>
      </c>
      <c r="O416" t="n">
        <v>0</v>
      </c>
      <c r="P416" t="n">
        <v>0</v>
      </c>
      <c r="Q416" t="n">
        <v>0</v>
      </c>
      <c r="R416" s="2" t="inlineStr"/>
    </row>
    <row r="417" ht="15" customHeight="1">
      <c r="A417" t="inlineStr">
        <is>
          <t>A 11141-2024</t>
        </is>
      </c>
      <c r="B417" s="1" t="n">
        <v>45371.45865740741</v>
      </c>
      <c r="C417" s="1" t="n">
        <v>46163</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28395-2023</t>
        </is>
      </c>
      <c r="B418" s="1" t="n">
        <v>45100.4062962963</v>
      </c>
      <c r="C418" s="1" t="n">
        <v>46163</v>
      </c>
      <c r="D418" t="inlineStr">
        <is>
          <t>KALMAR LÄN</t>
        </is>
      </c>
      <c r="E418" t="inlineStr">
        <is>
          <t>VIMMERBY</t>
        </is>
      </c>
      <c r="G418" t="n">
        <v>1.4</v>
      </c>
      <c r="H418" t="n">
        <v>0</v>
      </c>
      <c r="I418" t="n">
        <v>0</v>
      </c>
      <c r="J418" t="n">
        <v>0</v>
      </c>
      <c r="K418" t="n">
        <v>0</v>
      </c>
      <c r="L418" t="n">
        <v>0</v>
      </c>
      <c r="M418" t="n">
        <v>0</v>
      </c>
      <c r="N418" t="n">
        <v>0</v>
      </c>
      <c r="O418" t="n">
        <v>0</v>
      </c>
      <c r="P418" t="n">
        <v>0</v>
      </c>
      <c r="Q418" t="n">
        <v>0</v>
      </c>
      <c r="R418" s="2" t="inlineStr"/>
    </row>
    <row r="419" ht="15" customHeight="1">
      <c r="A419" t="inlineStr">
        <is>
          <t>A 37578-2025</t>
        </is>
      </c>
      <c r="B419" s="1" t="n">
        <v>45880.38380787037</v>
      </c>
      <c r="C419" s="1" t="n">
        <v>46163</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34597-2022</t>
        </is>
      </c>
      <c r="B420" s="1" t="n">
        <v>44795</v>
      </c>
      <c r="C420" s="1" t="n">
        <v>46163</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37668-2025</t>
        </is>
      </c>
      <c r="B421" s="1" t="n">
        <v>45880.51550925926</v>
      </c>
      <c r="C421" s="1" t="n">
        <v>46163</v>
      </c>
      <c r="D421" t="inlineStr">
        <is>
          <t>KALMAR LÄN</t>
        </is>
      </c>
      <c r="E421" t="inlineStr">
        <is>
          <t>VIMMERBY</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37939-2025</t>
        </is>
      </c>
      <c r="B422" s="1" t="n">
        <v>45881.59877314815</v>
      </c>
      <c r="C422" s="1" t="n">
        <v>46163</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64428-2023</t>
        </is>
      </c>
      <c r="B423" s="1" t="n">
        <v>45280.66769675926</v>
      </c>
      <c r="C423" s="1" t="n">
        <v>46163</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37866-2025</t>
        </is>
      </c>
      <c r="B424" s="1" t="n">
        <v>45881</v>
      </c>
      <c r="C424" s="1" t="n">
        <v>46163</v>
      </c>
      <c r="D424" t="inlineStr">
        <is>
          <t>KALMAR LÄN</t>
        </is>
      </c>
      <c r="E424" t="inlineStr">
        <is>
          <t>VIMMERBY</t>
        </is>
      </c>
      <c r="G424" t="n">
        <v>3.4</v>
      </c>
      <c r="H424" t="n">
        <v>0</v>
      </c>
      <c r="I424" t="n">
        <v>0</v>
      </c>
      <c r="J424" t="n">
        <v>0</v>
      </c>
      <c r="K424" t="n">
        <v>0</v>
      </c>
      <c r="L424" t="n">
        <v>0</v>
      </c>
      <c r="M424" t="n">
        <v>0</v>
      </c>
      <c r="N424" t="n">
        <v>0</v>
      </c>
      <c r="O424" t="n">
        <v>0</v>
      </c>
      <c r="P424" t="n">
        <v>0</v>
      </c>
      <c r="Q424" t="n">
        <v>0</v>
      </c>
      <c r="R424" s="2" t="inlineStr"/>
    </row>
    <row r="425" ht="15" customHeight="1">
      <c r="A425" t="inlineStr">
        <is>
          <t>A 30588-2023</t>
        </is>
      </c>
      <c r="B425" s="1" t="n">
        <v>45112.33599537037</v>
      </c>
      <c r="C425" s="1" t="n">
        <v>46163</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30503-2023</t>
        </is>
      </c>
      <c r="B426" s="1" t="n">
        <v>45111</v>
      </c>
      <c r="C426" s="1" t="n">
        <v>46163</v>
      </c>
      <c r="D426" t="inlineStr">
        <is>
          <t>KALMAR LÄN</t>
        </is>
      </c>
      <c r="E426" t="inlineStr">
        <is>
          <t>VIMMERBY</t>
        </is>
      </c>
      <c r="G426" t="n">
        <v>0.5</v>
      </c>
      <c r="H426" t="n">
        <v>0</v>
      </c>
      <c r="I426" t="n">
        <v>0</v>
      </c>
      <c r="J426" t="n">
        <v>0</v>
      </c>
      <c r="K426" t="n">
        <v>0</v>
      </c>
      <c r="L426" t="n">
        <v>0</v>
      </c>
      <c r="M426" t="n">
        <v>0</v>
      </c>
      <c r="N426" t="n">
        <v>0</v>
      </c>
      <c r="O426" t="n">
        <v>0</v>
      </c>
      <c r="P426" t="n">
        <v>0</v>
      </c>
      <c r="Q426" t="n">
        <v>0</v>
      </c>
      <c r="R426" s="2" t="inlineStr"/>
    </row>
    <row r="427" ht="15" customHeight="1">
      <c r="A427" t="inlineStr">
        <is>
          <t>A 45114-2025</t>
        </is>
      </c>
      <c r="B427" s="1" t="n">
        <v>45919.42387731482</v>
      </c>
      <c r="C427" s="1" t="n">
        <v>46163</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45319-2025</t>
        </is>
      </c>
      <c r="B428" s="1" t="n">
        <v>45921.95611111111</v>
      </c>
      <c r="C428" s="1" t="n">
        <v>46163</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47263-2023</t>
        </is>
      </c>
      <c r="B429" s="1" t="n">
        <v>45202.4209837963</v>
      </c>
      <c r="C429" s="1" t="n">
        <v>46163</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45320-2025</t>
        </is>
      </c>
      <c r="B430" s="1" t="n">
        <v>45921.96395833333</v>
      </c>
      <c r="C430" s="1" t="n">
        <v>46163</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58100-2024</t>
        </is>
      </c>
      <c r="B431" s="1" t="n">
        <v>45632.36706018518</v>
      </c>
      <c r="C431" s="1" t="n">
        <v>46163</v>
      </c>
      <c r="D431" t="inlineStr">
        <is>
          <t>KALMAR LÄN</t>
        </is>
      </c>
      <c r="E431" t="inlineStr">
        <is>
          <t>VIMMERBY</t>
        </is>
      </c>
      <c r="G431" t="n">
        <v>0.9</v>
      </c>
      <c r="H431" t="n">
        <v>0</v>
      </c>
      <c r="I431" t="n">
        <v>0</v>
      </c>
      <c r="J431" t="n">
        <v>0</v>
      </c>
      <c r="K431" t="n">
        <v>0</v>
      </c>
      <c r="L431" t="n">
        <v>0</v>
      </c>
      <c r="M431" t="n">
        <v>0</v>
      </c>
      <c r="N431" t="n">
        <v>0</v>
      </c>
      <c r="O431" t="n">
        <v>0</v>
      </c>
      <c r="P431" t="n">
        <v>0</v>
      </c>
      <c r="Q431" t="n">
        <v>0</v>
      </c>
      <c r="R431" s="2" t="inlineStr"/>
    </row>
    <row r="432" ht="15" customHeight="1">
      <c r="A432" t="inlineStr">
        <is>
          <t>A 58159-2024</t>
        </is>
      </c>
      <c r="B432" s="1" t="n">
        <v>45632.44886574074</v>
      </c>
      <c r="C432" s="1" t="n">
        <v>46163</v>
      </c>
      <c r="D432" t="inlineStr">
        <is>
          <t>KALMAR LÄN</t>
        </is>
      </c>
      <c r="E432" t="inlineStr">
        <is>
          <t>VIMMERBY</t>
        </is>
      </c>
      <c r="G432" t="n">
        <v>7.5</v>
      </c>
      <c r="H432" t="n">
        <v>0</v>
      </c>
      <c r="I432" t="n">
        <v>0</v>
      </c>
      <c r="J432" t="n">
        <v>0</v>
      </c>
      <c r="K432" t="n">
        <v>0</v>
      </c>
      <c r="L432" t="n">
        <v>0</v>
      </c>
      <c r="M432" t="n">
        <v>0</v>
      </c>
      <c r="N432" t="n">
        <v>0</v>
      </c>
      <c r="O432" t="n">
        <v>0</v>
      </c>
      <c r="P432" t="n">
        <v>0</v>
      </c>
      <c r="Q432" t="n">
        <v>0</v>
      </c>
      <c r="R432" s="2" t="inlineStr"/>
    </row>
    <row r="433" ht="15" customHeight="1">
      <c r="A433" t="inlineStr">
        <is>
          <t>A 38964-2025</t>
        </is>
      </c>
      <c r="B433" s="1" t="n">
        <v>45887.68759259259</v>
      </c>
      <c r="C433" s="1" t="n">
        <v>46163</v>
      </c>
      <c r="D433" t="inlineStr">
        <is>
          <t>KALMAR LÄN</t>
        </is>
      </c>
      <c r="E433" t="inlineStr">
        <is>
          <t>VIMMERBY</t>
        </is>
      </c>
      <c r="G433" t="n">
        <v>7.5</v>
      </c>
      <c r="H433" t="n">
        <v>0</v>
      </c>
      <c r="I433" t="n">
        <v>0</v>
      </c>
      <c r="J433" t="n">
        <v>0</v>
      </c>
      <c r="K433" t="n">
        <v>0</v>
      </c>
      <c r="L433" t="n">
        <v>0</v>
      </c>
      <c r="M433" t="n">
        <v>0</v>
      </c>
      <c r="N433" t="n">
        <v>0</v>
      </c>
      <c r="O433" t="n">
        <v>0</v>
      </c>
      <c r="P433" t="n">
        <v>0</v>
      </c>
      <c r="Q433" t="n">
        <v>0</v>
      </c>
      <c r="R433" s="2" t="inlineStr"/>
    </row>
    <row r="434" ht="15" customHeight="1">
      <c r="A434" t="inlineStr">
        <is>
          <t>A 57114-2023</t>
        </is>
      </c>
      <c r="B434" s="1" t="n">
        <v>45245.36174768519</v>
      </c>
      <c r="C434" s="1" t="n">
        <v>46163</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3423-2022</t>
        </is>
      </c>
      <c r="B435" s="1" t="n">
        <v>44585.50431712963</v>
      </c>
      <c r="C435" s="1" t="n">
        <v>46163</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46118-2025</t>
        </is>
      </c>
      <c r="B436" s="1" t="n">
        <v>45924.57697916667</v>
      </c>
      <c r="C436" s="1" t="n">
        <v>46163</v>
      </c>
      <c r="D436" t="inlineStr">
        <is>
          <t>KALMAR LÄN</t>
        </is>
      </c>
      <c r="E436" t="inlineStr">
        <is>
          <t>VIMMERBY</t>
        </is>
      </c>
      <c r="G436" t="n">
        <v>2.9</v>
      </c>
      <c r="H436" t="n">
        <v>0</v>
      </c>
      <c r="I436" t="n">
        <v>0</v>
      </c>
      <c r="J436" t="n">
        <v>0</v>
      </c>
      <c r="K436" t="n">
        <v>0</v>
      </c>
      <c r="L436" t="n">
        <v>0</v>
      </c>
      <c r="M436" t="n">
        <v>0</v>
      </c>
      <c r="N436" t="n">
        <v>0</v>
      </c>
      <c r="O436" t="n">
        <v>0</v>
      </c>
      <c r="P436" t="n">
        <v>0</v>
      </c>
      <c r="Q436" t="n">
        <v>0</v>
      </c>
      <c r="R436" s="2" t="inlineStr"/>
    </row>
    <row r="437" ht="15" customHeight="1">
      <c r="A437" t="inlineStr">
        <is>
          <t>A 40665-2023</t>
        </is>
      </c>
      <c r="B437" s="1" t="n">
        <v>45170</v>
      </c>
      <c r="C437" s="1" t="n">
        <v>46163</v>
      </c>
      <c r="D437" t="inlineStr">
        <is>
          <t>KALMAR LÄN</t>
        </is>
      </c>
      <c r="E437" t="inlineStr">
        <is>
          <t>VIMMERBY</t>
        </is>
      </c>
      <c r="G437" t="n">
        <v>2.6</v>
      </c>
      <c r="H437" t="n">
        <v>0</v>
      </c>
      <c r="I437" t="n">
        <v>0</v>
      </c>
      <c r="J437" t="n">
        <v>0</v>
      </c>
      <c r="K437" t="n">
        <v>0</v>
      </c>
      <c r="L437" t="n">
        <v>0</v>
      </c>
      <c r="M437" t="n">
        <v>0</v>
      </c>
      <c r="N437" t="n">
        <v>0</v>
      </c>
      <c r="O437" t="n">
        <v>0</v>
      </c>
      <c r="P437" t="n">
        <v>0</v>
      </c>
      <c r="Q437" t="n">
        <v>0</v>
      </c>
      <c r="R437" s="2" t="inlineStr"/>
    </row>
    <row r="438" ht="15" customHeight="1">
      <c r="A438" t="inlineStr">
        <is>
          <t>A 46365-2025</t>
        </is>
      </c>
      <c r="B438" s="1" t="n">
        <v>45925.50075231482</v>
      </c>
      <c r="C438" s="1" t="n">
        <v>46163</v>
      </c>
      <c r="D438" t="inlineStr">
        <is>
          <t>KALMAR LÄN</t>
        </is>
      </c>
      <c r="E438" t="inlineStr">
        <is>
          <t>VIMMERBY</t>
        </is>
      </c>
      <c r="G438" t="n">
        <v>5.6</v>
      </c>
      <c r="H438" t="n">
        <v>0</v>
      </c>
      <c r="I438" t="n">
        <v>0</v>
      </c>
      <c r="J438" t="n">
        <v>0</v>
      </c>
      <c r="K438" t="n">
        <v>0</v>
      </c>
      <c r="L438" t="n">
        <v>0</v>
      </c>
      <c r="M438" t="n">
        <v>0</v>
      </c>
      <c r="N438" t="n">
        <v>0</v>
      </c>
      <c r="O438" t="n">
        <v>0</v>
      </c>
      <c r="P438" t="n">
        <v>0</v>
      </c>
      <c r="Q438" t="n">
        <v>0</v>
      </c>
      <c r="R438" s="2" t="inlineStr"/>
    </row>
    <row r="439" ht="15" customHeight="1">
      <c r="A439" t="inlineStr">
        <is>
          <t>A 46361-2025</t>
        </is>
      </c>
      <c r="B439" s="1" t="n">
        <v>45925.49670138889</v>
      </c>
      <c r="C439" s="1" t="n">
        <v>46163</v>
      </c>
      <c r="D439" t="inlineStr">
        <is>
          <t>KALMAR LÄN</t>
        </is>
      </c>
      <c r="E439" t="inlineStr">
        <is>
          <t>VIMMERBY</t>
        </is>
      </c>
      <c r="G439" t="n">
        <v>4.2</v>
      </c>
      <c r="H439" t="n">
        <v>0</v>
      </c>
      <c r="I439" t="n">
        <v>0</v>
      </c>
      <c r="J439" t="n">
        <v>0</v>
      </c>
      <c r="K439" t="n">
        <v>0</v>
      </c>
      <c r="L439" t="n">
        <v>0</v>
      </c>
      <c r="M439" t="n">
        <v>0</v>
      </c>
      <c r="N439" t="n">
        <v>0</v>
      </c>
      <c r="O439" t="n">
        <v>0</v>
      </c>
      <c r="P439" t="n">
        <v>0</v>
      </c>
      <c r="Q439" t="n">
        <v>0</v>
      </c>
      <c r="R439" s="2" t="inlineStr"/>
    </row>
    <row r="440" ht="15" customHeight="1">
      <c r="A440" t="inlineStr">
        <is>
          <t>A 46887-2025</t>
        </is>
      </c>
      <c r="B440" s="1" t="n">
        <v>45929.3672337963</v>
      </c>
      <c r="C440" s="1" t="n">
        <v>46163</v>
      </c>
      <c r="D440" t="inlineStr">
        <is>
          <t>KALMAR LÄN</t>
        </is>
      </c>
      <c r="E440" t="inlineStr">
        <is>
          <t>VIMMERBY</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45856-2025</t>
        </is>
      </c>
      <c r="B441" s="1" t="n">
        <v>45923</v>
      </c>
      <c r="C441" s="1" t="n">
        <v>46163</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50860-2022</t>
        </is>
      </c>
      <c r="B442" s="1" t="n">
        <v>44867</v>
      </c>
      <c r="C442" s="1" t="n">
        <v>46163</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25370-2022</t>
        </is>
      </c>
      <c r="B443" s="1" t="n">
        <v>44732.3659837963</v>
      </c>
      <c r="C443" s="1" t="n">
        <v>46163</v>
      </c>
      <c r="D443" t="inlineStr">
        <is>
          <t>KALMAR LÄN</t>
        </is>
      </c>
      <c r="E443" t="inlineStr">
        <is>
          <t>VIMMERBY</t>
        </is>
      </c>
      <c r="G443" t="n">
        <v>1.2</v>
      </c>
      <c r="H443" t="n">
        <v>0</v>
      </c>
      <c r="I443" t="n">
        <v>0</v>
      </c>
      <c r="J443" t="n">
        <v>0</v>
      </c>
      <c r="K443" t="n">
        <v>0</v>
      </c>
      <c r="L443" t="n">
        <v>0</v>
      </c>
      <c r="M443" t="n">
        <v>0</v>
      </c>
      <c r="N443" t="n">
        <v>0</v>
      </c>
      <c r="O443" t="n">
        <v>0</v>
      </c>
      <c r="P443" t="n">
        <v>0</v>
      </c>
      <c r="Q443" t="n">
        <v>0</v>
      </c>
      <c r="R443" s="2" t="inlineStr"/>
    </row>
    <row r="444" ht="15" customHeight="1">
      <c r="A444" t="inlineStr">
        <is>
          <t>A 58577-2024</t>
        </is>
      </c>
      <c r="B444" s="1" t="n">
        <v>45635.4874537037</v>
      </c>
      <c r="C444" s="1" t="n">
        <v>46163</v>
      </c>
      <c r="D444" t="inlineStr">
        <is>
          <t>KALMAR LÄN</t>
        </is>
      </c>
      <c r="E444" t="inlineStr">
        <is>
          <t>VIMMERBY</t>
        </is>
      </c>
      <c r="G444" t="n">
        <v>1.1</v>
      </c>
      <c r="H444" t="n">
        <v>0</v>
      </c>
      <c r="I444" t="n">
        <v>0</v>
      </c>
      <c r="J444" t="n">
        <v>0</v>
      </c>
      <c r="K444" t="n">
        <v>0</v>
      </c>
      <c r="L444" t="n">
        <v>0</v>
      </c>
      <c r="M444" t="n">
        <v>0</v>
      </c>
      <c r="N444" t="n">
        <v>0</v>
      </c>
      <c r="O444" t="n">
        <v>0</v>
      </c>
      <c r="P444" t="n">
        <v>0</v>
      </c>
      <c r="Q444" t="n">
        <v>0</v>
      </c>
      <c r="R444" s="2" t="inlineStr"/>
    </row>
    <row r="445" ht="15" customHeight="1">
      <c r="A445" t="inlineStr">
        <is>
          <t>A 29440-2024</t>
        </is>
      </c>
      <c r="B445" s="1" t="n">
        <v>45483.82479166667</v>
      </c>
      <c r="C445" s="1" t="n">
        <v>46163</v>
      </c>
      <c r="D445" t="inlineStr">
        <is>
          <t>KALMAR LÄN</t>
        </is>
      </c>
      <c r="E445" t="inlineStr">
        <is>
          <t>VIMMERBY</t>
        </is>
      </c>
      <c r="G445" t="n">
        <v>4.5</v>
      </c>
      <c r="H445" t="n">
        <v>0</v>
      </c>
      <c r="I445" t="n">
        <v>0</v>
      </c>
      <c r="J445" t="n">
        <v>0</v>
      </c>
      <c r="K445" t="n">
        <v>0</v>
      </c>
      <c r="L445" t="n">
        <v>0</v>
      </c>
      <c r="M445" t="n">
        <v>0</v>
      </c>
      <c r="N445" t="n">
        <v>0</v>
      </c>
      <c r="O445" t="n">
        <v>0</v>
      </c>
      <c r="P445" t="n">
        <v>0</v>
      </c>
      <c r="Q445" t="n">
        <v>0</v>
      </c>
      <c r="R445" s="2" t="inlineStr"/>
    </row>
    <row r="446" ht="15" customHeight="1">
      <c r="A446" t="inlineStr">
        <is>
          <t>A 9129-2025</t>
        </is>
      </c>
      <c r="B446" s="1" t="n">
        <v>45713.92412037037</v>
      </c>
      <c r="C446" s="1" t="n">
        <v>46163</v>
      </c>
      <c r="D446" t="inlineStr">
        <is>
          <t>KALMAR LÄN</t>
        </is>
      </c>
      <c r="E446" t="inlineStr">
        <is>
          <t>VIMMERBY</t>
        </is>
      </c>
      <c r="G446" t="n">
        <v>2.8</v>
      </c>
      <c r="H446" t="n">
        <v>0</v>
      </c>
      <c r="I446" t="n">
        <v>0</v>
      </c>
      <c r="J446" t="n">
        <v>0</v>
      </c>
      <c r="K446" t="n">
        <v>0</v>
      </c>
      <c r="L446" t="n">
        <v>0</v>
      </c>
      <c r="M446" t="n">
        <v>0</v>
      </c>
      <c r="N446" t="n">
        <v>0</v>
      </c>
      <c r="O446" t="n">
        <v>0</v>
      </c>
      <c r="P446" t="n">
        <v>0</v>
      </c>
      <c r="Q446" t="n">
        <v>0</v>
      </c>
      <c r="R446" s="2" t="inlineStr"/>
    </row>
    <row r="447" ht="15" customHeight="1">
      <c r="A447" t="inlineStr">
        <is>
          <t>A 22197-2024</t>
        </is>
      </c>
      <c r="B447" s="1" t="n">
        <v>45446.36774305555</v>
      </c>
      <c r="C447" s="1" t="n">
        <v>46163</v>
      </c>
      <c r="D447" t="inlineStr">
        <is>
          <t>KALMAR LÄN</t>
        </is>
      </c>
      <c r="E447" t="inlineStr">
        <is>
          <t>VIMMERBY</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53752-2024</t>
        </is>
      </c>
      <c r="B448" s="1" t="n">
        <v>45615.48927083334</v>
      </c>
      <c r="C448" s="1" t="n">
        <v>46163</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45854-2025</t>
        </is>
      </c>
      <c r="B449" s="1" t="n">
        <v>45923</v>
      </c>
      <c r="C449" s="1" t="n">
        <v>46163</v>
      </c>
      <c r="D449" t="inlineStr">
        <is>
          <t>KALMAR LÄN</t>
        </is>
      </c>
      <c r="E449" t="inlineStr">
        <is>
          <t>VIMMERBY</t>
        </is>
      </c>
      <c r="G449" t="n">
        <v>2.2</v>
      </c>
      <c r="H449" t="n">
        <v>0</v>
      </c>
      <c r="I449" t="n">
        <v>0</v>
      </c>
      <c r="J449" t="n">
        <v>0</v>
      </c>
      <c r="K449" t="n">
        <v>0</v>
      </c>
      <c r="L449" t="n">
        <v>0</v>
      </c>
      <c r="M449" t="n">
        <v>0</v>
      </c>
      <c r="N449" t="n">
        <v>0</v>
      </c>
      <c r="O449" t="n">
        <v>0</v>
      </c>
      <c r="P449" t="n">
        <v>0</v>
      </c>
      <c r="Q449" t="n">
        <v>0</v>
      </c>
      <c r="R449" s="2" t="inlineStr"/>
    </row>
    <row r="450" ht="15" customHeight="1">
      <c r="A450" t="inlineStr">
        <is>
          <t>A 45855-2025</t>
        </is>
      </c>
      <c r="B450" s="1" t="n">
        <v>45923</v>
      </c>
      <c r="C450" s="1" t="n">
        <v>46163</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10965-2026</t>
        </is>
      </c>
      <c r="B451" s="1" t="n">
        <v>46079.43295138889</v>
      </c>
      <c r="C451" s="1" t="n">
        <v>46163</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12121-2025</t>
        </is>
      </c>
      <c r="B452" s="1" t="n">
        <v>45729.36868055556</v>
      </c>
      <c r="C452" s="1" t="n">
        <v>46163</v>
      </c>
      <c r="D452" t="inlineStr">
        <is>
          <t>KALMAR LÄN</t>
        </is>
      </c>
      <c r="E452" t="inlineStr">
        <is>
          <t>VIMMERBY</t>
        </is>
      </c>
      <c r="G452" t="n">
        <v>4.3</v>
      </c>
      <c r="H452" t="n">
        <v>0</v>
      </c>
      <c r="I452" t="n">
        <v>0</v>
      </c>
      <c r="J452" t="n">
        <v>0</v>
      </c>
      <c r="K452" t="n">
        <v>0</v>
      </c>
      <c r="L452" t="n">
        <v>0</v>
      </c>
      <c r="M452" t="n">
        <v>0</v>
      </c>
      <c r="N452" t="n">
        <v>0</v>
      </c>
      <c r="O452" t="n">
        <v>0</v>
      </c>
      <c r="P452" t="n">
        <v>0</v>
      </c>
      <c r="Q452" t="n">
        <v>0</v>
      </c>
      <c r="R452" s="2" t="inlineStr"/>
    </row>
    <row r="453" ht="15" customHeight="1">
      <c r="A453" t="inlineStr">
        <is>
          <t>A 11273-2026</t>
        </is>
      </c>
      <c r="B453" s="1" t="n">
        <v>46080.57634259259</v>
      </c>
      <c r="C453" s="1" t="n">
        <v>46163</v>
      </c>
      <c r="D453" t="inlineStr">
        <is>
          <t>KALMAR LÄN</t>
        </is>
      </c>
      <c r="E453" t="inlineStr">
        <is>
          <t>VIMMERBY</t>
        </is>
      </c>
      <c r="G453" t="n">
        <v>0.8</v>
      </c>
      <c r="H453" t="n">
        <v>0</v>
      </c>
      <c r="I453" t="n">
        <v>0</v>
      </c>
      <c r="J453" t="n">
        <v>0</v>
      </c>
      <c r="K453" t="n">
        <v>0</v>
      </c>
      <c r="L453" t="n">
        <v>0</v>
      </c>
      <c r="M453" t="n">
        <v>0</v>
      </c>
      <c r="N453" t="n">
        <v>0</v>
      </c>
      <c r="O453" t="n">
        <v>0</v>
      </c>
      <c r="P453" t="n">
        <v>0</v>
      </c>
      <c r="Q453" t="n">
        <v>0</v>
      </c>
      <c r="R453" s="2" t="inlineStr"/>
    </row>
    <row r="454" ht="15" customHeight="1">
      <c r="A454" t="inlineStr">
        <is>
          <t>A 17713-2026</t>
        </is>
      </c>
      <c r="B454" s="1" t="n">
        <v>46121.72810185186</v>
      </c>
      <c r="C454" s="1" t="n">
        <v>46163</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47227-2025</t>
        </is>
      </c>
      <c r="B455" s="1" t="n">
        <v>45930.39769675926</v>
      </c>
      <c r="C455" s="1" t="n">
        <v>46163</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9710-2023</t>
        </is>
      </c>
      <c r="B456" s="1" t="n">
        <v>44984</v>
      </c>
      <c r="C456" s="1" t="n">
        <v>46163</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9720-2023</t>
        </is>
      </c>
      <c r="B457" s="1" t="n">
        <v>44984</v>
      </c>
      <c r="C457" s="1" t="n">
        <v>46163</v>
      </c>
      <c r="D457" t="inlineStr">
        <is>
          <t>KALMAR LÄN</t>
        </is>
      </c>
      <c r="E457" t="inlineStr">
        <is>
          <t>VIMMERBY</t>
        </is>
      </c>
      <c r="G457" t="n">
        <v>4.4</v>
      </c>
      <c r="H457" t="n">
        <v>0</v>
      </c>
      <c r="I457" t="n">
        <v>0</v>
      </c>
      <c r="J457" t="n">
        <v>0</v>
      </c>
      <c r="K457" t="n">
        <v>0</v>
      </c>
      <c r="L457" t="n">
        <v>0</v>
      </c>
      <c r="M457" t="n">
        <v>0</v>
      </c>
      <c r="N457" t="n">
        <v>0</v>
      </c>
      <c r="O457" t="n">
        <v>0</v>
      </c>
      <c r="P457" t="n">
        <v>0</v>
      </c>
      <c r="Q457" t="n">
        <v>0</v>
      </c>
      <c r="R457" s="2" t="inlineStr"/>
    </row>
    <row r="458" ht="15" customHeight="1">
      <c r="A458" t="inlineStr">
        <is>
          <t>A 15493-2023</t>
        </is>
      </c>
      <c r="B458" s="1" t="n">
        <v>45018</v>
      </c>
      <c r="C458" s="1" t="n">
        <v>46163</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18122-2026</t>
        </is>
      </c>
      <c r="B459" s="1" t="n">
        <v>46125.58524305555</v>
      </c>
      <c r="C459" s="1" t="n">
        <v>46163</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11415-2026</t>
        </is>
      </c>
      <c r="B460" s="1" t="n">
        <v>46083</v>
      </c>
      <c r="C460" s="1" t="n">
        <v>46163</v>
      </c>
      <c r="D460" t="inlineStr">
        <is>
          <t>KALMAR LÄN</t>
        </is>
      </c>
      <c r="E460" t="inlineStr">
        <is>
          <t>VIMMERBY</t>
        </is>
      </c>
      <c r="G460" t="n">
        <v>1.1</v>
      </c>
      <c r="H460" t="n">
        <v>0</v>
      </c>
      <c r="I460" t="n">
        <v>0</v>
      </c>
      <c r="J460" t="n">
        <v>0</v>
      </c>
      <c r="K460" t="n">
        <v>0</v>
      </c>
      <c r="L460" t="n">
        <v>0</v>
      </c>
      <c r="M460" t="n">
        <v>0</v>
      </c>
      <c r="N460" t="n">
        <v>0</v>
      </c>
      <c r="O460" t="n">
        <v>0</v>
      </c>
      <c r="P460" t="n">
        <v>0</v>
      </c>
      <c r="Q460" t="n">
        <v>0</v>
      </c>
      <c r="R460" s="2" t="inlineStr"/>
    </row>
    <row r="461" ht="15" customHeight="1">
      <c r="A461" t="inlineStr">
        <is>
          <t>A 11407-2026</t>
        </is>
      </c>
      <c r="B461" s="1" t="n">
        <v>46083</v>
      </c>
      <c r="C461" s="1" t="n">
        <v>46163</v>
      </c>
      <c r="D461" t="inlineStr">
        <is>
          <t>KALMAR LÄN</t>
        </is>
      </c>
      <c r="E461" t="inlineStr">
        <is>
          <t>VIMMERBY</t>
        </is>
      </c>
      <c r="G461" t="n">
        <v>2.3</v>
      </c>
      <c r="H461" t="n">
        <v>0</v>
      </c>
      <c r="I461" t="n">
        <v>0</v>
      </c>
      <c r="J461" t="n">
        <v>0</v>
      </c>
      <c r="K461" t="n">
        <v>0</v>
      </c>
      <c r="L461" t="n">
        <v>0</v>
      </c>
      <c r="M461" t="n">
        <v>0</v>
      </c>
      <c r="N461" t="n">
        <v>0</v>
      </c>
      <c r="O461" t="n">
        <v>0</v>
      </c>
      <c r="P461" t="n">
        <v>0</v>
      </c>
      <c r="Q461" t="n">
        <v>0</v>
      </c>
      <c r="R461" s="2" t="inlineStr"/>
    </row>
    <row r="462" ht="15" customHeight="1">
      <c r="A462" t="inlineStr">
        <is>
          <t>A 48299-2025</t>
        </is>
      </c>
      <c r="B462" s="1" t="n">
        <v>45933.60982638889</v>
      </c>
      <c r="C462" s="1" t="n">
        <v>46163</v>
      </c>
      <c r="D462" t="inlineStr">
        <is>
          <t>KALMAR LÄN</t>
        </is>
      </c>
      <c r="E462" t="inlineStr">
        <is>
          <t>VIMMERBY</t>
        </is>
      </c>
      <c r="G462" t="n">
        <v>1.8</v>
      </c>
      <c r="H462" t="n">
        <v>0</v>
      </c>
      <c r="I462" t="n">
        <v>0</v>
      </c>
      <c r="J462" t="n">
        <v>0</v>
      </c>
      <c r="K462" t="n">
        <v>0</v>
      </c>
      <c r="L462" t="n">
        <v>0</v>
      </c>
      <c r="M462" t="n">
        <v>0</v>
      </c>
      <c r="N462" t="n">
        <v>0</v>
      </c>
      <c r="O462" t="n">
        <v>0</v>
      </c>
      <c r="P462" t="n">
        <v>0</v>
      </c>
      <c r="Q462" t="n">
        <v>0</v>
      </c>
      <c r="R462" s="2" t="inlineStr"/>
    </row>
    <row r="463" ht="15" customHeight="1">
      <c r="A463" t="inlineStr">
        <is>
          <t>A 29093-2023</t>
        </is>
      </c>
      <c r="B463" s="1" t="n">
        <v>45105</v>
      </c>
      <c r="C463" s="1" t="n">
        <v>46163</v>
      </c>
      <c r="D463" t="inlineStr">
        <is>
          <t>KALMAR LÄN</t>
        </is>
      </c>
      <c r="E463" t="inlineStr">
        <is>
          <t>VIMMERBY</t>
        </is>
      </c>
      <c r="G463" t="n">
        <v>2.9</v>
      </c>
      <c r="H463" t="n">
        <v>0</v>
      </c>
      <c r="I463" t="n">
        <v>0</v>
      </c>
      <c r="J463" t="n">
        <v>0</v>
      </c>
      <c r="K463" t="n">
        <v>0</v>
      </c>
      <c r="L463" t="n">
        <v>0</v>
      </c>
      <c r="M463" t="n">
        <v>0</v>
      </c>
      <c r="N463" t="n">
        <v>0</v>
      </c>
      <c r="O463" t="n">
        <v>0</v>
      </c>
      <c r="P463" t="n">
        <v>0</v>
      </c>
      <c r="Q463" t="n">
        <v>0</v>
      </c>
      <c r="R463" s="2" t="inlineStr"/>
    </row>
    <row r="464" ht="15" customHeight="1">
      <c r="A464" t="inlineStr">
        <is>
          <t>A 33352-2022</t>
        </is>
      </c>
      <c r="B464" s="1" t="n">
        <v>44788</v>
      </c>
      <c r="C464" s="1" t="n">
        <v>46163</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22264-2023</t>
        </is>
      </c>
      <c r="B465" s="1" t="n">
        <v>45070.3665625</v>
      </c>
      <c r="C465" s="1" t="n">
        <v>46163</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47965-2025</t>
        </is>
      </c>
      <c r="B466" s="1" t="n">
        <v>45932.59597222223</v>
      </c>
      <c r="C466" s="1" t="n">
        <v>46163</v>
      </c>
      <c r="D466" t="inlineStr">
        <is>
          <t>KALMAR LÄN</t>
        </is>
      </c>
      <c r="E466" t="inlineStr">
        <is>
          <t>VIMMERBY</t>
        </is>
      </c>
      <c r="G466" t="n">
        <v>2.2</v>
      </c>
      <c r="H466" t="n">
        <v>0</v>
      </c>
      <c r="I466" t="n">
        <v>0</v>
      </c>
      <c r="J466" t="n">
        <v>0</v>
      </c>
      <c r="K466" t="n">
        <v>0</v>
      </c>
      <c r="L466" t="n">
        <v>0</v>
      </c>
      <c r="M466" t="n">
        <v>0</v>
      </c>
      <c r="N466" t="n">
        <v>0</v>
      </c>
      <c r="O466" t="n">
        <v>0</v>
      </c>
      <c r="P466" t="n">
        <v>0</v>
      </c>
      <c r="Q466" t="n">
        <v>0</v>
      </c>
      <c r="R466" s="2" t="inlineStr"/>
    </row>
    <row r="467" ht="15" customHeight="1">
      <c r="A467" t="inlineStr">
        <is>
          <t>A 16676-2023</t>
        </is>
      </c>
      <c r="B467" s="1" t="n">
        <v>45028</v>
      </c>
      <c r="C467" s="1" t="n">
        <v>46163</v>
      </c>
      <c r="D467" t="inlineStr">
        <is>
          <t>KALMAR LÄN</t>
        </is>
      </c>
      <c r="E467" t="inlineStr">
        <is>
          <t>VIMMERBY</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6220-2025</t>
        </is>
      </c>
      <c r="B468" s="1" t="n">
        <v>45698.53725694444</v>
      </c>
      <c r="C468" s="1" t="n">
        <v>46163</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11798-2026</t>
        </is>
      </c>
      <c r="B469" s="1" t="n">
        <v>46085.34020833333</v>
      </c>
      <c r="C469" s="1" t="n">
        <v>46163</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24096-2024</t>
        </is>
      </c>
      <c r="B470" s="1" t="n">
        <v>45456.59289351852</v>
      </c>
      <c r="C470" s="1" t="n">
        <v>46163</v>
      </c>
      <c r="D470" t="inlineStr">
        <is>
          <t>KALMAR LÄN</t>
        </is>
      </c>
      <c r="E470" t="inlineStr">
        <is>
          <t>VIMMERBY</t>
        </is>
      </c>
      <c r="G470" t="n">
        <v>2.3</v>
      </c>
      <c r="H470" t="n">
        <v>0</v>
      </c>
      <c r="I470" t="n">
        <v>0</v>
      </c>
      <c r="J470" t="n">
        <v>0</v>
      </c>
      <c r="K470" t="n">
        <v>0</v>
      </c>
      <c r="L470" t="n">
        <v>0</v>
      </c>
      <c r="M470" t="n">
        <v>0</v>
      </c>
      <c r="N470" t="n">
        <v>0</v>
      </c>
      <c r="O470" t="n">
        <v>0</v>
      </c>
      <c r="P470" t="n">
        <v>0</v>
      </c>
      <c r="Q470" t="n">
        <v>0</v>
      </c>
      <c r="R470" s="2" t="inlineStr"/>
    </row>
    <row r="471" ht="15" customHeight="1">
      <c r="A471" t="inlineStr">
        <is>
          <t>A 29013-2024</t>
        </is>
      </c>
      <c r="B471" s="1" t="n">
        <v>45481.55984953704</v>
      </c>
      <c r="C471" s="1" t="n">
        <v>46163</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6066-2023</t>
        </is>
      </c>
      <c r="B472" s="1" t="n">
        <v>44964.50894675926</v>
      </c>
      <c r="C472" s="1" t="n">
        <v>46163</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59955-2023</t>
        </is>
      </c>
      <c r="B473" s="1" t="n">
        <v>45257.70313657408</v>
      </c>
      <c r="C473" s="1" t="n">
        <v>46163</v>
      </c>
      <c r="D473" t="inlineStr">
        <is>
          <t>KALMAR LÄN</t>
        </is>
      </c>
      <c r="E473" t="inlineStr">
        <is>
          <t>VIMMERBY</t>
        </is>
      </c>
      <c r="G473" t="n">
        <v>13.8</v>
      </c>
      <c r="H473" t="n">
        <v>0</v>
      </c>
      <c r="I473" t="n">
        <v>0</v>
      </c>
      <c r="J473" t="n">
        <v>0</v>
      </c>
      <c r="K473" t="n">
        <v>0</v>
      </c>
      <c r="L473" t="n">
        <v>0</v>
      </c>
      <c r="M473" t="n">
        <v>0</v>
      </c>
      <c r="N473" t="n">
        <v>0</v>
      </c>
      <c r="O473" t="n">
        <v>0</v>
      </c>
      <c r="P473" t="n">
        <v>0</v>
      </c>
      <c r="Q473" t="n">
        <v>0</v>
      </c>
      <c r="R473" s="2" t="inlineStr"/>
    </row>
    <row r="474" ht="15" customHeight="1">
      <c r="A474" t="inlineStr">
        <is>
          <t>A 47955-2025</t>
        </is>
      </c>
      <c r="B474" s="1" t="n">
        <v>45932.58896990741</v>
      </c>
      <c r="C474" s="1" t="n">
        <v>46163</v>
      </c>
      <c r="D474" t="inlineStr">
        <is>
          <t>KALMAR LÄN</t>
        </is>
      </c>
      <c r="E474" t="inlineStr">
        <is>
          <t>VIMMERBY</t>
        </is>
      </c>
      <c r="G474" t="n">
        <v>3.4</v>
      </c>
      <c r="H474" t="n">
        <v>0</v>
      </c>
      <c r="I474" t="n">
        <v>0</v>
      </c>
      <c r="J474" t="n">
        <v>0</v>
      </c>
      <c r="K474" t="n">
        <v>0</v>
      </c>
      <c r="L474" t="n">
        <v>0</v>
      </c>
      <c r="M474" t="n">
        <v>0</v>
      </c>
      <c r="N474" t="n">
        <v>0</v>
      </c>
      <c r="O474" t="n">
        <v>0</v>
      </c>
      <c r="P474" t="n">
        <v>0</v>
      </c>
      <c r="Q474" t="n">
        <v>0</v>
      </c>
      <c r="R474" s="2" t="inlineStr"/>
    </row>
    <row r="475" ht="15" customHeight="1">
      <c r="A475" t="inlineStr">
        <is>
          <t>A 48723-2025</t>
        </is>
      </c>
      <c r="B475" s="1" t="n">
        <v>45936.65121527778</v>
      </c>
      <c r="C475" s="1" t="n">
        <v>46163</v>
      </c>
      <c r="D475" t="inlineStr">
        <is>
          <t>KALMAR LÄN</t>
        </is>
      </c>
      <c r="E475" t="inlineStr">
        <is>
          <t>VIMMERBY</t>
        </is>
      </c>
      <c r="G475" t="n">
        <v>3</v>
      </c>
      <c r="H475" t="n">
        <v>0</v>
      </c>
      <c r="I475" t="n">
        <v>0</v>
      </c>
      <c r="J475" t="n">
        <v>0</v>
      </c>
      <c r="K475" t="n">
        <v>0</v>
      </c>
      <c r="L475" t="n">
        <v>0</v>
      </c>
      <c r="M475" t="n">
        <v>0</v>
      </c>
      <c r="N475" t="n">
        <v>0</v>
      </c>
      <c r="O475" t="n">
        <v>0</v>
      </c>
      <c r="P475" t="n">
        <v>0</v>
      </c>
      <c r="Q475" t="n">
        <v>0</v>
      </c>
      <c r="R475" s="2" t="inlineStr"/>
    </row>
    <row r="476" ht="15" customHeight="1">
      <c r="A476" t="inlineStr">
        <is>
          <t>A 36040-2024</t>
        </is>
      </c>
      <c r="B476" s="1" t="n">
        <v>45533.60232638889</v>
      </c>
      <c r="C476" s="1" t="n">
        <v>46163</v>
      </c>
      <c r="D476" t="inlineStr">
        <is>
          <t>KALMAR LÄN</t>
        </is>
      </c>
      <c r="E476" t="inlineStr">
        <is>
          <t>VIMMERBY</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36043-2024</t>
        </is>
      </c>
      <c r="B477" s="1" t="n">
        <v>45533.60770833334</v>
      </c>
      <c r="C477" s="1" t="n">
        <v>46163</v>
      </c>
      <c r="D477" t="inlineStr">
        <is>
          <t>KALMAR LÄN</t>
        </is>
      </c>
      <c r="E477" t="inlineStr">
        <is>
          <t>VIMMERBY</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48712-2025</t>
        </is>
      </c>
      <c r="B478" s="1" t="n">
        <v>45936.63373842592</v>
      </c>
      <c r="C478" s="1" t="n">
        <v>46163</v>
      </c>
      <c r="D478" t="inlineStr">
        <is>
          <t>KALMAR LÄN</t>
        </is>
      </c>
      <c r="E478" t="inlineStr">
        <is>
          <t>VIMMERBY</t>
        </is>
      </c>
      <c r="G478" t="n">
        <v>3</v>
      </c>
      <c r="H478" t="n">
        <v>0</v>
      </c>
      <c r="I478" t="n">
        <v>0</v>
      </c>
      <c r="J478" t="n">
        <v>0</v>
      </c>
      <c r="K478" t="n">
        <v>0</v>
      </c>
      <c r="L478" t="n">
        <v>0</v>
      </c>
      <c r="M478" t="n">
        <v>0</v>
      </c>
      <c r="N478" t="n">
        <v>0</v>
      </c>
      <c r="O478" t="n">
        <v>0</v>
      </c>
      <c r="P478" t="n">
        <v>0</v>
      </c>
      <c r="Q478" t="n">
        <v>0</v>
      </c>
      <c r="R478" s="2" t="inlineStr"/>
    </row>
    <row r="479" ht="15" customHeight="1">
      <c r="A479" t="inlineStr">
        <is>
          <t>A 12890-2023</t>
        </is>
      </c>
      <c r="B479" s="1" t="n">
        <v>45001.59209490741</v>
      </c>
      <c r="C479" s="1" t="n">
        <v>46163</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43594-2024</t>
        </is>
      </c>
      <c r="B480" s="1" t="n">
        <v>45569.44295138889</v>
      </c>
      <c r="C480" s="1" t="n">
        <v>46163</v>
      </c>
      <c r="D480" t="inlineStr">
        <is>
          <t>KALMAR LÄN</t>
        </is>
      </c>
      <c r="E480" t="inlineStr">
        <is>
          <t>VIMMERBY</t>
        </is>
      </c>
      <c r="G480" t="n">
        <v>3.9</v>
      </c>
      <c r="H480" t="n">
        <v>0</v>
      </c>
      <c r="I480" t="n">
        <v>0</v>
      </c>
      <c r="J480" t="n">
        <v>0</v>
      </c>
      <c r="K480" t="n">
        <v>0</v>
      </c>
      <c r="L480" t="n">
        <v>0</v>
      </c>
      <c r="M480" t="n">
        <v>0</v>
      </c>
      <c r="N480" t="n">
        <v>0</v>
      </c>
      <c r="O480" t="n">
        <v>0</v>
      </c>
      <c r="P480" t="n">
        <v>0</v>
      </c>
      <c r="Q480" t="n">
        <v>0</v>
      </c>
      <c r="R480" s="2" t="inlineStr"/>
    </row>
    <row r="481" ht="15" customHeight="1">
      <c r="A481" t="inlineStr">
        <is>
          <t>A 48408-2025</t>
        </is>
      </c>
      <c r="B481" s="1" t="n">
        <v>45934.40527777778</v>
      </c>
      <c r="C481" s="1" t="n">
        <v>46163</v>
      </c>
      <c r="D481" t="inlineStr">
        <is>
          <t>KALMAR LÄN</t>
        </is>
      </c>
      <c r="E481" t="inlineStr">
        <is>
          <t>VIMMERBY</t>
        </is>
      </c>
      <c r="G481" t="n">
        <v>2.4</v>
      </c>
      <c r="H481" t="n">
        <v>0</v>
      </c>
      <c r="I481" t="n">
        <v>0</v>
      </c>
      <c r="J481" t="n">
        <v>0</v>
      </c>
      <c r="K481" t="n">
        <v>0</v>
      </c>
      <c r="L481" t="n">
        <v>0</v>
      </c>
      <c r="M481" t="n">
        <v>0</v>
      </c>
      <c r="N481" t="n">
        <v>0</v>
      </c>
      <c r="O481" t="n">
        <v>0</v>
      </c>
      <c r="P481" t="n">
        <v>0</v>
      </c>
      <c r="Q481" t="n">
        <v>0</v>
      </c>
      <c r="R481" s="2" t="inlineStr"/>
    </row>
    <row r="482" ht="15" customHeight="1">
      <c r="A482" t="inlineStr">
        <is>
          <t>A 53482-2022</t>
        </is>
      </c>
      <c r="B482" s="1" t="n">
        <v>44879</v>
      </c>
      <c r="C482" s="1" t="n">
        <v>46163</v>
      </c>
      <c r="D482" t="inlineStr">
        <is>
          <t>KALMAR LÄN</t>
        </is>
      </c>
      <c r="E482" t="inlineStr">
        <is>
          <t>VIMMERBY</t>
        </is>
      </c>
      <c r="G482" t="n">
        <v>10.1</v>
      </c>
      <c r="H482" t="n">
        <v>0</v>
      </c>
      <c r="I482" t="n">
        <v>0</v>
      </c>
      <c r="J482" t="n">
        <v>0</v>
      </c>
      <c r="K482" t="n">
        <v>0</v>
      </c>
      <c r="L482" t="n">
        <v>0</v>
      </c>
      <c r="M482" t="n">
        <v>0</v>
      </c>
      <c r="N482" t="n">
        <v>0</v>
      </c>
      <c r="O482" t="n">
        <v>0</v>
      </c>
      <c r="P482" t="n">
        <v>0</v>
      </c>
      <c r="Q482" t="n">
        <v>0</v>
      </c>
      <c r="R482" s="2" t="inlineStr"/>
    </row>
    <row r="483" ht="15" customHeight="1">
      <c r="A483" t="inlineStr">
        <is>
          <t>A 48409-2025</t>
        </is>
      </c>
      <c r="B483" s="1" t="n">
        <v>45934.41387731482</v>
      </c>
      <c r="C483" s="1" t="n">
        <v>46163</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48600-2025</t>
        </is>
      </c>
      <c r="B484" s="1" t="n">
        <v>45935</v>
      </c>
      <c r="C484" s="1" t="n">
        <v>46163</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18633-2026</t>
        </is>
      </c>
      <c r="B485" s="1" t="n">
        <v>46128.26289351852</v>
      </c>
      <c r="C485" s="1" t="n">
        <v>46163</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27761-2024</t>
        </is>
      </c>
      <c r="B486" s="1" t="n">
        <v>45475.49018518518</v>
      </c>
      <c r="C486" s="1" t="n">
        <v>46163</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64203-2021</t>
        </is>
      </c>
      <c r="B487" s="1" t="n">
        <v>44510.60921296296</v>
      </c>
      <c r="C487" s="1" t="n">
        <v>46163</v>
      </c>
      <c r="D487" t="inlineStr">
        <is>
          <t>KALMAR LÄN</t>
        </is>
      </c>
      <c r="E487" t="inlineStr">
        <is>
          <t>VIMMERBY</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5720-2023</t>
        </is>
      </c>
      <c r="B488" s="1" t="n">
        <v>44961</v>
      </c>
      <c r="C488" s="1" t="n">
        <v>46163</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9643-2023</t>
        </is>
      </c>
      <c r="B489" s="1" t="n">
        <v>44984</v>
      </c>
      <c r="C489" s="1" t="n">
        <v>46163</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25728-2023</t>
        </is>
      </c>
      <c r="B490" s="1" t="n">
        <v>45090.38012731481</v>
      </c>
      <c r="C490" s="1" t="n">
        <v>46163</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41311-2023</t>
        </is>
      </c>
      <c r="B491" s="1" t="n">
        <v>45174</v>
      </c>
      <c r="C491" s="1" t="n">
        <v>46163</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26318-2023</t>
        </is>
      </c>
      <c r="B492" s="1" t="n">
        <v>45091.67936342592</v>
      </c>
      <c r="C492" s="1" t="n">
        <v>46163</v>
      </c>
      <c r="D492" t="inlineStr">
        <is>
          <t>KALMAR LÄN</t>
        </is>
      </c>
      <c r="E492" t="inlineStr">
        <is>
          <t>VIMMERBY</t>
        </is>
      </c>
      <c r="G492" t="n">
        <v>3.8</v>
      </c>
      <c r="H492" t="n">
        <v>0</v>
      </c>
      <c r="I492" t="n">
        <v>0</v>
      </c>
      <c r="J492" t="n">
        <v>0</v>
      </c>
      <c r="K492" t="n">
        <v>0</v>
      </c>
      <c r="L492" t="n">
        <v>0</v>
      </c>
      <c r="M492" t="n">
        <v>0</v>
      </c>
      <c r="N492" t="n">
        <v>0</v>
      </c>
      <c r="O492" t="n">
        <v>0</v>
      </c>
      <c r="P492" t="n">
        <v>0</v>
      </c>
      <c r="Q492" t="n">
        <v>0</v>
      </c>
      <c r="R492" s="2" t="inlineStr"/>
    </row>
    <row r="493" ht="15" customHeight="1">
      <c r="A493" t="inlineStr">
        <is>
          <t>A 61355-2024</t>
        </is>
      </c>
      <c r="B493" s="1" t="n">
        <v>45646.38200231481</v>
      </c>
      <c r="C493" s="1" t="n">
        <v>46163</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36802-2021</t>
        </is>
      </c>
      <c r="B494" s="1" t="n">
        <v>44392</v>
      </c>
      <c r="C494" s="1" t="n">
        <v>46163</v>
      </c>
      <c r="D494" t="inlineStr">
        <is>
          <t>KALMAR LÄN</t>
        </is>
      </c>
      <c r="E494" t="inlineStr">
        <is>
          <t>VIMMERBY</t>
        </is>
      </c>
      <c r="F494" t="inlineStr">
        <is>
          <t>Sveaskog</t>
        </is>
      </c>
      <c r="G494" t="n">
        <v>4.6</v>
      </c>
      <c r="H494" t="n">
        <v>0</v>
      </c>
      <c r="I494" t="n">
        <v>0</v>
      </c>
      <c r="J494" t="n">
        <v>0</v>
      </c>
      <c r="K494" t="n">
        <v>0</v>
      </c>
      <c r="L494" t="n">
        <v>0</v>
      </c>
      <c r="M494" t="n">
        <v>0</v>
      </c>
      <c r="N494" t="n">
        <v>0</v>
      </c>
      <c r="O494" t="n">
        <v>0</v>
      </c>
      <c r="P494" t="n">
        <v>0</v>
      </c>
      <c r="Q494" t="n">
        <v>0</v>
      </c>
      <c r="R494" s="2" t="inlineStr"/>
    </row>
    <row r="495" ht="15" customHeight="1">
      <c r="A495" t="inlineStr">
        <is>
          <t>A 49871-2025</t>
        </is>
      </c>
      <c r="B495" s="1" t="n">
        <v>45940.54104166666</v>
      </c>
      <c r="C495" s="1" t="n">
        <v>46163</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50544-2025</t>
        </is>
      </c>
      <c r="B496" s="1" t="n">
        <v>45945.50736111111</v>
      </c>
      <c r="C496" s="1" t="n">
        <v>46163</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38198-2024</t>
        </is>
      </c>
      <c r="B497" s="1" t="n">
        <v>45545.49508101852</v>
      </c>
      <c r="C497" s="1" t="n">
        <v>46163</v>
      </c>
      <c r="D497" t="inlineStr">
        <is>
          <t>KALMAR LÄN</t>
        </is>
      </c>
      <c r="E497" t="inlineStr">
        <is>
          <t>VIMMERBY</t>
        </is>
      </c>
      <c r="G497" t="n">
        <v>7.9</v>
      </c>
      <c r="H497" t="n">
        <v>0</v>
      </c>
      <c r="I497" t="n">
        <v>0</v>
      </c>
      <c r="J497" t="n">
        <v>0</v>
      </c>
      <c r="K497" t="n">
        <v>0</v>
      </c>
      <c r="L497" t="n">
        <v>0</v>
      </c>
      <c r="M497" t="n">
        <v>0</v>
      </c>
      <c r="N497" t="n">
        <v>0</v>
      </c>
      <c r="O497" t="n">
        <v>0</v>
      </c>
      <c r="P497" t="n">
        <v>0</v>
      </c>
      <c r="Q497" t="n">
        <v>0</v>
      </c>
      <c r="R497" s="2" t="inlineStr"/>
    </row>
    <row r="498" ht="15" customHeight="1">
      <c r="A498" t="inlineStr">
        <is>
          <t>A 9623-2024</t>
        </is>
      </c>
      <c r="B498" s="1" t="n">
        <v>45361.87975694444</v>
      </c>
      <c r="C498" s="1" t="n">
        <v>46163</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58967-2022</t>
        </is>
      </c>
      <c r="B499" s="1" t="n">
        <v>44896</v>
      </c>
      <c r="C499" s="1" t="n">
        <v>46163</v>
      </c>
      <c r="D499" t="inlineStr">
        <is>
          <t>KALMAR LÄN</t>
        </is>
      </c>
      <c r="E499" t="inlineStr">
        <is>
          <t>VIMMERBY</t>
        </is>
      </c>
      <c r="G499" t="n">
        <v>5</v>
      </c>
      <c r="H499" t="n">
        <v>0</v>
      </c>
      <c r="I499" t="n">
        <v>0</v>
      </c>
      <c r="J499" t="n">
        <v>0</v>
      </c>
      <c r="K499" t="n">
        <v>0</v>
      </c>
      <c r="L499" t="n">
        <v>0</v>
      </c>
      <c r="M499" t="n">
        <v>0</v>
      </c>
      <c r="N499" t="n">
        <v>0</v>
      </c>
      <c r="O499" t="n">
        <v>0</v>
      </c>
      <c r="P499" t="n">
        <v>0</v>
      </c>
      <c r="Q499" t="n">
        <v>0</v>
      </c>
      <c r="R499" s="2" t="inlineStr"/>
    </row>
    <row r="500" ht="15" customHeight="1">
      <c r="A500" t="inlineStr">
        <is>
          <t>A 50324-2025</t>
        </is>
      </c>
      <c r="B500" s="1" t="n">
        <v>45944.45962962963</v>
      </c>
      <c r="C500" s="1" t="n">
        <v>46163</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12730-2026</t>
        </is>
      </c>
      <c r="B501" s="1" t="n">
        <v>46091</v>
      </c>
      <c r="C501" s="1" t="n">
        <v>46163</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6399-2025</t>
        </is>
      </c>
      <c r="B502" s="1" t="n">
        <v>45699.44291666667</v>
      </c>
      <c r="C502" s="1" t="n">
        <v>46163</v>
      </c>
      <c r="D502" t="inlineStr">
        <is>
          <t>KALMAR LÄN</t>
        </is>
      </c>
      <c r="E502" t="inlineStr">
        <is>
          <t>VIMMERBY</t>
        </is>
      </c>
      <c r="G502" t="n">
        <v>3.1</v>
      </c>
      <c r="H502" t="n">
        <v>0</v>
      </c>
      <c r="I502" t="n">
        <v>0</v>
      </c>
      <c r="J502" t="n">
        <v>0</v>
      </c>
      <c r="K502" t="n">
        <v>0</v>
      </c>
      <c r="L502" t="n">
        <v>0</v>
      </c>
      <c r="M502" t="n">
        <v>0</v>
      </c>
      <c r="N502" t="n">
        <v>0</v>
      </c>
      <c r="O502" t="n">
        <v>0</v>
      </c>
      <c r="P502" t="n">
        <v>0</v>
      </c>
      <c r="Q502" t="n">
        <v>0</v>
      </c>
      <c r="R502" s="2" t="inlineStr"/>
    </row>
    <row r="503" ht="15" customHeight="1">
      <c r="A503" t="inlineStr">
        <is>
          <t>A 31355-2023</t>
        </is>
      </c>
      <c r="B503" s="1" t="n">
        <v>45114.49505787037</v>
      </c>
      <c r="C503" s="1" t="n">
        <v>46163</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12820-2026</t>
        </is>
      </c>
      <c r="B504" s="1" t="n">
        <v>46092.40909722223</v>
      </c>
      <c r="C504" s="1" t="n">
        <v>46163</v>
      </c>
      <c r="D504" t="inlineStr">
        <is>
          <t>KALMAR LÄN</t>
        </is>
      </c>
      <c r="E504" t="inlineStr">
        <is>
          <t>VIMMERBY</t>
        </is>
      </c>
      <c r="G504" t="n">
        <v>4.3</v>
      </c>
      <c r="H504" t="n">
        <v>0</v>
      </c>
      <c r="I504" t="n">
        <v>0</v>
      </c>
      <c r="J504" t="n">
        <v>0</v>
      </c>
      <c r="K504" t="n">
        <v>0</v>
      </c>
      <c r="L504" t="n">
        <v>0</v>
      </c>
      <c r="M504" t="n">
        <v>0</v>
      </c>
      <c r="N504" t="n">
        <v>0</v>
      </c>
      <c r="O504" t="n">
        <v>0</v>
      </c>
      <c r="P504" t="n">
        <v>0</v>
      </c>
      <c r="Q504" t="n">
        <v>0</v>
      </c>
      <c r="R504" s="2" t="inlineStr"/>
    </row>
    <row r="505" ht="15" customHeight="1">
      <c r="A505" t="inlineStr">
        <is>
          <t>A 12821-2026</t>
        </is>
      </c>
      <c r="B505" s="1" t="n">
        <v>46092.41256944444</v>
      </c>
      <c r="C505" s="1" t="n">
        <v>46163</v>
      </c>
      <c r="D505" t="inlineStr">
        <is>
          <t>KALMAR LÄN</t>
        </is>
      </c>
      <c r="E505" t="inlineStr">
        <is>
          <t>VIMMERBY</t>
        </is>
      </c>
      <c r="G505" t="n">
        <v>2.5</v>
      </c>
      <c r="H505" t="n">
        <v>0</v>
      </c>
      <c r="I505" t="n">
        <v>0</v>
      </c>
      <c r="J505" t="n">
        <v>0</v>
      </c>
      <c r="K505" t="n">
        <v>0</v>
      </c>
      <c r="L505" t="n">
        <v>0</v>
      </c>
      <c r="M505" t="n">
        <v>0</v>
      </c>
      <c r="N505" t="n">
        <v>0</v>
      </c>
      <c r="O505" t="n">
        <v>0</v>
      </c>
      <c r="P505" t="n">
        <v>0</v>
      </c>
      <c r="Q505" t="n">
        <v>0</v>
      </c>
      <c r="R505" s="2" t="inlineStr"/>
    </row>
    <row r="506" ht="15" customHeight="1">
      <c r="A506" t="inlineStr">
        <is>
          <t>A 12825-2026</t>
        </is>
      </c>
      <c r="B506" s="1" t="n">
        <v>46092.41561342592</v>
      </c>
      <c r="C506" s="1" t="n">
        <v>46163</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30400-2023</t>
        </is>
      </c>
      <c r="B507" s="1" t="n">
        <v>45111.48225694444</v>
      </c>
      <c r="C507" s="1" t="n">
        <v>46163</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30404-2023</t>
        </is>
      </c>
      <c r="B508" s="1" t="n">
        <v>45111.48636574074</v>
      </c>
      <c r="C508" s="1" t="n">
        <v>46163</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27705-2023</t>
        </is>
      </c>
      <c r="B509" s="1" t="n">
        <v>45098.30535879629</v>
      </c>
      <c r="C509" s="1" t="n">
        <v>46163</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51062-2025</t>
        </is>
      </c>
      <c r="B510" s="1" t="n">
        <v>45947.44685185186</v>
      </c>
      <c r="C510" s="1" t="n">
        <v>46163</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36843-2023</t>
        </is>
      </c>
      <c r="B511" s="1" t="n">
        <v>45154.49831018518</v>
      </c>
      <c r="C511" s="1" t="n">
        <v>46163</v>
      </c>
      <c r="D511" t="inlineStr">
        <is>
          <t>KALMAR LÄN</t>
        </is>
      </c>
      <c r="E511" t="inlineStr">
        <is>
          <t>VIMMERBY</t>
        </is>
      </c>
      <c r="G511" t="n">
        <v>2</v>
      </c>
      <c r="H511" t="n">
        <v>0</v>
      </c>
      <c r="I511" t="n">
        <v>0</v>
      </c>
      <c r="J511" t="n">
        <v>0</v>
      </c>
      <c r="K511" t="n">
        <v>0</v>
      </c>
      <c r="L511" t="n">
        <v>0</v>
      </c>
      <c r="M511" t="n">
        <v>0</v>
      </c>
      <c r="N511" t="n">
        <v>0</v>
      </c>
      <c r="O511" t="n">
        <v>0</v>
      </c>
      <c r="P511" t="n">
        <v>0</v>
      </c>
      <c r="Q511" t="n">
        <v>0</v>
      </c>
      <c r="R511" s="2" t="inlineStr"/>
    </row>
    <row r="512" ht="15" customHeight="1">
      <c r="A512" t="inlineStr">
        <is>
          <t>A 10785-2025</t>
        </is>
      </c>
      <c r="B512" s="1" t="n">
        <v>45722.48634259259</v>
      </c>
      <c r="C512" s="1" t="n">
        <v>46163</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29017-2024</t>
        </is>
      </c>
      <c r="B513" s="1" t="n">
        <v>45481.56722222222</v>
      </c>
      <c r="C513" s="1" t="n">
        <v>46163</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23263-2024</t>
        </is>
      </c>
      <c r="B514" s="1" t="n">
        <v>45453.36854166666</v>
      </c>
      <c r="C514" s="1" t="n">
        <v>46163</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11074-2023</t>
        </is>
      </c>
      <c r="B515" s="1" t="n">
        <v>44992.34151620371</v>
      </c>
      <c r="C515" s="1" t="n">
        <v>46163</v>
      </c>
      <c r="D515" t="inlineStr">
        <is>
          <t>KALMAR LÄN</t>
        </is>
      </c>
      <c r="E515" t="inlineStr">
        <is>
          <t>VIMMERBY</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61939-2021</t>
        </is>
      </c>
      <c r="B516" s="1" t="n">
        <v>44502</v>
      </c>
      <c r="C516" s="1" t="n">
        <v>46163</v>
      </c>
      <c r="D516" t="inlineStr">
        <is>
          <t>KALMAR LÄN</t>
        </is>
      </c>
      <c r="E516" t="inlineStr">
        <is>
          <t>VIMMERBY</t>
        </is>
      </c>
      <c r="G516" t="n">
        <v>2.7</v>
      </c>
      <c r="H516" t="n">
        <v>0</v>
      </c>
      <c r="I516" t="n">
        <v>0</v>
      </c>
      <c r="J516" t="n">
        <v>0</v>
      </c>
      <c r="K516" t="n">
        <v>0</v>
      </c>
      <c r="L516" t="n">
        <v>0</v>
      </c>
      <c r="M516" t="n">
        <v>0</v>
      </c>
      <c r="N516" t="n">
        <v>0</v>
      </c>
      <c r="O516" t="n">
        <v>0</v>
      </c>
      <c r="P516" t="n">
        <v>0</v>
      </c>
      <c r="Q516" t="n">
        <v>0</v>
      </c>
      <c r="R516" s="2" t="inlineStr"/>
    </row>
    <row r="517" ht="15" customHeight="1">
      <c r="A517" t="inlineStr">
        <is>
          <t>A 12215-2024</t>
        </is>
      </c>
      <c r="B517" s="1" t="n">
        <v>45378.32185185186</v>
      </c>
      <c r="C517" s="1" t="n">
        <v>46163</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11303-2025</t>
        </is>
      </c>
      <c r="B518" s="1" t="n">
        <v>45726.44471064815</v>
      </c>
      <c r="C518" s="1" t="n">
        <v>46163</v>
      </c>
      <c r="D518" t="inlineStr">
        <is>
          <t>KALMAR LÄN</t>
        </is>
      </c>
      <c r="E518" t="inlineStr">
        <is>
          <t>VIMMERBY</t>
        </is>
      </c>
      <c r="G518" t="n">
        <v>2.1</v>
      </c>
      <c r="H518" t="n">
        <v>0</v>
      </c>
      <c r="I518" t="n">
        <v>0</v>
      </c>
      <c r="J518" t="n">
        <v>0</v>
      </c>
      <c r="K518" t="n">
        <v>0</v>
      </c>
      <c r="L518" t="n">
        <v>0</v>
      </c>
      <c r="M518" t="n">
        <v>0</v>
      </c>
      <c r="N518" t="n">
        <v>0</v>
      </c>
      <c r="O518" t="n">
        <v>0</v>
      </c>
      <c r="P518" t="n">
        <v>0</v>
      </c>
      <c r="Q518" t="n">
        <v>0</v>
      </c>
      <c r="R518" s="2" t="inlineStr"/>
    </row>
    <row r="519" ht="15" customHeight="1">
      <c r="A519" t="inlineStr">
        <is>
          <t>A 20017-2026</t>
        </is>
      </c>
      <c r="B519" s="1" t="n">
        <v>46136.49986111111</v>
      </c>
      <c r="C519" s="1" t="n">
        <v>46163</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12033-2024</t>
        </is>
      </c>
      <c r="B520" s="1" t="n">
        <v>45377.40043981482</v>
      </c>
      <c r="C520" s="1" t="n">
        <v>46163</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51408-2023</t>
        </is>
      </c>
      <c r="B521" s="1" t="n">
        <v>45219.69356481481</v>
      </c>
      <c r="C521" s="1" t="n">
        <v>46163</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51990-2025</t>
        </is>
      </c>
      <c r="B522" s="1" t="n">
        <v>45952.58061342593</v>
      </c>
      <c r="C522" s="1" t="n">
        <v>46163</v>
      </c>
      <c r="D522" t="inlineStr">
        <is>
          <t>KALMAR LÄN</t>
        </is>
      </c>
      <c r="E522" t="inlineStr">
        <is>
          <t>VIMMERBY</t>
        </is>
      </c>
      <c r="G522" t="n">
        <v>2.4</v>
      </c>
      <c r="H522" t="n">
        <v>0</v>
      </c>
      <c r="I522" t="n">
        <v>0</v>
      </c>
      <c r="J522" t="n">
        <v>0</v>
      </c>
      <c r="K522" t="n">
        <v>0</v>
      </c>
      <c r="L522" t="n">
        <v>0</v>
      </c>
      <c r="M522" t="n">
        <v>0</v>
      </c>
      <c r="N522" t="n">
        <v>0</v>
      </c>
      <c r="O522" t="n">
        <v>0</v>
      </c>
      <c r="P522" t="n">
        <v>0</v>
      </c>
      <c r="Q522" t="n">
        <v>0</v>
      </c>
      <c r="R522" s="2" t="inlineStr"/>
    </row>
    <row r="523" ht="15" customHeight="1">
      <c r="A523" t="inlineStr">
        <is>
          <t>A 49488-2023</t>
        </is>
      </c>
      <c r="B523" s="1" t="n">
        <v>45211.55472222222</v>
      </c>
      <c r="C523" s="1" t="n">
        <v>46163</v>
      </c>
      <c r="D523" t="inlineStr">
        <is>
          <t>KALMAR LÄN</t>
        </is>
      </c>
      <c r="E523" t="inlineStr">
        <is>
          <t>VIMMERBY</t>
        </is>
      </c>
      <c r="F523" t="inlineStr">
        <is>
          <t>Sveaskog</t>
        </is>
      </c>
      <c r="G523" t="n">
        <v>6.2</v>
      </c>
      <c r="H523" t="n">
        <v>0</v>
      </c>
      <c r="I523" t="n">
        <v>0</v>
      </c>
      <c r="J523" t="n">
        <v>0</v>
      </c>
      <c r="K523" t="n">
        <v>0</v>
      </c>
      <c r="L523" t="n">
        <v>0</v>
      </c>
      <c r="M523" t="n">
        <v>0</v>
      </c>
      <c r="N523" t="n">
        <v>0</v>
      </c>
      <c r="O523" t="n">
        <v>0</v>
      </c>
      <c r="P523" t="n">
        <v>0</v>
      </c>
      <c r="Q523" t="n">
        <v>0</v>
      </c>
      <c r="R523" s="2" t="inlineStr"/>
    </row>
    <row r="524" ht="15" customHeight="1">
      <c r="A524" t="inlineStr">
        <is>
          <t>A 51993-2025</t>
        </is>
      </c>
      <c r="B524" s="1" t="n">
        <v>45952.58194444444</v>
      </c>
      <c r="C524" s="1" t="n">
        <v>46163</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8410-2023</t>
        </is>
      </c>
      <c r="B525" s="1" t="n">
        <v>44977</v>
      </c>
      <c r="C525" s="1" t="n">
        <v>46163</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52465-2025</t>
        </is>
      </c>
      <c r="B526" s="1" t="n">
        <v>45954.44543981482</v>
      </c>
      <c r="C526" s="1" t="n">
        <v>46163</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30920-2024</t>
        </is>
      </c>
      <c r="B527" s="1" t="n">
        <v>45498.673125</v>
      </c>
      <c r="C527" s="1" t="n">
        <v>46163</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52451-2025</t>
        </is>
      </c>
      <c r="B528" s="1" t="n">
        <v>45954.42326388889</v>
      </c>
      <c r="C528" s="1" t="n">
        <v>46163</v>
      </c>
      <c r="D528" t="inlineStr">
        <is>
          <t>KALMAR LÄN</t>
        </is>
      </c>
      <c r="E528" t="inlineStr">
        <is>
          <t>VIMMERBY</t>
        </is>
      </c>
      <c r="G528" t="n">
        <v>2.8</v>
      </c>
      <c r="H528" t="n">
        <v>0</v>
      </c>
      <c r="I528" t="n">
        <v>0</v>
      </c>
      <c r="J528" t="n">
        <v>0</v>
      </c>
      <c r="K528" t="n">
        <v>0</v>
      </c>
      <c r="L528" t="n">
        <v>0</v>
      </c>
      <c r="M528" t="n">
        <v>0</v>
      </c>
      <c r="N528" t="n">
        <v>0</v>
      </c>
      <c r="O528" t="n">
        <v>0</v>
      </c>
      <c r="P528" t="n">
        <v>0</v>
      </c>
      <c r="Q528" t="n">
        <v>0</v>
      </c>
      <c r="R528" s="2" t="inlineStr"/>
    </row>
    <row r="529" ht="15" customHeight="1">
      <c r="A529" t="inlineStr">
        <is>
          <t>A 52516-2025</t>
        </is>
      </c>
      <c r="B529" s="1" t="n">
        <v>45954.51412037037</v>
      </c>
      <c r="C529" s="1" t="n">
        <v>46163</v>
      </c>
      <c r="D529" t="inlineStr">
        <is>
          <t>KALMAR LÄN</t>
        </is>
      </c>
      <c r="E529" t="inlineStr">
        <is>
          <t>VIMMERBY</t>
        </is>
      </c>
      <c r="G529" t="n">
        <v>2.8</v>
      </c>
      <c r="H529" t="n">
        <v>0</v>
      </c>
      <c r="I529" t="n">
        <v>0</v>
      </c>
      <c r="J529" t="n">
        <v>0</v>
      </c>
      <c r="K529" t="n">
        <v>0</v>
      </c>
      <c r="L529" t="n">
        <v>0</v>
      </c>
      <c r="M529" t="n">
        <v>0</v>
      </c>
      <c r="N529" t="n">
        <v>0</v>
      </c>
      <c r="O529" t="n">
        <v>0</v>
      </c>
      <c r="P529" t="n">
        <v>0</v>
      </c>
      <c r="Q529" t="n">
        <v>0</v>
      </c>
      <c r="R529" s="2" t="inlineStr"/>
    </row>
    <row r="530" ht="15" customHeight="1">
      <c r="A530" t="inlineStr">
        <is>
          <t>A 52466-2025</t>
        </is>
      </c>
      <c r="B530" s="1" t="n">
        <v>45954.44707175926</v>
      </c>
      <c r="C530" s="1" t="n">
        <v>46163</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52473-2025</t>
        </is>
      </c>
      <c r="B531" s="1" t="n">
        <v>45954.45947916667</v>
      </c>
      <c r="C531" s="1" t="n">
        <v>46163</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52480-2025</t>
        </is>
      </c>
      <c r="B532" s="1" t="n">
        <v>45954.47172453703</v>
      </c>
      <c r="C532" s="1" t="n">
        <v>46163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40929-2022</t>
        </is>
      </c>
      <c r="B533" s="1" t="n">
        <v>44825.4336574074</v>
      </c>
      <c r="C533" s="1" t="n">
        <v>46163</v>
      </c>
      <c r="D533" t="inlineStr">
        <is>
          <t>KALMAR LÄN</t>
        </is>
      </c>
      <c r="E533" t="inlineStr">
        <is>
          <t>VIMMERBY</t>
        </is>
      </c>
      <c r="G533" t="n">
        <v>2.5</v>
      </c>
      <c r="H533" t="n">
        <v>0</v>
      </c>
      <c r="I533" t="n">
        <v>0</v>
      </c>
      <c r="J533" t="n">
        <v>0</v>
      </c>
      <c r="K533" t="n">
        <v>0</v>
      </c>
      <c r="L533" t="n">
        <v>0</v>
      </c>
      <c r="M533" t="n">
        <v>0</v>
      </c>
      <c r="N533" t="n">
        <v>0</v>
      </c>
      <c r="O533" t="n">
        <v>0</v>
      </c>
      <c r="P533" t="n">
        <v>0</v>
      </c>
      <c r="Q533" t="n">
        <v>0</v>
      </c>
      <c r="R533" s="2" t="inlineStr"/>
    </row>
    <row r="534" ht="15" customHeight="1">
      <c r="A534" t="inlineStr">
        <is>
          <t>A 52475-2025</t>
        </is>
      </c>
      <c r="B534" s="1" t="n">
        <v>45954.468125</v>
      </c>
      <c r="C534" s="1" t="n">
        <v>46163</v>
      </c>
      <c r="D534" t="inlineStr">
        <is>
          <t>KALMAR LÄN</t>
        </is>
      </c>
      <c r="E534" t="inlineStr">
        <is>
          <t>VIMMERBY</t>
        </is>
      </c>
      <c r="G534" t="n">
        <v>1.5</v>
      </c>
      <c r="H534" t="n">
        <v>0</v>
      </c>
      <c r="I534" t="n">
        <v>0</v>
      </c>
      <c r="J534" t="n">
        <v>0</v>
      </c>
      <c r="K534" t="n">
        <v>0</v>
      </c>
      <c r="L534" t="n">
        <v>0</v>
      </c>
      <c r="M534" t="n">
        <v>0</v>
      </c>
      <c r="N534" t="n">
        <v>0</v>
      </c>
      <c r="O534" t="n">
        <v>0</v>
      </c>
      <c r="P534" t="n">
        <v>0</v>
      </c>
      <c r="Q534" t="n">
        <v>0</v>
      </c>
      <c r="R534" s="2" t="inlineStr"/>
    </row>
    <row r="535" ht="15" customHeight="1">
      <c r="A535" t="inlineStr">
        <is>
          <t>A 50091-2023</t>
        </is>
      </c>
      <c r="B535" s="1" t="n">
        <v>45215.60199074074</v>
      </c>
      <c r="C535" s="1" t="n">
        <v>46163</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36008-2024</t>
        </is>
      </c>
      <c r="B536" s="1" t="n">
        <v>45533.55362268518</v>
      </c>
      <c r="C536" s="1" t="n">
        <v>46163</v>
      </c>
      <c r="D536" t="inlineStr">
        <is>
          <t>KALMAR LÄN</t>
        </is>
      </c>
      <c r="E536" t="inlineStr">
        <is>
          <t>VIMMERBY</t>
        </is>
      </c>
      <c r="G536" t="n">
        <v>3.7</v>
      </c>
      <c r="H536" t="n">
        <v>0</v>
      </c>
      <c r="I536" t="n">
        <v>0</v>
      </c>
      <c r="J536" t="n">
        <v>0</v>
      </c>
      <c r="K536" t="n">
        <v>0</v>
      </c>
      <c r="L536" t="n">
        <v>0</v>
      </c>
      <c r="M536" t="n">
        <v>0</v>
      </c>
      <c r="N536" t="n">
        <v>0</v>
      </c>
      <c r="O536" t="n">
        <v>0</v>
      </c>
      <c r="P536" t="n">
        <v>0</v>
      </c>
      <c r="Q536" t="n">
        <v>0</v>
      </c>
      <c r="R536" s="2" t="inlineStr"/>
    </row>
    <row r="537" ht="15" customHeight="1">
      <c r="A537" t="inlineStr">
        <is>
          <t>A 53396-2025</t>
        </is>
      </c>
      <c r="B537" s="1" t="n">
        <v>45959.55577546296</v>
      </c>
      <c r="C537" s="1" t="n">
        <v>46163</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53416-2025</t>
        </is>
      </c>
      <c r="B538" s="1" t="n">
        <v>45959.58387731481</v>
      </c>
      <c r="C538" s="1" t="n">
        <v>46163</v>
      </c>
      <c r="D538" t="inlineStr">
        <is>
          <t>KALMAR LÄN</t>
        </is>
      </c>
      <c r="E538" t="inlineStr">
        <is>
          <t>VIMMERBY</t>
        </is>
      </c>
      <c r="G538" t="n">
        <v>4.4</v>
      </c>
      <c r="H538" t="n">
        <v>0</v>
      </c>
      <c r="I538" t="n">
        <v>0</v>
      </c>
      <c r="J538" t="n">
        <v>0</v>
      </c>
      <c r="K538" t="n">
        <v>0</v>
      </c>
      <c r="L538" t="n">
        <v>0</v>
      </c>
      <c r="M538" t="n">
        <v>0</v>
      </c>
      <c r="N538" t="n">
        <v>0</v>
      </c>
      <c r="O538" t="n">
        <v>0</v>
      </c>
      <c r="P538" t="n">
        <v>0</v>
      </c>
      <c r="Q538" t="n">
        <v>0</v>
      </c>
      <c r="R538" s="2" t="inlineStr"/>
    </row>
    <row r="539" ht="15" customHeight="1">
      <c r="A539" t="inlineStr">
        <is>
          <t>A 53398-2025</t>
        </is>
      </c>
      <c r="B539" s="1" t="n">
        <v>45959.56247685185</v>
      </c>
      <c r="C539" s="1" t="n">
        <v>46163</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53397-2025</t>
        </is>
      </c>
      <c r="B540" s="1" t="n">
        <v>45959.55918981481</v>
      </c>
      <c r="C540" s="1" t="n">
        <v>46163</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53220-2025</t>
        </is>
      </c>
      <c r="B541" s="1" t="n">
        <v>45958.60146990741</v>
      </c>
      <c r="C541" s="1" t="n">
        <v>46163</v>
      </c>
      <c r="D541" t="inlineStr">
        <is>
          <t>KALMAR LÄN</t>
        </is>
      </c>
      <c r="E541" t="inlineStr">
        <is>
          <t>VIMMERBY</t>
        </is>
      </c>
      <c r="G541" t="n">
        <v>2.2</v>
      </c>
      <c r="H541" t="n">
        <v>0</v>
      </c>
      <c r="I541" t="n">
        <v>0</v>
      </c>
      <c r="J541" t="n">
        <v>0</v>
      </c>
      <c r="K541" t="n">
        <v>0</v>
      </c>
      <c r="L541" t="n">
        <v>0</v>
      </c>
      <c r="M541" t="n">
        <v>0</v>
      </c>
      <c r="N541" t="n">
        <v>0</v>
      </c>
      <c r="O541" t="n">
        <v>0</v>
      </c>
      <c r="P541" t="n">
        <v>0</v>
      </c>
      <c r="Q541" t="n">
        <v>0</v>
      </c>
      <c r="R541" s="2" t="inlineStr"/>
    </row>
    <row r="542" ht="15" customHeight="1">
      <c r="A542" t="inlineStr">
        <is>
          <t>A 16622-2025</t>
        </is>
      </c>
      <c r="B542" s="1" t="n">
        <v>45754.33641203704</v>
      </c>
      <c r="C542" s="1" t="n">
        <v>46163</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20018-2026</t>
        </is>
      </c>
      <c r="B543" s="1" t="n">
        <v>46136.50282407407</v>
      </c>
      <c r="C543" s="1" t="n">
        <v>46163</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17511-2024</t>
        </is>
      </c>
      <c r="B544" s="1" t="n">
        <v>45415.57682870371</v>
      </c>
      <c r="C544" s="1" t="n">
        <v>46163</v>
      </c>
      <c r="D544" t="inlineStr">
        <is>
          <t>KALMAR LÄN</t>
        </is>
      </c>
      <c r="E544" t="inlineStr">
        <is>
          <t>VIMMERBY</t>
        </is>
      </c>
      <c r="G544" t="n">
        <v>5.3</v>
      </c>
      <c r="H544" t="n">
        <v>0</v>
      </c>
      <c r="I544" t="n">
        <v>0</v>
      </c>
      <c r="J544" t="n">
        <v>0</v>
      </c>
      <c r="K544" t="n">
        <v>0</v>
      </c>
      <c r="L544" t="n">
        <v>0</v>
      </c>
      <c r="M544" t="n">
        <v>0</v>
      </c>
      <c r="N544" t="n">
        <v>0</v>
      </c>
      <c r="O544" t="n">
        <v>0</v>
      </c>
      <c r="P544" t="n">
        <v>0</v>
      </c>
      <c r="Q544" t="n">
        <v>0</v>
      </c>
      <c r="R544" s="2" t="inlineStr"/>
    </row>
    <row r="545" ht="15" customHeight="1">
      <c r="A545" t="inlineStr">
        <is>
          <t>A 43705-2023</t>
        </is>
      </c>
      <c r="B545" s="1" t="n">
        <v>45187.42854166667</v>
      </c>
      <c r="C545" s="1" t="n">
        <v>46163</v>
      </c>
      <c r="D545" t="inlineStr">
        <is>
          <t>KALMAR LÄN</t>
        </is>
      </c>
      <c r="E545" t="inlineStr">
        <is>
          <t>VIMMERBY</t>
        </is>
      </c>
      <c r="G545" t="n">
        <v>1.2</v>
      </c>
      <c r="H545" t="n">
        <v>0</v>
      </c>
      <c r="I545" t="n">
        <v>0</v>
      </c>
      <c r="J545" t="n">
        <v>0</v>
      </c>
      <c r="K545" t="n">
        <v>0</v>
      </c>
      <c r="L545" t="n">
        <v>0</v>
      </c>
      <c r="M545" t="n">
        <v>0</v>
      </c>
      <c r="N545" t="n">
        <v>0</v>
      </c>
      <c r="O545" t="n">
        <v>0</v>
      </c>
      <c r="P545" t="n">
        <v>0</v>
      </c>
      <c r="Q545" t="n">
        <v>0</v>
      </c>
      <c r="R545" s="2" t="inlineStr"/>
    </row>
    <row r="546" ht="15" customHeight="1">
      <c r="A546" t="inlineStr">
        <is>
          <t>A 53393-2025</t>
        </is>
      </c>
      <c r="B546" s="1" t="n">
        <v>45959.55284722222</v>
      </c>
      <c r="C546" s="1" t="n">
        <v>46163</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53413-2025</t>
        </is>
      </c>
      <c r="B547" s="1" t="n">
        <v>45959.5787037037</v>
      </c>
      <c r="C547" s="1" t="n">
        <v>46163</v>
      </c>
      <c r="D547" t="inlineStr">
        <is>
          <t>KALMAR LÄN</t>
        </is>
      </c>
      <c r="E547" t="inlineStr">
        <is>
          <t>VIMMERBY</t>
        </is>
      </c>
      <c r="G547" t="n">
        <v>4.3</v>
      </c>
      <c r="H547" t="n">
        <v>0</v>
      </c>
      <c r="I547" t="n">
        <v>0</v>
      </c>
      <c r="J547" t="n">
        <v>0</v>
      </c>
      <c r="K547" t="n">
        <v>0</v>
      </c>
      <c r="L547" t="n">
        <v>0</v>
      </c>
      <c r="M547" t="n">
        <v>0</v>
      </c>
      <c r="N547" t="n">
        <v>0</v>
      </c>
      <c r="O547" t="n">
        <v>0</v>
      </c>
      <c r="P547" t="n">
        <v>0</v>
      </c>
      <c r="Q547" t="n">
        <v>0</v>
      </c>
      <c r="R547" s="2" t="inlineStr"/>
    </row>
    <row r="548" ht="15" customHeight="1">
      <c r="A548" t="inlineStr">
        <is>
          <t>A 53903-2025</t>
        </is>
      </c>
      <c r="B548" s="1" t="n">
        <v>45961.43738425926</v>
      </c>
      <c r="C548" s="1" t="n">
        <v>46163</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53920-2025</t>
        </is>
      </c>
      <c r="B549" s="1" t="n">
        <v>45961.44951388889</v>
      </c>
      <c r="C549" s="1" t="n">
        <v>46163</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53927-2025</t>
        </is>
      </c>
      <c r="B550" s="1" t="n">
        <v>45961.46740740741</v>
      </c>
      <c r="C550" s="1" t="n">
        <v>46163</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55300-2021</t>
        </is>
      </c>
      <c r="B551" s="1" t="n">
        <v>44475</v>
      </c>
      <c r="C551" s="1" t="n">
        <v>46163</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53789-2025</t>
        </is>
      </c>
      <c r="B552" s="1" t="n">
        <v>45960</v>
      </c>
      <c r="C552" s="1" t="n">
        <v>46163</v>
      </c>
      <c r="D552" t="inlineStr">
        <is>
          <t>KALMAR LÄN</t>
        </is>
      </c>
      <c r="E552" t="inlineStr">
        <is>
          <t>VIMMERBY</t>
        </is>
      </c>
      <c r="F552" t="inlineStr">
        <is>
          <t>Övriga statliga verk och myndigheter</t>
        </is>
      </c>
      <c r="G552" t="n">
        <v>1.6</v>
      </c>
      <c r="H552" t="n">
        <v>0</v>
      </c>
      <c r="I552" t="n">
        <v>0</v>
      </c>
      <c r="J552" t="n">
        <v>0</v>
      </c>
      <c r="K552" t="n">
        <v>0</v>
      </c>
      <c r="L552" t="n">
        <v>0</v>
      </c>
      <c r="M552" t="n">
        <v>0</v>
      </c>
      <c r="N552" t="n">
        <v>0</v>
      </c>
      <c r="O552" t="n">
        <v>0</v>
      </c>
      <c r="P552" t="n">
        <v>0</v>
      </c>
      <c r="Q552" t="n">
        <v>0</v>
      </c>
      <c r="R552" s="2" t="inlineStr"/>
    </row>
    <row r="553" ht="15" customHeight="1">
      <c r="A553" t="inlineStr">
        <is>
          <t>A 53923-2025</t>
        </is>
      </c>
      <c r="B553" s="1" t="n">
        <v>45961.4569212963</v>
      </c>
      <c r="C553" s="1" t="n">
        <v>46163</v>
      </c>
      <c r="D553" t="inlineStr">
        <is>
          <t>KALMAR LÄN</t>
        </is>
      </c>
      <c r="E553" t="inlineStr">
        <is>
          <t>VIMMERBY</t>
        </is>
      </c>
      <c r="G553" t="n">
        <v>2.4</v>
      </c>
      <c r="H553" t="n">
        <v>0</v>
      </c>
      <c r="I553" t="n">
        <v>0</v>
      </c>
      <c r="J553" t="n">
        <v>0</v>
      </c>
      <c r="K553" t="n">
        <v>0</v>
      </c>
      <c r="L553" t="n">
        <v>0</v>
      </c>
      <c r="M553" t="n">
        <v>0</v>
      </c>
      <c r="N553" t="n">
        <v>0</v>
      </c>
      <c r="O553" t="n">
        <v>0</v>
      </c>
      <c r="P553" t="n">
        <v>0</v>
      </c>
      <c r="Q553" t="n">
        <v>0</v>
      </c>
      <c r="R553" s="2" t="inlineStr"/>
    </row>
    <row r="554" ht="15" customHeight="1">
      <c r="A554" t="inlineStr">
        <is>
          <t>A 44179-2022</t>
        </is>
      </c>
      <c r="B554" s="1" t="n">
        <v>44839.4528125</v>
      </c>
      <c r="C554" s="1" t="n">
        <v>46163</v>
      </c>
      <c r="D554" t="inlineStr">
        <is>
          <t>KALMAR LÄN</t>
        </is>
      </c>
      <c r="E554" t="inlineStr">
        <is>
          <t>VIMMERBY</t>
        </is>
      </c>
      <c r="G554" t="n">
        <v>2.8</v>
      </c>
      <c r="H554" t="n">
        <v>0</v>
      </c>
      <c r="I554" t="n">
        <v>0</v>
      </c>
      <c r="J554" t="n">
        <v>0</v>
      </c>
      <c r="K554" t="n">
        <v>0</v>
      </c>
      <c r="L554" t="n">
        <v>0</v>
      </c>
      <c r="M554" t="n">
        <v>0</v>
      </c>
      <c r="N554" t="n">
        <v>0</v>
      </c>
      <c r="O554" t="n">
        <v>0</v>
      </c>
      <c r="P554" t="n">
        <v>0</v>
      </c>
      <c r="Q554" t="n">
        <v>0</v>
      </c>
      <c r="R554" s="2" t="inlineStr"/>
    </row>
    <row r="555" ht="15" customHeight="1">
      <c r="A555" t="inlineStr">
        <is>
          <t>A 53933-2025</t>
        </is>
      </c>
      <c r="B555" s="1" t="n">
        <v>45961.47650462963</v>
      </c>
      <c r="C555" s="1" t="n">
        <v>46163</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52755-2022</t>
        </is>
      </c>
      <c r="B556" s="1" t="n">
        <v>44875.27736111111</v>
      </c>
      <c r="C556" s="1" t="n">
        <v>46163</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13667-2026</t>
        </is>
      </c>
      <c r="B557" s="1" t="n">
        <v>46097</v>
      </c>
      <c r="C557" s="1" t="n">
        <v>46163</v>
      </c>
      <c r="D557" t="inlineStr">
        <is>
          <t>KALMAR LÄN</t>
        </is>
      </c>
      <c r="E557" t="inlineStr">
        <is>
          <t>VIMMERBY</t>
        </is>
      </c>
      <c r="G557" t="n">
        <v>6.8</v>
      </c>
      <c r="H557" t="n">
        <v>0</v>
      </c>
      <c r="I557" t="n">
        <v>0</v>
      </c>
      <c r="J557" t="n">
        <v>0</v>
      </c>
      <c r="K557" t="n">
        <v>0</v>
      </c>
      <c r="L557" t="n">
        <v>0</v>
      </c>
      <c r="M557" t="n">
        <v>0</v>
      </c>
      <c r="N557" t="n">
        <v>0</v>
      </c>
      <c r="O557" t="n">
        <v>0</v>
      </c>
      <c r="P557" t="n">
        <v>0</v>
      </c>
      <c r="Q557" t="n">
        <v>0</v>
      </c>
      <c r="R557" s="2" t="inlineStr"/>
    </row>
    <row r="558" ht="15" customHeight="1">
      <c r="A558" t="inlineStr">
        <is>
          <t>A 35998-2024</t>
        </is>
      </c>
      <c r="B558" s="1" t="n">
        <v>45533.54429398148</v>
      </c>
      <c r="C558" s="1" t="n">
        <v>46163</v>
      </c>
      <c r="D558" t="inlineStr">
        <is>
          <t>KALMAR LÄN</t>
        </is>
      </c>
      <c r="E558" t="inlineStr">
        <is>
          <t>VIMMERBY</t>
        </is>
      </c>
      <c r="G558" t="n">
        <v>8.6</v>
      </c>
      <c r="H558" t="n">
        <v>0</v>
      </c>
      <c r="I558" t="n">
        <v>0</v>
      </c>
      <c r="J558" t="n">
        <v>0</v>
      </c>
      <c r="K558" t="n">
        <v>0</v>
      </c>
      <c r="L558" t="n">
        <v>0</v>
      </c>
      <c r="M558" t="n">
        <v>0</v>
      </c>
      <c r="N558" t="n">
        <v>0</v>
      </c>
      <c r="O558" t="n">
        <v>0</v>
      </c>
      <c r="P558" t="n">
        <v>0</v>
      </c>
      <c r="Q558" t="n">
        <v>0</v>
      </c>
      <c r="R558" s="2" t="inlineStr"/>
    </row>
    <row r="559" ht="15" customHeight="1">
      <c r="A559" t="inlineStr">
        <is>
          <t>A 53788-2025</t>
        </is>
      </c>
      <c r="B559" s="1" t="n">
        <v>45960</v>
      </c>
      <c r="C559" s="1" t="n">
        <v>46163</v>
      </c>
      <c r="D559" t="inlineStr">
        <is>
          <t>KALMAR LÄN</t>
        </is>
      </c>
      <c r="E559" t="inlineStr">
        <is>
          <t>VIMMERBY</t>
        </is>
      </c>
      <c r="F559" t="inlineStr">
        <is>
          <t>Övriga statliga verk och myndigheter</t>
        </is>
      </c>
      <c r="G559" t="n">
        <v>6.3</v>
      </c>
      <c r="H559" t="n">
        <v>0</v>
      </c>
      <c r="I559" t="n">
        <v>0</v>
      </c>
      <c r="J559" t="n">
        <v>0</v>
      </c>
      <c r="K559" t="n">
        <v>0</v>
      </c>
      <c r="L559" t="n">
        <v>0</v>
      </c>
      <c r="M559" t="n">
        <v>0</v>
      </c>
      <c r="N559" t="n">
        <v>0</v>
      </c>
      <c r="O559" t="n">
        <v>0</v>
      </c>
      <c r="P559" t="n">
        <v>0</v>
      </c>
      <c r="Q559" t="n">
        <v>0</v>
      </c>
      <c r="R559" s="2" t="inlineStr"/>
    </row>
    <row r="560" ht="15" customHeight="1">
      <c r="A560" t="inlineStr">
        <is>
          <t>A 7797-2023</t>
        </is>
      </c>
      <c r="B560" s="1" t="n">
        <v>44973.43075231482</v>
      </c>
      <c r="C560" s="1" t="n">
        <v>46163</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13793-2026</t>
        </is>
      </c>
      <c r="B561" s="1" t="n">
        <v>46097.79199074074</v>
      </c>
      <c r="C561" s="1" t="n">
        <v>46163</v>
      </c>
      <c r="D561" t="inlineStr">
        <is>
          <t>KALMAR LÄN</t>
        </is>
      </c>
      <c r="E561" t="inlineStr">
        <is>
          <t>VIMMERBY</t>
        </is>
      </c>
      <c r="G561" t="n">
        <v>2.9</v>
      </c>
      <c r="H561" t="n">
        <v>0</v>
      </c>
      <c r="I561" t="n">
        <v>0</v>
      </c>
      <c r="J561" t="n">
        <v>0</v>
      </c>
      <c r="K561" t="n">
        <v>0</v>
      </c>
      <c r="L561" t="n">
        <v>0</v>
      </c>
      <c r="M561" t="n">
        <v>0</v>
      </c>
      <c r="N561" t="n">
        <v>0</v>
      </c>
      <c r="O561" t="n">
        <v>0</v>
      </c>
      <c r="P561" t="n">
        <v>0</v>
      </c>
      <c r="Q561" t="n">
        <v>0</v>
      </c>
      <c r="R561" s="2" t="inlineStr"/>
    </row>
    <row r="562" ht="15" customHeight="1">
      <c r="A562" t="inlineStr">
        <is>
          <t>A 54236-2025</t>
        </is>
      </c>
      <c r="B562" s="1" t="n">
        <v>45964.62671296296</v>
      </c>
      <c r="C562" s="1" t="n">
        <v>46163</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29351-2023</t>
        </is>
      </c>
      <c r="B563" s="1" t="n">
        <v>45106.2610300926</v>
      </c>
      <c r="C563" s="1" t="n">
        <v>46163</v>
      </c>
      <c r="D563" t="inlineStr">
        <is>
          <t>KALMAR LÄN</t>
        </is>
      </c>
      <c r="E563" t="inlineStr">
        <is>
          <t>VIMMERBY</t>
        </is>
      </c>
      <c r="G563" t="n">
        <v>0.4</v>
      </c>
      <c r="H563" t="n">
        <v>0</v>
      </c>
      <c r="I563" t="n">
        <v>0</v>
      </c>
      <c r="J563" t="n">
        <v>0</v>
      </c>
      <c r="K563" t="n">
        <v>0</v>
      </c>
      <c r="L563" t="n">
        <v>0</v>
      </c>
      <c r="M563" t="n">
        <v>0</v>
      </c>
      <c r="N563" t="n">
        <v>0</v>
      </c>
      <c r="O563" t="n">
        <v>0</v>
      </c>
      <c r="P563" t="n">
        <v>0</v>
      </c>
      <c r="Q563" t="n">
        <v>0</v>
      </c>
      <c r="R563" s="2" t="inlineStr"/>
    </row>
    <row r="564" ht="15" customHeight="1">
      <c r="A564" t="inlineStr">
        <is>
          <t>A 7630-2025</t>
        </is>
      </c>
      <c r="B564" s="1" t="n">
        <v>45705.74418981482</v>
      </c>
      <c r="C564" s="1" t="n">
        <v>46163</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1024-2024</t>
        </is>
      </c>
      <c r="B565" s="1" t="n">
        <v>45301.68237268519</v>
      </c>
      <c r="C565" s="1" t="n">
        <v>46163</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10787-2025</t>
        </is>
      </c>
      <c r="B566" s="1" t="n">
        <v>45722.48915509259</v>
      </c>
      <c r="C566" s="1" t="n">
        <v>46163</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29350-2023</t>
        </is>
      </c>
      <c r="B567" s="1" t="n">
        <v>45106</v>
      </c>
      <c r="C567" s="1" t="n">
        <v>46163</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54234-2025</t>
        </is>
      </c>
      <c r="B568" s="1" t="n">
        <v>45964.62486111111</v>
      </c>
      <c r="C568" s="1" t="n">
        <v>46163</v>
      </c>
      <c r="D568" t="inlineStr">
        <is>
          <t>KALMAR LÄN</t>
        </is>
      </c>
      <c r="E568" t="inlineStr">
        <is>
          <t>VIMMERBY</t>
        </is>
      </c>
      <c r="G568" t="n">
        <v>4.1</v>
      </c>
      <c r="H568" t="n">
        <v>0</v>
      </c>
      <c r="I568" t="n">
        <v>0</v>
      </c>
      <c r="J568" t="n">
        <v>0</v>
      </c>
      <c r="K568" t="n">
        <v>0</v>
      </c>
      <c r="L568" t="n">
        <v>0</v>
      </c>
      <c r="M568" t="n">
        <v>0</v>
      </c>
      <c r="N568" t="n">
        <v>0</v>
      </c>
      <c r="O568" t="n">
        <v>0</v>
      </c>
      <c r="P568" t="n">
        <v>0</v>
      </c>
      <c r="Q568" t="n">
        <v>0</v>
      </c>
      <c r="R568" s="2" t="inlineStr"/>
    </row>
    <row r="569" ht="15" customHeight="1">
      <c r="A569" t="inlineStr">
        <is>
          <t>A 14855-2025</t>
        </is>
      </c>
      <c r="B569" s="1" t="n">
        <v>45743.41148148148</v>
      </c>
      <c r="C569" s="1" t="n">
        <v>46163</v>
      </c>
      <c r="D569" t="inlineStr">
        <is>
          <t>KALMAR LÄN</t>
        </is>
      </c>
      <c r="E569" t="inlineStr">
        <is>
          <t>VIMMERBY</t>
        </is>
      </c>
      <c r="G569" t="n">
        <v>1.2</v>
      </c>
      <c r="H569" t="n">
        <v>0</v>
      </c>
      <c r="I569" t="n">
        <v>0</v>
      </c>
      <c r="J569" t="n">
        <v>0</v>
      </c>
      <c r="K569" t="n">
        <v>0</v>
      </c>
      <c r="L569" t="n">
        <v>0</v>
      </c>
      <c r="M569" t="n">
        <v>0</v>
      </c>
      <c r="N569" t="n">
        <v>0</v>
      </c>
      <c r="O569" t="n">
        <v>0</v>
      </c>
      <c r="P569" t="n">
        <v>0</v>
      </c>
      <c r="Q569" t="n">
        <v>0</v>
      </c>
      <c r="R569" s="2" t="inlineStr"/>
    </row>
    <row r="570" ht="15" customHeight="1">
      <c r="A570" t="inlineStr">
        <is>
          <t>A 43601-2024</t>
        </is>
      </c>
      <c r="B570" s="1" t="n">
        <v>45569.44684027778</v>
      </c>
      <c r="C570" s="1" t="n">
        <v>46163</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35913-2023</t>
        </is>
      </c>
      <c r="B571" s="1" t="n">
        <v>45148</v>
      </c>
      <c r="C571" s="1" t="n">
        <v>46163</v>
      </c>
      <c r="D571" t="inlineStr">
        <is>
          <t>KALMAR LÄN</t>
        </is>
      </c>
      <c r="E571" t="inlineStr">
        <is>
          <t>VIMMERBY</t>
        </is>
      </c>
      <c r="G571" t="n">
        <v>6.9</v>
      </c>
      <c r="H571" t="n">
        <v>0</v>
      </c>
      <c r="I571" t="n">
        <v>0</v>
      </c>
      <c r="J571" t="n">
        <v>0</v>
      </c>
      <c r="K571" t="n">
        <v>0</v>
      </c>
      <c r="L571" t="n">
        <v>0</v>
      </c>
      <c r="M571" t="n">
        <v>0</v>
      </c>
      <c r="N571" t="n">
        <v>0</v>
      </c>
      <c r="O571" t="n">
        <v>0</v>
      </c>
      <c r="P571" t="n">
        <v>0</v>
      </c>
      <c r="Q571" t="n">
        <v>0</v>
      </c>
      <c r="R571" s="2" t="inlineStr"/>
    </row>
    <row r="572" ht="15" customHeight="1">
      <c r="A572" t="inlineStr">
        <is>
          <t>A 9624-2024</t>
        </is>
      </c>
      <c r="B572" s="1" t="n">
        <v>45361.90282407407</v>
      </c>
      <c r="C572" s="1" t="n">
        <v>46163</v>
      </c>
      <c r="D572" t="inlineStr">
        <is>
          <t>KALMAR LÄN</t>
        </is>
      </c>
      <c r="E572" t="inlineStr">
        <is>
          <t>VIMMERBY</t>
        </is>
      </c>
      <c r="G572" t="n">
        <v>3.8</v>
      </c>
      <c r="H572" t="n">
        <v>0</v>
      </c>
      <c r="I572" t="n">
        <v>0</v>
      </c>
      <c r="J572" t="n">
        <v>0</v>
      </c>
      <c r="K572" t="n">
        <v>0</v>
      </c>
      <c r="L572" t="n">
        <v>0</v>
      </c>
      <c r="M572" t="n">
        <v>0</v>
      </c>
      <c r="N572" t="n">
        <v>0</v>
      </c>
      <c r="O572" t="n">
        <v>0</v>
      </c>
      <c r="P572" t="n">
        <v>0</v>
      </c>
      <c r="Q572" t="n">
        <v>0</v>
      </c>
      <c r="R572" s="2" t="inlineStr"/>
    </row>
    <row r="573" ht="15" customHeight="1">
      <c r="A573" t="inlineStr">
        <is>
          <t>A 3938-2023</t>
        </is>
      </c>
      <c r="B573" s="1" t="n">
        <v>44952.35775462963</v>
      </c>
      <c r="C573" s="1" t="n">
        <v>46163</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39053-2024</t>
        </is>
      </c>
      <c r="B574" s="1" t="n">
        <v>45548</v>
      </c>
      <c r="C574" s="1" t="n">
        <v>46163</v>
      </c>
      <c r="D574" t="inlineStr">
        <is>
          <t>KALMAR LÄN</t>
        </is>
      </c>
      <c r="E574" t="inlineStr">
        <is>
          <t>VIMMERBY</t>
        </is>
      </c>
      <c r="G574" t="n">
        <v>5</v>
      </c>
      <c r="H574" t="n">
        <v>0</v>
      </c>
      <c r="I574" t="n">
        <v>0</v>
      </c>
      <c r="J574" t="n">
        <v>0</v>
      </c>
      <c r="K574" t="n">
        <v>0</v>
      </c>
      <c r="L574" t="n">
        <v>0</v>
      </c>
      <c r="M574" t="n">
        <v>0</v>
      </c>
      <c r="N574" t="n">
        <v>0</v>
      </c>
      <c r="O574" t="n">
        <v>0</v>
      </c>
      <c r="P574" t="n">
        <v>0</v>
      </c>
      <c r="Q574" t="n">
        <v>0</v>
      </c>
      <c r="R574" s="2" t="inlineStr"/>
    </row>
    <row r="575" ht="15" customHeight="1">
      <c r="A575" t="inlineStr">
        <is>
          <t>A 54737-2025</t>
        </is>
      </c>
      <c r="B575" s="1" t="n">
        <v>45966.56826388889</v>
      </c>
      <c r="C575" s="1" t="n">
        <v>46163</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14451-2024</t>
        </is>
      </c>
      <c r="B576" s="1" t="n">
        <v>45394.50028935185</v>
      </c>
      <c r="C576" s="1" t="n">
        <v>46163</v>
      </c>
      <c r="D576" t="inlineStr">
        <is>
          <t>KALMAR LÄN</t>
        </is>
      </c>
      <c r="E576" t="inlineStr">
        <is>
          <t>VIMMERBY</t>
        </is>
      </c>
      <c r="G576" t="n">
        <v>1.9</v>
      </c>
      <c r="H576" t="n">
        <v>0</v>
      </c>
      <c r="I576" t="n">
        <v>0</v>
      </c>
      <c r="J576" t="n">
        <v>0</v>
      </c>
      <c r="K576" t="n">
        <v>0</v>
      </c>
      <c r="L576" t="n">
        <v>0</v>
      </c>
      <c r="M576" t="n">
        <v>0</v>
      </c>
      <c r="N576" t="n">
        <v>0</v>
      </c>
      <c r="O576" t="n">
        <v>0</v>
      </c>
      <c r="P576" t="n">
        <v>0</v>
      </c>
      <c r="Q576" t="n">
        <v>0</v>
      </c>
      <c r="R576" s="2" t="inlineStr"/>
    </row>
    <row r="577" ht="15" customHeight="1">
      <c r="A577" t="inlineStr">
        <is>
          <t>A 54813-2025</t>
        </is>
      </c>
      <c r="B577" s="1" t="n">
        <v>45966.64881944445</v>
      </c>
      <c r="C577" s="1" t="n">
        <v>46163</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34205-2023</t>
        </is>
      </c>
      <c r="B578" s="1" t="n">
        <v>45138</v>
      </c>
      <c r="C578" s="1" t="n">
        <v>46163</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13714-2026</t>
        </is>
      </c>
      <c r="B579" s="1" t="n">
        <v>46097.58472222222</v>
      </c>
      <c r="C579" s="1" t="n">
        <v>46163</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55602-2025</t>
        </is>
      </c>
      <c r="B580" s="1" t="n">
        <v>45971</v>
      </c>
      <c r="C580" s="1" t="n">
        <v>46163</v>
      </c>
      <c r="D580" t="inlineStr">
        <is>
          <t>KALMAR LÄN</t>
        </is>
      </c>
      <c r="E580" t="inlineStr">
        <is>
          <t>VIMMERBY</t>
        </is>
      </c>
      <c r="G580" t="n">
        <v>2.7</v>
      </c>
      <c r="H580" t="n">
        <v>0</v>
      </c>
      <c r="I580" t="n">
        <v>0</v>
      </c>
      <c r="J580" t="n">
        <v>0</v>
      </c>
      <c r="K580" t="n">
        <v>0</v>
      </c>
      <c r="L580" t="n">
        <v>0</v>
      </c>
      <c r="M580" t="n">
        <v>0</v>
      </c>
      <c r="N580" t="n">
        <v>0</v>
      </c>
      <c r="O580" t="n">
        <v>0</v>
      </c>
      <c r="P580" t="n">
        <v>0</v>
      </c>
      <c r="Q580" t="n">
        <v>0</v>
      </c>
      <c r="R580" s="2" t="inlineStr"/>
    </row>
    <row r="581" ht="15" customHeight="1">
      <c r="A581" t="inlineStr">
        <is>
          <t>A 55603-2025</t>
        </is>
      </c>
      <c r="B581" s="1" t="n">
        <v>45971</v>
      </c>
      <c r="C581" s="1" t="n">
        <v>46163</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55605-2025</t>
        </is>
      </c>
      <c r="B582" s="1" t="n">
        <v>45971</v>
      </c>
      <c r="C582" s="1" t="n">
        <v>46163</v>
      </c>
      <c r="D582" t="inlineStr">
        <is>
          <t>KALMAR LÄN</t>
        </is>
      </c>
      <c r="E582" t="inlineStr">
        <is>
          <t>VIMMERBY</t>
        </is>
      </c>
      <c r="G582" t="n">
        <v>1.4</v>
      </c>
      <c r="H582" t="n">
        <v>0</v>
      </c>
      <c r="I582" t="n">
        <v>0</v>
      </c>
      <c r="J582" t="n">
        <v>0</v>
      </c>
      <c r="K582" t="n">
        <v>0</v>
      </c>
      <c r="L582" t="n">
        <v>0</v>
      </c>
      <c r="M582" t="n">
        <v>0</v>
      </c>
      <c r="N582" t="n">
        <v>0</v>
      </c>
      <c r="O582" t="n">
        <v>0</v>
      </c>
      <c r="P582" t="n">
        <v>0</v>
      </c>
      <c r="Q582" t="n">
        <v>0</v>
      </c>
      <c r="R582" s="2" t="inlineStr"/>
    </row>
    <row r="583" ht="15" customHeight="1">
      <c r="A583" t="inlineStr">
        <is>
          <t>A 3268-2024</t>
        </is>
      </c>
      <c r="B583" s="1" t="n">
        <v>45317</v>
      </c>
      <c r="C583" s="1" t="n">
        <v>46163</v>
      </c>
      <c r="D583" t="inlineStr">
        <is>
          <t>KALMAR LÄN</t>
        </is>
      </c>
      <c r="E583" t="inlineStr">
        <is>
          <t>VIMMERBY</t>
        </is>
      </c>
      <c r="F583" t="inlineStr">
        <is>
          <t>Övriga Aktiebolag</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12819-2024</t>
        </is>
      </c>
      <c r="B584" s="1" t="n">
        <v>45384.66917824074</v>
      </c>
      <c r="C584" s="1" t="n">
        <v>46163</v>
      </c>
      <c r="D584" t="inlineStr">
        <is>
          <t>KALMAR LÄN</t>
        </is>
      </c>
      <c r="E584" t="inlineStr">
        <is>
          <t>VIMMERBY</t>
        </is>
      </c>
      <c r="G584" t="n">
        <v>5.1</v>
      </c>
      <c r="H584" t="n">
        <v>0</v>
      </c>
      <c r="I584" t="n">
        <v>0</v>
      </c>
      <c r="J584" t="n">
        <v>0</v>
      </c>
      <c r="K584" t="n">
        <v>0</v>
      </c>
      <c r="L584" t="n">
        <v>0</v>
      </c>
      <c r="M584" t="n">
        <v>0</v>
      </c>
      <c r="N584" t="n">
        <v>0</v>
      </c>
      <c r="O584" t="n">
        <v>0</v>
      </c>
      <c r="P584" t="n">
        <v>0</v>
      </c>
      <c r="Q584" t="n">
        <v>0</v>
      </c>
      <c r="R584" s="2" t="inlineStr"/>
    </row>
    <row r="585" ht="15" customHeight="1">
      <c r="A585" t="inlineStr">
        <is>
          <t>A 55385-2025</t>
        </is>
      </c>
      <c r="B585" s="1" t="n">
        <v>45971.43350694444</v>
      </c>
      <c r="C585" s="1" t="n">
        <v>46163</v>
      </c>
      <c r="D585" t="inlineStr">
        <is>
          <t>KALMAR LÄN</t>
        </is>
      </c>
      <c r="E585" t="inlineStr">
        <is>
          <t>VIMMERBY</t>
        </is>
      </c>
      <c r="G585" t="n">
        <v>5</v>
      </c>
      <c r="H585" t="n">
        <v>0</v>
      </c>
      <c r="I585" t="n">
        <v>0</v>
      </c>
      <c r="J585" t="n">
        <v>0</v>
      </c>
      <c r="K585" t="n">
        <v>0</v>
      </c>
      <c r="L585" t="n">
        <v>0</v>
      </c>
      <c r="M585" t="n">
        <v>0</v>
      </c>
      <c r="N585" t="n">
        <v>0</v>
      </c>
      <c r="O585" t="n">
        <v>0</v>
      </c>
      <c r="P585" t="n">
        <v>0</v>
      </c>
      <c r="Q585" t="n">
        <v>0</v>
      </c>
      <c r="R585" s="2" t="inlineStr"/>
    </row>
    <row r="586" ht="15" customHeight="1">
      <c r="A586" t="inlineStr">
        <is>
          <t>A 14318-2026</t>
        </is>
      </c>
      <c r="B586" s="1" t="n">
        <v>46099.87961805556</v>
      </c>
      <c r="C586" s="1" t="n">
        <v>46163</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6214-2025</t>
        </is>
      </c>
      <c r="B587" s="1" t="n">
        <v>45698.51711805556</v>
      </c>
      <c r="C587" s="1" t="n">
        <v>46163</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32569-2024</t>
        </is>
      </c>
      <c r="B588" s="1" t="n">
        <v>45513.55840277778</v>
      </c>
      <c r="C588" s="1" t="n">
        <v>46163</v>
      </c>
      <c r="D588" t="inlineStr">
        <is>
          <t>KALMAR LÄN</t>
        </is>
      </c>
      <c r="E588" t="inlineStr">
        <is>
          <t>VIMMERBY</t>
        </is>
      </c>
      <c r="G588" t="n">
        <v>3.7</v>
      </c>
      <c r="H588" t="n">
        <v>0</v>
      </c>
      <c r="I588" t="n">
        <v>0</v>
      </c>
      <c r="J588" t="n">
        <v>0</v>
      </c>
      <c r="K588" t="n">
        <v>0</v>
      </c>
      <c r="L588" t="n">
        <v>0</v>
      </c>
      <c r="M588" t="n">
        <v>0</v>
      </c>
      <c r="N588" t="n">
        <v>0</v>
      </c>
      <c r="O588" t="n">
        <v>0</v>
      </c>
      <c r="P588" t="n">
        <v>0</v>
      </c>
      <c r="Q588" t="n">
        <v>0</v>
      </c>
      <c r="R588" s="2" t="inlineStr"/>
    </row>
    <row r="589" ht="15" customHeight="1">
      <c r="A589" t="inlineStr">
        <is>
          <t>A 32575-2024</t>
        </is>
      </c>
      <c r="B589" s="1" t="n">
        <v>45513.56527777778</v>
      </c>
      <c r="C589" s="1" t="n">
        <v>46163</v>
      </c>
      <c r="D589" t="inlineStr">
        <is>
          <t>KALMAR LÄN</t>
        </is>
      </c>
      <c r="E589" t="inlineStr">
        <is>
          <t>VIMMERBY</t>
        </is>
      </c>
      <c r="G589" t="n">
        <v>1.5</v>
      </c>
      <c r="H589" t="n">
        <v>0</v>
      </c>
      <c r="I589" t="n">
        <v>0</v>
      </c>
      <c r="J589" t="n">
        <v>0</v>
      </c>
      <c r="K589" t="n">
        <v>0</v>
      </c>
      <c r="L589" t="n">
        <v>0</v>
      </c>
      <c r="M589" t="n">
        <v>0</v>
      </c>
      <c r="N589" t="n">
        <v>0</v>
      </c>
      <c r="O589" t="n">
        <v>0</v>
      </c>
      <c r="P589" t="n">
        <v>0</v>
      </c>
      <c r="Q589" t="n">
        <v>0</v>
      </c>
      <c r="R589" s="2" t="inlineStr"/>
    </row>
    <row r="590" ht="15" customHeight="1">
      <c r="A590" t="inlineStr">
        <is>
          <t>A 14279-2026</t>
        </is>
      </c>
      <c r="B590" s="1" t="n">
        <v>46099.66826388889</v>
      </c>
      <c r="C590" s="1" t="n">
        <v>46163</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59300-2024</t>
        </is>
      </c>
      <c r="B591" s="1" t="n">
        <v>45637.66542824074</v>
      </c>
      <c r="C591" s="1" t="n">
        <v>46163</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59768-2024</t>
        </is>
      </c>
      <c r="B592" s="1" t="n">
        <v>45639.56185185185</v>
      </c>
      <c r="C592" s="1" t="n">
        <v>46163</v>
      </c>
      <c r="D592" t="inlineStr">
        <is>
          <t>KALMAR LÄN</t>
        </is>
      </c>
      <c r="E592" t="inlineStr">
        <is>
          <t>VIMMERBY</t>
        </is>
      </c>
      <c r="G592" t="n">
        <v>5.9</v>
      </c>
      <c r="H592" t="n">
        <v>0</v>
      </c>
      <c r="I592" t="n">
        <v>0</v>
      </c>
      <c r="J592" t="n">
        <v>0</v>
      </c>
      <c r="K592" t="n">
        <v>0</v>
      </c>
      <c r="L592" t="n">
        <v>0</v>
      </c>
      <c r="M592" t="n">
        <v>0</v>
      </c>
      <c r="N592" t="n">
        <v>0</v>
      </c>
      <c r="O592" t="n">
        <v>0</v>
      </c>
      <c r="P592" t="n">
        <v>0</v>
      </c>
      <c r="Q592" t="n">
        <v>0</v>
      </c>
      <c r="R592" s="2" t="inlineStr"/>
    </row>
    <row r="593" ht="15" customHeight="1">
      <c r="A593" t="inlineStr">
        <is>
          <t>A 14320-2026</t>
        </is>
      </c>
      <c r="B593" s="1" t="n">
        <v>46099.88449074074</v>
      </c>
      <c r="C593" s="1" t="n">
        <v>46163</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36526-2023</t>
        </is>
      </c>
      <c r="B594" s="1" t="n">
        <v>45153.32778935185</v>
      </c>
      <c r="C594" s="1" t="n">
        <v>46163</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58728-2024</t>
        </is>
      </c>
      <c r="B595" s="1" t="n">
        <v>45635.66695601852</v>
      </c>
      <c r="C595" s="1" t="n">
        <v>46163</v>
      </c>
      <c r="D595" t="inlineStr">
        <is>
          <t>KALMAR LÄN</t>
        </is>
      </c>
      <c r="E595" t="inlineStr">
        <is>
          <t>VIMMERBY</t>
        </is>
      </c>
      <c r="G595" t="n">
        <v>0.4</v>
      </c>
      <c r="H595" t="n">
        <v>0</v>
      </c>
      <c r="I595" t="n">
        <v>0</v>
      </c>
      <c r="J595" t="n">
        <v>0</v>
      </c>
      <c r="K595" t="n">
        <v>0</v>
      </c>
      <c r="L595" t="n">
        <v>0</v>
      </c>
      <c r="M595" t="n">
        <v>0</v>
      </c>
      <c r="N595" t="n">
        <v>0</v>
      </c>
      <c r="O595" t="n">
        <v>0</v>
      </c>
      <c r="P595" t="n">
        <v>0</v>
      </c>
      <c r="Q595" t="n">
        <v>0</v>
      </c>
      <c r="R595" s="2" t="inlineStr"/>
    </row>
    <row r="596" ht="15" customHeight="1">
      <c r="A596" t="inlineStr">
        <is>
          <t>A 49474-2023</t>
        </is>
      </c>
      <c r="B596" s="1" t="n">
        <v>45211.541875</v>
      </c>
      <c r="C596" s="1" t="n">
        <v>46163</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14277-2026</t>
        </is>
      </c>
      <c r="B597" s="1" t="n">
        <v>46099.66305555555</v>
      </c>
      <c r="C597" s="1" t="n">
        <v>46163</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57682-2022</t>
        </is>
      </c>
      <c r="B598" s="1" t="n">
        <v>44890</v>
      </c>
      <c r="C598" s="1" t="n">
        <v>46163</v>
      </c>
      <c r="D598" t="inlineStr">
        <is>
          <t>KALMAR LÄN</t>
        </is>
      </c>
      <c r="E598" t="inlineStr">
        <is>
          <t>VIMMERBY</t>
        </is>
      </c>
      <c r="G598" t="n">
        <v>1.5</v>
      </c>
      <c r="H598" t="n">
        <v>0</v>
      </c>
      <c r="I598" t="n">
        <v>0</v>
      </c>
      <c r="J598" t="n">
        <v>0</v>
      </c>
      <c r="K598" t="n">
        <v>0</v>
      </c>
      <c r="L598" t="n">
        <v>0</v>
      </c>
      <c r="M598" t="n">
        <v>0</v>
      </c>
      <c r="N598" t="n">
        <v>0</v>
      </c>
      <c r="O598" t="n">
        <v>0</v>
      </c>
      <c r="P598" t="n">
        <v>0</v>
      </c>
      <c r="Q598" t="n">
        <v>0</v>
      </c>
      <c r="R598" s="2" t="inlineStr"/>
    </row>
    <row r="599" ht="15" customHeight="1">
      <c r="A599" t="inlineStr">
        <is>
          <t>A 63950-2023</t>
        </is>
      </c>
      <c r="B599" s="1" t="n">
        <v>45278</v>
      </c>
      <c r="C599" s="1" t="n">
        <v>46163</v>
      </c>
      <c r="D599" t="inlineStr">
        <is>
          <t>KALMAR LÄN</t>
        </is>
      </c>
      <c r="E599" t="inlineStr">
        <is>
          <t>VIMMERBY</t>
        </is>
      </c>
      <c r="F599" t="inlineStr">
        <is>
          <t>Kyrkan</t>
        </is>
      </c>
      <c r="G599" t="n">
        <v>2.7</v>
      </c>
      <c r="H599" t="n">
        <v>0</v>
      </c>
      <c r="I599" t="n">
        <v>0</v>
      </c>
      <c r="J599" t="n">
        <v>0</v>
      </c>
      <c r="K599" t="n">
        <v>0</v>
      </c>
      <c r="L599" t="n">
        <v>0</v>
      </c>
      <c r="M599" t="n">
        <v>0</v>
      </c>
      <c r="N599" t="n">
        <v>0</v>
      </c>
      <c r="O599" t="n">
        <v>0</v>
      </c>
      <c r="P599" t="n">
        <v>0</v>
      </c>
      <c r="Q599" t="n">
        <v>0</v>
      </c>
      <c r="R599" s="2" t="inlineStr"/>
    </row>
    <row r="600" ht="15" customHeight="1">
      <c r="A600" t="inlineStr">
        <is>
          <t>A 16516-2023</t>
        </is>
      </c>
      <c r="B600" s="1" t="n">
        <v>45029</v>
      </c>
      <c r="C600" s="1" t="n">
        <v>46163</v>
      </c>
      <c r="D600" t="inlineStr">
        <is>
          <t>KALMAR LÄN</t>
        </is>
      </c>
      <c r="E600" t="inlineStr">
        <is>
          <t>VIMMERBY</t>
        </is>
      </c>
      <c r="G600" t="n">
        <v>4.3</v>
      </c>
      <c r="H600" t="n">
        <v>0</v>
      </c>
      <c r="I600" t="n">
        <v>0</v>
      </c>
      <c r="J600" t="n">
        <v>0</v>
      </c>
      <c r="K600" t="n">
        <v>0</v>
      </c>
      <c r="L600" t="n">
        <v>0</v>
      </c>
      <c r="M600" t="n">
        <v>0</v>
      </c>
      <c r="N600" t="n">
        <v>0</v>
      </c>
      <c r="O600" t="n">
        <v>0</v>
      </c>
      <c r="P600" t="n">
        <v>0</v>
      </c>
      <c r="Q600" t="n">
        <v>0</v>
      </c>
      <c r="R600" s="2" t="inlineStr"/>
    </row>
    <row r="601" ht="15" customHeight="1">
      <c r="A601" t="inlineStr">
        <is>
          <t>A 47842-2024</t>
        </is>
      </c>
      <c r="B601" s="1" t="n">
        <v>45588.65545138889</v>
      </c>
      <c r="C601" s="1" t="n">
        <v>46163</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6408-2025</t>
        </is>
      </c>
      <c r="B602" s="1" t="n">
        <v>45699.45671296296</v>
      </c>
      <c r="C602" s="1" t="n">
        <v>46163</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25109-2023</t>
        </is>
      </c>
      <c r="B603" s="1" t="n">
        <v>45086</v>
      </c>
      <c r="C603" s="1" t="n">
        <v>46163</v>
      </c>
      <c r="D603" t="inlineStr">
        <is>
          <t>KALMAR LÄN</t>
        </is>
      </c>
      <c r="E603" t="inlineStr">
        <is>
          <t>VIMMERBY</t>
        </is>
      </c>
      <c r="G603" t="n">
        <v>1.5</v>
      </c>
      <c r="H603" t="n">
        <v>0</v>
      </c>
      <c r="I603" t="n">
        <v>0</v>
      </c>
      <c r="J603" t="n">
        <v>0</v>
      </c>
      <c r="K603" t="n">
        <v>0</v>
      </c>
      <c r="L603" t="n">
        <v>0</v>
      </c>
      <c r="M603" t="n">
        <v>0</v>
      </c>
      <c r="N603" t="n">
        <v>0</v>
      </c>
      <c r="O603" t="n">
        <v>0</v>
      </c>
      <c r="P603" t="n">
        <v>0</v>
      </c>
      <c r="Q603" t="n">
        <v>0</v>
      </c>
      <c r="R603" s="2" t="inlineStr"/>
    </row>
    <row r="604" ht="15" customHeight="1">
      <c r="A604" t="inlineStr">
        <is>
          <t>A 33380-2023</t>
        </is>
      </c>
      <c r="B604" s="1" t="n">
        <v>45128</v>
      </c>
      <c r="C604" s="1" t="n">
        <v>46163</v>
      </c>
      <c r="D604" t="inlineStr">
        <is>
          <t>KALMAR LÄN</t>
        </is>
      </c>
      <c r="E604" t="inlineStr">
        <is>
          <t>VIMMERBY</t>
        </is>
      </c>
      <c r="G604" t="n">
        <v>5.2</v>
      </c>
      <c r="H604" t="n">
        <v>0</v>
      </c>
      <c r="I604" t="n">
        <v>0</v>
      </c>
      <c r="J604" t="n">
        <v>0</v>
      </c>
      <c r="K604" t="n">
        <v>0</v>
      </c>
      <c r="L604" t="n">
        <v>0</v>
      </c>
      <c r="M604" t="n">
        <v>0</v>
      </c>
      <c r="N604" t="n">
        <v>0</v>
      </c>
      <c r="O604" t="n">
        <v>0</v>
      </c>
      <c r="P604" t="n">
        <v>0</v>
      </c>
      <c r="Q604" t="n">
        <v>0</v>
      </c>
      <c r="R604" s="2" t="inlineStr"/>
    </row>
    <row r="605" ht="15" customHeight="1">
      <c r="A605" t="inlineStr">
        <is>
          <t>A 32639-2023</t>
        </is>
      </c>
      <c r="B605" s="1" t="n">
        <v>45121.5965162037</v>
      </c>
      <c r="C605" s="1" t="n">
        <v>46163</v>
      </c>
      <c r="D605" t="inlineStr">
        <is>
          <t>KALMAR LÄN</t>
        </is>
      </c>
      <c r="E605" t="inlineStr">
        <is>
          <t>VIMMERBY</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32642-2023</t>
        </is>
      </c>
      <c r="B606" s="1" t="n">
        <v>45121.59954861111</v>
      </c>
      <c r="C606" s="1" t="n">
        <v>46163</v>
      </c>
      <c r="D606" t="inlineStr">
        <is>
          <t>KALMAR LÄN</t>
        </is>
      </c>
      <c r="E606" t="inlineStr">
        <is>
          <t>VIMMERBY</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32651-2023</t>
        </is>
      </c>
      <c r="B607" s="1" t="n">
        <v>45121.6096875</v>
      </c>
      <c r="C607" s="1" t="n">
        <v>46163</v>
      </c>
      <c r="D607" t="inlineStr">
        <is>
          <t>KALMAR LÄN</t>
        </is>
      </c>
      <c r="E607" t="inlineStr">
        <is>
          <t>VIMMERBY</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46163</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14793-2026</t>
        </is>
      </c>
      <c r="B609" s="1" t="n">
        <v>46101.92108796296</v>
      </c>
      <c r="C609" s="1" t="n">
        <v>46163</v>
      </c>
      <c r="D609" t="inlineStr">
        <is>
          <t>KALMAR LÄN</t>
        </is>
      </c>
      <c r="E609" t="inlineStr">
        <is>
          <t>VIMMERBY</t>
        </is>
      </c>
      <c r="G609" t="n">
        <v>5.7</v>
      </c>
      <c r="H609" t="n">
        <v>0</v>
      </c>
      <c r="I609" t="n">
        <v>0</v>
      </c>
      <c r="J609" t="n">
        <v>0</v>
      </c>
      <c r="K609" t="n">
        <v>0</v>
      </c>
      <c r="L609" t="n">
        <v>0</v>
      </c>
      <c r="M609" t="n">
        <v>0</v>
      </c>
      <c r="N609" t="n">
        <v>0</v>
      </c>
      <c r="O609" t="n">
        <v>0</v>
      </c>
      <c r="P609" t="n">
        <v>0</v>
      </c>
      <c r="Q609" t="n">
        <v>0</v>
      </c>
      <c r="R609" s="2" t="inlineStr"/>
    </row>
    <row r="610" ht="15" customHeight="1">
      <c r="A610" t="inlineStr">
        <is>
          <t>A 57728-2025</t>
        </is>
      </c>
      <c r="B610" s="1" t="n">
        <v>45981</v>
      </c>
      <c r="C610" s="1" t="n">
        <v>46163</v>
      </c>
      <c r="D610" t="inlineStr">
        <is>
          <t>KALMAR LÄN</t>
        </is>
      </c>
      <c r="E610" t="inlineStr">
        <is>
          <t>VIMMERBY</t>
        </is>
      </c>
      <c r="G610" t="n">
        <v>0.8</v>
      </c>
      <c r="H610" t="n">
        <v>0</v>
      </c>
      <c r="I610" t="n">
        <v>0</v>
      </c>
      <c r="J610" t="n">
        <v>0</v>
      </c>
      <c r="K610" t="n">
        <v>0</v>
      </c>
      <c r="L610" t="n">
        <v>0</v>
      </c>
      <c r="M610" t="n">
        <v>0</v>
      </c>
      <c r="N610" t="n">
        <v>0</v>
      </c>
      <c r="O610" t="n">
        <v>0</v>
      </c>
      <c r="P610" t="n">
        <v>0</v>
      </c>
      <c r="Q610" t="n">
        <v>0</v>
      </c>
      <c r="R610" s="2" t="inlineStr"/>
    </row>
    <row r="611" ht="15" customHeight="1">
      <c r="A611" t="inlineStr">
        <is>
          <t>A 7068-2024</t>
        </is>
      </c>
      <c r="B611" s="1" t="n">
        <v>45343.68038194445</v>
      </c>
      <c r="C611" s="1" t="n">
        <v>46163</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46234-2024</t>
        </is>
      </c>
      <c r="B612" s="1" t="n">
        <v>45581.57958333333</v>
      </c>
      <c r="C612" s="1" t="n">
        <v>46163</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58503-2025</t>
        </is>
      </c>
      <c r="B613" s="1" t="n">
        <v>45985.69509259259</v>
      </c>
      <c r="C613" s="1" t="n">
        <v>46163</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37187-2024</t>
        </is>
      </c>
      <c r="B614" s="1" t="n">
        <v>45539.65212962963</v>
      </c>
      <c r="C614" s="1" t="n">
        <v>46163</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58498-2025</t>
        </is>
      </c>
      <c r="B615" s="1" t="n">
        <v>45985.68671296296</v>
      </c>
      <c r="C615" s="1" t="n">
        <v>46163</v>
      </c>
      <c r="D615" t="inlineStr">
        <is>
          <t>KALMAR LÄN</t>
        </is>
      </c>
      <c r="E615" t="inlineStr">
        <is>
          <t>VIMMERBY</t>
        </is>
      </c>
      <c r="G615" t="n">
        <v>2.1</v>
      </c>
      <c r="H615" t="n">
        <v>0</v>
      </c>
      <c r="I615" t="n">
        <v>0</v>
      </c>
      <c r="J615" t="n">
        <v>0</v>
      </c>
      <c r="K615" t="n">
        <v>0</v>
      </c>
      <c r="L615" t="n">
        <v>0</v>
      </c>
      <c r="M615" t="n">
        <v>0</v>
      </c>
      <c r="N615" t="n">
        <v>0</v>
      </c>
      <c r="O615" t="n">
        <v>0</v>
      </c>
      <c r="P615" t="n">
        <v>0</v>
      </c>
      <c r="Q615" t="n">
        <v>0</v>
      </c>
      <c r="R615" s="2" t="inlineStr"/>
    </row>
    <row r="616" ht="15" customHeight="1">
      <c r="A616" t="inlineStr">
        <is>
          <t>A 58501-2025</t>
        </is>
      </c>
      <c r="B616" s="1" t="n">
        <v>45985.69153935185</v>
      </c>
      <c r="C616" s="1" t="n">
        <v>46163</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58514-2025</t>
        </is>
      </c>
      <c r="B617" s="1" t="n">
        <v>45985.70513888889</v>
      </c>
      <c r="C617" s="1" t="n">
        <v>46163</v>
      </c>
      <c r="D617" t="inlineStr">
        <is>
          <t>KALMAR LÄN</t>
        </is>
      </c>
      <c r="E617" t="inlineStr">
        <is>
          <t>VIMMERBY</t>
        </is>
      </c>
      <c r="G617" t="n">
        <v>3.7</v>
      </c>
      <c r="H617" t="n">
        <v>0</v>
      </c>
      <c r="I617" t="n">
        <v>0</v>
      </c>
      <c r="J617" t="n">
        <v>0</v>
      </c>
      <c r="K617" t="n">
        <v>0</v>
      </c>
      <c r="L617" t="n">
        <v>0</v>
      </c>
      <c r="M617" t="n">
        <v>0</v>
      </c>
      <c r="N617" t="n">
        <v>0</v>
      </c>
      <c r="O617" t="n">
        <v>0</v>
      </c>
      <c r="P617" t="n">
        <v>0</v>
      </c>
      <c r="Q617" t="n">
        <v>0</v>
      </c>
      <c r="R617" s="2" t="inlineStr"/>
    </row>
    <row r="618" ht="15" customHeight="1">
      <c r="A618" t="inlineStr">
        <is>
          <t>A 58442-2025</t>
        </is>
      </c>
      <c r="B618" s="1" t="n">
        <v>45985.61635416667</v>
      </c>
      <c r="C618" s="1" t="n">
        <v>46163</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1021-2024</t>
        </is>
      </c>
      <c r="B619" s="1" t="n">
        <v>45301.67736111111</v>
      </c>
      <c r="C619" s="1" t="n">
        <v>46163</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14792-2026</t>
        </is>
      </c>
      <c r="B620" s="1" t="n">
        <v>46101.91993055555</v>
      </c>
      <c r="C620" s="1" t="n">
        <v>46163</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58446-2025</t>
        </is>
      </c>
      <c r="B622" s="1" t="n">
        <v>45985.62168981481</v>
      </c>
      <c r="C622" s="1" t="n">
        <v>46163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72701-2021</t>
        </is>
      </c>
      <c r="B623" s="1" t="n">
        <v>44546</v>
      </c>
      <c r="C623" s="1" t="n">
        <v>46163</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19111-2025</t>
        </is>
      </c>
      <c r="B624" s="1" t="n">
        <v>45768.65611111111</v>
      </c>
      <c r="C624" s="1" t="n">
        <v>46163</v>
      </c>
      <c r="D624" t="inlineStr">
        <is>
          <t>KALMAR LÄN</t>
        </is>
      </c>
      <c r="E624" t="inlineStr">
        <is>
          <t>VIMMERBY</t>
        </is>
      </c>
      <c r="G624" t="n">
        <v>6.2</v>
      </c>
      <c r="H624" t="n">
        <v>0</v>
      </c>
      <c r="I624" t="n">
        <v>0</v>
      </c>
      <c r="J624" t="n">
        <v>0</v>
      </c>
      <c r="K624" t="n">
        <v>0</v>
      </c>
      <c r="L624" t="n">
        <v>0</v>
      </c>
      <c r="M624" t="n">
        <v>0</v>
      </c>
      <c r="N624" t="n">
        <v>0</v>
      </c>
      <c r="O624" t="n">
        <v>0</v>
      </c>
      <c r="P624" t="n">
        <v>0</v>
      </c>
      <c r="Q624" t="n">
        <v>0</v>
      </c>
      <c r="R624" s="2" t="inlineStr"/>
    </row>
    <row r="625" ht="15" customHeight="1">
      <c r="A625" t="inlineStr">
        <is>
          <t>A 33374-2021</t>
        </is>
      </c>
      <c r="B625" s="1" t="n">
        <v>44377</v>
      </c>
      <c r="C625" s="1" t="n">
        <v>46163</v>
      </c>
      <c r="D625" t="inlineStr">
        <is>
          <t>KALMAR LÄN</t>
        </is>
      </c>
      <c r="E625" t="inlineStr">
        <is>
          <t>VIMMERBY</t>
        </is>
      </c>
      <c r="G625" t="n">
        <v>3.3</v>
      </c>
      <c r="H625" t="n">
        <v>0</v>
      </c>
      <c r="I625" t="n">
        <v>0</v>
      </c>
      <c r="J625" t="n">
        <v>0</v>
      </c>
      <c r="K625" t="n">
        <v>0</v>
      </c>
      <c r="L625" t="n">
        <v>0</v>
      </c>
      <c r="M625" t="n">
        <v>0</v>
      </c>
      <c r="N625" t="n">
        <v>0</v>
      </c>
      <c r="O625" t="n">
        <v>0</v>
      </c>
      <c r="P625" t="n">
        <v>0</v>
      </c>
      <c r="Q625" t="n">
        <v>0</v>
      </c>
      <c r="R625" s="2" t="inlineStr"/>
    </row>
    <row r="626" ht="15" customHeight="1">
      <c r="A626" t="inlineStr">
        <is>
          <t>A 58500-2025</t>
        </is>
      </c>
      <c r="B626" s="1" t="n">
        <v>45985.69008101852</v>
      </c>
      <c r="C626" s="1" t="n">
        <v>46163</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10807-2024</t>
        </is>
      </c>
      <c r="B627" s="1" t="n">
        <v>45369.62780092593</v>
      </c>
      <c r="C627" s="1" t="n">
        <v>46163</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58841-2025</t>
        </is>
      </c>
      <c r="B628" s="1" t="n">
        <v>45987.36275462963</v>
      </c>
      <c r="C628" s="1" t="n">
        <v>46163</v>
      </c>
      <c r="D628" t="inlineStr">
        <is>
          <t>KALMAR LÄN</t>
        </is>
      </c>
      <c r="E628" t="inlineStr">
        <is>
          <t>VIMMERBY</t>
        </is>
      </c>
      <c r="G628" t="n">
        <v>3.5</v>
      </c>
      <c r="H628" t="n">
        <v>0</v>
      </c>
      <c r="I628" t="n">
        <v>0</v>
      </c>
      <c r="J628" t="n">
        <v>0</v>
      </c>
      <c r="K628" t="n">
        <v>0</v>
      </c>
      <c r="L628" t="n">
        <v>0</v>
      </c>
      <c r="M628" t="n">
        <v>0</v>
      </c>
      <c r="N628" t="n">
        <v>0</v>
      </c>
      <c r="O628" t="n">
        <v>0</v>
      </c>
      <c r="P628" t="n">
        <v>0</v>
      </c>
      <c r="Q628" t="n">
        <v>0</v>
      </c>
      <c r="R628" s="2" t="inlineStr"/>
    </row>
    <row r="629" ht="15" customHeight="1">
      <c r="A629" t="inlineStr">
        <is>
          <t>A 15054-2026</t>
        </is>
      </c>
      <c r="B629" s="1" t="n">
        <v>46104.6815162037</v>
      </c>
      <c r="C629" s="1" t="n">
        <v>46163</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33359-2021</t>
        </is>
      </c>
      <c r="B630" s="1" t="n">
        <v>44377.49684027778</v>
      </c>
      <c r="C630" s="1" t="n">
        <v>46163</v>
      </c>
      <c r="D630" t="inlineStr">
        <is>
          <t>KALMAR LÄN</t>
        </is>
      </c>
      <c r="E630" t="inlineStr">
        <is>
          <t>VIMMERBY</t>
        </is>
      </c>
      <c r="F630" t="inlineStr">
        <is>
          <t>Kommuner</t>
        </is>
      </c>
      <c r="G630" t="n">
        <v>8</v>
      </c>
      <c r="H630" t="n">
        <v>0</v>
      </c>
      <c r="I630" t="n">
        <v>0</v>
      </c>
      <c r="J630" t="n">
        <v>0</v>
      </c>
      <c r="K630" t="n">
        <v>0</v>
      </c>
      <c r="L630" t="n">
        <v>0</v>
      </c>
      <c r="M630" t="n">
        <v>0</v>
      </c>
      <c r="N630" t="n">
        <v>0</v>
      </c>
      <c r="O630" t="n">
        <v>0</v>
      </c>
      <c r="P630" t="n">
        <v>0</v>
      </c>
      <c r="Q630" t="n">
        <v>0</v>
      </c>
      <c r="R630" s="2" t="inlineStr"/>
    </row>
    <row r="631" ht="15" customHeight="1">
      <c r="A631" t="inlineStr">
        <is>
          <t>A 34588-2024</t>
        </is>
      </c>
      <c r="B631" s="1" t="n">
        <v>45526.3865625</v>
      </c>
      <c r="C631" s="1" t="n">
        <v>46163</v>
      </c>
      <c r="D631" t="inlineStr">
        <is>
          <t>KALMAR LÄN</t>
        </is>
      </c>
      <c r="E631" t="inlineStr">
        <is>
          <t>VIMMERBY</t>
        </is>
      </c>
      <c r="F631" t="inlineStr">
        <is>
          <t>Övriga Aktiebolag</t>
        </is>
      </c>
      <c r="G631" t="n">
        <v>3.3</v>
      </c>
      <c r="H631" t="n">
        <v>0</v>
      </c>
      <c r="I631" t="n">
        <v>0</v>
      </c>
      <c r="J631" t="n">
        <v>0</v>
      </c>
      <c r="K631" t="n">
        <v>0</v>
      </c>
      <c r="L631" t="n">
        <v>0</v>
      </c>
      <c r="M631" t="n">
        <v>0</v>
      </c>
      <c r="N631" t="n">
        <v>0</v>
      </c>
      <c r="O631" t="n">
        <v>0</v>
      </c>
      <c r="P631" t="n">
        <v>0</v>
      </c>
      <c r="Q631" t="n">
        <v>0</v>
      </c>
      <c r="R631" s="2" t="inlineStr"/>
    </row>
    <row r="632" ht="15" customHeight="1">
      <c r="A632" t="inlineStr">
        <is>
          <t>A 58858-2025</t>
        </is>
      </c>
      <c r="B632" s="1" t="n">
        <v>45987.4243287037</v>
      </c>
      <c r="C632" s="1" t="n">
        <v>46163</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17084-2025</t>
        </is>
      </c>
      <c r="B633" s="1" t="n">
        <v>45755.64450231481</v>
      </c>
      <c r="C633" s="1" t="n">
        <v>46163</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33161-2024</t>
        </is>
      </c>
      <c r="B634" s="1" t="n">
        <v>45518.40657407408</v>
      </c>
      <c r="C634" s="1" t="n">
        <v>46163</v>
      </c>
      <c r="D634" t="inlineStr">
        <is>
          <t>KALMAR LÄN</t>
        </is>
      </c>
      <c r="E634" t="inlineStr">
        <is>
          <t>VIMMERBY</t>
        </is>
      </c>
      <c r="G634" t="n">
        <v>4.7</v>
      </c>
      <c r="H634" t="n">
        <v>0</v>
      </c>
      <c r="I634" t="n">
        <v>0</v>
      </c>
      <c r="J634" t="n">
        <v>0</v>
      </c>
      <c r="K634" t="n">
        <v>0</v>
      </c>
      <c r="L634" t="n">
        <v>0</v>
      </c>
      <c r="M634" t="n">
        <v>0</v>
      </c>
      <c r="N634" t="n">
        <v>0</v>
      </c>
      <c r="O634" t="n">
        <v>0</v>
      </c>
      <c r="P634" t="n">
        <v>0</v>
      </c>
      <c r="Q634" t="n">
        <v>0</v>
      </c>
      <c r="R634" s="2" t="inlineStr"/>
    </row>
    <row r="635" ht="15" customHeight="1">
      <c r="A635" t="inlineStr">
        <is>
          <t>A 14359-2025</t>
        </is>
      </c>
      <c r="B635" s="1" t="n">
        <v>45741.37270833334</v>
      </c>
      <c r="C635" s="1" t="n">
        <v>46163</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59039-2025</t>
        </is>
      </c>
      <c r="B636" s="1" t="n">
        <v>45988.36790509259</v>
      </c>
      <c r="C636" s="1" t="n">
        <v>46163</v>
      </c>
      <c r="D636" t="inlineStr">
        <is>
          <t>KALMAR LÄN</t>
        </is>
      </c>
      <c r="E636" t="inlineStr">
        <is>
          <t>VIMMERBY</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59034-2025</t>
        </is>
      </c>
      <c r="B637" s="1" t="n">
        <v>45988.36243055556</v>
      </c>
      <c r="C637" s="1" t="n">
        <v>46163</v>
      </c>
      <c r="D637" t="inlineStr">
        <is>
          <t>KALMAR LÄN</t>
        </is>
      </c>
      <c r="E637" t="inlineStr">
        <is>
          <t>VIMMERBY</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59037-2025</t>
        </is>
      </c>
      <c r="B638" s="1" t="n">
        <v>45988.36508101852</v>
      </c>
      <c r="C638" s="1" t="n">
        <v>46163</v>
      </c>
      <c r="D638" t="inlineStr">
        <is>
          <t>KALMAR LÄN</t>
        </is>
      </c>
      <c r="E638" t="inlineStr">
        <is>
          <t>VIMMERBY</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55605-2024</t>
        </is>
      </c>
      <c r="B639" s="1" t="n">
        <v>45622</v>
      </c>
      <c r="C639" s="1" t="n">
        <v>46163</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44464-2024</t>
        </is>
      </c>
      <c r="B640" s="1" t="n">
        <v>45574.35809027778</v>
      </c>
      <c r="C640" s="1" t="n">
        <v>46163</v>
      </c>
      <c r="D640" t="inlineStr">
        <is>
          <t>KALMAR LÄN</t>
        </is>
      </c>
      <c r="E640" t="inlineStr">
        <is>
          <t>VIMMERBY</t>
        </is>
      </c>
      <c r="G640" t="n">
        <v>0.7</v>
      </c>
      <c r="H640" t="n">
        <v>0</v>
      </c>
      <c r="I640" t="n">
        <v>0</v>
      </c>
      <c r="J640" t="n">
        <v>0</v>
      </c>
      <c r="K640" t="n">
        <v>0</v>
      </c>
      <c r="L640" t="n">
        <v>0</v>
      </c>
      <c r="M640" t="n">
        <v>0</v>
      </c>
      <c r="N640" t="n">
        <v>0</v>
      </c>
      <c r="O640" t="n">
        <v>0</v>
      </c>
      <c r="P640" t="n">
        <v>0</v>
      </c>
      <c r="Q640" t="n">
        <v>0</v>
      </c>
      <c r="R640" s="2" t="inlineStr"/>
    </row>
    <row r="641" ht="15" customHeight="1">
      <c r="A641" t="inlineStr">
        <is>
          <t>A 59068-2025</t>
        </is>
      </c>
      <c r="B641" s="1" t="n">
        <v>45988.41725694444</v>
      </c>
      <c r="C641" s="1" t="n">
        <v>46163</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36049-2024</t>
        </is>
      </c>
      <c r="B642" s="1" t="n">
        <v>45533.61996527778</v>
      </c>
      <c r="C642" s="1" t="n">
        <v>46163</v>
      </c>
      <c r="D642" t="inlineStr">
        <is>
          <t>KALMAR LÄN</t>
        </is>
      </c>
      <c r="E642" t="inlineStr">
        <is>
          <t>VIMMERBY</t>
        </is>
      </c>
      <c r="F642" t="inlineStr">
        <is>
          <t>Kommuner</t>
        </is>
      </c>
      <c r="G642" t="n">
        <v>2.6</v>
      </c>
      <c r="H642" t="n">
        <v>0</v>
      </c>
      <c r="I642" t="n">
        <v>0</v>
      </c>
      <c r="J642" t="n">
        <v>0</v>
      </c>
      <c r="K642" t="n">
        <v>0</v>
      </c>
      <c r="L642" t="n">
        <v>0</v>
      </c>
      <c r="M642" t="n">
        <v>0</v>
      </c>
      <c r="N642" t="n">
        <v>0</v>
      </c>
      <c r="O642" t="n">
        <v>0</v>
      </c>
      <c r="P642" t="n">
        <v>0</v>
      </c>
      <c r="Q642" t="n">
        <v>0</v>
      </c>
      <c r="R642" s="2" t="inlineStr"/>
    </row>
    <row r="643" ht="15" customHeight="1">
      <c r="A643" t="inlineStr">
        <is>
          <t>A 4297-2022</t>
        </is>
      </c>
      <c r="B643" s="1" t="n">
        <v>44588</v>
      </c>
      <c r="C643" s="1" t="n">
        <v>46163</v>
      </c>
      <c r="D643" t="inlineStr">
        <is>
          <t>KALMAR LÄN</t>
        </is>
      </c>
      <c r="E643" t="inlineStr">
        <is>
          <t>VIMMERBY</t>
        </is>
      </c>
      <c r="G643" t="n">
        <v>1</v>
      </c>
      <c r="H643" t="n">
        <v>0</v>
      </c>
      <c r="I643" t="n">
        <v>0</v>
      </c>
      <c r="J643" t="n">
        <v>0</v>
      </c>
      <c r="K643" t="n">
        <v>0</v>
      </c>
      <c r="L643" t="n">
        <v>0</v>
      </c>
      <c r="M643" t="n">
        <v>0</v>
      </c>
      <c r="N643" t="n">
        <v>0</v>
      </c>
      <c r="O643" t="n">
        <v>0</v>
      </c>
      <c r="P643" t="n">
        <v>0</v>
      </c>
      <c r="Q643" t="n">
        <v>0</v>
      </c>
      <c r="R643" s="2" t="inlineStr"/>
    </row>
    <row r="644" ht="15" customHeight="1">
      <c r="A644" t="inlineStr">
        <is>
          <t>A 15205-2026</t>
        </is>
      </c>
      <c r="B644" s="1" t="n">
        <v>46105.48628472222</v>
      </c>
      <c r="C644" s="1" t="n">
        <v>46163</v>
      </c>
      <c r="D644" t="inlineStr">
        <is>
          <t>KALMAR LÄN</t>
        </is>
      </c>
      <c r="E644" t="inlineStr">
        <is>
          <t>VIMMERBY</t>
        </is>
      </c>
      <c r="G644" t="n">
        <v>2.1</v>
      </c>
      <c r="H644" t="n">
        <v>0</v>
      </c>
      <c r="I644" t="n">
        <v>0</v>
      </c>
      <c r="J644" t="n">
        <v>0</v>
      </c>
      <c r="K644" t="n">
        <v>0</v>
      </c>
      <c r="L644" t="n">
        <v>0</v>
      </c>
      <c r="M644" t="n">
        <v>0</v>
      </c>
      <c r="N644" t="n">
        <v>0</v>
      </c>
      <c r="O644" t="n">
        <v>0</v>
      </c>
      <c r="P644" t="n">
        <v>0</v>
      </c>
      <c r="Q644" t="n">
        <v>0</v>
      </c>
      <c r="R644" s="2" t="inlineStr"/>
    </row>
    <row r="645" ht="15" customHeight="1">
      <c r="A645" t="inlineStr">
        <is>
          <t>A 59579-2025</t>
        </is>
      </c>
      <c r="B645" s="1" t="n">
        <v>45992.30569444445</v>
      </c>
      <c r="C645" s="1" t="n">
        <v>46163</v>
      </c>
      <c r="D645" t="inlineStr">
        <is>
          <t>KALMAR LÄN</t>
        </is>
      </c>
      <c r="E645" t="inlineStr">
        <is>
          <t>VIMMERBY</t>
        </is>
      </c>
      <c r="G645" t="n">
        <v>1.3</v>
      </c>
      <c r="H645" t="n">
        <v>0</v>
      </c>
      <c r="I645" t="n">
        <v>0</v>
      </c>
      <c r="J645" t="n">
        <v>0</v>
      </c>
      <c r="K645" t="n">
        <v>0</v>
      </c>
      <c r="L645" t="n">
        <v>0</v>
      </c>
      <c r="M645" t="n">
        <v>0</v>
      </c>
      <c r="N645" t="n">
        <v>0</v>
      </c>
      <c r="O645" t="n">
        <v>0</v>
      </c>
      <c r="P645" t="n">
        <v>0</v>
      </c>
      <c r="Q645" t="n">
        <v>0</v>
      </c>
      <c r="R645" s="2" t="inlineStr"/>
    </row>
    <row r="646" ht="15" customHeight="1">
      <c r="A646" t="inlineStr">
        <is>
          <t>A 46399-2024</t>
        </is>
      </c>
      <c r="B646" s="1" t="n">
        <v>45582.41200231481</v>
      </c>
      <c r="C646" s="1" t="n">
        <v>46163</v>
      </c>
      <c r="D646" t="inlineStr">
        <is>
          <t>KALMAR LÄN</t>
        </is>
      </c>
      <c r="E646" t="inlineStr">
        <is>
          <t>VIMMERBY</t>
        </is>
      </c>
      <c r="G646" t="n">
        <v>4.6</v>
      </c>
      <c r="H646" t="n">
        <v>0</v>
      </c>
      <c r="I646" t="n">
        <v>0</v>
      </c>
      <c r="J646" t="n">
        <v>0</v>
      </c>
      <c r="K646" t="n">
        <v>0</v>
      </c>
      <c r="L646" t="n">
        <v>0</v>
      </c>
      <c r="M646" t="n">
        <v>0</v>
      </c>
      <c r="N646" t="n">
        <v>0</v>
      </c>
      <c r="O646" t="n">
        <v>0</v>
      </c>
      <c r="P646" t="n">
        <v>0</v>
      </c>
      <c r="Q646" t="n">
        <v>0</v>
      </c>
      <c r="R646" s="2" t="inlineStr"/>
    </row>
    <row r="647" ht="15" customHeight="1">
      <c r="A647" t="inlineStr">
        <is>
          <t>A 13532-2025</t>
        </is>
      </c>
      <c r="B647" s="1" t="n">
        <v>45736.50743055555</v>
      </c>
      <c r="C647" s="1" t="n">
        <v>46163</v>
      </c>
      <c r="D647" t="inlineStr">
        <is>
          <t>KALMAR LÄN</t>
        </is>
      </c>
      <c r="E647" t="inlineStr">
        <is>
          <t>VIMMERBY</t>
        </is>
      </c>
      <c r="G647" t="n">
        <v>3.6</v>
      </c>
      <c r="H647" t="n">
        <v>0</v>
      </c>
      <c r="I647" t="n">
        <v>0</v>
      </c>
      <c r="J647" t="n">
        <v>0</v>
      </c>
      <c r="K647" t="n">
        <v>0</v>
      </c>
      <c r="L647" t="n">
        <v>0</v>
      </c>
      <c r="M647" t="n">
        <v>0</v>
      </c>
      <c r="N647" t="n">
        <v>0</v>
      </c>
      <c r="O647" t="n">
        <v>0</v>
      </c>
      <c r="P647" t="n">
        <v>0</v>
      </c>
      <c r="Q647" t="n">
        <v>0</v>
      </c>
      <c r="R647" s="2" t="inlineStr"/>
    </row>
    <row r="648" ht="15" customHeight="1">
      <c r="A648" t="inlineStr">
        <is>
          <t>A 60180-2025</t>
        </is>
      </c>
      <c r="B648" s="1" t="n">
        <v>45994.46428240741</v>
      </c>
      <c r="C648" s="1" t="n">
        <v>46163</v>
      </c>
      <c r="D648" t="inlineStr">
        <is>
          <t>KALMAR LÄN</t>
        </is>
      </c>
      <c r="E648" t="inlineStr">
        <is>
          <t>VIMMERBY</t>
        </is>
      </c>
      <c r="G648" t="n">
        <v>6.8</v>
      </c>
      <c r="H648" t="n">
        <v>0</v>
      </c>
      <c r="I648" t="n">
        <v>0</v>
      </c>
      <c r="J648" t="n">
        <v>0</v>
      </c>
      <c r="K648" t="n">
        <v>0</v>
      </c>
      <c r="L648" t="n">
        <v>0</v>
      </c>
      <c r="M648" t="n">
        <v>0</v>
      </c>
      <c r="N648" t="n">
        <v>0</v>
      </c>
      <c r="O648" t="n">
        <v>0</v>
      </c>
      <c r="P648" t="n">
        <v>0</v>
      </c>
      <c r="Q648" t="n">
        <v>0</v>
      </c>
      <c r="R648" s="2" t="inlineStr"/>
    </row>
    <row r="649" ht="15" customHeight="1">
      <c r="A649" t="inlineStr">
        <is>
          <t>A 43038-2022</t>
        </is>
      </c>
      <c r="B649" s="1" t="n">
        <v>44833.60123842592</v>
      </c>
      <c r="C649" s="1" t="n">
        <v>46163</v>
      </c>
      <c r="D649" t="inlineStr">
        <is>
          <t>KALMAR LÄN</t>
        </is>
      </c>
      <c r="E649" t="inlineStr">
        <is>
          <t>VIMMERBY</t>
        </is>
      </c>
      <c r="G649" t="n">
        <v>4.2</v>
      </c>
      <c r="H649" t="n">
        <v>0</v>
      </c>
      <c r="I649" t="n">
        <v>0</v>
      </c>
      <c r="J649" t="n">
        <v>0</v>
      </c>
      <c r="K649" t="n">
        <v>0</v>
      </c>
      <c r="L649" t="n">
        <v>0</v>
      </c>
      <c r="M649" t="n">
        <v>0</v>
      </c>
      <c r="N649" t="n">
        <v>0</v>
      </c>
      <c r="O649" t="n">
        <v>0</v>
      </c>
      <c r="P649" t="n">
        <v>0</v>
      </c>
      <c r="Q649" t="n">
        <v>0</v>
      </c>
      <c r="R649" s="2" t="inlineStr"/>
    </row>
    <row r="650" ht="15" customHeight="1">
      <c r="A650" t="inlineStr">
        <is>
          <t>A 60297-2025</t>
        </is>
      </c>
      <c r="B650" s="1" t="n">
        <v>45994</v>
      </c>
      <c r="C650" s="1" t="n">
        <v>46163</v>
      </c>
      <c r="D650" t="inlineStr">
        <is>
          <t>KALMAR LÄN</t>
        </is>
      </c>
      <c r="E650" t="inlineStr">
        <is>
          <t>VIMMERBY</t>
        </is>
      </c>
      <c r="G650" t="n">
        <v>4.2</v>
      </c>
      <c r="H650" t="n">
        <v>0</v>
      </c>
      <c r="I650" t="n">
        <v>0</v>
      </c>
      <c r="J650" t="n">
        <v>0</v>
      </c>
      <c r="K650" t="n">
        <v>0</v>
      </c>
      <c r="L650" t="n">
        <v>0</v>
      </c>
      <c r="M650" t="n">
        <v>0</v>
      </c>
      <c r="N650" t="n">
        <v>0</v>
      </c>
      <c r="O650" t="n">
        <v>0</v>
      </c>
      <c r="P650" t="n">
        <v>0</v>
      </c>
      <c r="Q650" t="n">
        <v>0</v>
      </c>
      <c r="R650" s="2" t="inlineStr"/>
    </row>
    <row r="651" ht="15" customHeight="1">
      <c r="A651" t="inlineStr">
        <is>
          <t>A 21882-2026</t>
        </is>
      </c>
      <c r="B651" s="1" t="n">
        <v>46150.59287037037</v>
      </c>
      <c r="C651" s="1" t="n">
        <v>46163</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57799-2022</t>
        </is>
      </c>
      <c r="B652" s="1" t="n">
        <v>44897</v>
      </c>
      <c r="C652" s="1" t="n">
        <v>46163</v>
      </c>
      <c r="D652" t="inlineStr">
        <is>
          <t>KALMAR LÄN</t>
        </is>
      </c>
      <c r="E652" t="inlineStr">
        <is>
          <t>VIMMERBY</t>
        </is>
      </c>
      <c r="G652" t="n">
        <v>1.4</v>
      </c>
      <c r="H652" t="n">
        <v>0</v>
      </c>
      <c r="I652" t="n">
        <v>0</v>
      </c>
      <c r="J652" t="n">
        <v>0</v>
      </c>
      <c r="K652" t="n">
        <v>0</v>
      </c>
      <c r="L652" t="n">
        <v>0</v>
      </c>
      <c r="M652" t="n">
        <v>0</v>
      </c>
      <c r="N652" t="n">
        <v>0</v>
      </c>
      <c r="O652" t="n">
        <v>0</v>
      </c>
      <c r="P652" t="n">
        <v>0</v>
      </c>
      <c r="Q652" t="n">
        <v>0</v>
      </c>
      <c r="R652" s="2" t="inlineStr"/>
    </row>
    <row r="653" ht="15" customHeight="1">
      <c r="A653" t="inlineStr">
        <is>
          <t>A 30921-2024</t>
        </is>
      </c>
      <c r="B653" s="1" t="n">
        <v>45498</v>
      </c>
      <c r="C653" s="1" t="n">
        <v>46163</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14137-2023</t>
        </is>
      </c>
      <c r="B654" s="1" t="n">
        <v>45009.4671875</v>
      </c>
      <c r="C654" s="1" t="n">
        <v>46163</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11152-2023</t>
        </is>
      </c>
      <c r="B655" s="1" t="n">
        <v>44992</v>
      </c>
      <c r="C655" s="1" t="n">
        <v>46163</v>
      </c>
      <c r="D655" t="inlineStr">
        <is>
          <t>KALMAR LÄN</t>
        </is>
      </c>
      <c r="E655" t="inlineStr">
        <is>
          <t>VIMMERBY</t>
        </is>
      </c>
      <c r="G655" t="n">
        <v>10.6</v>
      </c>
      <c r="H655" t="n">
        <v>0</v>
      </c>
      <c r="I655" t="n">
        <v>0</v>
      </c>
      <c r="J655" t="n">
        <v>0</v>
      </c>
      <c r="K655" t="n">
        <v>0</v>
      </c>
      <c r="L655" t="n">
        <v>0</v>
      </c>
      <c r="M655" t="n">
        <v>0</v>
      </c>
      <c r="N655" t="n">
        <v>0</v>
      </c>
      <c r="O655" t="n">
        <v>0</v>
      </c>
      <c r="P655" t="n">
        <v>0</v>
      </c>
      <c r="Q655" t="n">
        <v>0</v>
      </c>
      <c r="R655" s="2" t="inlineStr"/>
    </row>
    <row r="656" ht="15" customHeight="1">
      <c r="A656" t="inlineStr">
        <is>
          <t>A 61725-2025</t>
        </is>
      </c>
      <c r="B656" s="1" t="n">
        <v>46002.58680555555</v>
      </c>
      <c r="C656" s="1" t="n">
        <v>46163</v>
      </c>
      <c r="D656" t="inlineStr">
        <is>
          <t>KALMAR LÄN</t>
        </is>
      </c>
      <c r="E656" t="inlineStr">
        <is>
          <t>VIMMERBY</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61790-2025</t>
        </is>
      </c>
      <c r="B657" s="1" t="n">
        <v>46002.68768518518</v>
      </c>
      <c r="C657" s="1" t="n">
        <v>46163</v>
      </c>
      <c r="D657" t="inlineStr">
        <is>
          <t>KALMAR LÄN</t>
        </is>
      </c>
      <c r="E657" t="inlineStr">
        <is>
          <t>VIMMERBY</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12499-2023</t>
        </is>
      </c>
      <c r="B658" s="1" t="n">
        <v>44999.86172453704</v>
      </c>
      <c r="C658" s="1" t="n">
        <v>46163</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12500-2023</t>
        </is>
      </c>
      <c r="B659" s="1" t="n">
        <v>44999.8625</v>
      </c>
      <c r="C659" s="1" t="n">
        <v>46163</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35846-2023</t>
        </is>
      </c>
      <c r="B660" s="1" t="n">
        <v>45148</v>
      </c>
      <c r="C660" s="1" t="n">
        <v>46163</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49039-2021</t>
        </is>
      </c>
      <c r="B661" s="1" t="n">
        <v>44453.56578703703</v>
      </c>
      <c r="C661" s="1" t="n">
        <v>46163</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61726-2025</t>
        </is>
      </c>
      <c r="B662" s="1" t="n">
        <v>46002.58822916666</v>
      </c>
      <c r="C662" s="1" t="n">
        <v>46163</v>
      </c>
      <c r="D662" t="inlineStr">
        <is>
          <t>KALMAR LÄN</t>
        </is>
      </c>
      <c r="E662" t="inlineStr">
        <is>
          <t>VIMMERBY</t>
        </is>
      </c>
      <c r="F662" t="inlineStr">
        <is>
          <t>Sveaskog</t>
        </is>
      </c>
      <c r="G662" t="n">
        <v>0.2</v>
      </c>
      <c r="H662" t="n">
        <v>0</v>
      </c>
      <c r="I662" t="n">
        <v>0</v>
      </c>
      <c r="J662" t="n">
        <v>0</v>
      </c>
      <c r="K662" t="n">
        <v>0</v>
      </c>
      <c r="L662" t="n">
        <v>0</v>
      </c>
      <c r="M662" t="n">
        <v>0</v>
      </c>
      <c r="N662" t="n">
        <v>0</v>
      </c>
      <c r="O662" t="n">
        <v>0</v>
      </c>
      <c r="P662" t="n">
        <v>0</v>
      </c>
      <c r="Q662" t="n">
        <v>0</v>
      </c>
      <c r="R662" s="2" t="inlineStr"/>
    </row>
    <row r="663" ht="15" customHeight="1">
      <c r="A663" t="inlineStr">
        <is>
          <t>A 16183-2026</t>
        </is>
      </c>
      <c r="B663" s="1" t="n">
        <v>46111</v>
      </c>
      <c r="C663" s="1" t="n">
        <v>46163</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16648-2026</t>
        </is>
      </c>
      <c r="B664" s="1" t="n">
        <v>46112.64032407408</v>
      </c>
      <c r="C664" s="1" t="n">
        <v>46163</v>
      </c>
      <c r="D664" t="inlineStr">
        <is>
          <t>KALMAR LÄN</t>
        </is>
      </c>
      <c r="E664" t="inlineStr">
        <is>
          <t>VIMMERBY</t>
        </is>
      </c>
      <c r="F664" t="inlineStr">
        <is>
          <t>Kommuner</t>
        </is>
      </c>
      <c r="G664" t="n">
        <v>0.9</v>
      </c>
      <c r="H664" t="n">
        <v>0</v>
      </c>
      <c r="I664" t="n">
        <v>0</v>
      </c>
      <c r="J664" t="n">
        <v>0</v>
      </c>
      <c r="K664" t="n">
        <v>0</v>
      </c>
      <c r="L664" t="n">
        <v>0</v>
      </c>
      <c r="M664" t="n">
        <v>0</v>
      </c>
      <c r="N664" t="n">
        <v>0</v>
      </c>
      <c r="O664" t="n">
        <v>0</v>
      </c>
      <c r="P664" t="n">
        <v>0</v>
      </c>
      <c r="Q664" t="n">
        <v>0</v>
      </c>
      <c r="R664" s="2" t="inlineStr"/>
    </row>
    <row r="665" ht="15" customHeight="1">
      <c r="A665" t="inlineStr">
        <is>
          <t>A 16656-2026</t>
        </is>
      </c>
      <c r="B665" s="1" t="n">
        <v>46112.65111111111</v>
      </c>
      <c r="C665" s="1" t="n">
        <v>46163</v>
      </c>
      <c r="D665" t="inlineStr">
        <is>
          <t>KALMAR LÄN</t>
        </is>
      </c>
      <c r="E665" t="inlineStr">
        <is>
          <t>VIMMERBY</t>
        </is>
      </c>
      <c r="F665" t="inlineStr">
        <is>
          <t>Kommuner</t>
        </is>
      </c>
      <c r="G665" t="n">
        <v>5.5</v>
      </c>
      <c r="H665" t="n">
        <v>0</v>
      </c>
      <c r="I665" t="n">
        <v>0</v>
      </c>
      <c r="J665" t="n">
        <v>0</v>
      </c>
      <c r="K665" t="n">
        <v>0</v>
      </c>
      <c r="L665" t="n">
        <v>0</v>
      </c>
      <c r="M665" t="n">
        <v>0</v>
      </c>
      <c r="N665" t="n">
        <v>0</v>
      </c>
      <c r="O665" t="n">
        <v>0</v>
      </c>
      <c r="P665" t="n">
        <v>0</v>
      </c>
      <c r="Q665" t="n">
        <v>0</v>
      </c>
      <c r="R665" s="2" t="inlineStr"/>
    </row>
    <row r="666" ht="15" customHeight="1">
      <c r="A666" t="inlineStr">
        <is>
          <t>A 46224-2024</t>
        </is>
      </c>
      <c r="B666" s="1" t="n">
        <v>45581.57016203704</v>
      </c>
      <c r="C666" s="1" t="n">
        <v>46163</v>
      </c>
      <c r="D666" t="inlineStr">
        <is>
          <t>KALMAR LÄN</t>
        </is>
      </c>
      <c r="E666" t="inlineStr">
        <is>
          <t>VIMMERBY</t>
        </is>
      </c>
      <c r="G666" t="n">
        <v>3.1</v>
      </c>
      <c r="H666" t="n">
        <v>0</v>
      </c>
      <c r="I666" t="n">
        <v>0</v>
      </c>
      <c r="J666" t="n">
        <v>0</v>
      </c>
      <c r="K666" t="n">
        <v>0</v>
      </c>
      <c r="L666" t="n">
        <v>0</v>
      </c>
      <c r="M666" t="n">
        <v>0</v>
      </c>
      <c r="N666" t="n">
        <v>0</v>
      </c>
      <c r="O666" t="n">
        <v>0</v>
      </c>
      <c r="P666" t="n">
        <v>0</v>
      </c>
      <c r="Q666" t="n">
        <v>0</v>
      </c>
      <c r="R666" s="2" t="inlineStr"/>
    </row>
    <row r="667" ht="15" customHeight="1">
      <c r="A667" t="inlineStr">
        <is>
          <t>A 46238-2024</t>
        </is>
      </c>
      <c r="B667" s="1" t="n">
        <v>45581.58418981481</v>
      </c>
      <c r="C667" s="1" t="n">
        <v>46163</v>
      </c>
      <c r="D667" t="inlineStr">
        <is>
          <t>KALMAR LÄN</t>
        </is>
      </c>
      <c r="E667" t="inlineStr">
        <is>
          <t>VIMMERBY</t>
        </is>
      </c>
      <c r="G667" t="n">
        <v>2.1</v>
      </c>
      <c r="H667" t="n">
        <v>0</v>
      </c>
      <c r="I667" t="n">
        <v>0</v>
      </c>
      <c r="J667" t="n">
        <v>0</v>
      </c>
      <c r="K667" t="n">
        <v>0</v>
      </c>
      <c r="L667" t="n">
        <v>0</v>
      </c>
      <c r="M667" t="n">
        <v>0</v>
      </c>
      <c r="N667" t="n">
        <v>0</v>
      </c>
      <c r="O667" t="n">
        <v>0</v>
      </c>
      <c r="P667" t="n">
        <v>0</v>
      </c>
      <c r="Q667" t="n">
        <v>0</v>
      </c>
      <c r="R667" s="2" t="inlineStr"/>
    </row>
    <row r="668" ht="15" customHeight="1">
      <c r="A668" t="inlineStr">
        <is>
          <t>A 30633-2024</t>
        </is>
      </c>
      <c r="B668" s="1" t="n">
        <v>45495</v>
      </c>
      <c r="C668" s="1" t="n">
        <v>46163</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54838-2024</t>
        </is>
      </c>
      <c r="B669" s="1" t="n">
        <v>45618.56787037037</v>
      </c>
      <c r="C669" s="1" t="n">
        <v>46163</v>
      </c>
      <c r="D669" t="inlineStr">
        <is>
          <t>KALMAR LÄN</t>
        </is>
      </c>
      <c r="E669" t="inlineStr">
        <is>
          <t>VIMMERBY</t>
        </is>
      </c>
      <c r="G669" t="n">
        <v>3.3</v>
      </c>
      <c r="H669" t="n">
        <v>0</v>
      </c>
      <c r="I669" t="n">
        <v>0</v>
      </c>
      <c r="J669" t="n">
        <v>0</v>
      </c>
      <c r="K669" t="n">
        <v>0</v>
      </c>
      <c r="L669" t="n">
        <v>0</v>
      </c>
      <c r="M669" t="n">
        <v>0</v>
      </c>
      <c r="N669" t="n">
        <v>0</v>
      </c>
      <c r="O669" t="n">
        <v>0</v>
      </c>
      <c r="P669" t="n">
        <v>0</v>
      </c>
      <c r="Q669" t="n">
        <v>0</v>
      </c>
      <c r="R669" s="2" t="inlineStr"/>
    </row>
    <row r="670" ht="15" customHeight="1">
      <c r="A670" t="inlineStr">
        <is>
          <t>A 6405-2025</t>
        </is>
      </c>
      <c r="B670" s="1" t="n">
        <v>45699.45392361111</v>
      </c>
      <c r="C670" s="1" t="n">
        <v>46163</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16617-2026</t>
        </is>
      </c>
      <c r="B671" s="1" t="n">
        <v>46112.60607638889</v>
      </c>
      <c r="C671" s="1" t="n">
        <v>46163</v>
      </c>
      <c r="D671" t="inlineStr">
        <is>
          <t>KALMAR LÄN</t>
        </is>
      </c>
      <c r="E671" t="inlineStr">
        <is>
          <t>VIMMERBY</t>
        </is>
      </c>
      <c r="F671" t="inlineStr">
        <is>
          <t>Kommuner</t>
        </is>
      </c>
      <c r="G671" t="n">
        <v>0.6</v>
      </c>
      <c r="H671" t="n">
        <v>0</v>
      </c>
      <c r="I671" t="n">
        <v>0</v>
      </c>
      <c r="J671" t="n">
        <v>0</v>
      </c>
      <c r="K671" t="n">
        <v>0</v>
      </c>
      <c r="L671" t="n">
        <v>0</v>
      </c>
      <c r="M671" t="n">
        <v>0</v>
      </c>
      <c r="N671" t="n">
        <v>0</v>
      </c>
      <c r="O671" t="n">
        <v>0</v>
      </c>
      <c r="P671" t="n">
        <v>0</v>
      </c>
      <c r="Q671" t="n">
        <v>0</v>
      </c>
      <c r="R671" s="2" t="inlineStr"/>
    </row>
    <row r="672" ht="15" customHeight="1">
      <c r="A672" t="inlineStr">
        <is>
          <t>A 60437-2023</t>
        </is>
      </c>
      <c r="B672" s="1" t="n">
        <v>45259.51916666667</v>
      </c>
      <c r="C672" s="1" t="n">
        <v>46163</v>
      </c>
      <c r="D672" t="inlineStr">
        <is>
          <t>KALMAR LÄN</t>
        </is>
      </c>
      <c r="E672" t="inlineStr">
        <is>
          <t>VIMMERBY</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60438-2023</t>
        </is>
      </c>
      <c r="B673" s="1" t="n">
        <v>45259.52020833334</v>
      </c>
      <c r="C673" s="1" t="n">
        <v>46163</v>
      </c>
      <c r="D673" t="inlineStr">
        <is>
          <t>KALMAR LÄN</t>
        </is>
      </c>
      <c r="E673" t="inlineStr">
        <is>
          <t>VIMMERBY</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16672-2026</t>
        </is>
      </c>
      <c r="B674" s="1" t="n">
        <v>46112.67336805556</v>
      </c>
      <c r="C674" s="1" t="n">
        <v>46163</v>
      </c>
      <c r="D674" t="inlineStr">
        <is>
          <t>KALMAR LÄN</t>
        </is>
      </c>
      <c r="E674" t="inlineStr">
        <is>
          <t>VIMMERBY</t>
        </is>
      </c>
      <c r="F674" t="inlineStr">
        <is>
          <t>Kommuner</t>
        </is>
      </c>
      <c r="G674" t="n">
        <v>1.4</v>
      </c>
      <c r="H674" t="n">
        <v>0</v>
      </c>
      <c r="I674" t="n">
        <v>0</v>
      </c>
      <c r="J674" t="n">
        <v>0</v>
      </c>
      <c r="K674" t="n">
        <v>0</v>
      </c>
      <c r="L674" t="n">
        <v>0</v>
      </c>
      <c r="M674" t="n">
        <v>0</v>
      </c>
      <c r="N674" t="n">
        <v>0</v>
      </c>
      <c r="O674" t="n">
        <v>0</v>
      </c>
      <c r="P674" t="n">
        <v>0</v>
      </c>
      <c r="Q674" t="n">
        <v>0</v>
      </c>
      <c r="R674" s="2" t="inlineStr"/>
    </row>
    <row r="675" ht="15" customHeight="1">
      <c r="A675" t="inlineStr">
        <is>
          <t>A 42165-2024</t>
        </is>
      </c>
      <c r="B675" s="1" t="n">
        <v>45562.46342592593</v>
      </c>
      <c r="C675" s="1" t="n">
        <v>46163</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25244-2023</t>
        </is>
      </c>
      <c r="B676" s="1" t="n">
        <v>45086</v>
      </c>
      <c r="C676" s="1" t="n">
        <v>46163</v>
      </c>
      <c r="D676" t="inlineStr">
        <is>
          <t>KALMAR LÄN</t>
        </is>
      </c>
      <c r="E676" t="inlineStr">
        <is>
          <t>VIMMERBY</t>
        </is>
      </c>
      <c r="G676" t="n">
        <v>4.7</v>
      </c>
      <c r="H676" t="n">
        <v>0</v>
      </c>
      <c r="I676" t="n">
        <v>0</v>
      </c>
      <c r="J676" t="n">
        <v>0</v>
      </c>
      <c r="K676" t="n">
        <v>0</v>
      </c>
      <c r="L676" t="n">
        <v>0</v>
      </c>
      <c r="M676" t="n">
        <v>0</v>
      </c>
      <c r="N676" t="n">
        <v>0</v>
      </c>
      <c r="O676" t="n">
        <v>0</v>
      </c>
      <c r="P676" t="n">
        <v>0</v>
      </c>
      <c r="Q676" t="n">
        <v>0</v>
      </c>
      <c r="R676" s="2" t="inlineStr"/>
    </row>
    <row r="677" ht="15" customHeight="1">
      <c r="A677" t="inlineStr">
        <is>
          <t>A 16653-2026</t>
        </is>
      </c>
      <c r="B677" s="1" t="n">
        <v>46112.64597222222</v>
      </c>
      <c r="C677" s="1" t="n">
        <v>46163</v>
      </c>
      <c r="D677" t="inlineStr">
        <is>
          <t>KALMAR LÄN</t>
        </is>
      </c>
      <c r="E677" t="inlineStr">
        <is>
          <t>VIMMERBY</t>
        </is>
      </c>
      <c r="F677" t="inlineStr">
        <is>
          <t>Kommuner</t>
        </is>
      </c>
      <c r="G677" t="n">
        <v>4.4</v>
      </c>
      <c r="H677" t="n">
        <v>0</v>
      </c>
      <c r="I677" t="n">
        <v>0</v>
      </c>
      <c r="J677" t="n">
        <v>0</v>
      </c>
      <c r="K677" t="n">
        <v>0</v>
      </c>
      <c r="L677" t="n">
        <v>0</v>
      </c>
      <c r="M677" t="n">
        <v>0</v>
      </c>
      <c r="N677" t="n">
        <v>0</v>
      </c>
      <c r="O677" t="n">
        <v>0</v>
      </c>
      <c r="P677" t="n">
        <v>0</v>
      </c>
      <c r="Q677" t="n">
        <v>0</v>
      </c>
      <c r="R677" s="2" t="inlineStr"/>
    </row>
    <row r="678" ht="15" customHeight="1">
      <c r="A678" t="inlineStr">
        <is>
          <t>A 66022-2021</t>
        </is>
      </c>
      <c r="B678" s="1" t="n">
        <v>44517</v>
      </c>
      <c r="C678" s="1" t="n">
        <v>46163</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35895-2024</t>
        </is>
      </c>
      <c r="B679" s="1" t="n">
        <v>45533.38870370371</v>
      </c>
      <c r="C679" s="1" t="n">
        <v>46163</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11073-2023</t>
        </is>
      </c>
      <c r="B680" s="1" t="n">
        <v>44992</v>
      </c>
      <c r="C680" s="1" t="n">
        <v>46163</v>
      </c>
      <c r="D680" t="inlineStr">
        <is>
          <t>KALMAR LÄN</t>
        </is>
      </c>
      <c r="E680" t="inlineStr">
        <is>
          <t>VIMMERBY</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16675-2026</t>
        </is>
      </c>
      <c r="B681" s="1" t="n">
        <v>46112.68202546296</v>
      </c>
      <c r="C681" s="1" t="n">
        <v>46163</v>
      </c>
      <c r="D681" t="inlineStr">
        <is>
          <t>KALMAR LÄN</t>
        </is>
      </c>
      <c r="E681" t="inlineStr">
        <is>
          <t>VIMMERBY</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16632-2026</t>
        </is>
      </c>
      <c r="B682" s="1" t="n">
        <v>46112.62212962963</v>
      </c>
      <c r="C682" s="1" t="n">
        <v>46163</v>
      </c>
      <c r="D682" t="inlineStr">
        <is>
          <t>KALMAR LÄN</t>
        </is>
      </c>
      <c r="E682" t="inlineStr">
        <is>
          <t>VIMMERBY</t>
        </is>
      </c>
      <c r="G682" t="n">
        <v>2.1</v>
      </c>
      <c r="H682" t="n">
        <v>0</v>
      </c>
      <c r="I682" t="n">
        <v>0</v>
      </c>
      <c r="J682" t="n">
        <v>0</v>
      </c>
      <c r="K682" t="n">
        <v>0</v>
      </c>
      <c r="L682" t="n">
        <v>0</v>
      </c>
      <c r="M682" t="n">
        <v>0</v>
      </c>
      <c r="N682" t="n">
        <v>0</v>
      </c>
      <c r="O682" t="n">
        <v>0</v>
      </c>
      <c r="P682" t="n">
        <v>0</v>
      </c>
      <c r="Q682" t="n">
        <v>0</v>
      </c>
      <c r="R682" s="2" t="inlineStr"/>
    </row>
    <row r="683" ht="15" customHeight="1">
      <c r="A683" t="inlineStr">
        <is>
          <t>A 17-2025</t>
        </is>
      </c>
      <c r="B683" s="1" t="n">
        <v>45658.78774305555</v>
      </c>
      <c r="C683" s="1" t="n">
        <v>46163</v>
      </c>
      <c r="D683" t="inlineStr">
        <is>
          <t>KALMAR LÄN</t>
        </is>
      </c>
      <c r="E683" t="inlineStr">
        <is>
          <t>VIMMERBY</t>
        </is>
      </c>
      <c r="G683" t="n">
        <v>4.4</v>
      </c>
      <c r="H683" t="n">
        <v>0</v>
      </c>
      <c r="I683" t="n">
        <v>0</v>
      </c>
      <c r="J683" t="n">
        <v>0</v>
      </c>
      <c r="K683" t="n">
        <v>0</v>
      </c>
      <c r="L683" t="n">
        <v>0</v>
      </c>
      <c r="M683" t="n">
        <v>0</v>
      </c>
      <c r="N683" t="n">
        <v>0</v>
      </c>
      <c r="O683" t="n">
        <v>0</v>
      </c>
      <c r="P683" t="n">
        <v>0</v>
      </c>
      <c r="Q683" t="n">
        <v>0</v>
      </c>
      <c r="R683" s="2" t="inlineStr"/>
    </row>
    <row r="684" ht="15" customHeight="1">
      <c r="A684" t="inlineStr">
        <is>
          <t>A 32655-2023</t>
        </is>
      </c>
      <c r="B684" s="1" t="n">
        <v>45121.61318287037</v>
      </c>
      <c r="C684" s="1" t="n">
        <v>46163</v>
      </c>
      <c r="D684" t="inlineStr">
        <is>
          <t>KALMAR LÄN</t>
        </is>
      </c>
      <c r="E684" t="inlineStr">
        <is>
          <t>VIMMERBY</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16678-2026</t>
        </is>
      </c>
      <c r="B685" s="1" t="n">
        <v>46112.69435185185</v>
      </c>
      <c r="C685" s="1" t="n">
        <v>46163</v>
      </c>
      <c r="D685" t="inlineStr">
        <is>
          <t>KALMAR LÄN</t>
        </is>
      </c>
      <c r="E685" t="inlineStr">
        <is>
          <t>VIMMERBY</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63541-2023</t>
        </is>
      </c>
      <c r="B686" s="1" t="n">
        <v>45275.32266203704</v>
      </c>
      <c r="C686" s="1" t="n">
        <v>46163</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63711-2025</t>
        </is>
      </c>
      <c r="B687" s="1" t="n">
        <v>46014.62724537037</v>
      </c>
      <c r="C687" s="1" t="n">
        <v>46163</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61937-2025</t>
        </is>
      </c>
      <c r="B688" s="1" t="n">
        <v>46003</v>
      </c>
      <c r="C688" s="1" t="n">
        <v>46163</v>
      </c>
      <c r="D688" t="inlineStr">
        <is>
          <t>KALMAR LÄN</t>
        </is>
      </c>
      <c r="E688" t="inlineStr">
        <is>
          <t>VIMMERBY</t>
        </is>
      </c>
      <c r="G688" t="n">
        <v>3.4</v>
      </c>
      <c r="H688" t="n">
        <v>0</v>
      </c>
      <c r="I688" t="n">
        <v>0</v>
      </c>
      <c r="J688" t="n">
        <v>0</v>
      </c>
      <c r="K688" t="n">
        <v>0</v>
      </c>
      <c r="L688" t="n">
        <v>0</v>
      </c>
      <c r="M688" t="n">
        <v>0</v>
      </c>
      <c r="N688" t="n">
        <v>0</v>
      </c>
      <c r="O688" t="n">
        <v>0</v>
      </c>
      <c r="P688" t="n">
        <v>0</v>
      </c>
      <c r="Q688" t="n">
        <v>0</v>
      </c>
      <c r="R688" s="2" t="inlineStr"/>
    </row>
    <row r="689" ht="15" customHeight="1">
      <c r="A689" t="inlineStr">
        <is>
          <t>A 28034-2022</t>
        </is>
      </c>
      <c r="B689" s="1" t="n">
        <v>44746.38834490741</v>
      </c>
      <c r="C689" s="1" t="n">
        <v>46163</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5938-2022</t>
        </is>
      </c>
      <c r="B690" s="1" t="n">
        <v>44598</v>
      </c>
      <c r="C690" s="1" t="n">
        <v>46163</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24283-2023</t>
        </is>
      </c>
      <c r="B691" s="1" t="n">
        <v>45079.87827546296</v>
      </c>
      <c r="C691" s="1" t="n">
        <v>46163</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63762-2025</t>
        </is>
      </c>
      <c r="B692" s="1" t="n">
        <v>46018.67197916667</v>
      </c>
      <c r="C692" s="1" t="n">
        <v>46163</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63758-2025</t>
        </is>
      </c>
      <c r="B693" s="1" t="n">
        <v>46018.46483796297</v>
      </c>
      <c r="C693" s="1" t="n">
        <v>46163</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63845-2025</t>
        </is>
      </c>
      <c r="B694" s="1" t="n">
        <v>46020.43715277778</v>
      </c>
      <c r="C694" s="1" t="n">
        <v>46163</v>
      </c>
      <c r="D694" t="inlineStr">
        <is>
          <t>KALMAR LÄN</t>
        </is>
      </c>
      <c r="E694" t="inlineStr">
        <is>
          <t>VIMMERBY</t>
        </is>
      </c>
      <c r="G694" t="n">
        <v>3.8</v>
      </c>
      <c r="H694" t="n">
        <v>0</v>
      </c>
      <c r="I694" t="n">
        <v>0</v>
      </c>
      <c r="J694" t="n">
        <v>0</v>
      </c>
      <c r="K694" t="n">
        <v>0</v>
      </c>
      <c r="L694" t="n">
        <v>0</v>
      </c>
      <c r="M694" t="n">
        <v>0</v>
      </c>
      <c r="N694" t="n">
        <v>0</v>
      </c>
      <c r="O694" t="n">
        <v>0</v>
      </c>
      <c r="P694" t="n">
        <v>0</v>
      </c>
      <c r="Q694" t="n">
        <v>0</v>
      </c>
      <c r="R694" s="2" t="inlineStr"/>
    </row>
    <row r="695" ht="15" customHeight="1">
      <c r="A695" t="inlineStr">
        <is>
          <t>A 63848-2025</t>
        </is>
      </c>
      <c r="B695" s="1" t="n">
        <v>46020.44902777778</v>
      </c>
      <c r="C695" s="1" t="n">
        <v>46163</v>
      </c>
      <c r="D695" t="inlineStr">
        <is>
          <t>KALMAR LÄN</t>
        </is>
      </c>
      <c r="E695" t="inlineStr">
        <is>
          <t>VIMMERBY</t>
        </is>
      </c>
      <c r="G695" t="n">
        <v>3.4</v>
      </c>
      <c r="H695" t="n">
        <v>0</v>
      </c>
      <c r="I695" t="n">
        <v>0</v>
      </c>
      <c r="J695" t="n">
        <v>0</v>
      </c>
      <c r="K695" t="n">
        <v>0</v>
      </c>
      <c r="L695" t="n">
        <v>0</v>
      </c>
      <c r="M695" t="n">
        <v>0</v>
      </c>
      <c r="N695" t="n">
        <v>0</v>
      </c>
      <c r="O695" t="n">
        <v>0</v>
      </c>
      <c r="P695" t="n">
        <v>0</v>
      </c>
      <c r="Q695" t="n">
        <v>0</v>
      </c>
      <c r="R695" s="2" t="inlineStr"/>
    </row>
    <row r="696" ht="15" customHeight="1">
      <c r="A696" t="inlineStr">
        <is>
          <t>A 16799-2026</t>
        </is>
      </c>
      <c r="B696" s="1" t="n">
        <v>46113.47913194444</v>
      </c>
      <c r="C696" s="1" t="n">
        <v>46163</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63839-2025</t>
        </is>
      </c>
      <c r="B697" s="1" t="n">
        <v>46020.41998842593</v>
      </c>
      <c r="C697" s="1" t="n">
        <v>46163</v>
      </c>
      <c r="D697" t="inlineStr">
        <is>
          <t>KALMAR LÄN</t>
        </is>
      </c>
      <c r="E697" t="inlineStr">
        <is>
          <t>VIMMERBY</t>
        </is>
      </c>
      <c r="G697" t="n">
        <v>2.9</v>
      </c>
      <c r="H697" t="n">
        <v>0</v>
      </c>
      <c r="I697" t="n">
        <v>0</v>
      </c>
      <c r="J697" t="n">
        <v>0</v>
      </c>
      <c r="K697" t="n">
        <v>0</v>
      </c>
      <c r="L697" t="n">
        <v>0</v>
      </c>
      <c r="M697" t="n">
        <v>0</v>
      </c>
      <c r="N697" t="n">
        <v>0</v>
      </c>
      <c r="O697" t="n">
        <v>0</v>
      </c>
      <c r="P697" t="n">
        <v>0</v>
      </c>
      <c r="Q697" t="n">
        <v>0</v>
      </c>
      <c r="R697" s="2" t="inlineStr"/>
    </row>
    <row r="698" ht="15" customHeight="1">
      <c r="A698" t="inlineStr">
        <is>
          <t>A 2462-2022</t>
        </is>
      </c>
      <c r="B698" s="1" t="n">
        <v>44579.62225694444</v>
      </c>
      <c r="C698" s="1" t="n">
        <v>46163</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60228-2021</t>
        </is>
      </c>
      <c r="B699" s="1" t="n">
        <v>44495</v>
      </c>
      <c r="C699" s="1" t="n">
        <v>46163</v>
      </c>
      <c r="D699" t="inlineStr">
        <is>
          <t>KALMAR LÄN</t>
        </is>
      </c>
      <c r="E699" t="inlineStr">
        <is>
          <t>VIMMERBY</t>
        </is>
      </c>
      <c r="G699" t="n">
        <v>4.1</v>
      </c>
      <c r="H699" t="n">
        <v>0</v>
      </c>
      <c r="I699" t="n">
        <v>0</v>
      </c>
      <c r="J699" t="n">
        <v>0</v>
      </c>
      <c r="K699" t="n">
        <v>0</v>
      </c>
      <c r="L699" t="n">
        <v>0</v>
      </c>
      <c r="M699" t="n">
        <v>0</v>
      </c>
      <c r="N699" t="n">
        <v>0</v>
      </c>
      <c r="O699" t="n">
        <v>0</v>
      </c>
      <c r="P699" t="n">
        <v>0</v>
      </c>
      <c r="Q699" t="n">
        <v>0</v>
      </c>
      <c r="R699" s="2" t="inlineStr"/>
    </row>
    <row r="700" ht="15" customHeight="1">
      <c r="A700" t="inlineStr">
        <is>
          <t>A 25979-2023</t>
        </is>
      </c>
      <c r="B700" s="1" t="n">
        <v>45090.89653935185</v>
      </c>
      <c r="C700" s="1" t="n">
        <v>46163</v>
      </c>
      <c r="D700" t="inlineStr">
        <is>
          <t>KALMAR LÄN</t>
        </is>
      </c>
      <c r="E700" t="inlineStr">
        <is>
          <t>VIMMERBY</t>
        </is>
      </c>
      <c r="G700" t="n">
        <v>2</v>
      </c>
      <c r="H700" t="n">
        <v>0</v>
      </c>
      <c r="I700" t="n">
        <v>0</v>
      </c>
      <c r="J700" t="n">
        <v>0</v>
      </c>
      <c r="K700" t="n">
        <v>0</v>
      </c>
      <c r="L700" t="n">
        <v>0</v>
      </c>
      <c r="M700" t="n">
        <v>0</v>
      </c>
      <c r="N700" t="n">
        <v>0</v>
      </c>
      <c r="O700" t="n">
        <v>0</v>
      </c>
      <c r="P700" t="n">
        <v>0</v>
      </c>
      <c r="Q700" t="n">
        <v>0</v>
      </c>
      <c r="R700" s="2" t="inlineStr"/>
    </row>
    <row r="701" ht="15" customHeight="1">
      <c r="A701" t="inlineStr">
        <is>
          <t>A 25980-2023</t>
        </is>
      </c>
      <c r="B701" s="1" t="n">
        <v>45090.89880787037</v>
      </c>
      <c r="C701" s="1" t="n">
        <v>46163</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12510-2022</t>
        </is>
      </c>
      <c r="B702" s="1" t="n">
        <v>44638.55256944444</v>
      </c>
      <c r="C702" s="1" t="n">
        <v>46163</v>
      </c>
      <c r="D702" t="inlineStr">
        <is>
          <t>KALMAR LÄN</t>
        </is>
      </c>
      <c r="E702" t="inlineStr">
        <is>
          <t>VIMMERBY</t>
        </is>
      </c>
      <c r="G702" t="n">
        <v>2.4</v>
      </c>
      <c r="H702" t="n">
        <v>0</v>
      </c>
      <c r="I702" t="n">
        <v>0</v>
      </c>
      <c r="J702" t="n">
        <v>0</v>
      </c>
      <c r="K702" t="n">
        <v>0</v>
      </c>
      <c r="L702" t="n">
        <v>0</v>
      </c>
      <c r="M702" t="n">
        <v>0</v>
      </c>
      <c r="N702" t="n">
        <v>0</v>
      </c>
      <c r="O702" t="n">
        <v>0</v>
      </c>
      <c r="P702" t="n">
        <v>0</v>
      </c>
      <c r="Q702" t="n">
        <v>0</v>
      </c>
      <c r="R702" s="2" t="inlineStr"/>
    </row>
    <row r="703" ht="15" customHeight="1">
      <c r="A703" t="inlineStr">
        <is>
          <t>A 6358-2022</t>
        </is>
      </c>
      <c r="B703" s="1" t="n">
        <v>44600</v>
      </c>
      <c r="C703" s="1" t="n">
        <v>46163</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16823-2026</t>
        </is>
      </c>
      <c r="B704" s="1" t="n">
        <v>46113.51649305555</v>
      </c>
      <c r="C704" s="1" t="n">
        <v>46163</v>
      </c>
      <c r="D704" t="inlineStr">
        <is>
          <t>KALMAR LÄN</t>
        </is>
      </c>
      <c r="E704" t="inlineStr">
        <is>
          <t>VIMMERBY</t>
        </is>
      </c>
      <c r="G704" t="n">
        <v>0.8</v>
      </c>
      <c r="H704" t="n">
        <v>0</v>
      </c>
      <c r="I704" t="n">
        <v>0</v>
      </c>
      <c r="J704" t="n">
        <v>0</v>
      </c>
      <c r="K704" t="n">
        <v>0</v>
      </c>
      <c r="L704" t="n">
        <v>0</v>
      </c>
      <c r="M704" t="n">
        <v>0</v>
      </c>
      <c r="N704" t="n">
        <v>0</v>
      </c>
      <c r="O704" t="n">
        <v>0</v>
      </c>
      <c r="P704" t="n">
        <v>0</v>
      </c>
      <c r="Q704" t="n">
        <v>0</v>
      </c>
      <c r="R704" s="2" t="inlineStr"/>
    </row>
    <row r="705" ht="15" customHeight="1">
      <c r="A705" t="inlineStr">
        <is>
          <t>A 16870-2026</t>
        </is>
      </c>
      <c r="B705" s="1" t="n">
        <v>46113.5822800926</v>
      </c>
      <c r="C705" s="1" t="n">
        <v>46163</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579-2026</t>
        </is>
      </c>
      <c r="B706" s="1" t="n">
        <v>46029.47912037037</v>
      </c>
      <c r="C706" s="1" t="n">
        <v>46163</v>
      </c>
      <c r="D706" t="inlineStr">
        <is>
          <t>KALMAR LÄN</t>
        </is>
      </c>
      <c r="E706" t="inlineStr">
        <is>
          <t>VIMMERBY</t>
        </is>
      </c>
      <c r="G706" t="n">
        <v>3</v>
      </c>
      <c r="H706" t="n">
        <v>0</v>
      </c>
      <c r="I706" t="n">
        <v>0</v>
      </c>
      <c r="J706" t="n">
        <v>0</v>
      </c>
      <c r="K706" t="n">
        <v>0</v>
      </c>
      <c r="L706" t="n">
        <v>0</v>
      </c>
      <c r="M706" t="n">
        <v>0</v>
      </c>
      <c r="N706" t="n">
        <v>0</v>
      </c>
      <c r="O706" t="n">
        <v>0</v>
      </c>
      <c r="P706" t="n">
        <v>0</v>
      </c>
      <c r="Q706" t="n">
        <v>0</v>
      </c>
      <c r="R706" s="2" t="inlineStr"/>
    </row>
    <row r="707" ht="15" customHeight="1">
      <c r="A707" t="inlineStr">
        <is>
          <t>A 16801-2026</t>
        </is>
      </c>
      <c r="B707" s="1" t="n">
        <v>46113.48400462963</v>
      </c>
      <c r="C707" s="1" t="n">
        <v>46163</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48373-2021</t>
        </is>
      </c>
      <c r="B708" s="1" t="n">
        <v>44451</v>
      </c>
      <c r="C708" s="1" t="n">
        <v>46163</v>
      </c>
      <c r="D708" t="inlineStr">
        <is>
          <t>KALMAR LÄN</t>
        </is>
      </c>
      <c r="E708" t="inlineStr">
        <is>
          <t>VIMMERBY</t>
        </is>
      </c>
      <c r="G708" t="n">
        <v>2.2</v>
      </c>
      <c r="H708" t="n">
        <v>0</v>
      </c>
      <c r="I708" t="n">
        <v>0</v>
      </c>
      <c r="J708" t="n">
        <v>0</v>
      </c>
      <c r="K708" t="n">
        <v>0</v>
      </c>
      <c r="L708" t="n">
        <v>0</v>
      </c>
      <c r="M708" t="n">
        <v>0</v>
      </c>
      <c r="N708" t="n">
        <v>0</v>
      </c>
      <c r="O708" t="n">
        <v>0</v>
      </c>
      <c r="P708" t="n">
        <v>0</v>
      </c>
      <c r="Q708" t="n">
        <v>0</v>
      </c>
      <c r="R708" s="2" t="inlineStr"/>
    </row>
    <row r="709" ht="15" customHeight="1">
      <c r="A709" t="inlineStr">
        <is>
          <t>A 409-2026</t>
        </is>
      </c>
      <c r="B709" s="1" t="n">
        <v>46028.69432870371</v>
      </c>
      <c r="C709" s="1" t="n">
        <v>46163</v>
      </c>
      <c r="D709" t="inlineStr">
        <is>
          <t>KALMAR LÄN</t>
        </is>
      </c>
      <c r="E709" t="inlineStr">
        <is>
          <t>VIMMERBY</t>
        </is>
      </c>
      <c r="G709" t="n">
        <v>2.2</v>
      </c>
      <c r="H709" t="n">
        <v>0</v>
      </c>
      <c r="I709" t="n">
        <v>0</v>
      </c>
      <c r="J709" t="n">
        <v>0</v>
      </c>
      <c r="K709" t="n">
        <v>0</v>
      </c>
      <c r="L709" t="n">
        <v>0</v>
      </c>
      <c r="M709" t="n">
        <v>0</v>
      </c>
      <c r="N709" t="n">
        <v>0</v>
      </c>
      <c r="O709" t="n">
        <v>0</v>
      </c>
      <c r="P709" t="n">
        <v>0</v>
      </c>
      <c r="Q709" t="n">
        <v>0</v>
      </c>
      <c r="R709" s="2" t="inlineStr"/>
    </row>
    <row r="710" ht="15" customHeight="1">
      <c r="A710" t="inlineStr">
        <is>
          <t>A 406-2026</t>
        </is>
      </c>
      <c r="B710" s="1" t="n">
        <v>46028.68663194445</v>
      </c>
      <c r="C710" s="1" t="n">
        <v>46163</v>
      </c>
      <c r="D710" t="inlineStr">
        <is>
          <t>KALMAR LÄN</t>
        </is>
      </c>
      <c r="E710" t="inlineStr">
        <is>
          <t>VIMMERBY</t>
        </is>
      </c>
      <c r="G710" t="n">
        <v>1.8</v>
      </c>
      <c r="H710" t="n">
        <v>0</v>
      </c>
      <c r="I710" t="n">
        <v>0</v>
      </c>
      <c r="J710" t="n">
        <v>0</v>
      </c>
      <c r="K710" t="n">
        <v>0</v>
      </c>
      <c r="L710" t="n">
        <v>0</v>
      </c>
      <c r="M710" t="n">
        <v>0</v>
      </c>
      <c r="N710" t="n">
        <v>0</v>
      </c>
      <c r="O710" t="n">
        <v>0</v>
      </c>
      <c r="P710" t="n">
        <v>0</v>
      </c>
      <c r="Q710" t="n">
        <v>0</v>
      </c>
      <c r="R710" s="2" t="inlineStr"/>
    </row>
    <row r="711" ht="15" customHeight="1">
      <c r="A711" t="inlineStr">
        <is>
          <t>A 16795-2026</t>
        </is>
      </c>
      <c r="B711" s="1" t="n">
        <v>46113.47216435185</v>
      </c>
      <c r="C711" s="1" t="n">
        <v>46163</v>
      </c>
      <c r="D711" t="inlineStr">
        <is>
          <t>KALMAR LÄN</t>
        </is>
      </c>
      <c r="E711" t="inlineStr">
        <is>
          <t>VIMMERBY</t>
        </is>
      </c>
      <c r="G711" t="n">
        <v>2.1</v>
      </c>
      <c r="H711" t="n">
        <v>0</v>
      </c>
      <c r="I711" t="n">
        <v>0</v>
      </c>
      <c r="J711" t="n">
        <v>0</v>
      </c>
      <c r="K711" t="n">
        <v>0</v>
      </c>
      <c r="L711" t="n">
        <v>0</v>
      </c>
      <c r="M711" t="n">
        <v>0</v>
      </c>
      <c r="N711" t="n">
        <v>0</v>
      </c>
      <c r="O711" t="n">
        <v>0</v>
      </c>
      <c r="P711" t="n">
        <v>0</v>
      </c>
      <c r="Q711" t="n">
        <v>0</v>
      </c>
      <c r="R711" s="2" t="inlineStr"/>
    </row>
    <row r="712" ht="15" customHeight="1">
      <c r="A712" t="inlineStr">
        <is>
          <t>A 57256-2023</t>
        </is>
      </c>
      <c r="B712" s="1" t="n">
        <v>45245.5735300926</v>
      </c>
      <c r="C712" s="1" t="n">
        <v>46163</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17482-2024</t>
        </is>
      </c>
      <c r="B713" s="1" t="n">
        <v>45415.47848379629</v>
      </c>
      <c r="C713" s="1" t="n">
        <v>46163</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842-2026</t>
        </is>
      </c>
      <c r="B714" s="1" t="n">
        <v>46030.380625</v>
      </c>
      <c r="C714" s="1" t="n">
        <v>46163</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55123-2024</t>
        </is>
      </c>
      <c r="B715" s="1" t="n">
        <v>45621.46103009259</v>
      </c>
      <c r="C715" s="1" t="n">
        <v>46163</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44861.52505787037</v>
      </c>
      <c r="C716" s="1" t="n">
        <v>46163</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1987-2024</t>
        </is>
      </c>
      <c r="B717" s="1" t="n">
        <v>45308.61152777778</v>
      </c>
      <c r="C717" s="1" t="n">
        <v>46163</v>
      </c>
      <c r="D717" t="inlineStr">
        <is>
          <t>KALMAR LÄN</t>
        </is>
      </c>
      <c r="E717" t="inlineStr">
        <is>
          <t>VIMMERBY</t>
        </is>
      </c>
      <c r="G717" t="n">
        <v>3</v>
      </c>
      <c r="H717" t="n">
        <v>0</v>
      </c>
      <c r="I717" t="n">
        <v>0</v>
      </c>
      <c r="J717" t="n">
        <v>0</v>
      </c>
      <c r="K717" t="n">
        <v>0</v>
      </c>
      <c r="L717" t="n">
        <v>0</v>
      </c>
      <c r="M717" t="n">
        <v>0</v>
      </c>
      <c r="N717" t="n">
        <v>0</v>
      </c>
      <c r="O717" t="n">
        <v>0</v>
      </c>
      <c r="P717" t="n">
        <v>0</v>
      </c>
      <c r="Q717" t="n">
        <v>0</v>
      </c>
      <c r="R717" s="2" t="inlineStr"/>
    </row>
    <row r="718" ht="15" customHeight="1">
      <c r="A718" t="inlineStr">
        <is>
          <t>A 21507-2023</t>
        </is>
      </c>
      <c r="B718" s="1" t="n">
        <v>45063.508125</v>
      </c>
      <c r="C718" s="1" t="n">
        <v>46163</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57189-2022</t>
        </is>
      </c>
      <c r="B719" s="1" t="n">
        <v>44895.62296296296</v>
      </c>
      <c r="C719" s="1" t="n">
        <v>46163</v>
      </c>
      <c r="D719" t="inlineStr">
        <is>
          <t>KALMAR LÄN</t>
        </is>
      </c>
      <c r="E719" t="inlineStr">
        <is>
          <t>VIMMERBY</t>
        </is>
      </c>
      <c r="G719" t="n">
        <v>0.8</v>
      </c>
      <c r="H719" t="n">
        <v>0</v>
      </c>
      <c r="I719" t="n">
        <v>0</v>
      </c>
      <c r="J719" t="n">
        <v>0</v>
      </c>
      <c r="K719" t="n">
        <v>0</v>
      </c>
      <c r="L719" t="n">
        <v>0</v>
      </c>
      <c r="M719" t="n">
        <v>0</v>
      </c>
      <c r="N719" t="n">
        <v>0</v>
      </c>
      <c r="O719" t="n">
        <v>0</v>
      </c>
      <c r="P719" t="n">
        <v>0</v>
      </c>
      <c r="Q719" t="n">
        <v>0</v>
      </c>
      <c r="R719" s="2" t="inlineStr"/>
    </row>
    <row r="720" ht="15" customHeight="1">
      <c r="A720" t="inlineStr">
        <is>
          <t>A 48673-2021</t>
        </is>
      </c>
      <c r="B720" s="1" t="n">
        <v>44452</v>
      </c>
      <c r="C720" s="1" t="n">
        <v>46163</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1069-2026</t>
        </is>
      </c>
      <c r="B721" s="1" t="n">
        <v>46030</v>
      </c>
      <c r="C721" s="1" t="n">
        <v>46163</v>
      </c>
      <c r="D721" t="inlineStr">
        <is>
          <t>KALMAR LÄN</t>
        </is>
      </c>
      <c r="E721" t="inlineStr">
        <is>
          <t>VIMMERBY</t>
        </is>
      </c>
      <c r="G721" t="n">
        <v>3.3</v>
      </c>
      <c r="H721" t="n">
        <v>0</v>
      </c>
      <c r="I721" t="n">
        <v>0</v>
      </c>
      <c r="J721" t="n">
        <v>0</v>
      </c>
      <c r="K721" t="n">
        <v>0</v>
      </c>
      <c r="L721" t="n">
        <v>0</v>
      </c>
      <c r="M721" t="n">
        <v>0</v>
      </c>
      <c r="N721" t="n">
        <v>0</v>
      </c>
      <c r="O721" t="n">
        <v>0</v>
      </c>
      <c r="P721" t="n">
        <v>0</v>
      </c>
      <c r="Q721" t="n">
        <v>0</v>
      </c>
      <c r="R721" s="2" t="inlineStr"/>
    </row>
    <row r="722" ht="15" customHeight="1">
      <c r="A722" t="inlineStr">
        <is>
          <t>A 14248-2023</t>
        </is>
      </c>
      <c r="B722" s="1" t="n">
        <v>45009</v>
      </c>
      <c r="C722" s="1" t="n">
        <v>46163</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12480-2024</t>
        </is>
      </c>
      <c r="B723" s="1" t="n">
        <v>45379</v>
      </c>
      <c r="C723" s="1" t="n">
        <v>46163</v>
      </c>
      <c r="D723" t="inlineStr">
        <is>
          <t>KALMAR LÄN</t>
        </is>
      </c>
      <c r="E723" t="inlineStr">
        <is>
          <t>VIMMERBY</t>
        </is>
      </c>
      <c r="G723" t="n">
        <v>2.8</v>
      </c>
      <c r="H723" t="n">
        <v>0</v>
      </c>
      <c r="I723" t="n">
        <v>0</v>
      </c>
      <c r="J723" t="n">
        <v>0</v>
      </c>
      <c r="K723" t="n">
        <v>0</v>
      </c>
      <c r="L723" t="n">
        <v>0</v>
      </c>
      <c r="M723" t="n">
        <v>0</v>
      </c>
      <c r="N723" t="n">
        <v>0</v>
      </c>
      <c r="O723" t="n">
        <v>0</v>
      </c>
      <c r="P723" t="n">
        <v>0</v>
      </c>
      <c r="Q723" t="n">
        <v>0</v>
      </c>
      <c r="R723" s="2" t="inlineStr"/>
    </row>
    <row r="724" ht="15" customHeight="1">
      <c r="A724" t="inlineStr">
        <is>
          <t>A 1734-2026</t>
        </is>
      </c>
      <c r="B724" s="1" t="n">
        <v>46034</v>
      </c>
      <c r="C724" s="1" t="n">
        <v>46163</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1743-2026</t>
        </is>
      </c>
      <c r="B725" s="1" t="n">
        <v>46034</v>
      </c>
      <c r="C725" s="1" t="n">
        <v>46163</v>
      </c>
      <c r="D725" t="inlineStr">
        <is>
          <t>KALMAR LÄN</t>
        </is>
      </c>
      <c r="E725" t="inlineStr">
        <is>
          <t>VIMMERBY</t>
        </is>
      </c>
      <c r="G725" t="n">
        <v>0.9</v>
      </c>
      <c r="H725" t="n">
        <v>0</v>
      </c>
      <c r="I725" t="n">
        <v>0</v>
      </c>
      <c r="J725" t="n">
        <v>0</v>
      </c>
      <c r="K725" t="n">
        <v>0</v>
      </c>
      <c r="L725" t="n">
        <v>0</v>
      </c>
      <c r="M725" t="n">
        <v>0</v>
      </c>
      <c r="N725" t="n">
        <v>0</v>
      </c>
      <c r="O725" t="n">
        <v>0</v>
      </c>
      <c r="P725" t="n">
        <v>0</v>
      </c>
      <c r="Q725" t="n">
        <v>0</v>
      </c>
      <c r="R725" s="2" t="inlineStr"/>
    </row>
    <row r="726" ht="15" customHeight="1">
      <c r="A726" t="inlineStr">
        <is>
          <t>A 1748-2026</t>
        </is>
      </c>
      <c r="B726" s="1" t="n">
        <v>46034.65589120371</v>
      </c>
      <c r="C726" s="1" t="n">
        <v>46163</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1862-2026</t>
        </is>
      </c>
      <c r="B727" s="1" t="n">
        <v>46035.44689814815</v>
      </c>
      <c r="C727" s="1" t="n">
        <v>46163</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40095-2022</t>
        </is>
      </c>
      <c r="B728" s="1" t="n">
        <v>44820</v>
      </c>
      <c r="C728" s="1" t="n">
        <v>46163</v>
      </c>
      <c r="D728" t="inlineStr">
        <is>
          <t>KALMAR LÄN</t>
        </is>
      </c>
      <c r="E728" t="inlineStr">
        <is>
          <t>VIMMERBY</t>
        </is>
      </c>
      <c r="G728" t="n">
        <v>2.4</v>
      </c>
      <c r="H728" t="n">
        <v>0</v>
      </c>
      <c r="I728" t="n">
        <v>0</v>
      </c>
      <c r="J728" t="n">
        <v>0</v>
      </c>
      <c r="K728" t="n">
        <v>0</v>
      </c>
      <c r="L728" t="n">
        <v>0</v>
      </c>
      <c r="M728" t="n">
        <v>0</v>
      </c>
      <c r="N728" t="n">
        <v>0</v>
      </c>
      <c r="O728" t="n">
        <v>0</v>
      </c>
      <c r="P728" t="n">
        <v>0</v>
      </c>
      <c r="Q728" t="n">
        <v>0</v>
      </c>
      <c r="R728" s="2" t="inlineStr"/>
    </row>
    <row r="729" ht="15" customHeight="1">
      <c r="A729" t="inlineStr">
        <is>
          <t>A 50085-2023</t>
        </is>
      </c>
      <c r="B729" s="1" t="n">
        <v>45215.5959375</v>
      </c>
      <c r="C729" s="1" t="n">
        <v>46163</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50087-2023</t>
        </is>
      </c>
      <c r="B730" s="1" t="n">
        <v>45215.59743055556</v>
      </c>
      <c r="C730" s="1" t="n">
        <v>46163</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8167-2024</t>
        </is>
      </c>
      <c r="B731" s="1" t="n">
        <v>45351.6062962963</v>
      </c>
      <c r="C731" s="1" t="n">
        <v>46163</v>
      </c>
      <c r="D731" t="inlineStr">
        <is>
          <t>KALMAR LÄN</t>
        </is>
      </c>
      <c r="E731" t="inlineStr">
        <is>
          <t>VIMMERBY</t>
        </is>
      </c>
      <c r="G731" t="n">
        <v>3.8</v>
      </c>
      <c r="H731" t="n">
        <v>0</v>
      </c>
      <c r="I731" t="n">
        <v>0</v>
      </c>
      <c r="J731" t="n">
        <v>0</v>
      </c>
      <c r="K731" t="n">
        <v>0</v>
      </c>
      <c r="L731" t="n">
        <v>0</v>
      </c>
      <c r="M731" t="n">
        <v>0</v>
      </c>
      <c r="N731" t="n">
        <v>0</v>
      </c>
      <c r="O731" t="n">
        <v>0</v>
      </c>
      <c r="P731" t="n">
        <v>0</v>
      </c>
      <c r="Q731" t="n">
        <v>0</v>
      </c>
      <c r="R731" s="2" t="inlineStr"/>
    </row>
    <row r="732" ht="15" customHeight="1">
      <c r="A732" t="inlineStr">
        <is>
          <t>A 2518-2026</t>
        </is>
      </c>
      <c r="B732" s="1" t="n">
        <v>46037.42511574074</v>
      </c>
      <c r="C732" s="1" t="n">
        <v>46163</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2514-2026</t>
        </is>
      </c>
      <c r="B733" s="1" t="n">
        <v>46037.42219907408</v>
      </c>
      <c r="C733" s="1" t="n">
        <v>46163</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2604-2025</t>
        </is>
      </c>
      <c r="B734" s="1" t="n">
        <v>45674.74094907408</v>
      </c>
      <c r="C734" s="1" t="n">
        <v>46163</v>
      </c>
      <c r="D734" t="inlineStr">
        <is>
          <t>KALMAR LÄN</t>
        </is>
      </c>
      <c r="E734" t="inlineStr">
        <is>
          <t>VIMMERBY</t>
        </is>
      </c>
      <c r="G734" t="n">
        <v>7.6</v>
      </c>
      <c r="H734" t="n">
        <v>0</v>
      </c>
      <c r="I734" t="n">
        <v>0</v>
      </c>
      <c r="J734" t="n">
        <v>0</v>
      </c>
      <c r="K734" t="n">
        <v>0</v>
      </c>
      <c r="L734" t="n">
        <v>0</v>
      </c>
      <c r="M734" t="n">
        <v>0</v>
      </c>
      <c r="N734" t="n">
        <v>0</v>
      </c>
      <c r="O734" t="n">
        <v>0</v>
      </c>
      <c r="P734" t="n">
        <v>0</v>
      </c>
      <c r="Q734" t="n">
        <v>0</v>
      </c>
      <c r="R734" s="2" t="inlineStr"/>
    </row>
    <row r="735" ht="15" customHeight="1">
      <c r="A735" t="inlineStr">
        <is>
          <t>A 2523-2026</t>
        </is>
      </c>
      <c r="B735" s="1" t="n">
        <v>46037.42825231481</v>
      </c>
      <c r="C735" s="1" t="n">
        <v>46163</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3266-2026</t>
        </is>
      </c>
      <c r="B736" s="1" t="n">
        <v>46041</v>
      </c>
      <c r="C736" s="1" t="n">
        <v>46163</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3292-2026</t>
        </is>
      </c>
      <c r="B737" s="1" t="n">
        <v>46041</v>
      </c>
      <c r="C737" s="1" t="n">
        <v>46163</v>
      </c>
      <c r="D737" t="inlineStr">
        <is>
          <t>KALMAR LÄN</t>
        </is>
      </c>
      <c r="E737" t="inlineStr">
        <is>
          <t>VIMMERBY</t>
        </is>
      </c>
      <c r="G737" t="n">
        <v>3.9</v>
      </c>
      <c r="H737" t="n">
        <v>0</v>
      </c>
      <c r="I737" t="n">
        <v>0</v>
      </c>
      <c r="J737" t="n">
        <v>0</v>
      </c>
      <c r="K737" t="n">
        <v>0</v>
      </c>
      <c r="L737" t="n">
        <v>0</v>
      </c>
      <c r="M737" t="n">
        <v>0</v>
      </c>
      <c r="N737" t="n">
        <v>0</v>
      </c>
      <c r="O737" t="n">
        <v>0</v>
      </c>
      <c r="P737" t="n">
        <v>0</v>
      </c>
      <c r="Q737" t="n">
        <v>0</v>
      </c>
      <c r="R737" s="2" t="inlineStr"/>
    </row>
    <row r="738" ht="15" customHeight="1">
      <c r="A738" t="inlineStr">
        <is>
          <t>A 37192-2024</t>
        </is>
      </c>
      <c r="B738" s="1" t="n">
        <v>45539.66027777778</v>
      </c>
      <c r="C738" s="1" t="n">
        <v>46163</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42429-2024</t>
        </is>
      </c>
      <c r="B739" s="1" t="n">
        <v>45565.40657407408</v>
      </c>
      <c r="C739" s="1" t="n">
        <v>46163</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29180-2024</t>
        </is>
      </c>
      <c r="B740" s="1" t="n">
        <v>45482.54108796296</v>
      </c>
      <c r="C740" s="1" t="n">
        <v>46163</v>
      </c>
      <c r="D740" t="inlineStr">
        <is>
          <t>KALMAR LÄN</t>
        </is>
      </c>
      <c r="E740" t="inlineStr">
        <is>
          <t>VIMMERBY</t>
        </is>
      </c>
      <c r="G740" t="n">
        <v>3.8</v>
      </c>
      <c r="H740" t="n">
        <v>0</v>
      </c>
      <c r="I740" t="n">
        <v>0</v>
      </c>
      <c r="J740" t="n">
        <v>0</v>
      </c>
      <c r="K740" t="n">
        <v>0</v>
      </c>
      <c r="L740" t="n">
        <v>0</v>
      </c>
      <c r="M740" t="n">
        <v>0</v>
      </c>
      <c r="N740" t="n">
        <v>0</v>
      </c>
      <c r="O740" t="n">
        <v>0</v>
      </c>
      <c r="P740" t="n">
        <v>0</v>
      </c>
      <c r="Q740" t="n">
        <v>0</v>
      </c>
      <c r="R740" s="2" t="inlineStr"/>
    </row>
    <row r="741" ht="15" customHeight="1">
      <c r="A741" t="inlineStr">
        <is>
          <t>A 45846-2023</t>
        </is>
      </c>
      <c r="B741" s="1" t="n">
        <v>45195.58452546296</v>
      </c>
      <c r="C741" s="1" t="n">
        <v>46163</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3868-2026</t>
        </is>
      </c>
      <c r="B742" s="1" t="n">
        <v>46043.6360300926</v>
      </c>
      <c r="C742" s="1" t="n">
        <v>46163</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16020-2023</t>
        </is>
      </c>
      <c r="B743" s="1" t="n">
        <v>45026.82216435186</v>
      </c>
      <c r="C743" s="1" t="n">
        <v>46163</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3869-2026</t>
        </is>
      </c>
      <c r="B744" s="1" t="n">
        <v>46043.63940972222</v>
      </c>
      <c r="C744" s="1" t="n">
        <v>46163</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61820-2023</t>
        </is>
      </c>
      <c r="B745" s="1" t="n">
        <v>45266.32614583334</v>
      </c>
      <c r="C745" s="1" t="n">
        <v>46163</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3965-2026</t>
        </is>
      </c>
      <c r="B746" s="1" t="n">
        <v>46044.34563657407</v>
      </c>
      <c r="C746" s="1" t="n">
        <v>46163</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45560-2021</t>
        </is>
      </c>
      <c r="B747" s="1" t="n">
        <v>44440</v>
      </c>
      <c r="C747" s="1" t="n">
        <v>46163</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40256-2024</t>
        </is>
      </c>
      <c r="B748" s="1" t="n">
        <v>45554.62944444444</v>
      </c>
      <c r="C748" s="1" t="n">
        <v>46163</v>
      </c>
      <c r="D748" t="inlineStr">
        <is>
          <t>KALMAR LÄN</t>
        </is>
      </c>
      <c r="E748" t="inlineStr">
        <is>
          <t>VIMMERBY</t>
        </is>
      </c>
      <c r="G748" t="n">
        <v>0.9</v>
      </c>
      <c r="H748" t="n">
        <v>0</v>
      </c>
      <c r="I748" t="n">
        <v>0</v>
      </c>
      <c r="J748" t="n">
        <v>0</v>
      </c>
      <c r="K748" t="n">
        <v>0</v>
      </c>
      <c r="L748" t="n">
        <v>0</v>
      </c>
      <c r="M748" t="n">
        <v>0</v>
      </c>
      <c r="N748" t="n">
        <v>0</v>
      </c>
      <c r="O748" t="n">
        <v>0</v>
      </c>
      <c r="P748" t="n">
        <v>0</v>
      </c>
      <c r="Q748" t="n">
        <v>0</v>
      </c>
      <c r="R748" s="2" t="inlineStr"/>
    </row>
    <row r="749" ht="15" customHeight="1">
      <c r="A749" t="inlineStr">
        <is>
          <t>A 58104-2024</t>
        </is>
      </c>
      <c r="B749" s="1" t="n">
        <v>45632.37459490741</v>
      </c>
      <c r="C749" s="1" t="n">
        <v>46163</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36259-2022</t>
        </is>
      </c>
      <c r="B750" s="1" t="n">
        <v>44803.59118055556</v>
      </c>
      <c r="C750" s="1" t="n">
        <v>46163</v>
      </c>
      <c r="D750" t="inlineStr">
        <is>
          <t>KALMAR LÄN</t>
        </is>
      </c>
      <c r="E750" t="inlineStr">
        <is>
          <t>VIMMERBY</t>
        </is>
      </c>
      <c r="G750" t="n">
        <v>3.9</v>
      </c>
      <c r="H750" t="n">
        <v>0</v>
      </c>
      <c r="I750" t="n">
        <v>0</v>
      </c>
      <c r="J750" t="n">
        <v>0</v>
      </c>
      <c r="K750" t="n">
        <v>0</v>
      </c>
      <c r="L750" t="n">
        <v>0</v>
      </c>
      <c r="M750" t="n">
        <v>0</v>
      </c>
      <c r="N750" t="n">
        <v>0</v>
      </c>
      <c r="O750" t="n">
        <v>0</v>
      </c>
      <c r="P750" t="n">
        <v>0</v>
      </c>
      <c r="Q750" t="n">
        <v>0</v>
      </c>
      <c r="R750" s="2" t="inlineStr"/>
    </row>
    <row r="751" ht="15" customHeight="1">
      <c r="A751" t="inlineStr">
        <is>
          <t>A 43034-2024</t>
        </is>
      </c>
      <c r="B751" s="1" t="n">
        <v>45567.42011574074</v>
      </c>
      <c r="C751" s="1" t="n">
        <v>46163</v>
      </c>
      <c r="D751" t="inlineStr">
        <is>
          <t>KALMAR LÄN</t>
        </is>
      </c>
      <c r="E751" t="inlineStr">
        <is>
          <t>VIMMERBY</t>
        </is>
      </c>
      <c r="G751" t="n">
        <v>1.8</v>
      </c>
      <c r="H751" t="n">
        <v>0</v>
      </c>
      <c r="I751" t="n">
        <v>0</v>
      </c>
      <c r="J751" t="n">
        <v>0</v>
      </c>
      <c r="K751" t="n">
        <v>0</v>
      </c>
      <c r="L751" t="n">
        <v>0</v>
      </c>
      <c r="M751" t="n">
        <v>0</v>
      </c>
      <c r="N751" t="n">
        <v>0</v>
      </c>
      <c r="O751" t="n">
        <v>0</v>
      </c>
      <c r="P751" t="n">
        <v>0</v>
      </c>
      <c r="Q751" t="n">
        <v>0</v>
      </c>
      <c r="R751" s="2" t="inlineStr"/>
    </row>
    <row r="752" ht="15" customHeight="1">
      <c r="A752" t="inlineStr">
        <is>
          <t>A 3902-2022</t>
        </is>
      </c>
      <c r="B752" s="1" t="n">
        <v>44587.48847222222</v>
      </c>
      <c r="C752" s="1" t="n">
        <v>46163</v>
      </c>
      <c r="D752" t="inlineStr">
        <is>
          <t>KALMAR LÄN</t>
        </is>
      </c>
      <c r="E752" t="inlineStr">
        <is>
          <t>VIMMERBY</t>
        </is>
      </c>
      <c r="G752" t="n">
        <v>2.6</v>
      </c>
      <c r="H752" t="n">
        <v>0</v>
      </c>
      <c r="I752" t="n">
        <v>0</v>
      </c>
      <c r="J752" t="n">
        <v>0</v>
      </c>
      <c r="K752" t="n">
        <v>0</v>
      </c>
      <c r="L752" t="n">
        <v>0</v>
      </c>
      <c r="M752" t="n">
        <v>0</v>
      </c>
      <c r="N752" t="n">
        <v>0</v>
      </c>
      <c r="O752" t="n">
        <v>0</v>
      </c>
      <c r="P752" t="n">
        <v>0</v>
      </c>
      <c r="Q752" t="n">
        <v>0</v>
      </c>
      <c r="R752" s="2" t="inlineStr"/>
    </row>
    <row r="753" ht="15" customHeight="1">
      <c r="A753" t="inlineStr">
        <is>
          <t>A 30070-2023</t>
        </is>
      </c>
      <c r="B753" s="1" t="n">
        <v>45110.4275</v>
      </c>
      <c r="C753" s="1" t="n">
        <v>46163</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31209-2024</t>
        </is>
      </c>
      <c r="B754" s="1" t="n">
        <v>45503.5658912037</v>
      </c>
      <c r="C754" s="1" t="n">
        <v>46163</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4527-2023</t>
        </is>
      </c>
      <c r="B755" s="1" t="n">
        <v>44956</v>
      </c>
      <c r="C755" s="1" t="n">
        <v>46163</v>
      </c>
      <c r="D755" t="inlineStr">
        <is>
          <t>KALMAR LÄN</t>
        </is>
      </c>
      <c r="E755" t="inlineStr">
        <is>
          <t>VIMMERBY</t>
        </is>
      </c>
      <c r="F755" t="inlineStr">
        <is>
          <t>Kommuner</t>
        </is>
      </c>
      <c r="G755" t="n">
        <v>8.5</v>
      </c>
      <c r="H755" t="n">
        <v>0</v>
      </c>
      <c r="I755" t="n">
        <v>0</v>
      </c>
      <c r="J755" t="n">
        <v>0</v>
      </c>
      <c r="K755" t="n">
        <v>0</v>
      </c>
      <c r="L755" t="n">
        <v>0</v>
      </c>
      <c r="M755" t="n">
        <v>0</v>
      </c>
      <c r="N755" t="n">
        <v>0</v>
      </c>
      <c r="O755" t="n">
        <v>0</v>
      </c>
      <c r="P755" t="n">
        <v>0</v>
      </c>
      <c r="Q755" t="n">
        <v>0</v>
      </c>
      <c r="R755" s="2" t="inlineStr"/>
    </row>
    <row r="756" ht="15" customHeight="1">
      <c r="A756" t="inlineStr">
        <is>
          <t>A 5864-2022</t>
        </is>
      </c>
      <c r="B756" s="1" t="n">
        <v>44596</v>
      </c>
      <c r="C756" s="1" t="n">
        <v>46163</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30912-2023</t>
        </is>
      </c>
      <c r="B757" s="1" t="n">
        <v>45113.41633101852</v>
      </c>
      <c r="C757" s="1" t="n">
        <v>46163</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1146-2025</t>
        </is>
      </c>
      <c r="B758" s="1" t="n">
        <v>45666</v>
      </c>
      <c r="C758" s="1" t="n">
        <v>46163</v>
      </c>
      <c r="D758" t="inlineStr">
        <is>
          <t>KALMAR LÄN</t>
        </is>
      </c>
      <c r="E758" t="inlineStr">
        <is>
          <t>VIMMERBY</t>
        </is>
      </c>
      <c r="G758" t="n">
        <v>4</v>
      </c>
      <c r="H758" t="n">
        <v>0</v>
      </c>
      <c r="I758" t="n">
        <v>0</v>
      </c>
      <c r="J758" t="n">
        <v>0</v>
      </c>
      <c r="K758" t="n">
        <v>0</v>
      </c>
      <c r="L758" t="n">
        <v>0</v>
      </c>
      <c r="M758" t="n">
        <v>0</v>
      </c>
      <c r="N758" t="n">
        <v>0</v>
      </c>
      <c r="O758" t="n">
        <v>0</v>
      </c>
      <c r="P758" t="n">
        <v>0</v>
      </c>
      <c r="Q758" t="n">
        <v>0</v>
      </c>
      <c r="R758" s="2" t="inlineStr"/>
    </row>
    <row r="759" ht="15" customHeight="1">
      <c r="A759" t="inlineStr">
        <is>
          <t>A 62023-2022</t>
        </is>
      </c>
      <c r="B759" s="1" t="n">
        <v>44918.50106481482</v>
      </c>
      <c r="C759" s="1" t="n">
        <v>46163</v>
      </c>
      <c r="D759" t="inlineStr">
        <is>
          <t>KALMAR LÄN</t>
        </is>
      </c>
      <c r="E759" t="inlineStr">
        <is>
          <t>VIMMERBY</t>
        </is>
      </c>
      <c r="G759" t="n">
        <v>0.3</v>
      </c>
      <c r="H759" t="n">
        <v>0</v>
      </c>
      <c r="I759" t="n">
        <v>0</v>
      </c>
      <c r="J759" t="n">
        <v>0</v>
      </c>
      <c r="K759" t="n">
        <v>0</v>
      </c>
      <c r="L759" t="n">
        <v>0</v>
      </c>
      <c r="M759" t="n">
        <v>0</v>
      </c>
      <c r="N759" t="n">
        <v>0</v>
      </c>
      <c r="O759" t="n">
        <v>0</v>
      </c>
      <c r="P759" t="n">
        <v>0</v>
      </c>
      <c r="Q759" t="n">
        <v>0</v>
      </c>
      <c r="R759" s="2" t="inlineStr"/>
    </row>
    <row r="760" ht="15" customHeight="1">
      <c r="A760" t="inlineStr">
        <is>
          <t>A 16119-2023</t>
        </is>
      </c>
      <c r="B760" s="1" t="n">
        <v>45027.59450231482</v>
      </c>
      <c r="C760" s="1" t="n">
        <v>46163</v>
      </c>
      <c r="D760" t="inlineStr">
        <is>
          <t>KALMAR LÄN</t>
        </is>
      </c>
      <c r="E760" t="inlineStr">
        <is>
          <t>VIMMERBY</t>
        </is>
      </c>
      <c r="F760" t="inlineStr">
        <is>
          <t>Kommuner</t>
        </is>
      </c>
      <c r="G760" t="n">
        <v>4.4</v>
      </c>
      <c r="H760" t="n">
        <v>0</v>
      </c>
      <c r="I760" t="n">
        <v>0</v>
      </c>
      <c r="J760" t="n">
        <v>0</v>
      </c>
      <c r="K760" t="n">
        <v>0</v>
      </c>
      <c r="L760" t="n">
        <v>0</v>
      </c>
      <c r="M760" t="n">
        <v>0</v>
      </c>
      <c r="N760" t="n">
        <v>0</v>
      </c>
      <c r="O760" t="n">
        <v>0</v>
      </c>
      <c r="P760" t="n">
        <v>0</v>
      </c>
      <c r="Q760" t="n">
        <v>0</v>
      </c>
      <c r="R760" s="2" t="inlineStr"/>
    </row>
    <row r="761" ht="15" customHeight="1">
      <c r="A761" t="inlineStr">
        <is>
          <t>A 52327-2023</t>
        </is>
      </c>
      <c r="B761" s="1" t="n">
        <v>45224.6515162037</v>
      </c>
      <c r="C761" s="1" t="n">
        <v>46163</v>
      </c>
      <c r="D761" t="inlineStr">
        <is>
          <t>KALMAR LÄN</t>
        </is>
      </c>
      <c r="E761" t="inlineStr">
        <is>
          <t>VIMMERBY</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12075-2024</t>
        </is>
      </c>
      <c r="B762" s="1" t="n">
        <v>45377</v>
      </c>
      <c r="C762" s="1" t="n">
        <v>46163</v>
      </c>
      <c r="D762" t="inlineStr">
        <is>
          <t>KALMAR LÄN</t>
        </is>
      </c>
      <c r="E762" t="inlineStr">
        <is>
          <t>VIMMERBY</t>
        </is>
      </c>
      <c r="G762" t="n">
        <v>3.7</v>
      </c>
      <c r="H762" t="n">
        <v>0</v>
      </c>
      <c r="I762" t="n">
        <v>0</v>
      </c>
      <c r="J762" t="n">
        <v>0</v>
      </c>
      <c r="K762" t="n">
        <v>0</v>
      </c>
      <c r="L762" t="n">
        <v>0</v>
      </c>
      <c r="M762" t="n">
        <v>0</v>
      </c>
      <c r="N762" t="n">
        <v>0</v>
      </c>
      <c r="O762" t="n">
        <v>0</v>
      </c>
      <c r="P762" t="n">
        <v>0</v>
      </c>
      <c r="Q762" t="n">
        <v>0</v>
      </c>
      <c r="R762" s="2" t="inlineStr"/>
    </row>
    <row r="763" ht="15" customHeight="1">
      <c r="A763" t="inlineStr">
        <is>
          <t>A 29348-2023</t>
        </is>
      </c>
      <c r="B763" s="1" t="n">
        <v>45106.25025462963</v>
      </c>
      <c r="C763" s="1" t="n">
        <v>46163</v>
      </c>
      <c r="D763" t="inlineStr">
        <is>
          <t>KALMAR LÄN</t>
        </is>
      </c>
      <c r="E763" t="inlineStr">
        <is>
          <t>VIMMERBY</t>
        </is>
      </c>
      <c r="G763" t="n">
        <v>2.4</v>
      </c>
      <c r="H763" t="n">
        <v>0</v>
      </c>
      <c r="I763" t="n">
        <v>0</v>
      </c>
      <c r="J763" t="n">
        <v>0</v>
      </c>
      <c r="K763" t="n">
        <v>0</v>
      </c>
      <c r="L763" t="n">
        <v>0</v>
      </c>
      <c r="M763" t="n">
        <v>0</v>
      </c>
      <c r="N763" t="n">
        <v>0</v>
      </c>
      <c r="O763" t="n">
        <v>0</v>
      </c>
      <c r="P763" t="n">
        <v>0</v>
      </c>
      <c r="Q763" t="n">
        <v>0</v>
      </c>
      <c r="R763" s="2" t="inlineStr"/>
    </row>
    <row r="764" ht="15" customHeight="1">
      <c r="A764" t="inlineStr">
        <is>
          <t>A 31340-2023</t>
        </is>
      </c>
      <c r="B764" s="1" t="n">
        <v>45114.47895833333</v>
      </c>
      <c r="C764" s="1" t="n">
        <v>46163</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6817-2026</t>
        </is>
      </c>
      <c r="B765" s="1" t="n">
        <v>46057.38412037037</v>
      </c>
      <c r="C765" s="1" t="n">
        <v>46163</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7758-2024</t>
        </is>
      </c>
      <c r="B766" s="1" t="n">
        <v>45349.54434027777</v>
      </c>
      <c r="C766" s="1" t="n">
        <v>46163</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5701-2024</t>
        </is>
      </c>
      <c r="B767" s="1" t="n">
        <v>45334.78826388889</v>
      </c>
      <c r="C767" s="1" t="n">
        <v>46163</v>
      </c>
      <c r="D767" t="inlineStr">
        <is>
          <t>KALMAR LÄN</t>
        </is>
      </c>
      <c r="E767" t="inlineStr">
        <is>
          <t>VIMMERBY</t>
        </is>
      </c>
      <c r="G767" t="n">
        <v>2.3</v>
      </c>
      <c r="H767" t="n">
        <v>0</v>
      </c>
      <c r="I767" t="n">
        <v>0</v>
      </c>
      <c r="J767" t="n">
        <v>0</v>
      </c>
      <c r="K767" t="n">
        <v>0</v>
      </c>
      <c r="L767" t="n">
        <v>0</v>
      </c>
      <c r="M767" t="n">
        <v>0</v>
      </c>
      <c r="N767" t="n">
        <v>0</v>
      </c>
      <c r="O767" t="n">
        <v>0</v>
      </c>
      <c r="P767" t="n">
        <v>0</v>
      </c>
      <c r="Q767" t="n">
        <v>0</v>
      </c>
      <c r="R767" s="2" t="inlineStr"/>
    </row>
    <row r="768" ht="15" customHeight="1">
      <c r="A768" t="inlineStr">
        <is>
          <t>A 31405-2023</t>
        </is>
      </c>
      <c r="B768" s="1" t="n">
        <v>45114.58148148148</v>
      </c>
      <c r="C768" s="1" t="n">
        <v>46163</v>
      </c>
      <c r="D768" t="inlineStr">
        <is>
          <t>KALMAR LÄN</t>
        </is>
      </c>
      <c r="E768" t="inlineStr">
        <is>
          <t>VIMMERBY</t>
        </is>
      </c>
      <c r="G768" t="n">
        <v>2.6</v>
      </c>
      <c r="H768" t="n">
        <v>0</v>
      </c>
      <c r="I768" t="n">
        <v>0</v>
      </c>
      <c r="J768" t="n">
        <v>0</v>
      </c>
      <c r="K768" t="n">
        <v>0</v>
      </c>
      <c r="L768" t="n">
        <v>0</v>
      </c>
      <c r="M768" t="n">
        <v>0</v>
      </c>
      <c r="N768" t="n">
        <v>0</v>
      </c>
      <c r="O768" t="n">
        <v>0</v>
      </c>
      <c r="P768" t="n">
        <v>0</v>
      </c>
      <c r="Q768" t="n">
        <v>0</v>
      </c>
      <c r="R768" s="2" t="inlineStr"/>
    </row>
    <row r="769" ht="15" customHeight="1">
      <c r="A769" t="inlineStr">
        <is>
          <t>A 6355-2022</t>
        </is>
      </c>
      <c r="B769" s="1" t="n">
        <v>44600</v>
      </c>
      <c r="C769" s="1" t="n">
        <v>46163</v>
      </c>
      <c r="D769" t="inlineStr">
        <is>
          <t>KALMAR LÄN</t>
        </is>
      </c>
      <c r="E769" t="inlineStr">
        <is>
          <t>VIMMERBY</t>
        </is>
      </c>
      <c r="G769" t="n">
        <v>4.9</v>
      </c>
      <c r="H769" t="n">
        <v>0</v>
      </c>
      <c r="I769" t="n">
        <v>0</v>
      </c>
      <c r="J769" t="n">
        <v>0</v>
      </c>
      <c r="K769" t="n">
        <v>0</v>
      </c>
      <c r="L769" t="n">
        <v>0</v>
      </c>
      <c r="M769" t="n">
        <v>0</v>
      </c>
      <c r="N769" t="n">
        <v>0</v>
      </c>
      <c r="O769" t="n">
        <v>0</v>
      </c>
      <c r="P769" t="n">
        <v>0</v>
      </c>
      <c r="Q769" t="n">
        <v>0</v>
      </c>
      <c r="R769" s="2" t="inlineStr"/>
    </row>
    <row r="770" ht="15" customHeight="1">
      <c r="A770" t="inlineStr">
        <is>
          <t>A 46225-2024</t>
        </is>
      </c>
      <c r="B770" s="1" t="n">
        <v>45581.57333333333</v>
      </c>
      <c r="C770" s="1" t="n">
        <v>46163</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9418-2024</t>
        </is>
      </c>
      <c r="B771" s="1" t="n">
        <v>45359.45038194444</v>
      </c>
      <c r="C771" s="1" t="n">
        <v>46163</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57091-2022</t>
        </is>
      </c>
      <c r="B772" s="1" t="n">
        <v>44895.46524305556</v>
      </c>
      <c r="C772" s="1" t="n">
        <v>46163</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3816-2022</t>
        </is>
      </c>
      <c r="B773" s="1" t="n">
        <v>44587</v>
      </c>
      <c r="C773" s="1" t="n">
        <v>46163</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43606-2024</t>
        </is>
      </c>
      <c r="B774" s="1" t="n">
        <v>45569.45017361111</v>
      </c>
      <c r="C774" s="1" t="n">
        <v>46163</v>
      </c>
      <c r="D774" t="inlineStr">
        <is>
          <t>KALMAR LÄN</t>
        </is>
      </c>
      <c r="E774" t="inlineStr">
        <is>
          <t>VIMMERBY</t>
        </is>
      </c>
      <c r="G774" t="n">
        <v>1</v>
      </c>
      <c r="H774" t="n">
        <v>0</v>
      </c>
      <c r="I774" t="n">
        <v>0</v>
      </c>
      <c r="J774" t="n">
        <v>0</v>
      </c>
      <c r="K774" t="n">
        <v>0</v>
      </c>
      <c r="L774" t="n">
        <v>0</v>
      </c>
      <c r="M774" t="n">
        <v>0</v>
      </c>
      <c r="N774" t="n">
        <v>0</v>
      </c>
      <c r="O774" t="n">
        <v>0</v>
      </c>
      <c r="P774" t="n">
        <v>0</v>
      </c>
      <c r="Q774" t="n">
        <v>0</v>
      </c>
      <c r="R774" s="2" t="inlineStr"/>
    </row>
    <row r="775" ht="15" customHeight="1">
      <c r="A775" t="inlineStr">
        <is>
          <t>A 43617-2024</t>
        </is>
      </c>
      <c r="B775" s="1" t="n">
        <v>45569.47494212963</v>
      </c>
      <c r="C775" s="1" t="n">
        <v>46163</v>
      </c>
      <c r="D775" t="inlineStr">
        <is>
          <t>KALMAR LÄN</t>
        </is>
      </c>
      <c r="E775" t="inlineStr">
        <is>
          <t>VIMMERBY</t>
        </is>
      </c>
      <c r="G775" t="n">
        <v>2.7</v>
      </c>
      <c r="H775" t="n">
        <v>0</v>
      </c>
      <c r="I775" t="n">
        <v>0</v>
      </c>
      <c r="J775" t="n">
        <v>0</v>
      </c>
      <c r="K775" t="n">
        <v>0</v>
      </c>
      <c r="L775" t="n">
        <v>0</v>
      </c>
      <c r="M775" t="n">
        <v>0</v>
      </c>
      <c r="N775" t="n">
        <v>0</v>
      </c>
      <c r="O775" t="n">
        <v>0</v>
      </c>
      <c r="P775" t="n">
        <v>0</v>
      </c>
      <c r="Q775" t="n">
        <v>0</v>
      </c>
      <c r="R775" s="2" t="inlineStr"/>
    </row>
    <row r="776" ht="15" customHeight="1">
      <c r="A776" t="inlineStr">
        <is>
          <t>A 47859-2024</t>
        </is>
      </c>
      <c r="B776" s="1" t="n">
        <v>45588.67070601852</v>
      </c>
      <c r="C776" s="1" t="n">
        <v>46163</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8540-2024</t>
        </is>
      </c>
      <c r="B777" s="1" t="n">
        <v>45355.54138888889</v>
      </c>
      <c r="C777" s="1" t="n">
        <v>46163</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3331-2023</t>
        </is>
      </c>
      <c r="B778" s="1" t="n">
        <v>44949</v>
      </c>
      <c r="C778" s="1" t="n">
        <v>46163</v>
      </c>
      <c r="D778" t="inlineStr">
        <is>
          <t>KALMAR LÄN</t>
        </is>
      </c>
      <c r="E778" t="inlineStr">
        <is>
          <t>VIMMERBY</t>
        </is>
      </c>
      <c r="G778" t="n">
        <v>6.2</v>
      </c>
      <c r="H778" t="n">
        <v>0</v>
      </c>
      <c r="I778" t="n">
        <v>0</v>
      </c>
      <c r="J778" t="n">
        <v>0</v>
      </c>
      <c r="K778" t="n">
        <v>0</v>
      </c>
      <c r="L778" t="n">
        <v>0</v>
      </c>
      <c r="M778" t="n">
        <v>0</v>
      </c>
      <c r="N778" t="n">
        <v>0</v>
      </c>
      <c r="O778" t="n">
        <v>0</v>
      </c>
      <c r="P778" t="n">
        <v>0</v>
      </c>
      <c r="Q778" t="n">
        <v>0</v>
      </c>
      <c r="R778" s="2" t="inlineStr"/>
    </row>
    <row r="779" ht="15" customHeight="1">
      <c r="A779" t="inlineStr">
        <is>
          <t>A 598-2025</t>
        </is>
      </c>
      <c r="B779" s="1" t="n">
        <v>45660</v>
      </c>
      <c r="C779" s="1" t="n">
        <v>46163</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25799-2023</t>
        </is>
      </c>
      <c r="B780" s="1" t="n">
        <v>45090</v>
      </c>
      <c r="C780" s="1" t="n">
        <v>46163</v>
      </c>
      <c r="D780" t="inlineStr">
        <is>
          <t>KALMAR LÄN</t>
        </is>
      </c>
      <c r="E780" t="inlineStr">
        <is>
          <t>VIMMERBY</t>
        </is>
      </c>
      <c r="G780" t="n">
        <v>7.7</v>
      </c>
      <c r="H780" t="n">
        <v>0</v>
      </c>
      <c r="I780" t="n">
        <v>0</v>
      </c>
      <c r="J780" t="n">
        <v>0</v>
      </c>
      <c r="K780" t="n">
        <v>0</v>
      </c>
      <c r="L780" t="n">
        <v>0</v>
      </c>
      <c r="M780" t="n">
        <v>0</v>
      </c>
      <c r="N780" t="n">
        <v>0</v>
      </c>
      <c r="O780" t="n">
        <v>0</v>
      </c>
      <c r="P780" t="n">
        <v>0</v>
      </c>
      <c r="Q780" t="n">
        <v>0</v>
      </c>
      <c r="R780" s="2" t="inlineStr"/>
    </row>
    <row r="781" ht="15" customHeight="1">
      <c r="A781" t="inlineStr">
        <is>
          <t>A 53083-2021</t>
        </is>
      </c>
      <c r="B781" s="1" t="n">
        <v>44467.83386574074</v>
      </c>
      <c r="C781" s="1" t="n">
        <v>46163</v>
      </c>
      <c r="D781" t="inlineStr">
        <is>
          <t>KALMAR LÄN</t>
        </is>
      </c>
      <c r="E781" t="inlineStr">
        <is>
          <t>VIMMERBY</t>
        </is>
      </c>
      <c r="G781" t="n">
        <v>6.8</v>
      </c>
      <c r="H781" t="n">
        <v>0</v>
      </c>
      <c r="I781" t="n">
        <v>0</v>
      </c>
      <c r="J781" t="n">
        <v>0</v>
      </c>
      <c r="K781" t="n">
        <v>0</v>
      </c>
      <c r="L781" t="n">
        <v>0</v>
      </c>
      <c r="M781" t="n">
        <v>0</v>
      </c>
      <c r="N781" t="n">
        <v>0</v>
      </c>
      <c r="O781" t="n">
        <v>0</v>
      </c>
      <c r="P781" t="n">
        <v>0</v>
      </c>
      <c r="Q781" t="n">
        <v>0</v>
      </c>
      <c r="R781" s="2" t="inlineStr"/>
    </row>
    <row r="782" ht="15" customHeight="1">
      <c r="A782" t="inlineStr">
        <is>
          <t>A 24655-2021</t>
        </is>
      </c>
      <c r="B782" s="1" t="n">
        <v>44340</v>
      </c>
      <c r="C782" s="1" t="n">
        <v>46163</v>
      </c>
      <c r="D782" t="inlineStr">
        <is>
          <t>KALMAR LÄN</t>
        </is>
      </c>
      <c r="E782" t="inlineStr">
        <is>
          <t>VIMMERBY</t>
        </is>
      </c>
      <c r="G782" t="n">
        <v>14.9</v>
      </c>
      <c r="H782" t="n">
        <v>0</v>
      </c>
      <c r="I782" t="n">
        <v>0</v>
      </c>
      <c r="J782" t="n">
        <v>0</v>
      </c>
      <c r="K782" t="n">
        <v>0</v>
      </c>
      <c r="L782" t="n">
        <v>0</v>
      </c>
      <c r="M782" t="n">
        <v>0</v>
      </c>
      <c r="N782" t="n">
        <v>0</v>
      </c>
      <c r="O782" t="n">
        <v>0</v>
      </c>
      <c r="P782" t="n">
        <v>0</v>
      </c>
      <c r="Q782" t="n">
        <v>0</v>
      </c>
      <c r="R782" s="2" t="inlineStr"/>
    </row>
    <row r="783" ht="15" customHeight="1">
      <c r="A783" t="inlineStr">
        <is>
          <t>A 33838-2022</t>
        </is>
      </c>
      <c r="B783" s="1" t="n">
        <v>44790.49040509259</v>
      </c>
      <c r="C783" s="1" t="n">
        <v>46163</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32835-2022</t>
        </is>
      </c>
      <c r="B784" s="1" t="n">
        <v>44784.42528935185</v>
      </c>
      <c r="C784" s="1" t="n">
        <v>46163</v>
      </c>
      <c r="D784" t="inlineStr">
        <is>
          <t>KALMAR LÄN</t>
        </is>
      </c>
      <c r="E784" t="inlineStr">
        <is>
          <t>VIMMERBY</t>
        </is>
      </c>
      <c r="G784" t="n">
        <v>1.6</v>
      </c>
      <c r="H784" t="n">
        <v>0</v>
      </c>
      <c r="I784" t="n">
        <v>0</v>
      </c>
      <c r="J784" t="n">
        <v>0</v>
      </c>
      <c r="K784" t="n">
        <v>0</v>
      </c>
      <c r="L784" t="n">
        <v>0</v>
      </c>
      <c r="M784" t="n">
        <v>0</v>
      </c>
      <c r="N784" t="n">
        <v>0</v>
      </c>
      <c r="O784" t="n">
        <v>0</v>
      </c>
      <c r="P784" t="n">
        <v>0</v>
      </c>
      <c r="Q784" t="n">
        <v>0</v>
      </c>
      <c r="R784" s="2" t="inlineStr"/>
    </row>
    <row r="785" ht="15" customHeight="1">
      <c r="A785" t="inlineStr">
        <is>
          <t>A 1081-2023</t>
        </is>
      </c>
      <c r="B785" s="1" t="n">
        <v>44935</v>
      </c>
      <c r="C785" s="1" t="n">
        <v>46163</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47063-2022</t>
        </is>
      </c>
      <c r="B786" s="1" t="n">
        <v>44852</v>
      </c>
      <c r="C786" s="1" t="n">
        <v>46163</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28403-2023</t>
        </is>
      </c>
      <c r="B787" s="1" t="n">
        <v>45100.85270833333</v>
      </c>
      <c r="C787" s="1" t="n">
        <v>46163</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33103-2024</t>
        </is>
      </c>
      <c r="B788" s="1" t="n">
        <v>45517.8162037037</v>
      </c>
      <c r="C788" s="1" t="n">
        <v>46163</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2260-2022</t>
        </is>
      </c>
      <c r="B789" s="1" t="n">
        <v>44578.62943287037</v>
      </c>
      <c r="C789" s="1" t="n">
        <v>46163</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11661-2023</t>
        </is>
      </c>
      <c r="B790" s="1" t="n">
        <v>44994.46908564815</v>
      </c>
      <c r="C790" s="1" t="n">
        <v>46163</v>
      </c>
      <c r="D790" t="inlineStr">
        <is>
          <t>KALMAR LÄN</t>
        </is>
      </c>
      <c r="E790" t="inlineStr">
        <is>
          <t>VIMMERBY</t>
        </is>
      </c>
      <c r="G790" t="n">
        <v>2.7</v>
      </c>
      <c r="H790" t="n">
        <v>0</v>
      </c>
      <c r="I790" t="n">
        <v>0</v>
      </c>
      <c r="J790" t="n">
        <v>0</v>
      </c>
      <c r="K790" t="n">
        <v>0</v>
      </c>
      <c r="L790" t="n">
        <v>0</v>
      </c>
      <c r="M790" t="n">
        <v>0</v>
      </c>
      <c r="N790" t="n">
        <v>0</v>
      </c>
      <c r="O790" t="n">
        <v>0</v>
      </c>
      <c r="P790" t="n">
        <v>0</v>
      </c>
      <c r="Q790" t="n">
        <v>0</v>
      </c>
      <c r="R790" s="2" t="inlineStr"/>
    </row>
    <row r="791" ht="15" customHeight="1">
      <c r="A791" t="inlineStr">
        <is>
          <t>A 58046-2022</t>
        </is>
      </c>
      <c r="B791" s="1" t="n">
        <v>44900.57393518519</v>
      </c>
      <c r="C791" s="1" t="n">
        <v>46163</v>
      </c>
      <c r="D791" t="inlineStr">
        <is>
          <t>KALMAR LÄN</t>
        </is>
      </c>
      <c r="E791" t="inlineStr">
        <is>
          <t>VIMMERBY</t>
        </is>
      </c>
      <c r="G791" t="n">
        <v>2.5</v>
      </c>
      <c r="H791" t="n">
        <v>0</v>
      </c>
      <c r="I791" t="n">
        <v>0</v>
      </c>
      <c r="J791" t="n">
        <v>0</v>
      </c>
      <c r="K791" t="n">
        <v>0</v>
      </c>
      <c r="L791" t="n">
        <v>0</v>
      </c>
      <c r="M791" t="n">
        <v>0</v>
      </c>
      <c r="N791" t="n">
        <v>0</v>
      </c>
      <c r="O791" t="n">
        <v>0</v>
      </c>
      <c r="P791" t="n">
        <v>0</v>
      </c>
      <c r="Q791" t="n">
        <v>0</v>
      </c>
      <c r="R791" s="2" t="inlineStr"/>
    </row>
    <row r="792" ht="15" customHeight="1">
      <c r="A792" t="inlineStr">
        <is>
          <t>A 45528-2021</t>
        </is>
      </c>
      <c r="B792" s="1" t="n">
        <v>44440.60415509259</v>
      </c>
      <c r="C792" s="1" t="n">
        <v>46163</v>
      </c>
      <c r="D792" t="inlineStr">
        <is>
          <t>KALMAR LÄN</t>
        </is>
      </c>
      <c r="E792" t="inlineStr">
        <is>
          <t>VIMMERBY</t>
        </is>
      </c>
      <c r="G792" t="n">
        <v>2.2</v>
      </c>
      <c r="H792" t="n">
        <v>0</v>
      </c>
      <c r="I792" t="n">
        <v>0</v>
      </c>
      <c r="J792" t="n">
        <v>0</v>
      </c>
      <c r="K792" t="n">
        <v>0</v>
      </c>
      <c r="L792" t="n">
        <v>0</v>
      </c>
      <c r="M792" t="n">
        <v>0</v>
      </c>
      <c r="N792" t="n">
        <v>0</v>
      </c>
      <c r="O792" t="n">
        <v>0</v>
      </c>
      <c r="P792" t="n">
        <v>0</v>
      </c>
      <c r="Q792" t="n">
        <v>0</v>
      </c>
      <c r="R792" s="2" t="inlineStr"/>
    </row>
    <row r="793" ht="15" customHeight="1">
      <c r="A793" t="inlineStr">
        <is>
          <t>A 46979-2023</t>
        </is>
      </c>
      <c r="B793" s="1" t="n">
        <v>45201</v>
      </c>
      <c r="C793" s="1" t="n">
        <v>46163</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6574-2023</t>
        </is>
      </c>
      <c r="B794" s="1" t="n">
        <v>44966</v>
      </c>
      <c r="C794" s="1" t="n">
        <v>46163</v>
      </c>
      <c r="D794" t="inlineStr">
        <is>
          <t>KALMAR LÄN</t>
        </is>
      </c>
      <c r="E794" t="inlineStr">
        <is>
          <t>VIMMERBY</t>
        </is>
      </c>
      <c r="G794" t="n">
        <v>2.5</v>
      </c>
      <c r="H794" t="n">
        <v>0</v>
      </c>
      <c r="I794" t="n">
        <v>0</v>
      </c>
      <c r="J794" t="n">
        <v>0</v>
      </c>
      <c r="K794" t="n">
        <v>0</v>
      </c>
      <c r="L794" t="n">
        <v>0</v>
      </c>
      <c r="M794" t="n">
        <v>0</v>
      </c>
      <c r="N794" t="n">
        <v>0</v>
      </c>
      <c r="O794" t="n">
        <v>0</v>
      </c>
      <c r="P794" t="n">
        <v>0</v>
      </c>
      <c r="Q794" t="n">
        <v>0</v>
      </c>
      <c r="R794" s="2" t="inlineStr"/>
    </row>
    <row r="795" ht="15" customHeight="1">
      <c r="A795" t="inlineStr">
        <is>
          <t>A 4058-2024</t>
        </is>
      </c>
      <c r="B795" s="1" t="n">
        <v>45323.53744212963</v>
      </c>
      <c r="C795" s="1" t="n">
        <v>46163</v>
      </c>
      <c r="D795" t="inlineStr">
        <is>
          <t>KALMAR LÄN</t>
        </is>
      </c>
      <c r="E795" t="inlineStr">
        <is>
          <t>VIMMERBY</t>
        </is>
      </c>
      <c r="G795" t="n">
        <v>6.5</v>
      </c>
      <c r="H795" t="n">
        <v>0</v>
      </c>
      <c r="I795" t="n">
        <v>0</v>
      </c>
      <c r="J795" t="n">
        <v>0</v>
      </c>
      <c r="K795" t="n">
        <v>0</v>
      </c>
      <c r="L795" t="n">
        <v>0</v>
      </c>
      <c r="M795" t="n">
        <v>0</v>
      </c>
      <c r="N795" t="n">
        <v>0</v>
      </c>
      <c r="O795" t="n">
        <v>0</v>
      </c>
      <c r="P795" t="n">
        <v>0</v>
      </c>
      <c r="Q795" t="n">
        <v>0</v>
      </c>
      <c r="R795" s="2" t="inlineStr"/>
    </row>
    <row r="796" ht="15" customHeight="1">
      <c r="A796" t="inlineStr">
        <is>
          <t>A 1978-2024</t>
        </is>
      </c>
      <c r="B796" s="1" t="n">
        <v>45308.59001157407</v>
      </c>
      <c r="C796" s="1" t="n">
        <v>46163</v>
      </c>
      <c r="D796" t="inlineStr">
        <is>
          <t>KALMAR LÄN</t>
        </is>
      </c>
      <c r="E796" t="inlineStr">
        <is>
          <t>VIMMERBY</t>
        </is>
      </c>
      <c r="G796" t="n">
        <v>0.9</v>
      </c>
      <c r="H796" t="n">
        <v>0</v>
      </c>
      <c r="I796" t="n">
        <v>0</v>
      </c>
      <c r="J796" t="n">
        <v>0</v>
      </c>
      <c r="K796" t="n">
        <v>0</v>
      </c>
      <c r="L796" t="n">
        <v>0</v>
      </c>
      <c r="M796" t="n">
        <v>0</v>
      </c>
      <c r="N796" t="n">
        <v>0</v>
      </c>
      <c r="O796" t="n">
        <v>0</v>
      </c>
      <c r="P796" t="n">
        <v>0</v>
      </c>
      <c r="Q796" t="n">
        <v>0</v>
      </c>
      <c r="R796" s="2" t="inlineStr"/>
    </row>
    <row r="797" ht="15" customHeight="1">
      <c r="A797" t="inlineStr">
        <is>
          <t>A 30318-2023</t>
        </is>
      </c>
      <c r="B797" s="1" t="n">
        <v>45111.30824074074</v>
      </c>
      <c r="C797" s="1" t="n">
        <v>46163</v>
      </c>
      <c r="D797" t="inlineStr">
        <is>
          <t>KALMAR LÄN</t>
        </is>
      </c>
      <c r="E797" t="inlineStr">
        <is>
          <t>VIMMERBY</t>
        </is>
      </c>
      <c r="G797" t="n">
        <v>2.6</v>
      </c>
      <c r="H797" t="n">
        <v>0</v>
      </c>
      <c r="I797" t="n">
        <v>0</v>
      </c>
      <c r="J797" t="n">
        <v>0</v>
      </c>
      <c r="K797" t="n">
        <v>0</v>
      </c>
      <c r="L797" t="n">
        <v>0</v>
      </c>
      <c r="M797" t="n">
        <v>0</v>
      </c>
      <c r="N797" t="n">
        <v>0</v>
      </c>
      <c r="O797" t="n">
        <v>0</v>
      </c>
      <c r="P797" t="n">
        <v>0</v>
      </c>
      <c r="Q797" t="n">
        <v>0</v>
      </c>
      <c r="R797" s="2" t="inlineStr"/>
    </row>
    <row r="798" ht="15" customHeight="1">
      <c r="A798" t="inlineStr">
        <is>
          <t>A 25234-2023</t>
        </is>
      </c>
      <c r="B798" s="1" t="n">
        <v>45086.63194444445</v>
      </c>
      <c r="C798" s="1" t="n">
        <v>46163</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46078-2023</t>
        </is>
      </c>
      <c r="B799" s="1" t="n">
        <v>45196</v>
      </c>
      <c r="C799" s="1" t="n">
        <v>46163</v>
      </c>
      <c r="D799" t="inlineStr">
        <is>
          <t>KALMAR LÄN</t>
        </is>
      </c>
      <c r="E799" t="inlineStr">
        <is>
          <t>VIMMERBY</t>
        </is>
      </c>
      <c r="G799" t="n">
        <v>0.7</v>
      </c>
      <c r="H799" t="n">
        <v>0</v>
      </c>
      <c r="I799" t="n">
        <v>0</v>
      </c>
      <c r="J799" t="n">
        <v>0</v>
      </c>
      <c r="K799" t="n">
        <v>0</v>
      </c>
      <c r="L799" t="n">
        <v>0</v>
      </c>
      <c r="M799" t="n">
        <v>0</v>
      </c>
      <c r="N799" t="n">
        <v>0</v>
      </c>
      <c r="O799" t="n">
        <v>0</v>
      </c>
      <c r="P799" t="n">
        <v>0</v>
      </c>
      <c r="Q799" t="n">
        <v>0</v>
      </c>
      <c r="R799" s="2" t="inlineStr"/>
    </row>
    <row r="800" ht="15" customHeight="1">
      <c r="A800" t="inlineStr">
        <is>
          <t>A 3609-2024</t>
        </is>
      </c>
      <c r="B800" s="1" t="n">
        <v>45320.89128472222</v>
      </c>
      <c r="C800" s="1" t="n">
        <v>46163</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10424-2023</t>
        </is>
      </c>
      <c r="B801" s="1" t="n">
        <v>44987.54104166666</v>
      </c>
      <c r="C801" s="1" t="n">
        <v>46163</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49382-2023</t>
        </is>
      </c>
      <c r="B802" s="1" t="n">
        <v>45208</v>
      </c>
      <c r="C802" s="1" t="n">
        <v>46163</v>
      </c>
      <c r="D802" t="inlineStr">
        <is>
          <t>KALMAR LÄN</t>
        </is>
      </c>
      <c r="E802" t="inlineStr">
        <is>
          <t>VIMMERBY</t>
        </is>
      </c>
      <c r="G802" t="n">
        <v>2.2</v>
      </c>
      <c r="H802" t="n">
        <v>0</v>
      </c>
      <c r="I802" t="n">
        <v>0</v>
      </c>
      <c r="J802" t="n">
        <v>0</v>
      </c>
      <c r="K802" t="n">
        <v>0</v>
      </c>
      <c r="L802" t="n">
        <v>0</v>
      </c>
      <c r="M802" t="n">
        <v>0</v>
      </c>
      <c r="N802" t="n">
        <v>0</v>
      </c>
      <c r="O802" t="n">
        <v>0</v>
      </c>
      <c r="P802" t="n">
        <v>0</v>
      </c>
      <c r="Q802" t="n">
        <v>0</v>
      </c>
      <c r="R802" s="2" t="inlineStr"/>
    </row>
    <row r="803" ht="15" customHeight="1">
      <c r="A803" t="inlineStr">
        <is>
          <t>A 12810-2023</t>
        </is>
      </c>
      <c r="B803" s="1" t="n">
        <v>45001.43854166667</v>
      </c>
      <c r="C803" s="1" t="n">
        <v>46163</v>
      </c>
      <c r="D803" t="inlineStr">
        <is>
          <t>KALMAR LÄN</t>
        </is>
      </c>
      <c r="E803" t="inlineStr">
        <is>
          <t>VIMMERBY</t>
        </is>
      </c>
      <c r="G803" t="n">
        <v>1.5</v>
      </c>
      <c r="H803" t="n">
        <v>0</v>
      </c>
      <c r="I803" t="n">
        <v>0</v>
      </c>
      <c r="J803" t="n">
        <v>0</v>
      </c>
      <c r="K803" t="n">
        <v>0</v>
      </c>
      <c r="L803" t="n">
        <v>0</v>
      </c>
      <c r="M803" t="n">
        <v>0</v>
      </c>
      <c r="N803" t="n">
        <v>0</v>
      </c>
      <c r="O803" t="n">
        <v>0</v>
      </c>
      <c r="P803" t="n">
        <v>0</v>
      </c>
      <c r="Q803" t="n">
        <v>0</v>
      </c>
      <c r="R803" s="2" t="inlineStr"/>
    </row>
    <row r="804" ht="15" customHeight="1">
      <c r="A804" t="inlineStr">
        <is>
          <t>A 3425-2022</t>
        </is>
      </c>
      <c r="B804" s="1" t="n">
        <v>44585.51060185185</v>
      </c>
      <c r="C804" s="1" t="n">
        <v>46163</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60675-2023</t>
        </is>
      </c>
      <c r="B805" s="1" t="n">
        <v>45260.4716550926</v>
      </c>
      <c r="C805" s="1" t="n">
        <v>46163</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2536-2023</t>
        </is>
      </c>
      <c r="B806" s="1" t="n">
        <v>44943.62954861111</v>
      </c>
      <c r="C806" s="1" t="n">
        <v>46163</v>
      </c>
      <c r="D806" t="inlineStr">
        <is>
          <t>KALMAR LÄN</t>
        </is>
      </c>
      <c r="E806" t="inlineStr">
        <is>
          <t>VIMMERBY</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11111-2024</t>
        </is>
      </c>
      <c r="B807" s="1" t="n">
        <v>45371.36359953704</v>
      </c>
      <c r="C807" s="1" t="n">
        <v>46163</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1687-2023</t>
        </is>
      </c>
      <c r="B808" s="1" t="n">
        <v>44938</v>
      </c>
      <c r="C808" s="1" t="n">
        <v>46163</v>
      </c>
      <c r="D808" t="inlineStr">
        <is>
          <t>KALMAR LÄN</t>
        </is>
      </c>
      <c r="E808" t="inlineStr">
        <is>
          <t>VIMMERBY</t>
        </is>
      </c>
      <c r="F808" t="inlineStr">
        <is>
          <t>Kommuner</t>
        </is>
      </c>
      <c r="G808" t="n">
        <v>2.5</v>
      </c>
      <c r="H808" t="n">
        <v>0</v>
      </c>
      <c r="I808" t="n">
        <v>0</v>
      </c>
      <c r="J808" t="n">
        <v>0</v>
      </c>
      <c r="K808" t="n">
        <v>0</v>
      </c>
      <c r="L808" t="n">
        <v>0</v>
      </c>
      <c r="M808" t="n">
        <v>0</v>
      </c>
      <c r="N808" t="n">
        <v>0</v>
      </c>
      <c r="O808" t="n">
        <v>0</v>
      </c>
      <c r="P808" t="n">
        <v>0</v>
      </c>
      <c r="Q808" t="n">
        <v>0</v>
      </c>
      <c r="R808" s="2" t="inlineStr"/>
    </row>
    <row r="809" ht="15" customHeight="1">
      <c r="A809" t="inlineStr">
        <is>
          <t>A 3494-2023</t>
        </is>
      </c>
      <c r="B809" s="1" t="n">
        <v>44949</v>
      </c>
      <c r="C809" s="1" t="n">
        <v>46163</v>
      </c>
      <c r="D809" t="inlineStr">
        <is>
          <t>KALMAR LÄN</t>
        </is>
      </c>
      <c r="E809" t="inlineStr">
        <is>
          <t>VIMMERBY</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15449-2023</t>
        </is>
      </c>
      <c r="B810" s="1" t="n">
        <v>45020</v>
      </c>
      <c r="C810" s="1" t="n">
        <v>46163</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43242-2024</t>
        </is>
      </c>
      <c r="B811" s="1" t="n">
        <v>45568.30189814815</v>
      </c>
      <c r="C811" s="1" t="n">
        <v>46163</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56853-2022</t>
        </is>
      </c>
      <c r="B812" s="1" t="n">
        <v>44894.49538194444</v>
      </c>
      <c r="C812" s="1" t="n">
        <v>46163</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33815-2022</t>
        </is>
      </c>
      <c r="B813" s="1" t="n">
        <v>44790.45876157407</v>
      </c>
      <c r="C813" s="1" t="n">
        <v>46163</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33842-2022</t>
        </is>
      </c>
      <c r="B814" s="1" t="n">
        <v>44790.49523148148</v>
      </c>
      <c r="C814" s="1" t="n">
        <v>46163</v>
      </c>
      <c r="D814" t="inlineStr">
        <is>
          <t>KALMAR LÄN</t>
        </is>
      </c>
      <c r="E814" t="inlineStr">
        <is>
          <t>VIMMERBY</t>
        </is>
      </c>
      <c r="G814" t="n">
        <v>1.6</v>
      </c>
      <c r="H814" t="n">
        <v>0</v>
      </c>
      <c r="I814" t="n">
        <v>0</v>
      </c>
      <c r="J814" t="n">
        <v>0</v>
      </c>
      <c r="K814" t="n">
        <v>0</v>
      </c>
      <c r="L814" t="n">
        <v>0</v>
      </c>
      <c r="M814" t="n">
        <v>0</v>
      </c>
      <c r="N814" t="n">
        <v>0</v>
      </c>
      <c r="O814" t="n">
        <v>0</v>
      </c>
      <c r="P814" t="n">
        <v>0</v>
      </c>
      <c r="Q814" t="n">
        <v>0</v>
      </c>
      <c r="R814" s="2" t="inlineStr"/>
    </row>
    <row r="815" ht="15" customHeight="1">
      <c r="A815" t="inlineStr">
        <is>
          <t>A 49408-2023</t>
        </is>
      </c>
      <c r="B815" s="1" t="n">
        <v>45211.43555555555</v>
      </c>
      <c r="C815" s="1" t="n">
        <v>46163</v>
      </c>
      <c r="D815" t="inlineStr">
        <is>
          <t>KALMAR LÄN</t>
        </is>
      </c>
      <c r="E815" t="inlineStr">
        <is>
          <t>VIMMERBY</t>
        </is>
      </c>
      <c r="G815" t="n">
        <v>13.1</v>
      </c>
      <c r="H815" t="n">
        <v>0</v>
      </c>
      <c r="I815" t="n">
        <v>0</v>
      </c>
      <c r="J815" t="n">
        <v>0</v>
      </c>
      <c r="K815" t="n">
        <v>0</v>
      </c>
      <c r="L815" t="n">
        <v>0</v>
      </c>
      <c r="M815" t="n">
        <v>0</v>
      </c>
      <c r="N815" t="n">
        <v>0</v>
      </c>
      <c r="O815" t="n">
        <v>0</v>
      </c>
      <c r="P815" t="n">
        <v>0</v>
      </c>
      <c r="Q815" t="n">
        <v>0</v>
      </c>
      <c r="R815" s="2" t="inlineStr"/>
    </row>
    <row r="816" ht="15" customHeight="1">
      <c r="A816" t="inlineStr">
        <is>
          <t>A 56536-2022</t>
        </is>
      </c>
      <c r="B816" s="1" t="n">
        <v>44893</v>
      </c>
      <c r="C816" s="1" t="n">
        <v>46163</v>
      </c>
      <c r="D816" t="inlineStr">
        <is>
          <t>KALMAR LÄN</t>
        </is>
      </c>
      <c r="E816" t="inlineStr">
        <is>
          <t>VIMMERBY</t>
        </is>
      </c>
      <c r="G816" t="n">
        <v>3.2</v>
      </c>
      <c r="H816" t="n">
        <v>0</v>
      </c>
      <c r="I816" t="n">
        <v>0</v>
      </c>
      <c r="J816" t="n">
        <v>0</v>
      </c>
      <c r="K816" t="n">
        <v>0</v>
      </c>
      <c r="L816" t="n">
        <v>0</v>
      </c>
      <c r="M816" t="n">
        <v>0</v>
      </c>
      <c r="N816" t="n">
        <v>0</v>
      </c>
      <c r="O816" t="n">
        <v>0</v>
      </c>
      <c r="P816" t="n">
        <v>0</v>
      </c>
      <c r="Q816" t="n">
        <v>0</v>
      </c>
      <c r="R816" s="2" t="inlineStr"/>
    </row>
    <row r="817" ht="15" customHeight="1">
      <c r="A817" t="inlineStr">
        <is>
          <t>A 41199-2023</t>
        </is>
      </c>
      <c r="B817" s="1" t="n">
        <v>45174.40454861111</v>
      </c>
      <c r="C817" s="1" t="n">
        <v>46163</v>
      </c>
      <c r="D817" t="inlineStr">
        <is>
          <t>KALMAR LÄN</t>
        </is>
      </c>
      <c r="E817" t="inlineStr">
        <is>
          <t>VIMMERBY</t>
        </is>
      </c>
      <c r="G817" t="n">
        <v>1.3</v>
      </c>
      <c r="H817" t="n">
        <v>0</v>
      </c>
      <c r="I817" t="n">
        <v>0</v>
      </c>
      <c r="J817" t="n">
        <v>0</v>
      </c>
      <c r="K817" t="n">
        <v>0</v>
      </c>
      <c r="L817" t="n">
        <v>0</v>
      </c>
      <c r="M817" t="n">
        <v>0</v>
      </c>
      <c r="N817" t="n">
        <v>0</v>
      </c>
      <c r="O817" t="n">
        <v>0</v>
      </c>
      <c r="P817" t="n">
        <v>0</v>
      </c>
      <c r="Q817" t="n">
        <v>0</v>
      </c>
      <c r="R817" s="2" t="inlineStr"/>
    </row>
    <row r="818" ht="15" customHeight="1">
      <c r="A818" t="inlineStr">
        <is>
          <t>A 8945-2025</t>
        </is>
      </c>
      <c r="B818" s="1" t="n">
        <v>45713.45311342592</v>
      </c>
      <c r="C818" s="1" t="n">
        <v>46163</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44994.42113425926</v>
      </c>
      <c r="C819" s="1" t="n">
        <v>46163</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41896-2023</t>
        </is>
      </c>
      <c r="B820" s="1" t="n">
        <v>45176.72427083334</v>
      </c>
      <c r="C820" s="1" t="n">
        <v>46163</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17926-2025</t>
        </is>
      </c>
      <c r="B821" s="1" t="n">
        <v>45759.38987268518</v>
      </c>
      <c r="C821" s="1" t="n">
        <v>46163</v>
      </c>
      <c r="D821" t="inlineStr">
        <is>
          <t>KALMAR LÄN</t>
        </is>
      </c>
      <c r="E821" t="inlineStr">
        <is>
          <t>VIMMERBY</t>
        </is>
      </c>
      <c r="G821" t="n">
        <v>1</v>
      </c>
      <c r="H821" t="n">
        <v>0</v>
      </c>
      <c r="I821" t="n">
        <v>0</v>
      </c>
      <c r="J821" t="n">
        <v>0</v>
      </c>
      <c r="K821" t="n">
        <v>0</v>
      </c>
      <c r="L821" t="n">
        <v>0</v>
      </c>
      <c r="M821" t="n">
        <v>0</v>
      </c>
      <c r="N821" t="n">
        <v>0</v>
      </c>
      <c r="O821" t="n">
        <v>0</v>
      </c>
      <c r="P821" t="n">
        <v>0</v>
      </c>
      <c r="Q821" t="n">
        <v>0</v>
      </c>
      <c r="R821" s="2" t="inlineStr"/>
    </row>
    <row r="822" ht="15" customHeight="1">
      <c r="A822" t="inlineStr">
        <is>
          <t>A 21028-2023</t>
        </is>
      </c>
      <c r="B822" s="1" t="n">
        <v>45061</v>
      </c>
      <c r="C822" s="1" t="n">
        <v>46163</v>
      </c>
      <c r="D822" t="inlineStr">
        <is>
          <t>KALMAR LÄN</t>
        </is>
      </c>
      <c r="E822" t="inlineStr">
        <is>
          <t>VIMMERBY</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27122-2023</t>
        </is>
      </c>
      <c r="B823" s="1" t="n">
        <v>45096.45247685185</v>
      </c>
      <c r="C823" s="1" t="n">
        <v>46163</v>
      </c>
      <c r="D823" t="inlineStr">
        <is>
          <t>KALMAR LÄN</t>
        </is>
      </c>
      <c r="E823" t="inlineStr">
        <is>
          <t>VIMMERBY</t>
        </is>
      </c>
      <c r="G823" t="n">
        <v>1.7</v>
      </c>
      <c r="H823" t="n">
        <v>0</v>
      </c>
      <c r="I823" t="n">
        <v>0</v>
      </c>
      <c r="J823" t="n">
        <v>0</v>
      </c>
      <c r="K823" t="n">
        <v>0</v>
      </c>
      <c r="L823" t="n">
        <v>0</v>
      </c>
      <c r="M823" t="n">
        <v>0</v>
      </c>
      <c r="N823" t="n">
        <v>0</v>
      </c>
      <c r="O823" t="n">
        <v>0</v>
      </c>
      <c r="P823" t="n">
        <v>0</v>
      </c>
      <c r="Q823" t="n">
        <v>0</v>
      </c>
      <c r="R823" s="2" t="inlineStr"/>
    </row>
    <row r="824" ht="15" customHeight="1">
      <c r="A824" t="inlineStr">
        <is>
          <t>A 13813-2024</t>
        </is>
      </c>
      <c r="B824" s="1" t="n">
        <v>45391.41310185185</v>
      </c>
      <c r="C824" s="1" t="n">
        <v>46163</v>
      </c>
      <c r="D824" t="inlineStr">
        <is>
          <t>KALMAR LÄN</t>
        </is>
      </c>
      <c r="E824" t="inlineStr">
        <is>
          <t>VIMMERBY</t>
        </is>
      </c>
      <c r="G824" t="n">
        <v>0.4</v>
      </c>
      <c r="H824" t="n">
        <v>0</v>
      </c>
      <c r="I824" t="n">
        <v>0</v>
      </c>
      <c r="J824" t="n">
        <v>0</v>
      </c>
      <c r="K824" t="n">
        <v>0</v>
      </c>
      <c r="L824" t="n">
        <v>0</v>
      </c>
      <c r="M824" t="n">
        <v>0</v>
      </c>
      <c r="N824" t="n">
        <v>0</v>
      </c>
      <c r="O824" t="n">
        <v>0</v>
      </c>
      <c r="P824" t="n">
        <v>0</v>
      </c>
      <c r="Q824" t="n">
        <v>0</v>
      </c>
      <c r="R824" s="2" t="inlineStr"/>
    </row>
    <row r="825" ht="15" customHeight="1">
      <c r="A825" t="inlineStr">
        <is>
          <t>A 38969-2023</t>
        </is>
      </c>
      <c r="B825" s="1" t="n">
        <v>45163.63621527778</v>
      </c>
      <c r="C825" s="1" t="n">
        <v>46163</v>
      </c>
      <c r="D825" t="inlineStr">
        <is>
          <t>KALMAR LÄN</t>
        </is>
      </c>
      <c r="E825" t="inlineStr">
        <is>
          <t>VIMMERBY</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26937-2023</t>
        </is>
      </c>
      <c r="B826" s="1" t="n">
        <v>45093.62777777778</v>
      </c>
      <c r="C826" s="1" t="n">
        <v>46163</v>
      </c>
      <c r="D826" t="inlineStr">
        <is>
          <t>KALMAR LÄN</t>
        </is>
      </c>
      <c r="E826" t="inlineStr">
        <is>
          <t>VIMMERBY</t>
        </is>
      </c>
      <c r="F826" t="inlineStr">
        <is>
          <t>Sveaskog</t>
        </is>
      </c>
      <c r="G826" t="n">
        <v>14.5</v>
      </c>
      <c r="H826" t="n">
        <v>0</v>
      </c>
      <c r="I826" t="n">
        <v>0</v>
      </c>
      <c r="J826" t="n">
        <v>0</v>
      </c>
      <c r="K826" t="n">
        <v>0</v>
      </c>
      <c r="L826" t="n">
        <v>0</v>
      </c>
      <c r="M826" t="n">
        <v>0</v>
      </c>
      <c r="N826" t="n">
        <v>0</v>
      </c>
      <c r="O826" t="n">
        <v>0</v>
      </c>
      <c r="P826" t="n">
        <v>0</v>
      </c>
      <c r="Q826" t="n">
        <v>0</v>
      </c>
      <c r="R826" s="2" t="inlineStr"/>
    </row>
    <row r="827" ht="15" customHeight="1">
      <c r="A827" t="inlineStr">
        <is>
          <t>A 57486-2024</t>
        </is>
      </c>
      <c r="B827" s="1" t="n">
        <v>45630.35827546296</v>
      </c>
      <c r="C827" s="1" t="n">
        <v>46163</v>
      </c>
      <c r="D827" t="inlineStr">
        <is>
          <t>KALMAR LÄN</t>
        </is>
      </c>
      <c r="E827" t="inlineStr">
        <is>
          <t>VIMMERBY</t>
        </is>
      </c>
      <c r="G827" t="n">
        <v>0.4</v>
      </c>
      <c r="H827" t="n">
        <v>0</v>
      </c>
      <c r="I827" t="n">
        <v>0</v>
      </c>
      <c r="J827" t="n">
        <v>0</v>
      </c>
      <c r="K827" t="n">
        <v>0</v>
      </c>
      <c r="L827" t="n">
        <v>0</v>
      </c>
      <c r="M827" t="n">
        <v>0</v>
      </c>
      <c r="N827" t="n">
        <v>0</v>
      </c>
      <c r="O827" t="n">
        <v>0</v>
      </c>
      <c r="P827" t="n">
        <v>0</v>
      </c>
      <c r="Q827" t="n">
        <v>0</v>
      </c>
      <c r="R827" s="2" t="inlineStr"/>
    </row>
    <row r="828" ht="15" customHeight="1">
      <c r="A828" t="inlineStr">
        <is>
          <t>A 43186-2021</t>
        </is>
      </c>
      <c r="B828" s="1" t="n">
        <v>44431.84840277778</v>
      </c>
      <c r="C828" s="1" t="n">
        <v>46163</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1799-2025</t>
        </is>
      </c>
      <c r="B829" s="1" t="n">
        <v>45671.46746527778</v>
      </c>
      <c r="C829" s="1" t="n">
        <v>46163</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30063-2023</t>
        </is>
      </c>
      <c r="B830" s="1" t="n">
        <v>45110.4184375</v>
      </c>
      <c r="C830" s="1" t="n">
        <v>46163</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43068-2023</t>
        </is>
      </c>
      <c r="B831" s="1" t="n">
        <v>45182.78834490741</v>
      </c>
      <c r="C831" s="1" t="n">
        <v>46163</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18020-2025</t>
        </is>
      </c>
      <c r="B832" s="1" t="n">
        <v>45761.4437962963</v>
      </c>
      <c r="C832" s="1" t="n">
        <v>46163</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33424-2023</t>
        </is>
      </c>
      <c r="B833" s="1" t="n">
        <v>45128.9325</v>
      </c>
      <c r="C833" s="1" t="n">
        <v>46163</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33425-2023</t>
        </is>
      </c>
      <c r="B834" s="1" t="n">
        <v>45128.93540509259</v>
      </c>
      <c r="C834" s="1" t="n">
        <v>46163</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12327-2023</t>
        </is>
      </c>
      <c r="B835" s="1" t="n">
        <v>44999.36081018519</v>
      </c>
      <c r="C835" s="1" t="n">
        <v>46163</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43092-2024</t>
        </is>
      </c>
      <c r="B836" s="1" t="n">
        <v>45567</v>
      </c>
      <c r="C836" s="1" t="n">
        <v>46163</v>
      </c>
      <c r="D836" t="inlineStr">
        <is>
          <t>KALMAR LÄN</t>
        </is>
      </c>
      <c r="E836" t="inlineStr">
        <is>
          <t>VIMMERBY</t>
        </is>
      </c>
      <c r="G836" t="n">
        <v>2.7</v>
      </c>
      <c r="H836" t="n">
        <v>0</v>
      </c>
      <c r="I836" t="n">
        <v>0</v>
      </c>
      <c r="J836" t="n">
        <v>0</v>
      </c>
      <c r="K836" t="n">
        <v>0</v>
      </c>
      <c r="L836" t="n">
        <v>0</v>
      </c>
      <c r="M836" t="n">
        <v>0</v>
      </c>
      <c r="N836" t="n">
        <v>0</v>
      </c>
      <c r="O836" t="n">
        <v>0</v>
      </c>
      <c r="P836" t="n">
        <v>0</v>
      </c>
      <c r="Q836" t="n">
        <v>0</v>
      </c>
      <c r="R836" s="2" t="inlineStr"/>
    </row>
    <row r="837" ht="15" customHeight="1">
      <c r="A837" t="inlineStr">
        <is>
          <t>A 52435-2021</t>
        </is>
      </c>
      <c r="B837" s="1" t="n">
        <v>44466.34962962963</v>
      </c>
      <c r="C837" s="1" t="n">
        <v>46163</v>
      </c>
      <c r="D837" t="inlineStr">
        <is>
          <t>KALMAR LÄN</t>
        </is>
      </c>
      <c r="E837" t="inlineStr">
        <is>
          <t>VIMMERBY</t>
        </is>
      </c>
      <c r="G837" t="n">
        <v>2.8</v>
      </c>
      <c r="H837" t="n">
        <v>0</v>
      </c>
      <c r="I837" t="n">
        <v>0</v>
      </c>
      <c r="J837" t="n">
        <v>0</v>
      </c>
      <c r="K837" t="n">
        <v>0</v>
      </c>
      <c r="L837" t="n">
        <v>0</v>
      </c>
      <c r="M837" t="n">
        <v>0</v>
      </c>
      <c r="N837" t="n">
        <v>0</v>
      </c>
      <c r="O837" t="n">
        <v>0</v>
      </c>
      <c r="P837" t="n">
        <v>0</v>
      </c>
      <c r="Q837" t="n">
        <v>0</v>
      </c>
      <c r="R837" s="2" t="inlineStr"/>
    </row>
    <row r="838" ht="15" customHeight="1">
      <c r="A838" t="inlineStr">
        <is>
          <t>A 35127-2024</t>
        </is>
      </c>
      <c r="B838" s="1" t="n">
        <v>45530.33202546297</v>
      </c>
      <c r="C838" s="1" t="n">
        <v>46163</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60215-2022</t>
        </is>
      </c>
      <c r="B839" s="1" t="n">
        <v>44910.41346064815</v>
      </c>
      <c r="C839" s="1" t="n">
        <v>46163</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29441-2024</t>
        </is>
      </c>
      <c r="B840" s="1" t="n">
        <v>45483.82834490741</v>
      </c>
      <c r="C840" s="1" t="n">
        <v>46163</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6216-2025</t>
        </is>
      </c>
      <c r="B841" s="1" t="n">
        <v>45698.52806712963</v>
      </c>
      <c r="C841" s="1" t="n">
        <v>46163</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62779-2023</t>
        </is>
      </c>
      <c r="B842" s="1" t="n">
        <v>45271.66576388889</v>
      </c>
      <c r="C842" s="1" t="n">
        <v>46163</v>
      </c>
      <c r="D842" t="inlineStr">
        <is>
          <t>KALMAR LÄN</t>
        </is>
      </c>
      <c r="E842" t="inlineStr">
        <is>
          <t>VIMMERBY</t>
        </is>
      </c>
      <c r="G842" t="n">
        <v>1.1</v>
      </c>
      <c r="H842" t="n">
        <v>0</v>
      </c>
      <c r="I842" t="n">
        <v>0</v>
      </c>
      <c r="J842" t="n">
        <v>0</v>
      </c>
      <c r="K842" t="n">
        <v>0</v>
      </c>
      <c r="L842" t="n">
        <v>0</v>
      </c>
      <c r="M842" t="n">
        <v>0</v>
      </c>
      <c r="N842" t="n">
        <v>0</v>
      </c>
      <c r="O842" t="n">
        <v>0</v>
      </c>
      <c r="P842" t="n">
        <v>0</v>
      </c>
      <c r="Q842" t="n">
        <v>0</v>
      </c>
      <c r="R842" s="2" t="inlineStr"/>
    </row>
    <row r="843" ht="15" customHeight="1">
      <c r="A843" t="inlineStr">
        <is>
          <t>A 52294-2023</t>
        </is>
      </c>
      <c r="B843" s="1" t="n">
        <v>45224.60075231481</v>
      </c>
      <c r="C843" s="1" t="n">
        <v>46163</v>
      </c>
      <c r="D843" t="inlineStr">
        <is>
          <t>KALMAR LÄN</t>
        </is>
      </c>
      <c r="E843" t="inlineStr">
        <is>
          <t>VIMMERBY</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31013-2023</t>
        </is>
      </c>
      <c r="B844" s="1" t="n">
        <v>45113.56574074074</v>
      </c>
      <c r="C844" s="1" t="n">
        <v>46163</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72067-2021</t>
        </is>
      </c>
      <c r="B845" s="1" t="n">
        <v>44540</v>
      </c>
      <c r="C845" s="1" t="n">
        <v>46163</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61538-2022</t>
        </is>
      </c>
      <c r="B846" s="1" t="n">
        <v>44916.55414351852</v>
      </c>
      <c r="C846" s="1" t="n">
        <v>46163</v>
      </c>
      <c r="D846" t="inlineStr">
        <is>
          <t>KALMAR LÄN</t>
        </is>
      </c>
      <c r="E846" t="inlineStr">
        <is>
          <t>VIMMERBY</t>
        </is>
      </c>
      <c r="G846" t="n">
        <v>1.5</v>
      </c>
      <c r="H846" t="n">
        <v>0</v>
      </c>
      <c r="I846" t="n">
        <v>0</v>
      </c>
      <c r="J846" t="n">
        <v>0</v>
      </c>
      <c r="K846" t="n">
        <v>0</v>
      </c>
      <c r="L846" t="n">
        <v>0</v>
      </c>
      <c r="M846" t="n">
        <v>0</v>
      </c>
      <c r="N846" t="n">
        <v>0</v>
      </c>
      <c r="O846" t="n">
        <v>0</v>
      </c>
      <c r="P846" t="n">
        <v>0</v>
      </c>
      <c r="Q846" t="n">
        <v>0</v>
      </c>
      <c r="R846" s="2" t="inlineStr"/>
    </row>
    <row r="847" ht="15" customHeight="1">
      <c r="A847" t="inlineStr">
        <is>
          <t>A 36155-2023</t>
        </is>
      </c>
      <c r="B847" s="1" t="n">
        <v>45149.60917824074</v>
      </c>
      <c r="C847" s="1" t="n">
        <v>46163</v>
      </c>
      <c r="D847" t="inlineStr">
        <is>
          <t>KALMAR LÄN</t>
        </is>
      </c>
      <c r="E847" t="inlineStr">
        <is>
          <t>VIMMERBY</t>
        </is>
      </c>
      <c r="G847" t="n">
        <v>5</v>
      </c>
      <c r="H847" t="n">
        <v>0</v>
      </c>
      <c r="I847" t="n">
        <v>0</v>
      </c>
      <c r="J847" t="n">
        <v>0</v>
      </c>
      <c r="K847" t="n">
        <v>0</v>
      </c>
      <c r="L847" t="n">
        <v>0</v>
      </c>
      <c r="M847" t="n">
        <v>0</v>
      </c>
      <c r="N847" t="n">
        <v>0</v>
      </c>
      <c r="O847" t="n">
        <v>0</v>
      </c>
      <c r="P847" t="n">
        <v>0</v>
      </c>
      <c r="Q847" t="n">
        <v>0</v>
      </c>
      <c r="R847" s="2" t="inlineStr"/>
    </row>
    <row r="848" ht="15" customHeight="1">
      <c r="A848" t="inlineStr">
        <is>
          <t>A 29173-2024</t>
        </is>
      </c>
      <c r="B848" s="1" t="n">
        <v>45482.52887731481</v>
      </c>
      <c r="C848" s="1" t="n">
        <v>46163</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53542-2022</t>
        </is>
      </c>
      <c r="B849" s="1" t="n">
        <v>44879.62173611111</v>
      </c>
      <c r="C849" s="1" t="n">
        <v>46163</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6807-2025</t>
        </is>
      </c>
      <c r="B850" s="1" t="n">
        <v>45700.68672453704</v>
      </c>
      <c r="C850" s="1" t="n">
        <v>46163</v>
      </c>
      <c r="D850" t="inlineStr">
        <is>
          <t>KALMAR LÄN</t>
        </is>
      </c>
      <c r="E850" t="inlineStr">
        <is>
          <t>VIMMERBY</t>
        </is>
      </c>
      <c r="G850" t="n">
        <v>1.4</v>
      </c>
      <c r="H850" t="n">
        <v>0</v>
      </c>
      <c r="I850" t="n">
        <v>0</v>
      </c>
      <c r="J850" t="n">
        <v>0</v>
      </c>
      <c r="K850" t="n">
        <v>0</v>
      </c>
      <c r="L850" t="n">
        <v>0</v>
      </c>
      <c r="M850" t="n">
        <v>0</v>
      </c>
      <c r="N850" t="n">
        <v>0</v>
      </c>
      <c r="O850" t="n">
        <v>0</v>
      </c>
      <c r="P850" t="n">
        <v>0</v>
      </c>
      <c r="Q850" t="n">
        <v>0</v>
      </c>
      <c r="R850" s="2" t="inlineStr"/>
    </row>
    <row r="851" ht="15" customHeight="1">
      <c r="A851" t="inlineStr">
        <is>
          <t>A 7047-2022</t>
        </is>
      </c>
      <c r="B851" s="1" t="n">
        <v>44603</v>
      </c>
      <c r="C851" s="1" t="n">
        <v>46163</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35711-2023</t>
        </is>
      </c>
      <c r="B852" s="1" t="n">
        <v>45147.67172453704</v>
      </c>
      <c r="C852" s="1" t="n">
        <v>46163</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5382-2023</t>
        </is>
      </c>
      <c r="B853" s="1" t="n">
        <v>44959.66407407408</v>
      </c>
      <c r="C853" s="1" t="n">
        <v>46163</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40823-2023</t>
        </is>
      </c>
      <c r="B854" s="1" t="n">
        <v>45171.77335648148</v>
      </c>
      <c r="C854" s="1" t="n">
        <v>46163</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ht="15" customHeight="1">
      <c r="A855" t="inlineStr">
        <is>
          <t>A 6218-2025</t>
        </is>
      </c>
      <c r="B855" s="1" t="n">
        <v>45698.53336805556</v>
      </c>
      <c r="C855" s="1" t="n">
        <v>46163</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30920-2023</t>
        </is>
      </c>
      <c r="B856" s="1" t="n">
        <v>45113.43921296296</v>
      </c>
      <c r="C856" s="1" t="n">
        <v>46163</v>
      </c>
      <c r="D856" t="inlineStr">
        <is>
          <t>KALMAR LÄN</t>
        </is>
      </c>
      <c r="E856" t="inlineStr">
        <is>
          <t>VIMMERBY</t>
        </is>
      </c>
      <c r="G856" t="n">
        <v>3.1</v>
      </c>
      <c r="H856" t="n">
        <v>0</v>
      </c>
      <c r="I856" t="n">
        <v>0</v>
      </c>
      <c r="J856" t="n">
        <v>0</v>
      </c>
      <c r="K856" t="n">
        <v>0</v>
      </c>
      <c r="L856" t="n">
        <v>0</v>
      </c>
      <c r="M856" t="n">
        <v>0</v>
      </c>
      <c r="N856" t="n">
        <v>0</v>
      </c>
      <c r="O856" t="n">
        <v>0</v>
      </c>
      <c r="P856" t="n">
        <v>0</v>
      </c>
      <c r="Q856" t="n">
        <v>0</v>
      </c>
      <c r="R856" s="2" t="inlineStr"/>
    </row>
    <row r="857" ht="15" customHeight="1">
      <c r="A857" t="inlineStr">
        <is>
          <t>A 6857-2023</t>
        </is>
      </c>
      <c r="B857" s="1" t="n">
        <v>44967.45122685185</v>
      </c>
      <c r="C857" s="1" t="n">
        <v>46163</v>
      </c>
      <c r="D857" t="inlineStr">
        <is>
          <t>KALMAR LÄN</t>
        </is>
      </c>
      <c r="E857" t="inlineStr">
        <is>
          <t>VIMMERBY</t>
        </is>
      </c>
      <c r="G857" t="n">
        <v>2.1</v>
      </c>
      <c r="H857" t="n">
        <v>0</v>
      </c>
      <c r="I857" t="n">
        <v>0</v>
      </c>
      <c r="J857" t="n">
        <v>0</v>
      </c>
      <c r="K857" t="n">
        <v>0</v>
      </c>
      <c r="L857" t="n">
        <v>0</v>
      </c>
      <c r="M857" t="n">
        <v>0</v>
      </c>
      <c r="N857" t="n">
        <v>0</v>
      </c>
      <c r="O857" t="n">
        <v>0</v>
      </c>
      <c r="P857" t="n">
        <v>0</v>
      </c>
      <c r="Q857" t="n">
        <v>0</v>
      </c>
      <c r="R857" s="2" t="inlineStr"/>
    </row>
    <row r="858" ht="15" customHeight="1">
      <c r="A858" t="inlineStr">
        <is>
          <t>A 5792-2023</t>
        </is>
      </c>
      <c r="B858" s="1" t="n">
        <v>44963.44769675926</v>
      </c>
      <c r="C858" s="1" t="n">
        <v>46163</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10303-2025</t>
        </is>
      </c>
      <c r="B859" s="1" t="n">
        <v>45720.44217592593</v>
      </c>
      <c r="C859" s="1" t="n">
        <v>46163</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60110-2022</t>
        </is>
      </c>
      <c r="B860" s="1" t="n">
        <v>44909</v>
      </c>
      <c r="C860" s="1" t="n">
        <v>46163</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15394-2025</t>
        </is>
      </c>
      <c r="B861" s="1" t="n">
        <v>45747.43196759259</v>
      </c>
      <c r="C861" s="1" t="n">
        <v>46163</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15388-2025</t>
        </is>
      </c>
      <c r="B862" s="1" t="n">
        <v>45747.42633101852</v>
      </c>
      <c r="C862" s="1" t="n">
        <v>46163</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15391-2025</t>
        </is>
      </c>
      <c r="B863" s="1" t="n">
        <v>45747.42958333333</v>
      </c>
      <c r="C863" s="1" t="n">
        <v>46163</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6474-2025</t>
        </is>
      </c>
      <c r="B864" s="1" t="n">
        <v>45699.60055555555</v>
      </c>
      <c r="C864" s="1" t="n">
        <v>46163</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32919-2022</t>
        </is>
      </c>
      <c r="B865" s="1" t="n">
        <v>44784.62724537037</v>
      </c>
      <c r="C865" s="1" t="n">
        <v>46163</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56659-2023</t>
        </is>
      </c>
      <c r="B866" s="1" t="n">
        <v>45243.84869212963</v>
      </c>
      <c r="C866" s="1" t="n">
        <v>46163</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13015-2022</t>
        </is>
      </c>
      <c r="B867" s="1" t="n">
        <v>44643</v>
      </c>
      <c r="C867" s="1" t="n">
        <v>46163</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17968-2025</t>
        </is>
      </c>
      <c r="B868" s="1" t="n">
        <v>45761.35990740741</v>
      </c>
      <c r="C868" s="1" t="n">
        <v>46163</v>
      </c>
      <c r="D868" t="inlineStr">
        <is>
          <t>KALMAR LÄN</t>
        </is>
      </c>
      <c r="E868" t="inlineStr">
        <is>
          <t>VIMMERBY</t>
        </is>
      </c>
      <c r="G868" t="n">
        <v>3.3</v>
      </c>
      <c r="H868" t="n">
        <v>0</v>
      </c>
      <c r="I868" t="n">
        <v>0</v>
      </c>
      <c r="J868" t="n">
        <v>0</v>
      </c>
      <c r="K868" t="n">
        <v>0</v>
      </c>
      <c r="L868" t="n">
        <v>0</v>
      </c>
      <c r="M868" t="n">
        <v>0</v>
      </c>
      <c r="N868" t="n">
        <v>0</v>
      </c>
      <c r="O868" t="n">
        <v>0</v>
      </c>
      <c r="P868" t="n">
        <v>0</v>
      </c>
      <c r="Q868" t="n">
        <v>0</v>
      </c>
      <c r="R868" s="2" t="inlineStr"/>
    </row>
    <row r="869" ht="15" customHeight="1">
      <c r="A869" t="inlineStr">
        <is>
          <t>A 6028-2023</t>
        </is>
      </c>
      <c r="B869" s="1" t="n">
        <v>44964.44356481481</v>
      </c>
      <c r="C869" s="1" t="n">
        <v>46163</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55436-2023</t>
        </is>
      </c>
      <c r="B870" s="1" t="n">
        <v>45238.4328587963</v>
      </c>
      <c r="C870" s="1" t="n">
        <v>46163</v>
      </c>
      <c r="D870" t="inlineStr">
        <is>
          <t>KALMAR LÄN</t>
        </is>
      </c>
      <c r="E870" t="inlineStr">
        <is>
          <t>VIMMERBY</t>
        </is>
      </c>
      <c r="G870" t="n">
        <v>5.6</v>
      </c>
      <c r="H870" t="n">
        <v>0</v>
      </c>
      <c r="I870" t="n">
        <v>0</v>
      </c>
      <c r="J870" t="n">
        <v>0</v>
      </c>
      <c r="K870" t="n">
        <v>0</v>
      </c>
      <c r="L870" t="n">
        <v>0</v>
      </c>
      <c r="M870" t="n">
        <v>0</v>
      </c>
      <c r="N870" t="n">
        <v>0</v>
      </c>
      <c r="O870" t="n">
        <v>0</v>
      </c>
      <c r="P870" t="n">
        <v>0</v>
      </c>
      <c r="Q870" t="n">
        <v>0</v>
      </c>
      <c r="R870" s="2" t="inlineStr"/>
    </row>
    <row r="871" ht="15" customHeight="1">
      <c r="A871" t="inlineStr">
        <is>
          <t>A 56582-2022</t>
        </is>
      </c>
      <c r="B871" s="1" t="n">
        <v>44893</v>
      </c>
      <c r="C871" s="1" t="n">
        <v>46163</v>
      </c>
      <c r="D871" t="inlineStr">
        <is>
          <t>KALMAR LÄN</t>
        </is>
      </c>
      <c r="E871" t="inlineStr">
        <is>
          <t>VIMMERBY</t>
        </is>
      </c>
      <c r="G871" t="n">
        <v>2.2</v>
      </c>
      <c r="H871" t="n">
        <v>0</v>
      </c>
      <c r="I871" t="n">
        <v>0</v>
      </c>
      <c r="J871" t="n">
        <v>0</v>
      </c>
      <c r="K871" t="n">
        <v>0</v>
      </c>
      <c r="L871" t="n">
        <v>0</v>
      </c>
      <c r="M871" t="n">
        <v>0</v>
      </c>
      <c r="N871" t="n">
        <v>0</v>
      </c>
      <c r="O871" t="n">
        <v>0</v>
      </c>
      <c r="P871" t="n">
        <v>0</v>
      </c>
      <c r="Q871" t="n">
        <v>0</v>
      </c>
      <c r="R871" s="2" t="inlineStr"/>
    </row>
    <row r="872" ht="15" customHeight="1">
      <c r="A872" t="inlineStr">
        <is>
          <t>A 20-2025</t>
        </is>
      </c>
      <c r="B872" s="1" t="n">
        <v>45658.80232638889</v>
      </c>
      <c r="C872" s="1" t="n">
        <v>46163</v>
      </c>
      <c r="D872" t="inlineStr">
        <is>
          <t>KALMAR LÄN</t>
        </is>
      </c>
      <c r="E872" t="inlineStr">
        <is>
          <t>VIMMERBY</t>
        </is>
      </c>
      <c r="G872" t="n">
        <v>1.3</v>
      </c>
      <c r="H872" t="n">
        <v>0</v>
      </c>
      <c r="I872" t="n">
        <v>0</v>
      </c>
      <c r="J872" t="n">
        <v>0</v>
      </c>
      <c r="K872" t="n">
        <v>0</v>
      </c>
      <c r="L872" t="n">
        <v>0</v>
      </c>
      <c r="M872" t="n">
        <v>0</v>
      </c>
      <c r="N872" t="n">
        <v>0</v>
      </c>
      <c r="O872" t="n">
        <v>0</v>
      </c>
      <c r="P872" t="n">
        <v>0</v>
      </c>
      <c r="Q872" t="n">
        <v>0</v>
      </c>
      <c r="R872" s="2" t="inlineStr"/>
    </row>
    <row r="873" ht="15" customHeight="1">
      <c r="A873" t="inlineStr">
        <is>
          <t>A 23-2025</t>
        </is>
      </c>
      <c r="B873" s="1" t="n">
        <v>45658.80827546296</v>
      </c>
      <c r="C873" s="1" t="n">
        <v>46163</v>
      </c>
      <c r="D873" t="inlineStr">
        <is>
          <t>KALMAR LÄN</t>
        </is>
      </c>
      <c r="E873" t="inlineStr">
        <is>
          <t>VIMMERBY</t>
        </is>
      </c>
      <c r="G873" t="n">
        <v>1.8</v>
      </c>
      <c r="H873" t="n">
        <v>0</v>
      </c>
      <c r="I873" t="n">
        <v>0</v>
      </c>
      <c r="J873" t="n">
        <v>0</v>
      </c>
      <c r="K873" t="n">
        <v>0</v>
      </c>
      <c r="L873" t="n">
        <v>0</v>
      </c>
      <c r="M873" t="n">
        <v>0</v>
      </c>
      <c r="N873" t="n">
        <v>0</v>
      </c>
      <c r="O873" t="n">
        <v>0</v>
      </c>
      <c r="P873" t="n">
        <v>0</v>
      </c>
      <c r="Q873" t="n">
        <v>0</v>
      </c>
      <c r="R873" s="2" t="inlineStr"/>
    </row>
    <row r="874" ht="15" customHeight="1">
      <c r="A874" t="inlineStr">
        <is>
          <t>A 43962-2024</t>
        </is>
      </c>
      <c r="B874" s="1" t="n">
        <v>45572.48293981481</v>
      </c>
      <c r="C874" s="1" t="n">
        <v>46163</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35713-2023</t>
        </is>
      </c>
      <c r="B875" s="1" t="n">
        <v>45147</v>
      </c>
      <c r="C875" s="1" t="n">
        <v>46163</v>
      </c>
      <c r="D875" t="inlineStr">
        <is>
          <t>KALMAR LÄN</t>
        </is>
      </c>
      <c r="E875" t="inlineStr">
        <is>
          <t>VIMMERBY</t>
        </is>
      </c>
      <c r="G875" t="n">
        <v>1.6</v>
      </c>
      <c r="H875" t="n">
        <v>0</v>
      </c>
      <c r="I875" t="n">
        <v>0</v>
      </c>
      <c r="J875" t="n">
        <v>0</v>
      </c>
      <c r="K875" t="n">
        <v>0</v>
      </c>
      <c r="L875" t="n">
        <v>0</v>
      </c>
      <c r="M875" t="n">
        <v>0</v>
      </c>
      <c r="N875" t="n">
        <v>0</v>
      </c>
      <c r="O875" t="n">
        <v>0</v>
      </c>
      <c r="P875" t="n">
        <v>0</v>
      </c>
      <c r="Q875" t="n">
        <v>0</v>
      </c>
      <c r="R875" s="2" t="inlineStr"/>
    </row>
    <row r="876" ht="15" customHeight="1">
      <c r="A876" t="inlineStr">
        <is>
          <t>A 40147-2023</t>
        </is>
      </c>
      <c r="B876" s="1" t="n">
        <v>45169</v>
      </c>
      <c r="C876" s="1" t="n">
        <v>46163</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50995-2022</t>
        </is>
      </c>
      <c r="B877" s="1" t="n">
        <v>44867</v>
      </c>
      <c r="C877" s="1" t="n">
        <v>46163</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27993-2022</t>
        </is>
      </c>
      <c r="B878" s="1" t="n">
        <v>44745.84396990741</v>
      </c>
      <c r="C878" s="1" t="n">
        <v>46163</v>
      </c>
      <c r="D878" t="inlineStr">
        <is>
          <t>KALMAR LÄN</t>
        </is>
      </c>
      <c r="E878" t="inlineStr">
        <is>
          <t>VIMMERBY</t>
        </is>
      </c>
      <c r="G878" t="n">
        <v>2.8</v>
      </c>
      <c r="H878" t="n">
        <v>0</v>
      </c>
      <c r="I878" t="n">
        <v>0</v>
      </c>
      <c r="J878" t="n">
        <v>0</v>
      </c>
      <c r="K878" t="n">
        <v>0</v>
      </c>
      <c r="L878" t="n">
        <v>0</v>
      </c>
      <c r="M878" t="n">
        <v>0</v>
      </c>
      <c r="N878" t="n">
        <v>0</v>
      </c>
      <c r="O878" t="n">
        <v>0</v>
      </c>
      <c r="P878" t="n">
        <v>0</v>
      </c>
      <c r="Q878" t="n">
        <v>0</v>
      </c>
      <c r="R878" s="2" t="inlineStr"/>
    </row>
    <row r="879" ht="15" customHeight="1">
      <c r="A879" t="inlineStr">
        <is>
          <t>A 57555-2024</t>
        </is>
      </c>
      <c r="B879" s="1" t="n">
        <v>45630.45069444444</v>
      </c>
      <c r="C879" s="1" t="n">
        <v>46163</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36014-2024</t>
        </is>
      </c>
      <c r="B880" s="1" t="n">
        <v>45533.56108796296</v>
      </c>
      <c r="C880" s="1" t="n">
        <v>46163</v>
      </c>
      <c r="D880" t="inlineStr">
        <is>
          <t>KALMAR LÄN</t>
        </is>
      </c>
      <c r="E880" t="inlineStr">
        <is>
          <t>VIMMERBY</t>
        </is>
      </c>
      <c r="G880" t="n">
        <v>2.3</v>
      </c>
      <c r="H880" t="n">
        <v>0</v>
      </c>
      <c r="I880" t="n">
        <v>0</v>
      </c>
      <c r="J880" t="n">
        <v>0</v>
      </c>
      <c r="K880" t="n">
        <v>0</v>
      </c>
      <c r="L880" t="n">
        <v>0</v>
      </c>
      <c r="M880" t="n">
        <v>0</v>
      </c>
      <c r="N880" t="n">
        <v>0</v>
      </c>
      <c r="O880" t="n">
        <v>0</v>
      </c>
      <c r="P880" t="n">
        <v>0</v>
      </c>
      <c r="Q880" t="n">
        <v>0</v>
      </c>
      <c r="R880" s="2" t="inlineStr"/>
    </row>
    <row r="881" ht="15" customHeight="1">
      <c r="A881" t="inlineStr">
        <is>
          <t>A 36030-2024</t>
        </is>
      </c>
      <c r="B881" s="1" t="n">
        <v>45533.58302083334</v>
      </c>
      <c r="C881" s="1" t="n">
        <v>46163</v>
      </c>
      <c r="D881" t="inlineStr">
        <is>
          <t>KALMAR LÄN</t>
        </is>
      </c>
      <c r="E881" t="inlineStr">
        <is>
          <t>VIMMERBY</t>
        </is>
      </c>
      <c r="F881" t="inlineStr">
        <is>
          <t>Kommuner</t>
        </is>
      </c>
      <c r="G881" t="n">
        <v>4</v>
      </c>
      <c r="H881" t="n">
        <v>0</v>
      </c>
      <c r="I881" t="n">
        <v>0</v>
      </c>
      <c r="J881" t="n">
        <v>0</v>
      </c>
      <c r="K881" t="n">
        <v>0</v>
      </c>
      <c r="L881" t="n">
        <v>0</v>
      </c>
      <c r="M881" t="n">
        <v>0</v>
      </c>
      <c r="N881" t="n">
        <v>0</v>
      </c>
      <c r="O881" t="n">
        <v>0</v>
      </c>
      <c r="P881" t="n">
        <v>0</v>
      </c>
      <c r="Q881" t="n">
        <v>0</v>
      </c>
      <c r="R881" s="2" t="inlineStr"/>
    </row>
    <row r="882" ht="15" customHeight="1">
      <c r="A882" t="inlineStr">
        <is>
          <t>A 32865-2023</t>
        </is>
      </c>
      <c r="B882" s="1" t="n">
        <v>45124</v>
      </c>
      <c r="C882" s="1" t="n">
        <v>46163</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42918-2021</t>
        </is>
      </c>
      <c r="B883" s="1" t="n">
        <v>44431</v>
      </c>
      <c r="C883" s="1" t="n">
        <v>46163</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22643-2023</t>
        </is>
      </c>
      <c r="B884" s="1" t="n">
        <v>45071</v>
      </c>
      <c r="C884" s="1" t="n">
        <v>46163</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18669-2025</t>
        </is>
      </c>
      <c r="B885" s="1" t="n">
        <v>45763.59436342592</v>
      </c>
      <c r="C885" s="1" t="n">
        <v>46163</v>
      </c>
      <c r="D885" t="inlineStr">
        <is>
          <t>KALMAR LÄN</t>
        </is>
      </c>
      <c r="E885" t="inlineStr">
        <is>
          <t>VIMMERBY</t>
        </is>
      </c>
      <c r="G885" t="n">
        <v>2.7</v>
      </c>
      <c r="H885" t="n">
        <v>0</v>
      </c>
      <c r="I885" t="n">
        <v>0</v>
      </c>
      <c r="J885" t="n">
        <v>0</v>
      </c>
      <c r="K885" t="n">
        <v>0</v>
      </c>
      <c r="L885" t="n">
        <v>0</v>
      </c>
      <c r="M885" t="n">
        <v>0</v>
      </c>
      <c r="N885" t="n">
        <v>0</v>
      </c>
      <c r="O885" t="n">
        <v>0</v>
      </c>
      <c r="P885" t="n">
        <v>0</v>
      </c>
      <c r="Q885" t="n">
        <v>0</v>
      </c>
      <c r="R885" s="2" t="inlineStr"/>
    </row>
    <row r="886" ht="15" customHeight="1">
      <c r="A886" t="inlineStr">
        <is>
          <t>A 38780-2021</t>
        </is>
      </c>
      <c r="B886" s="1" t="n">
        <v>44410</v>
      </c>
      <c r="C886" s="1" t="n">
        <v>46163</v>
      </c>
      <c r="D886" t="inlineStr">
        <is>
          <t>KALMAR LÄN</t>
        </is>
      </c>
      <c r="E886" t="inlineStr">
        <is>
          <t>VIMMERBY</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29020-2024</t>
        </is>
      </c>
      <c r="B887" s="1" t="n">
        <v>45481.58048611111</v>
      </c>
      <c r="C887" s="1" t="n">
        <v>46163</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30406-2023</t>
        </is>
      </c>
      <c r="B888" s="1" t="n">
        <v>45111.48787037037</v>
      </c>
      <c r="C888" s="1" t="n">
        <v>46163</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13817-2024</t>
        </is>
      </c>
      <c r="B889" s="1" t="n">
        <v>45391.41976851852</v>
      </c>
      <c r="C889" s="1" t="n">
        <v>46163</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22399-2025</t>
        </is>
      </c>
      <c r="B890" s="1" t="n">
        <v>45786.52996527778</v>
      </c>
      <c r="C890" s="1" t="n">
        <v>46163</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22397-2025</t>
        </is>
      </c>
      <c r="B891" s="1" t="n">
        <v>45786.52878472222</v>
      </c>
      <c r="C891" s="1" t="n">
        <v>46163</v>
      </c>
      <c r="D891" t="inlineStr">
        <is>
          <t>KALMAR LÄN</t>
        </is>
      </c>
      <c r="E891" t="inlineStr">
        <is>
          <t>VIMMERBY</t>
        </is>
      </c>
      <c r="G891" t="n">
        <v>0.8</v>
      </c>
      <c r="H891" t="n">
        <v>0</v>
      </c>
      <c r="I891" t="n">
        <v>0</v>
      </c>
      <c r="J891" t="n">
        <v>0</v>
      </c>
      <c r="K891" t="n">
        <v>0</v>
      </c>
      <c r="L891" t="n">
        <v>0</v>
      </c>
      <c r="M891" t="n">
        <v>0</v>
      </c>
      <c r="N891" t="n">
        <v>0</v>
      </c>
      <c r="O891" t="n">
        <v>0</v>
      </c>
      <c r="P891" t="n">
        <v>0</v>
      </c>
      <c r="Q891" t="n">
        <v>0</v>
      </c>
      <c r="R891" s="2" t="inlineStr"/>
    </row>
    <row r="892" ht="15" customHeight="1">
      <c r="A892" t="inlineStr">
        <is>
          <t>A 25582-2024</t>
        </is>
      </c>
      <c r="B892" s="1" t="n">
        <v>45463</v>
      </c>
      <c r="C892" s="1" t="n">
        <v>46163</v>
      </c>
      <c r="D892" t="inlineStr">
        <is>
          <t>KALMAR LÄN</t>
        </is>
      </c>
      <c r="E892" t="inlineStr">
        <is>
          <t>VIMMERBY</t>
        </is>
      </c>
      <c r="G892" t="n">
        <v>1.4</v>
      </c>
      <c r="H892" t="n">
        <v>0</v>
      </c>
      <c r="I892" t="n">
        <v>0</v>
      </c>
      <c r="J892" t="n">
        <v>0</v>
      </c>
      <c r="K892" t="n">
        <v>0</v>
      </c>
      <c r="L892" t="n">
        <v>0</v>
      </c>
      <c r="M892" t="n">
        <v>0</v>
      </c>
      <c r="N892" t="n">
        <v>0</v>
      </c>
      <c r="O892" t="n">
        <v>0</v>
      </c>
      <c r="P892" t="n">
        <v>0</v>
      </c>
      <c r="Q892" t="n">
        <v>0</v>
      </c>
      <c r="R892" s="2" t="inlineStr"/>
    </row>
    <row r="893" ht="15" customHeight="1">
      <c r="A893" t="inlineStr">
        <is>
          <t>A 57578-2024</t>
        </is>
      </c>
      <c r="B893" s="1" t="n">
        <v>45630.47564814815</v>
      </c>
      <c r="C893" s="1" t="n">
        <v>46163</v>
      </c>
      <c r="D893" t="inlineStr">
        <is>
          <t>KALMAR LÄN</t>
        </is>
      </c>
      <c r="E893" t="inlineStr">
        <is>
          <t>VIMMERBY</t>
        </is>
      </c>
      <c r="G893" t="n">
        <v>2.6</v>
      </c>
      <c r="H893" t="n">
        <v>0</v>
      </c>
      <c r="I893" t="n">
        <v>0</v>
      </c>
      <c r="J893" t="n">
        <v>0</v>
      </c>
      <c r="K893" t="n">
        <v>0</v>
      </c>
      <c r="L893" t="n">
        <v>0</v>
      </c>
      <c r="M893" t="n">
        <v>0</v>
      </c>
      <c r="N893" t="n">
        <v>0</v>
      </c>
      <c r="O893" t="n">
        <v>0</v>
      </c>
      <c r="P893" t="n">
        <v>0</v>
      </c>
      <c r="Q893" t="n">
        <v>0</v>
      </c>
      <c r="R893" s="2" t="inlineStr"/>
    </row>
    <row r="894" ht="15" customHeight="1">
      <c r="A894" t="inlineStr">
        <is>
          <t>A 6307-2025</t>
        </is>
      </c>
      <c r="B894" s="1" t="n">
        <v>45698.69016203703</v>
      </c>
      <c r="C894" s="1" t="n">
        <v>46163</v>
      </c>
      <c r="D894" t="inlineStr">
        <is>
          <t>KALMAR LÄN</t>
        </is>
      </c>
      <c r="E894" t="inlineStr">
        <is>
          <t>VIMMERBY</t>
        </is>
      </c>
      <c r="G894" t="n">
        <v>3</v>
      </c>
      <c r="H894" t="n">
        <v>0</v>
      </c>
      <c r="I894" t="n">
        <v>0</v>
      </c>
      <c r="J894" t="n">
        <v>0</v>
      </c>
      <c r="K894" t="n">
        <v>0</v>
      </c>
      <c r="L894" t="n">
        <v>0</v>
      </c>
      <c r="M894" t="n">
        <v>0</v>
      </c>
      <c r="N894" t="n">
        <v>0</v>
      </c>
      <c r="O894" t="n">
        <v>0</v>
      </c>
      <c r="P894" t="n">
        <v>0</v>
      </c>
      <c r="Q894" t="n">
        <v>0</v>
      </c>
      <c r="R894" s="2" t="inlineStr"/>
    </row>
    <row r="895" ht="15" customHeight="1">
      <c r="A895" t="inlineStr">
        <is>
          <t>A 11442-2025</t>
        </is>
      </c>
      <c r="B895" s="1" t="n">
        <v>45726.62721064815</v>
      </c>
      <c r="C895" s="1" t="n">
        <v>46163</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23394-2025</t>
        </is>
      </c>
      <c r="B896" s="1" t="n">
        <v>45791.89865740741</v>
      </c>
      <c r="C896" s="1" t="n">
        <v>46163</v>
      </c>
      <c r="D896" t="inlineStr">
        <is>
          <t>KALMAR LÄN</t>
        </is>
      </c>
      <c r="E896" t="inlineStr">
        <is>
          <t>VIMMERBY</t>
        </is>
      </c>
      <c r="G896" t="n">
        <v>3.1</v>
      </c>
      <c r="H896" t="n">
        <v>0</v>
      </c>
      <c r="I896" t="n">
        <v>0</v>
      </c>
      <c r="J896" t="n">
        <v>0</v>
      </c>
      <c r="K896" t="n">
        <v>0</v>
      </c>
      <c r="L896" t="n">
        <v>0</v>
      </c>
      <c r="M896" t="n">
        <v>0</v>
      </c>
      <c r="N896" t="n">
        <v>0</v>
      </c>
      <c r="O896" t="n">
        <v>0</v>
      </c>
      <c r="P896" t="n">
        <v>0</v>
      </c>
      <c r="Q896" t="n">
        <v>0</v>
      </c>
      <c r="R896" s="2" t="inlineStr"/>
    </row>
    <row r="897" ht="15" customHeight="1">
      <c r="A897" t="inlineStr">
        <is>
          <t>A 23984-2025</t>
        </is>
      </c>
      <c r="B897" s="1" t="n">
        <v>45796</v>
      </c>
      <c r="C897" s="1" t="n">
        <v>46163</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35082-2024</t>
        </is>
      </c>
      <c r="B898" s="1" t="n">
        <v>45527.68784722222</v>
      </c>
      <c r="C898" s="1" t="n">
        <v>46163</v>
      </c>
      <c r="D898" t="inlineStr">
        <is>
          <t>KALMAR LÄN</t>
        </is>
      </c>
      <c r="E898" t="inlineStr">
        <is>
          <t>VIMMERBY</t>
        </is>
      </c>
      <c r="G898" t="n">
        <v>0.8</v>
      </c>
      <c r="H898" t="n">
        <v>0</v>
      </c>
      <c r="I898" t="n">
        <v>0</v>
      </c>
      <c r="J898" t="n">
        <v>0</v>
      </c>
      <c r="K898" t="n">
        <v>0</v>
      </c>
      <c r="L898" t="n">
        <v>0</v>
      </c>
      <c r="M898" t="n">
        <v>0</v>
      </c>
      <c r="N898" t="n">
        <v>0</v>
      </c>
      <c r="O898" t="n">
        <v>0</v>
      </c>
      <c r="P898" t="n">
        <v>0</v>
      </c>
      <c r="Q898" t="n">
        <v>0</v>
      </c>
      <c r="R898" s="2" t="inlineStr"/>
    </row>
    <row r="899" ht="15" customHeight="1">
      <c r="A899" t="inlineStr">
        <is>
          <t>A 51278-2024</t>
        </is>
      </c>
      <c r="B899" s="1" t="n">
        <v>45603.74959490741</v>
      </c>
      <c r="C899" s="1" t="n">
        <v>46163</v>
      </c>
      <c r="D899" t="inlineStr">
        <is>
          <t>KALMAR LÄN</t>
        </is>
      </c>
      <c r="E899" t="inlineStr">
        <is>
          <t>VIMMERBY</t>
        </is>
      </c>
      <c r="G899" t="n">
        <v>3.4</v>
      </c>
      <c r="H899" t="n">
        <v>0</v>
      </c>
      <c r="I899" t="n">
        <v>0</v>
      </c>
      <c r="J899" t="n">
        <v>0</v>
      </c>
      <c r="K899" t="n">
        <v>0</v>
      </c>
      <c r="L899" t="n">
        <v>0</v>
      </c>
      <c r="M899" t="n">
        <v>0</v>
      </c>
      <c r="N899" t="n">
        <v>0</v>
      </c>
      <c r="O899" t="n">
        <v>0</v>
      </c>
      <c r="P899" t="n">
        <v>0</v>
      </c>
      <c r="Q899" t="n">
        <v>0</v>
      </c>
      <c r="R899" s="2" t="inlineStr"/>
    </row>
    <row r="900" ht="15" customHeight="1">
      <c r="A900" t="inlineStr">
        <is>
          <t>A 9456-2025</t>
        </is>
      </c>
      <c r="B900" s="1" t="n">
        <v>45715.44159722222</v>
      </c>
      <c r="C900" s="1" t="n">
        <v>46163</v>
      </c>
      <c r="D900" t="inlineStr">
        <is>
          <t>KALMAR LÄN</t>
        </is>
      </c>
      <c r="E900" t="inlineStr">
        <is>
          <t>VIMMERBY</t>
        </is>
      </c>
      <c r="G900" t="n">
        <v>1.5</v>
      </c>
      <c r="H900" t="n">
        <v>0</v>
      </c>
      <c r="I900" t="n">
        <v>0</v>
      </c>
      <c r="J900" t="n">
        <v>0</v>
      </c>
      <c r="K900" t="n">
        <v>0</v>
      </c>
      <c r="L900" t="n">
        <v>0</v>
      </c>
      <c r="M900" t="n">
        <v>0</v>
      </c>
      <c r="N900" t="n">
        <v>0</v>
      </c>
      <c r="O900" t="n">
        <v>0</v>
      </c>
      <c r="P900" t="n">
        <v>0</v>
      </c>
      <c r="Q900" t="n">
        <v>0</v>
      </c>
      <c r="R900" s="2" t="inlineStr"/>
    </row>
    <row r="901" ht="15" customHeight="1">
      <c r="A901" t="inlineStr">
        <is>
          <t>A 11111-2023</t>
        </is>
      </c>
      <c r="B901" s="1" t="n">
        <v>44992.4255787037</v>
      </c>
      <c r="C901" s="1" t="n">
        <v>46163</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44582-2024</t>
        </is>
      </c>
      <c r="B902" s="1" t="n">
        <v>45574.49298611111</v>
      </c>
      <c r="C902" s="1" t="n">
        <v>46163</v>
      </c>
      <c r="D902" t="inlineStr">
        <is>
          <t>KALMAR LÄN</t>
        </is>
      </c>
      <c r="E902" t="inlineStr">
        <is>
          <t>VIMMERBY</t>
        </is>
      </c>
      <c r="G902" t="n">
        <v>1.1</v>
      </c>
      <c r="H902" t="n">
        <v>0</v>
      </c>
      <c r="I902" t="n">
        <v>0</v>
      </c>
      <c r="J902" t="n">
        <v>0</v>
      </c>
      <c r="K902" t="n">
        <v>0</v>
      </c>
      <c r="L902" t="n">
        <v>0</v>
      </c>
      <c r="M902" t="n">
        <v>0</v>
      </c>
      <c r="N902" t="n">
        <v>0</v>
      </c>
      <c r="O902" t="n">
        <v>0</v>
      </c>
      <c r="P902" t="n">
        <v>0</v>
      </c>
      <c r="Q902" t="n">
        <v>0</v>
      </c>
      <c r="R902" s="2" t="inlineStr"/>
    </row>
    <row r="903" ht="15" customHeight="1">
      <c r="A903" t="inlineStr">
        <is>
          <t>A 15494-2024</t>
        </is>
      </c>
      <c r="B903" s="1" t="n">
        <v>45401.53033564815</v>
      </c>
      <c r="C903" s="1" t="n">
        <v>46163</v>
      </c>
      <c r="D903" t="inlineStr">
        <is>
          <t>KALMAR LÄN</t>
        </is>
      </c>
      <c r="E903" t="inlineStr">
        <is>
          <t>VIMMERBY</t>
        </is>
      </c>
      <c r="G903" t="n">
        <v>3.2</v>
      </c>
      <c r="H903" t="n">
        <v>0</v>
      </c>
      <c r="I903" t="n">
        <v>0</v>
      </c>
      <c r="J903" t="n">
        <v>0</v>
      </c>
      <c r="K903" t="n">
        <v>0</v>
      </c>
      <c r="L903" t="n">
        <v>0</v>
      </c>
      <c r="M903" t="n">
        <v>0</v>
      </c>
      <c r="N903" t="n">
        <v>0</v>
      </c>
      <c r="O903" t="n">
        <v>0</v>
      </c>
      <c r="P903" t="n">
        <v>0</v>
      </c>
      <c r="Q903" t="n">
        <v>0</v>
      </c>
      <c r="R903" s="2" t="inlineStr"/>
    </row>
    <row r="904" ht="15" customHeight="1">
      <c r="A904" t="inlineStr">
        <is>
          <t>A 58724-2024</t>
        </is>
      </c>
      <c r="B904" s="1" t="n">
        <v>45635.66409722222</v>
      </c>
      <c r="C904" s="1" t="n">
        <v>46163</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25792-2025</t>
        </is>
      </c>
      <c r="B905" s="1" t="n">
        <v>45804.39141203704</v>
      </c>
      <c r="C905" s="1" t="n">
        <v>46163</v>
      </c>
      <c r="D905" t="inlineStr">
        <is>
          <t>KALMAR LÄN</t>
        </is>
      </c>
      <c r="E905" t="inlineStr">
        <is>
          <t>VIMMERBY</t>
        </is>
      </c>
      <c r="G905" t="n">
        <v>0.8</v>
      </c>
      <c r="H905" t="n">
        <v>0</v>
      </c>
      <c r="I905" t="n">
        <v>0</v>
      </c>
      <c r="J905" t="n">
        <v>0</v>
      </c>
      <c r="K905" t="n">
        <v>0</v>
      </c>
      <c r="L905" t="n">
        <v>0</v>
      </c>
      <c r="M905" t="n">
        <v>0</v>
      </c>
      <c r="N905" t="n">
        <v>0</v>
      </c>
      <c r="O905" t="n">
        <v>0</v>
      </c>
      <c r="P905" t="n">
        <v>0</v>
      </c>
      <c r="Q905" t="n">
        <v>0</v>
      </c>
      <c r="R905" s="2" t="inlineStr"/>
    </row>
    <row r="906" ht="15" customHeight="1">
      <c r="A906" t="inlineStr">
        <is>
          <t>A 26039-2025</t>
        </is>
      </c>
      <c r="B906" s="1" t="n">
        <v>45804.6953587963</v>
      </c>
      <c r="C906" s="1" t="n">
        <v>46163</v>
      </c>
      <c r="D906" t="inlineStr">
        <is>
          <t>KALMAR LÄN</t>
        </is>
      </c>
      <c r="E906" t="inlineStr">
        <is>
          <t>VIMMERBY</t>
        </is>
      </c>
      <c r="F906" t="inlineStr">
        <is>
          <t>Sveaskog</t>
        </is>
      </c>
      <c r="G906" t="n">
        <v>5.2</v>
      </c>
      <c r="H906" t="n">
        <v>0</v>
      </c>
      <c r="I906" t="n">
        <v>0</v>
      </c>
      <c r="J906" t="n">
        <v>0</v>
      </c>
      <c r="K906" t="n">
        <v>0</v>
      </c>
      <c r="L906" t="n">
        <v>0</v>
      </c>
      <c r="M906" t="n">
        <v>0</v>
      </c>
      <c r="N906" t="n">
        <v>0</v>
      </c>
      <c r="O906" t="n">
        <v>0</v>
      </c>
      <c r="P906" t="n">
        <v>0</v>
      </c>
      <c r="Q906" t="n">
        <v>0</v>
      </c>
      <c r="R906" s="2" t="inlineStr"/>
    </row>
    <row r="907" ht="15" customHeight="1">
      <c r="A907" t="inlineStr">
        <is>
          <t>A 26046-2025</t>
        </is>
      </c>
      <c r="B907" s="1" t="n">
        <v>45804.708125</v>
      </c>
      <c r="C907" s="1" t="n">
        <v>46163</v>
      </c>
      <c r="D907" t="inlineStr">
        <is>
          <t>KALMAR LÄN</t>
        </is>
      </c>
      <c r="E907" t="inlineStr">
        <is>
          <t>VIMMERBY</t>
        </is>
      </c>
      <c r="F907" t="inlineStr">
        <is>
          <t>Sveaskog</t>
        </is>
      </c>
      <c r="G907" t="n">
        <v>5.1</v>
      </c>
      <c r="H907" t="n">
        <v>0</v>
      </c>
      <c r="I907" t="n">
        <v>0</v>
      </c>
      <c r="J907" t="n">
        <v>0</v>
      </c>
      <c r="K907" t="n">
        <v>0</v>
      </c>
      <c r="L907" t="n">
        <v>0</v>
      </c>
      <c r="M907" t="n">
        <v>0</v>
      </c>
      <c r="N907" t="n">
        <v>0</v>
      </c>
      <c r="O907" t="n">
        <v>0</v>
      </c>
      <c r="P907" t="n">
        <v>0</v>
      </c>
      <c r="Q907" t="n">
        <v>0</v>
      </c>
      <c r="R907" s="2" t="inlineStr"/>
    </row>
    <row r="908" ht="15" customHeight="1">
      <c r="A908" t="inlineStr">
        <is>
          <t>A 26124-2025</t>
        </is>
      </c>
      <c r="B908" s="1" t="n">
        <v>45805.39247685186</v>
      </c>
      <c r="C908" s="1" t="n">
        <v>46163</v>
      </c>
      <c r="D908" t="inlineStr">
        <is>
          <t>KALMAR LÄN</t>
        </is>
      </c>
      <c r="E908" t="inlineStr">
        <is>
          <t>VIMMERBY</t>
        </is>
      </c>
      <c r="G908" t="n">
        <v>6.6</v>
      </c>
      <c r="H908" t="n">
        <v>0</v>
      </c>
      <c r="I908" t="n">
        <v>0</v>
      </c>
      <c r="J908" t="n">
        <v>0</v>
      </c>
      <c r="K908" t="n">
        <v>0</v>
      </c>
      <c r="L908" t="n">
        <v>0</v>
      </c>
      <c r="M908" t="n">
        <v>0</v>
      </c>
      <c r="N908" t="n">
        <v>0</v>
      </c>
      <c r="O908" t="n">
        <v>0</v>
      </c>
      <c r="P908" t="n">
        <v>0</v>
      </c>
      <c r="Q908" t="n">
        <v>0</v>
      </c>
      <c r="R908" s="2" t="inlineStr"/>
    </row>
    <row r="909" ht="15" customHeight="1">
      <c r="A909" t="inlineStr">
        <is>
          <t>A 26207-2025</t>
        </is>
      </c>
      <c r="B909" s="1" t="n">
        <v>45805.52983796296</v>
      </c>
      <c r="C909" s="1" t="n">
        <v>46163</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25830-2025</t>
        </is>
      </c>
      <c r="B910" s="1" t="n">
        <v>45804.44519675926</v>
      </c>
      <c r="C910" s="1" t="n">
        <v>46163</v>
      </c>
      <c r="D910" t="inlineStr">
        <is>
          <t>KALMAR LÄN</t>
        </is>
      </c>
      <c r="E910" t="inlineStr">
        <is>
          <t>VIMMERBY</t>
        </is>
      </c>
      <c r="G910" t="n">
        <v>4.9</v>
      </c>
      <c r="H910" t="n">
        <v>0</v>
      </c>
      <c r="I910" t="n">
        <v>0</v>
      </c>
      <c r="J910" t="n">
        <v>0</v>
      </c>
      <c r="K910" t="n">
        <v>0</v>
      </c>
      <c r="L910" t="n">
        <v>0</v>
      </c>
      <c r="M910" t="n">
        <v>0</v>
      </c>
      <c r="N910" t="n">
        <v>0</v>
      </c>
      <c r="O910" t="n">
        <v>0</v>
      </c>
      <c r="P910" t="n">
        <v>0</v>
      </c>
      <c r="Q910" t="n">
        <v>0</v>
      </c>
      <c r="R910" s="2" t="inlineStr"/>
    </row>
    <row r="911" ht="15" customHeight="1">
      <c r="A911" t="inlineStr">
        <is>
          <t>A 26254-2025</t>
        </is>
      </c>
      <c r="B911" s="1" t="n">
        <v>45805</v>
      </c>
      <c r="C911" s="1" t="n">
        <v>46163</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28286-2025</t>
        </is>
      </c>
      <c r="B912" s="1" t="n">
        <v>45818.58993055556</v>
      </c>
      <c r="C912" s="1" t="n">
        <v>46163</v>
      </c>
      <c r="D912" t="inlineStr">
        <is>
          <t>KALMAR LÄN</t>
        </is>
      </c>
      <c r="E912" t="inlineStr">
        <is>
          <t>VIMMERBY</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28282-2025</t>
        </is>
      </c>
      <c r="B913" s="1" t="n">
        <v>45818.58769675926</v>
      </c>
      <c r="C913" s="1" t="n">
        <v>46163</v>
      </c>
      <c r="D913" t="inlineStr">
        <is>
          <t>KALMAR LÄN</t>
        </is>
      </c>
      <c r="E913" t="inlineStr">
        <is>
          <t>VIMMERBY</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28294-2025</t>
        </is>
      </c>
      <c r="B914" s="1" t="n">
        <v>45818.595625</v>
      </c>
      <c r="C914" s="1" t="n">
        <v>46163</v>
      </c>
      <c r="D914" t="inlineStr">
        <is>
          <t>KALMAR LÄN</t>
        </is>
      </c>
      <c r="E914" t="inlineStr">
        <is>
          <t>VIMMERBY</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28290-2025</t>
        </is>
      </c>
      <c r="B915" s="1" t="n">
        <v>45818.59261574074</v>
      </c>
      <c r="C915" s="1" t="n">
        <v>46163</v>
      </c>
      <c r="D915" t="inlineStr">
        <is>
          <t>KALMAR LÄN</t>
        </is>
      </c>
      <c r="E915" t="inlineStr">
        <is>
          <t>VIMMERBY</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28280-2025</t>
        </is>
      </c>
      <c r="B916" s="1" t="n">
        <v>45818.5862037037</v>
      </c>
      <c r="C916" s="1" t="n">
        <v>46163</v>
      </c>
      <c r="D916" t="inlineStr">
        <is>
          <t>KALMAR LÄN</t>
        </is>
      </c>
      <c r="E916" t="inlineStr">
        <is>
          <t>VIMMERBY</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28620-2025</t>
        </is>
      </c>
      <c r="B917" s="1" t="n">
        <v>45819.61060185185</v>
      </c>
      <c r="C917" s="1" t="n">
        <v>46163</v>
      </c>
      <c r="D917" t="inlineStr">
        <is>
          <t>KALMAR LÄN</t>
        </is>
      </c>
      <c r="E917" t="inlineStr">
        <is>
          <t>VIMMERBY</t>
        </is>
      </c>
      <c r="G917" t="n">
        <v>5.6</v>
      </c>
      <c r="H917" t="n">
        <v>0</v>
      </c>
      <c r="I917" t="n">
        <v>0</v>
      </c>
      <c r="J917" t="n">
        <v>0</v>
      </c>
      <c r="K917" t="n">
        <v>0</v>
      </c>
      <c r="L917" t="n">
        <v>0</v>
      </c>
      <c r="M917" t="n">
        <v>0</v>
      </c>
      <c r="N917" t="n">
        <v>0</v>
      </c>
      <c r="O917" t="n">
        <v>0</v>
      </c>
      <c r="P917" t="n">
        <v>0</v>
      </c>
      <c r="Q917" t="n">
        <v>0</v>
      </c>
      <c r="R917" s="2" t="inlineStr"/>
    </row>
    <row r="918" ht="15" customHeight="1">
      <c r="A918" t="inlineStr">
        <is>
          <t>A 28712-2025</t>
        </is>
      </c>
      <c r="B918" s="1" t="n">
        <v>45820.33708333333</v>
      </c>
      <c r="C918" s="1" t="n">
        <v>46163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28714-2025</t>
        </is>
      </c>
      <c r="B919" s="1" t="n">
        <v>45820.34128472222</v>
      </c>
      <c r="C919" s="1" t="n">
        <v>46163</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c r="A920" t="inlineStr">
        <is>
          <t>A 28713-2025</t>
        </is>
      </c>
      <c r="B920" s="1" t="n">
        <v>45820.33930555556</v>
      </c>
      <c r="C920" s="1" t="n">
        <v>46163</v>
      </c>
      <c r="D920" t="inlineStr">
        <is>
          <t>KALMAR LÄN</t>
        </is>
      </c>
      <c r="E920" t="inlineStr">
        <is>
          <t>VIMMERBY</t>
        </is>
      </c>
      <c r="G920" t="n">
        <v>2.3</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2026-05-21T10:53:01Z</dcterms:created>
  <dcterms:modified xmlns:dcterms="http://purl.org/dc/terms/" xmlns:xsi="http://www.w3.org/2001/XMLSchema-instance" xsi:type="dcterms:W3CDTF">2026-05-21T10:53:02Z</dcterms:modified>
</cp:coreProperties>
</file>