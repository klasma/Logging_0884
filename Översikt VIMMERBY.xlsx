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45338</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45338</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45338</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45338</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45338</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45338</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45338</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1960-2023</t>
        </is>
      </c>
      <c r="B9" s="1" t="n">
        <v>44939</v>
      </c>
      <c r="C9" s="1" t="n">
        <v>45338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1817-2024</t>
        </is>
      </c>
      <c r="B10" s="1" t="n">
        <v>45307</v>
      </c>
      <c r="C10" s="1" t="n">
        <v>45338</v>
      </c>
      <c r="D10" t="inlineStr">
        <is>
          <t>KALMAR LÄN</t>
        </is>
      </c>
      <c r="E10" t="inlineStr">
        <is>
          <t>VIMMERBY</t>
        </is>
      </c>
      <c r="G10" t="n">
        <v>4.4</v>
      </c>
      <c r="H10" t="n">
        <v>3</v>
      </c>
      <c r="I10" t="n">
        <v>1</v>
      </c>
      <c r="J10" t="n">
        <v>2</v>
      </c>
      <c r="K10" t="n">
        <v>2</v>
      </c>
      <c r="L10" t="n">
        <v>0</v>
      </c>
      <c r="M10" t="n">
        <v>0</v>
      </c>
      <c r="N10" t="n">
        <v>0</v>
      </c>
      <c r="O10" t="n">
        <v>4</v>
      </c>
      <c r="P10" t="n">
        <v>2</v>
      </c>
      <c r="Q10" t="n">
        <v>5</v>
      </c>
      <c r="R10" s="2" t="inlineStr">
        <is>
          <t>Knärot
Vågticka
Spillkråka
Talltita
Blomkålssvamp</t>
        </is>
      </c>
      <c r="S10">
        <f>HYPERLINK("https://klasma.github.io/Logging_0884/artfynd/A 1817-2024 artfynd.xlsx", "A 1817-2024")</f>
        <v/>
      </c>
      <c r="T10">
        <f>HYPERLINK("https://klasma.github.io/Logging_0884/kartor/A 1817-2024 karta.png", "A 1817-2024")</f>
        <v/>
      </c>
      <c r="U10">
        <f>HYPERLINK("https://klasma.github.io/Logging_0884/knärot/A 1817-2024 karta knärot.png", "A 1817-2024")</f>
        <v/>
      </c>
      <c r="V10">
        <f>HYPERLINK("https://klasma.github.io/Logging_0884/klagomål/A 1817-2024 FSC-klagomål.docx", "A 1817-2024")</f>
        <v/>
      </c>
      <c r="W10">
        <f>HYPERLINK("https://klasma.github.io/Logging_0884/klagomålsmail/A 1817-2024 FSC-klagomål mail.docx", "A 1817-2024")</f>
        <v/>
      </c>
      <c r="X10">
        <f>HYPERLINK("https://klasma.github.io/Logging_0884/tillsyn/A 1817-2024 tillsynsbegäran.docx", "A 1817-2024")</f>
        <v/>
      </c>
      <c r="Y10">
        <f>HYPERLINK("https://klasma.github.io/Logging_0884/tillsynsmail/A 1817-2024 tillsynsbegäran mail.docx", "A 1817-2024")</f>
        <v/>
      </c>
      <c r="Z10">
        <f>HYPERLINK("https://klasma.github.io/Logging_0884/fåglar/A 1817-2024 prioriterade fågelarter.docx", "A 1817-2024")</f>
        <v/>
      </c>
    </row>
    <row r="11" ht="15" customHeight="1">
      <c r="A11" t="inlineStr">
        <is>
          <t>A 19978-2019</t>
        </is>
      </c>
      <c r="B11" s="1" t="n">
        <v>43566</v>
      </c>
      <c r="C11" s="1" t="n">
        <v>45338</v>
      </c>
      <c r="D11" t="inlineStr">
        <is>
          <t>KALMAR LÄN</t>
        </is>
      </c>
      <c r="E11" t="inlineStr">
        <is>
          <t>VIMMERBY</t>
        </is>
      </c>
      <c r="G11" t="n">
        <v>3.5</v>
      </c>
      <c r="H11" t="n">
        <v>2</v>
      </c>
      <c r="I11" t="n">
        <v>0</v>
      </c>
      <c r="J11" t="n">
        <v>1</v>
      </c>
      <c r="K11" t="n">
        <v>1</v>
      </c>
      <c r="L11" t="n">
        <v>0</v>
      </c>
      <c r="M11" t="n">
        <v>0</v>
      </c>
      <c r="N11" t="n">
        <v>0</v>
      </c>
      <c r="O11" t="n">
        <v>2</v>
      </c>
      <c r="P11" t="n">
        <v>1</v>
      </c>
      <c r="Q11" t="n">
        <v>4</v>
      </c>
      <c r="R11" s="2" t="inlineStr">
        <is>
          <t>Slåttergubbe
Sommarfibbla
Blåsippa
Revlummer</t>
        </is>
      </c>
      <c r="S11">
        <f>HYPERLINK("https://klasma.github.io/Logging_0884/artfynd/A 19978-2019 artfynd.xlsx", "A 19978-2019")</f>
        <v/>
      </c>
      <c r="T11">
        <f>HYPERLINK("https://klasma.github.io/Logging_0884/kartor/A 19978-2019 karta.png", "A 19978-2019")</f>
        <v/>
      </c>
      <c r="V11">
        <f>HYPERLINK("https://klasma.github.io/Logging_0884/klagomål/A 19978-2019 FSC-klagomål.docx", "A 19978-2019")</f>
        <v/>
      </c>
      <c r="W11">
        <f>HYPERLINK("https://klasma.github.io/Logging_0884/klagomålsmail/A 19978-2019 FSC-klagomål mail.docx", "A 19978-2019")</f>
        <v/>
      </c>
      <c r="X11">
        <f>HYPERLINK("https://klasma.github.io/Logging_0884/tillsyn/A 19978-2019 tillsynsbegäran.docx", "A 19978-2019")</f>
        <v/>
      </c>
      <c r="Y11">
        <f>HYPERLINK("https://klasma.github.io/Logging_0884/tillsynsmail/A 19978-2019 tillsynsbegäran mail.docx", "A 19978-2019")</f>
        <v/>
      </c>
    </row>
    <row r="12" ht="15" customHeight="1">
      <c r="A12" t="inlineStr">
        <is>
          <t>A 62797-2019</t>
        </is>
      </c>
      <c r="B12" s="1" t="n">
        <v>43790</v>
      </c>
      <c r="C12" s="1" t="n">
        <v>45338</v>
      </c>
      <c r="D12" t="inlineStr">
        <is>
          <t>KALMAR LÄN</t>
        </is>
      </c>
      <c r="E12" t="inlineStr">
        <is>
          <t>VIMMERBY</t>
        </is>
      </c>
      <c r="G12" t="n">
        <v>1.5</v>
      </c>
      <c r="H12" t="n">
        <v>1</v>
      </c>
      <c r="I12" t="n">
        <v>2</v>
      </c>
      <c r="J12" t="n">
        <v>1</v>
      </c>
      <c r="K12" t="n">
        <v>0</v>
      </c>
      <c r="L12" t="n">
        <v>0</v>
      </c>
      <c r="M12" t="n">
        <v>0</v>
      </c>
      <c r="N12" t="n">
        <v>0</v>
      </c>
      <c r="O12" t="n">
        <v>1</v>
      </c>
      <c r="P12" t="n">
        <v>0</v>
      </c>
      <c r="Q12" t="n">
        <v>4</v>
      </c>
      <c r="R12" s="2" t="inlineStr">
        <is>
          <t>Gransotdyna
Bårdlav
Vätteros
Blåsippa</t>
        </is>
      </c>
      <c r="S12">
        <f>HYPERLINK("https://klasma.github.io/Logging_0884/artfynd/A 62797-2019 artfynd.xlsx", "A 62797-2019")</f>
        <v/>
      </c>
      <c r="T12">
        <f>HYPERLINK("https://klasma.github.io/Logging_0884/kartor/A 62797-2019 karta.png", "A 62797-2019")</f>
        <v/>
      </c>
      <c r="V12">
        <f>HYPERLINK("https://klasma.github.io/Logging_0884/klagomål/A 62797-2019 FSC-klagomål.docx", "A 62797-2019")</f>
        <v/>
      </c>
      <c r="W12">
        <f>HYPERLINK("https://klasma.github.io/Logging_0884/klagomålsmail/A 62797-2019 FSC-klagomål mail.docx", "A 62797-2019")</f>
        <v/>
      </c>
      <c r="X12">
        <f>HYPERLINK("https://klasma.github.io/Logging_0884/tillsyn/A 62797-2019 tillsynsbegäran.docx", "A 62797-2019")</f>
        <v/>
      </c>
      <c r="Y12">
        <f>HYPERLINK("https://klasma.github.io/Logging_0884/tillsynsmail/A 62797-2019 tillsynsbegäran mail.docx", "A 62797-2019")</f>
        <v/>
      </c>
    </row>
    <row r="13" ht="15" customHeight="1">
      <c r="A13" t="inlineStr">
        <is>
          <t>A 31588-2020</t>
        </is>
      </c>
      <c r="B13" s="1" t="n">
        <v>44013</v>
      </c>
      <c r="C13" s="1" t="n">
        <v>45338</v>
      </c>
      <c r="D13" t="inlineStr">
        <is>
          <t>KALMAR LÄN</t>
        </is>
      </c>
      <c r="E13" t="inlineStr">
        <is>
          <t>VIMMERBY</t>
        </is>
      </c>
      <c r="G13" t="n">
        <v>7.3</v>
      </c>
      <c r="H13" t="n">
        <v>4</v>
      </c>
      <c r="I13" t="n">
        <v>0</v>
      </c>
      <c r="J13" t="n">
        <v>3</v>
      </c>
      <c r="K13" t="n">
        <v>1</v>
      </c>
      <c r="L13" t="n">
        <v>0</v>
      </c>
      <c r="M13" t="n">
        <v>0</v>
      </c>
      <c r="N13" t="n">
        <v>0</v>
      </c>
      <c r="O13" t="n">
        <v>4</v>
      </c>
      <c r="P13" t="n">
        <v>1</v>
      </c>
      <c r="Q13" t="n">
        <v>4</v>
      </c>
      <c r="R13" s="2" t="inlineStr">
        <is>
          <t>Rödstrupig piplärka
Blå kärrhök
Dubbelbeckasin
Fjällvråk</t>
        </is>
      </c>
      <c r="S13">
        <f>HYPERLINK("https://klasma.github.io/Logging_0884/artfynd/A 31588-2020 artfynd.xlsx", "A 31588-2020")</f>
        <v/>
      </c>
      <c r="T13">
        <f>HYPERLINK("https://klasma.github.io/Logging_0884/kartor/A 31588-2020 karta.png", "A 31588-2020")</f>
        <v/>
      </c>
      <c r="V13">
        <f>HYPERLINK("https://klasma.github.io/Logging_0884/klagomål/A 31588-2020 FSC-klagomål.docx", "A 31588-2020")</f>
        <v/>
      </c>
      <c r="W13">
        <f>HYPERLINK("https://klasma.github.io/Logging_0884/klagomålsmail/A 31588-2020 FSC-klagomål mail.docx", "A 31588-2020")</f>
        <v/>
      </c>
      <c r="X13">
        <f>HYPERLINK("https://klasma.github.io/Logging_0884/tillsyn/A 31588-2020 tillsynsbegäran.docx", "A 31588-2020")</f>
        <v/>
      </c>
      <c r="Y13">
        <f>HYPERLINK("https://klasma.github.io/Logging_0884/tillsynsmail/A 31588-2020 tillsynsbegäran mail.docx", "A 31588-2020")</f>
        <v/>
      </c>
      <c r="Z13">
        <f>HYPERLINK("https://klasma.github.io/Logging_0884/fåglar/A 31588-2020 prioriterade fågelarter.docx", "A 31588-2020")</f>
        <v/>
      </c>
    </row>
    <row r="14" ht="15" customHeight="1">
      <c r="A14" t="inlineStr">
        <is>
          <t>A 35331-2022</t>
        </is>
      </c>
      <c r="B14" s="1" t="n">
        <v>44798</v>
      </c>
      <c r="C14" s="1" t="n">
        <v>45338</v>
      </c>
      <c r="D14" t="inlineStr">
        <is>
          <t>KALMAR LÄN</t>
        </is>
      </c>
      <c r="E14" t="inlineStr">
        <is>
          <t>VIMMERBY</t>
        </is>
      </c>
      <c r="G14" t="n">
        <v>2.4</v>
      </c>
      <c r="H14" t="n">
        <v>1</v>
      </c>
      <c r="I14" t="n">
        <v>2</v>
      </c>
      <c r="J14" t="n">
        <v>2</v>
      </c>
      <c r="K14" t="n">
        <v>0</v>
      </c>
      <c r="L14" t="n">
        <v>0</v>
      </c>
      <c r="M14" t="n">
        <v>0</v>
      </c>
      <c r="N14" t="n">
        <v>0</v>
      </c>
      <c r="O14" t="n">
        <v>2</v>
      </c>
      <c r="P14" t="n">
        <v>0</v>
      </c>
      <c r="Q14" t="n">
        <v>4</v>
      </c>
      <c r="R14" s="2" t="inlineStr">
        <is>
          <t>Tallticka
Talltita
Bårdlav
Jättesvampmal</t>
        </is>
      </c>
      <c r="S14">
        <f>HYPERLINK("https://klasma.github.io/Logging_0884/artfynd/A 35331-2022 artfynd.xlsx", "A 35331-2022")</f>
        <v/>
      </c>
      <c r="T14">
        <f>HYPERLINK("https://klasma.github.io/Logging_0884/kartor/A 35331-2022 karta.png", "A 35331-2022")</f>
        <v/>
      </c>
      <c r="V14">
        <f>HYPERLINK("https://klasma.github.io/Logging_0884/klagomål/A 35331-2022 FSC-klagomål.docx", "A 35331-2022")</f>
        <v/>
      </c>
      <c r="W14">
        <f>HYPERLINK("https://klasma.github.io/Logging_0884/klagomålsmail/A 35331-2022 FSC-klagomål mail.docx", "A 35331-2022")</f>
        <v/>
      </c>
      <c r="X14">
        <f>HYPERLINK("https://klasma.github.io/Logging_0884/tillsyn/A 35331-2022 tillsynsbegäran.docx", "A 35331-2022")</f>
        <v/>
      </c>
      <c r="Y14">
        <f>HYPERLINK("https://klasma.github.io/Logging_0884/tillsynsmail/A 35331-2022 tillsynsbegäran mail.docx", "A 35331-2022")</f>
        <v/>
      </c>
      <c r="Z14">
        <f>HYPERLINK("https://klasma.github.io/Logging_0884/fåglar/A 35331-2022 prioriterade fågelarter.docx", "A 35331-2022")</f>
        <v/>
      </c>
    </row>
    <row r="15" ht="15" customHeight="1">
      <c r="A15" t="inlineStr">
        <is>
          <t>A 61232-2023</t>
        </is>
      </c>
      <c r="B15" s="1" t="n">
        <v>45264</v>
      </c>
      <c r="C15" s="1" t="n">
        <v>45338</v>
      </c>
      <c r="D15" t="inlineStr">
        <is>
          <t>KALMAR LÄN</t>
        </is>
      </c>
      <c r="E15" t="inlineStr">
        <is>
          <t>VIMMERBY</t>
        </is>
      </c>
      <c r="G15" t="n">
        <v>2.3</v>
      </c>
      <c r="H15" t="n">
        <v>4</v>
      </c>
      <c r="I15" t="n">
        <v>0</v>
      </c>
      <c r="J15" t="n">
        <v>1</v>
      </c>
      <c r="K15" t="n">
        <v>1</v>
      </c>
      <c r="L15" t="n">
        <v>0</v>
      </c>
      <c r="M15" t="n">
        <v>0</v>
      </c>
      <c r="N15" t="n">
        <v>0</v>
      </c>
      <c r="O15" t="n">
        <v>2</v>
      </c>
      <c r="P15" t="n">
        <v>1</v>
      </c>
      <c r="Q15" t="n">
        <v>4</v>
      </c>
      <c r="R15" s="2" t="inlineStr">
        <is>
          <t>Knärot
Talltita
Tjäder
Revlummer</t>
        </is>
      </c>
      <c r="S15">
        <f>HYPERLINK("https://klasma.github.io/Logging_0884/artfynd/A 61232-2023 artfynd.xlsx", "A 61232-2023")</f>
        <v/>
      </c>
      <c r="T15">
        <f>HYPERLINK("https://klasma.github.io/Logging_0884/kartor/A 61232-2023 karta.png", "A 61232-2023")</f>
        <v/>
      </c>
      <c r="U15">
        <f>HYPERLINK("https://klasma.github.io/Logging_0884/knärot/A 61232-2023 karta knärot.png", "A 61232-2023")</f>
        <v/>
      </c>
      <c r="V15">
        <f>HYPERLINK("https://klasma.github.io/Logging_0884/klagomål/A 61232-2023 FSC-klagomål.docx", "A 61232-2023")</f>
        <v/>
      </c>
      <c r="W15">
        <f>HYPERLINK("https://klasma.github.io/Logging_0884/klagomålsmail/A 61232-2023 FSC-klagomål mail.docx", "A 61232-2023")</f>
        <v/>
      </c>
      <c r="X15">
        <f>HYPERLINK("https://klasma.github.io/Logging_0884/tillsyn/A 61232-2023 tillsynsbegäran.docx", "A 61232-2023")</f>
        <v/>
      </c>
      <c r="Y15">
        <f>HYPERLINK("https://klasma.github.io/Logging_0884/tillsynsmail/A 61232-2023 tillsynsbegäran mail.docx", "A 61232-2023")</f>
        <v/>
      </c>
      <c r="Z15">
        <f>HYPERLINK("https://klasma.github.io/Logging_0884/fåglar/A 61232-2023 prioriterade fågelarter.docx", "A 61232-2023")</f>
        <v/>
      </c>
    </row>
    <row r="16" ht="15" customHeight="1">
      <c r="A16" t="inlineStr">
        <is>
          <t>A 71226-2018</t>
        </is>
      </c>
      <c r="B16" s="1" t="n">
        <v>43453</v>
      </c>
      <c r="C16" s="1" t="n">
        <v>45338</v>
      </c>
      <c r="D16" t="inlineStr">
        <is>
          <t>KALMAR LÄN</t>
        </is>
      </c>
      <c r="E16" t="inlineStr">
        <is>
          <t>VIMMERBY</t>
        </is>
      </c>
      <c r="G16" t="n">
        <v>2.2</v>
      </c>
      <c r="H16" t="n">
        <v>2</v>
      </c>
      <c r="I16" t="n">
        <v>0</v>
      </c>
      <c r="J16" t="n">
        <v>0</v>
      </c>
      <c r="K16" t="n">
        <v>0</v>
      </c>
      <c r="L16" t="n">
        <v>1</v>
      </c>
      <c r="M16" t="n">
        <v>0</v>
      </c>
      <c r="N16" t="n">
        <v>0</v>
      </c>
      <c r="O16" t="n">
        <v>1</v>
      </c>
      <c r="P16" t="n">
        <v>1</v>
      </c>
      <c r="Q16" t="n">
        <v>3</v>
      </c>
      <c r="R16" s="2" t="inlineStr">
        <is>
          <t>Ask
Lopplummer
Mattlummer</t>
        </is>
      </c>
      <c r="S16">
        <f>HYPERLINK("https://klasma.github.io/Logging_0884/artfynd/A 71226-2018 artfynd.xlsx", "A 71226-2018")</f>
        <v/>
      </c>
      <c r="T16">
        <f>HYPERLINK("https://klasma.github.io/Logging_0884/kartor/A 71226-2018 karta.png", "A 71226-2018")</f>
        <v/>
      </c>
      <c r="V16">
        <f>HYPERLINK("https://klasma.github.io/Logging_0884/klagomål/A 71226-2018 FSC-klagomål.docx", "A 71226-2018")</f>
        <v/>
      </c>
      <c r="W16">
        <f>HYPERLINK("https://klasma.github.io/Logging_0884/klagomålsmail/A 71226-2018 FSC-klagomål mail.docx", "A 71226-2018")</f>
        <v/>
      </c>
      <c r="X16">
        <f>HYPERLINK("https://klasma.github.io/Logging_0884/tillsyn/A 71226-2018 tillsynsbegäran.docx", "A 71226-2018")</f>
        <v/>
      </c>
      <c r="Y16">
        <f>HYPERLINK("https://klasma.github.io/Logging_0884/tillsynsmail/A 71226-2018 tillsynsbegäran mail.docx", "A 71226-2018")</f>
        <v/>
      </c>
    </row>
    <row r="17" ht="15" customHeight="1">
      <c r="A17" t="inlineStr">
        <is>
          <t>A 36349-2019</t>
        </is>
      </c>
      <c r="B17" s="1" t="n">
        <v>43670</v>
      </c>
      <c r="C17" s="1" t="n">
        <v>45338</v>
      </c>
      <c r="D17" t="inlineStr">
        <is>
          <t>KALMAR LÄN</t>
        </is>
      </c>
      <c r="E17" t="inlineStr">
        <is>
          <t>VIMMERBY</t>
        </is>
      </c>
      <c r="G17" t="n">
        <v>2.6</v>
      </c>
      <c r="H17" t="n">
        <v>1</v>
      </c>
      <c r="I17" t="n">
        <v>2</v>
      </c>
      <c r="J17" t="n">
        <v>0</v>
      </c>
      <c r="K17" t="n">
        <v>0</v>
      </c>
      <c r="L17" t="n">
        <v>0</v>
      </c>
      <c r="M17" t="n">
        <v>0</v>
      </c>
      <c r="N17" t="n">
        <v>0</v>
      </c>
      <c r="O17" t="n">
        <v>0</v>
      </c>
      <c r="P17" t="n">
        <v>0</v>
      </c>
      <c r="Q17" t="n">
        <v>3</v>
      </c>
      <c r="R17" s="2" t="inlineStr">
        <is>
          <t>Fällmossa
Guldlockmossa
Blåsippa</t>
        </is>
      </c>
      <c r="S17">
        <f>HYPERLINK("https://klasma.github.io/Logging_0884/artfynd/A 36349-2019 artfynd.xlsx", "A 36349-2019")</f>
        <v/>
      </c>
      <c r="T17">
        <f>HYPERLINK("https://klasma.github.io/Logging_0884/kartor/A 36349-2019 karta.png", "A 36349-2019")</f>
        <v/>
      </c>
      <c r="V17">
        <f>HYPERLINK("https://klasma.github.io/Logging_0884/klagomål/A 36349-2019 FSC-klagomål.docx", "A 36349-2019")</f>
        <v/>
      </c>
      <c r="W17">
        <f>HYPERLINK("https://klasma.github.io/Logging_0884/klagomålsmail/A 36349-2019 FSC-klagomål mail.docx", "A 36349-2019")</f>
        <v/>
      </c>
      <c r="X17">
        <f>HYPERLINK("https://klasma.github.io/Logging_0884/tillsyn/A 36349-2019 tillsynsbegäran.docx", "A 36349-2019")</f>
        <v/>
      </c>
      <c r="Y17">
        <f>HYPERLINK("https://klasma.github.io/Logging_0884/tillsynsmail/A 36349-2019 tillsynsbegäran mail.docx", "A 36349-2019")</f>
        <v/>
      </c>
    </row>
    <row r="18" ht="15" customHeight="1">
      <c r="A18" t="inlineStr">
        <is>
          <t>A 8411-2021</t>
        </is>
      </c>
      <c r="B18" s="1" t="n">
        <v>44245</v>
      </c>
      <c r="C18" s="1" t="n">
        <v>45338</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45338</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8214-2023</t>
        </is>
      </c>
      <c r="B20" s="1" t="n">
        <v>44974</v>
      </c>
      <c r="C20" s="1" t="n">
        <v>45338</v>
      </c>
      <c r="D20" t="inlineStr">
        <is>
          <t>KALMAR LÄN</t>
        </is>
      </c>
      <c r="E20" t="inlineStr">
        <is>
          <t>VIMMERBY</t>
        </is>
      </c>
      <c r="G20" t="n">
        <v>4.7</v>
      </c>
      <c r="H20" t="n">
        <v>1</v>
      </c>
      <c r="I20" t="n">
        <v>1</v>
      </c>
      <c r="J20" t="n">
        <v>1</v>
      </c>
      <c r="K20" t="n">
        <v>1</v>
      </c>
      <c r="L20" t="n">
        <v>0</v>
      </c>
      <c r="M20" t="n">
        <v>0</v>
      </c>
      <c r="N20" t="n">
        <v>0</v>
      </c>
      <c r="O20" t="n">
        <v>2</v>
      </c>
      <c r="P20" t="n">
        <v>1</v>
      </c>
      <c r="Q20" t="n">
        <v>3</v>
      </c>
      <c r="R20" s="2" t="inlineStr">
        <is>
          <t>Knärot
Åkerkål
Grönpyrola</t>
        </is>
      </c>
      <c r="S20">
        <f>HYPERLINK("https://klasma.github.io/Logging_0884/artfynd/A 8214-2023 artfynd.xlsx", "A 8214-2023")</f>
        <v/>
      </c>
      <c r="T20">
        <f>HYPERLINK("https://klasma.github.io/Logging_0884/kartor/A 8214-2023 karta.png", "A 8214-2023")</f>
        <v/>
      </c>
      <c r="U20">
        <f>HYPERLINK("https://klasma.github.io/Logging_0884/knärot/A 8214-2023 karta knärot.png", "A 8214-2023")</f>
        <v/>
      </c>
      <c r="V20">
        <f>HYPERLINK("https://klasma.github.io/Logging_0884/klagomål/A 8214-2023 FSC-klagomål.docx", "A 8214-2023")</f>
        <v/>
      </c>
      <c r="W20">
        <f>HYPERLINK("https://klasma.github.io/Logging_0884/klagomålsmail/A 8214-2023 FSC-klagomål mail.docx", "A 8214-2023")</f>
        <v/>
      </c>
      <c r="X20">
        <f>HYPERLINK("https://klasma.github.io/Logging_0884/tillsyn/A 8214-2023 tillsynsbegäran.docx", "A 8214-2023")</f>
        <v/>
      </c>
      <c r="Y20">
        <f>HYPERLINK("https://klasma.github.io/Logging_0884/tillsynsmail/A 8214-2023 tillsynsbegäran mail.docx", "A 8214-2023")</f>
        <v/>
      </c>
    </row>
    <row r="21" ht="15" customHeight="1">
      <c r="A21" t="inlineStr">
        <is>
          <t>A 15427-2023</t>
        </is>
      </c>
      <c r="B21" s="1" t="n">
        <v>45020</v>
      </c>
      <c r="C21" s="1" t="n">
        <v>45338</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41034-2023</t>
        </is>
      </c>
      <c r="B22" s="1" t="n">
        <v>45173</v>
      </c>
      <c r="C22" s="1" t="n">
        <v>45338</v>
      </c>
      <c r="D22" t="inlineStr">
        <is>
          <t>KALMAR LÄN</t>
        </is>
      </c>
      <c r="E22" t="inlineStr">
        <is>
          <t>VIMMERBY</t>
        </is>
      </c>
      <c r="G22" t="n">
        <v>3.8</v>
      </c>
      <c r="H22" t="n">
        <v>0</v>
      </c>
      <c r="I22" t="n">
        <v>2</v>
      </c>
      <c r="J22" t="n">
        <v>1</v>
      </c>
      <c r="K22" t="n">
        <v>0</v>
      </c>
      <c r="L22" t="n">
        <v>0</v>
      </c>
      <c r="M22" t="n">
        <v>0</v>
      </c>
      <c r="N22" t="n">
        <v>0</v>
      </c>
      <c r="O22" t="n">
        <v>1</v>
      </c>
      <c r="P22" t="n">
        <v>0</v>
      </c>
      <c r="Q22" t="n">
        <v>3</v>
      </c>
      <c r="R22" s="2" t="inlineStr">
        <is>
          <t>Dofttaggsvamp
Blåmossa
Grönpyrola</t>
        </is>
      </c>
      <c r="S22">
        <f>HYPERLINK("https://klasma.github.io/Logging_0884/artfynd/A 41034-2023 artfynd.xlsx", "A 41034-2023")</f>
        <v/>
      </c>
      <c r="T22">
        <f>HYPERLINK("https://klasma.github.io/Logging_0884/kartor/A 41034-2023 karta.png", "A 41034-2023")</f>
        <v/>
      </c>
      <c r="U22">
        <f>HYPERLINK("https://klasma.github.io/Logging_0884/knärot/A 41034-2023 karta knärot.png", "A 41034-2023")</f>
        <v/>
      </c>
      <c r="V22">
        <f>HYPERLINK("https://klasma.github.io/Logging_0884/klagomål/A 41034-2023 FSC-klagomål.docx", "A 41034-2023")</f>
        <v/>
      </c>
      <c r="W22">
        <f>HYPERLINK("https://klasma.github.io/Logging_0884/klagomålsmail/A 41034-2023 FSC-klagomål mail.docx", "A 41034-2023")</f>
        <v/>
      </c>
      <c r="X22">
        <f>HYPERLINK("https://klasma.github.io/Logging_0884/tillsyn/A 41034-2023 tillsynsbegäran.docx", "A 41034-2023")</f>
        <v/>
      </c>
      <c r="Y22">
        <f>HYPERLINK("https://klasma.github.io/Logging_0884/tillsynsmail/A 41034-2023 tillsynsbegäran mail.docx", "A 41034-2023")</f>
        <v/>
      </c>
    </row>
    <row r="23" ht="15" customHeight="1">
      <c r="A23" t="inlineStr">
        <is>
          <t>A 2210-2024</t>
        </is>
      </c>
      <c r="B23" s="1" t="n">
        <v>45309</v>
      </c>
      <c r="C23" s="1" t="n">
        <v>45338</v>
      </c>
      <c r="D23" t="inlineStr">
        <is>
          <t>KALMAR LÄN</t>
        </is>
      </c>
      <c r="E23" t="inlineStr">
        <is>
          <t>VIMMERBY</t>
        </is>
      </c>
      <c r="G23" t="n">
        <v>4.6</v>
      </c>
      <c r="H23" t="n">
        <v>2</v>
      </c>
      <c r="I23" t="n">
        <v>1</v>
      </c>
      <c r="J23" t="n">
        <v>1</v>
      </c>
      <c r="K23" t="n">
        <v>0</v>
      </c>
      <c r="L23" t="n">
        <v>0</v>
      </c>
      <c r="M23" t="n">
        <v>0</v>
      </c>
      <c r="N23" t="n">
        <v>0</v>
      </c>
      <c r="O23" t="n">
        <v>1</v>
      </c>
      <c r="P23" t="n">
        <v>0</v>
      </c>
      <c r="Q23" t="n">
        <v>3</v>
      </c>
      <c r="R23" s="2" t="inlineStr">
        <is>
          <t>Spillkråka
Barkticka
Blåsippa</t>
        </is>
      </c>
      <c r="S23">
        <f>HYPERLINK("https://klasma.github.io/Logging_0884/artfynd/A 2210-2024 artfynd.xlsx", "A 2210-2024")</f>
        <v/>
      </c>
      <c r="T23">
        <f>HYPERLINK("https://klasma.github.io/Logging_0884/kartor/A 2210-2024 karta.png", "A 2210-2024")</f>
        <v/>
      </c>
      <c r="V23">
        <f>HYPERLINK("https://klasma.github.io/Logging_0884/klagomål/A 2210-2024 FSC-klagomål.docx", "A 2210-2024")</f>
        <v/>
      </c>
      <c r="W23">
        <f>HYPERLINK("https://klasma.github.io/Logging_0884/klagomålsmail/A 2210-2024 FSC-klagomål mail.docx", "A 2210-2024")</f>
        <v/>
      </c>
      <c r="X23">
        <f>HYPERLINK("https://klasma.github.io/Logging_0884/tillsyn/A 2210-2024 tillsynsbegäran.docx", "A 2210-2024")</f>
        <v/>
      </c>
      <c r="Y23">
        <f>HYPERLINK("https://klasma.github.io/Logging_0884/tillsynsmail/A 2210-2024 tillsynsbegäran mail.docx", "A 2210-2024")</f>
        <v/>
      </c>
      <c r="Z23">
        <f>HYPERLINK("https://klasma.github.io/Logging_0884/fåglar/A 2210-2024 prioriterade fågelarter.docx", "A 2210-2024")</f>
        <v/>
      </c>
    </row>
    <row r="24" ht="15" customHeight="1">
      <c r="A24" t="inlineStr">
        <is>
          <t>A 2211-2024</t>
        </is>
      </c>
      <c r="B24" s="1" t="n">
        <v>45309</v>
      </c>
      <c r="C24" s="1" t="n">
        <v>45338</v>
      </c>
      <c r="D24" t="inlineStr">
        <is>
          <t>KALMAR LÄN</t>
        </is>
      </c>
      <c r="E24" t="inlineStr">
        <is>
          <t>VIMMERBY</t>
        </is>
      </c>
      <c r="G24" t="n">
        <v>1.7</v>
      </c>
      <c r="H24" t="n">
        <v>1</v>
      </c>
      <c r="I24" t="n">
        <v>1</v>
      </c>
      <c r="J24" t="n">
        <v>2</v>
      </c>
      <c r="K24" t="n">
        <v>0</v>
      </c>
      <c r="L24" t="n">
        <v>0</v>
      </c>
      <c r="M24" t="n">
        <v>0</v>
      </c>
      <c r="N24" t="n">
        <v>0</v>
      </c>
      <c r="O24" t="n">
        <v>2</v>
      </c>
      <c r="P24" t="n">
        <v>0</v>
      </c>
      <c r="Q24" t="n">
        <v>3</v>
      </c>
      <c r="R24" s="2" t="inlineStr">
        <is>
          <t>Leptoporus mollis
Spillkråka
Fällmossa</t>
        </is>
      </c>
      <c r="S24">
        <f>HYPERLINK("https://klasma.github.io/Logging_0884/artfynd/A 2211-2024 artfynd.xlsx", "A 2211-2024")</f>
        <v/>
      </c>
      <c r="T24">
        <f>HYPERLINK("https://klasma.github.io/Logging_0884/kartor/A 2211-2024 karta.png", "A 2211-2024")</f>
        <v/>
      </c>
      <c r="V24">
        <f>HYPERLINK("https://klasma.github.io/Logging_0884/klagomål/A 2211-2024 FSC-klagomål.docx", "A 2211-2024")</f>
        <v/>
      </c>
      <c r="W24">
        <f>HYPERLINK("https://klasma.github.io/Logging_0884/klagomålsmail/A 2211-2024 FSC-klagomål mail.docx", "A 2211-2024")</f>
        <v/>
      </c>
      <c r="X24">
        <f>HYPERLINK("https://klasma.github.io/Logging_0884/tillsyn/A 2211-2024 tillsynsbegäran.docx", "A 2211-2024")</f>
        <v/>
      </c>
      <c r="Y24">
        <f>HYPERLINK("https://klasma.github.io/Logging_0884/tillsynsmail/A 2211-2024 tillsynsbegäran mail.docx", "A 2211-2024")</f>
        <v/>
      </c>
      <c r="Z24">
        <f>HYPERLINK("https://klasma.github.io/Logging_0884/fåglar/A 2211-2024 prioriterade fågelarter.docx", "A 2211-2024")</f>
        <v/>
      </c>
    </row>
    <row r="25" ht="15" customHeight="1">
      <c r="A25" t="inlineStr">
        <is>
          <t>A 70416-2018</t>
        </is>
      </c>
      <c r="B25" s="1" t="n">
        <v>43447</v>
      </c>
      <c r="C25" s="1" t="n">
        <v>45338</v>
      </c>
      <c r="D25" t="inlineStr">
        <is>
          <t>KALMAR LÄN</t>
        </is>
      </c>
      <c r="E25" t="inlineStr">
        <is>
          <t>VIMMERBY</t>
        </is>
      </c>
      <c r="G25" t="n">
        <v>2.3</v>
      </c>
      <c r="H25" t="n">
        <v>1</v>
      </c>
      <c r="I25" t="n">
        <v>0</v>
      </c>
      <c r="J25" t="n">
        <v>1</v>
      </c>
      <c r="K25" t="n">
        <v>0</v>
      </c>
      <c r="L25" t="n">
        <v>0</v>
      </c>
      <c r="M25" t="n">
        <v>0</v>
      </c>
      <c r="N25" t="n">
        <v>0</v>
      </c>
      <c r="O25" t="n">
        <v>1</v>
      </c>
      <c r="P25" t="n">
        <v>0</v>
      </c>
      <c r="Q25" t="n">
        <v>2</v>
      </c>
      <c r="R25" s="2" t="inlineStr">
        <is>
          <t>Sommarfibbla
Fläcknycklar</t>
        </is>
      </c>
      <c r="S25">
        <f>HYPERLINK("https://klasma.github.io/Logging_0884/artfynd/A 70416-2018 artfynd.xlsx", "A 70416-2018")</f>
        <v/>
      </c>
      <c r="T25">
        <f>HYPERLINK("https://klasma.github.io/Logging_0884/kartor/A 70416-2018 karta.png", "A 70416-2018")</f>
        <v/>
      </c>
      <c r="V25">
        <f>HYPERLINK("https://klasma.github.io/Logging_0884/klagomål/A 70416-2018 FSC-klagomål.docx", "A 70416-2018")</f>
        <v/>
      </c>
      <c r="W25">
        <f>HYPERLINK("https://klasma.github.io/Logging_0884/klagomålsmail/A 70416-2018 FSC-klagomål mail.docx", "A 70416-2018")</f>
        <v/>
      </c>
      <c r="X25">
        <f>HYPERLINK("https://klasma.github.io/Logging_0884/tillsyn/A 70416-2018 tillsynsbegäran.docx", "A 70416-2018")</f>
        <v/>
      </c>
      <c r="Y25">
        <f>HYPERLINK("https://klasma.github.io/Logging_0884/tillsynsmail/A 70416-2018 tillsynsbegäran mail.docx", "A 70416-2018")</f>
        <v/>
      </c>
    </row>
    <row r="26" ht="15" customHeight="1">
      <c r="A26" t="inlineStr">
        <is>
          <t>A 71214-2018</t>
        </is>
      </c>
      <c r="B26" s="1" t="n">
        <v>43453</v>
      </c>
      <c r="C26" s="1" t="n">
        <v>45338</v>
      </c>
      <c r="D26" t="inlineStr">
        <is>
          <t>KALMAR LÄN</t>
        </is>
      </c>
      <c r="E26" t="inlineStr">
        <is>
          <t>VIMMERBY</t>
        </is>
      </c>
      <c r="G26" t="n">
        <v>3.7</v>
      </c>
      <c r="H26" t="n">
        <v>1</v>
      </c>
      <c r="I26" t="n">
        <v>1</v>
      </c>
      <c r="J26" t="n">
        <v>0</v>
      </c>
      <c r="K26" t="n">
        <v>0</v>
      </c>
      <c r="L26" t="n">
        <v>0</v>
      </c>
      <c r="M26" t="n">
        <v>0</v>
      </c>
      <c r="N26" t="n">
        <v>0</v>
      </c>
      <c r="O26" t="n">
        <v>0</v>
      </c>
      <c r="P26" t="n">
        <v>0</v>
      </c>
      <c r="Q26" t="n">
        <v>2</v>
      </c>
      <c r="R26" s="2" t="inlineStr">
        <is>
          <t>Svavelriska
Revlummer</t>
        </is>
      </c>
      <c r="S26">
        <f>HYPERLINK("https://klasma.github.io/Logging_0884/artfynd/A 71214-2018 artfynd.xlsx", "A 71214-2018")</f>
        <v/>
      </c>
      <c r="T26">
        <f>HYPERLINK("https://klasma.github.io/Logging_0884/kartor/A 71214-2018 karta.png", "A 71214-2018")</f>
        <v/>
      </c>
      <c r="V26">
        <f>HYPERLINK("https://klasma.github.io/Logging_0884/klagomål/A 71214-2018 FSC-klagomål.docx", "A 71214-2018")</f>
        <v/>
      </c>
      <c r="W26">
        <f>HYPERLINK("https://klasma.github.io/Logging_0884/klagomålsmail/A 71214-2018 FSC-klagomål mail.docx", "A 71214-2018")</f>
        <v/>
      </c>
      <c r="X26">
        <f>HYPERLINK("https://klasma.github.io/Logging_0884/tillsyn/A 71214-2018 tillsynsbegäran.docx", "A 71214-2018")</f>
        <v/>
      </c>
      <c r="Y26">
        <f>HYPERLINK("https://klasma.github.io/Logging_0884/tillsynsmail/A 71214-2018 tillsynsbegäran mail.docx", "A 71214-2018")</f>
        <v/>
      </c>
    </row>
    <row r="27" ht="15" customHeight="1">
      <c r="A27" t="inlineStr">
        <is>
          <t>A 13596-2019</t>
        </is>
      </c>
      <c r="B27" s="1" t="n">
        <v>43530</v>
      </c>
      <c r="C27" s="1" t="n">
        <v>45338</v>
      </c>
      <c r="D27" t="inlineStr">
        <is>
          <t>KALMAR LÄN</t>
        </is>
      </c>
      <c r="E27" t="inlineStr">
        <is>
          <t>VIMMERBY</t>
        </is>
      </c>
      <c r="G27" t="n">
        <v>9.6</v>
      </c>
      <c r="H27" t="n">
        <v>1</v>
      </c>
      <c r="I27" t="n">
        <v>1</v>
      </c>
      <c r="J27" t="n">
        <v>0</v>
      </c>
      <c r="K27" t="n">
        <v>0</v>
      </c>
      <c r="L27" t="n">
        <v>0</v>
      </c>
      <c r="M27" t="n">
        <v>0</v>
      </c>
      <c r="N27" t="n">
        <v>0</v>
      </c>
      <c r="O27" t="n">
        <v>0</v>
      </c>
      <c r="P27" t="n">
        <v>0</v>
      </c>
      <c r="Q27" t="n">
        <v>2</v>
      </c>
      <c r="R27" s="2" t="inlineStr">
        <is>
          <t>Kamjordstjärna
Blåsippa</t>
        </is>
      </c>
      <c r="S27">
        <f>HYPERLINK("https://klasma.github.io/Logging_0884/artfynd/A 13596-2019 artfynd.xlsx", "A 13596-2019")</f>
        <v/>
      </c>
      <c r="T27">
        <f>HYPERLINK("https://klasma.github.io/Logging_0884/kartor/A 13596-2019 karta.png", "A 13596-2019")</f>
        <v/>
      </c>
      <c r="V27">
        <f>HYPERLINK("https://klasma.github.io/Logging_0884/klagomål/A 13596-2019 FSC-klagomål.docx", "A 13596-2019")</f>
        <v/>
      </c>
      <c r="W27">
        <f>HYPERLINK("https://klasma.github.io/Logging_0884/klagomålsmail/A 13596-2019 FSC-klagomål mail.docx", "A 13596-2019")</f>
        <v/>
      </c>
      <c r="X27">
        <f>HYPERLINK("https://klasma.github.io/Logging_0884/tillsyn/A 13596-2019 tillsynsbegäran.docx", "A 13596-2019")</f>
        <v/>
      </c>
      <c r="Y27">
        <f>HYPERLINK("https://klasma.github.io/Logging_0884/tillsynsmail/A 13596-2019 tillsynsbegäran mail.docx", "A 13596-2019")</f>
        <v/>
      </c>
    </row>
    <row r="28" ht="15" customHeight="1">
      <c r="A28" t="inlineStr">
        <is>
          <t>A 13588-2019</t>
        </is>
      </c>
      <c r="B28" s="1" t="n">
        <v>43530</v>
      </c>
      <c r="C28" s="1" t="n">
        <v>45338</v>
      </c>
      <c r="D28" t="inlineStr">
        <is>
          <t>KALMAR LÄN</t>
        </is>
      </c>
      <c r="E28" t="inlineStr">
        <is>
          <t>VIMMERBY</t>
        </is>
      </c>
      <c r="G28" t="n">
        <v>9.6</v>
      </c>
      <c r="H28" t="n">
        <v>1</v>
      </c>
      <c r="I28" t="n">
        <v>1</v>
      </c>
      <c r="J28" t="n">
        <v>0</v>
      </c>
      <c r="K28" t="n">
        <v>0</v>
      </c>
      <c r="L28" t="n">
        <v>0</v>
      </c>
      <c r="M28" t="n">
        <v>0</v>
      </c>
      <c r="N28" t="n">
        <v>0</v>
      </c>
      <c r="O28" t="n">
        <v>0</v>
      </c>
      <c r="P28" t="n">
        <v>0</v>
      </c>
      <c r="Q28" t="n">
        <v>2</v>
      </c>
      <c r="R28" s="2" t="inlineStr">
        <is>
          <t>Kamjordstjärna
Blåsippa</t>
        </is>
      </c>
      <c r="S28">
        <f>HYPERLINK("https://klasma.github.io/Logging_0884/artfynd/A 13588-2019 artfynd.xlsx", "A 13588-2019")</f>
        <v/>
      </c>
      <c r="T28">
        <f>HYPERLINK("https://klasma.github.io/Logging_0884/kartor/A 13588-2019 karta.png", "A 13588-2019")</f>
        <v/>
      </c>
      <c r="V28">
        <f>HYPERLINK("https://klasma.github.io/Logging_0884/klagomål/A 13588-2019 FSC-klagomål.docx", "A 13588-2019")</f>
        <v/>
      </c>
      <c r="W28">
        <f>HYPERLINK("https://klasma.github.io/Logging_0884/klagomålsmail/A 13588-2019 FSC-klagomål mail.docx", "A 13588-2019")</f>
        <v/>
      </c>
      <c r="X28">
        <f>HYPERLINK("https://klasma.github.io/Logging_0884/tillsyn/A 13588-2019 tillsynsbegäran.docx", "A 13588-2019")</f>
        <v/>
      </c>
      <c r="Y28">
        <f>HYPERLINK("https://klasma.github.io/Logging_0884/tillsynsmail/A 13588-2019 tillsynsbegäran mail.docx", "A 13588-2019")</f>
        <v/>
      </c>
    </row>
    <row r="29" ht="15" customHeight="1">
      <c r="A29" t="inlineStr">
        <is>
          <t>A 36803-2019</t>
        </is>
      </c>
      <c r="B29" s="1" t="n">
        <v>43672</v>
      </c>
      <c r="C29" s="1" t="n">
        <v>45338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45338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45338</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45338</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45338</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45338</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22825-2023</t>
        </is>
      </c>
      <c r="B35" s="1" t="n">
        <v>45072</v>
      </c>
      <c r="C35" s="1" t="n">
        <v>45338</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22825-2023 artfynd.xlsx", "A 22825-2023")</f>
        <v/>
      </c>
      <c r="T35">
        <f>HYPERLINK("https://klasma.github.io/Logging_0884/kartor/A 22825-2023 karta.png", "A 22825-2023")</f>
        <v/>
      </c>
      <c r="V35">
        <f>HYPERLINK("https://klasma.github.io/Logging_0884/klagomål/A 22825-2023 FSC-klagomål.docx", "A 22825-2023")</f>
        <v/>
      </c>
      <c r="W35">
        <f>HYPERLINK("https://klasma.github.io/Logging_0884/klagomålsmail/A 22825-2023 FSC-klagomål mail.docx", "A 22825-2023")</f>
        <v/>
      </c>
      <c r="X35">
        <f>HYPERLINK("https://klasma.github.io/Logging_0884/tillsyn/A 22825-2023 tillsynsbegäran.docx", "A 22825-2023")</f>
        <v/>
      </c>
      <c r="Y35">
        <f>HYPERLINK("https://klasma.github.io/Logging_0884/tillsynsmail/A 22825-2023 tillsynsbegäran mail.docx", "A 22825-2023")</f>
        <v/>
      </c>
    </row>
    <row r="36" ht="15" customHeight="1">
      <c r="A36" t="inlineStr">
        <is>
          <t>A 32657-2023</t>
        </is>
      </c>
      <c r="B36" s="1" t="n">
        <v>45121</v>
      </c>
      <c r="C36" s="1" t="n">
        <v>45338</v>
      </c>
      <c r="D36" t="inlineStr">
        <is>
          <t>KALMAR LÄN</t>
        </is>
      </c>
      <c r="E36" t="inlineStr">
        <is>
          <t>VIMMERBY</t>
        </is>
      </c>
      <c r="G36" t="n">
        <v>1.6</v>
      </c>
      <c r="H36" t="n">
        <v>0</v>
      </c>
      <c r="I36" t="n">
        <v>0</v>
      </c>
      <c r="J36" t="n">
        <v>1</v>
      </c>
      <c r="K36" t="n">
        <v>0</v>
      </c>
      <c r="L36" t="n">
        <v>1</v>
      </c>
      <c r="M36" t="n">
        <v>0</v>
      </c>
      <c r="N36" t="n">
        <v>0</v>
      </c>
      <c r="O36" t="n">
        <v>2</v>
      </c>
      <c r="P36" t="n">
        <v>1</v>
      </c>
      <c r="Q36" t="n">
        <v>2</v>
      </c>
      <c r="R36" s="2" t="inlineStr">
        <is>
          <t>Bredgentiana
Sandviol</t>
        </is>
      </c>
      <c r="S36">
        <f>HYPERLINK("https://klasma.github.io/Logging_0884/artfynd/A 32657-2023 artfynd.xlsx", "A 32657-2023")</f>
        <v/>
      </c>
      <c r="T36">
        <f>HYPERLINK("https://klasma.github.io/Logging_0884/kartor/A 32657-2023 karta.png", "A 32657-2023")</f>
        <v/>
      </c>
      <c r="V36">
        <f>HYPERLINK("https://klasma.github.io/Logging_0884/klagomål/A 32657-2023 FSC-klagomål.docx", "A 32657-2023")</f>
        <v/>
      </c>
      <c r="W36">
        <f>HYPERLINK("https://klasma.github.io/Logging_0884/klagomålsmail/A 32657-2023 FSC-klagomål mail.docx", "A 32657-2023")</f>
        <v/>
      </c>
      <c r="X36">
        <f>HYPERLINK("https://klasma.github.io/Logging_0884/tillsyn/A 32657-2023 tillsynsbegäran.docx", "A 32657-2023")</f>
        <v/>
      </c>
      <c r="Y36">
        <f>HYPERLINK("https://klasma.github.io/Logging_0884/tillsynsmail/A 32657-2023 tillsynsbegäran mail.docx", "A 32657-2023")</f>
        <v/>
      </c>
    </row>
    <row r="37" ht="15" customHeight="1">
      <c r="A37" t="inlineStr">
        <is>
          <t>A 46598-2018</t>
        </is>
      </c>
      <c r="B37" s="1" t="n">
        <v>43368</v>
      </c>
      <c r="C37" s="1" t="n">
        <v>45338</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46598-2018 artfynd.xlsx", "A 46598-2018")</f>
        <v/>
      </c>
      <c r="T37">
        <f>HYPERLINK("https://klasma.github.io/Logging_0884/kartor/A 46598-2018 karta.png", "A 46598-2018")</f>
        <v/>
      </c>
      <c r="V37">
        <f>HYPERLINK("https://klasma.github.io/Logging_0884/klagomål/A 46598-2018 FSC-klagomål.docx", "A 46598-2018")</f>
        <v/>
      </c>
      <c r="W37">
        <f>HYPERLINK("https://klasma.github.io/Logging_0884/klagomålsmail/A 46598-2018 FSC-klagomål mail.docx", "A 46598-2018")</f>
        <v/>
      </c>
      <c r="X37">
        <f>HYPERLINK("https://klasma.github.io/Logging_0884/tillsyn/A 46598-2018 tillsynsbegäran.docx", "A 46598-2018")</f>
        <v/>
      </c>
      <c r="Y37">
        <f>HYPERLINK("https://klasma.github.io/Logging_0884/tillsynsmail/A 46598-2018 tillsynsbegäran mail.docx", "A 46598-2018")</f>
        <v/>
      </c>
    </row>
    <row r="38" ht="15" customHeight="1">
      <c r="A38" t="inlineStr">
        <is>
          <t>A 59892-2018</t>
        </is>
      </c>
      <c r="B38" s="1" t="n">
        <v>43419</v>
      </c>
      <c r="C38" s="1" t="n">
        <v>45338</v>
      </c>
      <c r="D38" t="inlineStr">
        <is>
          <t>KALMAR LÄN</t>
        </is>
      </c>
      <c r="E38" t="inlineStr">
        <is>
          <t>VIMMERBY</t>
        </is>
      </c>
      <c r="G38" t="n">
        <v>2.8</v>
      </c>
      <c r="H38" t="n">
        <v>1</v>
      </c>
      <c r="I38" t="n">
        <v>0</v>
      </c>
      <c r="J38" t="n">
        <v>0</v>
      </c>
      <c r="K38" t="n">
        <v>0</v>
      </c>
      <c r="L38" t="n">
        <v>0</v>
      </c>
      <c r="M38" t="n">
        <v>0</v>
      </c>
      <c r="N38" t="n">
        <v>0</v>
      </c>
      <c r="O38" t="n">
        <v>0</v>
      </c>
      <c r="P38" t="n">
        <v>0</v>
      </c>
      <c r="Q38" t="n">
        <v>1</v>
      </c>
      <c r="R38" s="2" t="inlineStr">
        <is>
          <t>Revlummer</t>
        </is>
      </c>
      <c r="S38">
        <f>HYPERLINK("https://klasma.github.io/Logging_0884/artfynd/A 59892-2018 artfynd.xlsx", "A 59892-2018")</f>
        <v/>
      </c>
      <c r="T38">
        <f>HYPERLINK("https://klasma.github.io/Logging_0884/kartor/A 59892-2018 karta.png", "A 59892-2018")</f>
        <v/>
      </c>
      <c r="V38">
        <f>HYPERLINK("https://klasma.github.io/Logging_0884/klagomål/A 59892-2018 FSC-klagomål.docx", "A 59892-2018")</f>
        <v/>
      </c>
      <c r="W38">
        <f>HYPERLINK("https://klasma.github.io/Logging_0884/klagomålsmail/A 59892-2018 FSC-klagomål mail.docx", "A 59892-2018")</f>
        <v/>
      </c>
      <c r="X38">
        <f>HYPERLINK("https://klasma.github.io/Logging_0884/tillsyn/A 59892-2018 tillsynsbegäran.docx", "A 59892-2018")</f>
        <v/>
      </c>
      <c r="Y38">
        <f>HYPERLINK("https://klasma.github.io/Logging_0884/tillsynsmail/A 59892-2018 tillsynsbegäran mail.docx", "A 59892-2018")</f>
        <v/>
      </c>
    </row>
    <row r="39" ht="15" customHeight="1">
      <c r="A39" t="inlineStr">
        <is>
          <t>A 1303-2019</t>
        </is>
      </c>
      <c r="B39" s="1" t="n">
        <v>43473</v>
      </c>
      <c r="C39" s="1" t="n">
        <v>45338</v>
      </c>
      <c r="D39" t="inlineStr">
        <is>
          <t>KALMAR LÄN</t>
        </is>
      </c>
      <c r="E39" t="inlineStr">
        <is>
          <t>VIMMERBY</t>
        </is>
      </c>
      <c r="G39" t="n">
        <v>4.1</v>
      </c>
      <c r="H39" t="n">
        <v>0</v>
      </c>
      <c r="I39" t="n">
        <v>0</v>
      </c>
      <c r="J39" t="n">
        <v>1</v>
      </c>
      <c r="K39" t="n">
        <v>0</v>
      </c>
      <c r="L39" t="n">
        <v>0</v>
      </c>
      <c r="M39" t="n">
        <v>0</v>
      </c>
      <c r="N39" t="n">
        <v>0</v>
      </c>
      <c r="O39" t="n">
        <v>1</v>
      </c>
      <c r="P39" t="n">
        <v>0</v>
      </c>
      <c r="Q39" t="n">
        <v>1</v>
      </c>
      <c r="R39" s="2" t="inlineStr">
        <is>
          <t>Svedjenäva</t>
        </is>
      </c>
      <c r="S39">
        <f>HYPERLINK("https://klasma.github.io/Logging_0884/artfynd/A 1303-2019 artfynd.xlsx", "A 1303-2019")</f>
        <v/>
      </c>
      <c r="T39">
        <f>HYPERLINK("https://klasma.github.io/Logging_0884/kartor/A 1303-2019 karta.png", "A 1303-2019")</f>
        <v/>
      </c>
      <c r="V39">
        <f>HYPERLINK("https://klasma.github.io/Logging_0884/klagomål/A 1303-2019 FSC-klagomål.docx", "A 1303-2019")</f>
        <v/>
      </c>
      <c r="W39">
        <f>HYPERLINK("https://klasma.github.io/Logging_0884/klagomålsmail/A 1303-2019 FSC-klagomål mail.docx", "A 1303-2019")</f>
        <v/>
      </c>
      <c r="X39">
        <f>HYPERLINK("https://klasma.github.io/Logging_0884/tillsyn/A 1303-2019 tillsynsbegäran.docx", "A 1303-2019")</f>
        <v/>
      </c>
      <c r="Y39">
        <f>HYPERLINK("https://klasma.github.io/Logging_0884/tillsynsmail/A 1303-2019 tillsynsbegäran mail.docx", "A 1303-2019")</f>
        <v/>
      </c>
    </row>
    <row r="40" ht="15" customHeight="1">
      <c r="A40" t="inlineStr">
        <is>
          <t>A 4895-2019</t>
        </is>
      </c>
      <c r="B40" s="1" t="n">
        <v>43487</v>
      </c>
      <c r="C40" s="1" t="n">
        <v>45338</v>
      </c>
      <c r="D40" t="inlineStr">
        <is>
          <t>KALMAR LÄN</t>
        </is>
      </c>
      <c r="E40" t="inlineStr">
        <is>
          <t>VIMMERBY</t>
        </is>
      </c>
      <c r="G40" t="n">
        <v>1.7</v>
      </c>
      <c r="H40" t="n">
        <v>0</v>
      </c>
      <c r="I40" t="n">
        <v>1</v>
      </c>
      <c r="J40" t="n">
        <v>0</v>
      </c>
      <c r="K40" t="n">
        <v>0</v>
      </c>
      <c r="L40" t="n">
        <v>0</v>
      </c>
      <c r="M40" t="n">
        <v>0</v>
      </c>
      <c r="N40" t="n">
        <v>0</v>
      </c>
      <c r="O40" t="n">
        <v>0</v>
      </c>
      <c r="P40" t="n">
        <v>0</v>
      </c>
      <c r="Q40" t="n">
        <v>1</v>
      </c>
      <c r="R40" s="2" t="inlineStr">
        <is>
          <t>Gräsull</t>
        </is>
      </c>
      <c r="S40">
        <f>HYPERLINK("https://klasma.github.io/Logging_0884/artfynd/A 4895-2019 artfynd.xlsx", "A 4895-2019")</f>
        <v/>
      </c>
      <c r="T40">
        <f>HYPERLINK("https://klasma.github.io/Logging_0884/kartor/A 4895-2019 karta.png", "A 4895-2019")</f>
        <v/>
      </c>
      <c r="V40">
        <f>HYPERLINK("https://klasma.github.io/Logging_0884/klagomål/A 4895-2019 FSC-klagomål.docx", "A 4895-2019")</f>
        <v/>
      </c>
      <c r="W40">
        <f>HYPERLINK("https://klasma.github.io/Logging_0884/klagomålsmail/A 4895-2019 FSC-klagomål mail.docx", "A 4895-2019")</f>
        <v/>
      </c>
      <c r="X40">
        <f>HYPERLINK("https://klasma.github.io/Logging_0884/tillsyn/A 4895-2019 tillsynsbegäran.docx", "A 4895-2019")</f>
        <v/>
      </c>
      <c r="Y40">
        <f>HYPERLINK("https://klasma.github.io/Logging_0884/tillsynsmail/A 4895-2019 tillsynsbegäran mail.docx", "A 4895-2019")</f>
        <v/>
      </c>
    </row>
    <row r="41" ht="15" customHeight="1">
      <c r="A41" t="inlineStr">
        <is>
          <t>A 19055-2019</t>
        </is>
      </c>
      <c r="B41" s="1" t="n">
        <v>43563</v>
      </c>
      <c r="C41" s="1" t="n">
        <v>45338</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32602-2019</t>
        </is>
      </c>
      <c r="B42" s="1" t="n">
        <v>43647</v>
      </c>
      <c r="C42" s="1" t="n">
        <v>45338</v>
      </c>
      <c r="D42" t="inlineStr">
        <is>
          <t>KALMAR LÄN</t>
        </is>
      </c>
      <c r="E42" t="inlineStr">
        <is>
          <t>VIMMERBY</t>
        </is>
      </c>
      <c r="G42" t="n">
        <v>3.4</v>
      </c>
      <c r="H42" t="n">
        <v>0</v>
      </c>
      <c r="I42" t="n">
        <v>0</v>
      </c>
      <c r="J42" t="n">
        <v>1</v>
      </c>
      <c r="K42" t="n">
        <v>0</v>
      </c>
      <c r="L42" t="n">
        <v>0</v>
      </c>
      <c r="M42" t="n">
        <v>0</v>
      </c>
      <c r="N42" t="n">
        <v>0</v>
      </c>
      <c r="O42" t="n">
        <v>1</v>
      </c>
      <c r="P42" t="n">
        <v>0</v>
      </c>
      <c r="Q42" t="n">
        <v>1</v>
      </c>
      <c r="R42" s="2" t="inlineStr">
        <is>
          <t>Vedskivlav</t>
        </is>
      </c>
      <c r="S42">
        <f>HYPERLINK("https://klasma.github.io/Logging_0884/artfynd/A 32602-2019 artfynd.xlsx", "A 32602-2019")</f>
        <v/>
      </c>
      <c r="T42">
        <f>HYPERLINK("https://klasma.github.io/Logging_0884/kartor/A 32602-2019 karta.png", "A 32602-2019")</f>
        <v/>
      </c>
      <c r="V42">
        <f>HYPERLINK("https://klasma.github.io/Logging_0884/klagomål/A 32602-2019 FSC-klagomål.docx", "A 32602-2019")</f>
        <v/>
      </c>
      <c r="W42">
        <f>HYPERLINK("https://klasma.github.io/Logging_0884/klagomålsmail/A 32602-2019 FSC-klagomål mail.docx", "A 32602-2019")</f>
        <v/>
      </c>
      <c r="X42">
        <f>HYPERLINK("https://klasma.github.io/Logging_0884/tillsyn/A 32602-2019 tillsynsbegäran.docx", "A 32602-2019")</f>
        <v/>
      </c>
      <c r="Y42">
        <f>HYPERLINK("https://klasma.github.io/Logging_0884/tillsynsmail/A 32602-2019 tillsynsbegäran mail.docx", "A 32602-2019")</f>
        <v/>
      </c>
    </row>
    <row r="43" ht="15" customHeight="1">
      <c r="A43" t="inlineStr">
        <is>
          <t>A 52156-2019</t>
        </is>
      </c>
      <c r="B43" s="1" t="n">
        <v>43742</v>
      </c>
      <c r="C43" s="1" t="n">
        <v>45338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45338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35462-2020</t>
        </is>
      </c>
      <c r="B45" s="1" t="n">
        <v>44042</v>
      </c>
      <c r="C45" s="1" t="n">
        <v>45338</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45338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45338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45338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45338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45338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32396-2021</t>
        </is>
      </c>
      <c r="B51" s="1" t="n">
        <v>44371</v>
      </c>
      <c r="C51" s="1" t="n">
        <v>45338</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45338</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45338</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45338</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45338</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45338</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45338</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45338</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45338</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45338</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45338</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45338</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45338</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45338</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36040-2018</t>
        </is>
      </c>
      <c r="B65" s="1" t="n">
        <v>43327</v>
      </c>
      <c r="C65" s="1" t="n">
        <v>45338</v>
      </c>
      <c r="D65" t="inlineStr">
        <is>
          <t>KALMAR LÄN</t>
        </is>
      </c>
      <c r="E65" t="inlineStr">
        <is>
          <t>VIMMERBY</t>
        </is>
      </c>
      <c r="F65" t="inlineStr">
        <is>
          <t>Kyrkan</t>
        </is>
      </c>
      <c r="G65" t="n">
        <v>2.1</v>
      </c>
      <c r="H65" t="n">
        <v>0</v>
      </c>
      <c r="I65" t="n">
        <v>0</v>
      </c>
      <c r="J65" t="n">
        <v>0</v>
      </c>
      <c r="K65" t="n">
        <v>0</v>
      </c>
      <c r="L65" t="n">
        <v>0</v>
      </c>
      <c r="M65" t="n">
        <v>0</v>
      </c>
      <c r="N65" t="n">
        <v>0</v>
      </c>
      <c r="O65" t="n">
        <v>0</v>
      </c>
      <c r="P65" t="n">
        <v>0</v>
      </c>
      <c r="Q65" t="n">
        <v>0</v>
      </c>
      <c r="R65" s="2" t="inlineStr"/>
    </row>
    <row r="66" ht="15" customHeight="1">
      <c r="A66" t="inlineStr">
        <is>
          <t>A 36047-2018</t>
        </is>
      </c>
      <c r="B66" s="1" t="n">
        <v>43327</v>
      </c>
      <c r="C66" s="1" t="n">
        <v>45338</v>
      </c>
      <c r="D66" t="inlineStr">
        <is>
          <t>KALMAR LÄN</t>
        </is>
      </c>
      <c r="E66" t="inlineStr">
        <is>
          <t>VIMMERBY</t>
        </is>
      </c>
      <c r="F66" t="inlineStr">
        <is>
          <t>Kyrkan</t>
        </is>
      </c>
      <c r="G66" t="n">
        <v>1.3</v>
      </c>
      <c r="H66" t="n">
        <v>0</v>
      </c>
      <c r="I66" t="n">
        <v>0</v>
      </c>
      <c r="J66" t="n">
        <v>0</v>
      </c>
      <c r="K66" t="n">
        <v>0</v>
      </c>
      <c r="L66" t="n">
        <v>0</v>
      </c>
      <c r="M66" t="n">
        <v>0</v>
      </c>
      <c r="N66" t="n">
        <v>0</v>
      </c>
      <c r="O66" t="n">
        <v>0</v>
      </c>
      <c r="P66" t="n">
        <v>0</v>
      </c>
      <c r="Q66" t="n">
        <v>0</v>
      </c>
      <c r="R66" s="2" t="inlineStr"/>
    </row>
    <row r="67" ht="15" customHeight="1">
      <c r="A67" t="inlineStr">
        <is>
          <t>A 36058-2018</t>
        </is>
      </c>
      <c r="B67" s="1" t="n">
        <v>43327</v>
      </c>
      <c r="C67" s="1" t="n">
        <v>45338</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36030-2018</t>
        </is>
      </c>
      <c r="B68" s="1" t="n">
        <v>43327</v>
      </c>
      <c r="C68" s="1" t="n">
        <v>45338</v>
      </c>
      <c r="D68" t="inlineStr">
        <is>
          <t>KALMAR LÄN</t>
        </is>
      </c>
      <c r="E68" t="inlineStr">
        <is>
          <t>VIMMERBY</t>
        </is>
      </c>
      <c r="F68" t="inlineStr">
        <is>
          <t>Kyrkan</t>
        </is>
      </c>
      <c r="G68" t="n">
        <v>0.7</v>
      </c>
      <c r="H68" t="n">
        <v>0</v>
      </c>
      <c r="I68" t="n">
        <v>0</v>
      </c>
      <c r="J68" t="n">
        <v>0</v>
      </c>
      <c r="K68" t="n">
        <v>0</v>
      </c>
      <c r="L68" t="n">
        <v>0</v>
      </c>
      <c r="M68" t="n">
        <v>0</v>
      </c>
      <c r="N68" t="n">
        <v>0</v>
      </c>
      <c r="O68" t="n">
        <v>0</v>
      </c>
      <c r="P68" t="n">
        <v>0</v>
      </c>
      <c r="Q68" t="n">
        <v>0</v>
      </c>
      <c r="R68" s="2" t="inlineStr"/>
    </row>
    <row r="69" ht="15" customHeight="1">
      <c r="A69" t="inlineStr">
        <is>
          <t>A 36060-2018</t>
        </is>
      </c>
      <c r="B69" s="1" t="n">
        <v>43327</v>
      </c>
      <c r="C69" s="1" t="n">
        <v>45338</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36933-2018</t>
        </is>
      </c>
      <c r="B70" s="1" t="n">
        <v>43332</v>
      </c>
      <c r="C70" s="1" t="n">
        <v>45338</v>
      </c>
      <c r="D70" t="inlineStr">
        <is>
          <t>KALMAR LÄN</t>
        </is>
      </c>
      <c r="E70" t="inlineStr">
        <is>
          <t>VIMMERBY</t>
        </is>
      </c>
      <c r="G70" t="n">
        <v>0.9</v>
      </c>
      <c r="H70" t="n">
        <v>0</v>
      </c>
      <c r="I70" t="n">
        <v>0</v>
      </c>
      <c r="J70" t="n">
        <v>0</v>
      </c>
      <c r="K70" t="n">
        <v>0</v>
      </c>
      <c r="L70" t="n">
        <v>0</v>
      </c>
      <c r="M70" t="n">
        <v>0</v>
      </c>
      <c r="N70" t="n">
        <v>0</v>
      </c>
      <c r="O70" t="n">
        <v>0</v>
      </c>
      <c r="P70" t="n">
        <v>0</v>
      </c>
      <c r="Q70" t="n">
        <v>0</v>
      </c>
      <c r="R70" s="2" t="inlineStr"/>
    </row>
    <row r="71" ht="15" customHeight="1">
      <c r="A71" t="inlineStr">
        <is>
          <t>A 44825-2018</t>
        </is>
      </c>
      <c r="B71" s="1" t="n">
        <v>43357</v>
      </c>
      <c r="C71" s="1" t="n">
        <v>45338</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46830-2018</t>
        </is>
      </c>
      <c r="B72" s="1" t="n">
        <v>43367</v>
      </c>
      <c r="C72" s="1" t="n">
        <v>45338</v>
      </c>
      <c r="D72" t="inlineStr">
        <is>
          <t>KALMAR LÄN</t>
        </is>
      </c>
      <c r="E72" t="inlineStr">
        <is>
          <t>VIMMERBY</t>
        </is>
      </c>
      <c r="G72" t="n">
        <v>1.2</v>
      </c>
      <c r="H72" t="n">
        <v>0</v>
      </c>
      <c r="I72" t="n">
        <v>0</v>
      </c>
      <c r="J72" t="n">
        <v>0</v>
      </c>
      <c r="K72" t="n">
        <v>0</v>
      </c>
      <c r="L72" t="n">
        <v>0</v>
      </c>
      <c r="M72" t="n">
        <v>0</v>
      </c>
      <c r="N72" t="n">
        <v>0</v>
      </c>
      <c r="O72" t="n">
        <v>0</v>
      </c>
      <c r="P72" t="n">
        <v>0</v>
      </c>
      <c r="Q72" t="n">
        <v>0</v>
      </c>
      <c r="R72" s="2" t="inlineStr"/>
    </row>
    <row r="73" ht="15" customHeight="1">
      <c r="A73" t="inlineStr">
        <is>
          <t>A 46665-2018</t>
        </is>
      </c>
      <c r="B73" s="1" t="n">
        <v>43368</v>
      </c>
      <c r="C73" s="1" t="n">
        <v>45338</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46663-2018</t>
        </is>
      </c>
      <c r="B74" s="1" t="n">
        <v>43368</v>
      </c>
      <c r="C74" s="1" t="n">
        <v>45338</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50198-2018</t>
        </is>
      </c>
      <c r="B75" s="1" t="n">
        <v>43377</v>
      </c>
      <c r="C75" s="1" t="n">
        <v>45338</v>
      </c>
      <c r="D75" t="inlineStr">
        <is>
          <t>KALMAR LÄN</t>
        </is>
      </c>
      <c r="E75" t="inlineStr">
        <is>
          <t>VIMMERBY</t>
        </is>
      </c>
      <c r="F75" t="inlineStr">
        <is>
          <t>Övriga statliga verk och myndigheter</t>
        </is>
      </c>
      <c r="G75" t="n">
        <v>2.2</v>
      </c>
      <c r="H75" t="n">
        <v>0</v>
      </c>
      <c r="I75" t="n">
        <v>0</v>
      </c>
      <c r="J75" t="n">
        <v>0</v>
      </c>
      <c r="K75" t="n">
        <v>0</v>
      </c>
      <c r="L75" t="n">
        <v>0</v>
      </c>
      <c r="M75" t="n">
        <v>0</v>
      </c>
      <c r="N75" t="n">
        <v>0</v>
      </c>
      <c r="O75" t="n">
        <v>0</v>
      </c>
      <c r="P75" t="n">
        <v>0</v>
      </c>
      <c r="Q75" t="n">
        <v>0</v>
      </c>
      <c r="R75" s="2" t="inlineStr"/>
    </row>
    <row r="76" ht="15" customHeight="1">
      <c r="A76" t="inlineStr">
        <is>
          <t>A 51149-2018</t>
        </is>
      </c>
      <c r="B76" s="1" t="n">
        <v>43377</v>
      </c>
      <c r="C76" s="1" t="n">
        <v>45338</v>
      </c>
      <c r="D76" t="inlineStr">
        <is>
          <t>KALMAR LÄN</t>
        </is>
      </c>
      <c r="E76" t="inlineStr">
        <is>
          <t>VIMMERBY</t>
        </is>
      </c>
      <c r="G76" t="n">
        <v>2.4</v>
      </c>
      <c r="H76" t="n">
        <v>0</v>
      </c>
      <c r="I76" t="n">
        <v>0</v>
      </c>
      <c r="J76" t="n">
        <v>0</v>
      </c>
      <c r="K76" t="n">
        <v>0</v>
      </c>
      <c r="L76" t="n">
        <v>0</v>
      </c>
      <c r="M76" t="n">
        <v>0</v>
      </c>
      <c r="N76" t="n">
        <v>0</v>
      </c>
      <c r="O76" t="n">
        <v>0</v>
      </c>
      <c r="P76" t="n">
        <v>0</v>
      </c>
      <c r="Q76" t="n">
        <v>0</v>
      </c>
      <c r="R76" s="2" t="inlineStr"/>
    </row>
    <row r="77" ht="15" customHeight="1">
      <c r="A77" t="inlineStr">
        <is>
          <t>A 51093-2018</t>
        </is>
      </c>
      <c r="B77" s="1" t="n">
        <v>43377</v>
      </c>
      <c r="C77" s="1" t="n">
        <v>45338</v>
      </c>
      <c r="D77" t="inlineStr">
        <is>
          <t>KALMAR LÄN</t>
        </is>
      </c>
      <c r="E77" t="inlineStr">
        <is>
          <t>VIMMERBY</t>
        </is>
      </c>
      <c r="G77" t="n">
        <v>0.6</v>
      </c>
      <c r="H77" t="n">
        <v>0</v>
      </c>
      <c r="I77" t="n">
        <v>0</v>
      </c>
      <c r="J77" t="n">
        <v>0</v>
      </c>
      <c r="K77" t="n">
        <v>0</v>
      </c>
      <c r="L77" t="n">
        <v>0</v>
      </c>
      <c r="M77" t="n">
        <v>0</v>
      </c>
      <c r="N77" t="n">
        <v>0</v>
      </c>
      <c r="O77" t="n">
        <v>0</v>
      </c>
      <c r="P77" t="n">
        <v>0</v>
      </c>
      <c r="Q77" t="n">
        <v>0</v>
      </c>
      <c r="R77" s="2" t="inlineStr"/>
    </row>
    <row r="78" ht="15" customHeight="1">
      <c r="A78" t="inlineStr">
        <is>
          <t>A 51172-2018</t>
        </is>
      </c>
      <c r="B78" s="1" t="n">
        <v>43382</v>
      </c>
      <c r="C78" s="1" t="n">
        <v>45338</v>
      </c>
      <c r="D78" t="inlineStr">
        <is>
          <t>KALMAR LÄN</t>
        </is>
      </c>
      <c r="E78" t="inlineStr">
        <is>
          <t>VIMMERBY</t>
        </is>
      </c>
      <c r="G78" t="n">
        <v>1.2</v>
      </c>
      <c r="H78" t="n">
        <v>0</v>
      </c>
      <c r="I78" t="n">
        <v>0</v>
      </c>
      <c r="J78" t="n">
        <v>0</v>
      </c>
      <c r="K78" t="n">
        <v>0</v>
      </c>
      <c r="L78" t="n">
        <v>0</v>
      </c>
      <c r="M78" t="n">
        <v>0</v>
      </c>
      <c r="N78" t="n">
        <v>0</v>
      </c>
      <c r="O78" t="n">
        <v>0</v>
      </c>
      <c r="P78" t="n">
        <v>0</v>
      </c>
      <c r="Q78" t="n">
        <v>0</v>
      </c>
      <c r="R78" s="2" t="inlineStr"/>
    </row>
    <row r="79" ht="15" customHeight="1">
      <c r="A79" t="inlineStr">
        <is>
          <t>A 51791-2018</t>
        </is>
      </c>
      <c r="B79" s="1" t="n">
        <v>43384</v>
      </c>
      <c r="C79" s="1" t="n">
        <v>45338</v>
      </c>
      <c r="D79" t="inlineStr">
        <is>
          <t>KALMAR LÄN</t>
        </is>
      </c>
      <c r="E79" t="inlineStr">
        <is>
          <t>VIMMERBY</t>
        </is>
      </c>
      <c r="G79" t="n">
        <v>35.5</v>
      </c>
      <c r="H79" t="n">
        <v>0</v>
      </c>
      <c r="I79" t="n">
        <v>0</v>
      </c>
      <c r="J79" t="n">
        <v>0</v>
      </c>
      <c r="K79" t="n">
        <v>0</v>
      </c>
      <c r="L79" t="n">
        <v>0</v>
      </c>
      <c r="M79" t="n">
        <v>0</v>
      </c>
      <c r="N79" t="n">
        <v>0</v>
      </c>
      <c r="O79" t="n">
        <v>0</v>
      </c>
      <c r="P79" t="n">
        <v>0</v>
      </c>
      <c r="Q79" t="n">
        <v>0</v>
      </c>
      <c r="R79" s="2" t="inlineStr"/>
    </row>
    <row r="80" ht="15" customHeight="1">
      <c r="A80" t="inlineStr">
        <is>
          <t>A 52087-2018</t>
        </is>
      </c>
      <c r="B80" s="1" t="n">
        <v>43385</v>
      </c>
      <c r="C80" s="1" t="n">
        <v>45338</v>
      </c>
      <c r="D80" t="inlineStr">
        <is>
          <t>KALMAR LÄN</t>
        </is>
      </c>
      <c r="E80" t="inlineStr">
        <is>
          <t>VIMMERBY</t>
        </is>
      </c>
      <c r="G80" t="n">
        <v>0.7</v>
      </c>
      <c r="H80" t="n">
        <v>0</v>
      </c>
      <c r="I80" t="n">
        <v>0</v>
      </c>
      <c r="J80" t="n">
        <v>0</v>
      </c>
      <c r="K80" t="n">
        <v>0</v>
      </c>
      <c r="L80" t="n">
        <v>0</v>
      </c>
      <c r="M80" t="n">
        <v>0</v>
      </c>
      <c r="N80" t="n">
        <v>0</v>
      </c>
      <c r="O80" t="n">
        <v>0</v>
      </c>
      <c r="P80" t="n">
        <v>0</v>
      </c>
      <c r="Q80" t="n">
        <v>0</v>
      </c>
      <c r="R80" s="2" t="inlineStr"/>
    </row>
    <row r="81" ht="15" customHeight="1">
      <c r="A81" t="inlineStr">
        <is>
          <t>A 55817-2018</t>
        </is>
      </c>
      <c r="B81" s="1" t="n">
        <v>43398</v>
      </c>
      <c r="C81" s="1" t="n">
        <v>45338</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55842-2018</t>
        </is>
      </c>
      <c r="B82" s="1" t="n">
        <v>43398</v>
      </c>
      <c r="C82" s="1" t="n">
        <v>45338</v>
      </c>
      <c r="D82" t="inlineStr">
        <is>
          <t>KALMAR LÄN</t>
        </is>
      </c>
      <c r="E82" t="inlineStr">
        <is>
          <t>VIMMERBY</t>
        </is>
      </c>
      <c r="G82" t="n">
        <v>5.9</v>
      </c>
      <c r="H82" t="n">
        <v>0</v>
      </c>
      <c r="I82" t="n">
        <v>0</v>
      </c>
      <c r="J82" t="n">
        <v>0</v>
      </c>
      <c r="K82" t="n">
        <v>0</v>
      </c>
      <c r="L82" t="n">
        <v>0</v>
      </c>
      <c r="M82" t="n">
        <v>0</v>
      </c>
      <c r="N82" t="n">
        <v>0</v>
      </c>
      <c r="O82" t="n">
        <v>0</v>
      </c>
      <c r="P82" t="n">
        <v>0</v>
      </c>
      <c r="Q82" t="n">
        <v>0</v>
      </c>
      <c r="R82" s="2" t="inlineStr"/>
    </row>
    <row r="83" ht="15" customHeight="1">
      <c r="A83" t="inlineStr">
        <is>
          <t>A 57145-2018</t>
        </is>
      </c>
      <c r="B83" s="1" t="n">
        <v>43403</v>
      </c>
      <c r="C83" s="1" t="n">
        <v>45338</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57029-2018</t>
        </is>
      </c>
      <c r="B84" s="1" t="n">
        <v>43403</v>
      </c>
      <c r="C84" s="1" t="n">
        <v>45338</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57503-2018</t>
        </is>
      </c>
      <c r="B85" s="1" t="n">
        <v>43404</v>
      </c>
      <c r="C85" s="1" t="n">
        <v>45338</v>
      </c>
      <c r="D85" t="inlineStr">
        <is>
          <t>KALMAR LÄN</t>
        </is>
      </c>
      <c r="E85" t="inlineStr">
        <is>
          <t>VIMMERBY</t>
        </is>
      </c>
      <c r="G85" t="n">
        <v>5.4</v>
      </c>
      <c r="H85" t="n">
        <v>0</v>
      </c>
      <c r="I85" t="n">
        <v>0</v>
      </c>
      <c r="J85" t="n">
        <v>0</v>
      </c>
      <c r="K85" t="n">
        <v>0</v>
      </c>
      <c r="L85" t="n">
        <v>0</v>
      </c>
      <c r="M85" t="n">
        <v>0</v>
      </c>
      <c r="N85" t="n">
        <v>0</v>
      </c>
      <c r="O85" t="n">
        <v>0</v>
      </c>
      <c r="P85" t="n">
        <v>0</v>
      </c>
      <c r="Q85" t="n">
        <v>0</v>
      </c>
      <c r="R85" s="2" t="inlineStr"/>
    </row>
    <row r="86" ht="15" customHeight="1">
      <c r="A86" t="inlineStr">
        <is>
          <t>A 57719-2018</t>
        </is>
      </c>
      <c r="B86" s="1" t="n">
        <v>43405</v>
      </c>
      <c r="C86" s="1" t="n">
        <v>45338</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58519-2018</t>
        </is>
      </c>
      <c r="B87" s="1" t="n">
        <v>43409</v>
      </c>
      <c r="C87" s="1" t="n">
        <v>45338</v>
      </c>
      <c r="D87" t="inlineStr">
        <is>
          <t>KALMAR LÄN</t>
        </is>
      </c>
      <c r="E87" t="inlineStr">
        <is>
          <t>VIMMERBY</t>
        </is>
      </c>
      <c r="G87" t="n">
        <v>5</v>
      </c>
      <c r="H87" t="n">
        <v>0</v>
      </c>
      <c r="I87" t="n">
        <v>0</v>
      </c>
      <c r="J87" t="n">
        <v>0</v>
      </c>
      <c r="K87" t="n">
        <v>0</v>
      </c>
      <c r="L87" t="n">
        <v>0</v>
      </c>
      <c r="M87" t="n">
        <v>0</v>
      </c>
      <c r="N87" t="n">
        <v>0</v>
      </c>
      <c r="O87" t="n">
        <v>0</v>
      </c>
      <c r="P87" t="n">
        <v>0</v>
      </c>
      <c r="Q87" t="n">
        <v>0</v>
      </c>
      <c r="R87" s="2" t="inlineStr"/>
    </row>
    <row r="88" ht="15" customHeight="1">
      <c r="A88" t="inlineStr">
        <is>
          <t>A 58787-2018</t>
        </is>
      </c>
      <c r="B88" s="1" t="n">
        <v>43410</v>
      </c>
      <c r="C88" s="1" t="n">
        <v>45338</v>
      </c>
      <c r="D88" t="inlineStr">
        <is>
          <t>KALMAR LÄN</t>
        </is>
      </c>
      <c r="E88" t="inlineStr">
        <is>
          <t>VIMMERBY</t>
        </is>
      </c>
      <c r="G88" t="n">
        <v>5</v>
      </c>
      <c r="H88" t="n">
        <v>0</v>
      </c>
      <c r="I88" t="n">
        <v>0</v>
      </c>
      <c r="J88" t="n">
        <v>0</v>
      </c>
      <c r="K88" t="n">
        <v>0</v>
      </c>
      <c r="L88" t="n">
        <v>0</v>
      </c>
      <c r="M88" t="n">
        <v>0</v>
      </c>
      <c r="N88" t="n">
        <v>0</v>
      </c>
      <c r="O88" t="n">
        <v>0</v>
      </c>
      <c r="P88" t="n">
        <v>0</v>
      </c>
      <c r="Q88" t="n">
        <v>0</v>
      </c>
      <c r="R88" s="2" t="inlineStr"/>
    </row>
    <row r="89" ht="15" customHeight="1">
      <c r="A89" t="inlineStr">
        <is>
          <t>A 58834-2018</t>
        </is>
      </c>
      <c r="B89" s="1" t="n">
        <v>43410</v>
      </c>
      <c r="C89" s="1" t="n">
        <v>45338</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61688-2018</t>
        </is>
      </c>
      <c r="B90" s="1" t="n">
        <v>43413</v>
      </c>
      <c r="C90" s="1" t="n">
        <v>45338</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60278-2018</t>
        </is>
      </c>
      <c r="B91" s="1" t="n">
        <v>43413</v>
      </c>
      <c r="C91" s="1" t="n">
        <v>45338</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62481-2018</t>
        </is>
      </c>
      <c r="B92" s="1" t="n">
        <v>43415</v>
      </c>
      <c r="C92" s="1" t="n">
        <v>45338</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63151-2018</t>
        </is>
      </c>
      <c r="B93" s="1" t="n">
        <v>43418</v>
      </c>
      <c r="C93" s="1" t="n">
        <v>45338</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64185-2018</t>
        </is>
      </c>
      <c r="B94" s="1" t="n">
        <v>43419</v>
      </c>
      <c r="C94" s="1" t="n">
        <v>45338</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59888-2018</t>
        </is>
      </c>
      <c r="B95" s="1" t="n">
        <v>43419</v>
      </c>
      <c r="C95" s="1" t="n">
        <v>45338</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64170-2018</t>
        </is>
      </c>
      <c r="B96" s="1" t="n">
        <v>43419</v>
      </c>
      <c r="C96" s="1" t="n">
        <v>45338</v>
      </c>
      <c r="D96" t="inlineStr">
        <is>
          <t>KALMAR LÄN</t>
        </is>
      </c>
      <c r="E96" t="inlineStr">
        <is>
          <t>VIMMERBY</t>
        </is>
      </c>
      <c r="G96" t="n">
        <v>2.6</v>
      </c>
      <c r="H96" t="n">
        <v>0</v>
      </c>
      <c r="I96" t="n">
        <v>0</v>
      </c>
      <c r="J96" t="n">
        <v>0</v>
      </c>
      <c r="K96" t="n">
        <v>0</v>
      </c>
      <c r="L96" t="n">
        <v>0</v>
      </c>
      <c r="M96" t="n">
        <v>0</v>
      </c>
      <c r="N96" t="n">
        <v>0</v>
      </c>
      <c r="O96" t="n">
        <v>0</v>
      </c>
      <c r="P96" t="n">
        <v>0</v>
      </c>
      <c r="Q96" t="n">
        <v>0</v>
      </c>
      <c r="R96" s="2" t="inlineStr"/>
    </row>
    <row r="97" ht="15" customHeight="1">
      <c r="A97" t="inlineStr">
        <is>
          <t>A 64175-2018</t>
        </is>
      </c>
      <c r="B97" s="1" t="n">
        <v>43419</v>
      </c>
      <c r="C97" s="1" t="n">
        <v>45338</v>
      </c>
      <c r="D97" t="inlineStr">
        <is>
          <t>KALMAR LÄN</t>
        </is>
      </c>
      <c r="E97" t="inlineStr">
        <is>
          <t>VIMMERBY</t>
        </is>
      </c>
      <c r="G97" t="n">
        <v>6.9</v>
      </c>
      <c r="H97" t="n">
        <v>0</v>
      </c>
      <c r="I97" t="n">
        <v>0</v>
      </c>
      <c r="J97" t="n">
        <v>0</v>
      </c>
      <c r="K97" t="n">
        <v>0</v>
      </c>
      <c r="L97" t="n">
        <v>0</v>
      </c>
      <c r="M97" t="n">
        <v>0</v>
      </c>
      <c r="N97" t="n">
        <v>0</v>
      </c>
      <c r="O97" t="n">
        <v>0</v>
      </c>
      <c r="P97" t="n">
        <v>0</v>
      </c>
      <c r="Q97" t="n">
        <v>0</v>
      </c>
      <c r="R97" s="2" t="inlineStr"/>
    </row>
    <row r="98" ht="15" customHeight="1">
      <c r="A98" t="inlineStr">
        <is>
          <t>A 61629-2018</t>
        </is>
      </c>
      <c r="B98" s="1" t="n">
        <v>43424</v>
      </c>
      <c r="C98" s="1" t="n">
        <v>45338</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61626-2018</t>
        </is>
      </c>
      <c r="B99" s="1" t="n">
        <v>43424</v>
      </c>
      <c r="C99" s="1" t="n">
        <v>45338</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62288-2018</t>
        </is>
      </c>
      <c r="B100" s="1" t="n">
        <v>43426</v>
      </c>
      <c r="C100" s="1" t="n">
        <v>45338</v>
      </c>
      <c r="D100" t="inlineStr">
        <is>
          <t>KALMAR LÄN</t>
        </is>
      </c>
      <c r="E100" t="inlineStr">
        <is>
          <t>VIMMERBY</t>
        </is>
      </c>
      <c r="F100" t="inlineStr">
        <is>
          <t>Kyrkan</t>
        </is>
      </c>
      <c r="G100" t="n">
        <v>3.8</v>
      </c>
      <c r="H100" t="n">
        <v>0</v>
      </c>
      <c r="I100" t="n">
        <v>0</v>
      </c>
      <c r="J100" t="n">
        <v>0</v>
      </c>
      <c r="K100" t="n">
        <v>0</v>
      </c>
      <c r="L100" t="n">
        <v>0</v>
      </c>
      <c r="M100" t="n">
        <v>0</v>
      </c>
      <c r="N100" t="n">
        <v>0</v>
      </c>
      <c r="O100" t="n">
        <v>0</v>
      </c>
      <c r="P100" t="n">
        <v>0</v>
      </c>
      <c r="Q100" t="n">
        <v>0</v>
      </c>
      <c r="R100" s="2" t="inlineStr"/>
    </row>
    <row r="101" ht="15" customHeight="1">
      <c r="A101" t="inlineStr">
        <is>
          <t>A 62601-2018</t>
        </is>
      </c>
      <c r="B101" s="1" t="n">
        <v>43426</v>
      </c>
      <c r="C101" s="1" t="n">
        <v>45338</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62593-2018</t>
        </is>
      </c>
      <c r="B102" s="1" t="n">
        <v>43426</v>
      </c>
      <c r="C102" s="1" t="n">
        <v>45338</v>
      </c>
      <c r="D102" t="inlineStr">
        <is>
          <t>KALMAR LÄN</t>
        </is>
      </c>
      <c r="E102" t="inlineStr">
        <is>
          <t>VIMMERBY</t>
        </is>
      </c>
      <c r="G102" t="n">
        <v>2.3</v>
      </c>
      <c r="H102" t="n">
        <v>0</v>
      </c>
      <c r="I102" t="n">
        <v>0</v>
      </c>
      <c r="J102" t="n">
        <v>0</v>
      </c>
      <c r="K102" t="n">
        <v>0</v>
      </c>
      <c r="L102" t="n">
        <v>0</v>
      </c>
      <c r="M102" t="n">
        <v>0</v>
      </c>
      <c r="N102" t="n">
        <v>0</v>
      </c>
      <c r="O102" t="n">
        <v>0</v>
      </c>
      <c r="P102" t="n">
        <v>0</v>
      </c>
      <c r="Q102" t="n">
        <v>0</v>
      </c>
      <c r="R102" s="2" t="inlineStr"/>
    </row>
    <row r="103" ht="15" customHeight="1">
      <c r="A103" t="inlineStr">
        <is>
          <t>A 62598-2018</t>
        </is>
      </c>
      <c r="B103" s="1" t="n">
        <v>43426</v>
      </c>
      <c r="C103" s="1" t="n">
        <v>45338</v>
      </c>
      <c r="D103" t="inlineStr">
        <is>
          <t>KALMAR LÄN</t>
        </is>
      </c>
      <c r="E103" t="inlineStr">
        <is>
          <t>VIMMERBY</t>
        </is>
      </c>
      <c r="G103" t="n">
        <v>2.7</v>
      </c>
      <c r="H103" t="n">
        <v>0</v>
      </c>
      <c r="I103" t="n">
        <v>0</v>
      </c>
      <c r="J103" t="n">
        <v>0</v>
      </c>
      <c r="K103" t="n">
        <v>0</v>
      </c>
      <c r="L103" t="n">
        <v>0</v>
      </c>
      <c r="M103" t="n">
        <v>0</v>
      </c>
      <c r="N103" t="n">
        <v>0</v>
      </c>
      <c r="O103" t="n">
        <v>0</v>
      </c>
      <c r="P103" t="n">
        <v>0</v>
      </c>
      <c r="Q103" t="n">
        <v>0</v>
      </c>
      <c r="R103" s="2" t="inlineStr"/>
    </row>
    <row r="104" ht="15" customHeight="1">
      <c r="A104" t="inlineStr">
        <is>
          <t>A 62607-2018</t>
        </is>
      </c>
      <c r="B104" s="1" t="n">
        <v>43426</v>
      </c>
      <c r="C104" s="1" t="n">
        <v>45338</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66710-2018</t>
        </is>
      </c>
      <c r="B105" s="1" t="n">
        <v>43430</v>
      </c>
      <c r="C105" s="1" t="n">
        <v>45338</v>
      </c>
      <c r="D105" t="inlineStr">
        <is>
          <t>KALMAR LÄN</t>
        </is>
      </c>
      <c r="E105" t="inlineStr">
        <is>
          <t>VIMMERBY</t>
        </is>
      </c>
      <c r="G105" t="n">
        <v>1.8</v>
      </c>
      <c r="H105" t="n">
        <v>0</v>
      </c>
      <c r="I105" t="n">
        <v>0</v>
      </c>
      <c r="J105" t="n">
        <v>0</v>
      </c>
      <c r="K105" t="n">
        <v>0</v>
      </c>
      <c r="L105" t="n">
        <v>0</v>
      </c>
      <c r="M105" t="n">
        <v>0</v>
      </c>
      <c r="N105" t="n">
        <v>0</v>
      </c>
      <c r="O105" t="n">
        <v>0</v>
      </c>
      <c r="P105" t="n">
        <v>0</v>
      </c>
      <c r="Q105" t="n">
        <v>0</v>
      </c>
      <c r="R105" s="2" t="inlineStr"/>
    </row>
    <row r="106" ht="15" customHeight="1">
      <c r="A106" t="inlineStr">
        <is>
          <t>A 66718-2018</t>
        </is>
      </c>
      <c r="B106" s="1" t="n">
        <v>43430</v>
      </c>
      <c r="C106" s="1" t="n">
        <v>45338</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63934-2018</t>
        </is>
      </c>
      <c r="B107" s="1" t="n">
        <v>43430</v>
      </c>
      <c r="C107" s="1" t="n">
        <v>45338</v>
      </c>
      <c r="D107" t="inlineStr">
        <is>
          <t>KALMAR LÄN</t>
        </is>
      </c>
      <c r="E107" t="inlineStr">
        <is>
          <t>VIMMERBY</t>
        </is>
      </c>
      <c r="G107" t="n">
        <v>2.9</v>
      </c>
      <c r="H107" t="n">
        <v>0</v>
      </c>
      <c r="I107" t="n">
        <v>0</v>
      </c>
      <c r="J107" t="n">
        <v>0</v>
      </c>
      <c r="K107" t="n">
        <v>0</v>
      </c>
      <c r="L107" t="n">
        <v>0</v>
      </c>
      <c r="M107" t="n">
        <v>0</v>
      </c>
      <c r="N107" t="n">
        <v>0</v>
      </c>
      <c r="O107" t="n">
        <v>0</v>
      </c>
      <c r="P107" t="n">
        <v>0</v>
      </c>
      <c r="Q107" t="n">
        <v>0</v>
      </c>
      <c r="R107" s="2" t="inlineStr"/>
    </row>
    <row r="108" ht="15" customHeight="1">
      <c r="A108" t="inlineStr">
        <is>
          <t>A 64568-2018</t>
        </is>
      </c>
      <c r="B108" s="1" t="n">
        <v>43431</v>
      </c>
      <c r="C108" s="1" t="n">
        <v>45338</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64829-2018</t>
        </is>
      </c>
      <c r="B109" s="1" t="n">
        <v>43431</v>
      </c>
      <c r="C109" s="1" t="n">
        <v>45338</v>
      </c>
      <c r="D109" t="inlineStr">
        <is>
          <t>KALMAR LÄN</t>
        </is>
      </c>
      <c r="E109" t="inlineStr">
        <is>
          <t>VIMMERBY</t>
        </is>
      </c>
      <c r="G109" t="n">
        <v>1.5</v>
      </c>
      <c r="H109" t="n">
        <v>0</v>
      </c>
      <c r="I109" t="n">
        <v>0</v>
      </c>
      <c r="J109" t="n">
        <v>0</v>
      </c>
      <c r="K109" t="n">
        <v>0</v>
      </c>
      <c r="L109" t="n">
        <v>0</v>
      </c>
      <c r="M109" t="n">
        <v>0</v>
      </c>
      <c r="N109" t="n">
        <v>0</v>
      </c>
      <c r="O109" t="n">
        <v>0</v>
      </c>
      <c r="P109" t="n">
        <v>0</v>
      </c>
      <c r="Q109" t="n">
        <v>0</v>
      </c>
      <c r="R109" s="2" t="inlineStr"/>
    </row>
    <row r="110" ht="15" customHeight="1">
      <c r="A110" t="inlineStr">
        <is>
          <t>A 65752-2018</t>
        </is>
      </c>
      <c r="B110" s="1" t="n">
        <v>43433</v>
      </c>
      <c r="C110" s="1" t="n">
        <v>45338</v>
      </c>
      <c r="D110" t="inlineStr">
        <is>
          <t>KALMAR LÄN</t>
        </is>
      </c>
      <c r="E110" t="inlineStr">
        <is>
          <t>VIMMERBY</t>
        </is>
      </c>
      <c r="G110" t="n">
        <v>6.2</v>
      </c>
      <c r="H110" t="n">
        <v>0</v>
      </c>
      <c r="I110" t="n">
        <v>0</v>
      </c>
      <c r="J110" t="n">
        <v>0</v>
      </c>
      <c r="K110" t="n">
        <v>0</v>
      </c>
      <c r="L110" t="n">
        <v>0</v>
      </c>
      <c r="M110" t="n">
        <v>0</v>
      </c>
      <c r="N110" t="n">
        <v>0</v>
      </c>
      <c r="O110" t="n">
        <v>0</v>
      </c>
      <c r="P110" t="n">
        <v>0</v>
      </c>
      <c r="Q110" t="n">
        <v>0</v>
      </c>
      <c r="R110" s="2" t="inlineStr"/>
    </row>
    <row r="111" ht="15" customHeight="1">
      <c r="A111" t="inlineStr">
        <is>
          <t>A 66086-2018</t>
        </is>
      </c>
      <c r="B111" s="1" t="n">
        <v>43434</v>
      </c>
      <c r="C111" s="1" t="n">
        <v>45338</v>
      </c>
      <c r="D111" t="inlineStr">
        <is>
          <t>KALMAR LÄN</t>
        </is>
      </c>
      <c r="E111" t="inlineStr">
        <is>
          <t>VIMMERBY</t>
        </is>
      </c>
      <c r="G111" t="n">
        <v>14.4</v>
      </c>
      <c r="H111" t="n">
        <v>0</v>
      </c>
      <c r="I111" t="n">
        <v>0</v>
      </c>
      <c r="J111" t="n">
        <v>0</v>
      </c>
      <c r="K111" t="n">
        <v>0</v>
      </c>
      <c r="L111" t="n">
        <v>0</v>
      </c>
      <c r="M111" t="n">
        <v>0</v>
      </c>
      <c r="N111" t="n">
        <v>0</v>
      </c>
      <c r="O111" t="n">
        <v>0</v>
      </c>
      <c r="P111" t="n">
        <v>0</v>
      </c>
      <c r="Q111" t="n">
        <v>0</v>
      </c>
      <c r="R111" s="2" t="inlineStr"/>
    </row>
    <row r="112" ht="15" customHeight="1">
      <c r="A112" t="inlineStr">
        <is>
          <t>A 66114-2018</t>
        </is>
      </c>
      <c r="B112" s="1" t="n">
        <v>43434</v>
      </c>
      <c r="C112" s="1" t="n">
        <v>45338</v>
      </c>
      <c r="D112" t="inlineStr">
        <is>
          <t>KALMAR LÄN</t>
        </is>
      </c>
      <c r="E112" t="inlineStr">
        <is>
          <t>VIMMERBY</t>
        </is>
      </c>
      <c r="G112" t="n">
        <v>7.4</v>
      </c>
      <c r="H112" t="n">
        <v>0</v>
      </c>
      <c r="I112" t="n">
        <v>0</v>
      </c>
      <c r="J112" t="n">
        <v>0</v>
      </c>
      <c r="K112" t="n">
        <v>0</v>
      </c>
      <c r="L112" t="n">
        <v>0</v>
      </c>
      <c r="M112" t="n">
        <v>0</v>
      </c>
      <c r="N112" t="n">
        <v>0</v>
      </c>
      <c r="O112" t="n">
        <v>0</v>
      </c>
      <c r="P112" t="n">
        <v>0</v>
      </c>
      <c r="Q112" t="n">
        <v>0</v>
      </c>
      <c r="R112" s="2" t="inlineStr"/>
    </row>
    <row r="113" ht="15" customHeight="1">
      <c r="A113" t="inlineStr">
        <is>
          <t>A 66378-2018</t>
        </is>
      </c>
      <c r="B113" s="1" t="n">
        <v>43436</v>
      </c>
      <c r="C113" s="1" t="n">
        <v>45338</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66957-2018</t>
        </is>
      </c>
      <c r="B114" s="1" t="n">
        <v>43438</v>
      </c>
      <c r="C114" s="1" t="n">
        <v>45338</v>
      </c>
      <c r="D114" t="inlineStr">
        <is>
          <t>KALMAR LÄN</t>
        </is>
      </c>
      <c r="E114" t="inlineStr">
        <is>
          <t>VIMMERBY</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66954-2018</t>
        </is>
      </c>
      <c r="B115" s="1" t="n">
        <v>43438</v>
      </c>
      <c r="C115" s="1" t="n">
        <v>45338</v>
      </c>
      <c r="D115" t="inlineStr">
        <is>
          <t>KALMAR LÄN</t>
        </is>
      </c>
      <c r="E115" t="inlineStr">
        <is>
          <t>VIMMERBY</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68818-2018</t>
        </is>
      </c>
      <c r="B116" s="1" t="n">
        <v>43439</v>
      </c>
      <c r="C116" s="1" t="n">
        <v>45338</v>
      </c>
      <c r="D116" t="inlineStr">
        <is>
          <t>KALMAR LÄN</t>
        </is>
      </c>
      <c r="E116" t="inlineStr">
        <is>
          <t>VIMMERBY</t>
        </is>
      </c>
      <c r="G116" t="n">
        <v>1.8</v>
      </c>
      <c r="H116" t="n">
        <v>0</v>
      </c>
      <c r="I116" t="n">
        <v>0</v>
      </c>
      <c r="J116" t="n">
        <v>0</v>
      </c>
      <c r="K116" t="n">
        <v>0</v>
      </c>
      <c r="L116" t="n">
        <v>0</v>
      </c>
      <c r="M116" t="n">
        <v>0</v>
      </c>
      <c r="N116" t="n">
        <v>0</v>
      </c>
      <c r="O116" t="n">
        <v>0</v>
      </c>
      <c r="P116" t="n">
        <v>0</v>
      </c>
      <c r="Q116" t="n">
        <v>0</v>
      </c>
      <c r="R116" s="2" t="inlineStr"/>
    </row>
    <row r="117" ht="15" customHeight="1">
      <c r="A117" t="inlineStr">
        <is>
          <t>A 68822-2018</t>
        </is>
      </c>
      <c r="B117" s="1" t="n">
        <v>43439</v>
      </c>
      <c r="C117" s="1" t="n">
        <v>45338</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70413-2018</t>
        </is>
      </c>
      <c r="B118" s="1" t="n">
        <v>43447</v>
      </c>
      <c r="C118" s="1" t="n">
        <v>45338</v>
      </c>
      <c r="D118" t="inlineStr">
        <is>
          <t>KALMAR LÄN</t>
        </is>
      </c>
      <c r="E118" t="inlineStr">
        <is>
          <t>VIMMERBY</t>
        </is>
      </c>
      <c r="G118" t="n">
        <v>1.3</v>
      </c>
      <c r="H118" t="n">
        <v>0</v>
      </c>
      <c r="I118" t="n">
        <v>0</v>
      </c>
      <c r="J118" t="n">
        <v>0</v>
      </c>
      <c r="K118" t="n">
        <v>0</v>
      </c>
      <c r="L118" t="n">
        <v>0</v>
      </c>
      <c r="M118" t="n">
        <v>0</v>
      </c>
      <c r="N118" t="n">
        <v>0</v>
      </c>
      <c r="O118" t="n">
        <v>0</v>
      </c>
      <c r="P118" t="n">
        <v>0</v>
      </c>
      <c r="Q118" t="n">
        <v>0</v>
      </c>
      <c r="R118" s="2" t="inlineStr"/>
    </row>
    <row r="119" ht="15" customHeight="1">
      <c r="A119" t="inlineStr">
        <is>
          <t>A 70414-2018</t>
        </is>
      </c>
      <c r="B119" s="1" t="n">
        <v>43447</v>
      </c>
      <c r="C119" s="1" t="n">
        <v>45338</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69857-2018</t>
        </is>
      </c>
      <c r="B120" s="1" t="n">
        <v>43447</v>
      </c>
      <c r="C120" s="1" t="n">
        <v>45338</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70563-2018</t>
        </is>
      </c>
      <c r="B121" s="1" t="n">
        <v>43451</v>
      </c>
      <c r="C121" s="1" t="n">
        <v>45338</v>
      </c>
      <c r="D121" t="inlineStr">
        <is>
          <t>KALMAR LÄN</t>
        </is>
      </c>
      <c r="E121" t="inlineStr">
        <is>
          <t>VIMMERBY</t>
        </is>
      </c>
      <c r="G121" t="n">
        <v>7.1</v>
      </c>
      <c r="H121" t="n">
        <v>0</v>
      </c>
      <c r="I121" t="n">
        <v>0</v>
      </c>
      <c r="J121" t="n">
        <v>0</v>
      </c>
      <c r="K121" t="n">
        <v>0</v>
      </c>
      <c r="L121" t="n">
        <v>0</v>
      </c>
      <c r="M121" t="n">
        <v>0</v>
      </c>
      <c r="N121" t="n">
        <v>0</v>
      </c>
      <c r="O121" t="n">
        <v>0</v>
      </c>
      <c r="P121" t="n">
        <v>0</v>
      </c>
      <c r="Q121" t="n">
        <v>0</v>
      </c>
      <c r="R121" s="2" t="inlineStr"/>
    </row>
    <row r="122" ht="15" customHeight="1">
      <c r="A122" t="inlineStr">
        <is>
          <t>A 71003-2018</t>
        </is>
      </c>
      <c r="B122" s="1" t="n">
        <v>43452</v>
      </c>
      <c r="C122" s="1" t="n">
        <v>45338</v>
      </c>
      <c r="D122" t="inlineStr">
        <is>
          <t>KALMAR LÄN</t>
        </is>
      </c>
      <c r="E122" t="inlineStr">
        <is>
          <t>VIMMERBY</t>
        </is>
      </c>
      <c r="G122" t="n">
        <v>3.8</v>
      </c>
      <c r="H122" t="n">
        <v>0</v>
      </c>
      <c r="I122" t="n">
        <v>0</v>
      </c>
      <c r="J122" t="n">
        <v>0</v>
      </c>
      <c r="K122" t="n">
        <v>0</v>
      </c>
      <c r="L122" t="n">
        <v>0</v>
      </c>
      <c r="M122" t="n">
        <v>0</v>
      </c>
      <c r="N122" t="n">
        <v>0</v>
      </c>
      <c r="O122" t="n">
        <v>0</v>
      </c>
      <c r="P122" t="n">
        <v>0</v>
      </c>
      <c r="Q122" t="n">
        <v>0</v>
      </c>
      <c r="R122" s="2" t="inlineStr"/>
    </row>
    <row r="123" ht="15" customHeight="1">
      <c r="A123" t="inlineStr">
        <is>
          <t>A 72073-2018</t>
        </is>
      </c>
      <c r="B123" s="1" t="n">
        <v>43455</v>
      </c>
      <c r="C123" s="1" t="n">
        <v>45338</v>
      </c>
      <c r="D123" t="inlineStr">
        <is>
          <t>KALMAR LÄN</t>
        </is>
      </c>
      <c r="E123" t="inlineStr">
        <is>
          <t>VIMMERBY</t>
        </is>
      </c>
      <c r="G123" t="n">
        <v>9.1</v>
      </c>
      <c r="H123" t="n">
        <v>0</v>
      </c>
      <c r="I123" t="n">
        <v>0</v>
      </c>
      <c r="J123" t="n">
        <v>0</v>
      </c>
      <c r="K123" t="n">
        <v>0</v>
      </c>
      <c r="L123" t="n">
        <v>0</v>
      </c>
      <c r="M123" t="n">
        <v>0</v>
      </c>
      <c r="N123" t="n">
        <v>0</v>
      </c>
      <c r="O123" t="n">
        <v>0</v>
      </c>
      <c r="P123" t="n">
        <v>0</v>
      </c>
      <c r="Q123" t="n">
        <v>0</v>
      </c>
      <c r="R123" s="2" t="inlineStr"/>
    </row>
    <row r="124" ht="15" customHeight="1">
      <c r="A124" t="inlineStr">
        <is>
          <t>A 1410-2019</t>
        </is>
      </c>
      <c r="B124" s="1" t="n">
        <v>43461</v>
      </c>
      <c r="C124" s="1" t="n">
        <v>45338</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72534-2018</t>
        </is>
      </c>
      <c r="B125" s="1" t="n">
        <v>43462</v>
      </c>
      <c r="C125" s="1" t="n">
        <v>45338</v>
      </c>
      <c r="D125" t="inlineStr">
        <is>
          <t>KALMAR LÄN</t>
        </is>
      </c>
      <c r="E125" t="inlineStr">
        <is>
          <t>VIMMERBY</t>
        </is>
      </c>
      <c r="G125" t="n">
        <v>8.6</v>
      </c>
      <c r="H125" t="n">
        <v>0</v>
      </c>
      <c r="I125" t="n">
        <v>0</v>
      </c>
      <c r="J125" t="n">
        <v>0</v>
      </c>
      <c r="K125" t="n">
        <v>0</v>
      </c>
      <c r="L125" t="n">
        <v>0</v>
      </c>
      <c r="M125" t="n">
        <v>0</v>
      </c>
      <c r="N125" t="n">
        <v>0</v>
      </c>
      <c r="O125" t="n">
        <v>0</v>
      </c>
      <c r="P125" t="n">
        <v>0</v>
      </c>
      <c r="Q125" t="n">
        <v>0</v>
      </c>
      <c r="R125" s="2" t="inlineStr"/>
    </row>
    <row r="126" ht="15" customHeight="1">
      <c r="A126" t="inlineStr">
        <is>
          <t>A 72568-2018</t>
        </is>
      </c>
      <c r="B126" s="1" t="n">
        <v>43462</v>
      </c>
      <c r="C126" s="1" t="n">
        <v>45338</v>
      </c>
      <c r="D126" t="inlineStr">
        <is>
          <t>KALMAR LÄN</t>
        </is>
      </c>
      <c r="E126" t="inlineStr">
        <is>
          <t>VIMMERBY</t>
        </is>
      </c>
      <c r="G126" t="n">
        <v>7.8</v>
      </c>
      <c r="H126" t="n">
        <v>0</v>
      </c>
      <c r="I126" t="n">
        <v>0</v>
      </c>
      <c r="J126" t="n">
        <v>0</v>
      </c>
      <c r="K126" t="n">
        <v>0</v>
      </c>
      <c r="L126" t="n">
        <v>0</v>
      </c>
      <c r="M126" t="n">
        <v>0</v>
      </c>
      <c r="N126" t="n">
        <v>0</v>
      </c>
      <c r="O126" t="n">
        <v>0</v>
      </c>
      <c r="P126" t="n">
        <v>0</v>
      </c>
      <c r="Q126" t="n">
        <v>0</v>
      </c>
      <c r="R126" s="2" t="inlineStr"/>
    </row>
    <row r="127" ht="15" customHeight="1">
      <c r="A127" t="inlineStr">
        <is>
          <t>A 72570-2018</t>
        </is>
      </c>
      <c r="B127" s="1" t="n">
        <v>43462</v>
      </c>
      <c r="C127" s="1" t="n">
        <v>45338</v>
      </c>
      <c r="D127" t="inlineStr">
        <is>
          <t>KALMAR LÄN</t>
        </is>
      </c>
      <c r="E127" t="inlineStr">
        <is>
          <t>VIMMERBY</t>
        </is>
      </c>
      <c r="G127" t="n">
        <v>3</v>
      </c>
      <c r="H127" t="n">
        <v>0</v>
      </c>
      <c r="I127" t="n">
        <v>0</v>
      </c>
      <c r="J127" t="n">
        <v>0</v>
      </c>
      <c r="K127" t="n">
        <v>0</v>
      </c>
      <c r="L127" t="n">
        <v>0</v>
      </c>
      <c r="M127" t="n">
        <v>0</v>
      </c>
      <c r="N127" t="n">
        <v>0</v>
      </c>
      <c r="O127" t="n">
        <v>0</v>
      </c>
      <c r="P127" t="n">
        <v>0</v>
      </c>
      <c r="Q127" t="n">
        <v>0</v>
      </c>
      <c r="R127" s="2" t="inlineStr"/>
    </row>
    <row r="128" ht="15" customHeight="1">
      <c r="A128" t="inlineStr">
        <is>
          <t>A 583-2019</t>
        </is>
      </c>
      <c r="B128" s="1" t="n">
        <v>43469</v>
      </c>
      <c r="C128" s="1" t="n">
        <v>45338</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3131-2019</t>
        </is>
      </c>
      <c r="B129" s="1" t="n">
        <v>43473</v>
      </c>
      <c r="C129" s="1" t="n">
        <v>45338</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1579-2019</t>
        </is>
      </c>
      <c r="B130" s="1" t="n">
        <v>43474</v>
      </c>
      <c r="C130" s="1" t="n">
        <v>45338</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2170-2019</t>
        </is>
      </c>
      <c r="B131" s="1" t="n">
        <v>43475</v>
      </c>
      <c r="C131" s="1" t="n">
        <v>45338</v>
      </c>
      <c r="D131" t="inlineStr">
        <is>
          <t>KALMAR LÄN</t>
        </is>
      </c>
      <c r="E131" t="inlineStr">
        <is>
          <t>VIMMERBY</t>
        </is>
      </c>
      <c r="G131" t="n">
        <v>2.3</v>
      </c>
      <c r="H131" t="n">
        <v>0</v>
      </c>
      <c r="I131" t="n">
        <v>0</v>
      </c>
      <c r="J131" t="n">
        <v>0</v>
      </c>
      <c r="K131" t="n">
        <v>0</v>
      </c>
      <c r="L131" t="n">
        <v>0</v>
      </c>
      <c r="M131" t="n">
        <v>0</v>
      </c>
      <c r="N131" t="n">
        <v>0</v>
      </c>
      <c r="O131" t="n">
        <v>0</v>
      </c>
      <c r="P131" t="n">
        <v>0</v>
      </c>
      <c r="Q131" t="n">
        <v>0</v>
      </c>
      <c r="R131" s="2" t="inlineStr"/>
    </row>
    <row r="132" ht="15" customHeight="1">
      <c r="A132" t="inlineStr">
        <is>
          <t>A 2165-2019</t>
        </is>
      </c>
      <c r="B132" s="1" t="n">
        <v>43475</v>
      </c>
      <c r="C132" s="1" t="n">
        <v>45338</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2112-2019</t>
        </is>
      </c>
      <c r="B133" s="1" t="n">
        <v>43475</v>
      </c>
      <c r="C133" s="1" t="n">
        <v>45338</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2545-2019</t>
        </is>
      </c>
      <c r="B134" s="1" t="n">
        <v>43476</v>
      </c>
      <c r="C134" s="1" t="n">
        <v>45338</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2856-2019</t>
        </is>
      </c>
      <c r="B135" s="1" t="n">
        <v>43479</v>
      </c>
      <c r="C135" s="1" t="n">
        <v>45338</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2864-2019</t>
        </is>
      </c>
      <c r="B136" s="1" t="n">
        <v>43479</v>
      </c>
      <c r="C136" s="1" t="n">
        <v>45338</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3095-2019</t>
        </is>
      </c>
      <c r="B137" s="1" t="n">
        <v>43479</v>
      </c>
      <c r="C137" s="1" t="n">
        <v>45338</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5249-2019</t>
        </is>
      </c>
      <c r="B138" s="1" t="n">
        <v>43480</v>
      </c>
      <c r="C138" s="1" t="n">
        <v>45338</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3615-2019</t>
        </is>
      </c>
      <c r="B139" s="1" t="n">
        <v>43481</v>
      </c>
      <c r="C139" s="1" t="n">
        <v>45338</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4288-2019</t>
        </is>
      </c>
      <c r="B140" s="1" t="n">
        <v>43483</v>
      </c>
      <c r="C140" s="1" t="n">
        <v>45338</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4460-2019</t>
        </is>
      </c>
      <c r="B141" s="1" t="n">
        <v>43485</v>
      </c>
      <c r="C141" s="1" t="n">
        <v>45338</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4669-2019</t>
        </is>
      </c>
      <c r="B142" s="1" t="n">
        <v>43486</v>
      </c>
      <c r="C142" s="1" t="n">
        <v>45338</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4675-2019</t>
        </is>
      </c>
      <c r="B143" s="1" t="n">
        <v>43486</v>
      </c>
      <c r="C143" s="1" t="n">
        <v>45338</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4677-2019</t>
        </is>
      </c>
      <c r="B144" s="1" t="n">
        <v>43486</v>
      </c>
      <c r="C144" s="1" t="n">
        <v>45338</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6415-2019</t>
        </is>
      </c>
      <c r="B145" s="1" t="n">
        <v>43487</v>
      </c>
      <c r="C145" s="1" t="n">
        <v>45338</v>
      </c>
      <c r="D145" t="inlineStr">
        <is>
          <t>KALMAR LÄN</t>
        </is>
      </c>
      <c r="E145" t="inlineStr">
        <is>
          <t>VIMMERBY</t>
        </is>
      </c>
      <c r="G145" t="n">
        <v>2.3</v>
      </c>
      <c r="H145" t="n">
        <v>0</v>
      </c>
      <c r="I145" t="n">
        <v>0</v>
      </c>
      <c r="J145" t="n">
        <v>0</v>
      </c>
      <c r="K145" t="n">
        <v>0</v>
      </c>
      <c r="L145" t="n">
        <v>0</v>
      </c>
      <c r="M145" t="n">
        <v>0</v>
      </c>
      <c r="N145" t="n">
        <v>0</v>
      </c>
      <c r="O145" t="n">
        <v>0</v>
      </c>
      <c r="P145" t="n">
        <v>0</v>
      </c>
      <c r="Q145" t="n">
        <v>0</v>
      </c>
      <c r="R145" s="2" t="inlineStr"/>
    </row>
    <row r="146" ht="15" customHeight="1">
      <c r="A146" t="inlineStr">
        <is>
          <t>A 5201-2019</t>
        </is>
      </c>
      <c r="B146" s="1" t="n">
        <v>43488</v>
      </c>
      <c r="C146" s="1" t="n">
        <v>45338</v>
      </c>
      <c r="D146" t="inlineStr">
        <is>
          <t>KALMAR LÄN</t>
        </is>
      </c>
      <c r="E146" t="inlineStr">
        <is>
          <t>VIMMERBY</t>
        </is>
      </c>
      <c r="G146" t="n">
        <v>3.2</v>
      </c>
      <c r="H146" t="n">
        <v>0</v>
      </c>
      <c r="I146" t="n">
        <v>0</v>
      </c>
      <c r="J146" t="n">
        <v>0</v>
      </c>
      <c r="K146" t="n">
        <v>0</v>
      </c>
      <c r="L146" t="n">
        <v>0</v>
      </c>
      <c r="M146" t="n">
        <v>0</v>
      </c>
      <c r="N146" t="n">
        <v>0</v>
      </c>
      <c r="O146" t="n">
        <v>0</v>
      </c>
      <c r="P146" t="n">
        <v>0</v>
      </c>
      <c r="Q146" t="n">
        <v>0</v>
      </c>
      <c r="R146" s="2" t="inlineStr"/>
    </row>
    <row r="147" ht="15" customHeight="1">
      <c r="A147" t="inlineStr">
        <is>
          <t>A 5329-2019</t>
        </is>
      </c>
      <c r="B147" s="1" t="n">
        <v>43488</v>
      </c>
      <c r="C147" s="1" t="n">
        <v>45338</v>
      </c>
      <c r="D147" t="inlineStr">
        <is>
          <t>KALMAR LÄN</t>
        </is>
      </c>
      <c r="E147" t="inlineStr">
        <is>
          <t>VIMMERBY</t>
        </is>
      </c>
      <c r="G147" t="n">
        <v>3.1</v>
      </c>
      <c r="H147" t="n">
        <v>0</v>
      </c>
      <c r="I147" t="n">
        <v>0</v>
      </c>
      <c r="J147" t="n">
        <v>0</v>
      </c>
      <c r="K147" t="n">
        <v>0</v>
      </c>
      <c r="L147" t="n">
        <v>0</v>
      </c>
      <c r="M147" t="n">
        <v>0</v>
      </c>
      <c r="N147" t="n">
        <v>0</v>
      </c>
      <c r="O147" t="n">
        <v>0</v>
      </c>
      <c r="P147" t="n">
        <v>0</v>
      </c>
      <c r="Q147" t="n">
        <v>0</v>
      </c>
      <c r="R147" s="2" t="inlineStr"/>
    </row>
    <row r="148" ht="15" customHeight="1">
      <c r="A148" t="inlineStr">
        <is>
          <t>A 5439-2019</t>
        </is>
      </c>
      <c r="B148" s="1" t="n">
        <v>43489</v>
      </c>
      <c r="C148" s="1" t="n">
        <v>45338</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5589-2019</t>
        </is>
      </c>
      <c r="B149" s="1" t="n">
        <v>43489</v>
      </c>
      <c r="C149" s="1" t="n">
        <v>45338</v>
      </c>
      <c r="D149" t="inlineStr">
        <is>
          <t>KALMAR LÄN</t>
        </is>
      </c>
      <c r="E149" t="inlineStr">
        <is>
          <t>VIMMERBY</t>
        </is>
      </c>
      <c r="G149" t="n">
        <v>4.1</v>
      </c>
      <c r="H149" t="n">
        <v>0</v>
      </c>
      <c r="I149" t="n">
        <v>0</v>
      </c>
      <c r="J149" t="n">
        <v>0</v>
      </c>
      <c r="K149" t="n">
        <v>0</v>
      </c>
      <c r="L149" t="n">
        <v>0</v>
      </c>
      <c r="M149" t="n">
        <v>0</v>
      </c>
      <c r="N149" t="n">
        <v>0</v>
      </c>
      <c r="O149" t="n">
        <v>0</v>
      </c>
      <c r="P149" t="n">
        <v>0</v>
      </c>
      <c r="Q149" t="n">
        <v>0</v>
      </c>
      <c r="R149" s="2" t="inlineStr"/>
    </row>
    <row r="150" ht="15" customHeight="1">
      <c r="A150" t="inlineStr">
        <is>
          <t>A 5637-2019</t>
        </is>
      </c>
      <c r="B150" s="1" t="n">
        <v>43489</v>
      </c>
      <c r="C150" s="1" t="n">
        <v>45338</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5453-2019</t>
        </is>
      </c>
      <c r="B151" s="1" t="n">
        <v>43489</v>
      </c>
      <c r="C151" s="1" t="n">
        <v>45338</v>
      </c>
      <c r="D151" t="inlineStr">
        <is>
          <t>KALMAR LÄN</t>
        </is>
      </c>
      <c r="E151" t="inlineStr">
        <is>
          <t>VIMMERBY</t>
        </is>
      </c>
      <c r="G151" t="n">
        <v>1.5</v>
      </c>
      <c r="H151" t="n">
        <v>0</v>
      </c>
      <c r="I151" t="n">
        <v>0</v>
      </c>
      <c r="J151" t="n">
        <v>0</v>
      </c>
      <c r="K151" t="n">
        <v>0</v>
      </c>
      <c r="L151" t="n">
        <v>0</v>
      </c>
      <c r="M151" t="n">
        <v>0</v>
      </c>
      <c r="N151" t="n">
        <v>0</v>
      </c>
      <c r="O151" t="n">
        <v>0</v>
      </c>
      <c r="P151" t="n">
        <v>0</v>
      </c>
      <c r="Q151" t="n">
        <v>0</v>
      </c>
      <c r="R151" s="2" t="inlineStr"/>
    </row>
    <row r="152" ht="15" customHeight="1">
      <c r="A152" t="inlineStr">
        <is>
          <t>A 6419-2019</t>
        </is>
      </c>
      <c r="B152" s="1" t="n">
        <v>43494</v>
      </c>
      <c r="C152" s="1" t="n">
        <v>45338</v>
      </c>
      <c r="D152" t="inlineStr">
        <is>
          <t>KALMAR LÄN</t>
        </is>
      </c>
      <c r="E152" t="inlineStr">
        <is>
          <t>VIMMERBY</t>
        </is>
      </c>
      <c r="G152" t="n">
        <v>2.2</v>
      </c>
      <c r="H152" t="n">
        <v>0</v>
      </c>
      <c r="I152" t="n">
        <v>0</v>
      </c>
      <c r="J152" t="n">
        <v>0</v>
      </c>
      <c r="K152" t="n">
        <v>0</v>
      </c>
      <c r="L152" t="n">
        <v>0</v>
      </c>
      <c r="M152" t="n">
        <v>0</v>
      </c>
      <c r="N152" t="n">
        <v>0</v>
      </c>
      <c r="O152" t="n">
        <v>0</v>
      </c>
      <c r="P152" t="n">
        <v>0</v>
      </c>
      <c r="Q152" t="n">
        <v>0</v>
      </c>
      <c r="R152" s="2" t="inlineStr"/>
    </row>
    <row r="153" ht="15" customHeight="1">
      <c r="A153" t="inlineStr">
        <is>
          <t>A 6519-2019</t>
        </is>
      </c>
      <c r="B153" s="1" t="n">
        <v>43494</v>
      </c>
      <c r="C153" s="1" t="n">
        <v>45338</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6568-2019</t>
        </is>
      </c>
      <c r="B154" s="1" t="n">
        <v>43494</v>
      </c>
      <c r="C154" s="1" t="n">
        <v>45338</v>
      </c>
      <c r="D154" t="inlineStr">
        <is>
          <t>KALMAR LÄN</t>
        </is>
      </c>
      <c r="E154" t="inlineStr">
        <is>
          <t>VIMMERBY</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6518-2019</t>
        </is>
      </c>
      <c r="B155" s="1" t="n">
        <v>43494</v>
      </c>
      <c r="C155" s="1" t="n">
        <v>45338</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8644-2019</t>
        </is>
      </c>
      <c r="B156" s="1" t="n">
        <v>43501</v>
      </c>
      <c r="C156" s="1" t="n">
        <v>45338</v>
      </c>
      <c r="D156" t="inlineStr">
        <is>
          <t>KALMAR LÄN</t>
        </is>
      </c>
      <c r="E156" t="inlineStr">
        <is>
          <t>VIMMERBY</t>
        </is>
      </c>
      <c r="G156" t="n">
        <v>2.4</v>
      </c>
      <c r="H156" t="n">
        <v>0</v>
      </c>
      <c r="I156" t="n">
        <v>0</v>
      </c>
      <c r="J156" t="n">
        <v>0</v>
      </c>
      <c r="K156" t="n">
        <v>0</v>
      </c>
      <c r="L156" t="n">
        <v>0</v>
      </c>
      <c r="M156" t="n">
        <v>0</v>
      </c>
      <c r="N156" t="n">
        <v>0</v>
      </c>
      <c r="O156" t="n">
        <v>0</v>
      </c>
      <c r="P156" t="n">
        <v>0</v>
      </c>
      <c r="Q156" t="n">
        <v>0</v>
      </c>
      <c r="R156" s="2" t="inlineStr"/>
    </row>
    <row r="157" ht="15" customHeight="1">
      <c r="A157" t="inlineStr">
        <is>
          <t>A 9223-2019</t>
        </is>
      </c>
      <c r="B157" s="1" t="n">
        <v>43506</v>
      </c>
      <c r="C157" s="1" t="n">
        <v>45338</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9863-2019</t>
        </is>
      </c>
      <c r="B158" s="1" t="n">
        <v>43509</v>
      </c>
      <c r="C158" s="1" t="n">
        <v>45338</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9841-2019</t>
        </is>
      </c>
      <c r="B159" s="1" t="n">
        <v>43509</v>
      </c>
      <c r="C159" s="1" t="n">
        <v>45338</v>
      </c>
      <c r="D159" t="inlineStr">
        <is>
          <t>KALMAR LÄN</t>
        </is>
      </c>
      <c r="E159" t="inlineStr">
        <is>
          <t>VIMMERBY</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10352-2019</t>
        </is>
      </c>
      <c r="B160" s="1" t="n">
        <v>43511</v>
      </c>
      <c r="C160" s="1" t="n">
        <v>45338</v>
      </c>
      <c r="D160" t="inlineStr">
        <is>
          <t>KALMAR LÄN</t>
        </is>
      </c>
      <c r="E160" t="inlineStr">
        <is>
          <t>VIMMERBY</t>
        </is>
      </c>
      <c r="G160" t="n">
        <v>9.9</v>
      </c>
      <c r="H160" t="n">
        <v>0</v>
      </c>
      <c r="I160" t="n">
        <v>0</v>
      </c>
      <c r="J160" t="n">
        <v>0</v>
      </c>
      <c r="K160" t="n">
        <v>0</v>
      </c>
      <c r="L160" t="n">
        <v>0</v>
      </c>
      <c r="M160" t="n">
        <v>0</v>
      </c>
      <c r="N160" t="n">
        <v>0</v>
      </c>
      <c r="O160" t="n">
        <v>0</v>
      </c>
      <c r="P160" t="n">
        <v>0</v>
      </c>
      <c r="Q160" t="n">
        <v>0</v>
      </c>
      <c r="R160" s="2" t="inlineStr"/>
    </row>
    <row r="161" ht="15" customHeight="1">
      <c r="A161" t="inlineStr">
        <is>
          <t>A 10429-2019</t>
        </is>
      </c>
      <c r="B161" s="1" t="n">
        <v>43511</v>
      </c>
      <c r="C161" s="1" t="n">
        <v>45338</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10354-2019</t>
        </is>
      </c>
      <c r="B162" s="1" t="n">
        <v>43511</v>
      </c>
      <c r="C162" s="1" t="n">
        <v>45338</v>
      </c>
      <c r="D162" t="inlineStr">
        <is>
          <t>KALMAR LÄN</t>
        </is>
      </c>
      <c r="E162" t="inlineStr">
        <is>
          <t>VIMMERBY</t>
        </is>
      </c>
      <c r="G162" t="n">
        <v>1.3</v>
      </c>
      <c r="H162" t="n">
        <v>0</v>
      </c>
      <c r="I162" t="n">
        <v>0</v>
      </c>
      <c r="J162" t="n">
        <v>0</v>
      </c>
      <c r="K162" t="n">
        <v>0</v>
      </c>
      <c r="L162" t="n">
        <v>0</v>
      </c>
      <c r="M162" t="n">
        <v>0</v>
      </c>
      <c r="N162" t="n">
        <v>0</v>
      </c>
      <c r="O162" t="n">
        <v>0</v>
      </c>
      <c r="P162" t="n">
        <v>0</v>
      </c>
      <c r="Q162" t="n">
        <v>0</v>
      </c>
      <c r="R162" s="2" t="inlineStr"/>
    </row>
    <row r="163" ht="15" customHeight="1">
      <c r="A163" t="inlineStr">
        <is>
          <t>A 10349-2019</t>
        </is>
      </c>
      <c r="B163" s="1" t="n">
        <v>43511</v>
      </c>
      <c r="C163" s="1" t="n">
        <v>45338</v>
      </c>
      <c r="D163" t="inlineStr">
        <is>
          <t>KALMAR LÄN</t>
        </is>
      </c>
      <c r="E163" t="inlineStr">
        <is>
          <t>VIMMERBY</t>
        </is>
      </c>
      <c r="G163" t="n">
        <v>9.1</v>
      </c>
      <c r="H163" t="n">
        <v>0</v>
      </c>
      <c r="I163" t="n">
        <v>0</v>
      </c>
      <c r="J163" t="n">
        <v>0</v>
      </c>
      <c r="K163" t="n">
        <v>0</v>
      </c>
      <c r="L163" t="n">
        <v>0</v>
      </c>
      <c r="M163" t="n">
        <v>0</v>
      </c>
      <c r="N163" t="n">
        <v>0</v>
      </c>
      <c r="O163" t="n">
        <v>0</v>
      </c>
      <c r="P163" t="n">
        <v>0</v>
      </c>
      <c r="Q163" t="n">
        <v>0</v>
      </c>
      <c r="R163" s="2" t="inlineStr"/>
    </row>
    <row r="164" ht="15" customHeight="1">
      <c r="A164" t="inlineStr">
        <is>
          <t>A 11374-2019</t>
        </is>
      </c>
      <c r="B164" s="1" t="n">
        <v>43517</v>
      </c>
      <c r="C164" s="1" t="n">
        <v>45338</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12192-2019</t>
        </is>
      </c>
      <c r="B165" s="1" t="n">
        <v>43522</v>
      </c>
      <c r="C165" s="1" t="n">
        <v>45338</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12112-2019</t>
        </is>
      </c>
      <c r="B166" s="1" t="n">
        <v>43522</v>
      </c>
      <c r="C166" s="1" t="n">
        <v>45338</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12365-2019</t>
        </is>
      </c>
      <c r="B167" s="1" t="n">
        <v>43523</v>
      </c>
      <c r="C167" s="1" t="n">
        <v>45338</v>
      </c>
      <c r="D167" t="inlineStr">
        <is>
          <t>KALMAR LÄN</t>
        </is>
      </c>
      <c r="E167" t="inlineStr">
        <is>
          <t>VIMMERBY</t>
        </is>
      </c>
      <c r="G167" t="n">
        <v>6.1</v>
      </c>
      <c r="H167" t="n">
        <v>0</v>
      </c>
      <c r="I167" t="n">
        <v>0</v>
      </c>
      <c r="J167" t="n">
        <v>0</v>
      </c>
      <c r="K167" t="n">
        <v>0</v>
      </c>
      <c r="L167" t="n">
        <v>0</v>
      </c>
      <c r="M167" t="n">
        <v>0</v>
      </c>
      <c r="N167" t="n">
        <v>0</v>
      </c>
      <c r="O167" t="n">
        <v>0</v>
      </c>
      <c r="P167" t="n">
        <v>0</v>
      </c>
      <c r="Q167" t="n">
        <v>0</v>
      </c>
      <c r="R167" s="2" t="inlineStr"/>
    </row>
    <row r="168" ht="15" customHeight="1">
      <c r="A168" t="inlineStr">
        <is>
          <t>A 12339-2019</t>
        </is>
      </c>
      <c r="B168" s="1" t="n">
        <v>43523</v>
      </c>
      <c r="C168" s="1" t="n">
        <v>45338</v>
      </c>
      <c r="D168" t="inlineStr">
        <is>
          <t>KALMAR LÄN</t>
        </is>
      </c>
      <c r="E168" t="inlineStr">
        <is>
          <t>VIMMERBY</t>
        </is>
      </c>
      <c r="G168" t="n">
        <v>2.7</v>
      </c>
      <c r="H168" t="n">
        <v>0</v>
      </c>
      <c r="I168" t="n">
        <v>0</v>
      </c>
      <c r="J168" t="n">
        <v>0</v>
      </c>
      <c r="K168" t="n">
        <v>0</v>
      </c>
      <c r="L168" t="n">
        <v>0</v>
      </c>
      <c r="M168" t="n">
        <v>0</v>
      </c>
      <c r="N168" t="n">
        <v>0</v>
      </c>
      <c r="O168" t="n">
        <v>0</v>
      </c>
      <c r="P168" t="n">
        <v>0</v>
      </c>
      <c r="Q168" t="n">
        <v>0</v>
      </c>
      <c r="R168" s="2" t="inlineStr"/>
    </row>
    <row r="169" ht="15" customHeight="1">
      <c r="A169" t="inlineStr">
        <is>
          <t>A 12969-2019</t>
        </is>
      </c>
      <c r="B169" s="1" t="n">
        <v>43527</v>
      </c>
      <c r="C169" s="1" t="n">
        <v>45338</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13135-2019</t>
        </is>
      </c>
      <c r="B170" s="1" t="n">
        <v>43528</v>
      </c>
      <c r="C170" s="1" t="n">
        <v>45338</v>
      </c>
      <c r="D170" t="inlineStr">
        <is>
          <t>KALMAR LÄN</t>
        </is>
      </c>
      <c r="E170" t="inlineStr">
        <is>
          <t>VIMMERBY</t>
        </is>
      </c>
      <c r="G170" t="n">
        <v>3.5</v>
      </c>
      <c r="H170" t="n">
        <v>0</v>
      </c>
      <c r="I170" t="n">
        <v>0</v>
      </c>
      <c r="J170" t="n">
        <v>0</v>
      </c>
      <c r="K170" t="n">
        <v>0</v>
      </c>
      <c r="L170" t="n">
        <v>0</v>
      </c>
      <c r="M170" t="n">
        <v>0</v>
      </c>
      <c r="N170" t="n">
        <v>0</v>
      </c>
      <c r="O170" t="n">
        <v>0</v>
      </c>
      <c r="P170" t="n">
        <v>0</v>
      </c>
      <c r="Q170" t="n">
        <v>0</v>
      </c>
      <c r="R170" s="2" t="inlineStr"/>
    </row>
    <row r="171" ht="15" customHeight="1">
      <c r="A171" t="inlineStr">
        <is>
          <t>A 13178-2019</t>
        </is>
      </c>
      <c r="B171" s="1" t="n">
        <v>43528</v>
      </c>
      <c r="C171" s="1" t="n">
        <v>45338</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13797-2019</t>
        </is>
      </c>
      <c r="B172" s="1" t="n">
        <v>43530</v>
      </c>
      <c r="C172" s="1" t="n">
        <v>45338</v>
      </c>
      <c r="D172" t="inlineStr">
        <is>
          <t>KALMAR LÄN</t>
        </is>
      </c>
      <c r="E172" t="inlineStr">
        <is>
          <t>VIMMERBY</t>
        </is>
      </c>
      <c r="G172" t="n">
        <v>6.5</v>
      </c>
      <c r="H172" t="n">
        <v>0</v>
      </c>
      <c r="I172" t="n">
        <v>0</v>
      </c>
      <c r="J172" t="n">
        <v>0</v>
      </c>
      <c r="K172" t="n">
        <v>0</v>
      </c>
      <c r="L172" t="n">
        <v>0</v>
      </c>
      <c r="M172" t="n">
        <v>0</v>
      </c>
      <c r="N172" t="n">
        <v>0</v>
      </c>
      <c r="O172" t="n">
        <v>0</v>
      </c>
      <c r="P172" t="n">
        <v>0</v>
      </c>
      <c r="Q172" t="n">
        <v>0</v>
      </c>
      <c r="R172" s="2" t="inlineStr"/>
    </row>
    <row r="173" ht="15" customHeight="1">
      <c r="A173" t="inlineStr">
        <is>
          <t>A 13522-2019</t>
        </is>
      </c>
      <c r="B173" s="1" t="n">
        <v>43530</v>
      </c>
      <c r="C173" s="1" t="n">
        <v>45338</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13841-2019</t>
        </is>
      </c>
      <c r="B174" s="1" t="n">
        <v>43531</v>
      </c>
      <c r="C174" s="1" t="n">
        <v>45338</v>
      </c>
      <c r="D174" t="inlineStr">
        <is>
          <t>KALMAR LÄN</t>
        </is>
      </c>
      <c r="E174" t="inlineStr">
        <is>
          <t>VIMMERBY</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13892-2019</t>
        </is>
      </c>
      <c r="B175" s="1" t="n">
        <v>43531</v>
      </c>
      <c r="C175" s="1" t="n">
        <v>45338</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14108-2019</t>
        </is>
      </c>
      <c r="B176" s="1" t="n">
        <v>43532</v>
      </c>
      <c r="C176" s="1" t="n">
        <v>45338</v>
      </c>
      <c r="D176" t="inlineStr">
        <is>
          <t>KALMAR LÄN</t>
        </is>
      </c>
      <c r="E176" t="inlineStr">
        <is>
          <t>VIMMERBY</t>
        </is>
      </c>
      <c r="G176" t="n">
        <v>3.6</v>
      </c>
      <c r="H176" t="n">
        <v>0</v>
      </c>
      <c r="I176" t="n">
        <v>0</v>
      </c>
      <c r="J176" t="n">
        <v>0</v>
      </c>
      <c r="K176" t="n">
        <v>0</v>
      </c>
      <c r="L176" t="n">
        <v>0</v>
      </c>
      <c r="M176" t="n">
        <v>0</v>
      </c>
      <c r="N176" t="n">
        <v>0</v>
      </c>
      <c r="O176" t="n">
        <v>0</v>
      </c>
      <c r="P176" t="n">
        <v>0</v>
      </c>
      <c r="Q176" t="n">
        <v>0</v>
      </c>
      <c r="R176" s="2" t="inlineStr"/>
    </row>
    <row r="177" ht="15" customHeight="1">
      <c r="A177" t="inlineStr">
        <is>
          <t>A 14106-2019</t>
        </is>
      </c>
      <c r="B177" s="1" t="n">
        <v>43532</v>
      </c>
      <c r="C177" s="1" t="n">
        <v>45338</v>
      </c>
      <c r="D177" t="inlineStr">
        <is>
          <t>KALMAR LÄN</t>
        </is>
      </c>
      <c r="E177" t="inlineStr">
        <is>
          <t>VIMMERBY</t>
        </is>
      </c>
      <c r="G177" t="n">
        <v>2.8</v>
      </c>
      <c r="H177" t="n">
        <v>0</v>
      </c>
      <c r="I177" t="n">
        <v>0</v>
      </c>
      <c r="J177" t="n">
        <v>0</v>
      </c>
      <c r="K177" t="n">
        <v>0</v>
      </c>
      <c r="L177" t="n">
        <v>0</v>
      </c>
      <c r="M177" t="n">
        <v>0</v>
      </c>
      <c r="N177" t="n">
        <v>0</v>
      </c>
      <c r="O177" t="n">
        <v>0</v>
      </c>
      <c r="P177" t="n">
        <v>0</v>
      </c>
      <c r="Q177" t="n">
        <v>0</v>
      </c>
      <c r="R177" s="2" t="inlineStr"/>
    </row>
    <row r="178" ht="15" customHeight="1">
      <c r="A178" t="inlineStr">
        <is>
          <t>A 14102-2019</t>
        </is>
      </c>
      <c r="B178" s="1" t="n">
        <v>43532</v>
      </c>
      <c r="C178" s="1" t="n">
        <v>45338</v>
      </c>
      <c r="D178" t="inlineStr">
        <is>
          <t>KALMAR LÄN</t>
        </is>
      </c>
      <c r="E178" t="inlineStr">
        <is>
          <t>VIMMERBY</t>
        </is>
      </c>
      <c r="G178" t="n">
        <v>7.4</v>
      </c>
      <c r="H178" t="n">
        <v>0</v>
      </c>
      <c r="I178" t="n">
        <v>0</v>
      </c>
      <c r="J178" t="n">
        <v>0</v>
      </c>
      <c r="K178" t="n">
        <v>0</v>
      </c>
      <c r="L178" t="n">
        <v>0</v>
      </c>
      <c r="M178" t="n">
        <v>0</v>
      </c>
      <c r="N178" t="n">
        <v>0</v>
      </c>
      <c r="O178" t="n">
        <v>0</v>
      </c>
      <c r="P178" t="n">
        <v>0</v>
      </c>
      <c r="Q178" t="n">
        <v>0</v>
      </c>
      <c r="R178" s="2" t="inlineStr"/>
    </row>
    <row r="179" ht="15" customHeight="1">
      <c r="A179" t="inlineStr">
        <is>
          <t>A 14097-2019</t>
        </is>
      </c>
      <c r="B179" s="1" t="n">
        <v>43532</v>
      </c>
      <c r="C179" s="1" t="n">
        <v>45338</v>
      </c>
      <c r="D179" t="inlineStr">
        <is>
          <t>KALMAR LÄN</t>
        </is>
      </c>
      <c r="E179" t="inlineStr">
        <is>
          <t>VIMMERBY</t>
        </is>
      </c>
      <c r="G179" t="n">
        <v>7.5</v>
      </c>
      <c r="H179" t="n">
        <v>0</v>
      </c>
      <c r="I179" t="n">
        <v>0</v>
      </c>
      <c r="J179" t="n">
        <v>0</v>
      </c>
      <c r="K179" t="n">
        <v>0</v>
      </c>
      <c r="L179" t="n">
        <v>0</v>
      </c>
      <c r="M179" t="n">
        <v>0</v>
      </c>
      <c r="N179" t="n">
        <v>0</v>
      </c>
      <c r="O179" t="n">
        <v>0</v>
      </c>
      <c r="P179" t="n">
        <v>0</v>
      </c>
      <c r="Q179" t="n">
        <v>0</v>
      </c>
      <c r="R179" s="2" t="inlineStr"/>
    </row>
    <row r="180" ht="15" customHeight="1">
      <c r="A180" t="inlineStr">
        <is>
          <t>A 14173-2019</t>
        </is>
      </c>
      <c r="B180" s="1" t="n">
        <v>43534</v>
      </c>
      <c r="C180" s="1" t="n">
        <v>45338</v>
      </c>
      <c r="D180" t="inlineStr">
        <is>
          <t>KALMAR LÄN</t>
        </is>
      </c>
      <c r="E180" t="inlineStr">
        <is>
          <t>VIMMERBY</t>
        </is>
      </c>
      <c r="G180" t="n">
        <v>5.6</v>
      </c>
      <c r="H180" t="n">
        <v>0</v>
      </c>
      <c r="I180" t="n">
        <v>0</v>
      </c>
      <c r="J180" t="n">
        <v>0</v>
      </c>
      <c r="K180" t="n">
        <v>0</v>
      </c>
      <c r="L180" t="n">
        <v>0</v>
      </c>
      <c r="M180" t="n">
        <v>0</v>
      </c>
      <c r="N180" t="n">
        <v>0</v>
      </c>
      <c r="O180" t="n">
        <v>0</v>
      </c>
      <c r="P180" t="n">
        <v>0</v>
      </c>
      <c r="Q180" t="n">
        <v>0</v>
      </c>
      <c r="R180" s="2" t="inlineStr"/>
    </row>
    <row r="181" ht="15" customHeight="1">
      <c r="A181" t="inlineStr">
        <is>
          <t>A 14767-2019</t>
        </is>
      </c>
      <c r="B181" s="1" t="n">
        <v>43536</v>
      </c>
      <c r="C181" s="1" t="n">
        <v>45338</v>
      </c>
      <c r="D181" t="inlineStr">
        <is>
          <t>KALMAR LÄN</t>
        </is>
      </c>
      <c r="E181" t="inlineStr">
        <is>
          <t>VIMMERBY</t>
        </is>
      </c>
      <c r="G181" t="n">
        <v>4.3</v>
      </c>
      <c r="H181" t="n">
        <v>0</v>
      </c>
      <c r="I181" t="n">
        <v>0</v>
      </c>
      <c r="J181" t="n">
        <v>0</v>
      </c>
      <c r="K181" t="n">
        <v>0</v>
      </c>
      <c r="L181" t="n">
        <v>0</v>
      </c>
      <c r="M181" t="n">
        <v>0</v>
      </c>
      <c r="N181" t="n">
        <v>0</v>
      </c>
      <c r="O181" t="n">
        <v>0</v>
      </c>
      <c r="P181" t="n">
        <v>0</v>
      </c>
      <c r="Q181" t="n">
        <v>0</v>
      </c>
      <c r="R181" s="2" t="inlineStr"/>
    </row>
    <row r="182" ht="15" customHeight="1">
      <c r="A182" t="inlineStr">
        <is>
          <t>A 14500-2019</t>
        </is>
      </c>
      <c r="B182" s="1" t="n">
        <v>43537</v>
      </c>
      <c r="C182" s="1" t="n">
        <v>45338</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15264-2019</t>
        </is>
      </c>
      <c r="B183" s="1" t="n">
        <v>43539</v>
      </c>
      <c r="C183" s="1" t="n">
        <v>45338</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15261-2019</t>
        </is>
      </c>
      <c r="B184" s="1" t="n">
        <v>43539</v>
      </c>
      <c r="C184" s="1" t="n">
        <v>45338</v>
      </c>
      <c r="D184" t="inlineStr">
        <is>
          <t>KALMAR LÄN</t>
        </is>
      </c>
      <c r="E184" t="inlineStr">
        <is>
          <t>VIMMERBY</t>
        </is>
      </c>
      <c r="G184" t="n">
        <v>1.6</v>
      </c>
      <c r="H184" t="n">
        <v>0</v>
      </c>
      <c r="I184" t="n">
        <v>0</v>
      </c>
      <c r="J184" t="n">
        <v>0</v>
      </c>
      <c r="K184" t="n">
        <v>0</v>
      </c>
      <c r="L184" t="n">
        <v>0</v>
      </c>
      <c r="M184" t="n">
        <v>0</v>
      </c>
      <c r="N184" t="n">
        <v>0</v>
      </c>
      <c r="O184" t="n">
        <v>0</v>
      </c>
      <c r="P184" t="n">
        <v>0</v>
      </c>
      <c r="Q184" t="n">
        <v>0</v>
      </c>
      <c r="R184" s="2" t="inlineStr"/>
    </row>
    <row r="185" ht="15" customHeight="1">
      <c r="A185" t="inlineStr">
        <is>
          <t>A 15259-2019</t>
        </is>
      </c>
      <c r="B185" s="1" t="n">
        <v>43539</v>
      </c>
      <c r="C185" s="1" t="n">
        <v>45338</v>
      </c>
      <c r="D185" t="inlineStr">
        <is>
          <t>KALMAR LÄN</t>
        </is>
      </c>
      <c r="E185" t="inlineStr">
        <is>
          <t>VIMMERBY</t>
        </is>
      </c>
      <c r="G185" t="n">
        <v>2.9</v>
      </c>
      <c r="H185" t="n">
        <v>0</v>
      </c>
      <c r="I185" t="n">
        <v>0</v>
      </c>
      <c r="J185" t="n">
        <v>0</v>
      </c>
      <c r="K185" t="n">
        <v>0</v>
      </c>
      <c r="L185" t="n">
        <v>0</v>
      </c>
      <c r="M185" t="n">
        <v>0</v>
      </c>
      <c r="N185" t="n">
        <v>0</v>
      </c>
      <c r="O185" t="n">
        <v>0</v>
      </c>
      <c r="P185" t="n">
        <v>0</v>
      </c>
      <c r="Q185" t="n">
        <v>0</v>
      </c>
      <c r="R185" s="2" t="inlineStr"/>
    </row>
    <row r="186" ht="15" customHeight="1">
      <c r="A186" t="inlineStr">
        <is>
          <t>A 15454-2019</t>
        </is>
      </c>
      <c r="B186" s="1" t="n">
        <v>43542</v>
      </c>
      <c r="C186" s="1" t="n">
        <v>45338</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17242-2019</t>
        </is>
      </c>
      <c r="B187" s="1" t="n">
        <v>43552</v>
      </c>
      <c r="C187" s="1" t="n">
        <v>45338</v>
      </c>
      <c r="D187" t="inlineStr">
        <is>
          <t>KALMAR LÄN</t>
        </is>
      </c>
      <c r="E187" t="inlineStr">
        <is>
          <t>VIMMERBY</t>
        </is>
      </c>
      <c r="G187" t="n">
        <v>0.4</v>
      </c>
      <c r="H187" t="n">
        <v>0</v>
      </c>
      <c r="I187" t="n">
        <v>0</v>
      </c>
      <c r="J187" t="n">
        <v>0</v>
      </c>
      <c r="K187" t="n">
        <v>0</v>
      </c>
      <c r="L187" t="n">
        <v>0</v>
      </c>
      <c r="M187" t="n">
        <v>0</v>
      </c>
      <c r="N187" t="n">
        <v>0</v>
      </c>
      <c r="O187" t="n">
        <v>0</v>
      </c>
      <c r="P187" t="n">
        <v>0</v>
      </c>
      <c r="Q187" t="n">
        <v>0</v>
      </c>
      <c r="R187" s="2" t="inlineStr"/>
    </row>
    <row r="188" ht="15" customHeight="1">
      <c r="A188" t="inlineStr">
        <is>
          <t>A 17395-2019</t>
        </is>
      </c>
      <c r="B188" s="1" t="n">
        <v>43552</v>
      </c>
      <c r="C188" s="1" t="n">
        <v>45338</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17398-2019</t>
        </is>
      </c>
      <c r="B189" s="1" t="n">
        <v>43552</v>
      </c>
      <c r="C189" s="1" t="n">
        <v>45338</v>
      </c>
      <c r="D189" t="inlineStr">
        <is>
          <t>KALMAR LÄN</t>
        </is>
      </c>
      <c r="E189" t="inlineStr">
        <is>
          <t>VIMMERBY</t>
        </is>
      </c>
      <c r="G189" t="n">
        <v>3.2</v>
      </c>
      <c r="H189" t="n">
        <v>0</v>
      </c>
      <c r="I189" t="n">
        <v>0</v>
      </c>
      <c r="J189" t="n">
        <v>0</v>
      </c>
      <c r="K189" t="n">
        <v>0</v>
      </c>
      <c r="L189" t="n">
        <v>0</v>
      </c>
      <c r="M189" t="n">
        <v>0</v>
      </c>
      <c r="N189" t="n">
        <v>0</v>
      </c>
      <c r="O189" t="n">
        <v>0</v>
      </c>
      <c r="P189" t="n">
        <v>0</v>
      </c>
      <c r="Q189" t="n">
        <v>0</v>
      </c>
      <c r="R189" s="2" t="inlineStr"/>
    </row>
    <row r="190" ht="15" customHeight="1">
      <c r="A190" t="inlineStr">
        <is>
          <t>A 17394-2019</t>
        </is>
      </c>
      <c r="B190" s="1" t="n">
        <v>43552</v>
      </c>
      <c r="C190" s="1" t="n">
        <v>45338</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17397-2019</t>
        </is>
      </c>
      <c r="B191" s="1" t="n">
        <v>43552</v>
      </c>
      <c r="C191" s="1" t="n">
        <v>45338</v>
      </c>
      <c r="D191" t="inlineStr">
        <is>
          <t>KALMAR LÄN</t>
        </is>
      </c>
      <c r="E191" t="inlineStr">
        <is>
          <t>VIMMERBY</t>
        </is>
      </c>
      <c r="G191" t="n">
        <v>2.1</v>
      </c>
      <c r="H191" t="n">
        <v>0</v>
      </c>
      <c r="I191" t="n">
        <v>0</v>
      </c>
      <c r="J191" t="n">
        <v>0</v>
      </c>
      <c r="K191" t="n">
        <v>0</v>
      </c>
      <c r="L191" t="n">
        <v>0</v>
      </c>
      <c r="M191" t="n">
        <v>0</v>
      </c>
      <c r="N191" t="n">
        <v>0</v>
      </c>
      <c r="O191" t="n">
        <v>0</v>
      </c>
      <c r="P191" t="n">
        <v>0</v>
      </c>
      <c r="Q191" t="n">
        <v>0</v>
      </c>
      <c r="R191" s="2" t="inlineStr"/>
    </row>
    <row r="192" ht="15" customHeight="1">
      <c r="A192" t="inlineStr">
        <is>
          <t>A 17396-2019</t>
        </is>
      </c>
      <c r="B192" s="1" t="n">
        <v>43552</v>
      </c>
      <c r="C192" s="1" t="n">
        <v>45338</v>
      </c>
      <c r="D192" t="inlineStr">
        <is>
          <t>KALMAR LÄN</t>
        </is>
      </c>
      <c r="E192" t="inlineStr">
        <is>
          <t>VIMMERBY</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17447-2019</t>
        </is>
      </c>
      <c r="B193" s="1" t="n">
        <v>43553</v>
      </c>
      <c r="C193" s="1" t="n">
        <v>45338</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18658-2019</t>
        </is>
      </c>
      <c r="B194" s="1" t="n">
        <v>43559</v>
      </c>
      <c r="C194" s="1" t="n">
        <v>45338</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18656-2019</t>
        </is>
      </c>
      <c r="B195" s="1" t="n">
        <v>43559</v>
      </c>
      <c r="C195" s="1" t="n">
        <v>45338</v>
      </c>
      <c r="D195" t="inlineStr">
        <is>
          <t>KALMAR LÄN</t>
        </is>
      </c>
      <c r="E195" t="inlineStr">
        <is>
          <t>VIMMERBY</t>
        </is>
      </c>
      <c r="G195" t="n">
        <v>2.1</v>
      </c>
      <c r="H195" t="n">
        <v>0</v>
      </c>
      <c r="I195" t="n">
        <v>0</v>
      </c>
      <c r="J195" t="n">
        <v>0</v>
      </c>
      <c r="K195" t="n">
        <v>0</v>
      </c>
      <c r="L195" t="n">
        <v>0</v>
      </c>
      <c r="M195" t="n">
        <v>0</v>
      </c>
      <c r="N195" t="n">
        <v>0</v>
      </c>
      <c r="O195" t="n">
        <v>0</v>
      </c>
      <c r="P195" t="n">
        <v>0</v>
      </c>
      <c r="Q195" t="n">
        <v>0</v>
      </c>
      <c r="R195" s="2" t="inlineStr"/>
    </row>
    <row r="196" ht="15" customHeight="1">
      <c r="A196" t="inlineStr">
        <is>
          <t>A 18755-2019</t>
        </is>
      </c>
      <c r="B196" s="1" t="n">
        <v>43560</v>
      </c>
      <c r="C196" s="1" t="n">
        <v>45338</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19057-2019</t>
        </is>
      </c>
      <c r="B197" s="1" t="n">
        <v>43563</v>
      </c>
      <c r="C197" s="1" t="n">
        <v>45338</v>
      </c>
      <c r="D197" t="inlineStr">
        <is>
          <t>KALMAR LÄN</t>
        </is>
      </c>
      <c r="E197" t="inlineStr">
        <is>
          <t>VIMMERBY</t>
        </is>
      </c>
      <c r="G197" t="n">
        <v>10.1</v>
      </c>
      <c r="H197" t="n">
        <v>0</v>
      </c>
      <c r="I197" t="n">
        <v>0</v>
      </c>
      <c r="J197" t="n">
        <v>0</v>
      </c>
      <c r="K197" t="n">
        <v>0</v>
      </c>
      <c r="L197" t="n">
        <v>0</v>
      </c>
      <c r="M197" t="n">
        <v>0</v>
      </c>
      <c r="N197" t="n">
        <v>0</v>
      </c>
      <c r="O197" t="n">
        <v>0</v>
      </c>
      <c r="P197" t="n">
        <v>0</v>
      </c>
      <c r="Q197" t="n">
        <v>0</v>
      </c>
      <c r="R197" s="2" t="inlineStr"/>
    </row>
    <row r="198" ht="15" customHeight="1">
      <c r="A198" t="inlineStr">
        <is>
          <t>A 19056-2019</t>
        </is>
      </c>
      <c r="B198" s="1" t="n">
        <v>43563</v>
      </c>
      <c r="C198" s="1" t="n">
        <v>45338</v>
      </c>
      <c r="D198" t="inlineStr">
        <is>
          <t>KALMAR LÄN</t>
        </is>
      </c>
      <c r="E198" t="inlineStr">
        <is>
          <t>VIMMERBY</t>
        </is>
      </c>
      <c r="G198" t="n">
        <v>3.2</v>
      </c>
      <c r="H198" t="n">
        <v>0</v>
      </c>
      <c r="I198" t="n">
        <v>0</v>
      </c>
      <c r="J198" t="n">
        <v>0</v>
      </c>
      <c r="K198" t="n">
        <v>0</v>
      </c>
      <c r="L198" t="n">
        <v>0</v>
      </c>
      <c r="M198" t="n">
        <v>0</v>
      </c>
      <c r="N198" t="n">
        <v>0</v>
      </c>
      <c r="O198" t="n">
        <v>0</v>
      </c>
      <c r="P198" t="n">
        <v>0</v>
      </c>
      <c r="Q198" t="n">
        <v>0</v>
      </c>
      <c r="R198" s="2" t="inlineStr"/>
    </row>
    <row r="199" ht="15" customHeight="1">
      <c r="A199" t="inlineStr">
        <is>
          <t>A 19054-2019</t>
        </is>
      </c>
      <c r="B199" s="1" t="n">
        <v>43563</v>
      </c>
      <c r="C199" s="1" t="n">
        <v>45338</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19616-2019</t>
        </is>
      </c>
      <c r="B200" s="1" t="n">
        <v>43566</v>
      </c>
      <c r="C200" s="1" t="n">
        <v>45338</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19632-2019</t>
        </is>
      </c>
      <c r="B201" s="1" t="n">
        <v>43566</v>
      </c>
      <c r="C201" s="1" t="n">
        <v>45338</v>
      </c>
      <c r="D201" t="inlineStr">
        <is>
          <t>KALMAR LÄN</t>
        </is>
      </c>
      <c r="E201" t="inlineStr">
        <is>
          <t>VIMMERBY</t>
        </is>
      </c>
      <c r="G201" t="n">
        <v>4.1</v>
      </c>
      <c r="H201" t="n">
        <v>0</v>
      </c>
      <c r="I201" t="n">
        <v>0</v>
      </c>
      <c r="J201" t="n">
        <v>0</v>
      </c>
      <c r="K201" t="n">
        <v>0</v>
      </c>
      <c r="L201" t="n">
        <v>0</v>
      </c>
      <c r="M201" t="n">
        <v>0</v>
      </c>
      <c r="N201" t="n">
        <v>0</v>
      </c>
      <c r="O201" t="n">
        <v>0</v>
      </c>
      <c r="P201" t="n">
        <v>0</v>
      </c>
      <c r="Q201" t="n">
        <v>0</v>
      </c>
      <c r="R201" s="2" t="inlineStr"/>
    </row>
    <row r="202" ht="15" customHeight="1">
      <c r="A202" t="inlineStr">
        <is>
          <t>A 19899-2019</t>
        </is>
      </c>
      <c r="B202" s="1" t="n">
        <v>43567</v>
      </c>
      <c r="C202" s="1" t="n">
        <v>45338</v>
      </c>
      <c r="D202" t="inlineStr">
        <is>
          <t>KALMAR LÄN</t>
        </is>
      </c>
      <c r="E202" t="inlineStr">
        <is>
          <t>VIMMERBY</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20035-2019</t>
        </is>
      </c>
      <c r="B203" s="1" t="n">
        <v>43570</v>
      </c>
      <c r="C203" s="1" t="n">
        <v>45338</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19983-2019</t>
        </is>
      </c>
      <c r="B204" s="1" t="n">
        <v>43570</v>
      </c>
      <c r="C204" s="1" t="n">
        <v>45338</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20080-2019</t>
        </is>
      </c>
      <c r="B205" s="1" t="n">
        <v>43570</v>
      </c>
      <c r="C205" s="1" t="n">
        <v>45338</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20069-2019</t>
        </is>
      </c>
      <c r="B206" s="1" t="n">
        <v>43570</v>
      </c>
      <c r="C206" s="1" t="n">
        <v>45338</v>
      </c>
      <c r="D206" t="inlineStr">
        <is>
          <t>KALMAR LÄN</t>
        </is>
      </c>
      <c r="E206" t="inlineStr">
        <is>
          <t>VIMMERBY</t>
        </is>
      </c>
      <c r="G206" t="n">
        <v>4.9</v>
      </c>
      <c r="H206" t="n">
        <v>0</v>
      </c>
      <c r="I206" t="n">
        <v>0</v>
      </c>
      <c r="J206" t="n">
        <v>0</v>
      </c>
      <c r="K206" t="n">
        <v>0</v>
      </c>
      <c r="L206" t="n">
        <v>0</v>
      </c>
      <c r="M206" t="n">
        <v>0</v>
      </c>
      <c r="N206" t="n">
        <v>0</v>
      </c>
      <c r="O206" t="n">
        <v>0</v>
      </c>
      <c r="P206" t="n">
        <v>0</v>
      </c>
      <c r="Q206" t="n">
        <v>0</v>
      </c>
      <c r="R206" s="2" t="inlineStr"/>
    </row>
    <row r="207" ht="15" customHeight="1">
      <c r="A207" t="inlineStr">
        <is>
          <t>A 20314-2019</t>
        </is>
      </c>
      <c r="B207" s="1" t="n">
        <v>43571</v>
      </c>
      <c r="C207" s="1" t="n">
        <v>45338</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20312-2019</t>
        </is>
      </c>
      <c r="B208" s="1" t="n">
        <v>43571</v>
      </c>
      <c r="C208" s="1" t="n">
        <v>45338</v>
      </c>
      <c r="D208" t="inlineStr">
        <is>
          <t>KALMAR LÄN</t>
        </is>
      </c>
      <c r="E208" t="inlineStr">
        <is>
          <t>VIMMERBY</t>
        </is>
      </c>
      <c r="G208" t="n">
        <v>4.2</v>
      </c>
      <c r="H208" t="n">
        <v>0</v>
      </c>
      <c r="I208" t="n">
        <v>0</v>
      </c>
      <c r="J208" t="n">
        <v>0</v>
      </c>
      <c r="K208" t="n">
        <v>0</v>
      </c>
      <c r="L208" t="n">
        <v>0</v>
      </c>
      <c r="M208" t="n">
        <v>0</v>
      </c>
      <c r="N208" t="n">
        <v>0</v>
      </c>
      <c r="O208" t="n">
        <v>0</v>
      </c>
      <c r="P208" t="n">
        <v>0</v>
      </c>
      <c r="Q208" t="n">
        <v>0</v>
      </c>
      <c r="R208" s="2" t="inlineStr"/>
    </row>
    <row r="209" ht="15" customHeight="1">
      <c r="A209" t="inlineStr">
        <is>
          <t>A 20565-2019</t>
        </is>
      </c>
      <c r="B209" s="1" t="n">
        <v>43572</v>
      </c>
      <c r="C209" s="1" t="n">
        <v>45338</v>
      </c>
      <c r="D209" t="inlineStr">
        <is>
          <t>KALMAR LÄN</t>
        </is>
      </c>
      <c r="E209" t="inlineStr">
        <is>
          <t>VIMMERBY</t>
        </is>
      </c>
      <c r="G209" t="n">
        <v>5.5</v>
      </c>
      <c r="H209" t="n">
        <v>0</v>
      </c>
      <c r="I209" t="n">
        <v>0</v>
      </c>
      <c r="J209" t="n">
        <v>0</v>
      </c>
      <c r="K209" t="n">
        <v>0</v>
      </c>
      <c r="L209" t="n">
        <v>0</v>
      </c>
      <c r="M209" t="n">
        <v>0</v>
      </c>
      <c r="N209" t="n">
        <v>0</v>
      </c>
      <c r="O209" t="n">
        <v>0</v>
      </c>
      <c r="P209" t="n">
        <v>0</v>
      </c>
      <c r="Q209" t="n">
        <v>0</v>
      </c>
      <c r="R209" s="2" t="inlineStr"/>
    </row>
    <row r="210" ht="15" customHeight="1">
      <c r="A210" t="inlineStr">
        <is>
          <t>A 20856-2019</t>
        </is>
      </c>
      <c r="B210" s="1" t="n">
        <v>43578</v>
      </c>
      <c r="C210" s="1" t="n">
        <v>45338</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21557-2019</t>
        </is>
      </c>
      <c r="B211" s="1" t="n">
        <v>43580</v>
      </c>
      <c r="C211" s="1" t="n">
        <v>45338</v>
      </c>
      <c r="D211" t="inlineStr">
        <is>
          <t>KALMAR LÄN</t>
        </is>
      </c>
      <c r="E211" t="inlineStr">
        <is>
          <t>VIMMERBY</t>
        </is>
      </c>
      <c r="G211" t="n">
        <v>13.8</v>
      </c>
      <c r="H211" t="n">
        <v>0</v>
      </c>
      <c r="I211" t="n">
        <v>0</v>
      </c>
      <c r="J211" t="n">
        <v>0</v>
      </c>
      <c r="K211" t="n">
        <v>0</v>
      </c>
      <c r="L211" t="n">
        <v>0</v>
      </c>
      <c r="M211" t="n">
        <v>0</v>
      </c>
      <c r="N211" t="n">
        <v>0</v>
      </c>
      <c r="O211" t="n">
        <v>0</v>
      </c>
      <c r="P211" t="n">
        <v>0</v>
      </c>
      <c r="Q211" t="n">
        <v>0</v>
      </c>
      <c r="R211" s="2" t="inlineStr"/>
    </row>
    <row r="212" ht="15" customHeight="1">
      <c r="A212" t="inlineStr">
        <is>
          <t>A 21500-2019</t>
        </is>
      </c>
      <c r="B212" s="1" t="n">
        <v>43580</v>
      </c>
      <c r="C212" s="1" t="n">
        <v>45338</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21688-2019</t>
        </is>
      </c>
      <c r="B213" s="1" t="n">
        <v>43581</v>
      </c>
      <c r="C213" s="1" t="n">
        <v>45338</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22372-2019</t>
        </is>
      </c>
      <c r="B214" s="1" t="n">
        <v>43587</v>
      </c>
      <c r="C214" s="1" t="n">
        <v>45338</v>
      </c>
      <c r="D214" t="inlineStr">
        <is>
          <t>KALMAR LÄN</t>
        </is>
      </c>
      <c r="E214" t="inlineStr">
        <is>
          <t>VIMMERBY</t>
        </is>
      </c>
      <c r="G214" t="n">
        <v>0.3</v>
      </c>
      <c r="H214" t="n">
        <v>0</v>
      </c>
      <c r="I214" t="n">
        <v>0</v>
      </c>
      <c r="J214" t="n">
        <v>0</v>
      </c>
      <c r="K214" t="n">
        <v>0</v>
      </c>
      <c r="L214" t="n">
        <v>0</v>
      </c>
      <c r="M214" t="n">
        <v>0</v>
      </c>
      <c r="N214" t="n">
        <v>0</v>
      </c>
      <c r="O214" t="n">
        <v>0</v>
      </c>
      <c r="P214" t="n">
        <v>0</v>
      </c>
      <c r="Q214" t="n">
        <v>0</v>
      </c>
      <c r="R214" s="2" t="inlineStr"/>
    </row>
    <row r="215" ht="15" customHeight="1">
      <c r="A215" t="inlineStr">
        <is>
          <t>A 22659-2019</t>
        </is>
      </c>
      <c r="B215" s="1" t="n">
        <v>43588</v>
      </c>
      <c r="C215" s="1" t="n">
        <v>45338</v>
      </c>
      <c r="D215" t="inlineStr">
        <is>
          <t>KALMAR LÄN</t>
        </is>
      </c>
      <c r="E215" t="inlineStr">
        <is>
          <t>VIMMERBY</t>
        </is>
      </c>
      <c r="G215" t="n">
        <v>3.5</v>
      </c>
      <c r="H215" t="n">
        <v>0</v>
      </c>
      <c r="I215" t="n">
        <v>0</v>
      </c>
      <c r="J215" t="n">
        <v>0</v>
      </c>
      <c r="K215" t="n">
        <v>0</v>
      </c>
      <c r="L215" t="n">
        <v>0</v>
      </c>
      <c r="M215" t="n">
        <v>0</v>
      </c>
      <c r="N215" t="n">
        <v>0</v>
      </c>
      <c r="O215" t="n">
        <v>0</v>
      </c>
      <c r="P215" t="n">
        <v>0</v>
      </c>
      <c r="Q215" t="n">
        <v>0</v>
      </c>
      <c r="R215" s="2" t="inlineStr"/>
    </row>
    <row r="216" ht="15" customHeight="1">
      <c r="A216" t="inlineStr">
        <is>
          <t>A 23498-2019</t>
        </is>
      </c>
      <c r="B216" s="1" t="n">
        <v>43593</v>
      </c>
      <c r="C216" s="1" t="n">
        <v>45338</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24254-2019</t>
        </is>
      </c>
      <c r="B217" s="1" t="n">
        <v>43599</v>
      </c>
      <c r="C217" s="1" t="n">
        <v>45338</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24937-2019</t>
        </is>
      </c>
      <c r="B218" s="1" t="n">
        <v>43602</v>
      </c>
      <c r="C218" s="1" t="n">
        <v>45338</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26073-2019</t>
        </is>
      </c>
      <c r="B219" s="1" t="n">
        <v>43609</v>
      </c>
      <c r="C219" s="1" t="n">
        <v>45338</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26660-2019</t>
        </is>
      </c>
      <c r="B220" s="1" t="n">
        <v>43613</v>
      </c>
      <c r="C220" s="1" t="n">
        <v>45338</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28013-2019</t>
        </is>
      </c>
      <c r="B221" s="1" t="n">
        <v>43621</v>
      </c>
      <c r="C221" s="1" t="n">
        <v>45338</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28348-2019</t>
        </is>
      </c>
      <c r="B222" s="1" t="n">
        <v>43624</v>
      </c>
      <c r="C222" s="1" t="n">
        <v>45338</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28414-2019</t>
        </is>
      </c>
      <c r="B223" s="1" t="n">
        <v>43626</v>
      </c>
      <c r="C223" s="1" t="n">
        <v>45338</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29004-2019</t>
        </is>
      </c>
      <c r="B224" s="1" t="n">
        <v>43628</v>
      </c>
      <c r="C224" s="1" t="n">
        <v>45338</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29228-2019</t>
        </is>
      </c>
      <c r="B225" s="1" t="n">
        <v>43629</v>
      </c>
      <c r="C225" s="1" t="n">
        <v>45338</v>
      </c>
      <c r="D225" t="inlineStr">
        <is>
          <t>KALMAR LÄN</t>
        </is>
      </c>
      <c r="E225" t="inlineStr">
        <is>
          <t>VIMMERBY</t>
        </is>
      </c>
      <c r="G225" t="n">
        <v>3.5</v>
      </c>
      <c r="H225" t="n">
        <v>0</v>
      </c>
      <c r="I225" t="n">
        <v>0</v>
      </c>
      <c r="J225" t="n">
        <v>0</v>
      </c>
      <c r="K225" t="n">
        <v>0</v>
      </c>
      <c r="L225" t="n">
        <v>0</v>
      </c>
      <c r="M225" t="n">
        <v>0</v>
      </c>
      <c r="N225" t="n">
        <v>0</v>
      </c>
      <c r="O225" t="n">
        <v>0</v>
      </c>
      <c r="P225" t="n">
        <v>0</v>
      </c>
      <c r="Q225" t="n">
        <v>0</v>
      </c>
      <c r="R225" s="2" t="inlineStr"/>
    </row>
    <row r="226" ht="15" customHeight="1">
      <c r="A226" t="inlineStr">
        <is>
          <t>A 29408-2019</t>
        </is>
      </c>
      <c r="B226" s="1" t="n">
        <v>43629</v>
      </c>
      <c r="C226" s="1" t="n">
        <v>45338</v>
      </c>
      <c r="D226" t="inlineStr">
        <is>
          <t>KALMAR LÄN</t>
        </is>
      </c>
      <c r="E226" t="inlineStr">
        <is>
          <t>VIMMERBY</t>
        </is>
      </c>
      <c r="G226" t="n">
        <v>10.2</v>
      </c>
      <c r="H226" t="n">
        <v>0</v>
      </c>
      <c r="I226" t="n">
        <v>0</v>
      </c>
      <c r="J226" t="n">
        <v>0</v>
      </c>
      <c r="K226" t="n">
        <v>0</v>
      </c>
      <c r="L226" t="n">
        <v>0</v>
      </c>
      <c r="M226" t="n">
        <v>0</v>
      </c>
      <c r="N226" t="n">
        <v>0</v>
      </c>
      <c r="O226" t="n">
        <v>0</v>
      </c>
      <c r="P226" t="n">
        <v>0</v>
      </c>
      <c r="Q226" t="n">
        <v>0</v>
      </c>
      <c r="R226" s="2" t="inlineStr"/>
    </row>
    <row r="227" ht="15" customHeight="1">
      <c r="A227" t="inlineStr">
        <is>
          <t>A 29693-2019</t>
        </is>
      </c>
      <c r="B227" s="1" t="n">
        <v>43630</v>
      </c>
      <c r="C227" s="1" t="n">
        <v>45338</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29675-2019</t>
        </is>
      </c>
      <c r="B228" s="1" t="n">
        <v>43630</v>
      </c>
      <c r="C228" s="1" t="n">
        <v>45338</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29775-2019</t>
        </is>
      </c>
      <c r="B229" s="1" t="n">
        <v>43632</v>
      </c>
      <c r="C229" s="1" t="n">
        <v>45338</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29773-2019</t>
        </is>
      </c>
      <c r="B230" s="1" t="n">
        <v>43632</v>
      </c>
      <c r="C230" s="1" t="n">
        <v>45338</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31027-2019</t>
        </is>
      </c>
      <c r="B231" s="1" t="n">
        <v>43636</v>
      </c>
      <c r="C231" s="1" t="n">
        <v>45338</v>
      </c>
      <c r="D231" t="inlineStr">
        <is>
          <t>KALMAR LÄN</t>
        </is>
      </c>
      <c r="E231" t="inlineStr">
        <is>
          <t>VIMMERBY</t>
        </is>
      </c>
      <c r="F231" t="inlineStr">
        <is>
          <t>Övriga statliga verk och myndigheter</t>
        </is>
      </c>
      <c r="G231" t="n">
        <v>0.5</v>
      </c>
      <c r="H231" t="n">
        <v>0</v>
      </c>
      <c r="I231" t="n">
        <v>0</v>
      </c>
      <c r="J231" t="n">
        <v>0</v>
      </c>
      <c r="K231" t="n">
        <v>0</v>
      </c>
      <c r="L231" t="n">
        <v>0</v>
      </c>
      <c r="M231" t="n">
        <v>0</v>
      </c>
      <c r="N231" t="n">
        <v>0</v>
      </c>
      <c r="O231" t="n">
        <v>0</v>
      </c>
      <c r="P231" t="n">
        <v>0</v>
      </c>
      <c r="Q231" t="n">
        <v>0</v>
      </c>
      <c r="R231" s="2" t="inlineStr"/>
    </row>
    <row r="232" ht="15" customHeight="1">
      <c r="A232" t="inlineStr">
        <is>
          <t>A 30994-2019</t>
        </is>
      </c>
      <c r="B232" s="1" t="n">
        <v>43640</v>
      </c>
      <c r="C232" s="1" t="n">
        <v>45338</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31859-2019</t>
        </is>
      </c>
      <c r="B233" s="1" t="n">
        <v>43642</v>
      </c>
      <c r="C233" s="1" t="n">
        <v>45338</v>
      </c>
      <c r="D233" t="inlineStr">
        <is>
          <t>KALMAR LÄN</t>
        </is>
      </c>
      <c r="E233" t="inlineStr">
        <is>
          <t>VIMMERBY</t>
        </is>
      </c>
      <c r="G233" t="n">
        <v>2.1</v>
      </c>
      <c r="H233" t="n">
        <v>0</v>
      </c>
      <c r="I233" t="n">
        <v>0</v>
      </c>
      <c r="J233" t="n">
        <v>0</v>
      </c>
      <c r="K233" t="n">
        <v>0</v>
      </c>
      <c r="L233" t="n">
        <v>0</v>
      </c>
      <c r="M233" t="n">
        <v>0</v>
      </c>
      <c r="N233" t="n">
        <v>0</v>
      </c>
      <c r="O233" t="n">
        <v>0</v>
      </c>
      <c r="P233" t="n">
        <v>0</v>
      </c>
      <c r="Q233" t="n">
        <v>0</v>
      </c>
      <c r="R233" s="2" t="inlineStr"/>
    </row>
    <row r="234" ht="15" customHeight="1">
      <c r="A234" t="inlineStr">
        <is>
          <t>A 32911-2019</t>
        </is>
      </c>
      <c r="B234" s="1" t="n">
        <v>43648</v>
      </c>
      <c r="C234" s="1" t="n">
        <v>45338</v>
      </c>
      <c r="D234" t="inlineStr">
        <is>
          <t>KALMAR LÄN</t>
        </is>
      </c>
      <c r="E234" t="inlineStr">
        <is>
          <t>VIMMERBY</t>
        </is>
      </c>
      <c r="G234" t="n">
        <v>5</v>
      </c>
      <c r="H234" t="n">
        <v>0</v>
      </c>
      <c r="I234" t="n">
        <v>0</v>
      </c>
      <c r="J234" t="n">
        <v>0</v>
      </c>
      <c r="K234" t="n">
        <v>0</v>
      </c>
      <c r="L234" t="n">
        <v>0</v>
      </c>
      <c r="M234" t="n">
        <v>0</v>
      </c>
      <c r="N234" t="n">
        <v>0</v>
      </c>
      <c r="O234" t="n">
        <v>0</v>
      </c>
      <c r="P234" t="n">
        <v>0</v>
      </c>
      <c r="Q234" t="n">
        <v>0</v>
      </c>
      <c r="R234" s="2" t="inlineStr"/>
    </row>
    <row r="235" ht="15" customHeight="1">
      <c r="A235" t="inlineStr">
        <is>
          <t>A 32924-2019</t>
        </is>
      </c>
      <c r="B235" s="1" t="n">
        <v>43648</v>
      </c>
      <c r="C235" s="1" t="n">
        <v>45338</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32918-2019</t>
        </is>
      </c>
      <c r="B236" s="1" t="n">
        <v>43648</v>
      </c>
      <c r="C236" s="1" t="n">
        <v>45338</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32910-2019</t>
        </is>
      </c>
      <c r="B237" s="1" t="n">
        <v>43648</v>
      </c>
      <c r="C237" s="1" t="n">
        <v>45338</v>
      </c>
      <c r="D237" t="inlineStr">
        <is>
          <t>KALMAR LÄN</t>
        </is>
      </c>
      <c r="E237" t="inlineStr">
        <is>
          <t>VIMMERBY</t>
        </is>
      </c>
      <c r="G237" t="n">
        <v>6</v>
      </c>
      <c r="H237" t="n">
        <v>0</v>
      </c>
      <c r="I237" t="n">
        <v>0</v>
      </c>
      <c r="J237" t="n">
        <v>0</v>
      </c>
      <c r="K237" t="n">
        <v>0</v>
      </c>
      <c r="L237" t="n">
        <v>0</v>
      </c>
      <c r="M237" t="n">
        <v>0</v>
      </c>
      <c r="N237" t="n">
        <v>0</v>
      </c>
      <c r="O237" t="n">
        <v>0</v>
      </c>
      <c r="P237" t="n">
        <v>0</v>
      </c>
      <c r="Q237" t="n">
        <v>0</v>
      </c>
      <c r="R237" s="2" t="inlineStr"/>
    </row>
    <row r="238" ht="15" customHeight="1">
      <c r="A238" t="inlineStr">
        <is>
          <t>A 34765-2019</t>
        </is>
      </c>
      <c r="B238" s="1" t="n">
        <v>43649</v>
      </c>
      <c r="C238" s="1" t="n">
        <v>45338</v>
      </c>
      <c r="D238" t="inlineStr">
        <is>
          <t>KALMAR LÄN</t>
        </is>
      </c>
      <c r="E238" t="inlineStr">
        <is>
          <t>VIMMERBY</t>
        </is>
      </c>
      <c r="G238" t="n">
        <v>6.9</v>
      </c>
      <c r="H238" t="n">
        <v>0</v>
      </c>
      <c r="I238" t="n">
        <v>0</v>
      </c>
      <c r="J238" t="n">
        <v>0</v>
      </c>
      <c r="K238" t="n">
        <v>0</v>
      </c>
      <c r="L238" t="n">
        <v>0</v>
      </c>
      <c r="M238" t="n">
        <v>0</v>
      </c>
      <c r="N238" t="n">
        <v>0</v>
      </c>
      <c r="O238" t="n">
        <v>0</v>
      </c>
      <c r="P238" t="n">
        <v>0</v>
      </c>
      <c r="Q238" t="n">
        <v>0</v>
      </c>
      <c r="R238" s="2" t="inlineStr"/>
    </row>
    <row r="239" ht="15" customHeight="1">
      <c r="A239" t="inlineStr">
        <is>
          <t>A 33411-2019</t>
        </is>
      </c>
      <c r="B239" s="1" t="n">
        <v>43650</v>
      </c>
      <c r="C239" s="1" t="n">
        <v>45338</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33410-2019</t>
        </is>
      </c>
      <c r="B240" s="1" t="n">
        <v>43650</v>
      </c>
      <c r="C240" s="1" t="n">
        <v>45338</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35259-2019</t>
        </is>
      </c>
      <c r="B241" s="1" t="n">
        <v>43651</v>
      </c>
      <c r="C241" s="1" t="n">
        <v>45338</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33869-2019</t>
        </is>
      </c>
      <c r="B242" s="1" t="n">
        <v>43652</v>
      </c>
      <c r="C242" s="1" t="n">
        <v>45338</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34241-2019</t>
        </is>
      </c>
      <c r="B243" s="1" t="n">
        <v>43655</v>
      </c>
      <c r="C243" s="1" t="n">
        <v>45338</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34244-2019</t>
        </is>
      </c>
      <c r="B244" s="1" t="n">
        <v>43655</v>
      </c>
      <c r="C244" s="1" t="n">
        <v>45338</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34273-2019</t>
        </is>
      </c>
      <c r="B245" s="1" t="n">
        <v>43655</v>
      </c>
      <c r="C245" s="1" t="n">
        <v>45338</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35701-2019</t>
        </is>
      </c>
      <c r="B246" s="1" t="n">
        <v>43655</v>
      </c>
      <c r="C246" s="1" t="n">
        <v>45338</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34672-2019</t>
        </is>
      </c>
      <c r="B247" s="1" t="n">
        <v>43657</v>
      </c>
      <c r="C247" s="1" t="n">
        <v>45338</v>
      </c>
      <c r="D247" t="inlineStr">
        <is>
          <t>KALMAR LÄN</t>
        </is>
      </c>
      <c r="E247" t="inlineStr">
        <is>
          <t>VIMMERBY</t>
        </is>
      </c>
      <c r="G247" t="n">
        <v>1.8</v>
      </c>
      <c r="H247" t="n">
        <v>0</v>
      </c>
      <c r="I247" t="n">
        <v>0</v>
      </c>
      <c r="J247" t="n">
        <v>0</v>
      </c>
      <c r="K247" t="n">
        <v>0</v>
      </c>
      <c r="L247" t="n">
        <v>0</v>
      </c>
      <c r="M247" t="n">
        <v>0</v>
      </c>
      <c r="N247" t="n">
        <v>0</v>
      </c>
      <c r="O247" t="n">
        <v>0</v>
      </c>
      <c r="P247" t="n">
        <v>0</v>
      </c>
      <c r="Q247" t="n">
        <v>0</v>
      </c>
      <c r="R247" s="2" t="inlineStr"/>
    </row>
    <row r="248" ht="15" customHeight="1">
      <c r="A248" t="inlineStr">
        <is>
          <t>A 35780-2019</t>
        </is>
      </c>
      <c r="B248" s="1" t="n">
        <v>43665</v>
      </c>
      <c r="C248" s="1" t="n">
        <v>45338</v>
      </c>
      <c r="D248" t="inlineStr">
        <is>
          <t>KALMAR LÄN</t>
        </is>
      </c>
      <c r="E248" t="inlineStr">
        <is>
          <t>VIMMERBY</t>
        </is>
      </c>
      <c r="G248" t="n">
        <v>1.1</v>
      </c>
      <c r="H248" t="n">
        <v>0</v>
      </c>
      <c r="I248" t="n">
        <v>0</v>
      </c>
      <c r="J248" t="n">
        <v>0</v>
      </c>
      <c r="K248" t="n">
        <v>0</v>
      </c>
      <c r="L248" t="n">
        <v>0</v>
      </c>
      <c r="M248" t="n">
        <v>0</v>
      </c>
      <c r="N248" t="n">
        <v>0</v>
      </c>
      <c r="O248" t="n">
        <v>0</v>
      </c>
      <c r="P248" t="n">
        <v>0</v>
      </c>
      <c r="Q248" t="n">
        <v>0</v>
      </c>
      <c r="R248" s="2" t="inlineStr"/>
    </row>
    <row r="249" ht="15" customHeight="1">
      <c r="A249" t="inlineStr">
        <is>
          <t>A 35834-2019</t>
        </is>
      </c>
      <c r="B249" s="1" t="n">
        <v>43665</v>
      </c>
      <c r="C249" s="1" t="n">
        <v>45338</v>
      </c>
      <c r="D249" t="inlineStr">
        <is>
          <t>KALMAR LÄN</t>
        </is>
      </c>
      <c r="E249" t="inlineStr">
        <is>
          <t>VIMMERBY</t>
        </is>
      </c>
      <c r="G249" t="n">
        <v>0.2</v>
      </c>
      <c r="H249" t="n">
        <v>0</v>
      </c>
      <c r="I249" t="n">
        <v>0</v>
      </c>
      <c r="J249" t="n">
        <v>0</v>
      </c>
      <c r="K249" t="n">
        <v>0</v>
      </c>
      <c r="L249" t="n">
        <v>0</v>
      </c>
      <c r="M249" t="n">
        <v>0</v>
      </c>
      <c r="N249" t="n">
        <v>0</v>
      </c>
      <c r="O249" t="n">
        <v>0</v>
      </c>
      <c r="P249" t="n">
        <v>0</v>
      </c>
      <c r="Q249" t="n">
        <v>0</v>
      </c>
      <c r="R249" s="2" t="inlineStr"/>
    </row>
    <row r="250" ht="15" customHeight="1">
      <c r="A250" t="inlineStr">
        <is>
          <t>A 35829-2019</t>
        </is>
      </c>
      <c r="B250" s="1" t="n">
        <v>43665</v>
      </c>
      <c r="C250" s="1" t="n">
        <v>45338</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35919-2019</t>
        </is>
      </c>
      <c r="B251" s="1" t="n">
        <v>43665</v>
      </c>
      <c r="C251" s="1" t="n">
        <v>45338</v>
      </c>
      <c r="D251" t="inlineStr">
        <is>
          <t>KALMAR LÄN</t>
        </is>
      </c>
      <c r="E251" t="inlineStr">
        <is>
          <t>VIMMERBY</t>
        </is>
      </c>
      <c r="G251" t="n">
        <v>7.1</v>
      </c>
      <c r="H251" t="n">
        <v>0</v>
      </c>
      <c r="I251" t="n">
        <v>0</v>
      </c>
      <c r="J251" t="n">
        <v>0</v>
      </c>
      <c r="K251" t="n">
        <v>0</v>
      </c>
      <c r="L251" t="n">
        <v>0</v>
      </c>
      <c r="M251" t="n">
        <v>0</v>
      </c>
      <c r="N251" t="n">
        <v>0</v>
      </c>
      <c r="O251" t="n">
        <v>0</v>
      </c>
      <c r="P251" t="n">
        <v>0</v>
      </c>
      <c r="Q251" t="n">
        <v>0</v>
      </c>
      <c r="R251" s="2" t="inlineStr"/>
    </row>
    <row r="252" ht="15" customHeight="1">
      <c r="A252" t="inlineStr">
        <is>
          <t>A 36027-2019</t>
        </is>
      </c>
      <c r="B252" s="1" t="n">
        <v>43668</v>
      </c>
      <c r="C252" s="1" t="n">
        <v>45338</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36024-2019</t>
        </is>
      </c>
      <c r="B253" s="1" t="n">
        <v>43668</v>
      </c>
      <c r="C253" s="1" t="n">
        <v>45338</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36716-2019</t>
        </is>
      </c>
      <c r="B254" s="1" t="n">
        <v>43669</v>
      </c>
      <c r="C254" s="1" t="n">
        <v>45338</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36454-2019</t>
        </is>
      </c>
      <c r="B255" s="1" t="n">
        <v>43670</v>
      </c>
      <c r="C255" s="1" t="n">
        <v>45338</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37031-2019</t>
        </is>
      </c>
      <c r="B256" s="1" t="n">
        <v>43672</v>
      </c>
      <c r="C256" s="1" t="n">
        <v>45338</v>
      </c>
      <c r="D256" t="inlineStr">
        <is>
          <t>KALMAR LÄN</t>
        </is>
      </c>
      <c r="E256" t="inlineStr">
        <is>
          <t>VIMMERBY</t>
        </is>
      </c>
      <c r="G256" t="n">
        <v>16.8</v>
      </c>
      <c r="H256" t="n">
        <v>0</v>
      </c>
      <c r="I256" t="n">
        <v>0</v>
      </c>
      <c r="J256" t="n">
        <v>0</v>
      </c>
      <c r="K256" t="n">
        <v>0</v>
      </c>
      <c r="L256" t="n">
        <v>0</v>
      </c>
      <c r="M256" t="n">
        <v>0</v>
      </c>
      <c r="N256" t="n">
        <v>0</v>
      </c>
      <c r="O256" t="n">
        <v>0</v>
      </c>
      <c r="P256" t="n">
        <v>0</v>
      </c>
      <c r="Q256" t="n">
        <v>0</v>
      </c>
      <c r="R256" s="2" t="inlineStr"/>
    </row>
    <row r="257" ht="15" customHeight="1">
      <c r="A257" t="inlineStr">
        <is>
          <t>A 36830-2019</t>
        </is>
      </c>
      <c r="B257" s="1" t="n">
        <v>43674</v>
      </c>
      <c r="C257" s="1" t="n">
        <v>45338</v>
      </c>
      <c r="D257" t="inlineStr">
        <is>
          <t>KALMAR LÄN</t>
        </is>
      </c>
      <c r="E257" t="inlineStr">
        <is>
          <t>VIMMERBY</t>
        </is>
      </c>
      <c r="G257" t="n">
        <v>7.2</v>
      </c>
      <c r="H257" t="n">
        <v>0</v>
      </c>
      <c r="I257" t="n">
        <v>0</v>
      </c>
      <c r="J257" t="n">
        <v>0</v>
      </c>
      <c r="K257" t="n">
        <v>0</v>
      </c>
      <c r="L257" t="n">
        <v>0</v>
      </c>
      <c r="M257" t="n">
        <v>0</v>
      </c>
      <c r="N257" t="n">
        <v>0</v>
      </c>
      <c r="O257" t="n">
        <v>0</v>
      </c>
      <c r="P257" t="n">
        <v>0</v>
      </c>
      <c r="Q257" t="n">
        <v>0</v>
      </c>
      <c r="R257" s="2" t="inlineStr"/>
    </row>
    <row r="258" ht="15" customHeight="1">
      <c r="A258" t="inlineStr">
        <is>
          <t>A 36936-2019</t>
        </is>
      </c>
      <c r="B258" s="1" t="n">
        <v>43675</v>
      </c>
      <c r="C258" s="1" t="n">
        <v>45338</v>
      </c>
      <c r="D258" t="inlineStr">
        <is>
          <t>KALMAR LÄN</t>
        </is>
      </c>
      <c r="E258" t="inlineStr">
        <is>
          <t>VIMMERBY</t>
        </is>
      </c>
      <c r="G258" t="n">
        <v>3.5</v>
      </c>
      <c r="H258" t="n">
        <v>0</v>
      </c>
      <c r="I258" t="n">
        <v>0</v>
      </c>
      <c r="J258" t="n">
        <v>0</v>
      </c>
      <c r="K258" t="n">
        <v>0</v>
      </c>
      <c r="L258" t="n">
        <v>0</v>
      </c>
      <c r="M258" t="n">
        <v>0</v>
      </c>
      <c r="N258" t="n">
        <v>0</v>
      </c>
      <c r="O258" t="n">
        <v>0</v>
      </c>
      <c r="P258" t="n">
        <v>0</v>
      </c>
      <c r="Q258" t="n">
        <v>0</v>
      </c>
      <c r="R258" s="2" t="inlineStr"/>
    </row>
    <row r="259" ht="15" customHeight="1">
      <c r="A259" t="inlineStr">
        <is>
          <t>A 37063-2019</t>
        </is>
      </c>
      <c r="B259" s="1" t="n">
        <v>43676</v>
      </c>
      <c r="C259" s="1" t="n">
        <v>45338</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37209-2019</t>
        </is>
      </c>
      <c r="B260" s="1" t="n">
        <v>43677</v>
      </c>
      <c r="C260" s="1" t="n">
        <v>45338</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37412-2019</t>
        </is>
      </c>
      <c r="B261" s="1" t="n">
        <v>43678</v>
      </c>
      <c r="C261" s="1" t="n">
        <v>45338</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38602-2019</t>
        </is>
      </c>
      <c r="B262" s="1" t="n">
        <v>43684</v>
      </c>
      <c r="C262" s="1" t="n">
        <v>45338</v>
      </c>
      <c r="D262" t="inlineStr">
        <is>
          <t>KALMAR LÄN</t>
        </is>
      </c>
      <c r="E262" t="inlineStr">
        <is>
          <t>VIMMERBY</t>
        </is>
      </c>
      <c r="G262" t="n">
        <v>2.7</v>
      </c>
      <c r="H262" t="n">
        <v>0</v>
      </c>
      <c r="I262" t="n">
        <v>0</v>
      </c>
      <c r="J262" t="n">
        <v>0</v>
      </c>
      <c r="K262" t="n">
        <v>0</v>
      </c>
      <c r="L262" t="n">
        <v>0</v>
      </c>
      <c r="M262" t="n">
        <v>0</v>
      </c>
      <c r="N262" t="n">
        <v>0</v>
      </c>
      <c r="O262" t="n">
        <v>0</v>
      </c>
      <c r="P262" t="n">
        <v>0</v>
      </c>
      <c r="Q262" t="n">
        <v>0</v>
      </c>
      <c r="R262" s="2" t="inlineStr"/>
    </row>
    <row r="263" ht="15" customHeight="1">
      <c r="A263" t="inlineStr">
        <is>
          <t>A 38866-2019</t>
        </is>
      </c>
      <c r="B263" s="1" t="n">
        <v>43685</v>
      </c>
      <c r="C263" s="1" t="n">
        <v>45338</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38789-2019</t>
        </is>
      </c>
      <c r="B264" s="1" t="n">
        <v>43687</v>
      </c>
      <c r="C264" s="1" t="n">
        <v>45338</v>
      </c>
      <c r="D264" t="inlineStr">
        <is>
          <t>KALMAR LÄN</t>
        </is>
      </c>
      <c r="E264" t="inlineStr">
        <is>
          <t>VIMMERBY</t>
        </is>
      </c>
      <c r="G264" t="n">
        <v>0.3</v>
      </c>
      <c r="H264" t="n">
        <v>0</v>
      </c>
      <c r="I264" t="n">
        <v>0</v>
      </c>
      <c r="J264" t="n">
        <v>0</v>
      </c>
      <c r="K264" t="n">
        <v>0</v>
      </c>
      <c r="L264" t="n">
        <v>0</v>
      </c>
      <c r="M264" t="n">
        <v>0</v>
      </c>
      <c r="N264" t="n">
        <v>0</v>
      </c>
      <c r="O264" t="n">
        <v>0</v>
      </c>
      <c r="P264" t="n">
        <v>0</v>
      </c>
      <c r="Q264" t="n">
        <v>0</v>
      </c>
      <c r="R264" s="2" t="inlineStr"/>
    </row>
    <row r="265" ht="15" customHeight="1">
      <c r="A265" t="inlineStr">
        <is>
          <t>A 38835-2019</t>
        </is>
      </c>
      <c r="B265" s="1" t="n">
        <v>43689</v>
      </c>
      <c r="C265" s="1" t="n">
        <v>45338</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38823-2019</t>
        </is>
      </c>
      <c r="B266" s="1" t="n">
        <v>43689</v>
      </c>
      <c r="C266" s="1" t="n">
        <v>45338</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38837-2019</t>
        </is>
      </c>
      <c r="B267" s="1" t="n">
        <v>43689</v>
      </c>
      <c r="C267" s="1" t="n">
        <v>45338</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38831-2019</t>
        </is>
      </c>
      <c r="B268" s="1" t="n">
        <v>43689</v>
      </c>
      <c r="C268" s="1" t="n">
        <v>45338</v>
      </c>
      <c r="D268" t="inlineStr">
        <is>
          <t>KALMAR LÄN</t>
        </is>
      </c>
      <c r="E268" t="inlineStr">
        <is>
          <t>VIMMERBY</t>
        </is>
      </c>
      <c r="G268" t="n">
        <v>3</v>
      </c>
      <c r="H268" t="n">
        <v>0</v>
      </c>
      <c r="I268" t="n">
        <v>0</v>
      </c>
      <c r="J268" t="n">
        <v>0</v>
      </c>
      <c r="K268" t="n">
        <v>0</v>
      </c>
      <c r="L268" t="n">
        <v>0</v>
      </c>
      <c r="M268" t="n">
        <v>0</v>
      </c>
      <c r="N268" t="n">
        <v>0</v>
      </c>
      <c r="O268" t="n">
        <v>0</v>
      </c>
      <c r="P268" t="n">
        <v>0</v>
      </c>
      <c r="Q268" t="n">
        <v>0</v>
      </c>
      <c r="R268" s="2" t="inlineStr"/>
    </row>
    <row r="269" ht="15" customHeight="1">
      <c r="A269" t="inlineStr">
        <is>
          <t>A 39442-2019</t>
        </is>
      </c>
      <c r="B269" s="1" t="n">
        <v>43691</v>
      </c>
      <c r="C269" s="1" t="n">
        <v>45338</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39575-2019</t>
        </is>
      </c>
      <c r="B270" s="1" t="n">
        <v>43691</v>
      </c>
      <c r="C270" s="1" t="n">
        <v>45338</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39568-2019</t>
        </is>
      </c>
      <c r="B271" s="1" t="n">
        <v>43691</v>
      </c>
      <c r="C271" s="1" t="n">
        <v>45338</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39564-2019</t>
        </is>
      </c>
      <c r="B272" s="1" t="n">
        <v>43691</v>
      </c>
      <c r="C272" s="1" t="n">
        <v>45338</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39577-2019</t>
        </is>
      </c>
      <c r="B273" s="1" t="n">
        <v>43691</v>
      </c>
      <c r="C273" s="1" t="n">
        <v>45338</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39856-2019</t>
        </is>
      </c>
      <c r="B274" s="1" t="n">
        <v>43692</v>
      </c>
      <c r="C274" s="1" t="n">
        <v>45338</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39901-2019</t>
        </is>
      </c>
      <c r="B275" s="1" t="n">
        <v>43692</v>
      </c>
      <c r="C275" s="1" t="n">
        <v>45338</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39962-2019</t>
        </is>
      </c>
      <c r="B276" s="1" t="n">
        <v>43692</v>
      </c>
      <c r="C276" s="1" t="n">
        <v>45338</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39899-2019</t>
        </is>
      </c>
      <c r="B277" s="1" t="n">
        <v>43692</v>
      </c>
      <c r="C277" s="1" t="n">
        <v>45338</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39894-2019</t>
        </is>
      </c>
      <c r="B278" s="1" t="n">
        <v>43692</v>
      </c>
      <c r="C278" s="1" t="n">
        <v>45338</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39920-2019</t>
        </is>
      </c>
      <c r="B279" s="1" t="n">
        <v>43692</v>
      </c>
      <c r="C279" s="1" t="n">
        <v>45338</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39897-2019</t>
        </is>
      </c>
      <c r="B280" s="1" t="n">
        <v>43692</v>
      </c>
      <c r="C280" s="1" t="n">
        <v>45338</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40140-2019</t>
        </is>
      </c>
      <c r="B281" s="1" t="n">
        <v>43693</v>
      </c>
      <c r="C281" s="1" t="n">
        <v>45338</v>
      </c>
      <c r="D281" t="inlineStr">
        <is>
          <t>KALMAR LÄN</t>
        </is>
      </c>
      <c r="E281" t="inlineStr">
        <is>
          <t>VIMMERBY</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40691-2019</t>
        </is>
      </c>
      <c r="B282" s="1" t="n">
        <v>43696</v>
      </c>
      <c r="C282" s="1" t="n">
        <v>45338</v>
      </c>
      <c r="D282" t="inlineStr">
        <is>
          <t>KALMAR LÄN</t>
        </is>
      </c>
      <c r="E282" t="inlineStr">
        <is>
          <t>VIMMERBY</t>
        </is>
      </c>
      <c r="G282" t="n">
        <v>10.9</v>
      </c>
      <c r="H282" t="n">
        <v>0</v>
      </c>
      <c r="I282" t="n">
        <v>0</v>
      </c>
      <c r="J282" t="n">
        <v>0</v>
      </c>
      <c r="K282" t="n">
        <v>0</v>
      </c>
      <c r="L282" t="n">
        <v>0</v>
      </c>
      <c r="M282" t="n">
        <v>0</v>
      </c>
      <c r="N282" t="n">
        <v>0</v>
      </c>
      <c r="O282" t="n">
        <v>0</v>
      </c>
      <c r="P282" t="n">
        <v>0</v>
      </c>
      <c r="Q282" t="n">
        <v>0</v>
      </c>
      <c r="R282" s="2" t="inlineStr"/>
    </row>
    <row r="283" ht="15" customHeight="1">
      <c r="A283" t="inlineStr">
        <is>
          <t>A 40692-2019</t>
        </is>
      </c>
      <c r="B283" s="1" t="n">
        <v>43696</v>
      </c>
      <c r="C283" s="1" t="n">
        <v>45338</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41347-2019</t>
        </is>
      </c>
      <c r="B284" s="1" t="n">
        <v>43698</v>
      </c>
      <c r="C284" s="1" t="n">
        <v>45338</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42142-2019</t>
        </is>
      </c>
      <c r="B285" s="1" t="n">
        <v>43703</v>
      </c>
      <c r="C285" s="1" t="n">
        <v>45338</v>
      </c>
      <c r="D285" t="inlineStr">
        <is>
          <t>KALMAR LÄN</t>
        </is>
      </c>
      <c r="E285" t="inlineStr">
        <is>
          <t>VIMMERBY</t>
        </is>
      </c>
      <c r="G285" t="n">
        <v>3.3</v>
      </c>
      <c r="H285" t="n">
        <v>0</v>
      </c>
      <c r="I285" t="n">
        <v>0</v>
      </c>
      <c r="J285" t="n">
        <v>0</v>
      </c>
      <c r="K285" t="n">
        <v>0</v>
      </c>
      <c r="L285" t="n">
        <v>0</v>
      </c>
      <c r="M285" t="n">
        <v>0</v>
      </c>
      <c r="N285" t="n">
        <v>0</v>
      </c>
      <c r="O285" t="n">
        <v>0</v>
      </c>
      <c r="P285" t="n">
        <v>0</v>
      </c>
      <c r="Q285" t="n">
        <v>0</v>
      </c>
      <c r="R285" s="2" t="inlineStr"/>
    </row>
    <row r="286" ht="15" customHeight="1">
      <c r="A286" t="inlineStr">
        <is>
          <t>A 42759-2019</t>
        </is>
      </c>
      <c r="B286" s="1" t="n">
        <v>43704</v>
      </c>
      <c r="C286" s="1" t="n">
        <v>45338</v>
      </c>
      <c r="D286" t="inlineStr">
        <is>
          <t>KALMAR LÄN</t>
        </is>
      </c>
      <c r="E286" t="inlineStr">
        <is>
          <t>VIMMERBY</t>
        </is>
      </c>
      <c r="G286" t="n">
        <v>4.6</v>
      </c>
      <c r="H286" t="n">
        <v>0</v>
      </c>
      <c r="I286" t="n">
        <v>0</v>
      </c>
      <c r="J286" t="n">
        <v>0</v>
      </c>
      <c r="K286" t="n">
        <v>0</v>
      </c>
      <c r="L286" t="n">
        <v>0</v>
      </c>
      <c r="M286" t="n">
        <v>0</v>
      </c>
      <c r="N286" t="n">
        <v>0</v>
      </c>
      <c r="O286" t="n">
        <v>0</v>
      </c>
      <c r="P286" t="n">
        <v>0</v>
      </c>
      <c r="Q286" t="n">
        <v>0</v>
      </c>
      <c r="R286" s="2" t="inlineStr"/>
    </row>
    <row r="287" ht="15" customHeight="1">
      <c r="A287" t="inlineStr">
        <is>
          <t>A 42758-2019</t>
        </is>
      </c>
      <c r="B287" s="1" t="n">
        <v>43704</v>
      </c>
      <c r="C287" s="1" t="n">
        <v>45338</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42947-2019</t>
        </is>
      </c>
      <c r="B288" s="1" t="n">
        <v>43705</v>
      </c>
      <c r="C288" s="1" t="n">
        <v>45338</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42972-2019</t>
        </is>
      </c>
      <c r="B289" s="1" t="n">
        <v>43705</v>
      </c>
      <c r="C289" s="1" t="n">
        <v>45338</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44202-2019</t>
        </is>
      </c>
      <c r="B290" s="1" t="n">
        <v>43710</v>
      </c>
      <c r="C290" s="1" t="n">
        <v>45338</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44630-2019</t>
        </is>
      </c>
      <c r="B291" s="1" t="n">
        <v>43712</v>
      </c>
      <c r="C291" s="1" t="n">
        <v>45338</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45446-2019</t>
        </is>
      </c>
      <c r="B292" s="1" t="n">
        <v>43714</v>
      </c>
      <c r="C292" s="1" t="n">
        <v>45338</v>
      </c>
      <c r="D292" t="inlineStr">
        <is>
          <t>KALMAR LÄN</t>
        </is>
      </c>
      <c r="E292" t="inlineStr">
        <is>
          <t>VIMMERBY</t>
        </is>
      </c>
      <c r="G292" t="n">
        <v>3.8</v>
      </c>
      <c r="H292" t="n">
        <v>0</v>
      </c>
      <c r="I292" t="n">
        <v>0</v>
      </c>
      <c r="J292" t="n">
        <v>0</v>
      </c>
      <c r="K292" t="n">
        <v>0</v>
      </c>
      <c r="L292" t="n">
        <v>0</v>
      </c>
      <c r="M292" t="n">
        <v>0</v>
      </c>
      <c r="N292" t="n">
        <v>0</v>
      </c>
      <c r="O292" t="n">
        <v>0</v>
      </c>
      <c r="P292" t="n">
        <v>0</v>
      </c>
      <c r="Q292" t="n">
        <v>0</v>
      </c>
      <c r="R292" s="2" t="inlineStr"/>
    </row>
    <row r="293" ht="15" customHeight="1">
      <c r="A293" t="inlineStr">
        <is>
          <t>A 45413-2019</t>
        </is>
      </c>
      <c r="B293" s="1" t="n">
        <v>43714</v>
      </c>
      <c r="C293" s="1" t="n">
        <v>45338</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45515-2019</t>
        </is>
      </c>
      <c r="B294" s="1" t="n">
        <v>43714</v>
      </c>
      <c r="C294" s="1" t="n">
        <v>45338</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46242-2019</t>
        </is>
      </c>
      <c r="B295" s="1" t="n">
        <v>43718</v>
      </c>
      <c r="C295" s="1" t="n">
        <v>45338</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46845-2019</t>
        </is>
      </c>
      <c r="B296" s="1" t="n">
        <v>43718</v>
      </c>
      <c r="C296" s="1" t="n">
        <v>45338</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46291-2019</t>
        </is>
      </c>
      <c r="B297" s="1" t="n">
        <v>43718</v>
      </c>
      <c r="C297" s="1" t="n">
        <v>45338</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47187-2019</t>
        </is>
      </c>
      <c r="B298" s="1" t="n">
        <v>43719</v>
      </c>
      <c r="C298" s="1" t="n">
        <v>45338</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46619-2019</t>
        </is>
      </c>
      <c r="B299" s="1" t="n">
        <v>43719</v>
      </c>
      <c r="C299" s="1" t="n">
        <v>45338</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46988-2019</t>
        </is>
      </c>
      <c r="B300" s="1" t="n">
        <v>43720</v>
      </c>
      <c r="C300" s="1" t="n">
        <v>45338</v>
      </c>
      <c r="D300" t="inlineStr">
        <is>
          <t>KALMAR LÄN</t>
        </is>
      </c>
      <c r="E300" t="inlineStr">
        <is>
          <t>VIMMERBY</t>
        </is>
      </c>
      <c r="F300" t="inlineStr">
        <is>
          <t>Kommuner</t>
        </is>
      </c>
      <c r="G300" t="n">
        <v>0.5</v>
      </c>
      <c r="H300" t="n">
        <v>0</v>
      </c>
      <c r="I300" t="n">
        <v>0</v>
      </c>
      <c r="J300" t="n">
        <v>0</v>
      </c>
      <c r="K300" t="n">
        <v>0</v>
      </c>
      <c r="L300" t="n">
        <v>0</v>
      </c>
      <c r="M300" t="n">
        <v>0</v>
      </c>
      <c r="N300" t="n">
        <v>0</v>
      </c>
      <c r="O300" t="n">
        <v>0</v>
      </c>
      <c r="P300" t="n">
        <v>0</v>
      </c>
      <c r="Q300" t="n">
        <v>0</v>
      </c>
      <c r="R300" s="2" t="inlineStr"/>
    </row>
    <row r="301" ht="15" customHeight="1">
      <c r="A301" t="inlineStr">
        <is>
          <t>A 48029-2019</t>
        </is>
      </c>
      <c r="B301" s="1" t="n">
        <v>43725</v>
      </c>
      <c r="C301" s="1" t="n">
        <v>45338</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48051-2019</t>
        </is>
      </c>
      <c r="B302" s="1" t="n">
        <v>43725</v>
      </c>
      <c r="C302" s="1" t="n">
        <v>45338</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48164-2019</t>
        </is>
      </c>
      <c r="B303" s="1" t="n">
        <v>43726</v>
      </c>
      <c r="C303" s="1" t="n">
        <v>45338</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48381-2019</t>
        </is>
      </c>
      <c r="B304" s="1" t="n">
        <v>43726</v>
      </c>
      <c r="C304" s="1" t="n">
        <v>45338</v>
      </c>
      <c r="D304" t="inlineStr">
        <is>
          <t>KALMAR LÄN</t>
        </is>
      </c>
      <c r="E304" t="inlineStr">
        <is>
          <t>VIMMERBY</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48380-2019</t>
        </is>
      </c>
      <c r="B305" s="1" t="n">
        <v>43726</v>
      </c>
      <c r="C305" s="1" t="n">
        <v>45338</v>
      </c>
      <c r="D305" t="inlineStr">
        <is>
          <t>KALMAR LÄN</t>
        </is>
      </c>
      <c r="E305" t="inlineStr">
        <is>
          <t>VIMMERBY</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48834-2019</t>
        </is>
      </c>
      <c r="B306" s="1" t="n">
        <v>43728</v>
      </c>
      <c r="C306" s="1" t="n">
        <v>45338</v>
      </c>
      <c r="D306" t="inlineStr">
        <is>
          <t>KALMAR LÄN</t>
        </is>
      </c>
      <c r="E306" t="inlineStr">
        <is>
          <t>VIMMERBY</t>
        </is>
      </c>
      <c r="G306" t="n">
        <v>5.3</v>
      </c>
      <c r="H306" t="n">
        <v>0</v>
      </c>
      <c r="I306" t="n">
        <v>0</v>
      </c>
      <c r="J306" t="n">
        <v>0</v>
      </c>
      <c r="K306" t="n">
        <v>0</v>
      </c>
      <c r="L306" t="n">
        <v>0</v>
      </c>
      <c r="M306" t="n">
        <v>0</v>
      </c>
      <c r="N306" t="n">
        <v>0</v>
      </c>
      <c r="O306" t="n">
        <v>0</v>
      </c>
      <c r="P306" t="n">
        <v>0</v>
      </c>
      <c r="Q306" t="n">
        <v>0</v>
      </c>
      <c r="R306" s="2" t="inlineStr"/>
    </row>
    <row r="307" ht="15" customHeight="1">
      <c r="A307" t="inlineStr">
        <is>
          <t>A 48921-2019</t>
        </is>
      </c>
      <c r="B307" s="1" t="n">
        <v>43728</v>
      </c>
      <c r="C307" s="1" t="n">
        <v>45338</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49212-2019</t>
        </is>
      </c>
      <c r="B308" s="1" t="n">
        <v>43731</v>
      </c>
      <c r="C308" s="1" t="n">
        <v>45338</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49208-2019</t>
        </is>
      </c>
      <c r="B309" s="1" t="n">
        <v>43731</v>
      </c>
      <c r="C309" s="1" t="n">
        <v>45338</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49206-2019</t>
        </is>
      </c>
      <c r="B310" s="1" t="n">
        <v>43731</v>
      </c>
      <c r="C310" s="1" t="n">
        <v>45338</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49741-2019</t>
        </is>
      </c>
      <c r="B311" s="1" t="n">
        <v>43733</v>
      </c>
      <c r="C311" s="1" t="n">
        <v>45338</v>
      </c>
      <c r="D311" t="inlineStr">
        <is>
          <t>KALMAR LÄN</t>
        </is>
      </c>
      <c r="E311" t="inlineStr">
        <is>
          <t>VIMMERBY</t>
        </is>
      </c>
      <c r="G311" t="n">
        <v>2.2</v>
      </c>
      <c r="H311" t="n">
        <v>0</v>
      </c>
      <c r="I311" t="n">
        <v>0</v>
      </c>
      <c r="J311" t="n">
        <v>0</v>
      </c>
      <c r="K311" t="n">
        <v>0</v>
      </c>
      <c r="L311" t="n">
        <v>0</v>
      </c>
      <c r="M311" t="n">
        <v>0</v>
      </c>
      <c r="N311" t="n">
        <v>0</v>
      </c>
      <c r="O311" t="n">
        <v>0</v>
      </c>
      <c r="P311" t="n">
        <v>0</v>
      </c>
      <c r="Q311" t="n">
        <v>0</v>
      </c>
      <c r="R311" s="2" t="inlineStr"/>
    </row>
    <row r="312" ht="15" customHeight="1">
      <c r="A312" t="inlineStr">
        <is>
          <t>A 49760-2019</t>
        </is>
      </c>
      <c r="B312" s="1" t="n">
        <v>43733</v>
      </c>
      <c r="C312" s="1" t="n">
        <v>45338</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49747-2019</t>
        </is>
      </c>
      <c r="B313" s="1" t="n">
        <v>43733</v>
      </c>
      <c r="C313" s="1" t="n">
        <v>45338</v>
      </c>
      <c r="D313" t="inlineStr">
        <is>
          <t>KALMAR LÄN</t>
        </is>
      </c>
      <c r="E313" t="inlineStr">
        <is>
          <t>VIMMERBY</t>
        </is>
      </c>
      <c r="G313" t="n">
        <v>4.9</v>
      </c>
      <c r="H313" t="n">
        <v>0</v>
      </c>
      <c r="I313" t="n">
        <v>0</v>
      </c>
      <c r="J313" t="n">
        <v>0</v>
      </c>
      <c r="K313" t="n">
        <v>0</v>
      </c>
      <c r="L313" t="n">
        <v>0</v>
      </c>
      <c r="M313" t="n">
        <v>0</v>
      </c>
      <c r="N313" t="n">
        <v>0</v>
      </c>
      <c r="O313" t="n">
        <v>0</v>
      </c>
      <c r="P313" t="n">
        <v>0</v>
      </c>
      <c r="Q313" t="n">
        <v>0</v>
      </c>
      <c r="R313" s="2" t="inlineStr"/>
    </row>
    <row r="314" ht="15" customHeight="1">
      <c r="A314" t="inlineStr">
        <is>
          <t>A 49855-2019</t>
        </is>
      </c>
      <c r="B314" s="1" t="n">
        <v>43733</v>
      </c>
      <c r="C314" s="1" t="n">
        <v>45338</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49871-2019</t>
        </is>
      </c>
      <c r="B315" s="1" t="n">
        <v>43733</v>
      </c>
      <c r="C315" s="1" t="n">
        <v>45338</v>
      </c>
      <c r="D315" t="inlineStr">
        <is>
          <t>KALMAR LÄN</t>
        </is>
      </c>
      <c r="E315" t="inlineStr">
        <is>
          <t>VIMMERBY</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49880-2019</t>
        </is>
      </c>
      <c r="B316" s="1" t="n">
        <v>43733</v>
      </c>
      <c r="C316" s="1" t="n">
        <v>45338</v>
      </c>
      <c r="D316" t="inlineStr">
        <is>
          <t>KALMAR LÄN</t>
        </is>
      </c>
      <c r="E316" t="inlineStr">
        <is>
          <t>VIMMERBY</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49885-2019</t>
        </is>
      </c>
      <c r="B317" s="1" t="n">
        <v>43733</v>
      </c>
      <c r="C317" s="1" t="n">
        <v>45338</v>
      </c>
      <c r="D317" t="inlineStr">
        <is>
          <t>KALMAR LÄN</t>
        </is>
      </c>
      <c r="E317" t="inlineStr">
        <is>
          <t>VIMMERBY</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49901-2019</t>
        </is>
      </c>
      <c r="B318" s="1" t="n">
        <v>43733</v>
      </c>
      <c r="C318" s="1" t="n">
        <v>45338</v>
      </c>
      <c r="D318" t="inlineStr">
        <is>
          <t>KALMAR LÄN</t>
        </is>
      </c>
      <c r="E318" t="inlineStr">
        <is>
          <t>VIMMERBY</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49891-2019</t>
        </is>
      </c>
      <c r="B319" s="1" t="n">
        <v>43733</v>
      </c>
      <c r="C319" s="1" t="n">
        <v>45338</v>
      </c>
      <c r="D319" t="inlineStr">
        <is>
          <t>KALMAR LÄN</t>
        </is>
      </c>
      <c r="E319" t="inlineStr">
        <is>
          <t>VIMMERBY</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49695-2019</t>
        </is>
      </c>
      <c r="B320" s="1" t="n">
        <v>43733</v>
      </c>
      <c r="C320" s="1" t="n">
        <v>45338</v>
      </c>
      <c r="D320" t="inlineStr">
        <is>
          <t>KALMAR LÄN</t>
        </is>
      </c>
      <c r="E320" t="inlineStr">
        <is>
          <t>VIMMERBY</t>
        </is>
      </c>
      <c r="G320" t="n">
        <v>4.6</v>
      </c>
      <c r="H320" t="n">
        <v>0</v>
      </c>
      <c r="I320" t="n">
        <v>0</v>
      </c>
      <c r="J320" t="n">
        <v>0</v>
      </c>
      <c r="K320" t="n">
        <v>0</v>
      </c>
      <c r="L320" t="n">
        <v>0</v>
      </c>
      <c r="M320" t="n">
        <v>0</v>
      </c>
      <c r="N320" t="n">
        <v>0</v>
      </c>
      <c r="O320" t="n">
        <v>0</v>
      </c>
      <c r="P320" t="n">
        <v>0</v>
      </c>
      <c r="Q320" t="n">
        <v>0</v>
      </c>
      <c r="R320" s="2" t="inlineStr"/>
    </row>
    <row r="321" ht="15" customHeight="1">
      <c r="A321" t="inlineStr">
        <is>
          <t>A 50214-2019</t>
        </is>
      </c>
      <c r="B321" s="1" t="n">
        <v>43734</v>
      </c>
      <c r="C321" s="1" t="n">
        <v>45338</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50317-2019</t>
        </is>
      </c>
      <c r="B322" s="1" t="n">
        <v>43735</v>
      </c>
      <c r="C322" s="1" t="n">
        <v>45338</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50761-2019</t>
        </is>
      </c>
      <c r="B323" s="1" t="n">
        <v>43738</v>
      </c>
      <c r="C323" s="1" t="n">
        <v>45338</v>
      </c>
      <c r="D323" t="inlineStr">
        <is>
          <t>KALMAR LÄN</t>
        </is>
      </c>
      <c r="E323" t="inlineStr">
        <is>
          <t>VIMMERBY</t>
        </is>
      </c>
      <c r="G323" t="n">
        <v>3.9</v>
      </c>
      <c r="H323" t="n">
        <v>0</v>
      </c>
      <c r="I323" t="n">
        <v>0</v>
      </c>
      <c r="J323" t="n">
        <v>0</v>
      </c>
      <c r="K323" t="n">
        <v>0</v>
      </c>
      <c r="L323" t="n">
        <v>0</v>
      </c>
      <c r="M323" t="n">
        <v>0</v>
      </c>
      <c r="N323" t="n">
        <v>0</v>
      </c>
      <c r="O323" t="n">
        <v>0</v>
      </c>
      <c r="P323" t="n">
        <v>0</v>
      </c>
      <c r="Q323" t="n">
        <v>0</v>
      </c>
      <c r="R323" s="2" t="inlineStr"/>
    </row>
    <row r="324" ht="15" customHeight="1">
      <c r="A324" t="inlineStr">
        <is>
          <t>A 51273-2019</t>
        </is>
      </c>
      <c r="B324" s="1" t="n">
        <v>43739</v>
      </c>
      <c r="C324" s="1" t="n">
        <v>45338</v>
      </c>
      <c r="D324" t="inlineStr">
        <is>
          <t>KALMAR LÄN</t>
        </is>
      </c>
      <c r="E324" t="inlineStr">
        <is>
          <t>VIMMERBY</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51277-2019</t>
        </is>
      </c>
      <c r="B325" s="1" t="n">
        <v>43739</v>
      </c>
      <c r="C325" s="1" t="n">
        <v>45338</v>
      </c>
      <c r="D325" t="inlineStr">
        <is>
          <t>KALMAR LÄN</t>
        </is>
      </c>
      <c r="E325" t="inlineStr">
        <is>
          <t>VIMMERBY</t>
        </is>
      </c>
      <c r="F325" t="inlineStr">
        <is>
          <t>Sveaskog</t>
        </is>
      </c>
      <c r="G325" t="n">
        <v>7.9</v>
      </c>
      <c r="H325" t="n">
        <v>0</v>
      </c>
      <c r="I325" t="n">
        <v>0</v>
      </c>
      <c r="J325" t="n">
        <v>0</v>
      </c>
      <c r="K325" t="n">
        <v>0</v>
      </c>
      <c r="L325" t="n">
        <v>0</v>
      </c>
      <c r="M325" t="n">
        <v>0</v>
      </c>
      <c r="N325" t="n">
        <v>0</v>
      </c>
      <c r="O325" t="n">
        <v>0</v>
      </c>
      <c r="P325" t="n">
        <v>0</v>
      </c>
      <c r="Q325" t="n">
        <v>0</v>
      </c>
      <c r="R325" s="2" t="inlineStr"/>
    </row>
    <row r="326" ht="15" customHeight="1">
      <c r="A326" t="inlineStr">
        <is>
          <t>A 51362-2019</t>
        </is>
      </c>
      <c r="B326" s="1" t="n">
        <v>43740</v>
      </c>
      <c r="C326" s="1" t="n">
        <v>45338</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51552-2019</t>
        </is>
      </c>
      <c r="B327" s="1" t="n">
        <v>43740</v>
      </c>
      <c r="C327" s="1" t="n">
        <v>45338</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51719-2019</t>
        </is>
      </c>
      <c r="B328" s="1" t="n">
        <v>43741</v>
      </c>
      <c r="C328" s="1" t="n">
        <v>45338</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52173-2019</t>
        </is>
      </c>
      <c r="B329" s="1" t="n">
        <v>43742</v>
      </c>
      <c r="C329" s="1" t="n">
        <v>45338</v>
      </c>
      <c r="D329" t="inlineStr">
        <is>
          <t>KALMAR LÄN</t>
        </is>
      </c>
      <c r="E329" t="inlineStr">
        <is>
          <t>VIMMERBY</t>
        </is>
      </c>
      <c r="G329" t="n">
        <v>3.9</v>
      </c>
      <c r="H329" t="n">
        <v>0</v>
      </c>
      <c r="I329" t="n">
        <v>0</v>
      </c>
      <c r="J329" t="n">
        <v>0</v>
      </c>
      <c r="K329" t="n">
        <v>0</v>
      </c>
      <c r="L329" t="n">
        <v>0</v>
      </c>
      <c r="M329" t="n">
        <v>0</v>
      </c>
      <c r="N329" t="n">
        <v>0</v>
      </c>
      <c r="O329" t="n">
        <v>0</v>
      </c>
      <c r="P329" t="n">
        <v>0</v>
      </c>
      <c r="Q329" t="n">
        <v>0</v>
      </c>
      <c r="R329" s="2" t="inlineStr"/>
    </row>
    <row r="330" ht="15" customHeight="1">
      <c r="A330" t="inlineStr">
        <is>
          <t>A 52356-2019</t>
        </is>
      </c>
      <c r="B330" s="1" t="n">
        <v>43745</v>
      </c>
      <c r="C330" s="1" t="n">
        <v>45338</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52909-2019</t>
        </is>
      </c>
      <c r="B331" s="1" t="n">
        <v>43746</v>
      </c>
      <c r="C331" s="1" t="n">
        <v>45338</v>
      </c>
      <c r="D331" t="inlineStr">
        <is>
          <t>KALMAR LÄN</t>
        </is>
      </c>
      <c r="E331" t="inlineStr">
        <is>
          <t>VIMMERBY</t>
        </is>
      </c>
      <c r="G331" t="n">
        <v>5.8</v>
      </c>
      <c r="H331" t="n">
        <v>0</v>
      </c>
      <c r="I331" t="n">
        <v>0</v>
      </c>
      <c r="J331" t="n">
        <v>0</v>
      </c>
      <c r="K331" t="n">
        <v>0</v>
      </c>
      <c r="L331" t="n">
        <v>0</v>
      </c>
      <c r="M331" t="n">
        <v>0</v>
      </c>
      <c r="N331" t="n">
        <v>0</v>
      </c>
      <c r="O331" t="n">
        <v>0</v>
      </c>
      <c r="P331" t="n">
        <v>0</v>
      </c>
      <c r="Q331" t="n">
        <v>0</v>
      </c>
      <c r="R331" s="2" t="inlineStr"/>
    </row>
    <row r="332" ht="15" customHeight="1">
      <c r="A332" t="inlineStr">
        <is>
          <t>A 52908-2019</t>
        </is>
      </c>
      <c r="B332" s="1" t="n">
        <v>43746</v>
      </c>
      <c r="C332" s="1" t="n">
        <v>45338</v>
      </c>
      <c r="D332" t="inlineStr">
        <is>
          <t>KALMAR LÄN</t>
        </is>
      </c>
      <c r="E332" t="inlineStr">
        <is>
          <t>VIMMERBY</t>
        </is>
      </c>
      <c r="G332" t="n">
        <v>5.8</v>
      </c>
      <c r="H332" t="n">
        <v>0</v>
      </c>
      <c r="I332" t="n">
        <v>0</v>
      </c>
      <c r="J332" t="n">
        <v>0</v>
      </c>
      <c r="K332" t="n">
        <v>0</v>
      </c>
      <c r="L332" t="n">
        <v>0</v>
      </c>
      <c r="M332" t="n">
        <v>0</v>
      </c>
      <c r="N332" t="n">
        <v>0</v>
      </c>
      <c r="O332" t="n">
        <v>0</v>
      </c>
      <c r="P332" t="n">
        <v>0</v>
      </c>
      <c r="Q332" t="n">
        <v>0</v>
      </c>
      <c r="R332" s="2" t="inlineStr"/>
    </row>
    <row r="333" ht="15" customHeight="1">
      <c r="A333" t="inlineStr">
        <is>
          <t>A 52780-2019</t>
        </is>
      </c>
      <c r="B333" s="1" t="n">
        <v>43746</v>
      </c>
      <c r="C333" s="1" t="n">
        <v>45338</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53691-2019</t>
        </is>
      </c>
      <c r="B334" s="1" t="n">
        <v>43749</v>
      </c>
      <c r="C334" s="1" t="n">
        <v>45338</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54593-2019</t>
        </is>
      </c>
      <c r="B335" s="1" t="n">
        <v>43754</v>
      </c>
      <c r="C335" s="1" t="n">
        <v>45338</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54794-2019</t>
        </is>
      </c>
      <c r="B336" s="1" t="n">
        <v>43755</v>
      </c>
      <c r="C336" s="1" t="n">
        <v>45338</v>
      </c>
      <c r="D336" t="inlineStr">
        <is>
          <t>KALMAR LÄN</t>
        </is>
      </c>
      <c r="E336" t="inlineStr">
        <is>
          <t>VIMMERBY</t>
        </is>
      </c>
      <c r="G336" t="n">
        <v>3.2</v>
      </c>
      <c r="H336" t="n">
        <v>0</v>
      </c>
      <c r="I336" t="n">
        <v>0</v>
      </c>
      <c r="J336" t="n">
        <v>0</v>
      </c>
      <c r="K336" t="n">
        <v>0</v>
      </c>
      <c r="L336" t="n">
        <v>0</v>
      </c>
      <c r="M336" t="n">
        <v>0</v>
      </c>
      <c r="N336" t="n">
        <v>0</v>
      </c>
      <c r="O336" t="n">
        <v>0</v>
      </c>
      <c r="P336" t="n">
        <v>0</v>
      </c>
      <c r="Q336" t="n">
        <v>0</v>
      </c>
      <c r="R336" s="2" t="inlineStr"/>
    </row>
    <row r="337" ht="15" customHeight="1">
      <c r="A337" t="inlineStr">
        <is>
          <t>A 55757-2019</t>
        </is>
      </c>
      <c r="B337" s="1" t="n">
        <v>43759</v>
      </c>
      <c r="C337" s="1" t="n">
        <v>45338</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57998-2019</t>
        </is>
      </c>
      <c r="B338" s="1" t="n">
        <v>43762</v>
      </c>
      <c r="C338" s="1" t="n">
        <v>45338</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57509-2019</t>
        </is>
      </c>
      <c r="B339" s="1" t="n">
        <v>43767</v>
      </c>
      <c r="C339" s="1" t="n">
        <v>45338</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57886-2019</t>
        </is>
      </c>
      <c r="B340" s="1" t="n">
        <v>43768</v>
      </c>
      <c r="C340" s="1" t="n">
        <v>45338</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59256-2019</t>
        </is>
      </c>
      <c r="B341" s="1" t="n">
        <v>43773</v>
      </c>
      <c r="C341" s="1" t="n">
        <v>45338</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58812-2019</t>
        </is>
      </c>
      <c r="B342" s="1" t="n">
        <v>43774</v>
      </c>
      <c r="C342" s="1" t="n">
        <v>45338</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60253-2019</t>
        </is>
      </c>
      <c r="B343" s="1" t="n">
        <v>43780</v>
      </c>
      <c r="C343" s="1" t="n">
        <v>45338</v>
      </c>
      <c r="D343" t="inlineStr">
        <is>
          <t>KALMAR LÄN</t>
        </is>
      </c>
      <c r="E343" t="inlineStr">
        <is>
          <t>VIMMERBY</t>
        </is>
      </c>
      <c r="G343" t="n">
        <v>4.4</v>
      </c>
      <c r="H343" t="n">
        <v>0</v>
      </c>
      <c r="I343" t="n">
        <v>0</v>
      </c>
      <c r="J343" t="n">
        <v>0</v>
      </c>
      <c r="K343" t="n">
        <v>0</v>
      </c>
      <c r="L343" t="n">
        <v>0</v>
      </c>
      <c r="M343" t="n">
        <v>0</v>
      </c>
      <c r="N343" t="n">
        <v>0</v>
      </c>
      <c r="O343" t="n">
        <v>0</v>
      </c>
      <c r="P343" t="n">
        <v>0</v>
      </c>
      <c r="Q343" t="n">
        <v>0</v>
      </c>
      <c r="R343" s="2" t="inlineStr"/>
    </row>
    <row r="344" ht="15" customHeight="1">
      <c r="A344" t="inlineStr">
        <is>
          <t>A 60673-2019</t>
        </is>
      </c>
      <c r="B344" s="1" t="n">
        <v>43781</v>
      </c>
      <c r="C344" s="1" t="n">
        <v>45338</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60802-2019</t>
        </is>
      </c>
      <c r="B345" s="1" t="n">
        <v>43781</v>
      </c>
      <c r="C345" s="1" t="n">
        <v>45338</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61049-2019</t>
        </is>
      </c>
      <c r="B346" s="1" t="n">
        <v>43782</v>
      </c>
      <c r="C346" s="1" t="n">
        <v>45338</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63362-2019</t>
        </is>
      </c>
      <c r="B347" s="1" t="n">
        <v>43787</v>
      </c>
      <c r="C347" s="1" t="n">
        <v>45338</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62625-2019</t>
        </is>
      </c>
      <c r="B348" s="1" t="n">
        <v>43789</v>
      </c>
      <c r="C348" s="1" t="n">
        <v>45338</v>
      </c>
      <c r="D348" t="inlineStr">
        <is>
          <t>KALMAR LÄN</t>
        </is>
      </c>
      <c r="E348" t="inlineStr">
        <is>
          <t>VIMMERBY</t>
        </is>
      </c>
      <c r="F348" t="inlineStr">
        <is>
          <t>Övriga Aktiebolag</t>
        </is>
      </c>
      <c r="G348" t="n">
        <v>8.1</v>
      </c>
      <c r="H348" t="n">
        <v>0</v>
      </c>
      <c r="I348" t="n">
        <v>0</v>
      </c>
      <c r="J348" t="n">
        <v>0</v>
      </c>
      <c r="K348" t="n">
        <v>0</v>
      </c>
      <c r="L348" t="n">
        <v>0</v>
      </c>
      <c r="M348" t="n">
        <v>0</v>
      </c>
      <c r="N348" t="n">
        <v>0</v>
      </c>
      <c r="O348" t="n">
        <v>0</v>
      </c>
      <c r="P348" t="n">
        <v>0</v>
      </c>
      <c r="Q348" t="n">
        <v>0</v>
      </c>
      <c r="R348" s="2" t="inlineStr"/>
    </row>
    <row r="349" ht="15" customHeight="1">
      <c r="A349" t="inlineStr">
        <is>
          <t>A 63029-2019</t>
        </is>
      </c>
      <c r="B349" s="1" t="n">
        <v>43791</v>
      </c>
      <c r="C349" s="1" t="n">
        <v>45338</v>
      </c>
      <c r="D349" t="inlineStr">
        <is>
          <t>KALMAR LÄN</t>
        </is>
      </c>
      <c r="E349" t="inlineStr">
        <is>
          <t>VIMMERBY</t>
        </is>
      </c>
      <c r="F349" t="inlineStr">
        <is>
          <t>Kyrkan</t>
        </is>
      </c>
      <c r="G349" t="n">
        <v>3.1</v>
      </c>
      <c r="H349" t="n">
        <v>0</v>
      </c>
      <c r="I349" t="n">
        <v>0</v>
      </c>
      <c r="J349" t="n">
        <v>0</v>
      </c>
      <c r="K349" t="n">
        <v>0</v>
      </c>
      <c r="L349" t="n">
        <v>0</v>
      </c>
      <c r="M349" t="n">
        <v>0</v>
      </c>
      <c r="N349" t="n">
        <v>0</v>
      </c>
      <c r="O349" t="n">
        <v>0</v>
      </c>
      <c r="P349" t="n">
        <v>0</v>
      </c>
      <c r="Q349" t="n">
        <v>0</v>
      </c>
      <c r="R349" s="2" t="inlineStr"/>
    </row>
    <row r="350" ht="15" customHeight="1">
      <c r="A350" t="inlineStr">
        <is>
          <t>A 63746-2019</t>
        </is>
      </c>
      <c r="B350" s="1" t="n">
        <v>43795</v>
      </c>
      <c r="C350" s="1" t="n">
        <v>45338</v>
      </c>
      <c r="D350" t="inlineStr">
        <is>
          <t>KALMAR LÄN</t>
        </is>
      </c>
      <c r="E350" t="inlineStr">
        <is>
          <t>VIMMERBY</t>
        </is>
      </c>
      <c r="G350" t="n">
        <v>4.5</v>
      </c>
      <c r="H350" t="n">
        <v>0</v>
      </c>
      <c r="I350" t="n">
        <v>0</v>
      </c>
      <c r="J350" t="n">
        <v>0</v>
      </c>
      <c r="K350" t="n">
        <v>0</v>
      </c>
      <c r="L350" t="n">
        <v>0</v>
      </c>
      <c r="M350" t="n">
        <v>0</v>
      </c>
      <c r="N350" t="n">
        <v>0</v>
      </c>
      <c r="O350" t="n">
        <v>0</v>
      </c>
      <c r="P350" t="n">
        <v>0</v>
      </c>
      <c r="Q350" t="n">
        <v>0</v>
      </c>
      <c r="R350" s="2" t="inlineStr"/>
    </row>
    <row r="351" ht="15" customHeight="1">
      <c r="A351" t="inlineStr">
        <is>
          <t>A 64119-2019</t>
        </is>
      </c>
      <c r="B351" s="1" t="n">
        <v>43796</v>
      </c>
      <c r="C351" s="1" t="n">
        <v>45338</v>
      </c>
      <c r="D351" t="inlineStr">
        <is>
          <t>KALMAR LÄN</t>
        </is>
      </c>
      <c r="E351" t="inlineStr">
        <is>
          <t>VIMMERBY</t>
        </is>
      </c>
      <c r="G351" t="n">
        <v>4.6</v>
      </c>
      <c r="H351" t="n">
        <v>0</v>
      </c>
      <c r="I351" t="n">
        <v>0</v>
      </c>
      <c r="J351" t="n">
        <v>0</v>
      </c>
      <c r="K351" t="n">
        <v>0</v>
      </c>
      <c r="L351" t="n">
        <v>0</v>
      </c>
      <c r="M351" t="n">
        <v>0</v>
      </c>
      <c r="N351" t="n">
        <v>0</v>
      </c>
      <c r="O351" t="n">
        <v>0</v>
      </c>
      <c r="P351" t="n">
        <v>0</v>
      </c>
      <c r="Q351" t="n">
        <v>0</v>
      </c>
      <c r="R351" s="2" t="inlineStr"/>
    </row>
    <row r="352" ht="15" customHeight="1">
      <c r="A352" t="inlineStr">
        <is>
          <t>A 64345-2019</t>
        </is>
      </c>
      <c r="B352" s="1" t="n">
        <v>43797</v>
      </c>
      <c r="C352" s="1" t="n">
        <v>45338</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64334-2019</t>
        </is>
      </c>
      <c r="B353" s="1" t="n">
        <v>43797</v>
      </c>
      <c r="C353" s="1" t="n">
        <v>45338</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65267-2019</t>
        </is>
      </c>
      <c r="B354" s="1" t="n">
        <v>43802</v>
      </c>
      <c r="C354" s="1" t="n">
        <v>45338</v>
      </c>
      <c r="D354" t="inlineStr">
        <is>
          <t>KALMAR LÄN</t>
        </is>
      </c>
      <c r="E354" t="inlineStr">
        <is>
          <t>VIMMERBY</t>
        </is>
      </c>
      <c r="F354" t="inlineStr">
        <is>
          <t>Kommuner</t>
        </is>
      </c>
      <c r="G354" t="n">
        <v>0.5</v>
      </c>
      <c r="H354" t="n">
        <v>0</v>
      </c>
      <c r="I354" t="n">
        <v>0</v>
      </c>
      <c r="J354" t="n">
        <v>0</v>
      </c>
      <c r="K354" t="n">
        <v>0</v>
      </c>
      <c r="L354" t="n">
        <v>0</v>
      </c>
      <c r="M354" t="n">
        <v>0</v>
      </c>
      <c r="N354" t="n">
        <v>0</v>
      </c>
      <c r="O354" t="n">
        <v>0</v>
      </c>
      <c r="P354" t="n">
        <v>0</v>
      </c>
      <c r="Q354" t="n">
        <v>0</v>
      </c>
      <c r="R354" s="2" t="inlineStr"/>
    </row>
    <row r="355" ht="15" customHeight="1">
      <c r="A355" t="inlineStr">
        <is>
          <t>A 66169-2019</t>
        </is>
      </c>
      <c r="B355" s="1" t="n">
        <v>43808</v>
      </c>
      <c r="C355" s="1" t="n">
        <v>45338</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66172-2019</t>
        </is>
      </c>
      <c r="B356" s="1" t="n">
        <v>43808</v>
      </c>
      <c r="C356" s="1" t="n">
        <v>45338</v>
      </c>
      <c r="D356" t="inlineStr">
        <is>
          <t>KALMAR LÄN</t>
        </is>
      </c>
      <c r="E356" t="inlineStr">
        <is>
          <t>VIMMERBY</t>
        </is>
      </c>
      <c r="G356" t="n">
        <v>3.6</v>
      </c>
      <c r="H356" t="n">
        <v>0</v>
      </c>
      <c r="I356" t="n">
        <v>0</v>
      </c>
      <c r="J356" t="n">
        <v>0</v>
      </c>
      <c r="K356" t="n">
        <v>0</v>
      </c>
      <c r="L356" t="n">
        <v>0</v>
      </c>
      <c r="M356" t="n">
        <v>0</v>
      </c>
      <c r="N356" t="n">
        <v>0</v>
      </c>
      <c r="O356" t="n">
        <v>0</v>
      </c>
      <c r="P356" t="n">
        <v>0</v>
      </c>
      <c r="Q356" t="n">
        <v>0</v>
      </c>
      <c r="R356" s="2" t="inlineStr"/>
    </row>
    <row r="357" ht="15" customHeight="1">
      <c r="A357" t="inlineStr">
        <is>
          <t>A 66151-2019</t>
        </is>
      </c>
      <c r="B357" s="1" t="n">
        <v>43808</v>
      </c>
      <c r="C357" s="1" t="n">
        <v>45338</v>
      </c>
      <c r="D357" t="inlineStr">
        <is>
          <t>KALMAR LÄN</t>
        </is>
      </c>
      <c r="E357" t="inlineStr">
        <is>
          <t>VIMMERBY</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67293-2019</t>
        </is>
      </c>
      <c r="B358" s="1" t="n">
        <v>43812</v>
      </c>
      <c r="C358" s="1" t="n">
        <v>45338</v>
      </c>
      <c r="D358" t="inlineStr">
        <is>
          <t>KALMAR LÄN</t>
        </is>
      </c>
      <c r="E358" t="inlineStr">
        <is>
          <t>VIMMERBY</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67359-2019</t>
        </is>
      </c>
      <c r="B359" s="1" t="n">
        <v>43812</v>
      </c>
      <c r="C359" s="1" t="n">
        <v>45338</v>
      </c>
      <c r="D359" t="inlineStr">
        <is>
          <t>KALMAR LÄN</t>
        </is>
      </c>
      <c r="E359" t="inlineStr">
        <is>
          <t>VIMMERBY</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67346-2019</t>
        </is>
      </c>
      <c r="B360" s="1" t="n">
        <v>43812</v>
      </c>
      <c r="C360" s="1" t="n">
        <v>45338</v>
      </c>
      <c r="D360" t="inlineStr">
        <is>
          <t>KALMAR LÄN</t>
        </is>
      </c>
      <c r="E360" t="inlineStr">
        <is>
          <t>VIMMERBY</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447-2020</t>
        </is>
      </c>
      <c r="B361" s="1" t="n">
        <v>43837</v>
      </c>
      <c r="C361" s="1" t="n">
        <v>45338</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306-2020</t>
        </is>
      </c>
      <c r="B362" s="1" t="n">
        <v>43837</v>
      </c>
      <c r="C362" s="1" t="n">
        <v>45338</v>
      </c>
      <c r="D362" t="inlineStr">
        <is>
          <t>KALMAR LÄN</t>
        </is>
      </c>
      <c r="E362" t="inlineStr">
        <is>
          <t>VIMMERBY</t>
        </is>
      </c>
      <c r="G362" t="n">
        <v>9.9</v>
      </c>
      <c r="H362" t="n">
        <v>0</v>
      </c>
      <c r="I362" t="n">
        <v>0</v>
      </c>
      <c r="J362" t="n">
        <v>0</v>
      </c>
      <c r="K362" t="n">
        <v>0</v>
      </c>
      <c r="L362" t="n">
        <v>0</v>
      </c>
      <c r="M362" t="n">
        <v>0</v>
      </c>
      <c r="N362" t="n">
        <v>0</v>
      </c>
      <c r="O362" t="n">
        <v>0</v>
      </c>
      <c r="P362" t="n">
        <v>0</v>
      </c>
      <c r="Q362" t="n">
        <v>0</v>
      </c>
      <c r="R362" s="2" t="inlineStr"/>
    </row>
    <row r="363" ht="15" customHeight="1">
      <c r="A363" t="inlineStr">
        <is>
          <t>A 593-2020</t>
        </is>
      </c>
      <c r="B363" s="1" t="n">
        <v>43838</v>
      </c>
      <c r="C363" s="1" t="n">
        <v>45338</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2473-2020</t>
        </is>
      </c>
      <c r="B364" s="1" t="n">
        <v>43840</v>
      </c>
      <c r="C364" s="1" t="n">
        <v>45338</v>
      </c>
      <c r="D364" t="inlineStr">
        <is>
          <t>KALMAR LÄN</t>
        </is>
      </c>
      <c r="E364" t="inlineStr">
        <is>
          <t>VIMMERBY</t>
        </is>
      </c>
      <c r="G364" t="n">
        <v>4.5</v>
      </c>
      <c r="H364" t="n">
        <v>0</v>
      </c>
      <c r="I364" t="n">
        <v>0</v>
      </c>
      <c r="J364" t="n">
        <v>0</v>
      </c>
      <c r="K364" t="n">
        <v>0</v>
      </c>
      <c r="L364" t="n">
        <v>0</v>
      </c>
      <c r="M364" t="n">
        <v>0</v>
      </c>
      <c r="N364" t="n">
        <v>0</v>
      </c>
      <c r="O364" t="n">
        <v>0</v>
      </c>
      <c r="P364" t="n">
        <v>0</v>
      </c>
      <c r="Q364" t="n">
        <v>0</v>
      </c>
      <c r="R364" s="2" t="inlineStr"/>
    </row>
    <row r="365" ht="15" customHeight="1">
      <c r="A365" t="inlineStr">
        <is>
          <t>A 1967-2020</t>
        </is>
      </c>
      <c r="B365" s="1" t="n">
        <v>43845</v>
      </c>
      <c r="C365" s="1" t="n">
        <v>45338</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2070-2020</t>
        </is>
      </c>
      <c r="B366" s="1" t="n">
        <v>43845</v>
      </c>
      <c r="C366" s="1" t="n">
        <v>45338</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3434-2020</t>
        </is>
      </c>
      <c r="B367" s="1" t="n">
        <v>43845</v>
      </c>
      <c r="C367" s="1" t="n">
        <v>45338</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2756-2020</t>
        </is>
      </c>
      <c r="B368" s="1" t="n">
        <v>43850</v>
      </c>
      <c r="C368" s="1" t="n">
        <v>45338</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2856-2020</t>
        </is>
      </c>
      <c r="B369" s="1" t="n">
        <v>43850</v>
      </c>
      <c r="C369" s="1" t="n">
        <v>45338</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3211-2020</t>
        </is>
      </c>
      <c r="B370" s="1" t="n">
        <v>43851</v>
      </c>
      <c r="C370" s="1" t="n">
        <v>45338</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3414-2020</t>
        </is>
      </c>
      <c r="B371" s="1" t="n">
        <v>43852</v>
      </c>
      <c r="C371" s="1" t="n">
        <v>45338</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3672-2020</t>
        </is>
      </c>
      <c r="B372" s="1" t="n">
        <v>43853</v>
      </c>
      <c r="C372" s="1" t="n">
        <v>45338</v>
      </c>
      <c r="D372" t="inlineStr">
        <is>
          <t>KALMAR LÄN</t>
        </is>
      </c>
      <c r="E372" t="inlineStr">
        <is>
          <t>VIMMERBY</t>
        </is>
      </c>
      <c r="G372" t="n">
        <v>3.7</v>
      </c>
      <c r="H372" t="n">
        <v>0</v>
      </c>
      <c r="I372" t="n">
        <v>0</v>
      </c>
      <c r="J372" t="n">
        <v>0</v>
      </c>
      <c r="K372" t="n">
        <v>0</v>
      </c>
      <c r="L372" t="n">
        <v>0</v>
      </c>
      <c r="M372" t="n">
        <v>0</v>
      </c>
      <c r="N372" t="n">
        <v>0</v>
      </c>
      <c r="O372" t="n">
        <v>0</v>
      </c>
      <c r="P372" t="n">
        <v>0</v>
      </c>
      <c r="Q372" t="n">
        <v>0</v>
      </c>
      <c r="R372" s="2" t="inlineStr"/>
    </row>
    <row r="373" ht="15" customHeight="1">
      <c r="A373" t="inlineStr">
        <is>
          <t>A 5047-2020</t>
        </is>
      </c>
      <c r="B373" s="1" t="n">
        <v>43853</v>
      </c>
      <c r="C373" s="1" t="n">
        <v>45338</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5043-2020</t>
        </is>
      </c>
      <c r="B374" s="1" t="n">
        <v>43853</v>
      </c>
      <c r="C374" s="1" t="n">
        <v>45338</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4194-2020</t>
        </is>
      </c>
      <c r="B375" s="1" t="n">
        <v>43857</v>
      </c>
      <c r="C375" s="1" t="n">
        <v>45338</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5362-2020</t>
        </is>
      </c>
      <c r="B376" s="1" t="n">
        <v>43857</v>
      </c>
      <c r="C376" s="1" t="n">
        <v>45338</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4472-2020</t>
        </is>
      </c>
      <c r="B377" s="1" t="n">
        <v>43858</v>
      </c>
      <c r="C377" s="1" t="n">
        <v>45338</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5548-2020</t>
        </is>
      </c>
      <c r="B378" s="1" t="n">
        <v>43861</v>
      </c>
      <c r="C378" s="1" t="n">
        <v>45338</v>
      </c>
      <c r="D378" t="inlineStr">
        <is>
          <t>KALMAR LÄN</t>
        </is>
      </c>
      <c r="E378" t="inlineStr">
        <is>
          <t>VIMMERBY</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6042-2020</t>
        </is>
      </c>
      <c r="B379" s="1" t="n">
        <v>43865</v>
      </c>
      <c r="C379" s="1" t="n">
        <v>45338</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7870-2020</t>
        </is>
      </c>
      <c r="B380" s="1" t="n">
        <v>43873</v>
      </c>
      <c r="C380" s="1" t="n">
        <v>45338</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8691-2020</t>
        </is>
      </c>
      <c r="B381" s="1" t="n">
        <v>43878</v>
      </c>
      <c r="C381" s="1" t="n">
        <v>45338</v>
      </c>
      <c r="D381" t="inlineStr">
        <is>
          <t>KALMAR LÄN</t>
        </is>
      </c>
      <c r="E381" t="inlineStr">
        <is>
          <t>VIMMERBY</t>
        </is>
      </c>
      <c r="G381" t="n">
        <v>5.1</v>
      </c>
      <c r="H381" t="n">
        <v>0</v>
      </c>
      <c r="I381" t="n">
        <v>0</v>
      </c>
      <c r="J381" t="n">
        <v>0</v>
      </c>
      <c r="K381" t="n">
        <v>0</v>
      </c>
      <c r="L381" t="n">
        <v>0</v>
      </c>
      <c r="M381" t="n">
        <v>0</v>
      </c>
      <c r="N381" t="n">
        <v>0</v>
      </c>
      <c r="O381" t="n">
        <v>0</v>
      </c>
      <c r="P381" t="n">
        <v>0</v>
      </c>
      <c r="Q381" t="n">
        <v>0</v>
      </c>
      <c r="R381" s="2" t="inlineStr"/>
    </row>
    <row r="382" ht="15" customHeight="1">
      <c r="A382" t="inlineStr">
        <is>
          <t>A 9151-2020</t>
        </is>
      </c>
      <c r="B382" s="1" t="n">
        <v>43879</v>
      </c>
      <c r="C382" s="1" t="n">
        <v>45338</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9382-2020</t>
        </is>
      </c>
      <c r="B383" s="1" t="n">
        <v>43880</v>
      </c>
      <c r="C383" s="1" t="n">
        <v>45338</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9718-2020</t>
        </is>
      </c>
      <c r="B384" s="1" t="n">
        <v>43881</v>
      </c>
      <c r="C384" s="1" t="n">
        <v>45338</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10474-2020</t>
        </is>
      </c>
      <c r="B385" s="1" t="n">
        <v>43887</v>
      </c>
      <c r="C385" s="1" t="n">
        <v>45338</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10484-2020</t>
        </is>
      </c>
      <c r="B386" s="1" t="n">
        <v>43887</v>
      </c>
      <c r="C386" s="1" t="n">
        <v>45338</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10923-2020</t>
        </is>
      </c>
      <c r="B387" s="1" t="n">
        <v>43889</v>
      </c>
      <c r="C387" s="1" t="n">
        <v>45338</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11243-2020</t>
        </is>
      </c>
      <c r="B388" s="1" t="n">
        <v>43892</v>
      </c>
      <c r="C388" s="1" t="n">
        <v>45338</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12823-2020</t>
        </is>
      </c>
      <c r="B389" s="1" t="n">
        <v>43899</v>
      </c>
      <c r="C389" s="1" t="n">
        <v>45338</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13496-2020</t>
        </is>
      </c>
      <c r="B390" s="1" t="n">
        <v>43900</v>
      </c>
      <c r="C390" s="1" t="n">
        <v>45338</v>
      </c>
      <c r="D390" t="inlineStr">
        <is>
          <t>KALMAR LÄN</t>
        </is>
      </c>
      <c r="E390" t="inlineStr">
        <is>
          <t>VIMMERBY</t>
        </is>
      </c>
      <c r="G390" t="n">
        <v>2.8</v>
      </c>
      <c r="H390" t="n">
        <v>0</v>
      </c>
      <c r="I390" t="n">
        <v>0</v>
      </c>
      <c r="J390" t="n">
        <v>0</v>
      </c>
      <c r="K390" t="n">
        <v>0</v>
      </c>
      <c r="L390" t="n">
        <v>0</v>
      </c>
      <c r="M390" t="n">
        <v>0</v>
      </c>
      <c r="N390" t="n">
        <v>0</v>
      </c>
      <c r="O390" t="n">
        <v>0</v>
      </c>
      <c r="P390" t="n">
        <v>0</v>
      </c>
      <c r="Q390" t="n">
        <v>0</v>
      </c>
      <c r="R390" s="2" t="inlineStr"/>
    </row>
    <row r="391" ht="15" customHeight="1">
      <c r="A391" t="inlineStr">
        <is>
          <t>A 14410-2020</t>
        </is>
      </c>
      <c r="B391" s="1" t="n">
        <v>43902</v>
      </c>
      <c r="C391" s="1" t="n">
        <v>45338</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13606-2020</t>
        </is>
      </c>
      <c r="B392" s="1" t="n">
        <v>43903</v>
      </c>
      <c r="C392" s="1" t="n">
        <v>45338</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14022-2020</t>
        </is>
      </c>
      <c r="B393" s="1" t="n">
        <v>43906</v>
      </c>
      <c r="C393" s="1" t="n">
        <v>45338</v>
      </c>
      <c r="D393" t="inlineStr">
        <is>
          <t>KALMAR LÄN</t>
        </is>
      </c>
      <c r="E393" t="inlineStr">
        <is>
          <t>VIMMERBY</t>
        </is>
      </c>
      <c r="F393" t="inlineStr">
        <is>
          <t>Kommuner</t>
        </is>
      </c>
      <c r="G393" t="n">
        <v>2</v>
      </c>
      <c r="H393" t="n">
        <v>0</v>
      </c>
      <c r="I393" t="n">
        <v>0</v>
      </c>
      <c r="J393" t="n">
        <v>0</v>
      </c>
      <c r="K393" t="n">
        <v>0</v>
      </c>
      <c r="L393" t="n">
        <v>0</v>
      </c>
      <c r="M393" t="n">
        <v>0</v>
      </c>
      <c r="N393" t="n">
        <v>0</v>
      </c>
      <c r="O393" t="n">
        <v>0</v>
      </c>
      <c r="P393" t="n">
        <v>0</v>
      </c>
      <c r="Q393" t="n">
        <v>0</v>
      </c>
      <c r="R393" s="2" t="inlineStr"/>
    </row>
    <row r="394" ht="15" customHeight="1">
      <c r="A394" t="inlineStr">
        <is>
          <t>A 16222-2020</t>
        </is>
      </c>
      <c r="B394" s="1" t="n">
        <v>43917</v>
      </c>
      <c r="C394" s="1" t="n">
        <v>45338</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18676-2020</t>
        </is>
      </c>
      <c r="B395" s="1" t="n">
        <v>43930</v>
      </c>
      <c r="C395" s="1" t="n">
        <v>45338</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18855-2020</t>
        </is>
      </c>
      <c r="B396" s="1" t="n">
        <v>43930</v>
      </c>
      <c r="C396" s="1" t="n">
        <v>45338</v>
      </c>
      <c r="D396" t="inlineStr">
        <is>
          <t>KALMAR LÄN</t>
        </is>
      </c>
      <c r="E396" t="inlineStr">
        <is>
          <t>VIMMERBY</t>
        </is>
      </c>
      <c r="G396" t="n">
        <v>2.9</v>
      </c>
      <c r="H396" t="n">
        <v>0</v>
      </c>
      <c r="I396" t="n">
        <v>0</v>
      </c>
      <c r="J396" t="n">
        <v>0</v>
      </c>
      <c r="K396" t="n">
        <v>0</v>
      </c>
      <c r="L396" t="n">
        <v>0</v>
      </c>
      <c r="M396" t="n">
        <v>0</v>
      </c>
      <c r="N396" t="n">
        <v>0</v>
      </c>
      <c r="O396" t="n">
        <v>0</v>
      </c>
      <c r="P396" t="n">
        <v>0</v>
      </c>
      <c r="Q396" t="n">
        <v>0</v>
      </c>
      <c r="R396" s="2" t="inlineStr"/>
    </row>
    <row r="397" ht="15" customHeight="1">
      <c r="A397" t="inlineStr">
        <is>
          <t>A 18885-2020</t>
        </is>
      </c>
      <c r="B397" s="1" t="n">
        <v>43935</v>
      </c>
      <c r="C397" s="1" t="n">
        <v>45338</v>
      </c>
      <c r="D397" t="inlineStr">
        <is>
          <t>KALMAR LÄN</t>
        </is>
      </c>
      <c r="E397" t="inlineStr">
        <is>
          <t>VIMMERBY</t>
        </is>
      </c>
      <c r="G397" t="n">
        <v>1.5</v>
      </c>
      <c r="H397" t="n">
        <v>0</v>
      </c>
      <c r="I397" t="n">
        <v>0</v>
      </c>
      <c r="J397" t="n">
        <v>0</v>
      </c>
      <c r="K397" t="n">
        <v>0</v>
      </c>
      <c r="L397" t="n">
        <v>0</v>
      </c>
      <c r="M397" t="n">
        <v>0</v>
      </c>
      <c r="N397" t="n">
        <v>0</v>
      </c>
      <c r="O397" t="n">
        <v>0</v>
      </c>
      <c r="P397" t="n">
        <v>0</v>
      </c>
      <c r="Q397" t="n">
        <v>0</v>
      </c>
      <c r="R397" s="2" t="inlineStr"/>
    </row>
    <row r="398" ht="15" customHeight="1">
      <c r="A398" t="inlineStr">
        <is>
          <t>A 18909-2020</t>
        </is>
      </c>
      <c r="B398" s="1" t="n">
        <v>43935</v>
      </c>
      <c r="C398" s="1" t="n">
        <v>45338</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20291-2020</t>
        </is>
      </c>
      <c r="B399" s="1" t="n">
        <v>43945</v>
      </c>
      <c r="C399" s="1" t="n">
        <v>45338</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21408-2020</t>
        </is>
      </c>
      <c r="B400" s="1" t="n">
        <v>43955</v>
      </c>
      <c r="C400" s="1" t="n">
        <v>45338</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21581-2020</t>
        </is>
      </c>
      <c r="B401" s="1" t="n">
        <v>43956</v>
      </c>
      <c r="C401" s="1" t="n">
        <v>45338</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21891-2020</t>
        </is>
      </c>
      <c r="B402" s="1" t="n">
        <v>43958</v>
      </c>
      <c r="C402" s="1" t="n">
        <v>45338</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22267-2020</t>
        </is>
      </c>
      <c r="B403" s="1" t="n">
        <v>43962</v>
      </c>
      <c r="C403" s="1" t="n">
        <v>45338</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22574-2020</t>
        </is>
      </c>
      <c r="B404" s="1" t="n">
        <v>43963</v>
      </c>
      <c r="C404" s="1" t="n">
        <v>45338</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22637-2020</t>
        </is>
      </c>
      <c r="B405" s="1" t="n">
        <v>43963</v>
      </c>
      <c r="C405" s="1" t="n">
        <v>45338</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22439-2020</t>
        </is>
      </c>
      <c r="B406" s="1" t="n">
        <v>43963</v>
      </c>
      <c r="C406" s="1" t="n">
        <v>45338</v>
      </c>
      <c r="D406" t="inlineStr">
        <is>
          <t>KALMAR LÄN</t>
        </is>
      </c>
      <c r="E406" t="inlineStr">
        <is>
          <t>VIMMERBY</t>
        </is>
      </c>
      <c r="G406" t="n">
        <v>13.8</v>
      </c>
      <c r="H406" t="n">
        <v>0</v>
      </c>
      <c r="I406" t="n">
        <v>0</v>
      </c>
      <c r="J406" t="n">
        <v>0</v>
      </c>
      <c r="K406" t="n">
        <v>0</v>
      </c>
      <c r="L406" t="n">
        <v>0</v>
      </c>
      <c r="M406" t="n">
        <v>0</v>
      </c>
      <c r="N406" t="n">
        <v>0</v>
      </c>
      <c r="O406" t="n">
        <v>0</v>
      </c>
      <c r="P406" t="n">
        <v>0</v>
      </c>
      <c r="Q406" t="n">
        <v>0</v>
      </c>
      <c r="R406" s="2" t="inlineStr"/>
    </row>
    <row r="407" ht="15" customHeight="1">
      <c r="A407" t="inlineStr">
        <is>
          <t>A 22828-2020</t>
        </is>
      </c>
      <c r="B407" s="1" t="n">
        <v>43964</v>
      </c>
      <c r="C407" s="1" t="n">
        <v>45338</v>
      </c>
      <c r="D407" t="inlineStr">
        <is>
          <t>KALMAR LÄN</t>
        </is>
      </c>
      <c r="E407" t="inlineStr">
        <is>
          <t>VIMMERBY</t>
        </is>
      </c>
      <c r="G407" t="n">
        <v>7.5</v>
      </c>
      <c r="H407" t="n">
        <v>0</v>
      </c>
      <c r="I407" t="n">
        <v>0</v>
      </c>
      <c r="J407" t="n">
        <v>0</v>
      </c>
      <c r="K407" t="n">
        <v>0</v>
      </c>
      <c r="L407" t="n">
        <v>0</v>
      </c>
      <c r="M407" t="n">
        <v>0</v>
      </c>
      <c r="N407" t="n">
        <v>0</v>
      </c>
      <c r="O407" t="n">
        <v>0</v>
      </c>
      <c r="P407" t="n">
        <v>0</v>
      </c>
      <c r="Q407" t="n">
        <v>0</v>
      </c>
      <c r="R407" s="2" t="inlineStr"/>
    </row>
    <row r="408" ht="15" customHeight="1">
      <c r="A408" t="inlineStr">
        <is>
          <t>A 23391-2020</t>
        </is>
      </c>
      <c r="B408" s="1" t="n">
        <v>43968</v>
      </c>
      <c r="C408" s="1" t="n">
        <v>45338</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23394-2020</t>
        </is>
      </c>
      <c r="B409" s="1" t="n">
        <v>43968</v>
      </c>
      <c r="C409" s="1" t="n">
        <v>45338</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23705-2020</t>
        </is>
      </c>
      <c r="B410" s="1" t="n">
        <v>43970</v>
      </c>
      <c r="C410" s="1" t="n">
        <v>45338</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23877-2020</t>
        </is>
      </c>
      <c r="B411" s="1" t="n">
        <v>43971</v>
      </c>
      <c r="C411" s="1" t="n">
        <v>45338</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24016-2020</t>
        </is>
      </c>
      <c r="B412" s="1" t="n">
        <v>43971</v>
      </c>
      <c r="C412" s="1" t="n">
        <v>45338</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24770-2020</t>
        </is>
      </c>
      <c r="B413" s="1" t="n">
        <v>43978</v>
      </c>
      <c r="C413" s="1" t="n">
        <v>45338</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24784-2020</t>
        </is>
      </c>
      <c r="B414" s="1" t="n">
        <v>43978</v>
      </c>
      <c r="C414" s="1" t="n">
        <v>45338</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24782-2020</t>
        </is>
      </c>
      <c r="B415" s="1" t="n">
        <v>43978</v>
      </c>
      <c r="C415" s="1" t="n">
        <v>45338</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25761-2020</t>
        </is>
      </c>
      <c r="B416" s="1" t="n">
        <v>43984</v>
      </c>
      <c r="C416" s="1" t="n">
        <v>45338</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26723-2020</t>
        </is>
      </c>
      <c r="B417" s="1" t="n">
        <v>43990</v>
      </c>
      <c r="C417" s="1" t="n">
        <v>45338</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27104-2020</t>
        </is>
      </c>
      <c r="B418" s="1" t="n">
        <v>43991</v>
      </c>
      <c r="C418" s="1" t="n">
        <v>45338</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27212-2020</t>
        </is>
      </c>
      <c r="B419" s="1" t="n">
        <v>43992</v>
      </c>
      <c r="C419" s="1" t="n">
        <v>45338</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27316-2020</t>
        </is>
      </c>
      <c r="B420" s="1" t="n">
        <v>43992</v>
      </c>
      <c r="C420" s="1" t="n">
        <v>45338</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27214-2020</t>
        </is>
      </c>
      <c r="B421" s="1" t="n">
        <v>43992</v>
      </c>
      <c r="C421" s="1" t="n">
        <v>45338</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27213-2020</t>
        </is>
      </c>
      <c r="B422" s="1" t="n">
        <v>43992</v>
      </c>
      <c r="C422" s="1" t="n">
        <v>45338</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27236-2020</t>
        </is>
      </c>
      <c r="B423" s="1" t="n">
        <v>43992</v>
      </c>
      <c r="C423" s="1" t="n">
        <v>45338</v>
      </c>
      <c r="D423" t="inlineStr">
        <is>
          <t>KALMAR LÄN</t>
        </is>
      </c>
      <c r="E423" t="inlineStr">
        <is>
          <t>VIMMERBY</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28853-2020</t>
        </is>
      </c>
      <c r="B424" s="1" t="n">
        <v>44000</v>
      </c>
      <c r="C424" s="1" t="n">
        <v>45338</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28885-2020</t>
        </is>
      </c>
      <c r="B425" s="1" t="n">
        <v>44000</v>
      </c>
      <c r="C425" s="1" t="n">
        <v>45338</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28969-2020</t>
        </is>
      </c>
      <c r="B426" s="1" t="n">
        <v>44000</v>
      </c>
      <c r="C426" s="1" t="n">
        <v>45338</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29235-2020</t>
        </is>
      </c>
      <c r="B427" s="1" t="n">
        <v>44004</v>
      </c>
      <c r="C427" s="1" t="n">
        <v>45338</v>
      </c>
      <c r="D427" t="inlineStr">
        <is>
          <t>KALMAR LÄN</t>
        </is>
      </c>
      <c r="E427" t="inlineStr">
        <is>
          <t>VIMMERBY</t>
        </is>
      </c>
      <c r="G427" t="n">
        <v>3</v>
      </c>
      <c r="H427" t="n">
        <v>0</v>
      </c>
      <c r="I427" t="n">
        <v>0</v>
      </c>
      <c r="J427" t="n">
        <v>0</v>
      </c>
      <c r="K427" t="n">
        <v>0</v>
      </c>
      <c r="L427" t="n">
        <v>0</v>
      </c>
      <c r="M427" t="n">
        <v>0</v>
      </c>
      <c r="N427" t="n">
        <v>0</v>
      </c>
      <c r="O427" t="n">
        <v>0</v>
      </c>
      <c r="P427" t="n">
        <v>0</v>
      </c>
      <c r="Q427" t="n">
        <v>0</v>
      </c>
      <c r="R427" s="2" t="inlineStr"/>
    </row>
    <row r="428" ht="15" customHeight="1">
      <c r="A428" t="inlineStr">
        <is>
          <t>A 29913-2020</t>
        </is>
      </c>
      <c r="B428" s="1" t="n">
        <v>44006</v>
      </c>
      <c r="C428" s="1" t="n">
        <v>45338</v>
      </c>
      <c r="D428" t="inlineStr">
        <is>
          <t>KALMAR LÄN</t>
        </is>
      </c>
      <c r="E428" t="inlineStr">
        <is>
          <t>VIMMERBY</t>
        </is>
      </c>
      <c r="F428" t="inlineStr">
        <is>
          <t>Kommuner</t>
        </is>
      </c>
      <c r="G428" t="n">
        <v>3.8</v>
      </c>
      <c r="H428" t="n">
        <v>0</v>
      </c>
      <c r="I428" t="n">
        <v>0</v>
      </c>
      <c r="J428" t="n">
        <v>0</v>
      </c>
      <c r="K428" t="n">
        <v>0</v>
      </c>
      <c r="L428" t="n">
        <v>0</v>
      </c>
      <c r="M428" t="n">
        <v>0</v>
      </c>
      <c r="N428" t="n">
        <v>0</v>
      </c>
      <c r="O428" t="n">
        <v>0</v>
      </c>
      <c r="P428" t="n">
        <v>0</v>
      </c>
      <c r="Q428" t="n">
        <v>0</v>
      </c>
      <c r="R428" s="2" t="inlineStr"/>
    </row>
    <row r="429" ht="15" customHeight="1">
      <c r="A429" t="inlineStr">
        <is>
          <t>A 29918-2020</t>
        </is>
      </c>
      <c r="B429" s="1" t="n">
        <v>44006</v>
      </c>
      <c r="C429" s="1" t="n">
        <v>45338</v>
      </c>
      <c r="D429" t="inlineStr">
        <is>
          <t>KALMAR LÄN</t>
        </is>
      </c>
      <c r="E429" t="inlineStr">
        <is>
          <t>VIMMERBY</t>
        </is>
      </c>
      <c r="F429" t="inlineStr">
        <is>
          <t>Kommuner</t>
        </is>
      </c>
      <c r="G429" t="n">
        <v>2.5</v>
      </c>
      <c r="H429" t="n">
        <v>0</v>
      </c>
      <c r="I429" t="n">
        <v>0</v>
      </c>
      <c r="J429" t="n">
        <v>0</v>
      </c>
      <c r="K429" t="n">
        <v>0</v>
      </c>
      <c r="L429" t="n">
        <v>0</v>
      </c>
      <c r="M429" t="n">
        <v>0</v>
      </c>
      <c r="N429" t="n">
        <v>0</v>
      </c>
      <c r="O429" t="n">
        <v>0</v>
      </c>
      <c r="P429" t="n">
        <v>0</v>
      </c>
      <c r="Q429" t="n">
        <v>0</v>
      </c>
      <c r="R429" s="2" t="inlineStr"/>
    </row>
    <row r="430" ht="15" customHeight="1">
      <c r="A430" t="inlineStr">
        <is>
          <t>A 29979-2020</t>
        </is>
      </c>
      <c r="B430" s="1" t="n">
        <v>44006</v>
      </c>
      <c r="C430" s="1" t="n">
        <v>45338</v>
      </c>
      <c r="D430" t="inlineStr">
        <is>
          <t>KALMAR LÄN</t>
        </is>
      </c>
      <c r="E430" t="inlineStr">
        <is>
          <t>VIMMERBY</t>
        </is>
      </c>
      <c r="F430" t="inlineStr">
        <is>
          <t>Kommuner</t>
        </is>
      </c>
      <c r="G430" t="n">
        <v>1.4</v>
      </c>
      <c r="H430" t="n">
        <v>0</v>
      </c>
      <c r="I430" t="n">
        <v>0</v>
      </c>
      <c r="J430" t="n">
        <v>0</v>
      </c>
      <c r="K430" t="n">
        <v>0</v>
      </c>
      <c r="L430" t="n">
        <v>0</v>
      </c>
      <c r="M430" t="n">
        <v>0</v>
      </c>
      <c r="N430" t="n">
        <v>0</v>
      </c>
      <c r="O430" t="n">
        <v>0</v>
      </c>
      <c r="P430" t="n">
        <v>0</v>
      </c>
      <c r="Q430" t="n">
        <v>0</v>
      </c>
      <c r="R430" s="2" t="inlineStr"/>
    </row>
    <row r="431" ht="15" customHeight="1">
      <c r="A431" t="inlineStr">
        <is>
          <t>A 29935-2020</t>
        </is>
      </c>
      <c r="B431" s="1" t="n">
        <v>44006</v>
      </c>
      <c r="C431" s="1" t="n">
        <v>45338</v>
      </c>
      <c r="D431" t="inlineStr">
        <is>
          <t>KALMAR LÄN</t>
        </is>
      </c>
      <c r="E431" t="inlineStr">
        <is>
          <t>VIMMERBY</t>
        </is>
      </c>
      <c r="F431" t="inlineStr">
        <is>
          <t>Kommuner</t>
        </is>
      </c>
      <c r="G431" t="n">
        <v>0.7</v>
      </c>
      <c r="H431" t="n">
        <v>0</v>
      </c>
      <c r="I431" t="n">
        <v>0</v>
      </c>
      <c r="J431" t="n">
        <v>0</v>
      </c>
      <c r="K431" t="n">
        <v>0</v>
      </c>
      <c r="L431" t="n">
        <v>0</v>
      </c>
      <c r="M431" t="n">
        <v>0</v>
      </c>
      <c r="N431" t="n">
        <v>0</v>
      </c>
      <c r="O431" t="n">
        <v>0</v>
      </c>
      <c r="P431" t="n">
        <v>0</v>
      </c>
      <c r="Q431" t="n">
        <v>0</v>
      </c>
      <c r="R431" s="2" t="inlineStr"/>
    </row>
    <row r="432" ht="15" customHeight="1">
      <c r="A432" t="inlineStr">
        <is>
          <t>A 30206-2020</t>
        </is>
      </c>
      <c r="B432" s="1" t="n">
        <v>44007</v>
      </c>
      <c r="C432" s="1" t="n">
        <v>45338</v>
      </c>
      <c r="D432" t="inlineStr">
        <is>
          <t>KALMAR LÄN</t>
        </is>
      </c>
      <c r="E432" t="inlineStr">
        <is>
          <t>VIMMERBY</t>
        </is>
      </c>
      <c r="G432" t="n">
        <v>0.7</v>
      </c>
      <c r="H432" t="n">
        <v>0</v>
      </c>
      <c r="I432" t="n">
        <v>0</v>
      </c>
      <c r="J432" t="n">
        <v>0</v>
      </c>
      <c r="K432" t="n">
        <v>0</v>
      </c>
      <c r="L432" t="n">
        <v>0</v>
      </c>
      <c r="M432" t="n">
        <v>0</v>
      </c>
      <c r="N432" t="n">
        <v>0</v>
      </c>
      <c r="O432" t="n">
        <v>0</v>
      </c>
      <c r="P432" t="n">
        <v>0</v>
      </c>
      <c r="Q432" t="n">
        <v>0</v>
      </c>
      <c r="R432" s="2" t="inlineStr"/>
    </row>
    <row r="433" ht="15" customHeight="1">
      <c r="A433" t="inlineStr">
        <is>
          <t>A 31289-2020</t>
        </is>
      </c>
      <c r="B433" s="1" t="n">
        <v>44012</v>
      </c>
      <c r="C433" s="1" t="n">
        <v>45338</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33159-2020</t>
        </is>
      </c>
      <c r="B434" s="1" t="n">
        <v>44021</v>
      </c>
      <c r="C434" s="1" t="n">
        <v>45338</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33279-2020</t>
        </is>
      </c>
      <c r="B435" s="1" t="n">
        <v>44022</v>
      </c>
      <c r="C435" s="1" t="n">
        <v>45338</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33856-2020</t>
        </is>
      </c>
      <c r="B436" s="1" t="n">
        <v>44027</v>
      </c>
      <c r="C436" s="1" t="n">
        <v>45338</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34350-2020</t>
        </is>
      </c>
      <c r="B437" s="1" t="n">
        <v>44028</v>
      </c>
      <c r="C437" s="1" t="n">
        <v>45338</v>
      </c>
      <c r="D437" t="inlineStr">
        <is>
          <t>KALMAR LÄN</t>
        </is>
      </c>
      <c r="E437" t="inlineStr">
        <is>
          <t>VIMMERBY</t>
        </is>
      </c>
      <c r="G437" t="n">
        <v>4.3</v>
      </c>
      <c r="H437" t="n">
        <v>0</v>
      </c>
      <c r="I437" t="n">
        <v>0</v>
      </c>
      <c r="J437" t="n">
        <v>0</v>
      </c>
      <c r="K437" t="n">
        <v>0</v>
      </c>
      <c r="L437" t="n">
        <v>0</v>
      </c>
      <c r="M437" t="n">
        <v>0</v>
      </c>
      <c r="N437" t="n">
        <v>0</v>
      </c>
      <c r="O437" t="n">
        <v>0</v>
      </c>
      <c r="P437" t="n">
        <v>0</v>
      </c>
      <c r="Q437" t="n">
        <v>0</v>
      </c>
      <c r="R437" s="2" t="inlineStr"/>
    </row>
    <row r="438" ht="15" customHeight="1">
      <c r="A438" t="inlineStr">
        <is>
          <t>A 34345-2020</t>
        </is>
      </c>
      <c r="B438" s="1" t="n">
        <v>44028</v>
      </c>
      <c r="C438" s="1" t="n">
        <v>45338</v>
      </c>
      <c r="D438" t="inlineStr">
        <is>
          <t>KALMAR LÄN</t>
        </is>
      </c>
      <c r="E438" t="inlineStr">
        <is>
          <t>VIMMERBY</t>
        </is>
      </c>
      <c r="G438" t="n">
        <v>5.1</v>
      </c>
      <c r="H438" t="n">
        <v>0</v>
      </c>
      <c r="I438" t="n">
        <v>0</v>
      </c>
      <c r="J438" t="n">
        <v>0</v>
      </c>
      <c r="K438" t="n">
        <v>0</v>
      </c>
      <c r="L438" t="n">
        <v>0</v>
      </c>
      <c r="M438" t="n">
        <v>0</v>
      </c>
      <c r="N438" t="n">
        <v>0</v>
      </c>
      <c r="O438" t="n">
        <v>0</v>
      </c>
      <c r="P438" t="n">
        <v>0</v>
      </c>
      <c r="Q438" t="n">
        <v>0</v>
      </c>
      <c r="R438" s="2" t="inlineStr"/>
    </row>
    <row r="439" ht="15" customHeight="1">
      <c r="A439" t="inlineStr">
        <is>
          <t>A 34719-2020</t>
        </is>
      </c>
      <c r="B439" s="1" t="n">
        <v>44035</v>
      </c>
      <c r="C439" s="1" t="n">
        <v>45338</v>
      </c>
      <c r="D439" t="inlineStr">
        <is>
          <t>KALMAR LÄN</t>
        </is>
      </c>
      <c r="E439" t="inlineStr">
        <is>
          <t>VIMMERBY</t>
        </is>
      </c>
      <c r="G439" t="n">
        <v>3.5</v>
      </c>
      <c r="H439" t="n">
        <v>0</v>
      </c>
      <c r="I439" t="n">
        <v>0</v>
      </c>
      <c r="J439" t="n">
        <v>0</v>
      </c>
      <c r="K439" t="n">
        <v>0</v>
      </c>
      <c r="L439" t="n">
        <v>0</v>
      </c>
      <c r="M439" t="n">
        <v>0</v>
      </c>
      <c r="N439" t="n">
        <v>0</v>
      </c>
      <c r="O439" t="n">
        <v>0</v>
      </c>
      <c r="P439" t="n">
        <v>0</v>
      </c>
      <c r="Q439" t="n">
        <v>0</v>
      </c>
      <c r="R439" s="2" t="inlineStr"/>
    </row>
    <row r="440" ht="15" customHeight="1">
      <c r="A440" t="inlineStr">
        <is>
          <t>A 34907-2020</t>
        </is>
      </c>
      <c r="B440" s="1" t="n">
        <v>44036</v>
      </c>
      <c r="C440" s="1" t="n">
        <v>45338</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35350-2020</t>
        </is>
      </c>
      <c r="B441" s="1" t="n">
        <v>44041</v>
      </c>
      <c r="C441" s="1" t="n">
        <v>45338</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35886-2020</t>
        </is>
      </c>
      <c r="B442" s="1" t="n">
        <v>44047</v>
      </c>
      <c r="C442" s="1" t="n">
        <v>45338</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36085-2020</t>
        </is>
      </c>
      <c r="B443" s="1" t="n">
        <v>44048</v>
      </c>
      <c r="C443" s="1" t="n">
        <v>45338</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36161-2020</t>
        </is>
      </c>
      <c r="B444" s="1" t="n">
        <v>44048</v>
      </c>
      <c r="C444" s="1" t="n">
        <v>45338</v>
      </c>
      <c r="D444" t="inlineStr">
        <is>
          <t>KALMAR LÄN</t>
        </is>
      </c>
      <c r="E444" t="inlineStr">
        <is>
          <t>VIMMERBY</t>
        </is>
      </c>
      <c r="G444" t="n">
        <v>12.5</v>
      </c>
      <c r="H444" t="n">
        <v>0</v>
      </c>
      <c r="I444" t="n">
        <v>0</v>
      </c>
      <c r="J444" t="n">
        <v>0</v>
      </c>
      <c r="K444" t="n">
        <v>0</v>
      </c>
      <c r="L444" t="n">
        <v>0</v>
      </c>
      <c r="M444" t="n">
        <v>0</v>
      </c>
      <c r="N444" t="n">
        <v>0</v>
      </c>
      <c r="O444" t="n">
        <v>0</v>
      </c>
      <c r="P444" t="n">
        <v>0</v>
      </c>
      <c r="Q444" t="n">
        <v>0</v>
      </c>
      <c r="R444" s="2" t="inlineStr"/>
    </row>
    <row r="445" ht="15" customHeight="1">
      <c r="A445" t="inlineStr">
        <is>
          <t>A 37104-2020</t>
        </is>
      </c>
      <c r="B445" s="1" t="n">
        <v>44054</v>
      </c>
      <c r="C445" s="1" t="n">
        <v>45338</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37201-2020</t>
        </is>
      </c>
      <c r="B446" s="1" t="n">
        <v>44054</v>
      </c>
      <c r="C446" s="1" t="n">
        <v>45338</v>
      </c>
      <c r="D446" t="inlineStr">
        <is>
          <t>KALMAR LÄN</t>
        </is>
      </c>
      <c r="E446" t="inlineStr">
        <is>
          <t>VIMMERBY</t>
        </is>
      </c>
      <c r="G446" t="n">
        <v>3.6</v>
      </c>
      <c r="H446" t="n">
        <v>0</v>
      </c>
      <c r="I446" t="n">
        <v>0</v>
      </c>
      <c r="J446" t="n">
        <v>0</v>
      </c>
      <c r="K446" t="n">
        <v>0</v>
      </c>
      <c r="L446" t="n">
        <v>0</v>
      </c>
      <c r="M446" t="n">
        <v>0</v>
      </c>
      <c r="N446" t="n">
        <v>0</v>
      </c>
      <c r="O446" t="n">
        <v>0</v>
      </c>
      <c r="P446" t="n">
        <v>0</v>
      </c>
      <c r="Q446" t="n">
        <v>0</v>
      </c>
      <c r="R446" s="2" t="inlineStr"/>
    </row>
    <row r="447" ht="15" customHeight="1">
      <c r="A447" t="inlineStr">
        <is>
          <t>A 37078-2020</t>
        </is>
      </c>
      <c r="B447" s="1" t="n">
        <v>44054</v>
      </c>
      <c r="C447" s="1" t="n">
        <v>45338</v>
      </c>
      <c r="D447" t="inlineStr">
        <is>
          <t>KALMAR LÄN</t>
        </is>
      </c>
      <c r="E447" t="inlineStr">
        <is>
          <t>VIMMERBY</t>
        </is>
      </c>
      <c r="G447" t="n">
        <v>4.5</v>
      </c>
      <c r="H447" t="n">
        <v>0</v>
      </c>
      <c r="I447" t="n">
        <v>0</v>
      </c>
      <c r="J447" t="n">
        <v>0</v>
      </c>
      <c r="K447" t="n">
        <v>0</v>
      </c>
      <c r="L447" t="n">
        <v>0</v>
      </c>
      <c r="M447" t="n">
        <v>0</v>
      </c>
      <c r="N447" t="n">
        <v>0</v>
      </c>
      <c r="O447" t="n">
        <v>0</v>
      </c>
      <c r="P447" t="n">
        <v>0</v>
      </c>
      <c r="Q447" t="n">
        <v>0</v>
      </c>
      <c r="R447" s="2" t="inlineStr"/>
    </row>
    <row r="448" ht="15" customHeight="1">
      <c r="A448" t="inlineStr">
        <is>
          <t>A 37362-2020</t>
        </is>
      </c>
      <c r="B448" s="1" t="n">
        <v>44055</v>
      </c>
      <c r="C448" s="1" t="n">
        <v>45338</v>
      </c>
      <c r="D448" t="inlineStr">
        <is>
          <t>KALMAR LÄN</t>
        </is>
      </c>
      <c r="E448" t="inlineStr">
        <is>
          <t>VIMMERBY</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37813-2020</t>
        </is>
      </c>
      <c r="B449" s="1" t="n">
        <v>44057</v>
      </c>
      <c r="C449" s="1" t="n">
        <v>45338</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37973-2020</t>
        </is>
      </c>
      <c r="B450" s="1" t="n">
        <v>44057</v>
      </c>
      <c r="C450" s="1" t="n">
        <v>45338</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38153-2020</t>
        </is>
      </c>
      <c r="B451" s="1" t="n">
        <v>44060</v>
      </c>
      <c r="C451" s="1" t="n">
        <v>45338</v>
      </c>
      <c r="D451" t="inlineStr">
        <is>
          <t>KALMAR LÄN</t>
        </is>
      </c>
      <c r="E451" t="inlineStr">
        <is>
          <t>VIMMERBY</t>
        </is>
      </c>
      <c r="G451" t="n">
        <v>6</v>
      </c>
      <c r="H451" t="n">
        <v>0</v>
      </c>
      <c r="I451" t="n">
        <v>0</v>
      </c>
      <c r="J451" t="n">
        <v>0</v>
      </c>
      <c r="K451" t="n">
        <v>0</v>
      </c>
      <c r="L451" t="n">
        <v>0</v>
      </c>
      <c r="M451" t="n">
        <v>0</v>
      </c>
      <c r="N451" t="n">
        <v>0</v>
      </c>
      <c r="O451" t="n">
        <v>0</v>
      </c>
      <c r="P451" t="n">
        <v>0</v>
      </c>
      <c r="Q451" t="n">
        <v>0</v>
      </c>
      <c r="R451" s="2" t="inlineStr"/>
    </row>
    <row r="452" ht="15" customHeight="1">
      <c r="A452" t="inlineStr">
        <is>
          <t>A 38397-2020</t>
        </is>
      </c>
      <c r="B452" s="1" t="n">
        <v>44060</v>
      </c>
      <c r="C452" s="1" t="n">
        <v>45338</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38530-2020</t>
        </is>
      </c>
      <c r="B453" s="1" t="n">
        <v>44061</v>
      </c>
      <c r="C453" s="1" t="n">
        <v>45338</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38710-2020</t>
        </is>
      </c>
      <c r="B454" s="1" t="n">
        <v>44061</v>
      </c>
      <c r="C454" s="1" t="n">
        <v>45338</v>
      </c>
      <c r="D454" t="inlineStr">
        <is>
          <t>KALMAR LÄN</t>
        </is>
      </c>
      <c r="E454" t="inlineStr">
        <is>
          <t>VIMMERBY</t>
        </is>
      </c>
      <c r="G454" t="n">
        <v>2.2</v>
      </c>
      <c r="H454" t="n">
        <v>0</v>
      </c>
      <c r="I454" t="n">
        <v>0</v>
      </c>
      <c r="J454" t="n">
        <v>0</v>
      </c>
      <c r="K454" t="n">
        <v>0</v>
      </c>
      <c r="L454" t="n">
        <v>0</v>
      </c>
      <c r="M454" t="n">
        <v>0</v>
      </c>
      <c r="N454" t="n">
        <v>0</v>
      </c>
      <c r="O454" t="n">
        <v>0</v>
      </c>
      <c r="P454" t="n">
        <v>0</v>
      </c>
      <c r="Q454" t="n">
        <v>0</v>
      </c>
      <c r="R454" s="2" t="inlineStr"/>
    </row>
    <row r="455" ht="15" customHeight="1">
      <c r="A455" t="inlineStr">
        <is>
          <t>A 38844-2020</t>
        </is>
      </c>
      <c r="B455" s="1" t="n">
        <v>44062</v>
      </c>
      <c r="C455" s="1" t="n">
        <v>45338</v>
      </c>
      <c r="D455" t="inlineStr">
        <is>
          <t>KALMAR LÄN</t>
        </is>
      </c>
      <c r="E455" t="inlineStr">
        <is>
          <t>VIMMERBY</t>
        </is>
      </c>
      <c r="G455" t="n">
        <v>3</v>
      </c>
      <c r="H455" t="n">
        <v>0</v>
      </c>
      <c r="I455" t="n">
        <v>0</v>
      </c>
      <c r="J455" t="n">
        <v>0</v>
      </c>
      <c r="K455" t="n">
        <v>0</v>
      </c>
      <c r="L455" t="n">
        <v>0</v>
      </c>
      <c r="M455" t="n">
        <v>0</v>
      </c>
      <c r="N455" t="n">
        <v>0</v>
      </c>
      <c r="O455" t="n">
        <v>0</v>
      </c>
      <c r="P455" t="n">
        <v>0</v>
      </c>
      <c r="Q455" t="n">
        <v>0</v>
      </c>
      <c r="R455" s="2" t="inlineStr"/>
    </row>
    <row r="456" ht="15" customHeight="1">
      <c r="A456" t="inlineStr">
        <is>
          <t>A 39191-2020</t>
        </is>
      </c>
      <c r="B456" s="1" t="n">
        <v>44063</v>
      </c>
      <c r="C456" s="1" t="n">
        <v>45338</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39251-2020</t>
        </is>
      </c>
      <c r="B457" s="1" t="n">
        <v>44063</v>
      </c>
      <c r="C457" s="1" t="n">
        <v>45338</v>
      </c>
      <c r="D457" t="inlineStr">
        <is>
          <t>KALMAR LÄN</t>
        </is>
      </c>
      <c r="E457" t="inlineStr">
        <is>
          <t>VIMMERBY</t>
        </is>
      </c>
      <c r="G457" t="n">
        <v>6.1</v>
      </c>
      <c r="H457" t="n">
        <v>0</v>
      </c>
      <c r="I457" t="n">
        <v>0</v>
      </c>
      <c r="J457" t="n">
        <v>0</v>
      </c>
      <c r="K457" t="n">
        <v>0</v>
      </c>
      <c r="L457" t="n">
        <v>0</v>
      </c>
      <c r="M457" t="n">
        <v>0</v>
      </c>
      <c r="N457" t="n">
        <v>0</v>
      </c>
      <c r="O457" t="n">
        <v>0</v>
      </c>
      <c r="P457" t="n">
        <v>0</v>
      </c>
      <c r="Q457" t="n">
        <v>0</v>
      </c>
      <c r="R457" s="2" t="inlineStr"/>
    </row>
    <row r="458" ht="15" customHeight="1">
      <c r="A458" t="inlineStr">
        <is>
          <t>A 39125-2020</t>
        </is>
      </c>
      <c r="B458" s="1" t="n">
        <v>44063</v>
      </c>
      <c r="C458" s="1" t="n">
        <v>45338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39300-2020</t>
        </is>
      </c>
      <c r="B459" s="1" t="n">
        <v>44063</v>
      </c>
      <c r="C459" s="1" t="n">
        <v>45338</v>
      </c>
      <c r="D459" t="inlineStr">
        <is>
          <t>KALMAR LÄN</t>
        </is>
      </c>
      <c r="E459" t="inlineStr">
        <is>
          <t>VIMMERBY</t>
        </is>
      </c>
      <c r="G459" t="n">
        <v>5.1</v>
      </c>
      <c r="H459" t="n">
        <v>0</v>
      </c>
      <c r="I459" t="n">
        <v>0</v>
      </c>
      <c r="J459" t="n">
        <v>0</v>
      </c>
      <c r="K459" t="n">
        <v>0</v>
      </c>
      <c r="L459" t="n">
        <v>0</v>
      </c>
      <c r="M459" t="n">
        <v>0</v>
      </c>
      <c r="N459" t="n">
        <v>0</v>
      </c>
      <c r="O459" t="n">
        <v>0</v>
      </c>
      <c r="P459" t="n">
        <v>0</v>
      </c>
      <c r="Q459" t="n">
        <v>0</v>
      </c>
      <c r="R459" s="2" t="inlineStr"/>
    </row>
    <row r="460" ht="15" customHeight="1">
      <c r="A460" t="inlineStr">
        <is>
          <t>A 39288-2020</t>
        </is>
      </c>
      <c r="B460" s="1" t="n">
        <v>44063</v>
      </c>
      <c r="C460" s="1" t="n">
        <v>45338</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39508-2020</t>
        </is>
      </c>
      <c r="B461" s="1" t="n">
        <v>44064</v>
      </c>
      <c r="C461" s="1" t="n">
        <v>45338</v>
      </c>
      <c r="D461" t="inlineStr">
        <is>
          <t>KALMAR LÄN</t>
        </is>
      </c>
      <c r="E461" t="inlineStr">
        <is>
          <t>VIMMERBY</t>
        </is>
      </c>
      <c r="G461" t="n">
        <v>4.7</v>
      </c>
      <c r="H461" t="n">
        <v>0</v>
      </c>
      <c r="I461" t="n">
        <v>0</v>
      </c>
      <c r="J461" t="n">
        <v>0</v>
      </c>
      <c r="K461" t="n">
        <v>0</v>
      </c>
      <c r="L461" t="n">
        <v>0</v>
      </c>
      <c r="M461" t="n">
        <v>0</v>
      </c>
      <c r="N461" t="n">
        <v>0</v>
      </c>
      <c r="O461" t="n">
        <v>0</v>
      </c>
      <c r="P461" t="n">
        <v>0</v>
      </c>
      <c r="Q461" t="n">
        <v>0</v>
      </c>
      <c r="R461" s="2" t="inlineStr"/>
    </row>
    <row r="462" ht="15" customHeight="1">
      <c r="A462" t="inlineStr">
        <is>
          <t>A 39769-2020</t>
        </is>
      </c>
      <c r="B462" s="1" t="n">
        <v>44064</v>
      </c>
      <c r="C462" s="1" t="n">
        <v>45338</v>
      </c>
      <c r="D462" t="inlineStr">
        <is>
          <t>KALMAR LÄN</t>
        </is>
      </c>
      <c r="E462" t="inlineStr">
        <is>
          <t>VIMMERBY</t>
        </is>
      </c>
      <c r="G462" t="n">
        <v>24.6</v>
      </c>
      <c r="H462" t="n">
        <v>0</v>
      </c>
      <c r="I462" t="n">
        <v>0</v>
      </c>
      <c r="J462" t="n">
        <v>0</v>
      </c>
      <c r="K462" t="n">
        <v>0</v>
      </c>
      <c r="L462" t="n">
        <v>0</v>
      </c>
      <c r="M462" t="n">
        <v>0</v>
      </c>
      <c r="N462" t="n">
        <v>0</v>
      </c>
      <c r="O462" t="n">
        <v>0</v>
      </c>
      <c r="P462" t="n">
        <v>0</v>
      </c>
      <c r="Q462" t="n">
        <v>0</v>
      </c>
      <c r="R462" s="2" t="inlineStr"/>
    </row>
    <row r="463" ht="15" customHeight="1">
      <c r="A463" t="inlineStr">
        <is>
          <t>A 40239-2020</t>
        </is>
      </c>
      <c r="B463" s="1" t="n">
        <v>44068</v>
      </c>
      <c r="C463" s="1" t="n">
        <v>45338</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40766-2020</t>
        </is>
      </c>
      <c r="B464" s="1" t="n">
        <v>44070</v>
      </c>
      <c r="C464" s="1" t="n">
        <v>45338</v>
      </c>
      <c r="D464" t="inlineStr">
        <is>
          <t>KALMAR LÄN</t>
        </is>
      </c>
      <c r="E464" t="inlineStr">
        <is>
          <t>VIMMERBY</t>
        </is>
      </c>
      <c r="G464" t="n">
        <v>4.2</v>
      </c>
      <c r="H464" t="n">
        <v>0</v>
      </c>
      <c r="I464" t="n">
        <v>0</v>
      </c>
      <c r="J464" t="n">
        <v>0</v>
      </c>
      <c r="K464" t="n">
        <v>0</v>
      </c>
      <c r="L464" t="n">
        <v>0</v>
      </c>
      <c r="M464" t="n">
        <v>0</v>
      </c>
      <c r="N464" t="n">
        <v>0</v>
      </c>
      <c r="O464" t="n">
        <v>0</v>
      </c>
      <c r="P464" t="n">
        <v>0</v>
      </c>
      <c r="Q464" t="n">
        <v>0</v>
      </c>
      <c r="R464" s="2" t="inlineStr"/>
    </row>
    <row r="465" ht="15" customHeight="1">
      <c r="A465" t="inlineStr">
        <is>
          <t>A 40890-2020</t>
        </is>
      </c>
      <c r="B465" s="1" t="n">
        <v>44070</v>
      </c>
      <c r="C465" s="1" t="n">
        <v>45338</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40812-2020</t>
        </is>
      </c>
      <c r="B466" s="1" t="n">
        <v>44070</v>
      </c>
      <c r="C466" s="1" t="n">
        <v>45338</v>
      </c>
      <c r="D466" t="inlineStr">
        <is>
          <t>KALMAR LÄN</t>
        </is>
      </c>
      <c r="E466" t="inlineStr">
        <is>
          <t>VIMMERBY</t>
        </is>
      </c>
      <c r="G466" t="n">
        <v>4.9</v>
      </c>
      <c r="H466" t="n">
        <v>0</v>
      </c>
      <c r="I466" t="n">
        <v>0</v>
      </c>
      <c r="J466" t="n">
        <v>0</v>
      </c>
      <c r="K466" t="n">
        <v>0</v>
      </c>
      <c r="L466" t="n">
        <v>0</v>
      </c>
      <c r="M466" t="n">
        <v>0</v>
      </c>
      <c r="N466" t="n">
        <v>0</v>
      </c>
      <c r="O466" t="n">
        <v>0</v>
      </c>
      <c r="P466" t="n">
        <v>0</v>
      </c>
      <c r="Q466" t="n">
        <v>0</v>
      </c>
      <c r="R466" s="2" t="inlineStr"/>
    </row>
    <row r="467" ht="15" customHeight="1">
      <c r="A467" t="inlineStr">
        <is>
          <t>A 40889-2020</t>
        </is>
      </c>
      <c r="B467" s="1" t="n">
        <v>44070</v>
      </c>
      <c r="C467" s="1" t="n">
        <v>45338</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40818-2020</t>
        </is>
      </c>
      <c r="B468" s="1" t="n">
        <v>44070</v>
      </c>
      <c r="C468" s="1" t="n">
        <v>45338</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40808-2020</t>
        </is>
      </c>
      <c r="B469" s="1" t="n">
        <v>44070</v>
      </c>
      <c r="C469" s="1" t="n">
        <v>45338</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42067-2020</t>
        </is>
      </c>
      <c r="B470" s="1" t="n">
        <v>44075</v>
      </c>
      <c r="C470" s="1" t="n">
        <v>45338</v>
      </c>
      <c r="D470" t="inlineStr">
        <is>
          <t>KALMAR LÄN</t>
        </is>
      </c>
      <c r="E470" t="inlineStr">
        <is>
          <t>VIMMERBY</t>
        </is>
      </c>
      <c r="G470" t="n">
        <v>1.9</v>
      </c>
      <c r="H470" t="n">
        <v>0</v>
      </c>
      <c r="I470" t="n">
        <v>0</v>
      </c>
      <c r="J470" t="n">
        <v>0</v>
      </c>
      <c r="K470" t="n">
        <v>0</v>
      </c>
      <c r="L470" t="n">
        <v>0</v>
      </c>
      <c r="M470" t="n">
        <v>0</v>
      </c>
      <c r="N470" t="n">
        <v>0</v>
      </c>
      <c r="O470" t="n">
        <v>0</v>
      </c>
      <c r="P470" t="n">
        <v>0</v>
      </c>
      <c r="Q470" t="n">
        <v>0</v>
      </c>
      <c r="R470" s="2" t="inlineStr"/>
    </row>
    <row r="471" ht="15" customHeight="1">
      <c r="A471" t="inlineStr">
        <is>
          <t>A 42494-2020</t>
        </is>
      </c>
      <c r="B471" s="1" t="n">
        <v>44077</v>
      </c>
      <c r="C471" s="1" t="n">
        <v>45338</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44000-2020</t>
        </is>
      </c>
      <c r="B472" s="1" t="n">
        <v>44083</v>
      </c>
      <c r="C472" s="1" t="n">
        <v>45338</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43998-2020</t>
        </is>
      </c>
      <c r="B473" s="1" t="n">
        <v>44083</v>
      </c>
      <c r="C473" s="1" t="n">
        <v>45338</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44605-2020</t>
        </is>
      </c>
      <c r="B474" s="1" t="n">
        <v>44085</v>
      </c>
      <c r="C474" s="1" t="n">
        <v>45338</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45050-2020</t>
        </is>
      </c>
      <c r="B475" s="1" t="n">
        <v>44088</v>
      </c>
      <c r="C475" s="1" t="n">
        <v>45338</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45054-2020</t>
        </is>
      </c>
      <c r="B476" s="1" t="n">
        <v>44088</v>
      </c>
      <c r="C476" s="1" t="n">
        <v>45338</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45528-2020</t>
        </is>
      </c>
      <c r="B477" s="1" t="n">
        <v>44089</v>
      </c>
      <c r="C477" s="1" t="n">
        <v>45338</v>
      </c>
      <c r="D477" t="inlineStr">
        <is>
          <t>KALMAR LÄN</t>
        </is>
      </c>
      <c r="E477" t="inlineStr">
        <is>
          <t>VIMMERBY</t>
        </is>
      </c>
      <c r="G477" t="n">
        <v>3.8</v>
      </c>
      <c r="H477" t="n">
        <v>0</v>
      </c>
      <c r="I477" t="n">
        <v>0</v>
      </c>
      <c r="J477" t="n">
        <v>0</v>
      </c>
      <c r="K477" t="n">
        <v>0</v>
      </c>
      <c r="L477" t="n">
        <v>0</v>
      </c>
      <c r="M477" t="n">
        <v>0</v>
      </c>
      <c r="N477" t="n">
        <v>0</v>
      </c>
      <c r="O477" t="n">
        <v>0</v>
      </c>
      <c r="P477" t="n">
        <v>0</v>
      </c>
      <c r="Q477" t="n">
        <v>0</v>
      </c>
      <c r="R477" s="2" t="inlineStr"/>
    </row>
    <row r="478" ht="15" customHeight="1">
      <c r="A478" t="inlineStr">
        <is>
          <t>A 45678-2020</t>
        </is>
      </c>
      <c r="B478" s="1" t="n">
        <v>44090</v>
      </c>
      <c r="C478" s="1" t="n">
        <v>45338</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46085-2020</t>
        </is>
      </c>
      <c r="B479" s="1" t="n">
        <v>44091</v>
      </c>
      <c r="C479" s="1" t="n">
        <v>45338</v>
      </c>
      <c r="D479" t="inlineStr">
        <is>
          <t>KALMAR LÄN</t>
        </is>
      </c>
      <c r="E479" t="inlineStr">
        <is>
          <t>VIMMERBY</t>
        </is>
      </c>
      <c r="G479" t="n">
        <v>6.1</v>
      </c>
      <c r="H479" t="n">
        <v>0</v>
      </c>
      <c r="I479" t="n">
        <v>0</v>
      </c>
      <c r="J479" t="n">
        <v>0</v>
      </c>
      <c r="K479" t="n">
        <v>0</v>
      </c>
      <c r="L479" t="n">
        <v>0</v>
      </c>
      <c r="M479" t="n">
        <v>0</v>
      </c>
      <c r="N479" t="n">
        <v>0</v>
      </c>
      <c r="O479" t="n">
        <v>0</v>
      </c>
      <c r="P479" t="n">
        <v>0</v>
      </c>
      <c r="Q479" t="n">
        <v>0</v>
      </c>
      <c r="R479" s="2" t="inlineStr"/>
    </row>
    <row r="480" ht="15" customHeight="1">
      <c r="A480" t="inlineStr">
        <is>
          <t>A 46461-2020</t>
        </is>
      </c>
      <c r="B480" s="1" t="n">
        <v>44092</v>
      </c>
      <c r="C480" s="1" t="n">
        <v>45338</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46527-2020</t>
        </is>
      </c>
      <c r="B481" s="1" t="n">
        <v>44095</v>
      </c>
      <c r="C481" s="1" t="n">
        <v>45338</v>
      </c>
      <c r="D481" t="inlineStr">
        <is>
          <t>KALMAR LÄN</t>
        </is>
      </c>
      <c r="E481" t="inlineStr">
        <is>
          <t>VIMMERBY</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47295-2020</t>
        </is>
      </c>
      <c r="B482" s="1" t="n">
        <v>44097</v>
      </c>
      <c r="C482" s="1" t="n">
        <v>45338</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49059-2020</t>
        </is>
      </c>
      <c r="B483" s="1" t="n">
        <v>44102</v>
      </c>
      <c r="C483" s="1" t="n">
        <v>45338</v>
      </c>
      <c r="D483" t="inlineStr">
        <is>
          <t>KALMAR LÄN</t>
        </is>
      </c>
      <c r="E483" t="inlineStr">
        <is>
          <t>VIMMERBY</t>
        </is>
      </c>
      <c r="G483" t="n">
        <v>5.8</v>
      </c>
      <c r="H483" t="n">
        <v>0</v>
      </c>
      <c r="I483" t="n">
        <v>0</v>
      </c>
      <c r="J483" t="n">
        <v>0</v>
      </c>
      <c r="K483" t="n">
        <v>0</v>
      </c>
      <c r="L483" t="n">
        <v>0</v>
      </c>
      <c r="M483" t="n">
        <v>0</v>
      </c>
      <c r="N483" t="n">
        <v>0</v>
      </c>
      <c r="O483" t="n">
        <v>0</v>
      </c>
      <c r="P483" t="n">
        <v>0</v>
      </c>
      <c r="Q483" t="n">
        <v>0</v>
      </c>
      <c r="R483" s="2" t="inlineStr"/>
    </row>
    <row r="484" ht="15" customHeight="1">
      <c r="A484" t="inlineStr">
        <is>
          <t>A 48949-2020</t>
        </is>
      </c>
      <c r="B484" s="1" t="n">
        <v>44102</v>
      </c>
      <c r="C484" s="1" t="n">
        <v>45338</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49186-2020</t>
        </is>
      </c>
      <c r="B485" s="1" t="n">
        <v>44105</v>
      </c>
      <c r="C485" s="1" t="n">
        <v>45338</v>
      </c>
      <c r="D485" t="inlineStr">
        <is>
          <t>KALMAR LÄN</t>
        </is>
      </c>
      <c r="E485" t="inlineStr">
        <is>
          <t>VIMMERBY</t>
        </is>
      </c>
      <c r="F485" t="inlineStr">
        <is>
          <t>Sveaskog</t>
        </is>
      </c>
      <c r="G485" t="n">
        <v>3.8</v>
      </c>
      <c r="H485" t="n">
        <v>0</v>
      </c>
      <c r="I485" t="n">
        <v>0</v>
      </c>
      <c r="J485" t="n">
        <v>0</v>
      </c>
      <c r="K485" t="n">
        <v>0</v>
      </c>
      <c r="L485" t="n">
        <v>0</v>
      </c>
      <c r="M485" t="n">
        <v>0</v>
      </c>
      <c r="N485" t="n">
        <v>0</v>
      </c>
      <c r="O485" t="n">
        <v>0</v>
      </c>
      <c r="P485" t="n">
        <v>0</v>
      </c>
      <c r="Q485" t="n">
        <v>0</v>
      </c>
      <c r="R485" s="2" t="inlineStr"/>
    </row>
    <row r="486" ht="15" customHeight="1">
      <c r="A486" t="inlineStr">
        <is>
          <t>A 51571-2020</t>
        </is>
      </c>
      <c r="B486" s="1" t="n">
        <v>44109</v>
      </c>
      <c r="C486" s="1" t="n">
        <v>45338</v>
      </c>
      <c r="D486" t="inlineStr">
        <is>
          <t>KALMAR LÄN</t>
        </is>
      </c>
      <c r="E486" t="inlineStr">
        <is>
          <t>VIMMERBY</t>
        </is>
      </c>
      <c r="G486" t="n">
        <v>6.1</v>
      </c>
      <c r="H486" t="n">
        <v>0</v>
      </c>
      <c r="I486" t="n">
        <v>0</v>
      </c>
      <c r="J486" t="n">
        <v>0</v>
      </c>
      <c r="K486" t="n">
        <v>0</v>
      </c>
      <c r="L486" t="n">
        <v>0</v>
      </c>
      <c r="M486" t="n">
        <v>0</v>
      </c>
      <c r="N486" t="n">
        <v>0</v>
      </c>
      <c r="O486" t="n">
        <v>0</v>
      </c>
      <c r="P486" t="n">
        <v>0</v>
      </c>
      <c r="Q486" t="n">
        <v>0</v>
      </c>
      <c r="R486" s="2" t="inlineStr"/>
    </row>
    <row r="487" ht="15" customHeight="1">
      <c r="A487" t="inlineStr">
        <is>
          <t>A 51569-2020</t>
        </is>
      </c>
      <c r="B487" s="1" t="n">
        <v>44109</v>
      </c>
      <c r="C487" s="1" t="n">
        <v>45338</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50764-2020</t>
        </is>
      </c>
      <c r="B488" s="1" t="n">
        <v>44111</v>
      </c>
      <c r="C488" s="1" t="n">
        <v>45338</v>
      </c>
      <c r="D488" t="inlineStr">
        <is>
          <t>KALMAR LÄN</t>
        </is>
      </c>
      <c r="E488" t="inlineStr">
        <is>
          <t>VIMMERBY</t>
        </is>
      </c>
      <c r="G488" t="n">
        <v>2.3</v>
      </c>
      <c r="H488" t="n">
        <v>0</v>
      </c>
      <c r="I488" t="n">
        <v>0</v>
      </c>
      <c r="J488" t="n">
        <v>0</v>
      </c>
      <c r="K488" t="n">
        <v>0</v>
      </c>
      <c r="L488" t="n">
        <v>0</v>
      </c>
      <c r="M488" t="n">
        <v>0</v>
      </c>
      <c r="N488" t="n">
        <v>0</v>
      </c>
      <c r="O488" t="n">
        <v>0</v>
      </c>
      <c r="P488" t="n">
        <v>0</v>
      </c>
      <c r="Q488" t="n">
        <v>0</v>
      </c>
      <c r="R488" s="2" t="inlineStr"/>
    </row>
    <row r="489" ht="15" customHeight="1">
      <c r="A489" t="inlineStr">
        <is>
          <t>A 51977-2020</t>
        </is>
      </c>
      <c r="B489" s="1" t="n">
        <v>44116</v>
      </c>
      <c r="C489" s="1" t="n">
        <v>45338</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52073-2020</t>
        </is>
      </c>
      <c r="B490" s="1" t="n">
        <v>44117</v>
      </c>
      <c r="C490" s="1" t="n">
        <v>45338</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53100-2020</t>
        </is>
      </c>
      <c r="B491" s="1" t="n">
        <v>44120</v>
      </c>
      <c r="C491" s="1" t="n">
        <v>45338</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53387-2020</t>
        </is>
      </c>
      <c r="B492" s="1" t="n">
        <v>44123</v>
      </c>
      <c r="C492" s="1" t="n">
        <v>45338</v>
      </c>
      <c r="D492" t="inlineStr">
        <is>
          <t>KALMAR LÄN</t>
        </is>
      </c>
      <c r="E492" t="inlineStr">
        <is>
          <t>VIMMERBY</t>
        </is>
      </c>
      <c r="G492" t="n">
        <v>7.2</v>
      </c>
      <c r="H492" t="n">
        <v>0</v>
      </c>
      <c r="I492" t="n">
        <v>0</v>
      </c>
      <c r="J492" t="n">
        <v>0</v>
      </c>
      <c r="K492" t="n">
        <v>0</v>
      </c>
      <c r="L492" t="n">
        <v>0</v>
      </c>
      <c r="M492" t="n">
        <v>0</v>
      </c>
      <c r="N492" t="n">
        <v>0</v>
      </c>
      <c r="O492" t="n">
        <v>0</v>
      </c>
      <c r="P492" t="n">
        <v>0</v>
      </c>
      <c r="Q492" t="n">
        <v>0</v>
      </c>
      <c r="R492" s="2" t="inlineStr"/>
    </row>
    <row r="493" ht="15" customHeight="1">
      <c r="A493" t="inlineStr">
        <is>
          <t>A 53711-2020</t>
        </is>
      </c>
      <c r="B493" s="1" t="n">
        <v>44124</v>
      </c>
      <c r="C493" s="1" t="n">
        <v>45338</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54917-2020</t>
        </is>
      </c>
      <c r="B494" s="1" t="n">
        <v>44127</v>
      </c>
      <c r="C494" s="1" t="n">
        <v>45338</v>
      </c>
      <c r="D494" t="inlineStr">
        <is>
          <t>KALMAR LÄN</t>
        </is>
      </c>
      <c r="E494" t="inlineStr">
        <is>
          <t>VIMMERBY</t>
        </is>
      </c>
      <c r="G494" t="n">
        <v>9.5</v>
      </c>
      <c r="H494" t="n">
        <v>0</v>
      </c>
      <c r="I494" t="n">
        <v>0</v>
      </c>
      <c r="J494" t="n">
        <v>0</v>
      </c>
      <c r="K494" t="n">
        <v>0</v>
      </c>
      <c r="L494" t="n">
        <v>0</v>
      </c>
      <c r="M494" t="n">
        <v>0</v>
      </c>
      <c r="N494" t="n">
        <v>0</v>
      </c>
      <c r="O494" t="n">
        <v>0</v>
      </c>
      <c r="P494" t="n">
        <v>0</v>
      </c>
      <c r="Q494" t="n">
        <v>0</v>
      </c>
      <c r="R494" s="2" t="inlineStr"/>
    </row>
    <row r="495" ht="15" customHeight="1">
      <c r="A495" t="inlineStr">
        <is>
          <t>A 55053-2020</t>
        </is>
      </c>
      <c r="B495" s="1" t="n">
        <v>44130</v>
      </c>
      <c r="C495" s="1" t="n">
        <v>45338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57948-2020</t>
        </is>
      </c>
      <c r="B496" s="1" t="n">
        <v>44142</v>
      </c>
      <c r="C496" s="1" t="n">
        <v>45338</v>
      </c>
      <c r="D496" t="inlineStr">
        <is>
          <t>KALMAR LÄN</t>
        </is>
      </c>
      <c r="E496" t="inlineStr">
        <is>
          <t>VIMMERBY</t>
        </is>
      </c>
      <c r="G496" t="n">
        <v>7.1</v>
      </c>
      <c r="H496" t="n">
        <v>0</v>
      </c>
      <c r="I496" t="n">
        <v>0</v>
      </c>
      <c r="J496" t="n">
        <v>0</v>
      </c>
      <c r="K496" t="n">
        <v>0</v>
      </c>
      <c r="L496" t="n">
        <v>0</v>
      </c>
      <c r="M496" t="n">
        <v>0</v>
      </c>
      <c r="N496" t="n">
        <v>0</v>
      </c>
      <c r="O496" t="n">
        <v>0</v>
      </c>
      <c r="P496" t="n">
        <v>0</v>
      </c>
      <c r="Q496" t="n">
        <v>0</v>
      </c>
      <c r="R496" s="2" t="inlineStr"/>
    </row>
    <row r="497" ht="15" customHeight="1">
      <c r="A497" t="inlineStr">
        <is>
          <t>A 58026-2020</t>
        </is>
      </c>
      <c r="B497" s="1" t="n">
        <v>44144</v>
      </c>
      <c r="C497" s="1" t="n">
        <v>45338</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58145-2020</t>
        </is>
      </c>
      <c r="B498" s="1" t="n">
        <v>44144</v>
      </c>
      <c r="C498" s="1" t="n">
        <v>45338</v>
      </c>
      <c r="D498" t="inlineStr">
        <is>
          <t>KALMAR LÄN</t>
        </is>
      </c>
      <c r="E498" t="inlineStr">
        <is>
          <t>VIMMERBY</t>
        </is>
      </c>
      <c r="G498" t="n">
        <v>1.9</v>
      </c>
      <c r="H498" t="n">
        <v>0</v>
      </c>
      <c r="I498" t="n">
        <v>0</v>
      </c>
      <c r="J498" t="n">
        <v>0</v>
      </c>
      <c r="K498" t="n">
        <v>0</v>
      </c>
      <c r="L498" t="n">
        <v>0</v>
      </c>
      <c r="M498" t="n">
        <v>0</v>
      </c>
      <c r="N498" t="n">
        <v>0</v>
      </c>
      <c r="O498" t="n">
        <v>0</v>
      </c>
      <c r="P498" t="n">
        <v>0</v>
      </c>
      <c r="Q498" t="n">
        <v>0</v>
      </c>
      <c r="R498" s="2" t="inlineStr"/>
    </row>
    <row r="499" ht="15" customHeight="1">
      <c r="A499" t="inlineStr">
        <is>
          <t>A 60810-2020</t>
        </is>
      </c>
      <c r="B499" s="1" t="n">
        <v>44154</v>
      </c>
      <c r="C499" s="1" t="n">
        <v>45338</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61878-2020</t>
        </is>
      </c>
      <c r="B500" s="1" t="n">
        <v>44159</v>
      </c>
      <c r="C500" s="1" t="n">
        <v>45338</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64707-2020</t>
        </is>
      </c>
      <c r="B501" s="1" t="n">
        <v>44169</v>
      </c>
      <c r="C501" s="1" t="n">
        <v>45338</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65049-2020</t>
        </is>
      </c>
      <c r="B502" s="1" t="n">
        <v>44172</v>
      </c>
      <c r="C502" s="1" t="n">
        <v>45338</v>
      </c>
      <c r="D502" t="inlineStr">
        <is>
          <t>KALMAR LÄN</t>
        </is>
      </c>
      <c r="E502" t="inlineStr">
        <is>
          <t>VIMMERBY</t>
        </is>
      </c>
      <c r="G502" t="n">
        <v>2.3</v>
      </c>
      <c r="H502" t="n">
        <v>0</v>
      </c>
      <c r="I502" t="n">
        <v>0</v>
      </c>
      <c r="J502" t="n">
        <v>0</v>
      </c>
      <c r="K502" t="n">
        <v>0</v>
      </c>
      <c r="L502" t="n">
        <v>0</v>
      </c>
      <c r="M502" t="n">
        <v>0</v>
      </c>
      <c r="N502" t="n">
        <v>0</v>
      </c>
      <c r="O502" t="n">
        <v>0</v>
      </c>
      <c r="P502" t="n">
        <v>0</v>
      </c>
      <c r="Q502" t="n">
        <v>0</v>
      </c>
      <c r="R502" s="2" t="inlineStr"/>
    </row>
    <row r="503" ht="15" customHeight="1">
      <c r="A503" t="inlineStr">
        <is>
          <t>A 65564-2020</t>
        </is>
      </c>
      <c r="B503" s="1" t="n">
        <v>44172</v>
      </c>
      <c r="C503" s="1" t="n">
        <v>45338</v>
      </c>
      <c r="D503" t="inlineStr">
        <is>
          <t>KALMAR LÄN</t>
        </is>
      </c>
      <c r="E503" t="inlineStr">
        <is>
          <t>VIMMERBY</t>
        </is>
      </c>
      <c r="G503" t="n">
        <v>4.1</v>
      </c>
      <c r="H503" t="n">
        <v>0</v>
      </c>
      <c r="I503" t="n">
        <v>0</v>
      </c>
      <c r="J503" t="n">
        <v>0</v>
      </c>
      <c r="K503" t="n">
        <v>0</v>
      </c>
      <c r="L503" t="n">
        <v>0</v>
      </c>
      <c r="M503" t="n">
        <v>0</v>
      </c>
      <c r="N503" t="n">
        <v>0</v>
      </c>
      <c r="O503" t="n">
        <v>0</v>
      </c>
      <c r="P503" t="n">
        <v>0</v>
      </c>
      <c r="Q503" t="n">
        <v>0</v>
      </c>
      <c r="R503" s="2" t="inlineStr"/>
    </row>
    <row r="504" ht="15" customHeight="1">
      <c r="A504" t="inlineStr">
        <is>
          <t>A 65956-2020</t>
        </is>
      </c>
      <c r="B504" s="1" t="n">
        <v>44175</v>
      </c>
      <c r="C504" s="1" t="n">
        <v>45338</v>
      </c>
      <c r="D504" t="inlineStr">
        <is>
          <t>KALMAR LÄN</t>
        </is>
      </c>
      <c r="E504" t="inlineStr">
        <is>
          <t>VIMMERBY</t>
        </is>
      </c>
      <c r="G504" t="n">
        <v>1.9</v>
      </c>
      <c r="H504" t="n">
        <v>0</v>
      </c>
      <c r="I504" t="n">
        <v>0</v>
      </c>
      <c r="J504" t="n">
        <v>0</v>
      </c>
      <c r="K504" t="n">
        <v>0</v>
      </c>
      <c r="L504" t="n">
        <v>0</v>
      </c>
      <c r="M504" t="n">
        <v>0</v>
      </c>
      <c r="N504" t="n">
        <v>0</v>
      </c>
      <c r="O504" t="n">
        <v>0</v>
      </c>
      <c r="P504" t="n">
        <v>0</v>
      </c>
      <c r="Q504" t="n">
        <v>0</v>
      </c>
      <c r="R504" s="2" t="inlineStr"/>
    </row>
    <row r="505" ht="15" customHeight="1">
      <c r="A505" t="inlineStr">
        <is>
          <t>A 65952-2020</t>
        </is>
      </c>
      <c r="B505" s="1" t="n">
        <v>44175</v>
      </c>
      <c r="C505" s="1" t="n">
        <v>45338</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65961-2020</t>
        </is>
      </c>
      <c r="B506" s="1" t="n">
        <v>44175</v>
      </c>
      <c r="C506" s="1" t="n">
        <v>45338</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65973-2020</t>
        </is>
      </c>
      <c r="B507" s="1" t="n">
        <v>44175</v>
      </c>
      <c r="C507" s="1" t="n">
        <v>45338</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66913-2020</t>
        </is>
      </c>
      <c r="B508" s="1" t="n">
        <v>44175</v>
      </c>
      <c r="C508" s="1" t="n">
        <v>45338</v>
      </c>
      <c r="D508" t="inlineStr">
        <is>
          <t>KALMAR LÄN</t>
        </is>
      </c>
      <c r="E508" t="inlineStr">
        <is>
          <t>VIMMERBY</t>
        </is>
      </c>
      <c r="G508" t="n">
        <v>5.6</v>
      </c>
      <c r="H508" t="n">
        <v>0</v>
      </c>
      <c r="I508" t="n">
        <v>0</v>
      </c>
      <c r="J508" t="n">
        <v>0</v>
      </c>
      <c r="K508" t="n">
        <v>0</v>
      </c>
      <c r="L508" t="n">
        <v>0</v>
      </c>
      <c r="M508" t="n">
        <v>0</v>
      </c>
      <c r="N508" t="n">
        <v>0</v>
      </c>
      <c r="O508" t="n">
        <v>0</v>
      </c>
      <c r="P508" t="n">
        <v>0</v>
      </c>
      <c r="Q508" t="n">
        <v>0</v>
      </c>
      <c r="R508" s="2" t="inlineStr"/>
    </row>
    <row r="509" ht="15" customHeight="1">
      <c r="A509" t="inlineStr">
        <is>
          <t>A 66295-2020</t>
        </is>
      </c>
      <c r="B509" s="1" t="n">
        <v>44176</v>
      </c>
      <c r="C509" s="1" t="n">
        <v>45338</v>
      </c>
      <c r="D509" t="inlineStr">
        <is>
          <t>KALMAR LÄN</t>
        </is>
      </c>
      <c r="E509" t="inlineStr">
        <is>
          <t>VIMMERBY</t>
        </is>
      </c>
      <c r="G509" t="n">
        <v>4.1</v>
      </c>
      <c r="H509" t="n">
        <v>0</v>
      </c>
      <c r="I509" t="n">
        <v>0</v>
      </c>
      <c r="J509" t="n">
        <v>0</v>
      </c>
      <c r="K509" t="n">
        <v>0</v>
      </c>
      <c r="L509" t="n">
        <v>0</v>
      </c>
      <c r="M509" t="n">
        <v>0</v>
      </c>
      <c r="N509" t="n">
        <v>0</v>
      </c>
      <c r="O509" t="n">
        <v>0</v>
      </c>
      <c r="P509" t="n">
        <v>0</v>
      </c>
      <c r="Q509" t="n">
        <v>0</v>
      </c>
      <c r="R509" s="2" t="inlineStr"/>
    </row>
    <row r="510" ht="15" customHeight="1">
      <c r="A510" t="inlineStr">
        <is>
          <t>A 68744-2020</t>
        </is>
      </c>
      <c r="B510" s="1" t="n">
        <v>44186</v>
      </c>
      <c r="C510" s="1" t="n">
        <v>45338</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68785-2020</t>
        </is>
      </c>
      <c r="B511" s="1" t="n">
        <v>44186</v>
      </c>
      <c r="C511" s="1" t="n">
        <v>45338</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618-2021</t>
        </is>
      </c>
      <c r="B512" s="1" t="n">
        <v>44203</v>
      </c>
      <c r="C512" s="1" t="n">
        <v>45338</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1929-2021</t>
        </is>
      </c>
      <c r="B513" s="1" t="n">
        <v>44210</v>
      </c>
      <c r="C513" s="1" t="n">
        <v>45338</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2555-2021</t>
        </is>
      </c>
      <c r="B514" s="1" t="n">
        <v>44214</v>
      </c>
      <c r="C514" s="1" t="n">
        <v>45338</v>
      </c>
      <c r="D514" t="inlineStr">
        <is>
          <t>KALMAR LÄN</t>
        </is>
      </c>
      <c r="E514" t="inlineStr">
        <is>
          <t>VIMMERBY</t>
        </is>
      </c>
      <c r="G514" t="n">
        <v>7.3</v>
      </c>
      <c r="H514" t="n">
        <v>0</v>
      </c>
      <c r="I514" t="n">
        <v>0</v>
      </c>
      <c r="J514" t="n">
        <v>0</v>
      </c>
      <c r="K514" t="n">
        <v>0</v>
      </c>
      <c r="L514" t="n">
        <v>0</v>
      </c>
      <c r="M514" t="n">
        <v>0</v>
      </c>
      <c r="N514" t="n">
        <v>0</v>
      </c>
      <c r="O514" t="n">
        <v>0</v>
      </c>
      <c r="P514" t="n">
        <v>0</v>
      </c>
      <c r="Q514" t="n">
        <v>0</v>
      </c>
      <c r="R514" s="2" t="inlineStr"/>
    </row>
    <row r="515" ht="15" customHeight="1">
      <c r="A515" t="inlineStr">
        <is>
          <t>A 2654-2021</t>
        </is>
      </c>
      <c r="B515" s="1" t="n">
        <v>44215</v>
      </c>
      <c r="C515" s="1" t="n">
        <v>45338</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3330-2021</t>
        </is>
      </c>
      <c r="B516" s="1" t="n">
        <v>44217</v>
      </c>
      <c r="C516" s="1" t="n">
        <v>45338</v>
      </c>
      <c r="D516" t="inlineStr">
        <is>
          <t>KALMAR LÄN</t>
        </is>
      </c>
      <c r="E516" t="inlineStr">
        <is>
          <t>VIMMERBY</t>
        </is>
      </c>
      <c r="G516" t="n">
        <v>11.1</v>
      </c>
      <c r="H516" t="n">
        <v>0</v>
      </c>
      <c r="I516" t="n">
        <v>0</v>
      </c>
      <c r="J516" t="n">
        <v>0</v>
      </c>
      <c r="K516" t="n">
        <v>0</v>
      </c>
      <c r="L516" t="n">
        <v>0</v>
      </c>
      <c r="M516" t="n">
        <v>0</v>
      </c>
      <c r="N516" t="n">
        <v>0</v>
      </c>
      <c r="O516" t="n">
        <v>0</v>
      </c>
      <c r="P516" t="n">
        <v>0</v>
      </c>
      <c r="Q516" t="n">
        <v>0</v>
      </c>
      <c r="R516" s="2" t="inlineStr"/>
    </row>
    <row r="517" ht="15" customHeight="1">
      <c r="A517" t="inlineStr">
        <is>
          <t>A 3184-2021</t>
        </is>
      </c>
      <c r="B517" s="1" t="n">
        <v>44217</v>
      </c>
      <c r="C517" s="1" t="n">
        <v>45338</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3621-2021</t>
        </is>
      </c>
      <c r="B518" s="1" t="n">
        <v>44221</v>
      </c>
      <c r="C518" s="1" t="n">
        <v>45338</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4762-2021</t>
        </is>
      </c>
      <c r="B519" s="1" t="n">
        <v>44225</v>
      </c>
      <c r="C519" s="1" t="n">
        <v>45338</v>
      </c>
      <c r="D519" t="inlineStr">
        <is>
          <t>KALMAR LÄN</t>
        </is>
      </c>
      <c r="E519" t="inlineStr">
        <is>
          <t>VIMMERBY</t>
        </is>
      </c>
      <c r="G519" t="n">
        <v>5.3</v>
      </c>
      <c r="H519" t="n">
        <v>0</v>
      </c>
      <c r="I519" t="n">
        <v>0</v>
      </c>
      <c r="J519" t="n">
        <v>0</v>
      </c>
      <c r="K519" t="n">
        <v>0</v>
      </c>
      <c r="L519" t="n">
        <v>0</v>
      </c>
      <c r="M519" t="n">
        <v>0</v>
      </c>
      <c r="N519" t="n">
        <v>0</v>
      </c>
      <c r="O519" t="n">
        <v>0</v>
      </c>
      <c r="P519" t="n">
        <v>0</v>
      </c>
      <c r="Q519" t="n">
        <v>0</v>
      </c>
      <c r="R519" s="2" t="inlineStr"/>
    </row>
    <row r="520" ht="15" customHeight="1">
      <c r="A520" t="inlineStr">
        <is>
          <t>A 5689-2021</t>
        </is>
      </c>
      <c r="B520" s="1" t="n">
        <v>44230</v>
      </c>
      <c r="C520" s="1" t="n">
        <v>45338</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5654-2021</t>
        </is>
      </c>
      <c r="B521" s="1" t="n">
        <v>44230</v>
      </c>
      <c r="C521" s="1" t="n">
        <v>45338</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6841-2021</t>
        </is>
      </c>
      <c r="B522" s="1" t="n">
        <v>44236</v>
      </c>
      <c r="C522" s="1" t="n">
        <v>45338</v>
      </c>
      <c r="D522" t="inlineStr">
        <is>
          <t>KALMAR LÄN</t>
        </is>
      </c>
      <c r="E522" t="inlineStr">
        <is>
          <t>VIMMERBY</t>
        </is>
      </c>
      <c r="G522" t="n">
        <v>25</v>
      </c>
      <c r="H522" t="n">
        <v>0</v>
      </c>
      <c r="I522" t="n">
        <v>0</v>
      </c>
      <c r="J522" t="n">
        <v>0</v>
      </c>
      <c r="K522" t="n">
        <v>0</v>
      </c>
      <c r="L522" t="n">
        <v>0</v>
      </c>
      <c r="M522" t="n">
        <v>0</v>
      </c>
      <c r="N522" t="n">
        <v>0</v>
      </c>
      <c r="O522" t="n">
        <v>0</v>
      </c>
      <c r="P522" t="n">
        <v>0</v>
      </c>
      <c r="Q522" t="n">
        <v>0</v>
      </c>
      <c r="R522" s="2" t="inlineStr"/>
    </row>
    <row r="523" ht="15" customHeight="1">
      <c r="A523" t="inlineStr">
        <is>
          <t>A 7072-2021</t>
        </is>
      </c>
      <c r="B523" s="1" t="n">
        <v>44237</v>
      </c>
      <c r="C523" s="1" t="n">
        <v>45338</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7075-2021</t>
        </is>
      </c>
      <c r="B524" s="1" t="n">
        <v>44237</v>
      </c>
      <c r="C524" s="1" t="n">
        <v>45338</v>
      </c>
      <c r="D524" t="inlineStr">
        <is>
          <t>KALMAR LÄN</t>
        </is>
      </c>
      <c r="E524" t="inlineStr">
        <is>
          <t>VIMMERBY</t>
        </is>
      </c>
      <c r="G524" t="n">
        <v>3.6</v>
      </c>
      <c r="H524" t="n">
        <v>0</v>
      </c>
      <c r="I524" t="n">
        <v>0</v>
      </c>
      <c r="J524" t="n">
        <v>0</v>
      </c>
      <c r="K524" t="n">
        <v>0</v>
      </c>
      <c r="L524" t="n">
        <v>0</v>
      </c>
      <c r="M524" t="n">
        <v>0</v>
      </c>
      <c r="N524" t="n">
        <v>0</v>
      </c>
      <c r="O524" t="n">
        <v>0</v>
      </c>
      <c r="P524" t="n">
        <v>0</v>
      </c>
      <c r="Q524" t="n">
        <v>0</v>
      </c>
      <c r="R524" s="2" t="inlineStr"/>
    </row>
    <row r="525" ht="15" customHeight="1">
      <c r="A525" t="inlineStr">
        <is>
          <t>A 7515-2021</t>
        </is>
      </c>
      <c r="B525" s="1" t="n">
        <v>44238</v>
      </c>
      <c r="C525" s="1" t="n">
        <v>45338</v>
      </c>
      <c r="D525" t="inlineStr">
        <is>
          <t>KALMAR LÄN</t>
        </is>
      </c>
      <c r="E525" t="inlineStr">
        <is>
          <t>VIMMERBY</t>
        </is>
      </c>
      <c r="G525" t="n">
        <v>20.9</v>
      </c>
      <c r="H525" t="n">
        <v>0</v>
      </c>
      <c r="I525" t="n">
        <v>0</v>
      </c>
      <c r="J525" t="n">
        <v>0</v>
      </c>
      <c r="K525" t="n">
        <v>0</v>
      </c>
      <c r="L525" t="n">
        <v>0</v>
      </c>
      <c r="M525" t="n">
        <v>0</v>
      </c>
      <c r="N525" t="n">
        <v>0</v>
      </c>
      <c r="O525" t="n">
        <v>0</v>
      </c>
      <c r="P525" t="n">
        <v>0</v>
      </c>
      <c r="Q525" t="n">
        <v>0</v>
      </c>
      <c r="R525" s="2" t="inlineStr"/>
    </row>
    <row r="526" ht="15" customHeight="1">
      <c r="A526" t="inlineStr">
        <is>
          <t>A 7828-2021</t>
        </is>
      </c>
      <c r="B526" s="1" t="n">
        <v>44242</v>
      </c>
      <c r="C526" s="1" t="n">
        <v>45338</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8121-2021</t>
        </is>
      </c>
      <c r="B527" s="1" t="n">
        <v>44243</v>
      </c>
      <c r="C527" s="1" t="n">
        <v>45338</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8086-2021</t>
        </is>
      </c>
      <c r="B528" s="1" t="n">
        <v>44243</v>
      </c>
      <c r="C528" s="1" t="n">
        <v>45338</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8415-2021</t>
        </is>
      </c>
      <c r="B529" s="1" t="n">
        <v>44245</v>
      </c>
      <c r="C529" s="1" t="n">
        <v>45338</v>
      </c>
      <c r="D529" t="inlineStr">
        <is>
          <t>KALMAR LÄN</t>
        </is>
      </c>
      <c r="E529" t="inlineStr">
        <is>
          <t>VIMMERBY</t>
        </is>
      </c>
      <c r="G529" t="n">
        <v>4.7</v>
      </c>
      <c r="H529" t="n">
        <v>0</v>
      </c>
      <c r="I529" t="n">
        <v>0</v>
      </c>
      <c r="J529" t="n">
        <v>0</v>
      </c>
      <c r="K529" t="n">
        <v>0</v>
      </c>
      <c r="L529" t="n">
        <v>0</v>
      </c>
      <c r="M529" t="n">
        <v>0</v>
      </c>
      <c r="N529" t="n">
        <v>0</v>
      </c>
      <c r="O529" t="n">
        <v>0</v>
      </c>
      <c r="P529" t="n">
        <v>0</v>
      </c>
      <c r="Q529" t="n">
        <v>0</v>
      </c>
      <c r="R529" s="2" t="inlineStr"/>
    </row>
    <row r="530" ht="15" customHeight="1">
      <c r="A530" t="inlineStr">
        <is>
          <t>A 9836-2021</t>
        </is>
      </c>
      <c r="B530" s="1" t="n">
        <v>44253</v>
      </c>
      <c r="C530" s="1" t="n">
        <v>45338</v>
      </c>
      <c r="D530" t="inlineStr">
        <is>
          <t>KALMAR LÄN</t>
        </is>
      </c>
      <c r="E530" t="inlineStr">
        <is>
          <t>VIMMERBY</t>
        </is>
      </c>
      <c r="F530" t="inlineStr">
        <is>
          <t>Sveaskog</t>
        </is>
      </c>
      <c r="G530" t="n">
        <v>3.8</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45338</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10518-2021</t>
        </is>
      </c>
      <c r="B532" s="1" t="n">
        <v>44258</v>
      </c>
      <c r="C532" s="1" t="n">
        <v>45338</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10744-2021</t>
        </is>
      </c>
      <c r="B533" s="1" t="n">
        <v>44259</v>
      </c>
      <c r="C533" s="1" t="n">
        <v>45338</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10928-2021</t>
        </is>
      </c>
      <c r="B534" s="1" t="n">
        <v>44259</v>
      </c>
      <c r="C534" s="1" t="n">
        <v>45338</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11011-2021</t>
        </is>
      </c>
      <c r="B535" s="1" t="n">
        <v>44260</v>
      </c>
      <c r="C535" s="1" t="n">
        <v>45338</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12241-2021</t>
        </is>
      </c>
      <c r="B536" s="1" t="n">
        <v>44266</v>
      </c>
      <c r="C536" s="1" t="n">
        <v>45338</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12465-2021</t>
        </is>
      </c>
      <c r="B537" s="1" t="n">
        <v>44267</v>
      </c>
      <c r="C537" s="1" t="n">
        <v>45338</v>
      </c>
      <c r="D537" t="inlineStr">
        <is>
          <t>KALMAR LÄN</t>
        </is>
      </c>
      <c r="E537" t="inlineStr">
        <is>
          <t>VIMMERBY</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12467-2021</t>
        </is>
      </c>
      <c r="B538" s="1" t="n">
        <v>44267</v>
      </c>
      <c r="C538" s="1" t="n">
        <v>45338</v>
      </c>
      <c r="D538" t="inlineStr">
        <is>
          <t>KALMAR LÄN</t>
        </is>
      </c>
      <c r="E538" t="inlineStr">
        <is>
          <t>VIMMERBY</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12586-2021</t>
        </is>
      </c>
      <c r="B539" s="1" t="n">
        <v>44270</v>
      </c>
      <c r="C539" s="1" t="n">
        <v>45338</v>
      </c>
      <c r="D539" t="inlineStr">
        <is>
          <t>KALMAR LÄN</t>
        </is>
      </c>
      <c r="E539" t="inlineStr">
        <is>
          <t>VIMMERBY</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12661-2021</t>
        </is>
      </c>
      <c r="B540" s="1" t="n">
        <v>44270</v>
      </c>
      <c r="C540" s="1" t="n">
        <v>45338</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12757-2021</t>
        </is>
      </c>
      <c r="B541" s="1" t="n">
        <v>44270</v>
      </c>
      <c r="C541" s="1" t="n">
        <v>45338</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12585-2021</t>
        </is>
      </c>
      <c r="B542" s="1" t="n">
        <v>44270</v>
      </c>
      <c r="C542" s="1" t="n">
        <v>45338</v>
      </c>
      <c r="D542" t="inlineStr">
        <is>
          <t>KALMAR LÄN</t>
        </is>
      </c>
      <c r="E542" t="inlineStr">
        <is>
          <t>VIMMERBY</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12597-2021</t>
        </is>
      </c>
      <c r="B543" s="1" t="n">
        <v>44270</v>
      </c>
      <c r="C543" s="1" t="n">
        <v>45338</v>
      </c>
      <c r="D543" t="inlineStr">
        <is>
          <t>KALMAR LÄN</t>
        </is>
      </c>
      <c r="E543" t="inlineStr">
        <is>
          <t>VIMMERBY</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12582-2021</t>
        </is>
      </c>
      <c r="B544" s="1" t="n">
        <v>44270</v>
      </c>
      <c r="C544" s="1" t="n">
        <v>45338</v>
      </c>
      <c r="D544" t="inlineStr">
        <is>
          <t>KALMAR LÄN</t>
        </is>
      </c>
      <c r="E544" t="inlineStr">
        <is>
          <t>VIMMERBY</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12596-2021</t>
        </is>
      </c>
      <c r="B545" s="1" t="n">
        <v>44270</v>
      </c>
      <c r="C545" s="1" t="n">
        <v>45338</v>
      </c>
      <c r="D545" t="inlineStr">
        <is>
          <t>KALMAR LÄN</t>
        </is>
      </c>
      <c r="E545" t="inlineStr">
        <is>
          <t>VIMMERBY</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12587-2021</t>
        </is>
      </c>
      <c r="B546" s="1" t="n">
        <v>44270</v>
      </c>
      <c r="C546" s="1" t="n">
        <v>45338</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12595-2021</t>
        </is>
      </c>
      <c r="B547" s="1" t="n">
        <v>44270</v>
      </c>
      <c r="C547" s="1" t="n">
        <v>45338</v>
      </c>
      <c r="D547" t="inlineStr">
        <is>
          <t>KALMAR LÄN</t>
        </is>
      </c>
      <c r="E547" t="inlineStr">
        <is>
          <t>VIMMERBY</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12662-2021</t>
        </is>
      </c>
      <c r="B548" s="1" t="n">
        <v>44270</v>
      </c>
      <c r="C548" s="1" t="n">
        <v>45338</v>
      </c>
      <c r="D548" t="inlineStr">
        <is>
          <t>KALMAR LÄN</t>
        </is>
      </c>
      <c r="E548" t="inlineStr">
        <is>
          <t>VIMMERBY</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12848-2021</t>
        </is>
      </c>
      <c r="B549" s="1" t="n">
        <v>44271</v>
      </c>
      <c r="C549" s="1" t="n">
        <v>45338</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13457-2021</t>
        </is>
      </c>
      <c r="B550" s="1" t="n">
        <v>44273</v>
      </c>
      <c r="C550" s="1" t="n">
        <v>45338</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13492-2021</t>
        </is>
      </c>
      <c r="B551" s="1" t="n">
        <v>44273</v>
      </c>
      <c r="C551" s="1" t="n">
        <v>45338</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14220-2021</t>
        </is>
      </c>
      <c r="B552" s="1" t="n">
        <v>44278</v>
      </c>
      <c r="C552" s="1" t="n">
        <v>45338</v>
      </c>
      <c r="D552" t="inlineStr">
        <is>
          <t>KALMAR LÄN</t>
        </is>
      </c>
      <c r="E552" t="inlineStr">
        <is>
          <t>VIMMERBY</t>
        </is>
      </c>
      <c r="G552" t="n">
        <v>0.3</v>
      </c>
      <c r="H552" t="n">
        <v>0</v>
      </c>
      <c r="I552" t="n">
        <v>0</v>
      </c>
      <c r="J552" t="n">
        <v>0</v>
      </c>
      <c r="K552" t="n">
        <v>0</v>
      </c>
      <c r="L552" t="n">
        <v>0</v>
      </c>
      <c r="M552" t="n">
        <v>0</v>
      </c>
      <c r="N552" t="n">
        <v>0</v>
      </c>
      <c r="O552" t="n">
        <v>0</v>
      </c>
      <c r="P552" t="n">
        <v>0</v>
      </c>
      <c r="Q552" t="n">
        <v>0</v>
      </c>
      <c r="R552" s="2" t="inlineStr"/>
    </row>
    <row r="553" ht="15" customHeight="1">
      <c r="A553" t="inlineStr">
        <is>
          <t>A 14278-2021</t>
        </is>
      </c>
      <c r="B553" s="1" t="n">
        <v>44278</v>
      </c>
      <c r="C553" s="1" t="n">
        <v>45338</v>
      </c>
      <c r="D553" t="inlineStr">
        <is>
          <t>KALMAR LÄN</t>
        </is>
      </c>
      <c r="E553" t="inlineStr">
        <is>
          <t>VIMMERBY</t>
        </is>
      </c>
      <c r="F553" t="inlineStr">
        <is>
          <t>Övriga statliga verk och myndigheter</t>
        </is>
      </c>
      <c r="G553" t="n">
        <v>0.8</v>
      </c>
      <c r="H553" t="n">
        <v>0</v>
      </c>
      <c r="I553" t="n">
        <v>0</v>
      </c>
      <c r="J553" t="n">
        <v>0</v>
      </c>
      <c r="K553" t="n">
        <v>0</v>
      </c>
      <c r="L553" t="n">
        <v>0</v>
      </c>
      <c r="M553" t="n">
        <v>0</v>
      </c>
      <c r="N553" t="n">
        <v>0</v>
      </c>
      <c r="O553" t="n">
        <v>0</v>
      </c>
      <c r="P553" t="n">
        <v>0</v>
      </c>
      <c r="Q553" t="n">
        <v>0</v>
      </c>
      <c r="R553" s="2" t="inlineStr"/>
    </row>
    <row r="554" ht="15" customHeight="1">
      <c r="A554" t="inlineStr">
        <is>
          <t>A 14347-2021</t>
        </is>
      </c>
      <c r="B554" s="1" t="n">
        <v>44279</v>
      </c>
      <c r="C554" s="1" t="n">
        <v>45338</v>
      </c>
      <c r="D554" t="inlineStr">
        <is>
          <t>KALMAR LÄN</t>
        </is>
      </c>
      <c r="E554" t="inlineStr">
        <is>
          <t>VIMMERBY</t>
        </is>
      </c>
      <c r="G554" t="n">
        <v>6.4</v>
      </c>
      <c r="H554" t="n">
        <v>0</v>
      </c>
      <c r="I554" t="n">
        <v>0</v>
      </c>
      <c r="J554" t="n">
        <v>0</v>
      </c>
      <c r="K554" t="n">
        <v>0</v>
      </c>
      <c r="L554" t="n">
        <v>0</v>
      </c>
      <c r="M554" t="n">
        <v>0</v>
      </c>
      <c r="N554" t="n">
        <v>0</v>
      </c>
      <c r="O554" t="n">
        <v>0</v>
      </c>
      <c r="P554" t="n">
        <v>0</v>
      </c>
      <c r="Q554" t="n">
        <v>0</v>
      </c>
      <c r="R554" s="2" t="inlineStr"/>
    </row>
    <row r="555" ht="15" customHeight="1">
      <c r="A555" t="inlineStr">
        <is>
          <t>A 14451-2021</t>
        </is>
      </c>
      <c r="B555" s="1" t="n">
        <v>44279</v>
      </c>
      <c r="C555" s="1" t="n">
        <v>45338</v>
      </c>
      <c r="D555" t="inlineStr">
        <is>
          <t>KALMAR LÄN</t>
        </is>
      </c>
      <c r="E555" t="inlineStr">
        <is>
          <t>VIMMERBY</t>
        </is>
      </c>
      <c r="F555" t="inlineStr">
        <is>
          <t>Sveaskog</t>
        </is>
      </c>
      <c r="G555" t="n">
        <v>9.4</v>
      </c>
      <c r="H555" t="n">
        <v>0</v>
      </c>
      <c r="I555" t="n">
        <v>0</v>
      </c>
      <c r="J555" t="n">
        <v>0</v>
      </c>
      <c r="K555" t="n">
        <v>0</v>
      </c>
      <c r="L555" t="n">
        <v>0</v>
      </c>
      <c r="M555" t="n">
        <v>0</v>
      </c>
      <c r="N555" t="n">
        <v>0</v>
      </c>
      <c r="O555" t="n">
        <v>0</v>
      </c>
      <c r="P555" t="n">
        <v>0</v>
      </c>
      <c r="Q555" t="n">
        <v>0</v>
      </c>
      <c r="R555" s="2" t="inlineStr"/>
    </row>
    <row r="556" ht="15" customHeight="1">
      <c r="A556" t="inlineStr">
        <is>
          <t>A 14521-2021</t>
        </is>
      </c>
      <c r="B556" s="1" t="n">
        <v>44279</v>
      </c>
      <c r="C556" s="1" t="n">
        <v>45338</v>
      </c>
      <c r="D556" t="inlineStr">
        <is>
          <t>KALMAR LÄN</t>
        </is>
      </c>
      <c r="E556" t="inlineStr">
        <is>
          <t>VIMMERBY</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15092-2021</t>
        </is>
      </c>
      <c r="B557" s="1" t="n">
        <v>44281</v>
      </c>
      <c r="C557" s="1" t="n">
        <v>45338</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15188-2021</t>
        </is>
      </c>
      <c r="B558" s="1" t="n">
        <v>44284</v>
      </c>
      <c r="C558" s="1" t="n">
        <v>45338</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15191-2021</t>
        </is>
      </c>
      <c r="B559" s="1" t="n">
        <v>44284</v>
      </c>
      <c r="C559" s="1" t="n">
        <v>45338</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15200-2021</t>
        </is>
      </c>
      <c r="B560" s="1" t="n">
        <v>44284</v>
      </c>
      <c r="C560" s="1" t="n">
        <v>45338</v>
      </c>
      <c r="D560" t="inlineStr">
        <is>
          <t>KALMAR LÄN</t>
        </is>
      </c>
      <c r="E560" t="inlineStr">
        <is>
          <t>VIMMERBY</t>
        </is>
      </c>
      <c r="G560" t="n">
        <v>1.2</v>
      </c>
      <c r="H560" t="n">
        <v>0</v>
      </c>
      <c r="I560" t="n">
        <v>0</v>
      </c>
      <c r="J560" t="n">
        <v>0</v>
      </c>
      <c r="K560" t="n">
        <v>0</v>
      </c>
      <c r="L560" t="n">
        <v>0</v>
      </c>
      <c r="M560" t="n">
        <v>0</v>
      </c>
      <c r="N560" t="n">
        <v>0</v>
      </c>
      <c r="O560" t="n">
        <v>0</v>
      </c>
      <c r="P560" t="n">
        <v>0</v>
      </c>
      <c r="Q560" t="n">
        <v>0</v>
      </c>
      <c r="R560" s="2" t="inlineStr"/>
    </row>
    <row r="561" ht="15" customHeight="1">
      <c r="A561" t="inlineStr">
        <is>
          <t>A 15903-2021</t>
        </is>
      </c>
      <c r="B561" s="1" t="n">
        <v>44287</v>
      </c>
      <c r="C561" s="1" t="n">
        <v>45338</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16288-2021</t>
        </is>
      </c>
      <c r="B562" s="1" t="n">
        <v>44292</v>
      </c>
      <c r="C562" s="1" t="n">
        <v>45338</v>
      </c>
      <c r="D562" t="inlineStr">
        <is>
          <t>KALMAR LÄN</t>
        </is>
      </c>
      <c r="E562" t="inlineStr">
        <is>
          <t>VIMMERBY</t>
        </is>
      </c>
      <c r="F562" t="inlineStr">
        <is>
          <t>Övriga Aktiebolag</t>
        </is>
      </c>
      <c r="G562" t="n">
        <v>27.6</v>
      </c>
      <c r="H562" t="n">
        <v>0</v>
      </c>
      <c r="I562" t="n">
        <v>0</v>
      </c>
      <c r="J562" t="n">
        <v>0</v>
      </c>
      <c r="K562" t="n">
        <v>0</v>
      </c>
      <c r="L562" t="n">
        <v>0</v>
      </c>
      <c r="M562" t="n">
        <v>0</v>
      </c>
      <c r="N562" t="n">
        <v>0</v>
      </c>
      <c r="O562" t="n">
        <v>0</v>
      </c>
      <c r="P562" t="n">
        <v>0</v>
      </c>
      <c r="Q562" t="n">
        <v>0</v>
      </c>
      <c r="R562" s="2" t="inlineStr"/>
    </row>
    <row r="563" ht="15" customHeight="1">
      <c r="A563" t="inlineStr">
        <is>
          <t>A 16602-2021</t>
        </is>
      </c>
      <c r="B563" s="1" t="n">
        <v>44294</v>
      </c>
      <c r="C563" s="1" t="n">
        <v>45338</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16607-2021</t>
        </is>
      </c>
      <c r="B564" s="1" t="n">
        <v>44294</v>
      </c>
      <c r="C564" s="1" t="n">
        <v>45338</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17869-2021</t>
        </is>
      </c>
      <c r="B565" s="1" t="n">
        <v>44301</v>
      </c>
      <c r="C565" s="1" t="n">
        <v>45338</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18411-2021</t>
        </is>
      </c>
      <c r="B566" s="1" t="n">
        <v>44302</v>
      </c>
      <c r="C566" s="1" t="n">
        <v>45338</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18276-2021</t>
        </is>
      </c>
      <c r="B567" s="1" t="n">
        <v>44305</v>
      </c>
      <c r="C567" s="1" t="n">
        <v>45338</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18356-2021</t>
        </is>
      </c>
      <c r="B568" s="1" t="n">
        <v>44305</v>
      </c>
      <c r="C568" s="1" t="n">
        <v>45338</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18756-2021</t>
        </is>
      </c>
      <c r="B569" s="1" t="n">
        <v>44307</v>
      </c>
      <c r="C569" s="1" t="n">
        <v>45338</v>
      </c>
      <c r="D569" t="inlineStr">
        <is>
          <t>KALMAR LÄN</t>
        </is>
      </c>
      <c r="E569" t="inlineStr">
        <is>
          <t>VIMMERBY</t>
        </is>
      </c>
      <c r="G569" t="n">
        <v>7.4</v>
      </c>
      <c r="H569" t="n">
        <v>0</v>
      </c>
      <c r="I569" t="n">
        <v>0</v>
      </c>
      <c r="J569" t="n">
        <v>0</v>
      </c>
      <c r="K569" t="n">
        <v>0</v>
      </c>
      <c r="L569" t="n">
        <v>0</v>
      </c>
      <c r="M569" t="n">
        <v>0</v>
      </c>
      <c r="N569" t="n">
        <v>0</v>
      </c>
      <c r="O569" t="n">
        <v>0</v>
      </c>
      <c r="P569" t="n">
        <v>0</v>
      </c>
      <c r="Q569" t="n">
        <v>0</v>
      </c>
      <c r="R569" s="2" t="inlineStr"/>
    </row>
    <row r="570" ht="15" customHeight="1">
      <c r="A570" t="inlineStr">
        <is>
          <t>A 19445-2021</t>
        </is>
      </c>
      <c r="B570" s="1" t="n">
        <v>44310</v>
      </c>
      <c r="C570" s="1" t="n">
        <v>45338</v>
      </c>
      <c r="D570" t="inlineStr">
        <is>
          <t>KALMAR LÄN</t>
        </is>
      </c>
      <c r="E570" t="inlineStr">
        <is>
          <t>VIMMERBY</t>
        </is>
      </c>
      <c r="G570" t="n">
        <v>6.8</v>
      </c>
      <c r="H570" t="n">
        <v>0</v>
      </c>
      <c r="I570" t="n">
        <v>0</v>
      </c>
      <c r="J570" t="n">
        <v>0</v>
      </c>
      <c r="K570" t="n">
        <v>0</v>
      </c>
      <c r="L570" t="n">
        <v>0</v>
      </c>
      <c r="M570" t="n">
        <v>0</v>
      </c>
      <c r="N570" t="n">
        <v>0</v>
      </c>
      <c r="O570" t="n">
        <v>0</v>
      </c>
      <c r="P570" t="n">
        <v>0</v>
      </c>
      <c r="Q570" t="n">
        <v>0</v>
      </c>
      <c r="R570" s="2" t="inlineStr"/>
    </row>
    <row r="571" ht="15" customHeight="1">
      <c r="A571" t="inlineStr">
        <is>
          <t>A 19863-2021</t>
        </is>
      </c>
      <c r="B571" s="1" t="n">
        <v>44312</v>
      </c>
      <c r="C571" s="1" t="n">
        <v>45338</v>
      </c>
      <c r="D571" t="inlineStr">
        <is>
          <t>KALMAR LÄN</t>
        </is>
      </c>
      <c r="E571" t="inlineStr">
        <is>
          <t>VIMMERBY</t>
        </is>
      </c>
      <c r="G571" t="n">
        <v>3.7</v>
      </c>
      <c r="H571" t="n">
        <v>0</v>
      </c>
      <c r="I571" t="n">
        <v>0</v>
      </c>
      <c r="J571" t="n">
        <v>0</v>
      </c>
      <c r="K571" t="n">
        <v>0</v>
      </c>
      <c r="L571" t="n">
        <v>0</v>
      </c>
      <c r="M571" t="n">
        <v>0</v>
      </c>
      <c r="N571" t="n">
        <v>0</v>
      </c>
      <c r="O571" t="n">
        <v>0</v>
      </c>
      <c r="P571" t="n">
        <v>0</v>
      </c>
      <c r="Q571" t="n">
        <v>0</v>
      </c>
      <c r="R571" s="2" t="inlineStr"/>
    </row>
    <row r="572" ht="15" customHeight="1">
      <c r="A572" t="inlineStr">
        <is>
          <t>A 19865-2021</t>
        </is>
      </c>
      <c r="B572" s="1" t="n">
        <v>44312</v>
      </c>
      <c r="C572" s="1" t="n">
        <v>45338</v>
      </c>
      <c r="D572" t="inlineStr">
        <is>
          <t>KALMAR LÄN</t>
        </is>
      </c>
      <c r="E572" t="inlineStr">
        <is>
          <t>VIMMERBY</t>
        </is>
      </c>
      <c r="G572" t="n">
        <v>8.6</v>
      </c>
      <c r="H572" t="n">
        <v>0</v>
      </c>
      <c r="I572" t="n">
        <v>0</v>
      </c>
      <c r="J572" t="n">
        <v>0</v>
      </c>
      <c r="K572" t="n">
        <v>0</v>
      </c>
      <c r="L572" t="n">
        <v>0</v>
      </c>
      <c r="M572" t="n">
        <v>0</v>
      </c>
      <c r="N572" t="n">
        <v>0</v>
      </c>
      <c r="O572" t="n">
        <v>0</v>
      </c>
      <c r="P572" t="n">
        <v>0</v>
      </c>
      <c r="Q572" t="n">
        <v>0</v>
      </c>
      <c r="R572" s="2" t="inlineStr"/>
    </row>
    <row r="573" ht="15" customHeight="1">
      <c r="A573" t="inlineStr">
        <is>
          <t>A 22637-2021</t>
        </is>
      </c>
      <c r="B573" s="1" t="n">
        <v>44327</v>
      </c>
      <c r="C573" s="1" t="n">
        <v>45338</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24369-2021</t>
        </is>
      </c>
      <c r="B574" s="1" t="n">
        <v>44337</v>
      </c>
      <c r="C574" s="1" t="n">
        <v>45338</v>
      </c>
      <c r="D574" t="inlineStr">
        <is>
          <t>KALMAR LÄN</t>
        </is>
      </c>
      <c r="E574" t="inlineStr">
        <is>
          <t>VIMMERBY</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24655-2021</t>
        </is>
      </c>
      <c r="B575" s="1" t="n">
        <v>44340</v>
      </c>
      <c r="C575" s="1" t="n">
        <v>45338</v>
      </c>
      <c r="D575" t="inlineStr">
        <is>
          <t>KALMAR LÄN</t>
        </is>
      </c>
      <c r="E575" t="inlineStr">
        <is>
          <t>VIMMERBY</t>
        </is>
      </c>
      <c r="G575" t="n">
        <v>14.9</v>
      </c>
      <c r="H575" t="n">
        <v>0</v>
      </c>
      <c r="I575" t="n">
        <v>0</v>
      </c>
      <c r="J575" t="n">
        <v>0</v>
      </c>
      <c r="K575" t="n">
        <v>0</v>
      </c>
      <c r="L575" t="n">
        <v>0</v>
      </c>
      <c r="M575" t="n">
        <v>0</v>
      </c>
      <c r="N575" t="n">
        <v>0</v>
      </c>
      <c r="O575" t="n">
        <v>0</v>
      </c>
      <c r="P575" t="n">
        <v>0</v>
      </c>
      <c r="Q575" t="n">
        <v>0</v>
      </c>
      <c r="R575" s="2" t="inlineStr"/>
    </row>
    <row r="576" ht="15" customHeight="1">
      <c r="A576" t="inlineStr">
        <is>
          <t>A 24752-2021</t>
        </is>
      </c>
      <c r="B576" s="1" t="n">
        <v>44340</v>
      </c>
      <c r="C576" s="1" t="n">
        <v>45338</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24738-2021</t>
        </is>
      </c>
      <c r="B577" s="1" t="n">
        <v>44340</v>
      </c>
      <c r="C577" s="1" t="n">
        <v>45338</v>
      </c>
      <c r="D577" t="inlineStr">
        <is>
          <t>KALMAR LÄN</t>
        </is>
      </c>
      <c r="E577" t="inlineStr">
        <is>
          <t>VIMMERBY</t>
        </is>
      </c>
      <c r="G577" t="n">
        <v>3.5</v>
      </c>
      <c r="H577" t="n">
        <v>0</v>
      </c>
      <c r="I577" t="n">
        <v>0</v>
      </c>
      <c r="J577" t="n">
        <v>0</v>
      </c>
      <c r="K577" t="n">
        <v>0</v>
      </c>
      <c r="L577" t="n">
        <v>0</v>
      </c>
      <c r="M577" t="n">
        <v>0</v>
      </c>
      <c r="N577" t="n">
        <v>0</v>
      </c>
      <c r="O577" t="n">
        <v>0</v>
      </c>
      <c r="P577" t="n">
        <v>0</v>
      </c>
      <c r="Q577" t="n">
        <v>0</v>
      </c>
      <c r="R577" s="2" t="inlineStr"/>
    </row>
    <row r="578" ht="15" customHeight="1">
      <c r="A578" t="inlineStr">
        <is>
          <t>A 24723-2021</t>
        </is>
      </c>
      <c r="B578" s="1" t="n">
        <v>44340</v>
      </c>
      <c r="C578" s="1" t="n">
        <v>45338</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24999-2021</t>
        </is>
      </c>
      <c r="B579" s="1" t="n">
        <v>44341</v>
      </c>
      <c r="C579" s="1" t="n">
        <v>45338</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27100-2021</t>
        </is>
      </c>
      <c r="B580" s="1" t="n">
        <v>44350</v>
      </c>
      <c r="C580" s="1" t="n">
        <v>45338</v>
      </c>
      <c r="D580" t="inlineStr">
        <is>
          <t>KALMAR LÄN</t>
        </is>
      </c>
      <c r="E580" t="inlineStr">
        <is>
          <t>VIMMERBY</t>
        </is>
      </c>
      <c r="G580" t="n">
        <v>9.6</v>
      </c>
      <c r="H580" t="n">
        <v>0</v>
      </c>
      <c r="I580" t="n">
        <v>0</v>
      </c>
      <c r="J580" t="n">
        <v>0</v>
      </c>
      <c r="K580" t="n">
        <v>0</v>
      </c>
      <c r="L580" t="n">
        <v>0</v>
      </c>
      <c r="M580" t="n">
        <v>0</v>
      </c>
      <c r="N580" t="n">
        <v>0</v>
      </c>
      <c r="O580" t="n">
        <v>0</v>
      </c>
      <c r="P580" t="n">
        <v>0</v>
      </c>
      <c r="Q580" t="n">
        <v>0</v>
      </c>
      <c r="R580" s="2" t="inlineStr"/>
    </row>
    <row r="581" ht="15" customHeight="1">
      <c r="A581" t="inlineStr">
        <is>
          <t>A 27086-2021</t>
        </is>
      </c>
      <c r="B581" s="1" t="n">
        <v>44350</v>
      </c>
      <c r="C581" s="1" t="n">
        <v>45338</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27759-2021</t>
        </is>
      </c>
      <c r="B582" s="1" t="n">
        <v>44354</v>
      </c>
      <c r="C582" s="1" t="n">
        <v>45338</v>
      </c>
      <c r="D582" t="inlineStr">
        <is>
          <t>KALMAR LÄN</t>
        </is>
      </c>
      <c r="E582" t="inlineStr">
        <is>
          <t>VIMMERBY</t>
        </is>
      </c>
      <c r="G582" t="n">
        <v>4.6</v>
      </c>
      <c r="H582" t="n">
        <v>0</v>
      </c>
      <c r="I582" t="n">
        <v>0</v>
      </c>
      <c r="J582" t="n">
        <v>0</v>
      </c>
      <c r="K582" t="n">
        <v>0</v>
      </c>
      <c r="L582" t="n">
        <v>0</v>
      </c>
      <c r="M582" t="n">
        <v>0</v>
      </c>
      <c r="N582" t="n">
        <v>0</v>
      </c>
      <c r="O582" t="n">
        <v>0</v>
      </c>
      <c r="P582" t="n">
        <v>0</v>
      </c>
      <c r="Q582" t="n">
        <v>0</v>
      </c>
      <c r="R582" s="2" t="inlineStr"/>
    </row>
    <row r="583" ht="15" customHeight="1">
      <c r="A583" t="inlineStr">
        <is>
          <t>A 27762-2021</t>
        </is>
      </c>
      <c r="B583" s="1" t="n">
        <v>44354</v>
      </c>
      <c r="C583" s="1" t="n">
        <v>45338</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30682-2021</t>
        </is>
      </c>
      <c r="B584" s="1" t="n">
        <v>44365</v>
      </c>
      <c r="C584" s="1" t="n">
        <v>45338</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31660-2021</t>
        </is>
      </c>
      <c r="B585" s="1" t="n">
        <v>44369</v>
      </c>
      <c r="C585" s="1" t="n">
        <v>45338</v>
      </c>
      <c r="D585" t="inlineStr">
        <is>
          <t>KALMAR LÄN</t>
        </is>
      </c>
      <c r="E585" t="inlineStr">
        <is>
          <t>VIMMERBY</t>
        </is>
      </c>
      <c r="G585" t="n">
        <v>4.2</v>
      </c>
      <c r="H585" t="n">
        <v>0</v>
      </c>
      <c r="I585" t="n">
        <v>0</v>
      </c>
      <c r="J585" t="n">
        <v>0</v>
      </c>
      <c r="K585" t="n">
        <v>0</v>
      </c>
      <c r="L585" t="n">
        <v>0</v>
      </c>
      <c r="M585" t="n">
        <v>0</v>
      </c>
      <c r="N585" t="n">
        <v>0</v>
      </c>
      <c r="O585" t="n">
        <v>0</v>
      </c>
      <c r="P585" t="n">
        <v>0</v>
      </c>
      <c r="Q585" t="n">
        <v>0</v>
      </c>
      <c r="R585" s="2" t="inlineStr"/>
    </row>
    <row r="586" ht="15" customHeight="1">
      <c r="A586" t="inlineStr">
        <is>
          <t>A 32386-2021</t>
        </is>
      </c>
      <c r="B586" s="1" t="n">
        <v>44371</v>
      </c>
      <c r="C586" s="1" t="n">
        <v>45338</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32607-2021</t>
        </is>
      </c>
      <c r="B587" s="1" t="n">
        <v>44375</v>
      </c>
      <c r="C587" s="1" t="n">
        <v>45338</v>
      </c>
      <c r="D587" t="inlineStr">
        <is>
          <t>KALMAR LÄN</t>
        </is>
      </c>
      <c r="E587" t="inlineStr">
        <is>
          <t>VIMMERBY</t>
        </is>
      </c>
      <c r="G587" t="n">
        <v>0.4</v>
      </c>
      <c r="H587" t="n">
        <v>0</v>
      </c>
      <c r="I587" t="n">
        <v>0</v>
      </c>
      <c r="J587" t="n">
        <v>0</v>
      </c>
      <c r="K587" t="n">
        <v>0</v>
      </c>
      <c r="L587" t="n">
        <v>0</v>
      </c>
      <c r="M587" t="n">
        <v>0</v>
      </c>
      <c r="N587" t="n">
        <v>0</v>
      </c>
      <c r="O587" t="n">
        <v>0</v>
      </c>
      <c r="P587" t="n">
        <v>0</v>
      </c>
      <c r="Q587" t="n">
        <v>0</v>
      </c>
      <c r="R587" s="2" t="inlineStr"/>
    </row>
    <row r="588" ht="15" customHeight="1">
      <c r="A588" t="inlineStr">
        <is>
          <t>A 32603-2021</t>
        </is>
      </c>
      <c r="B588" s="1" t="n">
        <v>44375</v>
      </c>
      <c r="C588" s="1" t="n">
        <v>45338</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33359-2021</t>
        </is>
      </c>
      <c r="B589" s="1" t="n">
        <v>44377</v>
      </c>
      <c r="C589" s="1" t="n">
        <v>45338</v>
      </c>
      <c r="D589" t="inlineStr">
        <is>
          <t>KALMAR LÄN</t>
        </is>
      </c>
      <c r="E589" t="inlineStr">
        <is>
          <t>VIMMERBY</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33374-2021</t>
        </is>
      </c>
      <c r="B590" s="1" t="n">
        <v>44377</v>
      </c>
      <c r="C590" s="1" t="n">
        <v>45338</v>
      </c>
      <c r="D590" t="inlineStr">
        <is>
          <t>KALMAR LÄN</t>
        </is>
      </c>
      <c r="E590" t="inlineStr">
        <is>
          <t>VIMMERBY</t>
        </is>
      </c>
      <c r="G590" t="n">
        <v>3.3</v>
      </c>
      <c r="H590" t="n">
        <v>0</v>
      </c>
      <c r="I590" t="n">
        <v>0</v>
      </c>
      <c r="J590" t="n">
        <v>0</v>
      </c>
      <c r="K590" t="n">
        <v>0</v>
      </c>
      <c r="L590" t="n">
        <v>0</v>
      </c>
      <c r="M590" t="n">
        <v>0</v>
      </c>
      <c r="N590" t="n">
        <v>0</v>
      </c>
      <c r="O590" t="n">
        <v>0</v>
      </c>
      <c r="P590" t="n">
        <v>0</v>
      </c>
      <c r="Q590" t="n">
        <v>0</v>
      </c>
      <c r="R590" s="2" t="inlineStr"/>
    </row>
    <row r="591" ht="15" customHeight="1">
      <c r="A591" t="inlineStr">
        <is>
          <t>A 33446-2021</t>
        </is>
      </c>
      <c r="B591" s="1" t="n">
        <v>44377</v>
      </c>
      <c r="C591" s="1" t="n">
        <v>45338</v>
      </c>
      <c r="D591" t="inlineStr">
        <is>
          <t>KALMAR LÄN</t>
        </is>
      </c>
      <c r="E591" t="inlineStr">
        <is>
          <t>VIMMERBY</t>
        </is>
      </c>
      <c r="G591" t="n">
        <v>4.3</v>
      </c>
      <c r="H591" t="n">
        <v>0</v>
      </c>
      <c r="I591" t="n">
        <v>0</v>
      </c>
      <c r="J591" t="n">
        <v>0</v>
      </c>
      <c r="K591" t="n">
        <v>0</v>
      </c>
      <c r="L591" t="n">
        <v>0</v>
      </c>
      <c r="M591" t="n">
        <v>0</v>
      </c>
      <c r="N591" t="n">
        <v>0</v>
      </c>
      <c r="O591" t="n">
        <v>0</v>
      </c>
      <c r="P591" t="n">
        <v>0</v>
      </c>
      <c r="Q591" t="n">
        <v>0</v>
      </c>
      <c r="R591" s="2" t="inlineStr"/>
    </row>
    <row r="592" ht="15" customHeight="1">
      <c r="A592" t="inlineStr">
        <is>
          <t>A 35198-2021</t>
        </is>
      </c>
      <c r="B592" s="1" t="n">
        <v>44377</v>
      </c>
      <c r="C592" s="1" t="n">
        <v>45338</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34040-2021</t>
        </is>
      </c>
      <c r="B593" s="1" t="n">
        <v>44379</v>
      </c>
      <c r="C593" s="1" t="n">
        <v>45338</v>
      </c>
      <c r="D593" t="inlineStr">
        <is>
          <t>KALMAR LÄN</t>
        </is>
      </c>
      <c r="E593" t="inlineStr">
        <is>
          <t>VIMMERBY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34036-2021</t>
        </is>
      </c>
      <c r="B594" s="1" t="n">
        <v>44379</v>
      </c>
      <c r="C594" s="1" t="n">
        <v>45338</v>
      </c>
      <c r="D594" t="inlineStr">
        <is>
          <t>KALMAR LÄN</t>
        </is>
      </c>
      <c r="E594" t="inlineStr">
        <is>
          <t>VIMMERBY</t>
        </is>
      </c>
      <c r="F594" t="inlineStr">
        <is>
          <t>Sveaskog</t>
        </is>
      </c>
      <c r="G594" t="n">
        <v>7</v>
      </c>
      <c r="H594" t="n">
        <v>0</v>
      </c>
      <c r="I594" t="n">
        <v>0</v>
      </c>
      <c r="J594" t="n">
        <v>0</v>
      </c>
      <c r="K594" t="n">
        <v>0</v>
      </c>
      <c r="L594" t="n">
        <v>0</v>
      </c>
      <c r="M594" t="n">
        <v>0</v>
      </c>
      <c r="N594" t="n">
        <v>0</v>
      </c>
      <c r="O594" t="n">
        <v>0</v>
      </c>
      <c r="P594" t="n">
        <v>0</v>
      </c>
      <c r="Q594" t="n">
        <v>0</v>
      </c>
      <c r="R594" s="2" t="inlineStr"/>
    </row>
    <row r="595" ht="15" customHeight="1">
      <c r="A595" t="inlineStr">
        <is>
          <t>A 35001-2021</t>
        </is>
      </c>
      <c r="B595" s="1" t="n">
        <v>44383</v>
      </c>
      <c r="C595" s="1" t="n">
        <v>45338</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35316-2021</t>
        </is>
      </c>
      <c r="B596" s="1" t="n">
        <v>44384</v>
      </c>
      <c r="C596" s="1" t="n">
        <v>45338</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35531-2021</t>
        </is>
      </c>
      <c r="B597" s="1" t="n">
        <v>44385</v>
      </c>
      <c r="C597" s="1" t="n">
        <v>45338</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35633-2021</t>
        </is>
      </c>
      <c r="B598" s="1" t="n">
        <v>44386</v>
      </c>
      <c r="C598" s="1" t="n">
        <v>45338</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36077-2021</t>
        </is>
      </c>
      <c r="B599" s="1" t="n">
        <v>44386</v>
      </c>
      <c r="C599" s="1" t="n">
        <v>45338</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36117-2021</t>
        </is>
      </c>
      <c r="B600" s="1" t="n">
        <v>44386</v>
      </c>
      <c r="C600" s="1" t="n">
        <v>45338</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36121-2021</t>
        </is>
      </c>
      <c r="B601" s="1" t="n">
        <v>44386</v>
      </c>
      <c r="C601" s="1" t="n">
        <v>45338</v>
      </c>
      <c r="D601" t="inlineStr">
        <is>
          <t>KALMAR LÄN</t>
        </is>
      </c>
      <c r="E601" t="inlineStr">
        <is>
          <t>VIMMERBY</t>
        </is>
      </c>
      <c r="G601" t="n">
        <v>3.5</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45338</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38086-2021</t>
        </is>
      </c>
      <c r="B603" s="1" t="n">
        <v>44404</v>
      </c>
      <c r="C603" s="1" t="n">
        <v>45338</v>
      </c>
      <c r="D603" t="inlineStr">
        <is>
          <t>KALMAR LÄN</t>
        </is>
      </c>
      <c r="E603" t="inlineStr">
        <is>
          <t>VIMMERBY</t>
        </is>
      </c>
      <c r="G603" t="n">
        <v>4.4</v>
      </c>
      <c r="H603" t="n">
        <v>0</v>
      </c>
      <c r="I603" t="n">
        <v>0</v>
      </c>
      <c r="J603" t="n">
        <v>0</v>
      </c>
      <c r="K603" t="n">
        <v>0</v>
      </c>
      <c r="L603" t="n">
        <v>0</v>
      </c>
      <c r="M603" t="n">
        <v>0</v>
      </c>
      <c r="N603" t="n">
        <v>0</v>
      </c>
      <c r="O603" t="n">
        <v>0</v>
      </c>
      <c r="P603" t="n">
        <v>0</v>
      </c>
      <c r="Q603" t="n">
        <v>0</v>
      </c>
      <c r="R603" s="2" t="inlineStr"/>
    </row>
    <row r="604" ht="15" customHeight="1">
      <c r="A604" t="inlineStr">
        <is>
          <t>A 38348-2021</t>
        </is>
      </c>
      <c r="B604" s="1" t="n">
        <v>44406</v>
      </c>
      <c r="C604" s="1" t="n">
        <v>45338</v>
      </c>
      <c r="D604" t="inlineStr">
        <is>
          <t>KALMAR LÄN</t>
        </is>
      </c>
      <c r="E604" t="inlineStr">
        <is>
          <t>VIMMERBY</t>
        </is>
      </c>
      <c r="G604" t="n">
        <v>2.2</v>
      </c>
      <c r="H604" t="n">
        <v>0</v>
      </c>
      <c r="I604" t="n">
        <v>0</v>
      </c>
      <c r="J604" t="n">
        <v>0</v>
      </c>
      <c r="K604" t="n">
        <v>0</v>
      </c>
      <c r="L604" t="n">
        <v>0</v>
      </c>
      <c r="M604" t="n">
        <v>0</v>
      </c>
      <c r="N604" t="n">
        <v>0</v>
      </c>
      <c r="O604" t="n">
        <v>0</v>
      </c>
      <c r="P604" t="n">
        <v>0</v>
      </c>
      <c r="Q604" t="n">
        <v>0</v>
      </c>
      <c r="R604" s="2" t="inlineStr"/>
    </row>
    <row r="605" ht="15" customHeight="1">
      <c r="A605" t="inlineStr">
        <is>
          <t>A 38780-2021</t>
        </is>
      </c>
      <c r="B605" s="1" t="n">
        <v>44410</v>
      </c>
      <c r="C605" s="1" t="n">
        <v>45338</v>
      </c>
      <c r="D605" t="inlineStr">
        <is>
          <t>KALMAR LÄN</t>
        </is>
      </c>
      <c r="E605" t="inlineStr">
        <is>
          <t>VIMMERBY</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38789-2021</t>
        </is>
      </c>
      <c r="B606" s="1" t="n">
        <v>44410</v>
      </c>
      <c r="C606" s="1" t="n">
        <v>45338</v>
      </c>
      <c r="D606" t="inlineStr">
        <is>
          <t>KALMAR LÄN</t>
        </is>
      </c>
      <c r="E606" t="inlineStr">
        <is>
          <t>VIMMERBY</t>
        </is>
      </c>
      <c r="G606" t="n">
        <v>3.7</v>
      </c>
      <c r="H606" t="n">
        <v>0</v>
      </c>
      <c r="I606" t="n">
        <v>0</v>
      </c>
      <c r="J606" t="n">
        <v>0</v>
      </c>
      <c r="K606" t="n">
        <v>0</v>
      </c>
      <c r="L606" t="n">
        <v>0</v>
      </c>
      <c r="M606" t="n">
        <v>0</v>
      </c>
      <c r="N606" t="n">
        <v>0</v>
      </c>
      <c r="O606" t="n">
        <v>0</v>
      </c>
      <c r="P606" t="n">
        <v>0</v>
      </c>
      <c r="Q606" t="n">
        <v>0</v>
      </c>
      <c r="R606" s="2" t="inlineStr"/>
    </row>
    <row r="607" ht="15" customHeight="1">
      <c r="A607" t="inlineStr">
        <is>
          <t>A 40073-2021</t>
        </is>
      </c>
      <c r="B607" s="1" t="n">
        <v>44418</v>
      </c>
      <c r="C607" s="1" t="n">
        <v>45338</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40076-2021</t>
        </is>
      </c>
      <c r="B608" s="1" t="n">
        <v>44418</v>
      </c>
      <c r="C608" s="1" t="n">
        <v>45338</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40071-2021</t>
        </is>
      </c>
      <c r="B609" s="1" t="n">
        <v>44418</v>
      </c>
      <c r="C609" s="1" t="n">
        <v>45338</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40077-2021</t>
        </is>
      </c>
      <c r="B610" s="1" t="n">
        <v>44418</v>
      </c>
      <c r="C610" s="1" t="n">
        <v>45338</v>
      </c>
      <c r="D610" t="inlineStr">
        <is>
          <t>KALMAR LÄN</t>
        </is>
      </c>
      <c r="E610" t="inlineStr">
        <is>
          <t>VIMMERBY</t>
        </is>
      </c>
      <c r="G610" t="n">
        <v>2.9</v>
      </c>
      <c r="H610" t="n">
        <v>0</v>
      </c>
      <c r="I610" t="n">
        <v>0</v>
      </c>
      <c r="J610" t="n">
        <v>0</v>
      </c>
      <c r="K610" t="n">
        <v>0</v>
      </c>
      <c r="L610" t="n">
        <v>0</v>
      </c>
      <c r="M610" t="n">
        <v>0</v>
      </c>
      <c r="N610" t="n">
        <v>0</v>
      </c>
      <c r="O610" t="n">
        <v>0</v>
      </c>
      <c r="P610" t="n">
        <v>0</v>
      </c>
      <c r="Q610" t="n">
        <v>0</v>
      </c>
      <c r="R610" s="2" t="inlineStr"/>
    </row>
    <row r="611" ht="15" customHeight="1">
      <c r="A611" t="inlineStr">
        <is>
          <t>A 40971-2021</t>
        </is>
      </c>
      <c r="B611" s="1" t="n">
        <v>44421</v>
      </c>
      <c r="C611" s="1" t="n">
        <v>45338</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42521-2021</t>
        </is>
      </c>
      <c r="B612" s="1" t="n">
        <v>44427</v>
      </c>
      <c r="C612" s="1" t="n">
        <v>45338</v>
      </c>
      <c r="D612" t="inlineStr">
        <is>
          <t>KALMAR LÄN</t>
        </is>
      </c>
      <c r="E612" t="inlineStr">
        <is>
          <t>VIMMERBY</t>
        </is>
      </c>
      <c r="G612" t="n">
        <v>5.4</v>
      </c>
      <c r="H612" t="n">
        <v>0</v>
      </c>
      <c r="I612" t="n">
        <v>0</v>
      </c>
      <c r="J612" t="n">
        <v>0</v>
      </c>
      <c r="K612" t="n">
        <v>0</v>
      </c>
      <c r="L612" t="n">
        <v>0</v>
      </c>
      <c r="M612" t="n">
        <v>0</v>
      </c>
      <c r="N612" t="n">
        <v>0</v>
      </c>
      <c r="O612" t="n">
        <v>0</v>
      </c>
      <c r="P612" t="n">
        <v>0</v>
      </c>
      <c r="Q612" t="n">
        <v>0</v>
      </c>
      <c r="R612" s="2" t="inlineStr"/>
    </row>
    <row r="613" ht="15" customHeight="1">
      <c r="A613" t="inlineStr">
        <is>
          <t>A 42918-2021</t>
        </is>
      </c>
      <c r="B613" s="1" t="n">
        <v>44431</v>
      </c>
      <c r="C613" s="1" t="n">
        <v>45338</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43186-2021</t>
        </is>
      </c>
      <c r="B614" s="1" t="n">
        <v>44431</v>
      </c>
      <c r="C614" s="1" t="n">
        <v>45338</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45528-2021</t>
        </is>
      </c>
      <c r="B615" s="1" t="n">
        <v>44440</v>
      </c>
      <c r="C615" s="1" t="n">
        <v>45338</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45390-2021</t>
        </is>
      </c>
      <c r="B616" s="1" t="n">
        <v>44440</v>
      </c>
      <c r="C616" s="1" t="n">
        <v>45338</v>
      </c>
      <c r="D616" t="inlineStr">
        <is>
          <t>KALMAR LÄN</t>
        </is>
      </c>
      <c r="E616" t="inlineStr">
        <is>
          <t>VIMMERBY</t>
        </is>
      </c>
      <c r="G616" t="n">
        <v>3.9</v>
      </c>
      <c r="H616" t="n">
        <v>0</v>
      </c>
      <c r="I616" t="n">
        <v>0</v>
      </c>
      <c r="J616" t="n">
        <v>0</v>
      </c>
      <c r="K616" t="n">
        <v>0</v>
      </c>
      <c r="L616" t="n">
        <v>0</v>
      </c>
      <c r="M616" t="n">
        <v>0</v>
      </c>
      <c r="N616" t="n">
        <v>0</v>
      </c>
      <c r="O616" t="n">
        <v>0</v>
      </c>
      <c r="P616" t="n">
        <v>0</v>
      </c>
      <c r="Q616" t="n">
        <v>0</v>
      </c>
      <c r="R616" s="2" t="inlineStr"/>
    </row>
    <row r="617" ht="15" customHeight="1">
      <c r="A617" t="inlineStr">
        <is>
          <t>A 45560-2021</t>
        </is>
      </c>
      <c r="B617" s="1" t="n">
        <v>44440</v>
      </c>
      <c r="C617" s="1" t="n">
        <v>45338</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47208-2021</t>
        </is>
      </c>
      <c r="B618" s="1" t="n">
        <v>44447</v>
      </c>
      <c r="C618" s="1" t="n">
        <v>45338</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47205-2021</t>
        </is>
      </c>
      <c r="B619" s="1" t="n">
        <v>44447</v>
      </c>
      <c r="C619" s="1" t="n">
        <v>45338</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47473-2021</t>
        </is>
      </c>
      <c r="B620" s="1" t="n">
        <v>44447</v>
      </c>
      <c r="C620" s="1" t="n">
        <v>45338</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48377-2021</t>
        </is>
      </c>
      <c r="B621" s="1" t="n">
        <v>44451</v>
      </c>
      <c r="C621" s="1" t="n">
        <v>45338</v>
      </c>
      <c r="D621" t="inlineStr">
        <is>
          <t>KALMAR LÄN</t>
        </is>
      </c>
      <c r="E621" t="inlineStr">
        <is>
          <t>VIMMERBY</t>
        </is>
      </c>
      <c r="G621" t="n">
        <v>0.4</v>
      </c>
      <c r="H621" t="n">
        <v>0</v>
      </c>
      <c r="I621" t="n">
        <v>0</v>
      </c>
      <c r="J621" t="n">
        <v>0</v>
      </c>
      <c r="K621" t="n">
        <v>0</v>
      </c>
      <c r="L621" t="n">
        <v>0</v>
      </c>
      <c r="M621" t="n">
        <v>0</v>
      </c>
      <c r="N621" t="n">
        <v>0</v>
      </c>
      <c r="O621" t="n">
        <v>0</v>
      </c>
      <c r="P621" t="n">
        <v>0</v>
      </c>
      <c r="Q621" t="n">
        <v>0</v>
      </c>
      <c r="R621" s="2" t="inlineStr"/>
    </row>
    <row r="622" ht="15" customHeight="1">
      <c r="A622" t="inlineStr">
        <is>
          <t>A 48373-2021</t>
        </is>
      </c>
      <c r="B622" s="1" t="n">
        <v>44451</v>
      </c>
      <c r="C622" s="1" t="n">
        <v>45338</v>
      </c>
      <c r="D622" t="inlineStr">
        <is>
          <t>KALMAR LÄN</t>
        </is>
      </c>
      <c r="E622" t="inlineStr">
        <is>
          <t>VIMMERBY</t>
        </is>
      </c>
      <c r="G622" t="n">
        <v>2.2</v>
      </c>
      <c r="H622" t="n">
        <v>0</v>
      </c>
      <c r="I622" t="n">
        <v>0</v>
      </c>
      <c r="J622" t="n">
        <v>0</v>
      </c>
      <c r="K622" t="n">
        <v>0</v>
      </c>
      <c r="L622" t="n">
        <v>0</v>
      </c>
      <c r="M622" t="n">
        <v>0</v>
      </c>
      <c r="N622" t="n">
        <v>0</v>
      </c>
      <c r="O622" t="n">
        <v>0</v>
      </c>
      <c r="P622" t="n">
        <v>0</v>
      </c>
      <c r="Q622" t="n">
        <v>0</v>
      </c>
      <c r="R622" s="2" t="inlineStr"/>
    </row>
    <row r="623" ht="15" customHeight="1">
      <c r="A623" t="inlineStr">
        <is>
          <t>A 48673-2021</t>
        </is>
      </c>
      <c r="B623" s="1" t="n">
        <v>44452</v>
      </c>
      <c r="C623" s="1" t="n">
        <v>45338</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49039-2021</t>
        </is>
      </c>
      <c r="B624" s="1" t="n">
        <v>44453</v>
      </c>
      <c r="C624" s="1" t="n">
        <v>45338</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51972-2021</t>
        </is>
      </c>
      <c r="B625" s="1" t="n">
        <v>44463</v>
      </c>
      <c r="C625" s="1" t="n">
        <v>45338</v>
      </c>
      <c r="D625" t="inlineStr">
        <is>
          <t>KALMAR LÄN</t>
        </is>
      </c>
      <c r="E625" t="inlineStr">
        <is>
          <t>VIMMERBY</t>
        </is>
      </c>
      <c r="G625" t="n">
        <v>4.5</v>
      </c>
      <c r="H625" t="n">
        <v>0</v>
      </c>
      <c r="I625" t="n">
        <v>0</v>
      </c>
      <c r="J625" t="n">
        <v>0</v>
      </c>
      <c r="K625" t="n">
        <v>0</v>
      </c>
      <c r="L625" t="n">
        <v>0</v>
      </c>
      <c r="M625" t="n">
        <v>0</v>
      </c>
      <c r="N625" t="n">
        <v>0</v>
      </c>
      <c r="O625" t="n">
        <v>0</v>
      </c>
      <c r="P625" t="n">
        <v>0</v>
      </c>
      <c r="Q625" t="n">
        <v>0</v>
      </c>
      <c r="R625" s="2" t="inlineStr"/>
    </row>
    <row r="626" ht="15" customHeight="1">
      <c r="A626" t="inlineStr">
        <is>
          <t>A 52433-2021</t>
        </is>
      </c>
      <c r="B626" s="1" t="n">
        <v>44466</v>
      </c>
      <c r="C626" s="1" t="n">
        <v>45338</v>
      </c>
      <c r="D626" t="inlineStr">
        <is>
          <t>KALMAR LÄN</t>
        </is>
      </c>
      <c r="E626" t="inlineStr">
        <is>
          <t>VIMMERBY</t>
        </is>
      </c>
      <c r="G626" t="n">
        <v>3.5</v>
      </c>
      <c r="H626" t="n">
        <v>0</v>
      </c>
      <c r="I626" t="n">
        <v>0</v>
      </c>
      <c r="J626" t="n">
        <v>0</v>
      </c>
      <c r="K626" t="n">
        <v>0</v>
      </c>
      <c r="L626" t="n">
        <v>0</v>
      </c>
      <c r="M626" t="n">
        <v>0</v>
      </c>
      <c r="N626" t="n">
        <v>0</v>
      </c>
      <c r="O626" t="n">
        <v>0</v>
      </c>
      <c r="P626" t="n">
        <v>0</v>
      </c>
      <c r="Q626" t="n">
        <v>0</v>
      </c>
      <c r="R626" s="2" t="inlineStr"/>
    </row>
    <row r="627" ht="15" customHeight="1">
      <c r="A627" t="inlineStr">
        <is>
          <t>A 52435-2021</t>
        </is>
      </c>
      <c r="B627" s="1" t="n">
        <v>44466</v>
      </c>
      <c r="C627" s="1" t="n">
        <v>45338</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53083-2021</t>
        </is>
      </c>
      <c r="B628" s="1" t="n">
        <v>44467</v>
      </c>
      <c r="C628" s="1" t="n">
        <v>45338</v>
      </c>
      <c r="D628" t="inlineStr">
        <is>
          <t>KALMAR LÄN</t>
        </is>
      </c>
      <c r="E628" t="inlineStr">
        <is>
          <t>VIMMERBY</t>
        </is>
      </c>
      <c r="G628" t="n">
        <v>6.8</v>
      </c>
      <c r="H628" t="n">
        <v>0</v>
      </c>
      <c r="I628" t="n">
        <v>0</v>
      </c>
      <c r="J628" t="n">
        <v>0</v>
      </c>
      <c r="K628" t="n">
        <v>0</v>
      </c>
      <c r="L628" t="n">
        <v>0</v>
      </c>
      <c r="M628" t="n">
        <v>0</v>
      </c>
      <c r="N628" t="n">
        <v>0</v>
      </c>
      <c r="O628" t="n">
        <v>0</v>
      </c>
      <c r="P628" t="n">
        <v>0</v>
      </c>
      <c r="Q628" t="n">
        <v>0</v>
      </c>
      <c r="R628" s="2" t="inlineStr"/>
    </row>
    <row r="629" ht="15" customHeight="1">
      <c r="A629" t="inlineStr">
        <is>
          <t>A 53080-2021</t>
        </is>
      </c>
      <c r="B629" s="1" t="n">
        <v>44467</v>
      </c>
      <c r="C629" s="1" t="n">
        <v>45338</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54065-2021</t>
        </is>
      </c>
      <c r="B630" s="1" t="n">
        <v>44470</v>
      </c>
      <c r="C630" s="1" t="n">
        <v>45338</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55300-2021</t>
        </is>
      </c>
      <c r="B631" s="1" t="n">
        <v>44475</v>
      </c>
      <c r="C631" s="1" t="n">
        <v>45338</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55297-2021</t>
        </is>
      </c>
      <c r="B632" s="1" t="n">
        <v>44475</v>
      </c>
      <c r="C632" s="1" t="n">
        <v>45338</v>
      </c>
      <c r="D632" t="inlineStr">
        <is>
          <t>KALMAR LÄN</t>
        </is>
      </c>
      <c r="E632" t="inlineStr">
        <is>
          <t>VIMMERBY</t>
        </is>
      </c>
      <c r="G632" t="n">
        <v>4.1</v>
      </c>
      <c r="H632" t="n">
        <v>0</v>
      </c>
      <c r="I632" t="n">
        <v>0</v>
      </c>
      <c r="J632" t="n">
        <v>0</v>
      </c>
      <c r="K632" t="n">
        <v>0</v>
      </c>
      <c r="L632" t="n">
        <v>0</v>
      </c>
      <c r="M632" t="n">
        <v>0</v>
      </c>
      <c r="N632" t="n">
        <v>0</v>
      </c>
      <c r="O632" t="n">
        <v>0</v>
      </c>
      <c r="P632" t="n">
        <v>0</v>
      </c>
      <c r="Q632" t="n">
        <v>0</v>
      </c>
      <c r="R632" s="2" t="inlineStr"/>
    </row>
    <row r="633" ht="15" customHeight="1">
      <c r="A633" t="inlineStr">
        <is>
          <t>A 55674-2021</t>
        </is>
      </c>
      <c r="B633" s="1" t="n">
        <v>44476</v>
      </c>
      <c r="C633" s="1" t="n">
        <v>45338</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56029-2021</t>
        </is>
      </c>
      <c r="B634" s="1" t="n">
        <v>44477</v>
      </c>
      <c r="C634" s="1" t="n">
        <v>45338</v>
      </c>
      <c r="D634" t="inlineStr">
        <is>
          <t>KALMAR LÄN</t>
        </is>
      </c>
      <c r="E634" t="inlineStr">
        <is>
          <t>VIMMERBY</t>
        </is>
      </c>
      <c r="G634" t="n">
        <v>3.9</v>
      </c>
      <c r="H634" t="n">
        <v>0</v>
      </c>
      <c r="I634" t="n">
        <v>0</v>
      </c>
      <c r="J634" t="n">
        <v>0</v>
      </c>
      <c r="K634" t="n">
        <v>0</v>
      </c>
      <c r="L634" t="n">
        <v>0</v>
      </c>
      <c r="M634" t="n">
        <v>0</v>
      </c>
      <c r="N634" t="n">
        <v>0</v>
      </c>
      <c r="O634" t="n">
        <v>0</v>
      </c>
      <c r="P634" t="n">
        <v>0</v>
      </c>
      <c r="Q634" t="n">
        <v>0</v>
      </c>
      <c r="R634" s="2" t="inlineStr"/>
    </row>
    <row r="635" ht="15" customHeight="1">
      <c r="A635" t="inlineStr">
        <is>
          <t>A 56343-2021</t>
        </is>
      </c>
      <c r="B635" s="1" t="n">
        <v>44480</v>
      </c>
      <c r="C635" s="1" t="n">
        <v>45338</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56385-2021</t>
        </is>
      </c>
      <c r="B636" s="1" t="n">
        <v>44480</v>
      </c>
      <c r="C636" s="1" t="n">
        <v>45338</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56347-2021</t>
        </is>
      </c>
      <c r="B637" s="1" t="n">
        <v>44480</v>
      </c>
      <c r="C637" s="1" t="n">
        <v>45338</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56378-2021</t>
        </is>
      </c>
      <c r="B638" s="1" t="n">
        <v>44480</v>
      </c>
      <c r="C638" s="1" t="n">
        <v>45338</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56398-2021</t>
        </is>
      </c>
      <c r="B639" s="1" t="n">
        <v>44480</v>
      </c>
      <c r="C639" s="1" t="n">
        <v>45338</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56389-2021</t>
        </is>
      </c>
      <c r="B640" s="1" t="n">
        <v>44480</v>
      </c>
      <c r="C640" s="1" t="n">
        <v>45338</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56754-2021</t>
        </is>
      </c>
      <c r="B641" s="1" t="n">
        <v>44481</v>
      </c>
      <c r="C641" s="1" t="n">
        <v>45338</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57416-2021</t>
        </is>
      </c>
      <c r="B642" s="1" t="n">
        <v>44483</v>
      </c>
      <c r="C642" s="1" t="n">
        <v>45338</v>
      </c>
      <c r="D642" t="inlineStr">
        <is>
          <t>KALMAR LÄN</t>
        </is>
      </c>
      <c r="E642" t="inlineStr">
        <is>
          <t>VIMMERBY</t>
        </is>
      </c>
      <c r="G642" t="n">
        <v>2.9</v>
      </c>
      <c r="H642" t="n">
        <v>0</v>
      </c>
      <c r="I642" t="n">
        <v>0</v>
      </c>
      <c r="J642" t="n">
        <v>0</v>
      </c>
      <c r="K642" t="n">
        <v>0</v>
      </c>
      <c r="L642" t="n">
        <v>0</v>
      </c>
      <c r="M642" t="n">
        <v>0</v>
      </c>
      <c r="N642" t="n">
        <v>0</v>
      </c>
      <c r="O642" t="n">
        <v>0</v>
      </c>
      <c r="P642" t="n">
        <v>0</v>
      </c>
      <c r="Q642" t="n">
        <v>0</v>
      </c>
      <c r="R642" s="2" t="inlineStr"/>
    </row>
    <row r="643" ht="15" customHeight="1">
      <c r="A643" t="inlineStr">
        <is>
          <t>A 57605-2021</t>
        </is>
      </c>
      <c r="B643" s="1" t="n">
        <v>44483</v>
      </c>
      <c r="C643" s="1" t="n">
        <v>45338</v>
      </c>
      <c r="D643" t="inlineStr">
        <is>
          <t>KALMAR LÄN</t>
        </is>
      </c>
      <c r="E643" t="inlineStr">
        <is>
          <t>VIMMERBY</t>
        </is>
      </c>
      <c r="G643" t="n">
        <v>13.1</v>
      </c>
      <c r="H643" t="n">
        <v>0</v>
      </c>
      <c r="I643" t="n">
        <v>0</v>
      </c>
      <c r="J643" t="n">
        <v>0</v>
      </c>
      <c r="K643" t="n">
        <v>0</v>
      </c>
      <c r="L643" t="n">
        <v>0</v>
      </c>
      <c r="M643" t="n">
        <v>0</v>
      </c>
      <c r="N643" t="n">
        <v>0</v>
      </c>
      <c r="O643" t="n">
        <v>0</v>
      </c>
      <c r="P643" t="n">
        <v>0</v>
      </c>
      <c r="Q643" t="n">
        <v>0</v>
      </c>
      <c r="R643" s="2" t="inlineStr"/>
    </row>
    <row r="644" ht="15" customHeight="1">
      <c r="A644" t="inlineStr">
        <is>
          <t>A 58318-2021</t>
        </is>
      </c>
      <c r="B644" s="1" t="n">
        <v>44488</v>
      </c>
      <c r="C644" s="1" t="n">
        <v>45338</v>
      </c>
      <c r="D644" t="inlineStr">
        <is>
          <t>KALMAR LÄN</t>
        </is>
      </c>
      <c r="E644" t="inlineStr">
        <is>
          <t>VIMMERBY</t>
        </is>
      </c>
      <c r="G644" t="n">
        <v>4</v>
      </c>
      <c r="H644" t="n">
        <v>0</v>
      </c>
      <c r="I644" t="n">
        <v>0</v>
      </c>
      <c r="J644" t="n">
        <v>0</v>
      </c>
      <c r="K644" t="n">
        <v>0</v>
      </c>
      <c r="L644" t="n">
        <v>0</v>
      </c>
      <c r="M644" t="n">
        <v>0</v>
      </c>
      <c r="N644" t="n">
        <v>0</v>
      </c>
      <c r="O644" t="n">
        <v>0</v>
      </c>
      <c r="P644" t="n">
        <v>0</v>
      </c>
      <c r="Q644" t="n">
        <v>0</v>
      </c>
      <c r="R644" s="2" t="inlineStr"/>
    </row>
    <row r="645" ht="15" customHeight="1">
      <c r="A645" t="inlineStr">
        <is>
          <t>A 59070-2021</t>
        </is>
      </c>
      <c r="B645" s="1" t="n">
        <v>44490</v>
      </c>
      <c r="C645" s="1" t="n">
        <v>45338</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59781-2021</t>
        </is>
      </c>
      <c r="B646" s="1" t="n">
        <v>44494</v>
      </c>
      <c r="C646" s="1" t="n">
        <v>45338</v>
      </c>
      <c r="D646" t="inlineStr">
        <is>
          <t>KALMAR LÄN</t>
        </is>
      </c>
      <c r="E646" t="inlineStr">
        <is>
          <t>VIMMERBY</t>
        </is>
      </c>
      <c r="G646" t="n">
        <v>5.6</v>
      </c>
      <c r="H646" t="n">
        <v>0</v>
      </c>
      <c r="I646" t="n">
        <v>0</v>
      </c>
      <c r="J646" t="n">
        <v>0</v>
      </c>
      <c r="K646" t="n">
        <v>0</v>
      </c>
      <c r="L646" t="n">
        <v>0</v>
      </c>
      <c r="M646" t="n">
        <v>0</v>
      </c>
      <c r="N646" t="n">
        <v>0</v>
      </c>
      <c r="O646" t="n">
        <v>0</v>
      </c>
      <c r="P646" t="n">
        <v>0</v>
      </c>
      <c r="Q646" t="n">
        <v>0</v>
      </c>
      <c r="R646" s="2" t="inlineStr"/>
    </row>
    <row r="647" ht="15" customHeight="1">
      <c r="A647" t="inlineStr">
        <is>
          <t>A 59791-2021</t>
        </is>
      </c>
      <c r="B647" s="1" t="n">
        <v>44494</v>
      </c>
      <c r="C647" s="1" t="n">
        <v>45338</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60228-2021</t>
        </is>
      </c>
      <c r="B648" s="1" t="n">
        <v>44495</v>
      </c>
      <c r="C648" s="1" t="n">
        <v>45338</v>
      </c>
      <c r="D648" t="inlineStr">
        <is>
          <t>KALMAR LÄN</t>
        </is>
      </c>
      <c r="E648" t="inlineStr">
        <is>
          <t>VIMMERBY</t>
        </is>
      </c>
      <c r="G648" t="n">
        <v>4.1</v>
      </c>
      <c r="H648" t="n">
        <v>0</v>
      </c>
      <c r="I648" t="n">
        <v>0</v>
      </c>
      <c r="J648" t="n">
        <v>0</v>
      </c>
      <c r="K648" t="n">
        <v>0</v>
      </c>
      <c r="L648" t="n">
        <v>0</v>
      </c>
      <c r="M648" t="n">
        <v>0</v>
      </c>
      <c r="N648" t="n">
        <v>0</v>
      </c>
      <c r="O648" t="n">
        <v>0</v>
      </c>
      <c r="P648" t="n">
        <v>0</v>
      </c>
      <c r="Q648" t="n">
        <v>0</v>
      </c>
      <c r="R648" s="2" t="inlineStr"/>
    </row>
    <row r="649" ht="15" customHeight="1">
      <c r="A649" t="inlineStr">
        <is>
          <t>A 60225-2021</t>
        </is>
      </c>
      <c r="B649" s="1" t="n">
        <v>44495</v>
      </c>
      <c r="C649" s="1" t="n">
        <v>45338</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60994-2021</t>
        </is>
      </c>
      <c r="B650" s="1" t="n">
        <v>44497</v>
      </c>
      <c r="C650" s="1" t="n">
        <v>45338</v>
      </c>
      <c r="D650" t="inlineStr">
        <is>
          <t>KALMAR LÄN</t>
        </is>
      </c>
      <c r="E650" t="inlineStr">
        <is>
          <t>VIMMERBY</t>
        </is>
      </c>
      <c r="F650" t="inlineStr">
        <is>
          <t>Sveaskog</t>
        </is>
      </c>
      <c r="G650" t="n">
        <v>4.2</v>
      </c>
      <c r="H650" t="n">
        <v>0</v>
      </c>
      <c r="I650" t="n">
        <v>0</v>
      </c>
      <c r="J650" t="n">
        <v>0</v>
      </c>
      <c r="K650" t="n">
        <v>0</v>
      </c>
      <c r="L650" t="n">
        <v>0</v>
      </c>
      <c r="M650" t="n">
        <v>0</v>
      </c>
      <c r="N650" t="n">
        <v>0</v>
      </c>
      <c r="O650" t="n">
        <v>0</v>
      </c>
      <c r="P650" t="n">
        <v>0</v>
      </c>
      <c r="Q650" t="n">
        <v>0</v>
      </c>
      <c r="R650" s="2" t="inlineStr"/>
    </row>
    <row r="651" ht="15" customHeight="1">
      <c r="A651" t="inlineStr">
        <is>
          <t>A 61939-2021</t>
        </is>
      </c>
      <c r="B651" s="1" t="n">
        <v>44502</v>
      </c>
      <c r="C651" s="1" t="n">
        <v>45338</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63244-2021</t>
        </is>
      </c>
      <c r="B652" s="1" t="n">
        <v>44508</v>
      </c>
      <c r="C652" s="1" t="n">
        <v>45338</v>
      </c>
      <c r="D652" t="inlineStr">
        <is>
          <t>KALMAR LÄN</t>
        </is>
      </c>
      <c r="E652" t="inlineStr">
        <is>
          <t>VIMMERBY</t>
        </is>
      </c>
      <c r="F652" t="inlineStr">
        <is>
          <t>Övriga statliga verk och myndigheter</t>
        </is>
      </c>
      <c r="G652" t="n">
        <v>0.6</v>
      </c>
      <c r="H652" t="n">
        <v>0</v>
      </c>
      <c r="I652" t="n">
        <v>0</v>
      </c>
      <c r="J652" t="n">
        <v>0</v>
      </c>
      <c r="K652" t="n">
        <v>0</v>
      </c>
      <c r="L652" t="n">
        <v>0</v>
      </c>
      <c r="M652" t="n">
        <v>0</v>
      </c>
      <c r="N652" t="n">
        <v>0</v>
      </c>
      <c r="O652" t="n">
        <v>0</v>
      </c>
      <c r="P652" t="n">
        <v>0</v>
      </c>
      <c r="Q652" t="n">
        <v>0</v>
      </c>
      <c r="R652" s="2" t="inlineStr"/>
    </row>
    <row r="653" ht="15" customHeight="1">
      <c r="A653" t="inlineStr">
        <is>
          <t>A 63926-2021</t>
        </is>
      </c>
      <c r="B653" s="1" t="n">
        <v>44509</v>
      </c>
      <c r="C653" s="1" t="n">
        <v>45338</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64143-2021</t>
        </is>
      </c>
      <c r="B654" s="1" t="n">
        <v>44510</v>
      </c>
      <c r="C654" s="1" t="n">
        <v>45338</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64203-2021</t>
        </is>
      </c>
      <c r="B655" s="1" t="n">
        <v>44510</v>
      </c>
      <c r="C655" s="1" t="n">
        <v>45338</v>
      </c>
      <c r="D655" t="inlineStr">
        <is>
          <t>KALMAR LÄN</t>
        </is>
      </c>
      <c r="E655" t="inlineStr">
        <is>
          <t>VIMMERBY</t>
        </is>
      </c>
      <c r="F655" t="inlineStr">
        <is>
          <t>Övriga Aktiebolag</t>
        </is>
      </c>
      <c r="G655" t="n">
        <v>5.4</v>
      </c>
      <c r="H655" t="n">
        <v>0</v>
      </c>
      <c r="I655" t="n">
        <v>0</v>
      </c>
      <c r="J655" t="n">
        <v>0</v>
      </c>
      <c r="K655" t="n">
        <v>0</v>
      </c>
      <c r="L655" t="n">
        <v>0</v>
      </c>
      <c r="M655" t="n">
        <v>0</v>
      </c>
      <c r="N655" t="n">
        <v>0</v>
      </c>
      <c r="O655" t="n">
        <v>0</v>
      </c>
      <c r="P655" t="n">
        <v>0</v>
      </c>
      <c r="Q655" t="n">
        <v>0</v>
      </c>
      <c r="R655" s="2" t="inlineStr"/>
    </row>
    <row r="656" ht="15" customHeight="1">
      <c r="A656" t="inlineStr">
        <is>
          <t>A 64923-2021</t>
        </is>
      </c>
      <c r="B656" s="1" t="n">
        <v>44512</v>
      </c>
      <c r="C656" s="1" t="n">
        <v>45338</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65670-2021</t>
        </is>
      </c>
      <c r="B657" s="1" t="n">
        <v>44516</v>
      </c>
      <c r="C657" s="1" t="n">
        <v>45338</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65864-2021</t>
        </is>
      </c>
      <c r="B658" s="1" t="n">
        <v>44517</v>
      </c>
      <c r="C658" s="1" t="n">
        <v>45338</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65887-2021</t>
        </is>
      </c>
      <c r="B659" s="1" t="n">
        <v>44517</v>
      </c>
      <c r="C659" s="1" t="n">
        <v>45338</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66022-2021</t>
        </is>
      </c>
      <c r="B660" s="1" t="n">
        <v>44517</v>
      </c>
      <c r="C660" s="1" t="n">
        <v>45338</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67952-2021</t>
        </is>
      </c>
      <c r="B661" s="1" t="n">
        <v>44525</v>
      </c>
      <c r="C661" s="1" t="n">
        <v>45338</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67983-2021</t>
        </is>
      </c>
      <c r="B662" s="1" t="n">
        <v>44525</v>
      </c>
      <c r="C662" s="1" t="n">
        <v>45338</v>
      </c>
      <c r="D662" t="inlineStr">
        <is>
          <t>KALMAR LÄN</t>
        </is>
      </c>
      <c r="E662" t="inlineStr">
        <is>
          <t>VIMMERBY</t>
        </is>
      </c>
      <c r="G662" t="n">
        <v>6.1</v>
      </c>
      <c r="H662" t="n">
        <v>0</v>
      </c>
      <c r="I662" t="n">
        <v>0</v>
      </c>
      <c r="J662" t="n">
        <v>0</v>
      </c>
      <c r="K662" t="n">
        <v>0</v>
      </c>
      <c r="L662" t="n">
        <v>0</v>
      </c>
      <c r="M662" t="n">
        <v>0</v>
      </c>
      <c r="N662" t="n">
        <v>0</v>
      </c>
      <c r="O662" t="n">
        <v>0</v>
      </c>
      <c r="P662" t="n">
        <v>0</v>
      </c>
      <c r="Q662" t="n">
        <v>0</v>
      </c>
      <c r="R662" s="2" t="inlineStr"/>
    </row>
    <row r="663" ht="15" customHeight="1">
      <c r="A663" t="inlineStr">
        <is>
          <t>A 68426-2021</t>
        </is>
      </c>
      <c r="B663" s="1" t="n">
        <v>44529</v>
      </c>
      <c r="C663" s="1" t="n">
        <v>45338</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68840-2021</t>
        </is>
      </c>
      <c r="B664" s="1" t="n">
        <v>44530</v>
      </c>
      <c r="C664" s="1" t="n">
        <v>45338</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71775-2021</t>
        </is>
      </c>
      <c r="B665" s="1" t="n">
        <v>44539</v>
      </c>
      <c r="C665" s="1" t="n">
        <v>45338</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71793-2021</t>
        </is>
      </c>
      <c r="B666" s="1" t="n">
        <v>44539</v>
      </c>
      <c r="C666" s="1" t="n">
        <v>45338</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72067-2021</t>
        </is>
      </c>
      <c r="B667" s="1" t="n">
        <v>44540</v>
      </c>
      <c r="C667" s="1" t="n">
        <v>45338</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71631-2021</t>
        </is>
      </c>
      <c r="B668" s="1" t="n">
        <v>44542</v>
      </c>
      <c r="C668" s="1" t="n">
        <v>45338</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71626-2021</t>
        </is>
      </c>
      <c r="B669" s="1" t="n">
        <v>44542</v>
      </c>
      <c r="C669" s="1" t="n">
        <v>45338</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72701-2021</t>
        </is>
      </c>
      <c r="B670" s="1" t="n">
        <v>44546</v>
      </c>
      <c r="C670" s="1" t="n">
        <v>45338</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73938-2021</t>
        </is>
      </c>
      <c r="B671" s="1" t="n">
        <v>44553</v>
      </c>
      <c r="C671" s="1" t="n">
        <v>45338</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172-2022</t>
        </is>
      </c>
      <c r="B672" s="1" t="n">
        <v>44564</v>
      </c>
      <c r="C672" s="1" t="n">
        <v>45338</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165-2022</t>
        </is>
      </c>
      <c r="B673" s="1" t="n">
        <v>44564</v>
      </c>
      <c r="C673" s="1" t="n">
        <v>45338</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529-2022</t>
        </is>
      </c>
      <c r="B674" s="1" t="n">
        <v>44566</v>
      </c>
      <c r="C674" s="1" t="n">
        <v>45338</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1627-2022</t>
        </is>
      </c>
      <c r="B675" s="1" t="n">
        <v>44573</v>
      </c>
      <c r="C675" s="1" t="n">
        <v>45338</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1838-2022</t>
        </is>
      </c>
      <c r="B676" s="1" t="n">
        <v>44574</v>
      </c>
      <c r="C676" s="1" t="n">
        <v>45338</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2069-2022</t>
        </is>
      </c>
      <c r="B677" s="1" t="n">
        <v>44575</v>
      </c>
      <c r="C677" s="1" t="n">
        <v>45338</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2121-2022</t>
        </is>
      </c>
      <c r="B678" s="1" t="n">
        <v>44578</v>
      </c>
      <c r="C678" s="1" t="n">
        <v>45338</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2196-2022</t>
        </is>
      </c>
      <c r="B679" s="1" t="n">
        <v>44578</v>
      </c>
      <c r="C679" s="1" t="n">
        <v>45338</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2183-2022</t>
        </is>
      </c>
      <c r="B680" s="1" t="n">
        <v>44578</v>
      </c>
      <c r="C680" s="1" t="n">
        <v>45338</v>
      </c>
      <c r="D680" t="inlineStr">
        <is>
          <t>KALMAR LÄN</t>
        </is>
      </c>
      <c r="E680" t="inlineStr">
        <is>
          <t>VIMMERBY</t>
        </is>
      </c>
      <c r="G680" t="n">
        <v>4.8</v>
      </c>
      <c r="H680" t="n">
        <v>0</v>
      </c>
      <c r="I680" t="n">
        <v>0</v>
      </c>
      <c r="J680" t="n">
        <v>0</v>
      </c>
      <c r="K680" t="n">
        <v>0</v>
      </c>
      <c r="L680" t="n">
        <v>0</v>
      </c>
      <c r="M680" t="n">
        <v>0</v>
      </c>
      <c r="N680" t="n">
        <v>0</v>
      </c>
      <c r="O680" t="n">
        <v>0</v>
      </c>
      <c r="P680" t="n">
        <v>0</v>
      </c>
      <c r="Q680" t="n">
        <v>0</v>
      </c>
      <c r="R680" s="2" t="inlineStr"/>
    </row>
    <row r="681" ht="15" customHeight="1">
      <c r="A681" t="inlineStr">
        <is>
          <t>A 2260-2022</t>
        </is>
      </c>
      <c r="B681" s="1" t="n">
        <v>44578</v>
      </c>
      <c r="C681" s="1" t="n">
        <v>45338</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2411-2022</t>
        </is>
      </c>
      <c r="B682" s="1" t="n">
        <v>44579</v>
      </c>
      <c r="C682" s="1" t="n">
        <v>45338</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2462-2022</t>
        </is>
      </c>
      <c r="B683" s="1" t="n">
        <v>44579</v>
      </c>
      <c r="C683" s="1" t="n">
        <v>45338</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3425-2022</t>
        </is>
      </c>
      <c r="B684" s="1" t="n">
        <v>44585</v>
      </c>
      <c r="C684" s="1" t="n">
        <v>45338</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v>
      </c>
      <c r="C685" s="1" t="n">
        <v>45338</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3426-2022</t>
        </is>
      </c>
      <c r="B686" s="1" t="n">
        <v>44585</v>
      </c>
      <c r="C686" s="1" t="n">
        <v>45338</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3816-2022</t>
        </is>
      </c>
      <c r="B687" s="1" t="n">
        <v>44587</v>
      </c>
      <c r="C687" s="1" t="n">
        <v>45338</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3902-2022</t>
        </is>
      </c>
      <c r="B688" s="1" t="n">
        <v>44587</v>
      </c>
      <c r="C688" s="1" t="n">
        <v>45338</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4046-2022</t>
        </is>
      </c>
      <c r="B689" s="1" t="n">
        <v>44588</v>
      </c>
      <c r="C689" s="1" t="n">
        <v>45338</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4054-2022</t>
        </is>
      </c>
      <c r="B690" s="1" t="n">
        <v>44588</v>
      </c>
      <c r="C690" s="1" t="n">
        <v>45338</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4118-2022</t>
        </is>
      </c>
      <c r="B691" s="1" t="n">
        <v>44588</v>
      </c>
      <c r="C691" s="1" t="n">
        <v>45338</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4126-2022</t>
        </is>
      </c>
      <c r="B692" s="1" t="n">
        <v>44588</v>
      </c>
      <c r="C692" s="1" t="n">
        <v>45338</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4042-2022</t>
        </is>
      </c>
      <c r="B693" s="1" t="n">
        <v>44588</v>
      </c>
      <c r="C693" s="1" t="n">
        <v>45338</v>
      </c>
      <c r="D693" t="inlineStr">
        <is>
          <t>KALMAR LÄN</t>
        </is>
      </c>
      <c r="E693" t="inlineStr">
        <is>
          <t>VIMMERBY</t>
        </is>
      </c>
      <c r="G693" t="n">
        <v>4.7</v>
      </c>
      <c r="H693" t="n">
        <v>0</v>
      </c>
      <c r="I693" t="n">
        <v>0</v>
      </c>
      <c r="J693" t="n">
        <v>0</v>
      </c>
      <c r="K693" t="n">
        <v>0</v>
      </c>
      <c r="L693" t="n">
        <v>0</v>
      </c>
      <c r="M693" t="n">
        <v>0</v>
      </c>
      <c r="N693" t="n">
        <v>0</v>
      </c>
      <c r="O693" t="n">
        <v>0</v>
      </c>
      <c r="P693" t="n">
        <v>0</v>
      </c>
      <c r="Q693" t="n">
        <v>0</v>
      </c>
      <c r="R693" s="2" t="inlineStr"/>
    </row>
    <row r="694" ht="15" customHeight="1">
      <c r="A694" t="inlineStr">
        <is>
          <t>A 4076-2022</t>
        </is>
      </c>
      <c r="B694" s="1" t="n">
        <v>44588</v>
      </c>
      <c r="C694" s="1" t="n">
        <v>45338</v>
      </c>
      <c r="D694" t="inlineStr">
        <is>
          <t>KALMAR LÄN</t>
        </is>
      </c>
      <c r="E694" t="inlineStr">
        <is>
          <t>VIMMERBY</t>
        </is>
      </c>
      <c r="G694" t="n">
        <v>3</v>
      </c>
      <c r="H694" t="n">
        <v>0</v>
      </c>
      <c r="I694" t="n">
        <v>0</v>
      </c>
      <c r="J694" t="n">
        <v>0</v>
      </c>
      <c r="K694" t="n">
        <v>0</v>
      </c>
      <c r="L694" t="n">
        <v>0</v>
      </c>
      <c r="M694" t="n">
        <v>0</v>
      </c>
      <c r="N694" t="n">
        <v>0</v>
      </c>
      <c r="O694" t="n">
        <v>0</v>
      </c>
      <c r="P694" t="n">
        <v>0</v>
      </c>
      <c r="Q694" t="n">
        <v>0</v>
      </c>
      <c r="R694" s="2" t="inlineStr"/>
    </row>
    <row r="695" ht="15" customHeight="1">
      <c r="A695" t="inlineStr">
        <is>
          <t>A 4122-2022</t>
        </is>
      </c>
      <c r="B695" s="1" t="n">
        <v>44588</v>
      </c>
      <c r="C695" s="1" t="n">
        <v>45338</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4297-2022</t>
        </is>
      </c>
      <c r="B696" s="1" t="n">
        <v>44588</v>
      </c>
      <c r="C696" s="1" t="n">
        <v>45338</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4296-2022</t>
        </is>
      </c>
      <c r="B697" s="1" t="n">
        <v>44588</v>
      </c>
      <c r="C697" s="1" t="n">
        <v>45338</v>
      </c>
      <c r="D697" t="inlineStr">
        <is>
          <t>KALMAR LÄN</t>
        </is>
      </c>
      <c r="E697" t="inlineStr">
        <is>
          <t>VIMMERBY</t>
        </is>
      </c>
      <c r="G697" t="n">
        <v>1.8</v>
      </c>
      <c r="H697" t="n">
        <v>0</v>
      </c>
      <c r="I697" t="n">
        <v>0</v>
      </c>
      <c r="J697" t="n">
        <v>0</v>
      </c>
      <c r="K697" t="n">
        <v>0</v>
      </c>
      <c r="L697" t="n">
        <v>0</v>
      </c>
      <c r="M697" t="n">
        <v>0</v>
      </c>
      <c r="N697" t="n">
        <v>0</v>
      </c>
      <c r="O697" t="n">
        <v>0</v>
      </c>
      <c r="P697" t="n">
        <v>0</v>
      </c>
      <c r="Q697" t="n">
        <v>0</v>
      </c>
      <c r="R697" s="2" t="inlineStr"/>
    </row>
    <row r="698" ht="15" customHeight="1">
      <c r="A698" t="inlineStr">
        <is>
          <t>A 4532-2022</t>
        </is>
      </c>
      <c r="B698" s="1" t="n">
        <v>44590</v>
      </c>
      <c r="C698" s="1" t="n">
        <v>45338</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5527-2022</t>
        </is>
      </c>
      <c r="B699" s="1" t="n">
        <v>44595</v>
      </c>
      <c r="C699" s="1" t="n">
        <v>45338</v>
      </c>
      <c r="D699" t="inlineStr">
        <is>
          <t>KALMAR LÄN</t>
        </is>
      </c>
      <c r="E699" t="inlineStr">
        <is>
          <t>VIMMERBY</t>
        </is>
      </c>
      <c r="G699" t="n">
        <v>3.6</v>
      </c>
      <c r="H699" t="n">
        <v>0</v>
      </c>
      <c r="I699" t="n">
        <v>0</v>
      </c>
      <c r="J699" t="n">
        <v>0</v>
      </c>
      <c r="K699" t="n">
        <v>0</v>
      </c>
      <c r="L699" t="n">
        <v>0</v>
      </c>
      <c r="M699" t="n">
        <v>0</v>
      </c>
      <c r="N699" t="n">
        <v>0</v>
      </c>
      <c r="O699" t="n">
        <v>0</v>
      </c>
      <c r="P699" t="n">
        <v>0</v>
      </c>
      <c r="Q699" t="n">
        <v>0</v>
      </c>
      <c r="R699" s="2" t="inlineStr"/>
    </row>
    <row r="700" ht="15" customHeight="1">
      <c r="A700" t="inlineStr">
        <is>
          <t>A 5545-2022</t>
        </is>
      </c>
      <c r="B700" s="1" t="n">
        <v>44595</v>
      </c>
      <c r="C700" s="1" t="n">
        <v>45338</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5618-2022</t>
        </is>
      </c>
      <c r="B701" s="1" t="n">
        <v>44595</v>
      </c>
      <c r="C701" s="1" t="n">
        <v>45338</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5864-2022</t>
        </is>
      </c>
      <c r="B702" s="1" t="n">
        <v>44596</v>
      </c>
      <c r="C702" s="1" t="n">
        <v>45338</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5925-2022</t>
        </is>
      </c>
      <c r="B703" s="1" t="n">
        <v>44598</v>
      </c>
      <c r="C703" s="1" t="n">
        <v>45338</v>
      </c>
      <c r="D703" t="inlineStr">
        <is>
          <t>KALMAR LÄN</t>
        </is>
      </c>
      <c r="E703" t="inlineStr">
        <is>
          <t>VIMMERBY</t>
        </is>
      </c>
      <c r="G703" t="n">
        <v>2.1</v>
      </c>
      <c r="H703" t="n">
        <v>0</v>
      </c>
      <c r="I703" t="n">
        <v>0</v>
      </c>
      <c r="J703" t="n">
        <v>0</v>
      </c>
      <c r="K703" t="n">
        <v>0</v>
      </c>
      <c r="L703" t="n">
        <v>0</v>
      </c>
      <c r="M703" t="n">
        <v>0</v>
      </c>
      <c r="N703" t="n">
        <v>0</v>
      </c>
      <c r="O703" t="n">
        <v>0</v>
      </c>
      <c r="P703" t="n">
        <v>0</v>
      </c>
      <c r="Q703" t="n">
        <v>0</v>
      </c>
      <c r="R703" s="2" t="inlineStr"/>
    </row>
    <row r="704" ht="15" customHeight="1">
      <c r="A704" t="inlineStr">
        <is>
          <t>A 5938-2022</t>
        </is>
      </c>
      <c r="B704" s="1" t="n">
        <v>44598</v>
      </c>
      <c r="C704" s="1" t="n">
        <v>45338</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6083-2022</t>
        </is>
      </c>
      <c r="B705" s="1" t="n">
        <v>44599</v>
      </c>
      <c r="C705" s="1" t="n">
        <v>45338</v>
      </c>
      <c r="D705" t="inlineStr">
        <is>
          <t>KALMAR LÄN</t>
        </is>
      </c>
      <c r="E705" t="inlineStr">
        <is>
          <t>VIMMERBY</t>
        </is>
      </c>
      <c r="G705" t="n">
        <v>6.6</v>
      </c>
      <c r="H705" t="n">
        <v>0</v>
      </c>
      <c r="I705" t="n">
        <v>0</v>
      </c>
      <c r="J705" t="n">
        <v>0</v>
      </c>
      <c r="K705" t="n">
        <v>0</v>
      </c>
      <c r="L705" t="n">
        <v>0</v>
      </c>
      <c r="M705" t="n">
        <v>0</v>
      </c>
      <c r="N705" t="n">
        <v>0</v>
      </c>
      <c r="O705" t="n">
        <v>0</v>
      </c>
      <c r="P705" t="n">
        <v>0</v>
      </c>
      <c r="Q705" t="n">
        <v>0</v>
      </c>
      <c r="R705" s="2" t="inlineStr"/>
    </row>
    <row r="706" ht="15" customHeight="1">
      <c r="A706" t="inlineStr">
        <is>
          <t>A 6082-2022</t>
        </is>
      </c>
      <c r="B706" s="1" t="n">
        <v>44599</v>
      </c>
      <c r="C706" s="1" t="n">
        <v>45338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6358-2022</t>
        </is>
      </c>
      <c r="B707" s="1" t="n">
        <v>44600</v>
      </c>
      <c r="C707" s="1" t="n">
        <v>45338</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6355-2022</t>
        </is>
      </c>
      <c r="B708" s="1" t="n">
        <v>44600</v>
      </c>
      <c r="C708" s="1" t="n">
        <v>45338</v>
      </c>
      <c r="D708" t="inlineStr">
        <is>
          <t>KALMAR LÄN</t>
        </is>
      </c>
      <c r="E708" t="inlineStr">
        <is>
          <t>VIMMERBY</t>
        </is>
      </c>
      <c r="G708" t="n">
        <v>4.9</v>
      </c>
      <c r="H708" t="n">
        <v>0</v>
      </c>
      <c r="I708" t="n">
        <v>0</v>
      </c>
      <c r="J708" t="n">
        <v>0</v>
      </c>
      <c r="K708" t="n">
        <v>0</v>
      </c>
      <c r="L708" t="n">
        <v>0</v>
      </c>
      <c r="M708" t="n">
        <v>0</v>
      </c>
      <c r="N708" t="n">
        <v>0</v>
      </c>
      <c r="O708" t="n">
        <v>0</v>
      </c>
      <c r="P708" t="n">
        <v>0</v>
      </c>
      <c r="Q708" t="n">
        <v>0</v>
      </c>
      <c r="R708" s="2" t="inlineStr"/>
    </row>
    <row r="709" ht="15" customHeight="1">
      <c r="A709" t="inlineStr">
        <is>
          <t>A 7047-2022</t>
        </is>
      </c>
      <c r="B709" s="1" t="n">
        <v>44603</v>
      </c>
      <c r="C709" s="1" t="n">
        <v>45338</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7049-2022</t>
        </is>
      </c>
      <c r="B710" s="1" t="n">
        <v>44603</v>
      </c>
      <c r="C710" s="1" t="n">
        <v>45338</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7167-2022</t>
        </is>
      </c>
      <c r="B711" s="1" t="n">
        <v>44604</v>
      </c>
      <c r="C711" s="1" t="n">
        <v>45338</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7643-2022</t>
        </is>
      </c>
      <c r="B712" s="1" t="n">
        <v>44607</v>
      </c>
      <c r="C712" s="1" t="n">
        <v>45338</v>
      </c>
      <c r="D712" t="inlineStr">
        <is>
          <t>KALMAR LÄN</t>
        </is>
      </c>
      <c r="E712" t="inlineStr">
        <is>
          <t>VIMMERBY</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7804-2022</t>
        </is>
      </c>
      <c r="B713" s="1" t="n">
        <v>44608</v>
      </c>
      <c r="C713" s="1" t="n">
        <v>45338</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7917-2022</t>
        </is>
      </c>
      <c r="B714" s="1" t="n">
        <v>44608</v>
      </c>
      <c r="C714" s="1" t="n">
        <v>45338</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8194-2022</t>
        </is>
      </c>
      <c r="B715" s="1" t="n">
        <v>44609</v>
      </c>
      <c r="C715" s="1" t="n">
        <v>45338</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8454-2022</t>
        </is>
      </c>
      <c r="B716" s="1" t="n">
        <v>44612</v>
      </c>
      <c r="C716" s="1" t="n">
        <v>45338</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8453-2022</t>
        </is>
      </c>
      <c r="B717" s="1" t="n">
        <v>44612</v>
      </c>
      <c r="C717" s="1" t="n">
        <v>45338</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8462-2022</t>
        </is>
      </c>
      <c r="B718" s="1" t="n">
        <v>44612</v>
      </c>
      <c r="C718" s="1" t="n">
        <v>45338</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8650-2022</t>
        </is>
      </c>
      <c r="B719" s="1" t="n">
        <v>44613</v>
      </c>
      <c r="C719" s="1" t="n">
        <v>45338</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8908-2022</t>
        </is>
      </c>
      <c r="B720" s="1" t="n">
        <v>44614</v>
      </c>
      <c r="C720" s="1" t="n">
        <v>45338</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9311-2022</t>
        </is>
      </c>
      <c r="B721" s="1" t="n">
        <v>44616</v>
      </c>
      <c r="C721" s="1" t="n">
        <v>45338</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9918-2022</t>
        </is>
      </c>
      <c r="B722" s="1" t="n">
        <v>44620</v>
      </c>
      <c r="C722" s="1" t="n">
        <v>45338</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10086-2022</t>
        </is>
      </c>
      <c r="B723" s="1" t="n">
        <v>44621</v>
      </c>
      <c r="C723" s="1" t="n">
        <v>45338</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10487-2022</t>
        </is>
      </c>
      <c r="B724" s="1" t="n">
        <v>44623</v>
      </c>
      <c r="C724" s="1" t="n">
        <v>45338</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45338</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11733-2022</t>
        </is>
      </c>
      <c r="B726" s="1" t="n">
        <v>44634</v>
      </c>
      <c r="C726" s="1" t="n">
        <v>45338</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11814-2022</t>
        </is>
      </c>
      <c r="B727" s="1" t="n">
        <v>44634</v>
      </c>
      <c r="C727" s="1" t="n">
        <v>45338</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11928-2022</t>
        </is>
      </c>
      <c r="B728" s="1" t="n">
        <v>44635</v>
      </c>
      <c r="C728" s="1" t="n">
        <v>45338</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11930-2022</t>
        </is>
      </c>
      <c r="B729" s="1" t="n">
        <v>44635</v>
      </c>
      <c r="C729" s="1" t="n">
        <v>45338</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12107-2022</t>
        </is>
      </c>
      <c r="B730" s="1" t="n">
        <v>44636</v>
      </c>
      <c r="C730" s="1" t="n">
        <v>45338</v>
      </c>
      <c r="D730" t="inlineStr">
        <is>
          <t>KALMAR LÄN</t>
        </is>
      </c>
      <c r="E730" t="inlineStr">
        <is>
          <t>VIMMERBY</t>
        </is>
      </c>
      <c r="G730" t="n">
        <v>1.8</v>
      </c>
      <c r="H730" t="n">
        <v>0</v>
      </c>
      <c r="I730" t="n">
        <v>0</v>
      </c>
      <c r="J730" t="n">
        <v>0</v>
      </c>
      <c r="K730" t="n">
        <v>0</v>
      </c>
      <c r="L730" t="n">
        <v>0</v>
      </c>
      <c r="M730" t="n">
        <v>0</v>
      </c>
      <c r="N730" t="n">
        <v>0</v>
      </c>
      <c r="O730" t="n">
        <v>0</v>
      </c>
      <c r="P730" t="n">
        <v>0</v>
      </c>
      <c r="Q730" t="n">
        <v>0</v>
      </c>
      <c r="R730" s="2" t="inlineStr"/>
    </row>
    <row r="731" ht="15" customHeight="1">
      <c r="A731" t="inlineStr">
        <is>
          <t>A 12510-2022</t>
        </is>
      </c>
      <c r="B731" s="1" t="n">
        <v>44638</v>
      </c>
      <c r="C731" s="1" t="n">
        <v>45338</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13015-2022</t>
        </is>
      </c>
      <c r="B732" s="1" t="n">
        <v>44643</v>
      </c>
      <c r="C732" s="1" t="n">
        <v>45338</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13180-2022</t>
        </is>
      </c>
      <c r="B733" s="1" t="n">
        <v>44644</v>
      </c>
      <c r="C733" s="1" t="n">
        <v>45338</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14347-2022</t>
        </is>
      </c>
      <c r="B734" s="1" t="n">
        <v>44652</v>
      </c>
      <c r="C734" s="1" t="n">
        <v>45338</v>
      </c>
      <c r="D734" t="inlineStr">
        <is>
          <t>KALMAR LÄN</t>
        </is>
      </c>
      <c r="E734" t="inlineStr">
        <is>
          <t>VIMMERBY</t>
        </is>
      </c>
      <c r="F734" t="inlineStr">
        <is>
          <t>Sveaskog</t>
        </is>
      </c>
      <c r="G734" t="n">
        <v>7.2</v>
      </c>
      <c r="H734" t="n">
        <v>0</v>
      </c>
      <c r="I734" t="n">
        <v>0</v>
      </c>
      <c r="J734" t="n">
        <v>0</v>
      </c>
      <c r="K734" t="n">
        <v>0</v>
      </c>
      <c r="L734" t="n">
        <v>0</v>
      </c>
      <c r="M734" t="n">
        <v>0</v>
      </c>
      <c r="N734" t="n">
        <v>0</v>
      </c>
      <c r="O734" t="n">
        <v>0</v>
      </c>
      <c r="P734" t="n">
        <v>0</v>
      </c>
      <c r="Q734" t="n">
        <v>0</v>
      </c>
      <c r="R734" s="2" t="inlineStr"/>
    </row>
    <row r="735" ht="15" customHeight="1">
      <c r="A735" t="inlineStr">
        <is>
          <t>A 15146-2022</t>
        </is>
      </c>
      <c r="B735" s="1" t="n">
        <v>44658</v>
      </c>
      <c r="C735" s="1" t="n">
        <v>45338</v>
      </c>
      <c r="D735" t="inlineStr">
        <is>
          <t>KALMAR LÄN</t>
        </is>
      </c>
      <c r="E735" t="inlineStr">
        <is>
          <t>VIMMERBY</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15438-2022</t>
        </is>
      </c>
      <c r="B736" s="1" t="n">
        <v>44659</v>
      </c>
      <c r="C736" s="1" t="n">
        <v>45338</v>
      </c>
      <c r="D736" t="inlineStr">
        <is>
          <t>KALMAR LÄN</t>
        </is>
      </c>
      <c r="E736" t="inlineStr">
        <is>
          <t>VIMMERBY</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15533-2022</t>
        </is>
      </c>
      <c r="B737" s="1" t="n">
        <v>44662</v>
      </c>
      <c r="C737" s="1" t="n">
        <v>45338</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15535-2022</t>
        </is>
      </c>
      <c r="B738" s="1" t="n">
        <v>44662</v>
      </c>
      <c r="C738" s="1" t="n">
        <v>45338</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16156-2022</t>
        </is>
      </c>
      <c r="B739" s="1" t="n">
        <v>44666</v>
      </c>
      <c r="C739" s="1" t="n">
        <v>45338</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16288-2022</t>
        </is>
      </c>
      <c r="B740" s="1" t="n">
        <v>44670</v>
      </c>
      <c r="C740" s="1" t="n">
        <v>45338</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16283-2022</t>
        </is>
      </c>
      <c r="B741" s="1" t="n">
        <v>44670</v>
      </c>
      <c r="C741" s="1" t="n">
        <v>45338</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16290-2022</t>
        </is>
      </c>
      <c r="B742" s="1" t="n">
        <v>44670</v>
      </c>
      <c r="C742" s="1" t="n">
        <v>45338</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17029-2022</t>
        </is>
      </c>
      <c r="B743" s="1" t="n">
        <v>44676</v>
      </c>
      <c r="C743" s="1" t="n">
        <v>45338</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17253-2022</t>
        </is>
      </c>
      <c r="B744" s="1" t="n">
        <v>44678</v>
      </c>
      <c r="C744" s="1" t="n">
        <v>45338</v>
      </c>
      <c r="D744" t="inlineStr">
        <is>
          <t>KALMAR LÄN</t>
        </is>
      </c>
      <c r="E744" t="inlineStr">
        <is>
          <t>VIMMERBY</t>
        </is>
      </c>
      <c r="G744" t="n">
        <v>1.9</v>
      </c>
      <c r="H744" t="n">
        <v>0</v>
      </c>
      <c r="I744" t="n">
        <v>0</v>
      </c>
      <c r="J744" t="n">
        <v>0</v>
      </c>
      <c r="K744" t="n">
        <v>0</v>
      </c>
      <c r="L744" t="n">
        <v>0</v>
      </c>
      <c r="M744" t="n">
        <v>0</v>
      </c>
      <c r="N744" t="n">
        <v>0</v>
      </c>
      <c r="O744" t="n">
        <v>0</v>
      </c>
      <c r="P744" t="n">
        <v>0</v>
      </c>
      <c r="Q744" t="n">
        <v>0</v>
      </c>
      <c r="R744" s="2" t="inlineStr"/>
    </row>
    <row r="745" ht="15" customHeight="1">
      <c r="A745" t="inlineStr">
        <is>
          <t>A 19535-2022</t>
        </is>
      </c>
      <c r="B745" s="1" t="n">
        <v>44693</v>
      </c>
      <c r="C745" s="1" t="n">
        <v>45338</v>
      </c>
      <c r="D745" t="inlineStr">
        <is>
          <t>KALMAR LÄN</t>
        </is>
      </c>
      <c r="E745" t="inlineStr">
        <is>
          <t>VIMMERBY</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19537-2022</t>
        </is>
      </c>
      <c r="B746" s="1" t="n">
        <v>44693</v>
      </c>
      <c r="C746" s="1" t="n">
        <v>45338</v>
      </c>
      <c r="D746" t="inlineStr">
        <is>
          <t>KALMAR LÄN</t>
        </is>
      </c>
      <c r="E746" t="inlineStr">
        <is>
          <t>VIMMERBY</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23341-2022</t>
        </is>
      </c>
      <c r="B747" s="1" t="n">
        <v>44720</v>
      </c>
      <c r="C747" s="1" t="n">
        <v>45338</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23825-2022</t>
        </is>
      </c>
      <c r="B748" s="1" t="n">
        <v>44722</v>
      </c>
      <c r="C748" s="1" t="n">
        <v>45338</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25049-2022</t>
        </is>
      </c>
      <c r="B749" s="1" t="n">
        <v>44729</v>
      </c>
      <c r="C749" s="1" t="n">
        <v>45338</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25370-2022</t>
        </is>
      </c>
      <c r="B750" s="1" t="n">
        <v>44732</v>
      </c>
      <c r="C750" s="1" t="n">
        <v>45338</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25738-2022</t>
        </is>
      </c>
      <c r="B751" s="1" t="n">
        <v>44733</v>
      </c>
      <c r="C751" s="1" t="n">
        <v>45338</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25859-2022</t>
        </is>
      </c>
      <c r="B752" s="1" t="n">
        <v>44733</v>
      </c>
      <c r="C752" s="1" t="n">
        <v>45338</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25868-2022</t>
        </is>
      </c>
      <c r="B753" s="1" t="n">
        <v>44733</v>
      </c>
      <c r="C753" s="1" t="n">
        <v>45338</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27455-2022</t>
        </is>
      </c>
      <c r="B754" s="1" t="n">
        <v>44742</v>
      </c>
      <c r="C754" s="1" t="n">
        <v>45338</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27993-2022</t>
        </is>
      </c>
      <c r="B755" s="1" t="n">
        <v>44745</v>
      </c>
      <c r="C755" s="1" t="n">
        <v>45338</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28034-2022</t>
        </is>
      </c>
      <c r="B756" s="1" t="n">
        <v>44746</v>
      </c>
      <c r="C756" s="1" t="n">
        <v>45338</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28406-2022</t>
        </is>
      </c>
      <c r="B757" s="1" t="n">
        <v>44747</v>
      </c>
      <c r="C757" s="1" t="n">
        <v>45338</v>
      </c>
      <c r="D757" t="inlineStr">
        <is>
          <t>KALMAR LÄN</t>
        </is>
      </c>
      <c r="E757" t="inlineStr">
        <is>
          <t>VIMMERBY</t>
        </is>
      </c>
      <c r="G757" t="n">
        <v>3.1</v>
      </c>
      <c r="H757" t="n">
        <v>0</v>
      </c>
      <c r="I757" t="n">
        <v>0</v>
      </c>
      <c r="J757" t="n">
        <v>0</v>
      </c>
      <c r="K757" t="n">
        <v>0</v>
      </c>
      <c r="L757" t="n">
        <v>0</v>
      </c>
      <c r="M757" t="n">
        <v>0</v>
      </c>
      <c r="N757" t="n">
        <v>0</v>
      </c>
      <c r="O757" t="n">
        <v>0</v>
      </c>
      <c r="P757" t="n">
        <v>0</v>
      </c>
      <c r="Q757" t="n">
        <v>0</v>
      </c>
      <c r="R757" s="2" t="inlineStr"/>
    </row>
    <row r="758" ht="15" customHeight="1">
      <c r="A758" t="inlineStr">
        <is>
          <t>A 28646-2022</t>
        </is>
      </c>
      <c r="B758" s="1" t="n">
        <v>44748</v>
      </c>
      <c r="C758" s="1" t="n">
        <v>45338</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29616-2022</t>
        </is>
      </c>
      <c r="B759" s="1" t="n">
        <v>44754</v>
      </c>
      <c r="C759" s="1" t="n">
        <v>45338</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29910-2022</t>
        </is>
      </c>
      <c r="B760" s="1" t="n">
        <v>44756</v>
      </c>
      <c r="C760" s="1" t="n">
        <v>45338</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31053-2022</t>
        </is>
      </c>
      <c r="B761" s="1" t="n">
        <v>44769</v>
      </c>
      <c r="C761" s="1" t="n">
        <v>45338</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31056-2022</t>
        </is>
      </c>
      <c r="B762" s="1" t="n">
        <v>44769</v>
      </c>
      <c r="C762" s="1" t="n">
        <v>45338</v>
      </c>
      <c r="D762" t="inlineStr">
        <is>
          <t>KALMAR LÄN</t>
        </is>
      </c>
      <c r="E762" t="inlineStr">
        <is>
          <t>VIMMERBY</t>
        </is>
      </c>
      <c r="G762" t="n">
        <v>2</v>
      </c>
      <c r="H762" t="n">
        <v>0</v>
      </c>
      <c r="I762" t="n">
        <v>0</v>
      </c>
      <c r="J762" t="n">
        <v>0</v>
      </c>
      <c r="K762" t="n">
        <v>0</v>
      </c>
      <c r="L762" t="n">
        <v>0</v>
      </c>
      <c r="M762" t="n">
        <v>0</v>
      </c>
      <c r="N762" t="n">
        <v>0</v>
      </c>
      <c r="O762" t="n">
        <v>0</v>
      </c>
      <c r="P762" t="n">
        <v>0</v>
      </c>
      <c r="Q762" t="n">
        <v>0</v>
      </c>
      <c r="R762" s="2" t="inlineStr"/>
    </row>
    <row r="763" ht="15" customHeight="1">
      <c r="A763" t="inlineStr">
        <is>
          <t>A 31533-2022</t>
        </is>
      </c>
      <c r="B763" s="1" t="n">
        <v>44774</v>
      </c>
      <c r="C763" s="1" t="n">
        <v>45338</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31824-2022</t>
        </is>
      </c>
      <c r="B764" s="1" t="n">
        <v>44776</v>
      </c>
      <c r="C764" s="1" t="n">
        <v>45338</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32835-2022</t>
        </is>
      </c>
      <c r="B765" s="1" t="n">
        <v>44784</v>
      </c>
      <c r="C765" s="1" t="n">
        <v>45338</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32919-2022</t>
        </is>
      </c>
      <c r="B766" s="1" t="n">
        <v>44784</v>
      </c>
      <c r="C766" s="1" t="n">
        <v>45338</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33051-2022</t>
        </is>
      </c>
      <c r="B767" s="1" t="n">
        <v>44785</v>
      </c>
      <c r="C767" s="1" t="n">
        <v>45338</v>
      </c>
      <c r="D767" t="inlineStr">
        <is>
          <t>KALMAR LÄN</t>
        </is>
      </c>
      <c r="E767" t="inlineStr">
        <is>
          <t>VIMMERBY</t>
        </is>
      </c>
      <c r="G767" t="n">
        <v>0.3</v>
      </c>
      <c r="H767" t="n">
        <v>0</v>
      </c>
      <c r="I767" t="n">
        <v>0</v>
      </c>
      <c r="J767" t="n">
        <v>0</v>
      </c>
      <c r="K767" t="n">
        <v>0</v>
      </c>
      <c r="L767" t="n">
        <v>0</v>
      </c>
      <c r="M767" t="n">
        <v>0</v>
      </c>
      <c r="N767" t="n">
        <v>0</v>
      </c>
      <c r="O767" t="n">
        <v>0</v>
      </c>
      <c r="P767" t="n">
        <v>0</v>
      </c>
      <c r="Q767" t="n">
        <v>0</v>
      </c>
      <c r="R767" s="2" t="inlineStr"/>
    </row>
    <row r="768" ht="15" customHeight="1">
      <c r="A768" t="inlineStr">
        <is>
          <t>A 33352-2022</t>
        </is>
      </c>
      <c r="B768" s="1" t="n">
        <v>44788</v>
      </c>
      <c r="C768" s="1" t="n">
        <v>45338</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33681-2022</t>
        </is>
      </c>
      <c r="B769" s="1" t="n">
        <v>44789</v>
      </c>
      <c r="C769" s="1" t="n">
        <v>45338</v>
      </c>
      <c r="D769" t="inlineStr">
        <is>
          <t>KALMAR LÄN</t>
        </is>
      </c>
      <c r="E769" t="inlineStr">
        <is>
          <t>VIMMERBY</t>
        </is>
      </c>
      <c r="G769" t="n">
        <v>3.2</v>
      </c>
      <c r="H769" t="n">
        <v>0</v>
      </c>
      <c r="I769" t="n">
        <v>0</v>
      </c>
      <c r="J769" t="n">
        <v>0</v>
      </c>
      <c r="K769" t="n">
        <v>0</v>
      </c>
      <c r="L769" t="n">
        <v>0</v>
      </c>
      <c r="M769" t="n">
        <v>0</v>
      </c>
      <c r="N769" t="n">
        <v>0</v>
      </c>
      <c r="O769" t="n">
        <v>0</v>
      </c>
      <c r="P769" t="n">
        <v>0</v>
      </c>
      <c r="Q769" t="n">
        <v>0</v>
      </c>
      <c r="R769" s="2" t="inlineStr"/>
    </row>
    <row r="770" ht="15" customHeight="1">
      <c r="A770" t="inlineStr">
        <is>
          <t>A 33690-2022</t>
        </is>
      </c>
      <c r="B770" s="1" t="n">
        <v>44789</v>
      </c>
      <c r="C770" s="1" t="n">
        <v>45338</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33815-2022</t>
        </is>
      </c>
      <c r="B771" s="1" t="n">
        <v>44790</v>
      </c>
      <c r="C771" s="1" t="n">
        <v>45338</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33829-2022</t>
        </is>
      </c>
      <c r="B772" s="1" t="n">
        <v>44790</v>
      </c>
      <c r="C772" s="1" t="n">
        <v>45338</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33838-2022</t>
        </is>
      </c>
      <c r="B773" s="1" t="n">
        <v>44790</v>
      </c>
      <c r="C773" s="1" t="n">
        <v>45338</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33820-2022</t>
        </is>
      </c>
      <c r="B774" s="1" t="n">
        <v>44790</v>
      </c>
      <c r="C774" s="1" t="n">
        <v>45338</v>
      </c>
      <c r="D774" t="inlineStr">
        <is>
          <t>KALMAR LÄN</t>
        </is>
      </c>
      <c r="E774" t="inlineStr">
        <is>
          <t>VIMMERBY</t>
        </is>
      </c>
      <c r="G774" t="n">
        <v>3</v>
      </c>
      <c r="H774" t="n">
        <v>0</v>
      </c>
      <c r="I774" t="n">
        <v>0</v>
      </c>
      <c r="J774" t="n">
        <v>0</v>
      </c>
      <c r="K774" t="n">
        <v>0</v>
      </c>
      <c r="L774" t="n">
        <v>0</v>
      </c>
      <c r="M774" t="n">
        <v>0</v>
      </c>
      <c r="N774" t="n">
        <v>0</v>
      </c>
      <c r="O774" t="n">
        <v>0</v>
      </c>
      <c r="P774" t="n">
        <v>0</v>
      </c>
      <c r="Q774" t="n">
        <v>0</v>
      </c>
      <c r="R774" s="2" t="inlineStr"/>
    </row>
    <row r="775" ht="15" customHeight="1">
      <c r="A775" t="inlineStr">
        <is>
          <t>A 33831-2022</t>
        </is>
      </c>
      <c r="B775" s="1" t="n">
        <v>44790</v>
      </c>
      <c r="C775" s="1" t="n">
        <v>45338</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33842-2022</t>
        </is>
      </c>
      <c r="B776" s="1" t="n">
        <v>44790</v>
      </c>
      <c r="C776" s="1" t="n">
        <v>45338</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33824-2022</t>
        </is>
      </c>
      <c r="B777" s="1" t="n">
        <v>44790</v>
      </c>
      <c r="C777" s="1" t="n">
        <v>45338</v>
      </c>
      <c r="D777" t="inlineStr">
        <is>
          <t>KALMAR LÄN</t>
        </is>
      </c>
      <c r="E777" t="inlineStr">
        <is>
          <t>VIMMERBY</t>
        </is>
      </c>
      <c r="G777" t="n">
        <v>2.3</v>
      </c>
      <c r="H777" t="n">
        <v>0</v>
      </c>
      <c r="I777" t="n">
        <v>0</v>
      </c>
      <c r="J777" t="n">
        <v>0</v>
      </c>
      <c r="K777" t="n">
        <v>0</v>
      </c>
      <c r="L777" t="n">
        <v>0</v>
      </c>
      <c r="M777" t="n">
        <v>0</v>
      </c>
      <c r="N777" t="n">
        <v>0</v>
      </c>
      <c r="O777" t="n">
        <v>0</v>
      </c>
      <c r="P777" t="n">
        <v>0</v>
      </c>
      <c r="Q777" t="n">
        <v>0</v>
      </c>
      <c r="R777" s="2" t="inlineStr"/>
    </row>
    <row r="778" ht="15" customHeight="1">
      <c r="A778" t="inlineStr">
        <is>
          <t>A 33840-2022</t>
        </is>
      </c>
      <c r="B778" s="1" t="n">
        <v>44790</v>
      </c>
      <c r="C778" s="1" t="n">
        <v>45338</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34376-2022</t>
        </is>
      </c>
      <c r="B779" s="1" t="n">
        <v>44792</v>
      </c>
      <c r="C779" s="1" t="n">
        <v>45338</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34329-2022</t>
        </is>
      </c>
      <c r="B780" s="1" t="n">
        <v>44792</v>
      </c>
      <c r="C780" s="1" t="n">
        <v>45338</v>
      </c>
      <c r="D780" t="inlineStr">
        <is>
          <t>KALMAR LÄN</t>
        </is>
      </c>
      <c r="E780" t="inlineStr">
        <is>
          <t>VIMMERBY</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34597-2022</t>
        </is>
      </c>
      <c r="B781" s="1" t="n">
        <v>44795</v>
      </c>
      <c r="C781" s="1" t="n">
        <v>45338</v>
      </c>
      <c r="D781" t="inlineStr">
        <is>
          <t>KALMAR LÄN</t>
        </is>
      </c>
      <c r="E781" t="inlineStr">
        <is>
          <t>VIMMERBY</t>
        </is>
      </c>
      <c r="G781" t="n">
        <v>2.2</v>
      </c>
      <c r="H781" t="n">
        <v>0</v>
      </c>
      <c r="I781" t="n">
        <v>0</v>
      </c>
      <c r="J781" t="n">
        <v>0</v>
      </c>
      <c r="K781" t="n">
        <v>0</v>
      </c>
      <c r="L781" t="n">
        <v>0</v>
      </c>
      <c r="M781" t="n">
        <v>0</v>
      </c>
      <c r="N781" t="n">
        <v>0</v>
      </c>
      <c r="O781" t="n">
        <v>0</v>
      </c>
      <c r="P781" t="n">
        <v>0</v>
      </c>
      <c r="Q781" t="n">
        <v>0</v>
      </c>
      <c r="R781" s="2" t="inlineStr"/>
    </row>
    <row r="782" ht="15" customHeight="1">
      <c r="A782" t="inlineStr">
        <is>
          <t>A 35429-2022</t>
        </is>
      </c>
      <c r="B782" s="1" t="n">
        <v>44798</v>
      </c>
      <c r="C782" s="1" t="n">
        <v>45338</v>
      </c>
      <c r="D782" t="inlineStr">
        <is>
          <t>KALMAR LÄN</t>
        </is>
      </c>
      <c r="E782" t="inlineStr">
        <is>
          <t>VIMMERBY</t>
        </is>
      </c>
      <c r="G782" t="n">
        <v>4.9</v>
      </c>
      <c r="H782" t="n">
        <v>0</v>
      </c>
      <c r="I782" t="n">
        <v>0</v>
      </c>
      <c r="J782" t="n">
        <v>0</v>
      </c>
      <c r="K782" t="n">
        <v>0</v>
      </c>
      <c r="L782" t="n">
        <v>0</v>
      </c>
      <c r="M782" t="n">
        <v>0</v>
      </c>
      <c r="N782" t="n">
        <v>0</v>
      </c>
      <c r="O782" t="n">
        <v>0</v>
      </c>
      <c r="P782" t="n">
        <v>0</v>
      </c>
      <c r="Q782" t="n">
        <v>0</v>
      </c>
      <c r="R782" s="2" t="inlineStr"/>
    </row>
    <row r="783" ht="15" customHeight="1">
      <c r="A783" t="inlineStr">
        <is>
          <t>A 35615-2022</t>
        </is>
      </c>
      <c r="B783" s="1" t="n">
        <v>44799</v>
      </c>
      <c r="C783" s="1" t="n">
        <v>45338</v>
      </c>
      <c r="D783" t="inlineStr">
        <is>
          <t>KALMAR LÄN</t>
        </is>
      </c>
      <c r="E783" t="inlineStr">
        <is>
          <t>VIMMERBY</t>
        </is>
      </c>
      <c r="G783" t="n">
        <v>3.8</v>
      </c>
      <c r="H783" t="n">
        <v>0</v>
      </c>
      <c r="I783" t="n">
        <v>0</v>
      </c>
      <c r="J783" t="n">
        <v>0</v>
      </c>
      <c r="K783" t="n">
        <v>0</v>
      </c>
      <c r="L783" t="n">
        <v>0</v>
      </c>
      <c r="M783" t="n">
        <v>0</v>
      </c>
      <c r="N783" t="n">
        <v>0</v>
      </c>
      <c r="O783" t="n">
        <v>0</v>
      </c>
      <c r="P783" t="n">
        <v>0</v>
      </c>
      <c r="Q783" t="n">
        <v>0</v>
      </c>
      <c r="R783" s="2" t="inlineStr"/>
    </row>
    <row r="784" ht="15" customHeight="1">
      <c r="A784" t="inlineStr">
        <is>
          <t>A 36259-2022</t>
        </is>
      </c>
      <c r="B784" s="1" t="n">
        <v>44803</v>
      </c>
      <c r="C784" s="1" t="n">
        <v>45338</v>
      </c>
      <c r="D784" t="inlineStr">
        <is>
          <t>KALMAR LÄN</t>
        </is>
      </c>
      <c r="E784" t="inlineStr">
        <is>
          <t>VIMMERBY</t>
        </is>
      </c>
      <c r="G784" t="n">
        <v>3.9</v>
      </c>
      <c r="H784" t="n">
        <v>0</v>
      </c>
      <c r="I784" t="n">
        <v>0</v>
      </c>
      <c r="J784" t="n">
        <v>0</v>
      </c>
      <c r="K784" t="n">
        <v>0</v>
      </c>
      <c r="L784" t="n">
        <v>0</v>
      </c>
      <c r="M784" t="n">
        <v>0</v>
      </c>
      <c r="N784" t="n">
        <v>0</v>
      </c>
      <c r="O784" t="n">
        <v>0</v>
      </c>
      <c r="P784" t="n">
        <v>0</v>
      </c>
      <c r="Q784" t="n">
        <v>0</v>
      </c>
      <c r="R784" s="2" t="inlineStr"/>
    </row>
    <row r="785" ht="15" customHeight="1">
      <c r="A785" t="inlineStr">
        <is>
          <t>A 36268-2022</t>
        </is>
      </c>
      <c r="B785" s="1" t="n">
        <v>44803</v>
      </c>
      <c r="C785" s="1" t="n">
        <v>45338</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36320-2022</t>
        </is>
      </c>
      <c r="B786" s="1" t="n">
        <v>44803</v>
      </c>
      <c r="C786" s="1" t="n">
        <v>45338</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39225-2022</t>
        </is>
      </c>
      <c r="B787" s="1" t="n">
        <v>44817</v>
      </c>
      <c r="C787" s="1" t="n">
        <v>45338</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39042-2022</t>
        </is>
      </c>
      <c r="B788" s="1" t="n">
        <v>44817</v>
      </c>
      <c r="C788" s="1" t="n">
        <v>45338</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39959-2022</t>
        </is>
      </c>
      <c r="B789" s="1" t="n">
        <v>44819</v>
      </c>
      <c r="C789" s="1" t="n">
        <v>45338</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40095-2022</t>
        </is>
      </c>
      <c r="B790" s="1" t="n">
        <v>44820</v>
      </c>
      <c r="C790" s="1" t="n">
        <v>45338</v>
      </c>
      <c r="D790" t="inlineStr">
        <is>
          <t>KALMAR LÄN</t>
        </is>
      </c>
      <c r="E790" t="inlineStr">
        <is>
          <t>VIMMERBY</t>
        </is>
      </c>
      <c r="G790" t="n">
        <v>2.4</v>
      </c>
      <c r="H790" t="n">
        <v>0</v>
      </c>
      <c r="I790" t="n">
        <v>0</v>
      </c>
      <c r="J790" t="n">
        <v>0</v>
      </c>
      <c r="K790" t="n">
        <v>0</v>
      </c>
      <c r="L790" t="n">
        <v>0</v>
      </c>
      <c r="M790" t="n">
        <v>0</v>
      </c>
      <c r="N790" t="n">
        <v>0</v>
      </c>
      <c r="O790" t="n">
        <v>0</v>
      </c>
      <c r="P790" t="n">
        <v>0</v>
      </c>
      <c r="Q790" t="n">
        <v>0</v>
      </c>
      <c r="R790" s="2" t="inlineStr"/>
    </row>
    <row r="791" ht="15" customHeight="1">
      <c r="A791" t="inlineStr">
        <is>
          <t>A 40026-2022</t>
        </is>
      </c>
      <c r="B791" s="1" t="n">
        <v>44820</v>
      </c>
      <c r="C791" s="1" t="n">
        <v>45338</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40916-2022</t>
        </is>
      </c>
      <c r="B792" s="1" t="n">
        <v>44820</v>
      </c>
      <c r="C792" s="1" t="n">
        <v>45338</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40472-2022</t>
        </is>
      </c>
      <c r="B793" s="1" t="n">
        <v>44823</v>
      </c>
      <c r="C793" s="1" t="n">
        <v>45338</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40728-2022</t>
        </is>
      </c>
      <c r="B794" s="1" t="n">
        <v>44824</v>
      </c>
      <c r="C794" s="1" t="n">
        <v>45338</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41056-2022</t>
        </is>
      </c>
      <c r="B795" s="1" t="n">
        <v>44824</v>
      </c>
      <c r="C795" s="1" t="n">
        <v>45338</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40929-2022</t>
        </is>
      </c>
      <c r="B796" s="1" t="n">
        <v>44825</v>
      </c>
      <c r="C796" s="1" t="n">
        <v>45338</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40927-2022</t>
        </is>
      </c>
      <c r="B797" s="1" t="n">
        <v>44825</v>
      </c>
      <c r="C797" s="1" t="n">
        <v>45338</v>
      </c>
      <c r="D797" t="inlineStr">
        <is>
          <t>KALMAR LÄN</t>
        </is>
      </c>
      <c r="E797" t="inlineStr">
        <is>
          <t>VIMMERBY</t>
        </is>
      </c>
      <c r="G797" t="n">
        <v>3.2</v>
      </c>
      <c r="H797" t="n">
        <v>0</v>
      </c>
      <c r="I797" t="n">
        <v>0</v>
      </c>
      <c r="J797" t="n">
        <v>0</v>
      </c>
      <c r="K797" t="n">
        <v>0</v>
      </c>
      <c r="L797" t="n">
        <v>0</v>
      </c>
      <c r="M797" t="n">
        <v>0</v>
      </c>
      <c r="N797" t="n">
        <v>0</v>
      </c>
      <c r="O797" t="n">
        <v>0</v>
      </c>
      <c r="P797" t="n">
        <v>0</v>
      </c>
      <c r="Q797" t="n">
        <v>0</v>
      </c>
      <c r="R797" s="2" t="inlineStr"/>
    </row>
    <row r="798" ht="15" customHeight="1">
      <c r="A798" t="inlineStr">
        <is>
          <t>A 41424-2022</t>
        </is>
      </c>
      <c r="B798" s="1" t="n">
        <v>44826</v>
      </c>
      <c r="C798" s="1" t="n">
        <v>45338</v>
      </c>
      <c r="D798" t="inlineStr">
        <is>
          <t>KALMAR LÄN</t>
        </is>
      </c>
      <c r="E798" t="inlineStr">
        <is>
          <t>VIMMERBY</t>
        </is>
      </c>
      <c r="G798" t="n">
        <v>4.8</v>
      </c>
      <c r="H798" t="n">
        <v>0</v>
      </c>
      <c r="I798" t="n">
        <v>0</v>
      </c>
      <c r="J798" t="n">
        <v>0</v>
      </c>
      <c r="K798" t="n">
        <v>0</v>
      </c>
      <c r="L798" t="n">
        <v>0</v>
      </c>
      <c r="M798" t="n">
        <v>0</v>
      </c>
      <c r="N798" t="n">
        <v>0</v>
      </c>
      <c r="O798" t="n">
        <v>0</v>
      </c>
      <c r="P798" t="n">
        <v>0</v>
      </c>
      <c r="Q798" t="n">
        <v>0</v>
      </c>
      <c r="R798" s="2" t="inlineStr"/>
    </row>
    <row r="799" ht="15" customHeight="1">
      <c r="A799" t="inlineStr">
        <is>
          <t>A 41438-2022</t>
        </is>
      </c>
      <c r="B799" s="1" t="n">
        <v>44826</v>
      </c>
      <c r="C799" s="1" t="n">
        <v>45338</v>
      </c>
      <c r="D799" t="inlineStr">
        <is>
          <t>KALMAR LÄN</t>
        </is>
      </c>
      <c r="E799" t="inlineStr">
        <is>
          <t>VIMMERBY</t>
        </is>
      </c>
      <c r="G799" t="n">
        <v>3.1</v>
      </c>
      <c r="H799" t="n">
        <v>0</v>
      </c>
      <c r="I799" t="n">
        <v>0</v>
      </c>
      <c r="J799" t="n">
        <v>0</v>
      </c>
      <c r="K799" t="n">
        <v>0</v>
      </c>
      <c r="L799" t="n">
        <v>0</v>
      </c>
      <c r="M799" t="n">
        <v>0</v>
      </c>
      <c r="N799" t="n">
        <v>0</v>
      </c>
      <c r="O799" t="n">
        <v>0</v>
      </c>
      <c r="P799" t="n">
        <v>0</v>
      </c>
      <c r="Q799" t="n">
        <v>0</v>
      </c>
      <c r="R799" s="2" t="inlineStr"/>
    </row>
    <row r="800" ht="15" customHeight="1">
      <c r="A800" t="inlineStr">
        <is>
          <t>A 42850-2022</t>
        </is>
      </c>
      <c r="B800" s="1" t="n">
        <v>44832</v>
      </c>
      <c r="C800" s="1" t="n">
        <v>45338</v>
      </c>
      <c r="D800" t="inlineStr">
        <is>
          <t>KALMAR LÄN</t>
        </is>
      </c>
      <c r="E800" t="inlineStr">
        <is>
          <t>VIMMERBY</t>
        </is>
      </c>
      <c r="G800" t="n">
        <v>5.9</v>
      </c>
      <c r="H800" t="n">
        <v>0</v>
      </c>
      <c r="I800" t="n">
        <v>0</v>
      </c>
      <c r="J800" t="n">
        <v>0</v>
      </c>
      <c r="K800" t="n">
        <v>0</v>
      </c>
      <c r="L800" t="n">
        <v>0</v>
      </c>
      <c r="M800" t="n">
        <v>0</v>
      </c>
      <c r="N800" t="n">
        <v>0</v>
      </c>
      <c r="O800" t="n">
        <v>0</v>
      </c>
      <c r="P800" t="n">
        <v>0</v>
      </c>
      <c r="Q800" t="n">
        <v>0</v>
      </c>
      <c r="R800" s="2" t="inlineStr"/>
    </row>
    <row r="801" ht="15" customHeight="1">
      <c r="A801" t="inlineStr">
        <is>
          <t>A 43038-2022</t>
        </is>
      </c>
      <c r="B801" s="1" t="n">
        <v>44833</v>
      </c>
      <c r="C801" s="1" t="n">
        <v>45338</v>
      </c>
      <c r="D801" t="inlineStr">
        <is>
          <t>KALMAR LÄN</t>
        </is>
      </c>
      <c r="E801" t="inlineStr">
        <is>
          <t>VIMMERBY</t>
        </is>
      </c>
      <c r="G801" t="n">
        <v>4.2</v>
      </c>
      <c r="H801" t="n">
        <v>0</v>
      </c>
      <c r="I801" t="n">
        <v>0</v>
      </c>
      <c r="J801" t="n">
        <v>0</v>
      </c>
      <c r="K801" t="n">
        <v>0</v>
      </c>
      <c r="L801" t="n">
        <v>0</v>
      </c>
      <c r="M801" t="n">
        <v>0</v>
      </c>
      <c r="N801" t="n">
        <v>0</v>
      </c>
      <c r="O801" t="n">
        <v>0</v>
      </c>
      <c r="P801" t="n">
        <v>0</v>
      </c>
      <c r="Q801" t="n">
        <v>0</v>
      </c>
      <c r="R801" s="2" t="inlineStr"/>
    </row>
    <row r="802" ht="15" customHeight="1">
      <c r="A802" t="inlineStr">
        <is>
          <t>A 43272-2022</t>
        </is>
      </c>
      <c r="B802" s="1" t="n">
        <v>44834</v>
      </c>
      <c r="C802" s="1" t="n">
        <v>45338</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43553-2022</t>
        </is>
      </c>
      <c r="B803" s="1" t="n">
        <v>44837</v>
      </c>
      <c r="C803" s="1" t="n">
        <v>45338</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44179-2022</t>
        </is>
      </c>
      <c r="B804" s="1" t="n">
        <v>44839</v>
      </c>
      <c r="C804" s="1" t="n">
        <v>45338</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44654-2022</t>
        </is>
      </c>
      <c r="B805" s="1" t="n">
        <v>44840</v>
      </c>
      <c r="C805" s="1" t="n">
        <v>45338</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44651-2022</t>
        </is>
      </c>
      <c r="B806" s="1" t="n">
        <v>44840</v>
      </c>
      <c r="C806" s="1" t="n">
        <v>45338</v>
      </c>
      <c r="D806" t="inlineStr">
        <is>
          <t>KALMAR LÄN</t>
        </is>
      </c>
      <c r="E806" t="inlineStr">
        <is>
          <t>VIMMERBY</t>
        </is>
      </c>
      <c r="G806" t="n">
        <v>5.3</v>
      </c>
      <c r="H806" t="n">
        <v>0</v>
      </c>
      <c r="I806" t="n">
        <v>0</v>
      </c>
      <c r="J806" t="n">
        <v>0</v>
      </c>
      <c r="K806" t="n">
        <v>0</v>
      </c>
      <c r="L806" t="n">
        <v>0</v>
      </c>
      <c r="M806" t="n">
        <v>0</v>
      </c>
      <c r="N806" t="n">
        <v>0</v>
      </c>
      <c r="O806" t="n">
        <v>0</v>
      </c>
      <c r="P806" t="n">
        <v>0</v>
      </c>
      <c r="Q806" t="n">
        <v>0</v>
      </c>
      <c r="R806" s="2" t="inlineStr"/>
    </row>
    <row r="807" ht="15" customHeight="1">
      <c r="A807" t="inlineStr">
        <is>
          <t>A 44656-2022</t>
        </is>
      </c>
      <c r="B807" s="1" t="n">
        <v>44840</v>
      </c>
      <c r="C807" s="1" t="n">
        <v>45338</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45861-2022</t>
        </is>
      </c>
      <c r="B808" s="1" t="n">
        <v>44846</v>
      </c>
      <c r="C808" s="1" t="n">
        <v>45338</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45858-2022</t>
        </is>
      </c>
      <c r="B809" s="1" t="n">
        <v>44846</v>
      </c>
      <c r="C809" s="1" t="n">
        <v>45338</v>
      </c>
      <c r="D809" t="inlineStr">
        <is>
          <t>KALMAR LÄN</t>
        </is>
      </c>
      <c r="E809" t="inlineStr">
        <is>
          <t>VIMMERBY</t>
        </is>
      </c>
      <c r="G809" t="n">
        <v>5.9</v>
      </c>
      <c r="H809" t="n">
        <v>0</v>
      </c>
      <c r="I809" t="n">
        <v>0</v>
      </c>
      <c r="J809" t="n">
        <v>0</v>
      </c>
      <c r="K809" t="n">
        <v>0</v>
      </c>
      <c r="L809" t="n">
        <v>0</v>
      </c>
      <c r="M809" t="n">
        <v>0</v>
      </c>
      <c r="N809" t="n">
        <v>0</v>
      </c>
      <c r="O809" t="n">
        <v>0</v>
      </c>
      <c r="P809" t="n">
        <v>0</v>
      </c>
      <c r="Q809" t="n">
        <v>0</v>
      </c>
      <c r="R809" s="2" t="inlineStr"/>
    </row>
    <row r="810" ht="15" customHeight="1">
      <c r="A810" t="inlineStr">
        <is>
          <t>A 46522-2022</t>
        </is>
      </c>
      <c r="B810" s="1" t="n">
        <v>44848</v>
      </c>
      <c r="C810" s="1" t="n">
        <v>45338</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46964-2022</t>
        </is>
      </c>
      <c r="B811" s="1" t="n">
        <v>44852</v>
      </c>
      <c r="C811" s="1" t="n">
        <v>45338</v>
      </c>
      <c r="D811" t="inlineStr">
        <is>
          <t>KALMAR LÄN</t>
        </is>
      </c>
      <c r="E811" t="inlineStr">
        <is>
          <t>VIMMERBY</t>
        </is>
      </c>
      <c r="G811" t="n">
        <v>0.2</v>
      </c>
      <c r="H811" t="n">
        <v>0</v>
      </c>
      <c r="I811" t="n">
        <v>0</v>
      </c>
      <c r="J811" t="n">
        <v>0</v>
      </c>
      <c r="K811" t="n">
        <v>0</v>
      </c>
      <c r="L811" t="n">
        <v>0</v>
      </c>
      <c r="M811" t="n">
        <v>0</v>
      </c>
      <c r="N811" t="n">
        <v>0</v>
      </c>
      <c r="O811" t="n">
        <v>0</v>
      </c>
      <c r="P811" t="n">
        <v>0</v>
      </c>
      <c r="Q811" t="n">
        <v>0</v>
      </c>
      <c r="R811" s="2" t="inlineStr"/>
    </row>
    <row r="812" ht="15" customHeight="1">
      <c r="A812" t="inlineStr">
        <is>
          <t>A 47214-2022</t>
        </is>
      </c>
      <c r="B812" s="1" t="n">
        <v>44852</v>
      </c>
      <c r="C812" s="1" t="n">
        <v>45338</v>
      </c>
      <c r="D812" t="inlineStr">
        <is>
          <t>KALMAR LÄN</t>
        </is>
      </c>
      <c r="E812" t="inlineStr">
        <is>
          <t>VIMMERBY</t>
        </is>
      </c>
      <c r="G812" t="n">
        <v>1.9</v>
      </c>
      <c r="H812" t="n">
        <v>0</v>
      </c>
      <c r="I812" t="n">
        <v>0</v>
      </c>
      <c r="J812" t="n">
        <v>0</v>
      </c>
      <c r="K812" t="n">
        <v>0</v>
      </c>
      <c r="L812" t="n">
        <v>0</v>
      </c>
      <c r="M812" t="n">
        <v>0</v>
      </c>
      <c r="N812" t="n">
        <v>0</v>
      </c>
      <c r="O812" t="n">
        <v>0</v>
      </c>
      <c r="P812" t="n">
        <v>0</v>
      </c>
      <c r="Q812" t="n">
        <v>0</v>
      </c>
      <c r="R812" s="2" t="inlineStr"/>
    </row>
    <row r="813" ht="15" customHeight="1">
      <c r="A813" t="inlineStr">
        <is>
          <t>A 47063-2022</t>
        </is>
      </c>
      <c r="B813" s="1" t="n">
        <v>44852</v>
      </c>
      <c r="C813" s="1" t="n">
        <v>45338</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47708-2022</t>
        </is>
      </c>
      <c r="B814" s="1" t="n">
        <v>44854</v>
      </c>
      <c r="C814" s="1" t="n">
        <v>45338</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47769-2022</t>
        </is>
      </c>
      <c r="B815" s="1" t="n">
        <v>44854</v>
      </c>
      <c r="C815" s="1" t="n">
        <v>45338</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48120-2022</t>
        </is>
      </c>
      <c r="B816" s="1" t="n">
        <v>44857</v>
      </c>
      <c r="C816" s="1" t="n">
        <v>45338</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49313-2022</t>
        </is>
      </c>
      <c r="B817" s="1" t="n">
        <v>44861</v>
      </c>
      <c r="C817" s="1" t="n">
        <v>45338</v>
      </c>
      <c r="D817" t="inlineStr">
        <is>
          <t>KALMAR LÄN</t>
        </is>
      </c>
      <c r="E817" t="inlineStr">
        <is>
          <t>VIMMERBY</t>
        </is>
      </c>
      <c r="G817" t="n">
        <v>1.9</v>
      </c>
      <c r="H817" t="n">
        <v>0</v>
      </c>
      <c r="I817" t="n">
        <v>0</v>
      </c>
      <c r="J817" t="n">
        <v>0</v>
      </c>
      <c r="K817" t="n">
        <v>0</v>
      </c>
      <c r="L817" t="n">
        <v>0</v>
      </c>
      <c r="M817" t="n">
        <v>0</v>
      </c>
      <c r="N817" t="n">
        <v>0</v>
      </c>
      <c r="O817" t="n">
        <v>0</v>
      </c>
      <c r="P817" t="n">
        <v>0</v>
      </c>
      <c r="Q817" t="n">
        <v>0</v>
      </c>
      <c r="R817" s="2" t="inlineStr"/>
    </row>
    <row r="818" ht="15" customHeight="1">
      <c r="A818" t="inlineStr">
        <is>
          <t>A 49461-2022</t>
        </is>
      </c>
      <c r="B818" s="1" t="n">
        <v>44861</v>
      </c>
      <c r="C818" s="1" t="n">
        <v>45338</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50809-2022</t>
        </is>
      </c>
      <c r="B819" s="1" t="n">
        <v>44862</v>
      </c>
      <c r="C819" s="1" t="n">
        <v>45338</v>
      </c>
      <c r="D819" t="inlineStr">
        <is>
          <t>KALMAR LÄN</t>
        </is>
      </c>
      <c r="E819" t="inlineStr">
        <is>
          <t>VIMMERBY</t>
        </is>
      </c>
      <c r="G819" t="n">
        <v>3.7</v>
      </c>
      <c r="H819" t="n">
        <v>0</v>
      </c>
      <c r="I819" t="n">
        <v>0</v>
      </c>
      <c r="J819" t="n">
        <v>0</v>
      </c>
      <c r="K819" t="n">
        <v>0</v>
      </c>
      <c r="L819" t="n">
        <v>0</v>
      </c>
      <c r="M819" t="n">
        <v>0</v>
      </c>
      <c r="N819" t="n">
        <v>0</v>
      </c>
      <c r="O819" t="n">
        <v>0</v>
      </c>
      <c r="P819" t="n">
        <v>0</v>
      </c>
      <c r="Q819" t="n">
        <v>0</v>
      </c>
      <c r="R819" s="2" t="inlineStr"/>
    </row>
    <row r="820" ht="15" customHeight="1">
      <c r="A820" t="inlineStr">
        <is>
          <t>A 50804-2022</t>
        </is>
      </c>
      <c r="B820" s="1" t="n">
        <v>44862</v>
      </c>
      <c r="C820" s="1" t="n">
        <v>45338</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50535-2022</t>
        </is>
      </c>
      <c r="B821" s="1" t="n">
        <v>44866</v>
      </c>
      <c r="C821" s="1" t="n">
        <v>45338</v>
      </c>
      <c r="D821" t="inlineStr">
        <is>
          <t>KALMAR LÄN</t>
        </is>
      </c>
      <c r="E821" t="inlineStr">
        <is>
          <t>VIMMERBY</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50621-2022</t>
        </is>
      </c>
      <c r="B822" s="1" t="n">
        <v>44866</v>
      </c>
      <c r="C822" s="1" t="n">
        <v>45338</v>
      </c>
      <c r="D822" t="inlineStr">
        <is>
          <t>KALMAR LÄN</t>
        </is>
      </c>
      <c r="E822" t="inlineStr">
        <is>
          <t>VIMMERBY</t>
        </is>
      </c>
      <c r="F822" t="inlineStr">
        <is>
          <t>Övriga Aktiebolag</t>
        </is>
      </c>
      <c r="G822" t="n">
        <v>5.1</v>
      </c>
      <c r="H822" t="n">
        <v>0</v>
      </c>
      <c r="I822" t="n">
        <v>0</v>
      </c>
      <c r="J822" t="n">
        <v>0</v>
      </c>
      <c r="K822" t="n">
        <v>0</v>
      </c>
      <c r="L822" t="n">
        <v>0</v>
      </c>
      <c r="M822" t="n">
        <v>0</v>
      </c>
      <c r="N822" t="n">
        <v>0</v>
      </c>
      <c r="O822" t="n">
        <v>0</v>
      </c>
      <c r="P822" t="n">
        <v>0</v>
      </c>
      <c r="Q822" t="n">
        <v>0</v>
      </c>
      <c r="R822" s="2" t="inlineStr"/>
    </row>
    <row r="823" ht="15" customHeight="1">
      <c r="A823" t="inlineStr">
        <is>
          <t>A 50860-2022</t>
        </is>
      </c>
      <c r="B823" s="1" t="n">
        <v>44867</v>
      </c>
      <c r="C823" s="1" t="n">
        <v>45338</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50995-2022</t>
        </is>
      </c>
      <c r="B824" s="1" t="n">
        <v>44867</v>
      </c>
      <c r="C824" s="1" t="n">
        <v>45338</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50993-2022</t>
        </is>
      </c>
      <c r="B825" s="1" t="n">
        <v>44867</v>
      </c>
      <c r="C825" s="1" t="n">
        <v>45338</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52753-2022</t>
        </is>
      </c>
      <c r="B826" s="1" t="n">
        <v>44875</v>
      </c>
      <c r="C826" s="1" t="n">
        <v>45338</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52755-2022</t>
        </is>
      </c>
      <c r="B827" s="1" t="n">
        <v>44875</v>
      </c>
      <c r="C827" s="1" t="n">
        <v>45338</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53145-2022</t>
        </is>
      </c>
      <c r="B828" s="1" t="n">
        <v>44876</v>
      </c>
      <c r="C828" s="1" t="n">
        <v>45338</v>
      </c>
      <c r="D828" t="inlineStr">
        <is>
          <t>KALMAR LÄN</t>
        </is>
      </c>
      <c r="E828" t="inlineStr">
        <is>
          <t>VIMMERBY</t>
        </is>
      </c>
      <c r="G828" t="n">
        <v>0.4</v>
      </c>
      <c r="H828" t="n">
        <v>0</v>
      </c>
      <c r="I828" t="n">
        <v>0</v>
      </c>
      <c r="J828" t="n">
        <v>0</v>
      </c>
      <c r="K828" t="n">
        <v>0</v>
      </c>
      <c r="L828" t="n">
        <v>0</v>
      </c>
      <c r="M828" t="n">
        <v>0</v>
      </c>
      <c r="N828" t="n">
        <v>0</v>
      </c>
      <c r="O828" t="n">
        <v>0</v>
      </c>
      <c r="P828" t="n">
        <v>0</v>
      </c>
      <c r="Q828" t="n">
        <v>0</v>
      </c>
      <c r="R828" s="2" t="inlineStr"/>
    </row>
    <row r="829" ht="15" customHeight="1">
      <c r="A829" t="inlineStr">
        <is>
          <t>A 53247-2022</t>
        </is>
      </c>
      <c r="B829" s="1" t="n">
        <v>44876</v>
      </c>
      <c r="C829" s="1" t="n">
        <v>45338</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53482-2022</t>
        </is>
      </c>
      <c r="B830" s="1" t="n">
        <v>44879</v>
      </c>
      <c r="C830" s="1" t="n">
        <v>45338</v>
      </c>
      <c r="D830" t="inlineStr">
        <is>
          <t>KALMAR LÄN</t>
        </is>
      </c>
      <c r="E830" t="inlineStr">
        <is>
          <t>VIMMERBY</t>
        </is>
      </c>
      <c r="G830" t="n">
        <v>10.1</v>
      </c>
      <c r="H830" t="n">
        <v>0</v>
      </c>
      <c r="I830" t="n">
        <v>0</v>
      </c>
      <c r="J830" t="n">
        <v>0</v>
      </c>
      <c r="K830" t="n">
        <v>0</v>
      </c>
      <c r="L830" t="n">
        <v>0</v>
      </c>
      <c r="M830" t="n">
        <v>0</v>
      </c>
      <c r="N830" t="n">
        <v>0</v>
      </c>
      <c r="O830" t="n">
        <v>0</v>
      </c>
      <c r="P830" t="n">
        <v>0</v>
      </c>
      <c r="Q830" t="n">
        <v>0</v>
      </c>
      <c r="R830" s="2" t="inlineStr"/>
    </row>
    <row r="831" ht="15" customHeight="1">
      <c r="A831" t="inlineStr">
        <is>
          <t>A 53542-2022</t>
        </is>
      </c>
      <c r="B831" s="1" t="n">
        <v>44879</v>
      </c>
      <c r="C831" s="1" t="n">
        <v>45338</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53483-2022</t>
        </is>
      </c>
      <c r="B832" s="1" t="n">
        <v>44879</v>
      </c>
      <c r="C832" s="1" t="n">
        <v>45338</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54020-2022</t>
        </is>
      </c>
      <c r="B833" s="1" t="n">
        <v>44881</v>
      </c>
      <c r="C833" s="1" t="n">
        <v>45338</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54749-2022</t>
        </is>
      </c>
      <c r="B834" s="1" t="n">
        <v>44883</v>
      </c>
      <c r="C834" s="1" t="n">
        <v>45338</v>
      </c>
      <c r="D834" t="inlineStr">
        <is>
          <t>KALMAR LÄN</t>
        </is>
      </c>
      <c r="E834" t="inlineStr">
        <is>
          <t>VIMMERBY</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54745-2022</t>
        </is>
      </c>
      <c r="B835" s="1" t="n">
        <v>44883</v>
      </c>
      <c r="C835" s="1" t="n">
        <v>45338</v>
      </c>
      <c r="D835" t="inlineStr">
        <is>
          <t>KALMAR LÄN</t>
        </is>
      </c>
      <c r="E835" t="inlineStr">
        <is>
          <t>VIMMERBY</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54877-2022</t>
        </is>
      </c>
      <c r="B836" s="1" t="n">
        <v>44886</v>
      </c>
      <c r="C836" s="1" t="n">
        <v>45338</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55333-2022</t>
        </is>
      </c>
      <c r="B837" s="1" t="n">
        <v>44887</v>
      </c>
      <c r="C837" s="1" t="n">
        <v>45338</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57682-2022</t>
        </is>
      </c>
      <c r="B838" s="1" t="n">
        <v>44890</v>
      </c>
      <c r="C838" s="1" t="n">
        <v>45338</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56582-2022</t>
        </is>
      </c>
      <c r="B839" s="1" t="n">
        <v>44893</v>
      </c>
      <c r="C839" s="1" t="n">
        <v>45338</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56536-2022</t>
        </is>
      </c>
      <c r="B840" s="1" t="n">
        <v>44893</v>
      </c>
      <c r="C840" s="1" t="n">
        <v>45338</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56853-2022</t>
        </is>
      </c>
      <c r="B841" s="1" t="n">
        <v>44894</v>
      </c>
      <c r="C841" s="1" t="n">
        <v>45338</v>
      </c>
      <c r="D841" t="inlineStr">
        <is>
          <t>KALMAR LÄN</t>
        </is>
      </c>
      <c r="E841" t="inlineStr">
        <is>
          <t>VIMMERBY</t>
        </is>
      </c>
      <c r="G841" t="n">
        <v>4.3</v>
      </c>
      <c r="H841" t="n">
        <v>0</v>
      </c>
      <c r="I841" t="n">
        <v>0</v>
      </c>
      <c r="J841" t="n">
        <v>0</v>
      </c>
      <c r="K841" t="n">
        <v>0</v>
      </c>
      <c r="L841" t="n">
        <v>0</v>
      </c>
      <c r="M841" t="n">
        <v>0</v>
      </c>
      <c r="N841" t="n">
        <v>0</v>
      </c>
      <c r="O841" t="n">
        <v>0</v>
      </c>
      <c r="P841" t="n">
        <v>0</v>
      </c>
      <c r="Q841" t="n">
        <v>0</v>
      </c>
      <c r="R841" s="2" t="inlineStr"/>
    </row>
    <row r="842" ht="15" customHeight="1">
      <c r="A842" t="inlineStr">
        <is>
          <t>A 57091-2022</t>
        </is>
      </c>
      <c r="B842" s="1" t="n">
        <v>44895</v>
      </c>
      <c r="C842" s="1" t="n">
        <v>45338</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57189-2022</t>
        </is>
      </c>
      <c r="B843" s="1" t="n">
        <v>44895</v>
      </c>
      <c r="C843" s="1" t="n">
        <v>45338</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57190-2022</t>
        </is>
      </c>
      <c r="B844" s="1" t="n">
        <v>44895</v>
      </c>
      <c r="C844" s="1" t="n">
        <v>45338</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58967-2022</t>
        </is>
      </c>
      <c r="B845" s="1" t="n">
        <v>44896</v>
      </c>
      <c r="C845" s="1" t="n">
        <v>45338</v>
      </c>
      <c r="D845" t="inlineStr">
        <is>
          <t>KALMAR LÄN</t>
        </is>
      </c>
      <c r="E845" t="inlineStr">
        <is>
          <t>VIMMERBY</t>
        </is>
      </c>
      <c r="G845" t="n">
        <v>5</v>
      </c>
      <c r="H845" t="n">
        <v>0</v>
      </c>
      <c r="I845" t="n">
        <v>0</v>
      </c>
      <c r="J845" t="n">
        <v>0</v>
      </c>
      <c r="K845" t="n">
        <v>0</v>
      </c>
      <c r="L845" t="n">
        <v>0</v>
      </c>
      <c r="M845" t="n">
        <v>0</v>
      </c>
      <c r="N845" t="n">
        <v>0</v>
      </c>
      <c r="O845" t="n">
        <v>0</v>
      </c>
      <c r="P845" t="n">
        <v>0</v>
      </c>
      <c r="Q845" t="n">
        <v>0</v>
      </c>
      <c r="R845" s="2" t="inlineStr"/>
    </row>
    <row r="846" ht="15" customHeight="1">
      <c r="A846" t="inlineStr">
        <is>
          <t>A 57799-2022</t>
        </is>
      </c>
      <c r="B846" s="1" t="n">
        <v>44897</v>
      </c>
      <c r="C846" s="1" t="n">
        <v>45338</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58046-2022</t>
        </is>
      </c>
      <c r="B847" s="1" t="n">
        <v>44900</v>
      </c>
      <c r="C847" s="1" t="n">
        <v>45338</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58750-2022</t>
        </is>
      </c>
      <c r="B848" s="1" t="n">
        <v>44903</v>
      </c>
      <c r="C848" s="1" t="n">
        <v>45338</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58962-2022</t>
        </is>
      </c>
      <c r="B849" s="1" t="n">
        <v>44903</v>
      </c>
      <c r="C849" s="1" t="n">
        <v>45338</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60110-2022</t>
        </is>
      </c>
      <c r="B850" s="1" t="n">
        <v>44909</v>
      </c>
      <c r="C850" s="1" t="n">
        <v>45338</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60230-2022</t>
        </is>
      </c>
      <c r="B851" s="1" t="n">
        <v>44910</v>
      </c>
      <c r="C851" s="1" t="n">
        <v>45338</v>
      </c>
      <c r="D851" t="inlineStr">
        <is>
          <t>KALMAR LÄN</t>
        </is>
      </c>
      <c r="E851" t="inlineStr">
        <is>
          <t>VIMMERBY</t>
        </is>
      </c>
      <c r="G851" t="n">
        <v>11.3</v>
      </c>
      <c r="H851" t="n">
        <v>0</v>
      </c>
      <c r="I851" t="n">
        <v>0</v>
      </c>
      <c r="J851" t="n">
        <v>0</v>
      </c>
      <c r="K851" t="n">
        <v>0</v>
      </c>
      <c r="L851" t="n">
        <v>0</v>
      </c>
      <c r="M851" t="n">
        <v>0</v>
      </c>
      <c r="N851" t="n">
        <v>0</v>
      </c>
      <c r="O851" t="n">
        <v>0</v>
      </c>
      <c r="P851" t="n">
        <v>0</v>
      </c>
      <c r="Q851" t="n">
        <v>0</v>
      </c>
      <c r="R851" s="2" t="inlineStr"/>
    </row>
    <row r="852" ht="15" customHeight="1">
      <c r="A852" t="inlineStr">
        <is>
          <t>A 60215-2022</t>
        </is>
      </c>
      <c r="B852" s="1" t="n">
        <v>44910</v>
      </c>
      <c r="C852" s="1" t="n">
        <v>45338</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60292-2022</t>
        </is>
      </c>
      <c r="B853" s="1" t="n">
        <v>44910</v>
      </c>
      <c r="C853" s="1" t="n">
        <v>45338</v>
      </c>
      <c r="D853" t="inlineStr">
        <is>
          <t>KALMAR LÄN</t>
        </is>
      </c>
      <c r="E853" t="inlineStr">
        <is>
          <t>VIMMERBY</t>
        </is>
      </c>
      <c r="G853" t="n">
        <v>4.4</v>
      </c>
      <c r="H853" t="n">
        <v>0</v>
      </c>
      <c r="I853" t="n">
        <v>0</v>
      </c>
      <c r="J853" t="n">
        <v>0</v>
      </c>
      <c r="K853" t="n">
        <v>0</v>
      </c>
      <c r="L853" t="n">
        <v>0</v>
      </c>
      <c r="M853" t="n">
        <v>0</v>
      </c>
      <c r="N853" t="n">
        <v>0</v>
      </c>
      <c r="O853" t="n">
        <v>0</v>
      </c>
      <c r="P853" t="n">
        <v>0</v>
      </c>
      <c r="Q853" t="n">
        <v>0</v>
      </c>
      <c r="R853" s="2" t="inlineStr"/>
    </row>
    <row r="854" ht="15" customHeight="1">
      <c r="A854" t="inlineStr">
        <is>
          <t>A 60339-2022</t>
        </is>
      </c>
      <c r="B854" s="1" t="n">
        <v>44910</v>
      </c>
      <c r="C854" s="1" t="n">
        <v>45338</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61538-2022</t>
        </is>
      </c>
      <c r="B855" s="1" t="n">
        <v>44916</v>
      </c>
      <c r="C855" s="1" t="n">
        <v>45338</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62075-2022</t>
        </is>
      </c>
      <c r="B856" s="1" t="n">
        <v>44918</v>
      </c>
      <c r="C856" s="1" t="n">
        <v>45338</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62023-2022</t>
        </is>
      </c>
      <c r="B857" s="1" t="n">
        <v>44918</v>
      </c>
      <c r="C857" s="1" t="n">
        <v>45338</v>
      </c>
      <c r="D857" t="inlineStr">
        <is>
          <t>KALMAR LÄN</t>
        </is>
      </c>
      <c r="E857" t="inlineStr">
        <is>
          <t>VIMMERBY</t>
        </is>
      </c>
      <c r="G857" t="n">
        <v>0.3</v>
      </c>
      <c r="H857" t="n">
        <v>0</v>
      </c>
      <c r="I857" t="n">
        <v>0</v>
      </c>
      <c r="J857" t="n">
        <v>0</v>
      </c>
      <c r="K857" t="n">
        <v>0</v>
      </c>
      <c r="L857" t="n">
        <v>0</v>
      </c>
      <c r="M857" t="n">
        <v>0</v>
      </c>
      <c r="N857" t="n">
        <v>0</v>
      </c>
      <c r="O857" t="n">
        <v>0</v>
      </c>
      <c r="P857" t="n">
        <v>0</v>
      </c>
      <c r="Q857" t="n">
        <v>0</v>
      </c>
      <c r="R857" s="2" t="inlineStr"/>
    </row>
    <row r="858" ht="15" customHeight="1">
      <c r="A858" t="inlineStr">
        <is>
          <t>A 89-2023</t>
        </is>
      </c>
      <c r="B858" s="1" t="n">
        <v>44918</v>
      </c>
      <c r="C858" s="1" t="n">
        <v>45338</v>
      </c>
      <c r="D858" t="inlineStr">
        <is>
          <t>KALMAR LÄN</t>
        </is>
      </c>
      <c r="E858" t="inlineStr">
        <is>
          <t>VIMMERBY</t>
        </is>
      </c>
      <c r="G858" t="n">
        <v>16.1</v>
      </c>
      <c r="H858" t="n">
        <v>0</v>
      </c>
      <c r="I858" t="n">
        <v>0</v>
      </c>
      <c r="J858" t="n">
        <v>0</v>
      </c>
      <c r="K858" t="n">
        <v>0</v>
      </c>
      <c r="L858" t="n">
        <v>0</v>
      </c>
      <c r="M858" t="n">
        <v>0</v>
      </c>
      <c r="N858" t="n">
        <v>0</v>
      </c>
      <c r="O858" t="n">
        <v>0</v>
      </c>
      <c r="P858" t="n">
        <v>0</v>
      </c>
      <c r="Q858" t="n">
        <v>0</v>
      </c>
      <c r="R858" s="2" t="inlineStr"/>
    </row>
    <row r="859" ht="15" customHeight="1">
      <c r="A859" t="inlineStr">
        <is>
          <t>A 346-2023</t>
        </is>
      </c>
      <c r="B859" s="1" t="n">
        <v>44929</v>
      </c>
      <c r="C859" s="1" t="n">
        <v>45338</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343-2023</t>
        </is>
      </c>
      <c r="B860" s="1" t="n">
        <v>44929</v>
      </c>
      <c r="C860" s="1" t="n">
        <v>45338</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502-2023</t>
        </is>
      </c>
      <c r="B861" s="1" t="n">
        <v>44930</v>
      </c>
      <c r="C861" s="1" t="n">
        <v>45338</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508-2023</t>
        </is>
      </c>
      <c r="B862" s="1" t="n">
        <v>44930</v>
      </c>
      <c r="C862" s="1" t="n">
        <v>45338</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845-2023</t>
        </is>
      </c>
      <c r="B863" s="1" t="n">
        <v>44931</v>
      </c>
      <c r="C863" s="1" t="n">
        <v>45338</v>
      </c>
      <c r="D863" t="inlineStr">
        <is>
          <t>KALMAR LÄN</t>
        </is>
      </c>
      <c r="E863" t="inlineStr">
        <is>
          <t>VIMMERBY</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1086-2023</t>
        </is>
      </c>
      <c r="B864" s="1" t="n">
        <v>44935</v>
      </c>
      <c r="C864" s="1" t="n">
        <v>45338</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1081-2023</t>
        </is>
      </c>
      <c r="B865" s="1" t="n">
        <v>44935</v>
      </c>
      <c r="C865" s="1" t="n">
        <v>45338</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1687-2023</t>
        </is>
      </c>
      <c r="B866" s="1" t="n">
        <v>44938</v>
      </c>
      <c r="C866" s="1" t="n">
        <v>45338</v>
      </c>
      <c r="D866" t="inlineStr">
        <is>
          <t>KALMAR LÄN</t>
        </is>
      </c>
      <c r="E866" t="inlineStr">
        <is>
          <t>VIMMERBY</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1667-2023</t>
        </is>
      </c>
      <c r="B867" s="1" t="n">
        <v>44938</v>
      </c>
      <c r="C867" s="1" t="n">
        <v>45338</v>
      </c>
      <c r="D867" t="inlineStr">
        <is>
          <t>KALMAR LÄN</t>
        </is>
      </c>
      <c r="E867" t="inlineStr">
        <is>
          <t>VIMMERBY</t>
        </is>
      </c>
      <c r="G867" t="n">
        <v>3.4</v>
      </c>
      <c r="H867" t="n">
        <v>0</v>
      </c>
      <c r="I867" t="n">
        <v>0</v>
      </c>
      <c r="J867" t="n">
        <v>0</v>
      </c>
      <c r="K867" t="n">
        <v>0</v>
      </c>
      <c r="L867" t="n">
        <v>0</v>
      </c>
      <c r="M867" t="n">
        <v>0</v>
      </c>
      <c r="N867" t="n">
        <v>0</v>
      </c>
      <c r="O867" t="n">
        <v>0</v>
      </c>
      <c r="P867" t="n">
        <v>0</v>
      </c>
      <c r="Q867" t="n">
        <v>0</v>
      </c>
      <c r="R867" s="2" t="inlineStr"/>
    </row>
    <row r="868" ht="15" customHeight="1">
      <c r="A868" t="inlineStr">
        <is>
          <t>A 1955-2023</t>
        </is>
      </c>
      <c r="B868" s="1" t="n">
        <v>44939</v>
      </c>
      <c r="C868" s="1" t="n">
        <v>45338</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2510-2023</t>
        </is>
      </c>
      <c r="B869" s="1" t="n">
        <v>44943</v>
      </c>
      <c r="C869" s="1" t="n">
        <v>45338</v>
      </c>
      <c r="D869" t="inlineStr">
        <is>
          <t>KALMAR LÄN</t>
        </is>
      </c>
      <c r="E869" t="inlineStr">
        <is>
          <t>VIMMERBY</t>
        </is>
      </c>
      <c r="G869" t="n">
        <v>8.6</v>
      </c>
      <c r="H869" t="n">
        <v>0</v>
      </c>
      <c r="I869" t="n">
        <v>0</v>
      </c>
      <c r="J869" t="n">
        <v>0</v>
      </c>
      <c r="K869" t="n">
        <v>0</v>
      </c>
      <c r="L869" t="n">
        <v>0</v>
      </c>
      <c r="M869" t="n">
        <v>0</v>
      </c>
      <c r="N869" t="n">
        <v>0</v>
      </c>
      <c r="O869" t="n">
        <v>0</v>
      </c>
      <c r="P869" t="n">
        <v>0</v>
      </c>
      <c r="Q869" t="n">
        <v>0</v>
      </c>
      <c r="R869" s="2" t="inlineStr"/>
    </row>
    <row r="870" ht="15" customHeight="1">
      <c r="A870" t="inlineStr">
        <is>
          <t>A 2536-2023</t>
        </is>
      </c>
      <c r="B870" s="1" t="n">
        <v>44943</v>
      </c>
      <c r="C870" s="1" t="n">
        <v>45338</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2799-2023</t>
        </is>
      </c>
      <c r="B871" s="1" t="n">
        <v>44944</v>
      </c>
      <c r="C871" s="1" t="n">
        <v>45338</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2797-2023</t>
        </is>
      </c>
      <c r="B872" s="1" t="n">
        <v>44944</v>
      </c>
      <c r="C872" s="1" t="n">
        <v>45338</v>
      </c>
      <c r="D872" t="inlineStr">
        <is>
          <t>KALMAR LÄN</t>
        </is>
      </c>
      <c r="E872" t="inlineStr">
        <is>
          <t>VIMMERBY</t>
        </is>
      </c>
      <c r="G872" t="n">
        <v>3.4</v>
      </c>
      <c r="H872" t="n">
        <v>0</v>
      </c>
      <c r="I872" t="n">
        <v>0</v>
      </c>
      <c r="J872" t="n">
        <v>0</v>
      </c>
      <c r="K872" t="n">
        <v>0</v>
      </c>
      <c r="L872" t="n">
        <v>0</v>
      </c>
      <c r="M872" t="n">
        <v>0</v>
      </c>
      <c r="N872" t="n">
        <v>0</v>
      </c>
      <c r="O872" t="n">
        <v>0</v>
      </c>
      <c r="P872" t="n">
        <v>0</v>
      </c>
      <c r="Q872" t="n">
        <v>0</v>
      </c>
      <c r="R872" s="2" t="inlineStr"/>
    </row>
    <row r="873" ht="15" customHeight="1">
      <c r="A873" t="inlineStr">
        <is>
          <t>A 2801-2023</t>
        </is>
      </c>
      <c r="B873" s="1" t="n">
        <v>44944</v>
      </c>
      <c r="C873" s="1" t="n">
        <v>45338</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3331-2023</t>
        </is>
      </c>
      <c r="B874" s="1" t="n">
        <v>44949</v>
      </c>
      <c r="C874" s="1" t="n">
        <v>45338</v>
      </c>
      <c r="D874" t="inlineStr">
        <is>
          <t>KALMAR LÄN</t>
        </is>
      </c>
      <c r="E874" t="inlineStr">
        <is>
          <t>VIMMERBY</t>
        </is>
      </c>
      <c r="G874" t="n">
        <v>6.2</v>
      </c>
      <c r="H874" t="n">
        <v>0</v>
      </c>
      <c r="I874" t="n">
        <v>0</v>
      </c>
      <c r="J874" t="n">
        <v>0</v>
      </c>
      <c r="K874" t="n">
        <v>0</v>
      </c>
      <c r="L874" t="n">
        <v>0</v>
      </c>
      <c r="M874" t="n">
        <v>0</v>
      </c>
      <c r="N874" t="n">
        <v>0</v>
      </c>
      <c r="O874" t="n">
        <v>0</v>
      </c>
      <c r="P874" t="n">
        <v>0</v>
      </c>
      <c r="Q874" t="n">
        <v>0</v>
      </c>
      <c r="R874" s="2" t="inlineStr"/>
    </row>
    <row r="875" ht="15" customHeight="1">
      <c r="A875" t="inlineStr">
        <is>
          <t>A 3494-2023</t>
        </is>
      </c>
      <c r="B875" s="1" t="n">
        <v>44949</v>
      </c>
      <c r="C875" s="1" t="n">
        <v>45338</v>
      </c>
      <c r="D875" t="inlineStr">
        <is>
          <t>KALMAR LÄN</t>
        </is>
      </c>
      <c r="E875" t="inlineStr">
        <is>
          <t>VIMMERBY</t>
        </is>
      </c>
      <c r="F875" t="inlineStr">
        <is>
          <t>Kyrkan</t>
        </is>
      </c>
      <c r="G875" t="n">
        <v>0.8</v>
      </c>
      <c r="H875" t="n">
        <v>0</v>
      </c>
      <c r="I875" t="n">
        <v>0</v>
      </c>
      <c r="J875" t="n">
        <v>0</v>
      </c>
      <c r="K875" t="n">
        <v>0</v>
      </c>
      <c r="L875" t="n">
        <v>0</v>
      </c>
      <c r="M875" t="n">
        <v>0</v>
      </c>
      <c r="N875" t="n">
        <v>0</v>
      </c>
      <c r="O875" t="n">
        <v>0</v>
      </c>
      <c r="P875" t="n">
        <v>0</v>
      </c>
      <c r="Q875" t="n">
        <v>0</v>
      </c>
      <c r="R875" s="2" t="inlineStr"/>
    </row>
    <row r="876" ht="15" customHeight="1">
      <c r="A876" t="inlineStr">
        <is>
          <t>A 3587-2023</t>
        </is>
      </c>
      <c r="B876" s="1" t="n">
        <v>44950</v>
      </c>
      <c r="C876" s="1" t="n">
        <v>45338</v>
      </c>
      <c r="D876" t="inlineStr">
        <is>
          <t>KALMAR LÄN</t>
        </is>
      </c>
      <c r="E876" t="inlineStr">
        <is>
          <t>VIMMERBY</t>
        </is>
      </c>
      <c r="G876" t="n">
        <v>6.9</v>
      </c>
      <c r="H876" t="n">
        <v>0</v>
      </c>
      <c r="I876" t="n">
        <v>0</v>
      </c>
      <c r="J876" t="n">
        <v>0</v>
      </c>
      <c r="K876" t="n">
        <v>0</v>
      </c>
      <c r="L876" t="n">
        <v>0</v>
      </c>
      <c r="M876" t="n">
        <v>0</v>
      </c>
      <c r="N876" t="n">
        <v>0</v>
      </c>
      <c r="O876" t="n">
        <v>0</v>
      </c>
      <c r="P876" t="n">
        <v>0</v>
      </c>
      <c r="Q876" t="n">
        <v>0</v>
      </c>
      <c r="R876" s="2" t="inlineStr"/>
    </row>
    <row r="877" ht="15" customHeight="1">
      <c r="A877" t="inlineStr">
        <is>
          <t>A 3938-2023</t>
        </is>
      </c>
      <c r="B877" s="1" t="n">
        <v>44952</v>
      </c>
      <c r="C877" s="1" t="n">
        <v>45338</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3924-2023</t>
        </is>
      </c>
      <c r="B878" s="1" t="n">
        <v>44952</v>
      </c>
      <c r="C878" s="1" t="n">
        <v>45338</v>
      </c>
      <c r="D878" t="inlineStr">
        <is>
          <t>KALMAR LÄN</t>
        </is>
      </c>
      <c r="E878" t="inlineStr">
        <is>
          <t>VIMMERBY</t>
        </is>
      </c>
      <c r="G878" t="n">
        <v>4.7</v>
      </c>
      <c r="H878" t="n">
        <v>0</v>
      </c>
      <c r="I878" t="n">
        <v>0</v>
      </c>
      <c r="J878" t="n">
        <v>0</v>
      </c>
      <c r="K878" t="n">
        <v>0</v>
      </c>
      <c r="L878" t="n">
        <v>0</v>
      </c>
      <c r="M878" t="n">
        <v>0</v>
      </c>
      <c r="N878" t="n">
        <v>0</v>
      </c>
      <c r="O878" t="n">
        <v>0</v>
      </c>
      <c r="P878" t="n">
        <v>0</v>
      </c>
      <c r="Q878" t="n">
        <v>0</v>
      </c>
      <c r="R878" s="2" t="inlineStr"/>
    </row>
    <row r="879" ht="15" customHeight="1">
      <c r="A879" t="inlineStr">
        <is>
          <t>A 4527-2023</t>
        </is>
      </c>
      <c r="B879" s="1" t="n">
        <v>44956</v>
      </c>
      <c r="C879" s="1" t="n">
        <v>45338</v>
      </c>
      <c r="D879" t="inlineStr">
        <is>
          <t>KALMAR LÄN</t>
        </is>
      </c>
      <c r="E879" t="inlineStr">
        <is>
          <t>VIMMERBY</t>
        </is>
      </c>
      <c r="F879" t="inlineStr">
        <is>
          <t>Kommuner</t>
        </is>
      </c>
      <c r="G879" t="n">
        <v>8.5</v>
      </c>
      <c r="H879" t="n">
        <v>0</v>
      </c>
      <c r="I879" t="n">
        <v>0</v>
      </c>
      <c r="J879" t="n">
        <v>0</v>
      </c>
      <c r="K879" t="n">
        <v>0</v>
      </c>
      <c r="L879" t="n">
        <v>0</v>
      </c>
      <c r="M879" t="n">
        <v>0</v>
      </c>
      <c r="N879" t="n">
        <v>0</v>
      </c>
      <c r="O879" t="n">
        <v>0</v>
      </c>
      <c r="P879" t="n">
        <v>0</v>
      </c>
      <c r="Q879" t="n">
        <v>0</v>
      </c>
      <c r="R879" s="2" t="inlineStr"/>
    </row>
    <row r="880" ht="15" customHeight="1">
      <c r="A880" t="inlineStr">
        <is>
          <t>A 5074-2023</t>
        </is>
      </c>
      <c r="B880" s="1" t="n">
        <v>44958</v>
      </c>
      <c r="C880" s="1" t="n">
        <v>45338</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5342-2023</t>
        </is>
      </c>
      <c r="B881" s="1" t="n">
        <v>44959</v>
      </c>
      <c r="C881" s="1" t="n">
        <v>45338</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5382-2023</t>
        </is>
      </c>
      <c r="B882" s="1" t="n">
        <v>44959</v>
      </c>
      <c r="C882" s="1" t="n">
        <v>45338</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5720-2023</t>
        </is>
      </c>
      <c r="B883" s="1" t="n">
        <v>44961</v>
      </c>
      <c r="C883" s="1" t="n">
        <v>45338</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5792-2023</t>
        </is>
      </c>
      <c r="B884" s="1" t="n">
        <v>44963</v>
      </c>
      <c r="C884" s="1" t="n">
        <v>45338</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6028-2023</t>
        </is>
      </c>
      <c r="B885" s="1" t="n">
        <v>44964</v>
      </c>
      <c r="C885" s="1" t="n">
        <v>45338</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6066-2023</t>
        </is>
      </c>
      <c r="B886" s="1" t="n">
        <v>44964</v>
      </c>
      <c r="C886" s="1" t="n">
        <v>45338</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6017-2023</t>
        </is>
      </c>
      <c r="B887" s="1" t="n">
        <v>44964</v>
      </c>
      <c r="C887" s="1" t="n">
        <v>45338</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6368-2023</t>
        </is>
      </c>
      <c r="B888" s="1" t="n">
        <v>44965</v>
      </c>
      <c r="C888" s="1" t="n">
        <v>45338</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row r="889" ht="15" customHeight="1">
      <c r="A889" t="inlineStr">
        <is>
          <t>A 6321-2023</t>
        </is>
      </c>
      <c r="B889" s="1" t="n">
        <v>44965</v>
      </c>
      <c r="C889" s="1" t="n">
        <v>45338</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6660-2023</t>
        </is>
      </c>
      <c r="B890" s="1" t="n">
        <v>44966</v>
      </c>
      <c r="C890" s="1" t="n">
        <v>45338</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6574-2023</t>
        </is>
      </c>
      <c r="B891" s="1" t="n">
        <v>44966</v>
      </c>
      <c r="C891" s="1" t="n">
        <v>45338</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6662-2023</t>
        </is>
      </c>
      <c r="B892" s="1" t="n">
        <v>44966</v>
      </c>
      <c r="C892" s="1" t="n">
        <v>45338</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6668-2023</t>
        </is>
      </c>
      <c r="B893" s="1" t="n">
        <v>44966</v>
      </c>
      <c r="C893" s="1" t="n">
        <v>45338</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6538-2023</t>
        </is>
      </c>
      <c r="B894" s="1" t="n">
        <v>44966</v>
      </c>
      <c r="C894" s="1" t="n">
        <v>45338</v>
      </c>
      <c r="D894" t="inlineStr">
        <is>
          <t>KALMAR LÄN</t>
        </is>
      </c>
      <c r="E894" t="inlineStr">
        <is>
          <t>VIMMERBY</t>
        </is>
      </c>
      <c r="G894" t="n">
        <v>4.5</v>
      </c>
      <c r="H894" t="n">
        <v>0</v>
      </c>
      <c r="I894" t="n">
        <v>0</v>
      </c>
      <c r="J894" t="n">
        <v>0</v>
      </c>
      <c r="K894" t="n">
        <v>0</v>
      </c>
      <c r="L894" t="n">
        <v>0</v>
      </c>
      <c r="M894" t="n">
        <v>0</v>
      </c>
      <c r="N894" t="n">
        <v>0</v>
      </c>
      <c r="O894" t="n">
        <v>0</v>
      </c>
      <c r="P894" t="n">
        <v>0</v>
      </c>
      <c r="Q894" t="n">
        <v>0</v>
      </c>
      <c r="R894" s="2" t="inlineStr"/>
    </row>
    <row r="895" ht="15" customHeight="1">
      <c r="A895" t="inlineStr">
        <is>
          <t>A 6857-2023</t>
        </is>
      </c>
      <c r="B895" s="1" t="n">
        <v>44967</v>
      </c>
      <c r="C895" s="1" t="n">
        <v>45338</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6850-2023</t>
        </is>
      </c>
      <c r="B896" s="1" t="n">
        <v>44967</v>
      </c>
      <c r="C896" s="1" t="n">
        <v>45338</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7454-2023</t>
        </is>
      </c>
      <c r="B897" s="1" t="n">
        <v>44971</v>
      </c>
      <c r="C897" s="1" t="n">
        <v>45338</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7557-2023</t>
        </is>
      </c>
      <c r="B898" s="1" t="n">
        <v>44972</v>
      </c>
      <c r="C898" s="1" t="n">
        <v>45338</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7594-2023</t>
        </is>
      </c>
      <c r="B899" s="1" t="n">
        <v>44972</v>
      </c>
      <c r="C899" s="1" t="n">
        <v>45338</v>
      </c>
      <c r="D899" t="inlineStr">
        <is>
          <t>KALMAR LÄN</t>
        </is>
      </c>
      <c r="E899" t="inlineStr">
        <is>
          <t>VIMMERBY</t>
        </is>
      </c>
      <c r="G899" t="n">
        <v>1.6</v>
      </c>
      <c r="H899" t="n">
        <v>0</v>
      </c>
      <c r="I899" t="n">
        <v>0</v>
      </c>
      <c r="J899" t="n">
        <v>0</v>
      </c>
      <c r="K899" t="n">
        <v>0</v>
      </c>
      <c r="L899" t="n">
        <v>0</v>
      </c>
      <c r="M899" t="n">
        <v>0</v>
      </c>
      <c r="N899" t="n">
        <v>0</v>
      </c>
      <c r="O899" t="n">
        <v>0</v>
      </c>
      <c r="P899" t="n">
        <v>0</v>
      </c>
      <c r="Q899" t="n">
        <v>0</v>
      </c>
      <c r="R899" s="2" t="inlineStr"/>
    </row>
    <row r="900" ht="15" customHeight="1">
      <c r="A900" t="inlineStr">
        <is>
          <t>A 7797-2023</t>
        </is>
      </c>
      <c r="B900" s="1" t="n">
        <v>44973</v>
      </c>
      <c r="C900" s="1" t="n">
        <v>45338</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7883-2023</t>
        </is>
      </c>
      <c r="B901" s="1" t="n">
        <v>44973</v>
      </c>
      <c r="C901" s="1" t="n">
        <v>45338</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7885-2023</t>
        </is>
      </c>
      <c r="B902" s="1" t="n">
        <v>44973</v>
      </c>
      <c r="C902" s="1" t="n">
        <v>45338</v>
      </c>
      <c r="D902" t="inlineStr">
        <is>
          <t>KALMAR LÄN</t>
        </is>
      </c>
      <c r="E902" t="inlineStr">
        <is>
          <t>VIMMERBY</t>
        </is>
      </c>
      <c r="G902" t="n">
        <v>2.8</v>
      </c>
      <c r="H902" t="n">
        <v>0</v>
      </c>
      <c r="I902" t="n">
        <v>0</v>
      </c>
      <c r="J902" t="n">
        <v>0</v>
      </c>
      <c r="K902" t="n">
        <v>0</v>
      </c>
      <c r="L902" t="n">
        <v>0</v>
      </c>
      <c r="M902" t="n">
        <v>0</v>
      </c>
      <c r="N902" t="n">
        <v>0</v>
      </c>
      <c r="O902" t="n">
        <v>0</v>
      </c>
      <c r="P902" t="n">
        <v>0</v>
      </c>
      <c r="Q902" t="n">
        <v>0</v>
      </c>
      <c r="R902" s="2" t="inlineStr"/>
    </row>
    <row r="903" ht="15" customHeight="1">
      <c r="A903" t="inlineStr">
        <is>
          <t>A 8219-2023</t>
        </is>
      </c>
      <c r="B903" s="1" t="n">
        <v>44974</v>
      </c>
      <c r="C903" s="1" t="n">
        <v>45338</v>
      </c>
      <c r="D903" t="inlineStr">
        <is>
          <t>KALMAR LÄN</t>
        </is>
      </c>
      <c r="E903" t="inlineStr">
        <is>
          <t>VIMMERBY</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8410-2023</t>
        </is>
      </c>
      <c r="B904" s="1" t="n">
        <v>44977</v>
      </c>
      <c r="C904" s="1" t="n">
        <v>45338</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9024-2023</t>
        </is>
      </c>
      <c r="B905" s="1" t="n">
        <v>44979</v>
      </c>
      <c r="C905" s="1" t="n">
        <v>45338</v>
      </c>
      <c r="D905" t="inlineStr">
        <is>
          <t>KALMAR LÄN</t>
        </is>
      </c>
      <c r="E905" t="inlineStr">
        <is>
          <t>VIMMERBY</t>
        </is>
      </c>
      <c r="G905" t="n">
        <v>5.2</v>
      </c>
      <c r="H905" t="n">
        <v>0</v>
      </c>
      <c r="I905" t="n">
        <v>0</v>
      </c>
      <c r="J905" t="n">
        <v>0</v>
      </c>
      <c r="K905" t="n">
        <v>0</v>
      </c>
      <c r="L905" t="n">
        <v>0</v>
      </c>
      <c r="M905" t="n">
        <v>0</v>
      </c>
      <c r="N905" t="n">
        <v>0</v>
      </c>
      <c r="O905" t="n">
        <v>0</v>
      </c>
      <c r="P905" t="n">
        <v>0</v>
      </c>
      <c r="Q905" t="n">
        <v>0</v>
      </c>
      <c r="R905" s="2" t="inlineStr"/>
    </row>
    <row r="906" ht="15" customHeight="1">
      <c r="A906" t="inlineStr">
        <is>
          <t>A 9113-2023</t>
        </is>
      </c>
      <c r="B906" s="1" t="n">
        <v>44979</v>
      </c>
      <c r="C906" s="1" t="n">
        <v>45338</v>
      </c>
      <c r="D906" t="inlineStr">
        <is>
          <t>KALMAR LÄN</t>
        </is>
      </c>
      <c r="E906" t="inlineStr">
        <is>
          <t>VIMMERBY</t>
        </is>
      </c>
      <c r="G906" t="n">
        <v>1.3</v>
      </c>
      <c r="H906" t="n">
        <v>0</v>
      </c>
      <c r="I906" t="n">
        <v>0</v>
      </c>
      <c r="J906" t="n">
        <v>0</v>
      </c>
      <c r="K906" t="n">
        <v>0</v>
      </c>
      <c r="L906" t="n">
        <v>0</v>
      </c>
      <c r="M906" t="n">
        <v>0</v>
      </c>
      <c r="N906" t="n">
        <v>0</v>
      </c>
      <c r="O906" t="n">
        <v>0</v>
      </c>
      <c r="P906" t="n">
        <v>0</v>
      </c>
      <c r="Q906" t="n">
        <v>0</v>
      </c>
      <c r="R906" s="2" t="inlineStr"/>
    </row>
    <row r="907" ht="15" customHeight="1">
      <c r="A907" t="inlineStr">
        <is>
          <t>A 9475-2023</t>
        </is>
      </c>
      <c r="B907" s="1" t="n">
        <v>44981</v>
      </c>
      <c r="C907" s="1" t="n">
        <v>45338</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9511-2023</t>
        </is>
      </c>
      <c r="B908" s="1" t="n">
        <v>44981</v>
      </c>
      <c r="C908" s="1" t="n">
        <v>45338</v>
      </c>
      <c r="D908" t="inlineStr">
        <is>
          <t>KALMAR LÄN</t>
        </is>
      </c>
      <c r="E908" t="inlineStr">
        <is>
          <t>VIMMERBY</t>
        </is>
      </c>
      <c r="G908" t="n">
        <v>3.5</v>
      </c>
      <c r="H908" t="n">
        <v>0</v>
      </c>
      <c r="I908" t="n">
        <v>0</v>
      </c>
      <c r="J908" t="n">
        <v>0</v>
      </c>
      <c r="K908" t="n">
        <v>0</v>
      </c>
      <c r="L908" t="n">
        <v>0</v>
      </c>
      <c r="M908" t="n">
        <v>0</v>
      </c>
      <c r="N908" t="n">
        <v>0</v>
      </c>
      <c r="O908" t="n">
        <v>0</v>
      </c>
      <c r="P908" t="n">
        <v>0</v>
      </c>
      <c r="Q908" t="n">
        <v>0</v>
      </c>
      <c r="R908" s="2" t="inlineStr"/>
    </row>
    <row r="909" ht="15" customHeight="1">
      <c r="A909" t="inlineStr">
        <is>
          <t>A 9644-2023</t>
        </is>
      </c>
      <c r="B909" s="1" t="n">
        <v>44984</v>
      </c>
      <c r="C909" s="1" t="n">
        <v>45338</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9694-2023</t>
        </is>
      </c>
      <c r="B910" s="1" t="n">
        <v>44984</v>
      </c>
      <c r="C910" s="1" t="n">
        <v>45338</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9710-2023</t>
        </is>
      </c>
      <c r="B911" s="1" t="n">
        <v>44984</v>
      </c>
      <c r="C911" s="1" t="n">
        <v>45338</v>
      </c>
      <c r="D911" t="inlineStr">
        <is>
          <t>KALMAR LÄN</t>
        </is>
      </c>
      <c r="E911" t="inlineStr">
        <is>
          <t>VIMMERBY</t>
        </is>
      </c>
      <c r="G911" t="n">
        <v>3.7</v>
      </c>
      <c r="H911" t="n">
        <v>0</v>
      </c>
      <c r="I911" t="n">
        <v>0</v>
      </c>
      <c r="J911" t="n">
        <v>0</v>
      </c>
      <c r="K911" t="n">
        <v>0</v>
      </c>
      <c r="L911" t="n">
        <v>0</v>
      </c>
      <c r="M911" t="n">
        <v>0</v>
      </c>
      <c r="N911" t="n">
        <v>0</v>
      </c>
      <c r="O911" t="n">
        <v>0</v>
      </c>
      <c r="P911" t="n">
        <v>0</v>
      </c>
      <c r="Q911" t="n">
        <v>0</v>
      </c>
      <c r="R911" s="2" t="inlineStr"/>
    </row>
    <row r="912" ht="15" customHeight="1">
      <c r="A912" t="inlineStr">
        <is>
          <t>A 9720-2023</t>
        </is>
      </c>
      <c r="B912" s="1" t="n">
        <v>44984</v>
      </c>
      <c r="C912" s="1" t="n">
        <v>45338</v>
      </c>
      <c r="D912" t="inlineStr">
        <is>
          <t>KALMAR LÄN</t>
        </is>
      </c>
      <c r="E912" t="inlineStr">
        <is>
          <t>VIMMERBY</t>
        </is>
      </c>
      <c r="G912" t="n">
        <v>4.4</v>
      </c>
      <c r="H912" t="n">
        <v>0</v>
      </c>
      <c r="I912" t="n">
        <v>0</v>
      </c>
      <c r="J912" t="n">
        <v>0</v>
      </c>
      <c r="K912" t="n">
        <v>0</v>
      </c>
      <c r="L912" t="n">
        <v>0</v>
      </c>
      <c r="M912" t="n">
        <v>0</v>
      </c>
      <c r="N912" t="n">
        <v>0</v>
      </c>
      <c r="O912" t="n">
        <v>0</v>
      </c>
      <c r="P912" t="n">
        <v>0</v>
      </c>
      <c r="Q912" t="n">
        <v>0</v>
      </c>
      <c r="R912" s="2" t="inlineStr"/>
    </row>
    <row r="913" ht="15" customHeight="1">
      <c r="A913" t="inlineStr">
        <is>
          <t>A 9643-2023</t>
        </is>
      </c>
      <c r="B913" s="1" t="n">
        <v>44984</v>
      </c>
      <c r="C913" s="1" t="n">
        <v>45338</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10444-2023</t>
        </is>
      </c>
      <c r="B914" s="1" t="n">
        <v>44987</v>
      </c>
      <c r="C914" s="1" t="n">
        <v>45338</v>
      </c>
      <c r="D914" t="inlineStr">
        <is>
          <t>KALMAR LÄN</t>
        </is>
      </c>
      <c r="E914" t="inlineStr">
        <is>
          <t>VIMMERBY</t>
        </is>
      </c>
      <c r="G914" t="n">
        <v>7.4</v>
      </c>
      <c r="H914" t="n">
        <v>0</v>
      </c>
      <c r="I914" t="n">
        <v>0</v>
      </c>
      <c r="J914" t="n">
        <v>0</v>
      </c>
      <c r="K914" t="n">
        <v>0</v>
      </c>
      <c r="L914" t="n">
        <v>0</v>
      </c>
      <c r="M914" t="n">
        <v>0</v>
      </c>
      <c r="N914" t="n">
        <v>0</v>
      </c>
      <c r="O914" t="n">
        <v>0</v>
      </c>
      <c r="P914" t="n">
        <v>0</v>
      </c>
      <c r="Q914" t="n">
        <v>0</v>
      </c>
      <c r="R914" s="2" t="inlineStr"/>
    </row>
    <row r="915" ht="15" customHeight="1">
      <c r="A915" t="inlineStr">
        <is>
          <t>A 10424-2023</t>
        </is>
      </c>
      <c r="B915" s="1" t="n">
        <v>44987</v>
      </c>
      <c r="C915" s="1" t="n">
        <v>45338</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10439-2023</t>
        </is>
      </c>
      <c r="B916" s="1" t="n">
        <v>44987</v>
      </c>
      <c r="C916" s="1" t="n">
        <v>45338</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10759-2023</t>
        </is>
      </c>
      <c r="B917" s="1" t="n">
        <v>44988</v>
      </c>
      <c r="C917" s="1" t="n">
        <v>45338</v>
      </c>
      <c r="D917" t="inlineStr">
        <is>
          <t>KALMAR LÄN</t>
        </is>
      </c>
      <c r="E917" t="inlineStr">
        <is>
          <t>VIMMERBY</t>
        </is>
      </c>
      <c r="G917" t="n">
        <v>0.4</v>
      </c>
      <c r="H917" t="n">
        <v>0</v>
      </c>
      <c r="I917" t="n">
        <v>0</v>
      </c>
      <c r="J917" t="n">
        <v>0</v>
      </c>
      <c r="K917" t="n">
        <v>0</v>
      </c>
      <c r="L917" t="n">
        <v>0</v>
      </c>
      <c r="M917" t="n">
        <v>0</v>
      </c>
      <c r="N917" t="n">
        <v>0</v>
      </c>
      <c r="O917" t="n">
        <v>0</v>
      </c>
      <c r="P917" t="n">
        <v>0</v>
      </c>
      <c r="Q917" t="n">
        <v>0</v>
      </c>
      <c r="R917" s="2" t="inlineStr"/>
    </row>
    <row r="918" ht="15" customHeight="1">
      <c r="A918" t="inlineStr">
        <is>
          <t>A 10800-2023</t>
        </is>
      </c>
      <c r="B918" s="1" t="n">
        <v>44989</v>
      </c>
      <c r="C918" s="1" t="n">
        <v>45338</v>
      </c>
      <c r="D918" t="inlineStr">
        <is>
          <t>KALMAR LÄN</t>
        </is>
      </c>
      <c r="E918" t="inlineStr">
        <is>
          <t>VIMMERBY</t>
        </is>
      </c>
      <c r="G918" t="n">
        <v>1.2</v>
      </c>
      <c r="H918" t="n">
        <v>0</v>
      </c>
      <c r="I918" t="n">
        <v>0</v>
      </c>
      <c r="J918" t="n">
        <v>0</v>
      </c>
      <c r="K918" t="n">
        <v>0</v>
      </c>
      <c r="L918" t="n">
        <v>0</v>
      </c>
      <c r="M918" t="n">
        <v>0</v>
      </c>
      <c r="N918" t="n">
        <v>0</v>
      </c>
      <c r="O918" t="n">
        <v>0</v>
      </c>
      <c r="P918" t="n">
        <v>0</v>
      </c>
      <c r="Q918" t="n">
        <v>0</v>
      </c>
      <c r="R918" s="2" t="inlineStr"/>
    </row>
    <row r="919" ht="15" customHeight="1">
      <c r="A919" t="inlineStr">
        <is>
          <t>A 10821-2023</t>
        </is>
      </c>
      <c r="B919" s="1" t="n">
        <v>44990</v>
      </c>
      <c r="C919" s="1" t="n">
        <v>45338</v>
      </c>
      <c r="D919" t="inlineStr">
        <is>
          <t>KALMAR LÄN</t>
        </is>
      </c>
      <c r="E919" t="inlineStr">
        <is>
          <t>VIMMERBY</t>
        </is>
      </c>
      <c r="G919" t="n">
        <v>4.3</v>
      </c>
      <c r="H919" t="n">
        <v>0</v>
      </c>
      <c r="I919" t="n">
        <v>0</v>
      </c>
      <c r="J919" t="n">
        <v>0</v>
      </c>
      <c r="K919" t="n">
        <v>0</v>
      </c>
      <c r="L919" t="n">
        <v>0</v>
      </c>
      <c r="M919" t="n">
        <v>0</v>
      </c>
      <c r="N919" t="n">
        <v>0</v>
      </c>
      <c r="O919" t="n">
        <v>0</v>
      </c>
      <c r="P919" t="n">
        <v>0</v>
      </c>
      <c r="Q919" t="n">
        <v>0</v>
      </c>
      <c r="R919" s="2" t="inlineStr"/>
    </row>
    <row r="920" ht="15" customHeight="1">
      <c r="A920" t="inlineStr">
        <is>
          <t>A 10837-2023</t>
        </is>
      </c>
      <c r="B920" s="1" t="n">
        <v>44991</v>
      </c>
      <c r="C920" s="1" t="n">
        <v>45338</v>
      </c>
      <c r="D920" t="inlineStr">
        <is>
          <t>KALMAR LÄN</t>
        </is>
      </c>
      <c r="E920" t="inlineStr">
        <is>
          <t>VIMMERBY</t>
        </is>
      </c>
      <c r="G920" t="n">
        <v>7.3</v>
      </c>
      <c r="H920" t="n">
        <v>0</v>
      </c>
      <c r="I920" t="n">
        <v>0</v>
      </c>
      <c r="J920" t="n">
        <v>0</v>
      </c>
      <c r="K920" t="n">
        <v>0</v>
      </c>
      <c r="L920" t="n">
        <v>0</v>
      </c>
      <c r="M920" t="n">
        <v>0</v>
      </c>
      <c r="N920" t="n">
        <v>0</v>
      </c>
      <c r="O920" t="n">
        <v>0</v>
      </c>
      <c r="P920" t="n">
        <v>0</v>
      </c>
      <c r="Q920" t="n">
        <v>0</v>
      </c>
      <c r="R920" s="2" t="inlineStr"/>
    </row>
    <row r="921" ht="15" customHeight="1">
      <c r="A921" t="inlineStr">
        <is>
          <t>A 10835-2023</t>
        </is>
      </c>
      <c r="B921" s="1" t="n">
        <v>44991</v>
      </c>
      <c r="C921" s="1" t="n">
        <v>45338</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10838-2023</t>
        </is>
      </c>
      <c r="B922" s="1" t="n">
        <v>44991</v>
      </c>
      <c r="C922" s="1" t="n">
        <v>45338</v>
      </c>
      <c r="D922" t="inlineStr">
        <is>
          <t>KALMAR LÄN</t>
        </is>
      </c>
      <c r="E922" t="inlineStr">
        <is>
          <t>VIMMERBY</t>
        </is>
      </c>
      <c r="G922" t="n">
        <v>5.1</v>
      </c>
      <c r="H922" t="n">
        <v>0</v>
      </c>
      <c r="I922" t="n">
        <v>0</v>
      </c>
      <c r="J922" t="n">
        <v>0</v>
      </c>
      <c r="K922" t="n">
        <v>0</v>
      </c>
      <c r="L922" t="n">
        <v>0</v>
      </c>
      <c r="M922" t="n">
        <v>0</v>
      </c>
      <c r="N922" t="n">
        <v>0</v>
      </c>
      <c r="O922" t="n">
        <v>0</v>
      </c>
      <c r="P922" t="n">
        <v>0</v>
      </c>
      <c r="Q922" t="n">
        <v>0</v>
      </c>
      <c r="R922" s="2" t="inlineStr"/>
    </row>
    <row r="923" ht="15" customHeight="1">
      <c r="A923" t="inlineStr">
        <is>
          <t>A 11027-2023</t>
        </is>
      </c>
      <c r="B923" s="1" t="n">
        <v>44991</v>
      </c>
      <c r="C923" s="1" t="n">
        <v>45338</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11076-2023</t>
        </is>
      </c>
      <c r="B924" s="1" t="n">
        <v>44992</v>
      </c>
      <c r="C924" s="1" t="n">
        <v>45338</v>
      </c>
      <c r="D924" t="inlineStr">
        <is>
          <t>KALMAR LÄN</t>
        </is>
      </c>
      <c r="E924" t="inlineStr">
        <is>
          <t>VIMMERBY</t>
        </is>
      </c>
      <c r="G924" t="n">
        <v>6.1</v>
      </c>
      <c r="H924" t="n">
        <v>0</v>
      </c>
      <c r="I924" t="n">
        <v>0</v>
      </c>
      <c r="J924" t="n">
        <v>0</v>
      </c>
      <c r="K924" t="n">
        <v>0</v>
      </c>
      <c r="L924" t="n">
        <v>0</v>
      </c>
      <c r="M924" t="n">
        <v>0</v>
      </c>
      <c r="N924" t="n">
        <v>0</v>
      </c>
      <c r="O924" t="n">
        <v>0</v>
      </c>
      <c r="P924" t="n">
        <v>0</v>
      </c>
      <c r="Q924" t="n">
        <v>0</v>
      </c>
      <c r="R924" s="2" t="inlineStr"/>
    </row>
    <row r="925" ht="15" customHeight="1">
      <c r="A925" t="inlineStr">
        <is>
          <t>A 11073-2023</t>
        </is>
      </c>
      <c r="B925" s="1" t="n">
        <v>44992</v>
      </c>
      <c r="C925" s="1" t="n">
        <v>45338</v>
      </c>
      <c r="D925" t="inlineStr">
        <is>
          <t>KALMAR LÄN</t>
        </is>
      </c>
      <c r="E925" t="inlineStr">
        <is>
          <t>VIMMERBY</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11147-2023</t>
        </is>
      </c>
      <c r="B926" s="1" t="n">
        <v>44992</v>
      </c>
      <c r="C926" s="1" t="n">
        <v>45338</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11111-2023</t>
        </is>
      </c>
      <c r="B927" s="1" t="n">
        <v>44992</v>
      </c>
      <c r="C927" s="1" t="n">
        <v>45338</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11152-2023</t>
        </is>
      </c>
      <c r="B928" s="1" t="n">
        <v>44992</v>
      </c>
      <c r="C928" s="1" t="n">
        <v>45338</v>
      </c>
      <c r="D928" t="inlineStr">
        <is>
          <t>KALMAR LÄN</t>
        </is>
      </c>
      <c r="E928" t="inlineStr">
        <is>
          <t>VIMMERBY</t>
        </is>
      </c>
      <c r="G928" t="n">
        <v>10.6</v>
      </c>
      <c r="H928" t="n">
        <v>0</v>
      </c>
      <c r="I928" t="n">
        <v>0</v>
      </c>
      <c r="J928" t="n">
        <v>0</v>
      </c>
      <c r="K928" t="n">
        <v>0</v>
      </c>
      <c r="L928" t="n">
        <v>0</v>
      </c>
      <c r="M928" t="n">
        <v>0</v>
      </c>
      <c r="N928" t="n">
        <v>0</v>
      </c>
      <c r="O928" t="n">
        <v>0</v>
      </c>
      <c r="P928" t="n">
        <v>0</v>
      </c>
      <c r="Q928" t="n">
        <v>0</v>
      </c>
      <c r="R928" s="2" t="inlineStr"/>
    </row>
    <row r="929" ht="15" customHeight="1">
      <c r="A929" t="inlineStr">
        <is>
          <t>A 11074-2023</t>
        </is>
      </c>
      <c r="B929" s="1" t="n">
        <v>44992</v>
      </c>
      <c r="C929" s="1" t="n">
        <v>45338</v>
      </c>
      <c r="D929" t="inlineStr">
        <is>
          <t>KALMAR LÄN</t>
        </is>
      </c>
      <c r="E929" t="inlineStr">
        <is>
          <t>VIMMERBY</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11219-2023</t>
        </is>
      </c>
      <c r="B930" s="1" t="n">
        <v>44992</v>
      </c>
      <c r="C930" s="1" t="n">
        <v>45338</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11416-2023</t>
        </is>
      </c>
      <c r="B931" s="1" t="n">
        <v>44993</v>
      </c>
      <c r="C931" s="1" t="n">
        <v>45338</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11619-2023</t>
        </is>
      </c>
      <c r="B932" s="1" t="n">
        <v>44994</v>
      </c>
      <c r="C932" s="1" t="n">
        <v>45338</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11609-2023</t>
        </is>
      </c>
      <c r="B933" s="1" t="n">
        <v>44994</v>
      </c>
      <c r="C933" s="1" t="n">
        <v>45338</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11661-2023</t>
        </is>
      </c>
      <c r="B934" s="1" t="n">
        <v>44994</v>
      </c>
      <c r="C934" s="1" t="n">
        <v>45338</v>
      </c>
      <c r="D934" t="inlineStr">
        <is>
          <t>KALMAR LÄN</t>
        </is>
      </c>
      <c r="E934" t="inlineStr">
        <is>
          <t>VIMMERBY</t>
        </is>
      </c>
      <c r="G934" t="n">
        <v>2.7</v>
      </c>
      <c r="H934" t="n">
        <v>0</v>
      </c>
      <c r="I934" t="n">
        <v>0</v>
      </c>
      <c r="J934" t="n">
        <v>0</v>
      </c>
      <c r="K934" t="n">
        <v>0</v>
      </c>
      <c r="L934" t="n">
        <v>0</v>
      </c>
      <c r="M934" t="n">
        <v>0</v>
      </c>
      <c r="N934" t="n">
        <v>0</v>
      </c>
      <c r="O934" t="n">
        <v>0</v>
      </c>
      <c r="P934" t="n">
        <v>0</v>
      </c>
      <c r="Q934" t="n">
        <v>0</v>
      </c>
      <c r="R934" s="2" t="inlineStr"/>
    </row>
    <row r="935" ht="15" customHeight="1">
      <c r="A935" t="inlineStr">
        <is>
          <t>A 12008-2023</t>
        </is>
      </c>
      <c r="B935" s="1" t="n">
        <v>44995</v>
      </c>
      <c r="C935" s="1" t="n">
        <v>45338</v>
      </c>
      <c r="D935" t="inlineStr">
        <is>
          <t>KALMAR LÄN</t>
        </is>
      </c>
      <c r="E935" t="inlineStr">
        <is>
          <t>VIMMERBY</t>
        </is>
      </c>
      <c r="G935" t="n">
        <v>0.9</v>
      </c>
      <c r="H935" t="n">
        <v>0</v>
      </c>
      <c r="I935" t="n">
        <v>0</v>
      </c>
      <c r="J935" t="n">
        <v>0</v>
      </c>
      <c r="K935" t="n">
        <v>0</v>
      </c>
      <c r="L935" t="n">
        <v>0</v>
      </c>
      <c r="M935" t="n">
        <v>0</v>
      </c>
      <c r="N935" t="n">
        <v>0</v>
      </c>
      <c r="O935" t="n">
        <v>0</v>
      </c>
      <c r="P935" t="n">
        <v>0</v>
      </c>
      <c r="Q935" t="n">
        <v>0</v>
      </c>
      <c r="R935" s="2" t="inlineStr"/>
    </row>
    <row r="936" ht="15" customHeight="1">
      <c r="A936" t="inlineStr">
        <is>
          <t>A 11999-2023</t>
        </is>
      </c>
      <c r="B936" s="1" t="n">
        <v>44995</v>
      </c>
      <c r="C936" s="1" t="n">
        <v>45338</v>
      </c>
      <c r="D936" t="inlineStr">
        <is>
          <t>KALMAR LÄN</t>
        </is>
      </c>
      <c r="E936" t="inlineStr">
        <is>
          <t>VIMMERBY</t>
        </is>
      </c>
      <c r="G936" t="n">
        <v>2.2</v>
      </c>
      <c r="H936" t="n">
        <v>0</v>
      </c>
      <c r="I936" t="n">
        <v>0</v>
      </c>
      <c r="J936" t="n">
        <v>0</v>
      </c>
      <c r="K936" t="n">
        <v>0</v>
      </c>
      <c r="L936" t="n">
        <v>0</v>
      </c>
      <c r="M936" t="n">
        <v>0</v>
      </c>
      <c r="N936" t="n">
        <v>0</v>
      </c>
      <c r="O936" t="n">
        <v>0</v>
      </c>
      <c r="P936" t="n">
        <v>0</v>
      </c>
      <c r="Q936" t="n">
        <v>0</v>
      </c>
      <c r="R936" s="2" t="inlineStr"/>
    </row>
    <row r="937" ht="15" customHeight="1">
      <c r="A937" t="inlineStr">
        <is>
          <t>A 12012-2023</t>
        </is>
      </c>
      <c r="B937" s="1" t="n">
        <v>44995</v>
      </c>
      <c r="C937" s="1" t="n">
        <v>45338</v>
      </c>
      <c r="D937" t="inlineStr">
        <is>
          <t>KALMAR LÄN</t>
        </is>
      </c>
      <c r="E937" t="inlineStr">
        <is>
          <t>VIMMERBY</t>
        </is>
      </c>
      <c r="G937" t="n">
        <v>1.2</v>
      </c>
      <c r="H937" t="n">
        <v>0</v>
      </c>
      <c r="I937" t="n">
        <v>0</v>
      </c>
      <c r="J937" t="n">
        <v>0</v>
      </c>
      <c r="K937" t="n">
        <v>0</v>
      </c>
      <c r="L937" t="n">
        <v>0</v>
      </c>
      <c r="M937" t="n">
        <v>0</v>
      </c>
      <c r="N937" t="n">
        <v>0</v>
      </c>
      <c r="O937" t="n">
        <v>0</v>
      </c>
      <c r="P937" t="n">
        <v>0</v>
      </c>
      <c r="Q937" t="n">
        <v>0</v>
      </c>
      <c r="R937" s="2" t="inlineStr"/>
    </row>
    <row r="938" ht="15" customHeight="1">
      <c r="A938" t="inlineStr">
        <is>
          <t>A 12010-2023</t>
        </is>
      </c>
      <c r="B938" s="1" t="n">
        <v>44995</v>
      </c>
      <c r="C938" s="1" t="n">
        <v>45338</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12325-2023</t>
        </is>
      </c>
      <c r="B939" s="1" t="n">
        <v>44999</v>
      </c>
      <c r="C939" s="1" t="n">
        <v>45338</v>
      </c>
      <c r="D939" t="inlineStr">
        <is>
          <t>KALMAR LÄN</t>
        </is>
      </c>
      <c r="E939" t="inlineStr">
        <is>
          <t>VIMMERBY</t>
        </is>
      </c>
      <c r="G939" t="n">
        <v>3.4</v>
      </c>
      <c r="H939" t="n">
        <v>0</v>
      </c>
      <c r="I939" t="n">
        <v>0</v>
      </c>
      <c r="J939" t="n">
        <v>0</v>
      </c>
      <c r="K939" t="n">
        <v>0</v>
      </c>
      <c r="L939" t="n">
        <v>0</v>
      </c>
      <c r="M939" t="n">
        <v>0</v>
      </c>
      <c r="N939" t="n">
        <v>0</v>
      </c>
      <c r="O939" t="n">
        <v>0</v>
      </c>
      <c r="P939" t="n">
        <v>0</v>
      </c>
      <c r="Q939" t="n">
        <v>0</v>
      </c>
      <c r="R939" s="2" t="inlineStr"/>
    </row>
    <row r="940" ht="15" customHeight="1">
      <c r="A940" t="inlineStr">
        <is>
          <t>A 12327-2023</t>
        </is>
      </c>
      <c r="B940" s="1" t="n">
        <v>44999</v>
      </c>
      <c r="C940" s="1" t="n">
        <v>45338</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12499-2023</t>
        </is>
      </c>
      <c r="B941" s="1" t="n">
        <v>44999</v>
      </c>
      <c r="C941" s="1" t="n">
        <v>45338</v>
      </c>
      <c r="D941" t="inlineStr">
        <is>
          <t>KALMAR LÄN</t>
        </is>
      </c>
      <c r="E941" t="inlineStr">
        <is>
          <t>VIMMERBY</t>
        </is>
      </c>
      <c r="G941" t="n">
        <v>0.8</v>
      </c>
      <c r="H941" t="n">
        <v>0</v>
      </c>
      <c r="I941" t="n">
        <v>0</v>
      </c>
      <c r="J941" t="n">
        <v>0</v>
      </c>
      <c r="K941" t="n">
        <v>0</v>
      </c>
      <c r="L941" t="n">
        <v>0</v>
      </c>
      <c r="M941" t="n">
        <v>0</v>
      </c>
      <c r="N941" t="n">
        <v>0</v>
      </c>
      <c r="O941" t="n">
        <v>0</v>
      </c>
      <c r="P941" t="n">
        <v>0</v>
      </c>
      <c r="Q941" t="n">
        <v>0</v>
      </c>
      <c r="R941" s="2" t="inlineStr"/>
    </row>
    <row r="942" ht="15" customHeight="1">
      <c r="A942" t="inlineStr">
        <is>
          <t>A 12500-2023</t>
        </is>
      </c>
      <c r="B942" s="1" t="n">
        <v>44999</v>
      </c>
      <c r="C942" s="1" t="n">
        <v>45338</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12630-2023</t>
        </is>
      </c>
      <c r="B943" s="1" t="n">
        <v>45000</v>
      </c>
      <c r="C943" s="1" t="n">
        <v>45338</v>
      </c>
      <c r="D943" t="inlineStr">
        <is>
          <t>KALMAR LÄN</t>
        </is>
      </c>
      <c r="E943" t="inlineStr">
        <is>
          <t>VIMMERBY</t>
        </is>
      </c>
      <c r="G943" t="n">
        <v>2.1</v>
      </c>
      <c r="H943" t="n">
        <v>0</v>
      </c>
      <c r="I943" t="n">
        <v>0</v>
      </c>
      <c r="J943" t="n">
        <v>0</v>
      </c>
      <c r="K943" t="n">
        <v>0</v>
      </c>
      <c r="L943" t="n">
        <v>0</v>
      </c>
      <c r="M943" t="n">
        <v>0</v>
      </c>
      <c r="N943" t="n">
        <v>0</v>
      </c>
      <c r="O943" t="n">
        <v>0</v>
      </c>
      <c r="P943" t="n">
        <v>0</v>
      </c>
      <c r="Q943" t="n">
        <v>0</v>
      </c>
      <c r="R943" s="2" t="inlineStr"/>
    </row>
    <row r="944" ht="15" customHeight="1">
      <c r="A944" t="inlineStr">
        <is>
          <t>A 12692-2023</t>
        </is>
      </c>
      <c r="B944" s="1" t="n">
        <v>45000</v>
      </c>
      <c r="C944" s="1" t="n">
        <v>45338</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12810-2023</t>
        </is>
      </c>
      <c r="B945" s="1" t="n">
        <v>45001</v>
      </c>
      <c r="C945" s="1" t="n">
        <v>45338</v>
      </c>
      <c r="D945" t="inlineStr">
        <is>
          <t>KALMAR LÄN</t>
        </is>
      </c>
      <c r="E945" t="inlineStr">
        <is>
          <t>VIMMERBY</t>
        </is>
      </c>
      <c r="G945" t="n">
        <v>1.5</v>
      </c>
      <c r="H945" t="n">
        <v>0</v>
      </c>
      <c r="I945" t="n">
        <v>0</v>
      </c>
      <c r="J945" t="n">
        <v>0</v>
      </c>
      <c r="K945" t="n">
        <v>0</v>
      </c>
      <c r="L945" t="n">
        <v>0</v>
      </c>
      <c r="M945" t="n">
        <v>0</v>
      </c>
      <c r="N945" t="n">
        <v>0</v>
      </c>
      <c r="O945" t="n">
        <v>0</v>
      </c>
      <c r="P945" t="n">
        <v>0</v>
      </c>
      <c r="Q945" t="n">
        <v>0</v>
      </c>
      <c r="R945" s="2" t="inlineStr"/>
    </row>
    <row r="946" ht="15" customHeight="1">
      <c r="A946" t="inlineStr">
        <is>
          <t>A 12890-2023</t>
        </is>
      </c>
      <c r="B946" s="1" t="n">
        <v>45001</v>
      </c>
      <c r="C946" s="1" t="n">
        <v>45338</v>
      </c>
      <c r="D946" t="inlineStr">
        <is>
          <t>KALMAR LÄN</t>
        </is>
      </c>
      <c r="E946" t="inlineStr">
        <is>
          <t>VIMMERBY</t>
        </is>
      </c>
      <c r="G946" t="n">
        <v>2.8</v>
      </c>
      <c r="H946" t="n">
        <v>0</v>
      </c>
      <c r="I946" t="n">
        <v>0</v>
      </c>
      <c r="J946" t="n">
        <v>0</v>
      </c>
      <c r="K946" t="n">
        <v>0</v>
      </c>
      <c r="L946" t="n">
        <v>0</v>
      </c>
      <c r="M946" t="n">
        <v>0</v>
      </c>
      <c r="N946" t="n">
        <v>0</v>
      </c>
      <c r="O946" t="n">
        <v>0</v>
      </c>
      <c r="P946" t="n">
        <v>0</v>
      </c>
      <c r="Q946" t="n">
        <v>0</v>
      </c>
      <c r="R946" s="2" t="inlineStr"/>
    </row>
    <row r="947" ht="15" customHeight="1">
      <c r="A947" t="inlineStr">
        <is>
          <t>A 13015-2023</t>
        </is>
      </c>
      <c r="B947" s="1" t="n">
        <v>45002</v>
      </c>
      <c r="C947" s="1" t="n">
        <v>45338</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13462-2023</t>
        </is>
      </c>
      <c r="B948" s="1" t="n">
        <v>45005</v>
      </c>
      <c r="C948" s="1" t="n">
        <v>45338</v>
      </c>
      <c r="D948" t="inlineStr">
        <is>
          <t>KALMAR LÄN</t>
        </is>
      </c>
      <c r="E948" t="inlineStr">
        <is>
          <t>VIMMERBY</t>
        </is>
      </c>
      <c r="G948" t="n">
        <v>1.9</v>
      </c>
      <c r="H948" t="n">
        <v>0</v>
      </c>
      <c r="I948" t="n">
        <v>0</v>
      </c>
      <c r="J948" t="n">
        <v>0</v>
      </c>
      <c r="K948" t="n">
        <v>0</v>
      </c>
      <c r="L948" t="n">
        <v>0</v>
      </c>
      <c r="M948" t="n">
        <v>0</v>
      </c>
      <c r="N948" t="n">
        <v>0</v>
      </c>
      <c r="O948" t="n">
        <v>0</v>
      </c>
      <c r="P948" t="n">
        <v>0</v>
      </c>
      <c r="Q948" t="n">
        <v>0</v>
      </c>
      <c r="R948" s="2" t="inlineStr"/>
    </row>
    <row r="949" ht="15" customHeight="1">
      <c r="A949" t="inlineStr">
        <is>
          <t>A 13797-2023</t>
        </is>
      </c>
      <c r="B949" s="1" t="n">
        <v>45007</v>
      </c>
      <c r="C949" s="1" t="n">
        <v>45338</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14025-2023</t>
        </is>
      </c>
      <c r="B950" s="1" t="n">
        <v>45008</v>
      </c>
      <c r="C950" s="1" t="n">
        <v>45338</v>
      </c>
      <c r="D950" t="inlineStr">
        <is>
          <t>KALMAR LÄN</t>
        </is>
      </c>
      <c r="E950" t="inlineStr">
        <is>
          <t>VIMMERBY</t>
        </is>
      </c>
      <c r="G950" t="n">
        <v>1.1</v>
      </c>
      <c r="H950" t="n">
        <v>0</v>
      </c>
      <c r="I950" t="n">
        <v>0</v>
      </c>
      <c r="J950" t="n">
        <v>0</v>
      </c>
      <c r="K950" t="n">
        <v>0</v>
      </c>
      <c r="L950" t="n">
        <v>0</v>
      </c>
      <c r="M950" t="n">
        <v>0</v>
      </c>
      <c r="N950" t="n">
        <v>0</v>
      </c>
      <c r="O950" t="n">
        <v>0</v>
      </c>
      <c r="P950" t="n">
        <v>0</v>
      </c>
      <c r="Q950" t="n">
        <v>0</v>
      </c>
      <c r="R950" s="2" t="inlineStr"/>
    </row>
    <row r="951" ht="15" customHeight="1">
      <c r="A951" t="inlineStr">
        <is>
          <t>A 14132-2023</t>
        </is>
      </c>
      <c r="B951" s="1" t="n">
        <v>45009</v>
      </c>
      <c r="C951" s="1" t="n">
        <v>45338</v>
      </c>
      <c r="D951" t="inlineStr">
        <is>
          <t>KALMAR LÄN</t>
        </is>
      </c>
      <c r="E951" t="inlineStr">
        <is>
          <t>VIMMERBY</t>
        </is>
      </c>
      <c r="G951" t="n">
        <v>1.6</v>
      </c>
      <c r="H951" t="n">
        <v>0</v>
      </c>
      <c r="I951" t="n">
        <v>0</v>
      </c>
      <c r="J951" t="n">
        <v>0</v>
      </c>
      <c r="K951" t="n">
        <v>0</v>
      </c>
      <c r="L951" t="n">
        <v>0</v>
      </c>
      <c r="M951" t="n">
        <v>0</v>
      </c>
      <c r="N951" t="n">
        <v>0</v>
      </c>
      <c r="O951" t="n">
        <v>0</v>
      </c>
      <c r="P951" t="n">
        <v>0</v>
      </c>
      <c r="Q951" t="n">
        <v>0</v>
      </c>
      <c r="R951" s="2" t="inlineStr"/>
    </row>
    <row r="952" ht="15" customHeight="1">
      <c r="A952" t="inlineStr">
        <is>
          <t>A 14137-2023</t>
        </is>
      </c>
      <c r="B952" s="1" t="n">
        <v>45009</v>
      </c>
      <c r="C952" s="1" t="n">
        <v>45338</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14142-2023</t>
        </is>
      </c>
      <c r="B953" s="1" t="n">
        <v>45009</v>
      </c>
      <c r="C953" s="1" t="n">
        <v>45338</v>
      </c>
      <c r="D953" t="inlineStr">
        <is>
          <t>KALMAR LÄN</t>
        </is>
      </c>
      <c r="E953" t="inlineStr">
        <is>
          <t>VIMMERBY</t>
        </is>
      </c>
      <c r="G953" t="n">
        <v>3</v>
      </c>
      <c r="H953" t="n">
        <v>0</v>
      </c>
      <c r="I953" t="n">
        <v>0</v>
      </c>
      <c r="J953" t="n">
        <v>0</v>
      </c>
      <c r="K953" t="n">
        <v>0</v>
      </c>
      <c r="L953" t="n">
        <v>0</v>
      </c>
      <c r="M953" t="n">
        <v>0</v>
      </c>
      <c r="N953" t="n">
        <v>0</v>
      </c>
      <c r="O953" t="n">
        <v>0</v>
      </c>
      <c r="P953" t="n">
        <v>0</v>
      </c>
      <c r="Q953" t="n">
        <v>0</v>
      </c>
      <c r="R953" s="2" t="inlineStr"/>
    </row>
    <row r="954" ht="15" customHeight="1">
      <c r="A954" t="inlineStr">
        <is>
          <t>A 14248-2023</t>
        </is>
      </c>
      <c r="B954" s="1" t="n">
        <v>45009</v>
      </c>
      <c r="C954" s="1" t="n">
        <v>45338</v>
      </c>
      <c r="D954" t="inlineStr">
        <is>
          <t>KALMAR LÄN</t>
        </is>
      </c>
      <c r="E954" t="inlineStr">
        <is>
          <t>VIMMERBY</t>
        </is>
      </c>
      <c r="G954" t="n">
        <v>2.6</v>
      </c>
      <c r="H954" t="n">
        <v>0</v>
      </c>
      <c r="I954" t="n">
        <v>0</v>
      </c>
      <c r="J954" t="n">
        <v>0</v>
      </c>
      <c r="K954" t="n">
        <v>0</v>
      </c>
      <c r="L954" t="n">
        <v>0</v>
      </c>
      <c r="M954" t="n">
        <v>0</v>
      </c>
      <c r="N954" t="n">
        <v>0</v>
      </c>
      <c r="O954" t="n">
        <v>0</v>
      </c>
      <c r="P954" t="n">
        <v>0</v>
      </c>
      <c r="Q954" t="n">
        <v>0</v>
      </c>
      <c r="R954" s="2" t="inlineStr"/>
    </row>
    <row r="955" ht="15" customHeight="1">
      <c r="A955" t="inlineStr">
        <is>
          <t>A 14440-2023</t>
        </is>
      </c>
      <c r="B955" s="1" t="n">
        <v>45012</v>
      </c>
      <c r="C955" s="1" t="n">
        <v>45338</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14438-2023</t>
        </is>
      </c>
      <c r="B956" s="1" t="n">
        <v>45012</v>
      </c>
      <c r="C956" s="1" t="n">
        <v>45338</v>
      </c>
      <c r="D956" t="inlineStr">
        <is>
          <t>KALMAR LÄN</t>
        </is>
      </c>
      <c r="E956" t="inlineStr">
        <is>
          <t>VIMMERBY</t>
        </is>
      </c>
      <c r="G956" t="n">
        <v>1.5</v>
      </c>
      <c r="H956" t="n">
        <v>0</v>
      </c>
      <c r="I956" t="n">
        <v>0</v>
      </c>
      <c r="J956" t="n">
        <v>0</v>
      </c>
      <c r="K956" t="n">
        <v>0</v>
      </c>
      <c r="L956" t="n">
        <v>0</v>
      </c>
      <c r="M956" t="n">
        <v>0</v>
      </c>
      <c r="N956" t="n">
        <v>0</v>
      </c>
      <c r="O956" t="n">
        <v>0</v>
      </c>
      <c r="P956" t="n">
        <v>0</v>
      </c>
      <c r="Q956" t="n">
        <v>0</v>
      </c>
      <c r="R956" s="2" t="inlineStr"/>
    </row>
    <row r="957" ht="15" customHeight="1">
      <c r="A957" t="inlineStr">
        <is>
          <t>A 14996-2023</t>
        </is>
      </c>
      <c r="B957" s="1" t="n">
        <v>45014</v>
      </c>
      <c r="C957" s="1" t="n">
        <v>45338</v>
      </c>
      <c r="D957" t="inlineStr">
        <is>
          <t>KALMAR LÄN</t>
        </is>
      </c>
      <c r="E957" t="inlineStr">
        <is>
          <t>VIMMERBY</t>
        </is>
      </c>
      <c r="G957" t="n">
        <v>6.9</v>
      </c>
      <c r="H957" t="n">
        <v>0</v>
      </c>
      <c r="I957" t="n">
        <v>0</v>
      </c>
      <c r="J957" t="n">
        <v>0</v>
      </c>
      <c r="K957" t="n">
        <v>0</v>
      </c>
      <c r="L957" t="n">
        <v>0</v>
      </c>
      <c r="M957" t="n">
        <v>0</v>
      </c>
      <c r="N957" t="n">
        <v>0</v>
      </c>
      <c r="O957" t="n">
        <v>0</v>
      </c>
      <c r="P957" t="n">
        <v>0</v>
      </c>
      <c r="Q957" t="n">
        <v>0</v>
      </c>
      <c r="R957" s="2" t="inlineStr"/>
    </row>
    <row r="958" ht="15" customHeight="1">
      <c r="A958" t="inlineStr">
        <is>
          <t>A 15493-2023</t>
        </is>
      </c>
      <c r="B958" s="1" t="n">
        <v>45018</v>
      </c>
      <c r="C958" s="1" t="n">
        <v>45338</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15550-2023</t>
        </is>
      </c>
      <c r="B959" s="1" t="n">
        <v>45020</v>
      </c>
      <c r="C959" s="1" t="n">
        <v>45338</v>
      </c>
      <c r="D959" t="inlineStr">
        <is>
          <t>KALMAR LÄN</t>
        </is>
      </c>
      <c r="E959" t="inlineStr">
        <is>
          <t>VIMMERBY</t>
        </is>
      </c>
      <c r="G959" t="n">
        <v>0.5</v>
      </c>
      <c r="H959" t="n">
        <v>0</v>
      </c>
      <c r="I959" t="n">
        <v>0</v>
      </c>
      <c r="J959" t="n">
        <v>0</v>
      </c>
      <c r="K959" t="n">
        <v>0</v>
      </c>
      <c r="L959" t="n">
        <v>0</v>
      </c>
      <c r="M959" t="n">
        <v>0</v>
      </c>
      <c r="N959" t="n">
        <v>0</v>
      </c>
      <c r="O959" t="n">
        <v>0</v>
      </c>
      <c r="P959" t="n">
        <v>0</v>
      </c>
      <c r="Q959" t="n">
        <v>0</v>
      </c>
      <c r="R959" s="2" t="inlineStr"/>
    </row>
    <row r="960" ht="15" customHeight="1">
      <c r="A960" t="inlineStr">
        <is>
          <t>A 15449-2023</t>
        </is>
      </c>
      <c r="B960" s="1" t="n">
        <v>45020</v>
      </c>
      <c r="C960" s="1" t="n">
        <v>45338</v>
      </c>
      <c r="D960" t="inlineStr">
        <is>
          <t>KALMAR LÄN</t>
        </is>
      </c>
      <c r="E960" t="inlineStr">
        <is>
          <t>VIMMERBY</t>
        </is>
      </c>
      <c r="G960" t="n">
        <v>0.5</v>
      </c>
      <c r="H960" t="n">
        <v>0</v>
      </c>
      <c r="I960" t="n">
        <v>0</v>
      </c>
      <c r="J960" t="n">
        <v>0</v>
      </c>
      <c r="K960" t="n">
        <v>0</v>
      </c>
      <c r="L960" t="n">
        <v>0</v>
      </c>
      <c r="M960" t="n">
        <v>0</v>
      </c>
      <c r="N960" t="n">
        <v>0</v>
      </c>
      <c r="O960" t="n">
        <v>0</v>
      </c>
      <c r="P960" t="n">
        <v>0</v>
      </c>
      <c r="Q960" t="n">
        <v>0</v>
      </c>
      <c r="R960" s="2" t="inlineStr"/>
    </row>
    <row r="961" ht="15" customHeight="1">
      <c r="A961" t="inlineStr">
        <is>
          <t>A 15486-2023</t>
        </is>
      </c>
      <c r="B961" s="1" t="n">
        <v>45020</v>
      </c>
      <c r="C961" s="1" t="n">
        <v>45338</v>
      </c>
      <c r="D961" t="inlineStr">
        <is>
          <t>KALMAR LÄN</t>
        </is>
      </c>
      <c r="E961" t="inlineStr">
        <is>
          <t>VIMMERBY</t>
        </is>
      </c>
      <c r="G961" t="n">
        <v>1.2</v>
      </c>
      <c r="H961" t="n">
        <v>0</v>
      </c>
      <c r="I961" t="n">
        <v>0</v>
      </c>
      <c r="J961" t="n">
        <v>0</v>
      </c>
      <c r="K961" t="n">
        <v>0</v>
      </c>
      <c r="L961" t="n">
        <v>0</v>
      </c>
      <c r="M961" t="n">
        <v>0</v>
      </c>
      <c r="N961" t="n">
        <v>0</v>
      </c>
      <c r="O961" t="n">
        <v>0</v>
      </c>
      <c r="P961" t="n">
        <v>0</v>
      </c>
      <c r="Q961" t="n">
        <v>0</v>
      </c>
      <c r="R961" s="2" t="inlineStr"/>
    </row>
    <row r="962" ht="15" customHeight="1">
      <c r="A962" t="inlineStr">
        <is>
          <t>A 15490-2023</t>
        </is>
      </c>
      <c r="B962" s="1" t="n">
        <v>45020</v>
      </c>
      <c r="C962" s="1" t="n">
        <v>45338</v>
      </c>
      <c r="D962" t="inlineStr">
        <is>
          <t>KALMAR LÄN</t>
        </is>
      </c>
      <c r="E962" t="inlineStr">
        <is>
          <t>VIMMERBY</t>
        </is>
      </c>
      <c r="G962" t="n">
        <v>1.6</v>
      </c>
      <c r="H962" t="n">
        <v>0</v>
      </c>
      <c r="I962" t="n">
        <v>0</v>
      </c>
      <c r="J962" t="n">
        <v>0</v>
      </c>
      <c r="K962" t="n">
        <v>0</v>
      </c>
      <c r="L962" t="n">
        <v>0</v>
      </c>
      <c r="M962" t="n">
        <v>0</v>
      </c>
      <c r="N962" t="n">
        <v>0</v>
      </c>
      <c r="O962" t="n">
        <v>0</v>
      </c>
      <c r="P962" t="n">
        <v>0</v>
      </c>
      <c r="Q962" t="n">
        <v>0</v>
      </c>
      <c r="R962" s="2" t="inlineStr"/>
    </row>
    <row r="963" ht="15" customHeight="1">
      <c r="A963" t="inlineStr">
        <is>
          <t>A 15740-2023</t>
        </is>
      </c>
      <c r="B963" s="1" t="n">
        <v>45021</v>
      </c>
      <c r="C963" s="1" t="n">
        <v>45338</v>
      </c>
      <c r="D963" t="inlineStr">
        <is>
          <t>KALMAR LÄN</t>
        </is>
      </c>
      <c r="E963" t="inlineStr">
        <is>
          <t>VIMMERBY</t>
        </is>
      </c>
      <c r="G963" t="n">
        <v>1.9</v>
      </c>
      <c r="H963" t="n">
        <v>0</v>
      </c>
      <c r="I963" t="n">
        <v>0</v>
      </c>
      <c r="J963" t="n">
        <v>0</v>
      </c>
      <c r="K963" t="n">
        <v>0</v>
      </c>
      <c r="L963" t="n">
        <v>0</v>
      </c>
      <c r="M963" t="n">
        <v>0</v>
      </c>
      <c r="N963" t="n">
        <v>0</v>
      </c>
      <c r="O963" t="n">
        <v>0</v>
      </c>
      <c r="P963" t="n">
        <v>0</v>
      </c>
      <c r="Q963" t="n">
        <v>0</v>
      </c>
      <c r="R963" s="2" t="inlineStr"/>
    </row>
    <row r="964" ht="15" customHeight="1">
      <c r="A964" t="inlineStr">
        <is>
          <t>A 15993-2023</t>
        </is>
      </c>
      <c r="B964" s="1" t="n">
        <v>45023</v>
      </c>
      <c r="C964" s="1" t="n">
        <v>45338</v>
      </c>
      <c r="D964" t="inlineStr">
        <is>
          <t>KALMAR LÄN</t>
        </is>
      </c>
      <c r="E964" t="inlineStr">
        <is>
          <t>VIMMERBY</t>
        </is>
      </c>
      <c r="G964" t="n">
        <v>1.1</v>
      </c>
      <c r="H964" t="n">
        <v>0</v>
      </c>
      <c r="I964" t="n">
        <v>0</v>
      </c>
      <c r="J964" t="n">
        <v>0</v>
      </c>
      <c r="K964" t="n">
        <v>0</v>
      </c>
      <c r="L964" t="n">
        <v>0</v>
      </c>
      <c r="M964" t="n">
        <v>0</v>
      </c>
      <c r="N964" t="n">
        <v>0</v>
      </c>
      <c r="O964" t="n">
        <v>0</v>
      </c>
      <c r="P964" t="n">
        <v>0</v>
      </c>
      <c r="Q964" t="n">
        <v>0</v>
      </c>
      <c r="R964" s="2" t="inlineStr"/>
    </row>
    <row r="965" ht="15" customHeight="1">
      <c r="A965" t="inlineStr">
        <is>
          <t>A 16020-2023</t>
        </is>
      </c>
      <c r="B965" s="1" t="n">
        <v>45026</v>
      </c>
      <c r="C965" s="1" t="n">
        <v>45338</v>
      </c>
      <c r="D965" t="inlineStr">
        <is>
          <t>KALMAR LÄN</t>
        </is>
      </c>
      <c r="E965" t="inlineStr">
        <is>
          <t>VIMMERBY</t>
        </is>
      </c>
      <c r="G965" t="n">
        <v>1.1</v>
      </c>
      <c r="H965" t="n">
        <v>0</v>
      </c>
      <c r="I965" t="n">
        <v>0</v>
      </c>
      <c r="J965" t="n">
        <v>0</v>
      </c>
      <c r="K965" t="n">
        <v>0</v>
      </c>
      <c r="L965" t="n">
        <v>0</v>
      </c>
      <c r="M965" t="n">
        <v>0</v>
      </c>
      <c r="N965" t="n">
        <v>0</v>
      </c>
      <c r="O965" t="n">
        <v>0</v>
      </c>
      <c r="P965" t="n">
        <v>0</v>
      </c>
      <c r="Q965" t="n">
        <v>0</v>
      </c>
      <c r="R965" s="2" t="inlineStr"/>
    </row>
    <row r="966" ht="15" customHeight="1">
      <c r="A966" t="inlineStr">
        <is>
          <t>A 16119-2023</t>
        </is>
      </c>
      <c r="B966" s="1" t="n">
        <v>45027</v>
      </c>
      <c r="C966" s="1" t="n">
        <v>45338</v>
      </c>
      <c r="D966" t="inlineStr">
        <is>
          <t>KALMAR LÄN</t>
        </is>
      </c>
      <c r="E966" t="inlineStr">
        <is>
          <t>VIMMERBY</t>
        </is>
      </c>
      <c r="F966" t="inlineStr">
        <is>
          <t>Kommuner</t>
        </is>
      </c>
      <c r="G966" t="n">
        <v>4.4</v>
      </c>
      <c r="H966" t="n">
        <v>0</v>
      </c>
      <c r="I966" t="n">
        <v>0</v>
      </c>
      <c r="J966" t="n">
        <v>0</v>
      </c>
      <c r="K966" t="n">
        <v>0</v>
      </c>
      <c r="L966" t="n">
        <v>0</v>
      </c>
      <c r="M966" t="n">
        <v>0</v>
      </c>
      <c r="N966" t="n">
        <v>0</v>
      </c>
      <c r="O966" t="n">
        <v>0</v>
      </c>
      <c r="P966" t="n">
        <v>0</v>
      </c>
      <c r="Q966" t="n">
        <v>0</v>
      </c>
      <c r="R966" s="2" t="inlineStr"/>
    </row>
    <row r="967" ht="15" customHeight="1">
      <c r="A967" t="inlineStr">
        <is>
          <t>A 16676-2023</t>
        </is>
      </c>
      <c r="B967" s="1" t="n">
        <v>45028</v>
      </c>
      <c r="C967" s="1" t="n">
        <v>45338</v>
      </c>
      <c r="D967" t="inlineStr">
        <is>
          <t>KALMAR LÄN</t>
        </is>
      </c>
      <c r="E967" t="inlineStr">
        <is>
          <t>VIMMERBY</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16516-2023</t>
        </is>
      </c>
      <c r="B968" s="1" t="n">
        <v>45029</v>
      </c>
      <c r="C968" s="1" t="n">
        <v>45338</v>
      </c>
      <c r="D968" t="inlineStr">
        <is>
          <t>KALMAR LÄN</t>
        </is>
      </c>
      <c r="E968" t="inlineStr">
        <is>
          <t>VIMMERBY</t>
        </is>
      </c>
      <c r="G968" t="n">
        <v>4.3</v>
      </c>
      <c r="H968" t="n">
        <v>0</v>
      </c>
      <c r="I968" t="n">
        <v>0</v>
      </c>
      <c r="J968" t="n">
        <v>0</v>
      </c>
      <c r="K968" t="n">
        <v>0</v>
      </c>
      <c r="L968" t="n">
        <v>0</v>
      </c>
      <c r="M968" t="n">
        <v>0</v>
      </c>
      <c r="N968" t="n">
        <v>0</v>
      </c>
      <c r="O968" t="n">
        <v>0</v>
      </c>
      <c r="P968" t="n">
        <v>0</v>
      </c>
      <c r="Q968" t="n">
        <v>0</v>
      </c>
      <c r="R968" s="2" t="inlineStr"/>
    </row>
    <row r="969" ht="15" customHeight="1">
      <c r="A969" t="inlineStr">
        <is>
          <t>A 16734-2023</t>
        </is>
      </c>
      <c r="B969" s="1" t="n">
        <v>45030</v>
      </c>
      <c r="C969" s="1" t="n">
        <v>45338</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16750-2023</t>
        </is>
      </c>
      <c r="B970" s="1" t="n">
        <v>45030</v>
      </c>
      <c r="C970" s="1" t="n">
        <v>45338</v>
      </c>
      <c r="D970" t="inlineStr">
        <is>
          <t>KALMAR LÄN</t>
        </is>
      </c>
      <c r="E970" t="inlineStr">
        <is>
          <t>VIMMERBY</t>
        </is>
      </c>
      <c r="G970" t="n">
        <v>1.2</v>
      </c>
      <c r="H970" t="n">
        <v>0</v>
      </c>
      <c r="I970" t="n">
        <v>0</v>
      </c>
      <c r="J970" t="n">
        <v>0</v>
      </c>
      <c r="K970" t="n">
        <v>0</v>
      </c>
      <c r="L970" t="n">
        <v>0</v>
      </c>
      <c r="M970" t="n">
        <v>0</v>
      </c>
      <c r="N970" t="n">
        <v>0</v>
      </c>
      <c r="O970" t="n">
        <v>0</v>
      </c>
      <c r="P970" t="n">
        <v>0</v>
      </c>
      <c r="Q970" t="n">
        <v>0</v>
      </c>
      <c r="R970" s="2" t="inlineStr"/>
    </row>
    <row r="971" ht="15" customHeight="1">
      <c r="A971" t="inlineStr">
        <is>
          <t>A 16927-2023</t>
        </is>
      </c>
      <c r="B971" s="1" t="n">
        <v>45033</v>
      </c>
      <c r="C971" s="1" t="n">
        <v>45338</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16983-2023</t>
        </is>
      </c>
      <c r="B972" s="1" t="n">
        <v>45033</v>
      </c>
      <c r="C972" s="1" t="n">
        <v>45338</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17758-2023</t>
        </is>
      </c>
      <c r="B973" s="1" t="n">
        <v>45037</v>
      </c>
      <c r="C973" s="1" t="n">
        <v>45338</v>
      </c>
      <c r="D973" t="inlineStr">
        <is>
          <t>KALMAR LÄN</t>
        </is>
      </c>
      <c r="E973" t="inlineStr">
        <is>
          <t>VIMMERBY</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17964-2023</t>
        </is>
      </c>
      <c r="B974" s="1" t="n">
        <v>45040</v>
      </c>
      <c r="C974" s="1" t="n">
        <v>45338</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18209-2023</t>
        </is>
      </c>
      <c r="B975" s="1" t="n">
        <v>45041</v>
      </c>
      <c r="C975" s="1" t="n">
        <v>45338</v>
      </c>
      <c r="D975" t="inlineStr">
        <is>
          <t>KALMAR LÄN</t>
        </is>
      </c>
      <c r="E975" t="inlineStr">
        <is>
          <t>VIMMERBY</t>
        </is>
      </c>
      <c r="G975" t="n">
        <v>2.6</v>
      </c>
      <c r="H975" t="n">
        <v>0</v>
      </c>
      <c r="I975" t="n">
        <v>0</v>
      </c>
      <c r="J975" t="n">
        <v>0</v>
      </c>
      <c r="K975" t="n">
        <v>0</v>
      </c>
      <c r="L975" t="n">
        <v>0</v>
      </c>
      <c r="M975" t="n">
        <v>0</v>
      </c>
      <c r="N975" t="n">
        <v>0</v>
      </c>
      <c r="O975" t="n">
        <v>0</v>
      </c>
      <c r="P975" t="n">
        <v>0</v>
      </c>
      <c r="Q975" t="n">
        <v>0</v>
      </c>
      <c r="R975" s="2" t="inlineStr"/>
    </row>
    <row r="976" ht="15" customHeight="1">
      <c r="A976" t="inlineStr">
        <is>
          <t>A 18330-2023</t>
        </is>
      </c>
      <c r="B976" s="1" t="n">
        <v>45041</v>
      </c>
      <c r="C976" s="1" t="n">
        <v>45338</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18329-2023</t>
        </is>
      </c>
      <c r="B977" s="1" t="n">
        <v>45041</v>
      </c>
      <c r="C977" s="1" t="n">
        <v>45338</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18328-2023</t>
        </is>
      </c>
      <c r="B978" s="1" t="n">
        <v>45041</v>
      </c>
      <c r="C978" s="1" t="n">
        <v>45338</v>
      </c>
      <c r="D978" t="inlineStr">
        <is>
          <t>KALMAR LÄN</t>
        </is>
      </c>
      <c r="E978" t="inlineStr">
        <is>
          <t>VIMMERBY</t>
        </is>
      </c>
      <c r="G978" t="n">
        <v>0.9</v>
      </c>
      <c r="H978" t="n">
        <v>0</v>
      </c>
      <c r="I978" t="n">
        <v>0</v>
      </c>
      <c r="J978" t="n">
        <v>0</v>
      </c>
      <c r="K978" t="n">
        <v>0</v>
      </c>
      <c r="L978" t="n">
        <v>0</v>
      </c>
      <c r="M978" t="n">
        <v>0</v>
      </c>
      <c r="N978" t="n">
        <v>0</v>
      </c>
      <c r="O978" t="n">
        <v>0</v>
      </c>
      <c r="P978" t="n">
        <v>0</v>
      </c>
      <c r="Q978" t="n">
        <v>0</v>
      </c>
      <c r="R978" s="2" t="inlineStr"/>
    </row>
    <row r="979" ht="15" customHeight="1">
      <c r="A979" t="inlineStr">
        <is>
          <t>A 18609-2023</t>
        </is>
      </c>
      <c r="B979" s="1" t="n">
        <v>45041</v>
      </c>
      <c r="C979" s="1" t="n">
        <v>45338</v>
      </c>
      <c r="D979" t="inlineStr">
        <is>
          <t>KALMAR LÄN</t>
        </is>
      </c>
      <c r="E979" t="inlineStr">
        <is>
          <t>VIMMERBY</t>
        </is>
      </c>
      <c r="G979" t="n">
        <v>3</v>
      </c>
      <c r="H979" t="n">
        <v>0</v>
      </c>
      <c r="I979" t="n">
        <v>0</v>
      </c>
      <c r="J979" t="n">
        <v>0</v>
      </c>
      <c r="K979" t="n">
        <v>0</v>
      </c>
      <c r="L979" t="n">
        <v>0</v>
      </c>
      <c r="M979" t="n">
        <v>0</v>
      </c>
      <c r="N979" t="n">
        <v>0</v>
      </c>
      <c r="O979" t="n">
        <v>0</v>
      </c>
      <c r="P979" t="n">
        <v>0</v>
      </c>
      <c r="Q979" t="n">
        <v>0</v>
      </c>
      <c r="R979" s="2" t="inlineStr"/>
    </row>
    <row r="980" ht="15" customHeight="1">
      <c r="A980" t="inlineStr">
        <is>
          <t>A 18731-2023</t>
        </is>
      </c>
      <c r="B980" s="1" t="n">
        <v>45043</v>
      </c>
      <c r="C980" s="1" t="n">
        <v>45338</v>
      </c>
      <c r="D980" t="inlineStr">
        <is>
          <t>KALMAR LÄN</t>
        </is>
      </c>
      <c r="E980" t="inlineStr">
        <is>
          <t>VIMMERBY</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19013-2023</t>
        </is>
      </c>
      <c r="B981" s="1" t="n">
        <v>45045</v>
      </c>
      <c r="C981" s="1" t="n">
        <v>45338</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19162-2023</t>
        </is>
      </c>
      <c r="B982" s="1" t="n">
        <v>45048</v>
      </c>
      <c r="C982" s="1" t="n">
        <v>45338</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19158-2023</t>
        </is>
      </c>
      <c r="B983" s="1" t="n">
        <v>45048</v>
      </c>
      <c r="C983" s="1" t="n">
        <v>45338</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19833-2023</t>
        </is>
      </c>
      <c r="B984" s="1" t="n">
        <v>45052</v>
      </c>
      <c r="C984" s="1" t="n">
        <v>45338</v>
      </c>
      <c r="D984" t="inlineStr">
        <is>
          <t>KALMAR LÄN</t>
        </is>
      </c>
      <c r="E984" t="inlineStr">
        <is>
          <t>VIMMERBY</t>
        </is>
      </c>
      <c r="G984" t="n">
        <v>6.7</v>
      </c>
      <c r="H984" t="n">
        <v>0</v>
      </c>
      <c r="I984" t="n">
        <v>0</v>
      </c>
      <c r="J984" t="n">
        <v>0</v>
      </c>
      <c r="K984" t="n">
        <v>0</v>
      </c>
      <c r="L984" t="n">
        <v>0</v>
      </c>
      <c r="M984" t="n">
        <v>0</v>
      </c>
      <c r="N984" t="n">
        <v>0</v>
      </c>
      <c r="O984" t="n">
        <v>0</v>
      </c>
      <c r="P984" t="n">
        <v>0</v>
      </c>
      <c r="Q984" t="n">
        <v>0</v>
      </c>
      <c r="R984" s="2" t="inlineStr"/>
    </row>
    <row r="985" ht="15" customHeight="1">
      <c r="A985" t="inlineStr">
        <is>
          <t>A 20054-2023</t>
        </is>
      </c>
      <c r="B985" s="1" t="n">
        <v>45054</v>
      </c>
      <c r="C985" s="1" t="n">
        <v>45338</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20218-2023</t>
        </is>
      </c>
      <c r="B986" s="1" t="n">
        <v>45055</v>
      </c>
      <c r="C986" s="1" t="n">
        <v>45338</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20117-2023</t>
        </is>
      </c>
      <c r="B987" s="1" t="n">
        <v>45055</v>
      </c>
      <c r="C987" s="1" t="n">
        <v>45338</v>
      </c>
      <c r="D987" t="inlineStr">
        <is>
          <t>KALMAR LÄN</t>
        </is>
      </c>
      <c r="E987" t="inlineStr">
        <is>
          <t>VIMMERBY</t>
        </is>
      </c>
      <c r="G987" t="n">
        <v>1.7</v>
      </c>
      <c r="H987" t="n">
        <v>0</v>
      </c>
      <c r="I987" t="n">
        <v>0</v>
      </c>
      <c r="J987" t="n">
        <v>0</v>
      </c>
      <c r="K987" t="n">
        <v>0</v>
      </c>
      <c r="L987" t="n">
        <v>0</v>
      </c>
      <c r="M987" t="n">
        <v>0</v>
      </c>
      <c r="N987" t="n">
        <v>0</v>
      </c>
      <c r="O987" t="n">
        <v>0</v>
      </c>
      <c r="P987" t="n">
        <v>0</v>
      </c>
      <c r="Q987" t="n">
        <v>0</v>
      </c>
      <c r="R987" s="2" t="inlineStr"/>
    </row>
    <row r="988" ht="15" customHeight="1">
      <c r="A988" t="inlineStr">
        <is>
          <t>A 20215-2023</t>
        </is>
      </c>
      <c r="B988" s="1" t="n">
        <v>45055</v>
      </c>
      <c r="C988" s="1" t="n">
        <v>45338</v>
      </c>
      <c r="D988" t="inlineStr">
        <is>
          <t>KALMAR LÄN</t>
        </is>
      </c>
      <c r="E988" t="inlineStr">
        <is>
          <t>VIMMERBY</t>
        </is>
      </c>
      <c r="G988" t="n">
        <v>1.3</v>
      </c>
      <c r="H988" t="n">
        <v>0</v>
      </c>
      <c r="I988" t="n">
        <v>0</v>
      </c>
      <c r="J988" t="n">
        <v>0</v>
      </c>
      <c r="K988" t="n">
        <v>0</v>
      </c>
      <c r="L988" t="n">
        <v>0</v>
      </c>
      <c r="M988" t="n">
        <v>0</v>
      </c>
      <c r="N988" t="n">
        <v>0</v>
      </c>
      <c r="O988" t="n">
        <v>0</v>
      </c>
      <c r="P988" t="n">
        <v>0</v>
      </c>
      <c r="Q988" t="n">
        <v>0</v>
      </c>
      <c r="R988" s="2" t="inlineStr"/>
    </row>
    <row r="989" ht="15" customHeight="1">
      <c r="A989" t="inlineStr">
        <is>
          <t>A 20216-2023</t>
        </is>
      </c>
      <c r="B989" s="1" t="n">
        <v>45055</v>
      </c>
      <c r="C989" s="1" t="n">
        <v>45338</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20421-2023</t>
        </is>
      </c>
      <c r="B990" s="1" t="n">
        <v>45056</v>
      </c>
      <c r="C990" s="1" t="n">
        <v>45338</v>
      </c>
      <c r="D990" t="inlineStr">
        <is>
          <t>KALMAR LÄN</t>
        </is>
      </c>
      <c r="E990" t="inlineStr">
        <is>
          <t>VIMMERBY</t>
        </is>
      </c>
      <c r="G990" t="n">
        <v>5.2</v>
      </c>
      <c r="H990" t="n">
        <v>0</v>
      </c>
      <c r="I990" t="n">
        <v>0</v>
      </c>
      <c r="J990" t="n">
        <v>0</v>
      </c>
      <c r="K990" t="n">
        <v>0</v>
      </c>
      <c r="L990" t="n">
        <v>0</v>
      </c>
      <c r="M990" t="n">
        <v>0</v>
      </c>
      <c r="N990" t="n">
        <v>0</v>
      </c>
      <c r="O990" t="n">
        <v>0</v>
      </c>
      <c r="P990" t="n">
        <v>0</v>
      </c>
      <c r="Q990" t="n">
        <v>0</v>
      </c>
      <c r="R990" s="2" t="inlineStr"/>
    </row>
    <row r="991" ht="15" customHeight="1">
      <c r="A991" t="inlineStr">
        <is>
          <t>A 20542-2023</t>
        </is>
      </c>
      <c r="B991" s="1" t="n">
        <v>45057</v>
      </c>
      <c r="C991" s="1" t="n">
        <v>45338</v>
      </c>
      <c r="D991" t="inlineStr">
        <is>
          <t>KALMAR LÄN</t>
        </is>
      </c>
      <c r="E991" t="inlineStr">
        <is>
          <t>VIMMERBY</t>
        </is>
      </c>
      <c r="G991" t="n">
        <v>4.4</v>
      </c>
      <c r="H991" t="n">
        <v>0</v>
      </c>
      <c r="I991" t="n">
        <v>0</v>
      </c>
      <c r="J991" t="n">
        <v>0</v>
      </c>
      <c r="K991" t="n">
        <v>0</v>
      </c>
      <c r="L991" t="n">
        <v>0</v>
      </c>
      <c r="M991" t="n">
        <v>0</v>
      </c>
      <c r="N991" t="n">
        <v>0</v>
      </c>
      <c r="O991" t="n">
        <v>0</v>
      </c>
      <c r="P991" t="n">
        <v>0</v>
      </c>
      <c r="Q991" t="n">
        <v>0</v>
      </c>
      <c r="R991" s="2" t="inlineStr"/>
    </row>
    <row r="992" ht="15" customHeight="1">
      <c r="A992" t="inlineStr">
        <is>
          <t>A 20699-2023</t>
        </is>
      </c>
      <c r="B992" s="1" t="n">
        <v>45058</v>
      </c>
      <c r="C992" s="1" t="n">
        <v>45338</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20736-2023</t>
        </is>
      </c>
      <c r="B993" s="1" t="n">
        <v>45058</v>
      </c>
      <c r="C993" s="1" t="n">
        <v>45338</v>
      </c>
      <c r="D993" t="inlineStr">
        <is>
          <t>KALMAR LÄN</t>
        </is>
      </c>
      <c r="E993" t="inlineStr">
        <is>
          <t>VIMMERBY</t>
        </is>
      </c>
      <c r="G993" t="n">
        <v>1.9</v>
      </c>
      <c r="H993" t="n">
        <v>0</v>
      </c>
      <c r="I993" t="n">
        <v>0</v>
      </c>
      <c r="J993" t="n">
        <v>0</v>
      </c>
      <c r="K993" t="n">
        <v>0</v>
      </c>
      <c r="L993" t="n">
        <v>0</v>
      </c>
      <c r="M993" t="n">
        <v>0</v>
      </c>
      <c r="N993" t="n">
        <v>0</v>
      </c>
      <c r="O993" t="n">
        <v>0</v>
      </c>
      <c r="P993" t="n">
        <v>0</v>
      </c>
      <c r="Q993" t="n">
        <v>0</v>
      </c>
      <c r="R993" s="2" t="inlineStr"/>
    </row>
    <row r="994" ht="15" customHeight="1">
      <c r="A994" t="inlineStr">
        <is>
          <t>A 21025-2023</t>
        </is>
      </c>
      <c r="B994" s="1" t="n">
        <v>45061</v>
      </c>
      <c r="C994" s="1" t="n">
        <v>45338</v>
      </c>
      <c r="D994" t="inlineStr">
        <is>
          <t>KALMAR LÄN</t>
        </is>
      </c>
      <c r="E994" t="inlineStr">
        <is>
          <t>VIMMERBY</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21028-2023</t>
        </is>
      </c>
      <c r="B995" s="1" t="n">
        <v>45061</v>
      </c>
      <c r="C995" s="1" t="n">
        <v>45338</v>
      </c>
      <c r="D995" t="inlineStr">
        <is>
          <t>KALMAR LÄN</t>
        </is>
      </c>
      <c r="E995" t="inlineStr">
        <is>
          <t>VIMMERBY</t>
        </is>
      </c>
      <c r="F995" t="inlineStr">
        <is>
          <t>Övriga Aktiebolag</t>
        </is>
      </c>
      <c r="G995" t="n">
        <v>0.7</v>
      </c>
      <c r="H995" t="n">
        <v>0</v>
      </c>
      <c r="I995" t="n">
        <v>0</v>
      </c>
      <c r="J995" t="n">
        <v>0</v>
      </c>
      <c r="K995" t="n">
        <v>0</v>
      </c>
      <c r="L995" t="n">
        <v>0</v>
      </c>
      <c r="M995" t="n">
        <v>0</v>
      </c>
      <c r="N995" t="n">
        <v>0</v>
      </c>
      <c r="O995" t="n">
        <v>0</v>
      </c>
      <c r="P995" t="n">
        <v>0</v>
      </c>
      <c r="Q995" t="n">
        <v>0</v>
      </c>
      <c r="R995" s="2" t="inlineStr"/>
    </row>
    <row r="996" ht="15" customHeight="1">
      <c r="A996" t="inlineStr">
        <is>
          <t>A 21496-2023</t>
        </is>
      </c>
      <c r="B996" s="1" t="n">
        <v>45063</v>
      </c>
      <c r="C996" s="1" t="n">
        <v>45338</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21507-2023</t>
        </is>
      </c>
      <c r="B997" s="1" t="n">
        <v>45063</v>
      </c>
      <c r="C997" s="1" t="n">
        <v>45338</v>
      </c>
      <c r="D997" t="inlineStr">
        <is>
          <t>KALMAR LÄN</t>
        </is>
      </c>
      <c r="E997" t="inlineStr">
        <is>
          <t>VIMMERBY</t>
        </is>
      </c>
      <c r="G997" t="n">
        <v>2.8</v>
      </c>
      <c r="H997" t="n">
        <v>0</v>
      </c>
      <c r="I997" t="n">
        <v>0</v>
      </c>
      <c r="J997" t="n">
        <v>0</v>
      </c>
      <c r="K997" t="n">
        <v>0</v>
      </c>
      <c r="L997" t="n">
        <v>0</v>
      </c>
      <c r="M997" t="n">
        <v>0</v>
      </c>
      <c r="N997" t="n">
        <v>0</v>
      </c>
      <c r="O997" t="n">
        <v>0</v>
      </c>
      <c r="P997" t="n">
        <v>0</v>
      </c>
      <c r="Q997" t="n">
        <v>0</v>
      </c>
      <c r="R997" s="2" t="inlineStr"/>
    </row>
    <row r="998" ht="15" customHeight="1">
      <c r="A998" t="inlineStr">
        <is>
          <t>A 21911-2023</t>
        </is>
      </c>
      <c r="B998" s="1" t="n">
        <v>45068</v>
      </c>
      <c r="C998" s="1" t="n">
        <v>45338</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22415-2023</t>
        </is>
      </c>
      <c r="B999" s="1" t="n">
        <v>45070</v>
      </c>
      <c r="C999" s="1" t="n">
        <v>45338</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22264-2023</t>
        </is>
      </c>
      <c r="B1000" s="1" t="n">
        <v>45070</v>
      </c>
      <c r="C1000" s="1" t="n">
        <v>45338</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22421-2023</t>
        </is>
      </c>
      <c r="B1001" s="1" t="n">
        <v>45070</v>
      </c>
      <c r="C1001" s="1" t="n">
        <v>45338</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22266-2023</t>
        </is>
      </c>
      <c r="B1002" s="1" t="n">
        <v>45070</v>
      </c>
      <c r="C1002" s="1" t="n">
        <v>45338</v>
      </c>
      <c r="D1002" t="inlineStr">
        <is>
          <t>KALMAR LÄN</t>
        </is>
      </c>
      <c r="E1002" t="inlineStr">
        <is>
          <t>VIMMERBY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22418-2023</t>
        </is>
      </c>
      <c r="B1003" s="1" t="n">
        <v>45070</v>
      </c>
      <c r="C1003" s="1" t="n">
        <v>45338</v>
      </c>
      <c r="D1003" t="inlineStr">
        <is>
          <t>KALMAR LÄN</t>
        </is>
      </c>
      <c r="E1003" t="inlineStr">
        <is>
          <t>VIMMERBY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22426-2023</t>
        </is>
      </c>
      <c r="B1004" s="1" t="n">
        <v>45070</v>
      </c>
      <c r="C1004" s="1" t="n">
        <v>45338</v>
      </c>
      <c r="D1004" t="inlineStr">
        <is>
          <t>KALMAR LÄN</t>
        </is>
      </c>
      <c r="E1004" t="inlineStr">
        <is>
          <t>VIMMERBY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22423-2023</t>
        </is>
      </c>
      <c r="B1005" s="1" t="n">
        <v>45070</v>
      </c>
      <c r="C1005" s="1" t="n">
        <v>45338</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22643-2023</t>
        </is>
      </c>
      <c r="B1006" s="1" t="n">
        <v>45071</v>
      </c>
      <c r="C1006" s="1" t="n">
        <v>45338</v>
      </c>
      <c r="D1006" t="inlineStr">
        <is>
          <t>KALMAR LÄN</t>
        </is>
      </c>
      <c r="E1006" t="inlineStr">
        <is>
          <t>VIMMERBY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22760-2023</t>
        </is>
      </c>
      <c r="B1007" s="1" t="n">
        <v>45072</v>
      </c>
      <c r="C1007" s="1" t="n">
        <v>45338</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23032-2023</t>
        </is>
      </c>
      <c r="B1008" s="1" t="n">
        <v>45074</v>
      </c>
      <c r="C1008" s="1" t="n">
        <v>45338</v>
      </c>
      <c r="D1008" t="inlineStr">
        <is>
          <t>KALMAR LÄN</t>
        </is>
      </c>
      <c r="E1008" t="inlineStr">
        <is>
          <t>VIMMERBY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23095-2023</t>
        </is>
      </c>
      <c r="B1009" s="1" t="n">
        <v>45075</v>
      </c>
      <c r="C1009" s="1" t="n">
        <v>45338</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23425-2023</t>
        </is>
      </c>
      <c r="B1010" s="1" t="n">
        <v>45076</v>
      </c>
      <c r="C1010" s="1" t="n">
        <v>45338</v>
      </c>
      <c r="D1010" t="inlineStr">
        <is>
          <t>KALMAR LÄN</t>
        </is>
      </c>
      <c r="E1010" t="inlineStr">
        <is>
          <t>VIMMERBY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23539-2023</t>
        </is>
      </c>
      <c r="B1011" s="1" t="n">
        <v>45077</v>
      </c>
      <c r="C1011" s="1" t="n">
        <v>45338</v>
      </c>
      <c r="D1011" t="inlineStr">
        <is>
          <t>KALMAR LÄN</t>
        </is>
      </c>
      <c r="E1011" t="inlineStr">
        <is>
          <t>VIMMERBY</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23695-2023</t>
        </is>
      </c>
      <c r="B1012" s="1" t="n">
        <v>45077</v>
      </c>
      <c r="C1012" s="1" t="n">
        <v>45338</v>
      </c>
      <c r="D1012" t="inlineStr">
        <is>
          <t>KALMAR LÄN</t>
        </is>
      </c>
      <c r="E1012" t="inlineStr">
        <is>
          <t>VIMMERBY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24283-2023</t>
        </is>
      </c>
      <c r="B1013" s="1" t="n">
        <v>45079</v>
      </c>
      <c r="C1013" s="1" t="n">
        <v>45338</v>
      </c>
      <c r="D1013" t="inlineStr">
        <is>
          <t>KALMAR LÄN</t>
        </is>
      </c>
      <c r="E1013" t="inlineStr">
        <is>
          <t>VIMMERBY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24285-2023</t>
        </is>
      </c>
      <c r="B1014" s="1" t="n">
        <v>45079</v>
      </c>
      <c r="C1014" s="1" t="n">
        <v>45338</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24288-2023</t>
        </is>
      </c>
      <c r="B1015" s="1" t="n">
        <v>45080</v>
      </c>
      <c r="C1015" s="1" t="n">
        <v>45338</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25109-2023</t>
        </is>
      </c>
      <c r="B1016" s="1" t="n">
        <v>45086</v>
      </c>
      <c r="C1016" s="1" t="n">
        <v>45338</v>
      </c>
      <c r="D1016" t="inlineStr">
        <is>
          <t>KALMAR LÄN</t>
        </is>
      </c>
      <c r="E1016" t="inlineStr">
        <is>
          <t>VIMMERBY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25236-2023</t>
        </is>
      </c>
      <c r="B1017" s="1" t="n">
        <v>45086</v>
      </c>
      <c r="C1017" s="1" t="n">
        <v>45338</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25244-2023</t>
        </is>
      </c>
      <c r="B1018" s="1" t="n">
        <v>45086</v>
      </c>
      <c r="C1018" s="1" t="n">
        <v>45338</v>
      </c>
      <c r="D1018" t="inlineStr">
        <is>
          <t>KALMAR LÄN</t>
        </is>
      </c>
      <c r="E1018" t="inlineStr">
        <is>
          <t>VIMMERBY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25234-2023</t>
        </is>
      </c>
      <c r="B1019" s="1" t="n">
        <v>45086</v>
      </c>
      <c r="C1019" s="1" t="n">
        <v>45338</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25885-2023</t>
        </is>
      </c>
      <c r="B1020" s="1" t="n">
        <v>45090</v>
      </c>
      <c r="C1020" s="1" t="n">
        <v>45338</v>
      </c>
      <c r="D1020" t="inlineStr">
        <is>
          <t>KALMAR LÄN</t>
        </is>
      </c>
      <c r="E1020" t="inlineStr">
        <is>
          <t>VIMMERBY</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25799-2023</t>
        </is>
      </c>
      <c r="B1021" s="1" t="n">
        <v>45090</v>
      </c>
      <c r="C1021" s="1" t="n">
        <v>45338</v>
      </c>
      <c r="D1021" t="inlineStr">
        <is>
          <t>KALMAR LÄN</t>
        </is>
      </c>
      <c r="E1021" t="inlineStr">
        <is>
          <t>VIMMERBY</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25979-2023</t>
        </is>
      </c>
      <c r="B1022" s="1" t="n">
        <v>45090</v>
      </c>
      <c r="C1022" s="1" t="n">
        <v>45338</v>
      </c>
      <c r="D1022" t="inlineStr">
        <is>
          <t>KALMAR LÄN</t>
        </is>
      </c>
      <c r="E1022" t="inlineStr">
        <is>
          <t>VIMMERBY</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25976-2023</t>
        </is>
      </c>
      <c r="B1023" s="1" t="n">
        <v>45090</v>
      </c>
      <c r="C1023" s="1" t="n">
        <v>45338</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25980-2023</t>
        </is>
      </c>
      <c r="B1024" s="1" t="n">
        <v>45090</v>
      </c>
      <c r="C1024" s="1" t="n">
        <v>45338</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25977-2023</t>
        </is>
      </c>
      <c r="B1025" s="1" t="n">
        <v>45090</v>
      </c>
      <c r="C1025" s="1" t="n">
        <v>45338</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26318-2023</t>
        </is>
      </c>
      <c r="B1026" s="1" t="n">
        <v>45091</v>
      </c>
      <c r="C1026" s="1" t="n">
        <v>45338</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26626-2023</t>
        </is>
      </c>
      <c r="B1027" s="1" t="n">
        <v>45092</v>
      </c>
      <c r="C1027" s="1" t="n">
        <v>45338</v>
      </c>
      <c r="D1027" t="inlineStr">
        <is>
          <t>KALMAR LÄN</t>
        </is>
      </c>
      <c r="E1027" t="inlineStr">
        <is>
          <t>VIMMERBY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26937-2023</t>
        </is>
      </c>
      <c r="B1028" s="1" t="n">
        <v>45093</v>
      </c>
      <c r="C1028" s="1" t="n">
        <v>45338</v>
      </c>
      <c r="D1028" t="inlineStr">
        <is>
          <t>KALMAR LÄN</t>
        </is>
      </c>
      <c r="E1028" t="inlineStr">
        <is>
          <t>VIMMERBY</t>
        </is>
      </c>
      <c r="F1028" t="inlineStr">
        <is>
          <t>Sveaskog</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27122-2023</t>
        </is>
      </c>
      <c r="B1029" s="1" t="n">
        <v>45096</v>
      </c>
      <c r="C1029" s="1" t="n">
        <v>45338</v>
      </c>
      <c r="D1029" t="inlineStr">
        <is>
          <t>KALMAR LÄN</t>
        </is>
      </c>
      <c r="E1029" t="inlineStr">
        <is>
          <t>VIMMERBY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27138-2023</t>
        </is>
      </c>
      <c r="B1030" s="1" t="n">
        <v>45096</v>
      </c>
      <c r="C1030" s="1" t="n">
        <v>45338</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28988-2023</t>
        </is>
      </c>
      <c r="B1031" s="1" t="n">
        <v>45096</v>
      </c>
      <c r="C1031" s="1" t="n">
        <v>45338</v>
      </c>
      <c r="D1031" t="inlineStr">
        <is>
          <t>KALMAR LÄN</t>
        </is>
      </c>
      <c r="E1031" t="inlineStr">
        <is>
          <t>VIMMERBY</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27443-2023</t>
        </is>
      </c>
      <c r="B1032" s="1" t="n">
        <v>45097</v>
      </c>
      <c r="C1032" s="1" t="n">
        <v>45338</v>
      </c>
      <c r="D1032" t="inlineStr">
        <is>
          <t>KALMAR LÄN</t>
        </is>
      </c>
      <c r="E1032" t="inlineStr">
        <is>
          <t>VIMMERBY</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27705-2023</t>
        </is>
      </c>
      <c r="B1033" s="1" t="n">
        <v>45098</v>
      </c>
      <c r="C1033" s="1" t="n">
        <v>45338</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28123-2023</t>
        </is>
      </c>
      <c r="B1034" s="1" t="n">
        <v>45099</v>
      </c>
      <c r="C1034" s="1" t="n">
        <v>45338</v>
      </c>
      <c r="D1034" t="inlineStr">
        <is>
          <t>KALMAR LÄN</t>
        </is>
      </c>
      <c r="E1034" t="inlineStr">
        <is>
          <t>VIMMERBY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28129-2023</t>
        </is>
      </c>
      <c r="B1035" s="1" t="n">
        <v>45099</v>
      </c>
      <c r="C1035" s="1" t="n">
        <v>45338</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28395-2023</t>
        </is>
      </c>
      <c r="B1036" s="1" t="n">
        <v>45100</v>
      </c>
      <c r="C1036" s="1" t="n">
        <v>45338</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28403-2023</t>
        </is>
      </c>
      <c r="B1037" s="1" t="n">
        <v>45100</v>
      </c>
      <c r="C1037" s="1" t="n">
        <v>45338</v>
      </c>
      <c r="D1037" t="inlineStr">
        <is>
          <t>KALMAR LÄN</t>
        </is>
      </c>
      <c r="E1037" t="inlineStr">
        <is>
          <t>VIMMERBY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29093-2023</t>
        </is>
      </c>
      <c r="B1038" s="1" t="n">
        <v>45105</v>
      </c>
      <c r="C1038" s="1" t="n">
        <v>45338</v>
      </c>
      <c r="D1038" t="inlineStr">
        <is>
          <t>KALMAR LÄN</t>
        </is>
      </c>
      <c r="E1038" t="inlineStr">
        <is>
          <t>VIMMERBY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29196-2023</t>
        </is>
      </c>
      <c r="B1039" s="1" t="n">
        <v>45105</v>
      </c>
      <c r="C1039" s="1" t="n">
        <v>45338</v>
      </c>
      <c r="D1039" t="inlineStr">
        <is>
          <t>KALMAR LÄN</t>
        </is>
      </c>
      <c r="E1039" t="inlineStr">
        <is>
          <t>VIMMERBY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29351-2023</t>
        </is>
      </c>
      <c r="B1040" s="1" t="n">
        <v>45106</v>
      </c>
      <c r="C1040" s="1" t="n">
        <v>45338</v>
      </c>
      <c r="D1040" t="inlineStr">
        <is>
          <t>KALMAR LÄN</t>
        </is>
      </c>
      <c r="E1040" t="inlineStr">
        <is>
          <t>VIMMERBY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29350-2023</t>
        </is>
      </c>
      <c r="B1041" s="1" t="n">
        <v>45106</v>
      </c>
      <c r="C1041" s="1" t="n">
        <v>45338</v>
      </c>
      <c r="D1041" t="inlineStr">
        <is>
          <t>KALMAR LÄN</t>
        </is>
      </c>
      <c r="E1041" t="inlineStr">
        <is>
          <t>VIMMERBY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29348-2023</t>
        </is>
      </c>
      <c r="B1042" s="1" t="n">
        <v>45106</v>
      </c>
      <c r="C1042" s="1" t="n">
        <v>45338</v>
      </c>
      <c r="D1042" t="inlineStr">
        <is>
          <t>KALMAR LÄN</t>
        </is>
      </c>
      <c r="E1042" t="inlineStr">
        <is>
          <t>VIMMERBY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29349-2023</t>
        </is>
      </c>
      <c r="B1043" s="1" t="n">
        <v>45106</v>
      </c>
      <c r="C1043" s="1" t="n">
        <v>45338</v>
      </c>
      <c r="D1043" t="inlineStr">
        <is>
          <t>KALMAR LÄN</t>
        </is>
      </c>
      <c r="E1043" t="inlineStr">
        <is>
          <t>VIMMERBY</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29973-2023</t>
        </is>
      </c>
      <c r="B1044" s="1" t="n">
        <v>45108</v>
      </c>
      <c r="C1044" s="1" t="n">
        <v>45338</v>
      </c>
      <c r="D1044" t="inlineStr">
        <is>
          <t>KALMAR LÄN</t>
        </is>
      </c>
      <c r="E1044" t="inlineStr">
        <is>
          <t>VIMMERBY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30070-2023</t>
        </is>
      </c>
      <c r="B1045" s="1" t="n">
        <v>45110</v>
      </c>
      <c r="C1045" s="1" t="n">
        <v>45338</v>
      </c>
      <c r="D1045" t="inlineStr">
        <is>
          <t>KALMAR LÄN</t>
        </is>
      </c>
      <c r="E1045" t="inlineStr">
        <is>
          <t>VIMMERBY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30063-2023</t>
        </is>
      </c>
      <c r="B1046" s="1" t="n">
        <v>45110</v>
      </c>
      <c r="C1046" s="1" t="n">
        <v>45338</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30090-2023</t>
        </is>
      </c>
      <c r="B1047" s="1" t="n">
        <v>45110</v>
      </c>
      <c r="C1047" s="1" t="n">
        <v>45338</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30503-2023</t>
        </is>
      </c>
      <c r="B1048" s="1" t="n">
        <v>45111</v>
      </c>
      <c r="C1048" s="1" t="n">
        <v>45338</v>
      </c>
      <c r="D1048" t="inlineStr">
        <is>
          <t>KALMAR LÄN</t>
        </is>
      </c>
      <c r="E1048" t="inlineStr">
        <is>
          <t>VIMMERBY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30380-2023</t>
        </is>
      </c>
      <c r="B1049" s="1" t="n">
        <v>45111</v>
      </c>
      <c r="C1049" s="1" t="n">
        <v>45338</v>
      </c>
      <c r="D1049" t="inlineStr">
        <is>
          <t>KALMAR LÄN</t>
        </is>
      </c>
      <c r="E1049" t="inlineStr">
        <is>
          <t>VIMMERBY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30400-2023</t>
        </is>
      </c>
      <c r="B1050" s="1" t="n">
        <v>45111</v>
      </c>
      <c r="C1050" s="1" t="n">
        <v>45338</v>
      </c>
      <c r="D1050" t="inlineStr">
        <is>
          <t>KALMAR LÄN</t>
        </is>
      </c>
      <c r="E1050" t="inlineStr">
        <is>
          <t>VIMMERBY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30318-2023</t>
        </is>
      </c>
      <c r="B1051" s="1" t="n">
        <v>45111</v>
      </c>
      <c r="C1051" s="1" t="n">
        <v>45338</v>
      </c>
      <c r="D1051" t="inlineStr">
        <is>
          <t>KALMAR LÄN</t>
        </is>
      </c>
      <c r="E1051" t="inlineStr">
        <is>
          <t>VIMMERBY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30402-2023</t>
        </is>
      </c>
      <c r="B1052" s="1" t="n">
        <v>45111</v>
      </c>
      <c r="C1052" s="1" t="n">
        <v>45338</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30406-2023</t>
        </is>
      </c>
      <c r="B1053" s="1" t="n">
        <v>45111</v>
      </c>
      <c r="C1053" s="1" t="n">
        <v>45338</v>
      </c>
      <c r="D1053" t="inlineStr">
        <is>
          <t>KALMAR LÄN</t>
        </is>
      </c>
      <c r="E1053" t="inlineStr">
        <is>
          <t>VIMMERBY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30404-2023</t>
        </is>
      </c>
      <c r="B1054" s="1" t="n">
        <v>45111</v>
      </c>
      <c r="C1054" s="1" t="n">
        <v>45338</v>
      </c>
      <c r="D1054" t="inlineStr">
        <is>
          <t>KALMAR LÄN</t>
        </is>
      </c>
      <c r="E1054" t="inlineStr">
        <is>
          <t>VIMMERBY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30408-2023</t>
        </is>
      </c>
      <c r="B1055" s="1" t="n">
        <v>45111</v>
      </c>
      <c r="C1055" s="1" t="n">
        <v>45338</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30586-2023</t>
        </is>
      </c>
      <c r="B1056" s="1" t="n">
        <v>45112</v>
      </c>
      <c r="C1056" s="1" t="n">
        <v>45338</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30588-2023</t>
        </is>
      </c>
      <c r="B1057" s="1" t="n">
        <v>45112</v>
      </c>
      <c r="C1057" s="1" t="n">
        <v>45338</v>
      </c>
      <c r="D1057" t="inlineStr">
        <is>
          <t>KALMAR LÄN</t>
        </is>
      </c>
      <c r="E1057" t="inlineStr">
        <is>
          <t>VIMMERBY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30896-2023</t>
        </is>
      </c>
      <c r="B1058" s="1" t="n">
        <v>45113</v>
      </c>
      <c r="C1058" s="1" t="n">
        <v>45338</v>
      </c>
      <c r="D1058" t="inlineStr">
        <is>
          <t>KALMAR LÄN</t>
        </is>
      </c>
      <c r="E1058" t="inlineStr">
        <is>
          <t>VIMMERBY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30899-2023</t>
        </is>
      </c>
      <c r="B1059" s="1" t="n">
        <v>45113</v>
      </c>
      <c r="C1059" s="1" t="n">
        <v>45338</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30912-2023</t>
        </is>
      </c>
      <c r="B1060" s="1" t="n">
        <v>45113</v>
      </c>
      <c r="C1060" s="1" t="n">
        <v>45338</v>
      </c>
      <c r="D1060" t="inlineStr">
        <is>
          <t>KALMAR LÄN</t>
        </is>
      </c>
      <c r="E1060" t="inlineStr">
        <is>
          <t>VIMMERBY</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30920-2023</t>
        </is>
      </c>
      <c r="B1061" s="1" t="n">
        <v>45113</v>
      </c>
      <c r="C1061" s="1" t="n">
        <v>45338</v>
      </c>
      <c r="D1061" t="inlineStr">
        <is>
          <t>KALMAR LÄN</t>
        </is>
      </c>
      <c r="E1061" t="inlineStr">
        <is>
          <t>VIMMERBY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30894-2023</t>
        </is>
      </c>
      <c r="B1062" s="1" t="n">
        <v>45113</v>
      </c>
      <c r="C1062" s="1" t="n">
        <v>45338</v>
      </c>
      <c r="D1062" t="inlineStr">
        <is>
          <t>KALMAR LÄN</t>
        </is>
      </c>
      <c r="E1062" t="inlineStr">
        <is>
          <t>VIMMERBY</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30898-2023</t>
        </is>
      </c>
      <c r="B1063" s="1" t="n">
        <v>45113</v>
      </c>
      <c r="C1063" s="1" t="n">
        <v>45338</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31013-2023</t>
        </is>
      </c>
      <c r="B1064" s="1" t="n">
        <v>45113</v>
      </c>
      <c r="C1064" s="1" t="n">
        <v>45338</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31017-2023</t>
        </is>
      </c>
      <c r="B1065" s="1" t="n">
        <v>45113</v>
      </c>
      <c r="C1065" s="1" t="n">
        <v>45338</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31340-2023</t>
        </is>
      </c>
      <c r="B1066" s="1" t="n">
        <v>45114</v>
      </c>
      <c r="C1066" s="1" t="n">
        <v>45338</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31369-2023</t>
        </is>
      </c>
      <c r="B1067" s="1" t="n">
        <v>45114</v>
      </c>
      <c r="C1067" s="1" t="n">
        <v>45338</v>
      </c>
      <c r="D1067" t="inlineStr">
        <is>
          <t>KALMAR LÄN</t>
        </is>
      </c>
      <c r="E1067" t="inlineStr">
        <is>
          <t>VIMMERBY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31377-2023</t>
        </is>
      </c>
      <c r="B1068" s="1" t="n">
        <v>45114</v>
      </c>
      <c r="C1068" s="1" t="n">
        <v>45338</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31382-2023</t>
        </is>
      </c>
      <c r="B1069" s="1" t="n">
        <v>45114</v>
      </c>
      <c r="C1069" s="1" t="n">
        <v>45338</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31405-2023</t>
        </is>
      </c>
      <c r="B1070" s="1" t="n">
        <v>45114</v>
      </c>
      <c r="C1070" s="1" t="n">
        <v>45338</v>
      </c>
      <c r="D1070" t="inlineStr">
        <is>
          <t>KALMAR LÄN</t>
        </is>
      </c>
      <c r="E1070" t="inlineStr">
        <is>
          <t>VIMMERBY</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31336-2023</t>
        </is>
      </c>
      <c r="B1071" s="1" t="n">
        <v>45114</v>
      </c>
      <c r="C1071" s="1" t="n">
        <v>45338</v>
      </c>
      <c r="D1071" t="inlineStr">
        <is>
          <t>KALMAR LÄN</t>
        </is>
      </c>
      <c r="E1071" t="inlineStr">
        <is>
          <t>VIMMERBY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31355-2023</t>
        </is>
      </c>
      <c r="B1072" s="1" t="n">
        <v>45114</v>
      </c>
      <c r="C1072" s="1" t="n">
        <v>45338</v>
      </c>
      <c r="D1072" t="inlineStr">
        <is>
          <t>KALMAR LÄN</t>
        </is>
      </c>
      <c r="E1072" t="inlineStr">
        <is>
          <t>VIMMERBY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31390-2023</t>
        </is>
      </c>
      <c r="B1073" s="1" t="n">
        <v>45114</v>
      </c>
      <c r="C1073" s="1" t="n">
        <v>45338</v>
      </c>
      <c r="D1073" t="inlineStr">
        <is>
          <t>KALMAR LÄN</t>
        </is>
      </c>
      <c r="E1073" t="inlineStr">
        <is>
          <t>VIMMERBY</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31408-2023</t>
        </is>
      </c>
      <c r="B1074" s="1" t="n">
        <v>45114</v>
      </c>
      <c r="C1074" s="1" t="n">
        <v>45338</v>
      </c>
      <c r="D1074" t="inlineStr">
        <is>
          <t>KALMAR LÄN</t>
        </is>
      </c>
      <c r="E1074" t="inlineStr">
        <is>
          <t>VIMMERBY</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31682-2023</t>
        </is>
      </c>
      <c r="B1075" s="1" t="n">
        <v>45117</v>
      </c>
      <c r="C1075" s="1" t="n">
        <v>45338</v>
      </c>
      <c r="D1075" t="inlineStr">
        <is>
          <t>KALMAR LÄN</t>
        </is>
      </c>
      <c r="E1075" t="inlineStr">
        <is>
          <t>VIMMERBY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32633-2023</t>
        </is>
      </c>
      <c r="B1076" s="1" t="n">
        <v>45121</v>
      </c>
      <c r="C1076" s="1" t="n">
        <v>45338</v>
      </c>
      <c r="D1076" t="inlineStr">
        <is>
          <t>KALMAR LÄN</t>
        </is>
      </c>
      <c r="E1076" t="inlineStr">
        <is>
          <t>VIMMERBY</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32651-2023</t>
        </is>
      </c>
      <c r="B1077" s="1" t="n">
        <v>45121</v>
      </c>
      <c r="C1077" s="1" t="n">
        <v>45338</v>
      </c>
      <c r="D1077" t="inlineStr">
        <is>
          <t>KALMAR LÄN</t>
        </is>
      </c>
      <c r="E1077" t="inlineStr">
        <is>
          <t>VIMMERBY</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32655-2023</t>
        </is>
      </c>
      <c r="B1078" s="1" t="n">
        <v>45121</v>
      </c>
      <c r="C1078" s="1" t="n">
        <v>45338</v>
      </c>
      <c r="D1078" t="inlineStr">
        <is>
          <t>KALMAR LÄN</t>
        </is>
      </c>
      <c r="E1078" t="inlineStr">
        <is>
          <t>VIMMERBY</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32669-2023</t>
        </is>
      </c>
      <c r="B1079" s="1" t="n">
        <v>45121</v>
      </c>
      <c r="C1079" s="1" t="n">
        <v>45338</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32614-2023</t>
        </is>
      </c>
      <c r="B1080" s="1" t="n">
        <v>45121</v>
      </c>
      <c r="C1080" s="1" t="n">
        <v>45338</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32642-2023</t>
        </is>
      </c>
      <c r="B1081" s="1" t="n">
        <v>45121</v>
      </c>
      <c r="C1081" s="1" t="n">
        <v>45338</v>
      </c>
      <c r="D1081" t="inlineStr">
        <is>
          <t>KALMAR LÄN</t>
        </is>
      </c>
      <c r="E1081" t="inlineStr">
        <is>
          <t>VIMMERBY</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32639-2023</t>
        </is>
      </c>
      <c r="B1082" s="1" t="n">
        <v>45121</v>
      </c>
      <c r="C1082" s="1" t="n">
        <v>45338</v>
      </c>
      <c r="D1082" t="inlineStr">
        <is>
          <t>KALMAR LÄN</t>
        </is>
      </c>
      <c r="E1082" t="inlineStr">
        <is>
          <t>VIMMERBY</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32645-2023</t>
        </is>
      </c>
      <c r="B1083" s="1" t="n">
        <v>45121</v>
      </c>
      <c r="C1083" s="1" t="n">
        <v>45338</v>
      </c>
      <c r="D1083" t="inlineStr">
        <is>
          <t>KALMAR LÄN</t>
        </is>
      </c>
      <c r="E1083" t="inlineStr">
        <is>
          <t>VIMMERBY</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32865-2023</t>
        </is>
      </c>
      <c r="B1084" s="1" t="n">
        <v>45124</v>
      </c>
      <c r="C1084" s="1" t="n">
        <v>45338</v>
      </c>
      <c r="D1084" t="inlineStr">
        <is>
          <t>KALMAR LÄN</t>
        </is>
      </c>
      <c r="E1084" t="inlineStr">
        <is>
          <t>VIMMERBY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32984-2023</t>
        </is>
      </c>
      <c r="B1085" s="1" t="n">
        <v>45125</v>
      </c>
      <c r="C1085" s="1" t="n">
        <v>45338</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33236-2023</t>
        </is>
      </c>
      <c r="B1086" s="1" t="n">
        <v>45127</v>
      </c>
      <c r="C1086" s="1" t="n">
        <v>45338</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33340-2023</t>
        </is>
      </c>
      <c r="B1087" s="1" t="n">
        <v>45128</v>
      </c>
      <c r="C1087" s="1" t="n">
        <v>45338</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33383-2023</t>
        </is>
      </c>
      <c r="B1088" s="1" t="n">
        <v>45128</v>
      </c>
      <c r="C1088" s="1" t="n">
        <v>45338</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33380-2023</t>
        </is>
      </c>
      <c r="B1089" s="1" t="n">
        <v>45128</v>
      </c>
      <c r="C1089" s="1" t="n">
        <v>45338</v>
      </c>
      <c r="D1089" t="inlineStr">
        <is>
          <t>KALMAR LÄN</t>
        </is>
      </c>
      <c r="E1089" t="inlineStr">
        <is>
          <t>VIMMERBY</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33417-2023</t>
        </is>
      </c>
      <c r="B1090" s="1" t="n">
        <v>45128</v>
      </c>
      <c r="C1090" s="1" t="n">
        <v>45338</v>
      </c>
      <c r="D1090" t="inlineStr">
        <is>
          <t>KALMAR LÄN</t>
        </is>
      </c>
      <c r="E1090" t="inlineStr">
        <is>
          <t>VIMMERBY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33425-2023</t>
        </is>
      </c>
      <c r="B1091" s="1" t="n">
        <v>45129</v>
      </c>
      <c r="C1091" s="1" t="n">
        <v>45338</v>
      </c>
      <c r="D1091" t="inlineStr">
        <is>
          <t>KALMAR LÄN</t>
        </is>
      </c>
      <c r="E1091" t="inlineStr">
        <is>
          <t>VIMMERBY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33424-2023</t>
        </is>
      </c>
      <c r="B1092" s="1" t="n">
        <v>45129</v>
      </c>
      <c r="C1092" s="1" t="n">
        <v>45338</v>
      </c>
      <c r="D1092" t="inlineStr">
        <is>
          <t>KALMAR LÄN</t>
        </is>
      </c>
      <c r="E1092" t="inlineStr">
        <is>
          <t>VIMMERBY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33649-2023</t>
        </is>
      </c>
      <c r="B1093" s="1" t="n">
        <v>45132</v>
      </c>
      <c r="C1093" s="1" t="n">
        <v>45338</v>
      </c>
      <c r="D1093" t="inlineStr">
        <is>
          <t>KALMAR LÄN</t>
        </is>
      </c>
      <c r="E1093" t="inlineStr">
        <is>
          <t>VIMMERBY</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34205-2023</t>
        </is>
      </c>
      <c r="B1094" s="1" t="n">
        <v>45138</v>
      </c>
      <c r="C1094" s="1" t="n">
        <v>45338</v>
      </c>
      <c r="D1094" t="inlineStr">
        <is>
          <t>KALMAR LÄN</t>
        </is>
      </c>
      <c r="E1094" t="inlineStr">
        <is>
          <t>VIMMERBY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34300-2023</t>
        </is>
      </c>
      <c r="B1095" s="1" t="n">
        <v>45138</v>
      </c>
      <c r="C1095" s="1" t="n">
        <v>45338</v>
      </c>
      <c r="D1095" t="inlineStr">
        <is>
          <t>KALMAR LÄN</t>
        </is>
      </c>
      <c r="E1095" t="inlineStr">
        <is>
          <t>VIMMERBY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34956-2023</t>
        </is>
      </c>
      <c r="B1096" s="1" t="n">
        <v>45142</v>
      </c>
      <c r="C1096" s="1" t="n">
        <v>45338</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35190-2023</t>
        </is>
      </c>
      <c r="B1097" s="1" t="n">
        <v>45145</v>
      </c>
      <c r="C1097" s="1" t="n">
        <v>45338</v>
      </c>
      <c r="D1097" t="inlineStr">
        <is>
          <t>KALMAR LÄN</t>
        </is>
      </c>
      <c r="E1097" t="inlineStr">
        <is>
          <t>VIMMERBY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35198-2023</t>
        </is>
      </c>
      <c r="B1098" s="1" t="n">
        <v>45145</v>
      </c>
      <c r="C1098" s="1" t="n">
        <v>45338</v>
      </c>
      <c r="D1098" t="inlineStr">
        <is>
          <t>KALMAR LÄN</t>
        </is>
      </c>
      <c r="E1098" t="inlineStr">
        <is>
          <t>VIMMERBY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35372-2023</t>
        </is>
      </c>
      <c r="B1099" s="1" t="n">
        <v>45146</v>
      </c>
      <c r="C1099" s="1" t="n">
        <v>45338</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35670-2023</t>
        </is>
      </c>
      <c r="B1100" s="1" t="n">
        <v>45147</v>
      </c>
      <c r="C1100" s="1" t="n">
        <v>45338</v>
      </c>
      <c r="D1100" t="inlineStr">
        <is>
          <t>KALMAR LÄN</t>
        </is>
      </c>
      <c r="E1100" t="inlineStr">
        <is>
          <t>VIMMERBY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35678-2023</t>
        </is>
      </c>
      <c r="B1101" s="1" t="n">
        <v>45147</v>
      </c>
      <c r="C1101" s="1" t="n">
        <v>45338</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35710-2023</t>
        </is>
      </c>
      <c r="B1102" s="1" t="n">
        <v>45147</v>
      </c>
      <c r="C1102" s="1" t="n">
        <v>45338</v>
      </c>
      <c r="D1102" t="inlineStr">
        <is>
          <t>KALMAR LÄN</t>
        </is>
      </c>
      <c r="E1102" t="inlineStr">
        <is>
          <t>VIMMERBY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35671-2023</t>
        </is>
      </c>
      <c r="B1103" s="1" t="n">
        <v>45147</v>
      </c>
      <c r="C1103" s="1" t="n">
        <v>45338</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35711-2023</t>
        </is>
      </c>
      <c r="B1104" s="1" t="n">
        <v>45147</v>
      </c>
      <c r="C1104" s="1" t="n">
        <v>45338</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35672-2023</t>
        </is>
      </c>
      <c r="B1105" s="1" t="n">
        <v>45147</v>
      </c>
      <c r="C1105" s="1" t="n">
        <v>45338</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35713-2023</t>
        </is>
      </c>
      <c r="B1106" s="1" t="n">
        <v>45147</v>
      </c>
      <c r="C1106" s="1" t="n">
        <v>45338</v>
      </c>
      <c r="D1106" t="inlineStr">
        <is>
          <t>KALMAR LÄN</t>
        </is>
      </c>
      <c r="E1106" t="inlineStr">
        <is>
          <t>VIMMERBY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35839-2023</t>
        </is>
      </c>
      <c r="B1107" s="1" t="n">
        <v>45148</v>
      </c>
      <c r="C1107" s="1" t="n">
        <v>45338</v>
      </c>
      <c r="D1107" t="inlineStr">
        <is>
          <t>KALMAR LÄN</t>
        </is>
      </c>
      <c r="E1107" t="inlineStr">
        <is>
          <t>VIMMERBY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35846-2023</t>
        </is>
      </c>
      <c r="B1108" s="1" t="n">
        <v>45148</v>
      </c>
      <c r="C1108" s="1" t="n">
        <v>45338</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35913-2023</t>
        </is>
      </c>
      <c r="B1109" s="1" t="n">
        <v>45148</v>
      </c>
      <c r="C1109" s="1" t="n">
        <v>45338</v>
      </c>
      <c r="D1109" t="inlineStr">
        <is>
          <t>KALMAR LÄN</t>
        </is>
      </c>
      <c r="E1109" t="inlineStr">
        <is>
          <t>VIMMERBY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36155-2023</t>
        </is>
      </c>
      <c r="B1110" s="1" t="n">
        <v>45149</v>
      </c>
      <c r="C1110" s="1" t="n">
        <v>45338</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36385-2023</t>
        </is>
      </c>
      <c r="B1111" s="1" t="n">
        <v>45152</v>
      </c>
      <c r="C1111" s="1" t="n">
        <v>45338</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36526-2023</t>
        </is>
      </c>
      <c r="B1112" s="1" t="n">
        <v>45153</v>
      </c>
      <c r="C1112" s="1" t="n">
        <v>45338</v>
      </c>
      <c r="D1112" t="inlineStr">
        <is>
          <t>KALMAR LÄN</t>
        </is>
      </c>
      <c r="E1112" t="inlineStr">
        <is>
          <t>VIMMERBY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36843-2023</t>
        </is>
      </c>
      <c r="B1113" s="1" t="n">
        <v>45154</v>
      </c>
      <c r="C1113" s="1" t="n">
        <v>45338</v>
      </c>
      <c r="D1113" t="inlineStr">
        <is>
          <t>KALMAR LÄN</t>
        </is>
      </c>
      <c r="E1113" t="inlineStr">
        <is>
          <t>VIMMERBY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37373-2023</t>
        </is>
      </c>
      <c r="B1114" s="1" t="n">
        <v>45156</v>
      </c>
      <c r="C1114" s="1" t="n">
        <v>45338</v>
      </c>
      <c r="D1114" t="inlineStr">
        <is>
          <t>KALMAR LÄN</t>
        </is>
      </c>
      <c r="E1114" t="inlineStr">
        <is>
          <t>VIMMERBY</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38254-2023</t>
        </is>
      </c>
      <c r="B1115" s="1" t="n">
        <v>45160</v>
      </c>
      <c r="C1115" s="1" t="n">
        <v>45338</v>
      </c>
      <c r="D1115" t="inlineStr">
        <is>
          <t>KALMAR LÄN</t>
        </is>
      </c>
      <c r="E1115" t="inlineStr">
        <is>
          <t>VIMMERBY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38261-2023</t>
        </is>
      </c>
      <c r="B1116" s="1" t="n">
        <v>45160</v>
      </c>
      <c r="C1116" s="1" t="n">
        <v>45338</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38274-2023</t>
        </is>
      </c>
      <c r="B1117" s="1" t="n">
        <v>45161</v>
      </c>
      <c r="C1117" s="1" t="n">
        <v>45338</v>
      </c>
      <c r="D1117" t="inlineStr">
        <is>
          <t>KALMAR LÄN</t>
        </is>
      </c>
      <c r="E1117" t="inlineStr">
        <is>
          <t>VIMMERBY</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38969-2023</t>
        </is>
      </c>
      <c r="B1118" s="1" t="n">
        <v>45163</v>
      </c>
      <c r="C1118" s="1" t="n">
        <v>45338</v>
      </c>
      <c r="D1118" t="inlineStr">
        <is>
          <t>KALMAR LÄN</t>
        </is>
      </c>
      <c r="E1118" t="inlineStr">
        <is>
          <t>VIMMERBY</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38993-2023</t>
        </is>
      </c>
      <c r="B1119" s="1" t="n">
        <v>45163</v>
      </c>
      <c r="C1119" s="1" t="n">
        <v>45338</v>
      </c>
      <c r="D1119" t="inlineStr">
        <is>
          <t>KALMAR LÄN</t>
        </is>
      </c>
      <c r="E1119" t="inlineStr">
        <is>
          <t>VIMMERBY</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38851-2023</t>
        </is>
      </c>
      <c r="B1120" s="1" t="n">
        <v>45163</v>
      </c>
      <c r="C1120" s="1" t="n">
        <v>45338</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38995-2023</t>
        </is>
      </c>
      <c r="B1121" s="1" t="n">
        <v>45163</v>
      </c>
      <c r="C1121" s="1" t="n">
        <v>45338</v>
      </c>
      <c r="D1121" t="inlineStr">
        <is>
          <t>KALMAR LÄN</t>
        </is>
      </c>
      <c r="E1121" t="inlineStr">
        <is>
          <t>VIMMERBY</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38992-2023</t>
        </is>
      </c>
      <c r="B1122" s="1" t="n">
        <v>45163</v>
      </c>
      <c r="C1122" s="1" t="n">
        <v>45338</v>
      </c>
      <c r="D1122" t="inlineStr">
        <is>
          <t>KALMAR LÄN</t>
        </is>
      </c>
      <c r="E1122" t="inlineStr">
        <is>
          <t>VIMMERBY</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38779-2023</t>
        </is>
      </c>
      <c r="B1123" s="1" t="n">
        <v>45163</v>
      </c>
      <c r="C1123" s="1" t="n">
        <v>45338</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38757-2023</t>
        </is>
      </c>
      <c r="B1124" s="1" t="n">
        <v>45163</v>
      </c>
      <c r="C1124" s="1" t="n">
        <v>45338</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38799-2023</t>
        </is>
      </c>
      <c r="B1125" s="1" t="n">
        <v>45163</v>
      </c>
      <c r="C1125" s="1" t="n">
        <v>45338</v>
      </c>
      <c r="D1125" t="inlineStr">
        <is>
          <t>KALMAR LÄN</t>
        </is>
      </c>
      <c r="E1125" t="inlineStr">
        <is>
          <t>VIMMERBY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38803-2023</t>
        </is>
      </c>
      <c r="B1126" s="1" t="n">
        <v>45163</v>
      </c>
      <c r="C1126" s="1" t="n">
        <v>45338</v>
      </c>
      <c r="D1126" t="inlineStr">
        <is>
          <t>KALMAR LÄN</t>
        </is>
      </c>
      <c r="E1126" t="inlineStr">
        <is>
          <t>VIMMERBY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39129-2023</t>
        </is>
      </c>
      <c r="B1127" s="1" t="n">
        <v>45165</v>
      </c>
      <c r="C1127" s="1" t="n">
        <v>45338</v>
      </c>
      <c r="D1127" t="inlineStr">
        <is>
          <t>KALMAR LÄN</t>
        </is>
      </c>
      <c r="E1127" t="inlineStr">
        <is>
          <t>VIMMERBY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39401-2023</t>
        </is>
      </c>
      <c r="B1128" s="1" t="n">
        <v>45166</v>
      </c>
      <c r="C1128" s="1" t="n">
        <v>45338</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40079-2023</t>
        </is>
      </c>
      <c r="B1129" s="1" t="n">
        <v>45168</v>
      </c>
      <c r="C1129" s="1" t="n">
        <v>45338</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40083-2023</t>
        </is>
      </c>
      <c r="B1130" s="1" t="n">
        <v>45168</v>
      </c>
      <c r="C1130" s="1" t="n">
        <v>45338</v>
      </c>
      <c r="D1130" t="inlineStr">
        <is>
          <t>KALMAR LÄN</t>
        </is>
      </c>
      <c r="E1130" t="inlineStr">
        <is>
          <t>VIMMERBY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39912-2023</t>
        </is>
      </c>
      <c r="B1131" s="1" t="n">
        <v>45168</v>
      </c>
      <c r="C1131" s="1" t="n">
        <v>45338</v>
      </c>
      <c r="D1131" t="inlineStr">
        <is>
          <t>KALMAR LÄN</t>
        </is>
      </c>
      <c r="E1131" t="inlineStr">
        <is>
          <t>VIMMERBY</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40084-2023</t>
        </is>
      </c>
      <c r="B1132" s="1" t="n">
        <v>45168</v>
      </c>
      <c r="C1132" s="1" t="n">
        <v>45338</v>
      </c>
      <c r="D1132" t="inlineStr">
        <is>
          <t>KALMAR LÄN</t>
        </is>
      </c>
      <c r="E1132" t="inlineStr">
        <is>
          <t>VIMMERBY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40147-2023</t>
        </is>
      </c>
      <c r="B1133" s="1" t="n">
        <v>45169</v>
      </c>
      <c r="C1133" s="1" t="n">
        <v>45338</v>
      </c>
      <c r="D1133" t="inlineStr">
        <is>
          <t>KALMAR LÄN</t>
        </is>
      </c>
      <c r="E1133" t="inlineStr">
        <is>
          <t>VIMMERBY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40151-2023</t>
        </is>
      </c>
      <c r="B1134" s="1" t="n">
        <v>45169</v>
      </c>
      <c r="C1134" s="1" t="n">
        <v>45338</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40380-2023</t>
        </is>
      </c>
      <c r="B1135" s="1" t="n">
        <v>45169</v>
      </c>
      <c r="C1135" s="1" t="n">
        <v>45338</v>
      </c>
      <c r="D1135" t="inlineStr">
        <is>
          <t>KALMAR LÄN</t>
        </is>
      </c>
      <c r="E1135" t="inlineStr">
        <is>
          <t>VIMMERBY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40472-2023</t>
        </is>
      </c>
      <c r="B1136" s="1" t="n">
        <v>45170</v>
      </c>
      <c r="C1136" s="1" t="n">
        <v>45338</v>
      </c>
      <c r="D1136" t="inlineStr">
        <is>
          <t>KALMAR LÄN</t>
        </is>
      </c>
      <c r="E1136" t="inlineStr">
        <is>
          <t>VIMMERBY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40477-2023</t>
        </is>
      </c>
      <c r="B1137" s="1" t="n">
        <v>45170</v>
      </c>
      <c r="C1137" s="1" t="n">
        <v>45338</v>
      </c>
      <c r="D1137" t="inlineStr">
        <is>
          <t>KALMAR LÄN</t>
        </is>
      </c>
      <c r="E1137" t="inlineStr">
        <is>
          <t>VIMMERBY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40665-2023</t>
        </is>
      </c>
      <c r="B1138" s="1" t="n">
        <v>45170</v>
      </c>
      <c r="C1138" s="1" t="n">
        <v>45338</v>
      </c>
      <c r="D1138" t="inlineStr">
        <is>
          <t>KALMAR LÄN</t>
        </is>
      </c>
      <c r="E1138" t="inlineStr">
        <is>
          <t>VIMMERBY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40828-2023</t>
        </is>
      </c>
      <c r="B1139" s="1" t="n">
        <v>45172</v>
      </c>
      <c r="C1139" s="1" t="n">
        <v>45338</v>
      </c>
      <c r="D1139" t="inlineStr">
        <is>
          <t>KALMAR LÄN</t>
        </is>
      </c>
      <c r="E1139" t="inlineStr">
        <is>
          <t>VIMMERBY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40823-2023</t>
        </is>
      </c>
      <c r="B1140" s="1" t="n">
        <v>45171</v>
      </c>
      <c r="C1140" s="1" t="n">
        <v>45338</v>
      </c>
      <c r="D1140" t="inlineStr">
        <is>
          <t>KALMAR LÄN</t>
        </is>
      </c>
      <c r="E1140" t="inlineStr">
        <is>
          <t>VIMMERBY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41084-2023</t>
        </is>
      </c>
      <c r="B1141" s="1" t="n">
        <v>45173</v>
      </c>
      <c r="C1141" s="1" t="n">
        <v>45338</v>
      </c>
      <c r="D1141" t="inlineStr">
        <is>
          <t>KALMAR LÄN</t>
        </is>
      </c>
      <c r="E1141" t="inlineStr">
        <is>
          <t>VIMMERBY</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41088-2023</t>
        </is>
      </c>
      <c r="B1142" s="1" t="n">
        <v>45173</v>
      </c>
      <c r="C1142" s="1" t="n">
        <v>45338</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41199-2023</t>
        </is>
      </c>
      <c r="B1143" s="1" t="n">
        <v>45174</v>
      </c>
      <c r="C1143" s="1" t="n">
        <v>45338</v>
      </c>
      <c r="D1143" t="inlineStr">
        <is>
          <t>KALMAR LÄN</t>
        </is>
      </c>
      <c r="E1143" t="inlineStr">
        <is>
          <t>VIMMERBY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41311-2023</t>
        </is>
      </c>
      <c r="B1144" s="1" t="n">
        <v>45174</v>
      </c>
      <c r="C1144" s="1" t="n">
        <v>45338</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41158-2023</t>
        </is>
      </c>
      <c r="B1145" s="1" t="n">
        <v>45174</v>
      </c>
      <c r="C1145" s="1" t="n">
        <v>45338</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41202-2023</t>
        </is>
      </c>
      <c r="B1146" s="1" t="n">
        <v>45174</v>
      </c>
      <c r="C1146" s="1" t="n">
        <v>45338</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41894-2023</t>
        </is>
      </c>
      <c r="B1147" s="1" t="n">
        <v>45176</v>
      </c>
      <c r="C1147" s="1" t="n">
        <v>45338</v>
      </c>
      <c r="D1147" t="inlineStr">
        <is>
          <t>KALMAR LÄN</t>
        </is>
      </c>
      <c r="E1147" t="inlineStr">
        <is>
          <t>VIMMERBY</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41896-2023</t>
        </is>
      </c>
      <c r="B1148" s="1" t="n">
        <v>45176</v>
      </c>
      <c r="C1148" s="1" t="n">
        <v>45338</v>
      </c>
      <c r="D1148" t="inlineStr">
        <is>
          <t>KALMAR LÄN</t>
        </is>
      </c>
      <c r="E1148" t="inlineStr">
        <is>
          <t>VIMMERBY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42241-2023</t>
        </is>
      </c>
      <c r="B1149" s="1" t="n">
        <v>45180</v>
      </c>
      <c r="C1149" s="1" t="n">
        <v>45338</v>
      </c>
      <c r="D1149" t="inlineStr">
        <is>
          <t>KALMAR LÄN</t>
        </is>
      </c>
      <c r="E1149" t="inlineStr">
        <is>
          <t>VIMMERBY</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42689-2023</t>
        </is>
      </c>
      <c r="B1150" s="1" t="n">
        <v>45181</v>
      </c>
      <c r="C1150" s="1" t="n">
        <v>45338</v>
      </c>
      <c r="D1150" t="inlineStr">
        <is>
          <t>KALMAR LÄN</t>
        </is>
      </c>
      <c r="E1150" t="inlineStr">
        <is>
          <t>VIMMERBY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42644-2023</t>
        </is>
      </c>
      <c r="B1151" s="1" t="n">
        <v>45181</v>
      </c>
      <c r="C1151" s="1" t="n">
        <v>45338</v>
      </c>
      <c r="D1151" t="inlineStr">
        <is>
          <t>KALMAR LÄN</t>
        </is>
      </c>
      <c r="E1151" t="inlineStr">
        <is>
          <t>VIMMERBY</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43068-2023</t>
        </is>
      </c>
      <c r="B1152" s="1" t="n">
        <v>45182</v>
      </c>
      <c r="C1152" s="1" t="n">
        <v>45338</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43705-2023</t>
        </is>
      </c>
      <c r="B1153" s="1" t="n">
        <v>45187</v>
      </c>
      <c r="C1153" s="1" t="n">
        <v>45338</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43853-2023</t>
        </is>
      </c>
      <c r="B1154" s="1" t="n">
        <v>45187</v>
      </c>
      <c r="C1154" s="1" t="n">
        <v>45338</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43706-2023</t>
        </is>
      </c>
      <c r="B1155" s="1" t="n">
        <v>45187</v>
      </c>
      <c r="C1155" s="1" t="n">
        <v>45338</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43774-2023</t>
        </is>
      </c>
      <c r="B1156" s="1" t="n">
        <v>45187</v>
      </c>
      <c r="C1156" s="1" t="n">
        <v>45338</v>
      </c>
      <c r="D1156" t="inlineStr">
        <is>
          <t>KALMAR LÄN</t>
        </is>
      </c>
      <c r="E1156" t="inlineStr">
        <is>
          <t>VIMMERBY</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44660-2023</t>
        </is>
      </c>
      <c r="B1157" s="1" t="n">
        <v>45189</v>
      </c>
      <c r="C1157" s="1" t="n">
        <v>45338</v>
      </c>
      <c r="D1157" t="inlineStr">
        <is>
          <t>KALMAR LÄN</t>
        </is>
      </c>
      <c r="E1157" t="inlineStr">
        <is>
          <t>VIMMERBY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44423-2023</t>
        </is>
      </c>
      <c r="B1158" s="1" t="n">
        <v>45189</v>
      </c>
      <c r="C1158" s="1" t="n">
        <v>45338</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44833-2023</t>
        </is>
      </c>
      <c r="B1159" s="1" t="n">
        <v>45190</v>
      </c>
      <c r="C1159" s="1" t="n">
        <v>45338</v>
      </c>
      <c r="D1159" t="inlineStr">
        <is>
          <t>KALMAR LÄN</t>
        </is>
      </c>
      <c r="E1159" t="inlineStr">
        <is>
          <t>VIMMERBY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44962-2023</t>
        </is>
      </c>
      <c r="B1160" s="1" t="n">
        <v>45190</v>
      </c>
      <c r="C1160" s="1" t="n">
        <v>45338</v>
      </c>
      <c r="D1160" t="inlineStr">
        <is>
          <t>KALMAR LÄN</t>
        </is>
      </c>
      <c r="E1160" t="inlineStr">
        <is>
          <t>VIMMERBY</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44887-2023</t>
        </is>
      </c>
      <c r="B1161" s="1" t="n">
        <v>45190</v>
      </c>
      <c r="C1161" s="1" t="n">
        <v>45338</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44884-2023</t>
        </is>
      </c>
      <c r="B1162" s="1" t="n">
        <v>45190</v>
      </c>
      <c r="C1162" s="1" t="n">
        <v>45338</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45838-2023</t>
        </is>
      </c>
      <c r="B1163" s="1" t="n">
        <v>45195</v>
      </c>
      <c r="C1163" s="1" t="n">
        <v>45338</v>
      </c>
      <c r="D1163" t="inlineStr">
        <is>
          <t>KALMAR LÄN</t>
        </is>
      </c>
      <c r="E1163" t="inlineStr">
        <is>
          <t>VIMMERBY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45846-2023</t>
        </is>
      </c>
      <c r="B1164" s="1" t="n">
        <v>45195</v>
      </c>
      <c r="C1164" s="1" t="n">
        <v>45338</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45731-2023</t>
        </is>
      </c>
      <c r="B1165" s="1" t="n">
        <v>45195</v>
      </c>
      <c r="C1165" s="1" t="n">
        <v>45338</v>
      </c>
      <c r="D1165" t="inlineStr">
        <is>
          <t>KALMAR LÄN</t>
        </is>
      </c>
      <c r="E1165" t="inlineStr">
        <is>
          <t>VIMMERBY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45808-2023</t>
        </is>
      </c>
      <c r="B1166" s="1" t="n">
        <v>45195</v>
      </c>
      <c r="C1166" s="1" t="n">
        <v>45338</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45839-2023</t>
        </is>
      </c>
      <c r="B1167" s="1" t="n">
        <v>45195</v>
      </c>
      <c r="C1167" s="1" t="n">
        <v>45338</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46116-2023</t>
        </is>
      </c>
      <c r="B1168" s="1" t="n">
        <v>45196</v>
      </c>
      <c r="C1168" s="1" t="n">
        <v>45338</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46078-2023</t>
        </is>
      </c>
      <c r="B1169" s="1" t="n">
        <v>45196</v>
      </c>
      <c r="C1169" s="1" t="n">
        <v>45338</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46144-2023</t>
        </is>
      </c>
      <c r="B1170" s="1" t="n">
        <v>45196</v>
      </c>
      <c r="C1170" s="1" t="n">
        <v>45338</v>
      </c>
      <c r="D1170" t="inlineStr">
        <is>
          <t>KALMAR LÄN</t>
        </is>
      </c>
      <c r="E1170" t="inlineStr">
        <is>
          <t>VIMMERBY</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46697-2023</t>
        </is>
      </c>
      <c r="B1171" s="1" t="n">
        <v>45198</v>
      </c>
      <c r="C1171" s="1" t="n">
        <v>45338</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46695-2023</t>
        </is>
      </c>
      <c r="B1172" s="1" t="n">
        <v>45198</v>
      </c>
      <c r="C1172" s="1" t="n">
        <v>45338</v>
      </c>
      <c r="D1172" t="inlineStr">
        <is>
          <t>KALMAR LÄN</t>
        </is>
      </c>
      <c r="E1172" t="inlineStr">
        <is>
          <t>VIMMERBY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46916-2023</t>
        </is>
      </c>
      <c r="B1173" s="1" t="n">
        <v>45201</v>
      </c>
      <c r="C1173" s="1" t="n">
        <v>45338</v>
      </c>
      <c r="D1173" t="inlineStr">
        <is>
          <t>KALMAR LÄN</t>
        </is>
      </c>
      <c r="E1173" t="inlineStr">
        <is>
          <t>VIMMERBY</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46921-2023</t>
        </is>
      </c>
      <c r="B1174" s="1" t="n">
        <v>45201</v>
      </c>
      <c r="C1174" s="1" t="n">
        <v>45338</v>
      </c>
      <c r="D1174" t="inlineStr">
        <is>
          <t>KALMAR LÄN</t>
        </is>
      </c>
      <c r="E1174" t="inlineStr">
        <is>
          <t>VIMMERBY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46941-2023</t>
        </is>
      </c>
      <c r="B1175" s="1" t="n">
        <v>45201</v>
      </c>
      <c r="C1175" s="1" t="n">
        <v>45338</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46979-2023</t>
        </is>
      </c>
      <c r="B1176" s="1" t="n">
        <v>45201</v>
      </c>
      <c r="C1176" s="1" t="n">
        <v>45338</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47084-2023</t>
        </is>
      </c>
      <c r="B1177" s="1" t="n">
        <v>45201</v>
      </c>
      <c r="C1177" s="1" t="n">
        <v>45338</v>
      </c>
      <c r="D1177" t="inlineStr">
        <is>
          <t>KALMAR LÄN</t>
        </is>
      </c>
      <c r="E1177" t="inlineStr">
        <is>
          <t>VIMMERBY</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47247-2023</t>
        </is>
      </c>
      <c r="B1178" s="1" t="n">
        <v>45202</v>
      </c>
      <c r="C1178" s="1" t="n">
        <v>45338</v>
      </c>
      <c r="D1178" t="inlineStr">
        <is>
          <t>KALMAR LÄN</t>
        </is>
      </c>
      <c r="E1178" t="inlineStr">
        <is>
          <t>VIMMERBY</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47256-2023</t>
        </is>
      </c>
      <c r="B1179" s="1" t="n">
        <v>45202</v>
      </c>
      <c r="C1179" s="1" t="n">
        <v>45338</v>
      </c>
      <c r="D1179" t="inlineStr">
        <is>
          <t>KALMAR LÄN</t>
        </is>
      </c>
      <c r="E1179" t="inlineStr">
        <is>
          <t>VIMMERBY</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47263-2023</t>
        </is>
      </c>
      <c r="B1180" s="1" t="n">
        <v>45202</v>
      </c>
      <c r="C1180" s="1" t="n">
        <v>45338</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47524-2023</t>
        </is>
      </c>
      <c r="B1181" s="1" t="n">
        <v>45203</v>
      </c>
      <c r="C1181" s="1" t="n">
        <v>45338</v>
      </c>
      <c r="D1181" t="inlineStr">
        <is>
          <t>KALMAR LÄN</t>
        </is>
      </c>
      <c r="E1181" t="inlineStr">
        <is>
          <t>VIMMERBY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47515-2023</t>
        </is>
      </c>
      <c r="B1182" s="1" t="n">
        <v>45203</v>
      </c>
      <c r="C1182" s="1" t="n">
        <v>45338</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47517-2023</t>
        </is>
      </c>
      <c r="B1183" s="1" t="n">
        <v>45203</v>
      </c>
      <c r="C1183" s="1" t="n">
        <v>45338</v>
      </c>
      <c r="D1183" t="inlineStr">
        <is>
          <t>KALMAR LÄN</t>
        </is>
      </c>
      <c r="E1183" t="inlineStr">
        <is>
          <t>VIMMERBY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47521-2023</t>
        </is>
      </c>
      <c r="B1184" s="1" t="n">
        <v>45203</v>
      </c>
      <c r="C1184" s="1" t="n">
        <v>45338</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48346-2023</t>
        </is>
      </c>
      <c r="B1185" s="1" t="n">
        <v>45205</v>
      </c>
      <c r="C1185" s="1" t="n">
        <v>45338</v>
      </c>
      <c r="D1185" t="inlineStr">
        <is>
          <t>KALMAR LÄN</t>
        </is>
      </c>
      <c r="E1185" t="inlineStr">
        <is>
          <t>VIMMERBY</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49382-2023</t>
        </is>
      </c>
      <c r="B1186" s="1" t="n">
        <v>45208</v>
      </c>
      <c r="C1186" s="1" t="n">
        <v>45338</v>
      </c>
      <c r="D1186" t="inlineStr">
        <is>
          <t>KALMAR LÄN</t>
        </is>
      </c>
      <c r="E1186" t="inlineStr">
        <is>
          <t>VIMMERBY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49261-2023</t>
        </is>
      </c>
      <c r="B1187" s="1" t="n">
        <v>45210</v>
      </c>
      <c r="C1187" s="1" t="n">
        <v>45338</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49254-2023</t>
        </is>
      </c>
      <c r="B1188" s="1" t="n">
        <v>45210</v>
      </c>
      <c r="C1188" s="1" t="n">
        <v>45338</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49246-2023</t>
        </is>
      </c>
      <c r="B1189" s="1" t="n">
        <v>45210</v>
      </c>
      <c r="C1189" s="1" t="n">
        <v>45338</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49408-2023</t>
        </is>
      </c>
      <c r="B1190" s="1" t="n">
        <v>45211</v>
      </c>
      <c r="C1190" s="1" t="n">
        <v>45338</v>
      </c>
      <c r="D1190" t="inlineStr">
        <is>
          <t>KALMAR LÄN</t>
        </is>
      </c>
      <c r="E1190" t="inlineStr">
        <is>
          <t>VIMMERBY</t>
        </is>
      </c>
      <c r="G1190" t="n">
        <v>13.1</v>
      </c>
      <c r="H1190" t="n">
        <v>0</v>
      </c>
      <c r="I1190" t="n">
        <v>0</v>
      </c>
      <c r="J1190" t="n">
        <v>0</v>
      </c>
      <c r="K1190" t="n">
        <v>0</v>
      </c>
      <c r="L1190" t="n">
        <v>0</v>
      </c>
      <c r="M1190" t="n">
        <v>0</v>
      </c>
      <c r="N1190" t="n">
        <v>0</v>
      </c>
      <c r="O1190" t="n">
        <v>0</v>
      </c>
      <c r="P1190" t="n">
        <v>0</v>
      </c>
      <c r="Q1190" t="n">
        <v>0</v>
      </c>
      <c r="R1190" s="2" t="inlineStr"/>
    </row>
    <row r="1191" ht="15" customHeight="1">
      <c r="A1191" t="inlineStr">
        <is>
          <t>A 49458-2023</t>
        </is>
      </c>
      <c r="B1191" s="1" t="n">
        <v>45211</v>
      </c>
      <c r="C1191" s="1" t="n">
        <v>45338</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49461-2023</t>
        </is>
      </c>
      <c r="B1192" s="1" t="n">
        <v>45211</v>
      </c>
      <c r="C1192" s="1" t="n">
        <v>45338</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49474-2023</t>
        </is>
      </c>
      <c r="B1193" s="1" t="n">
        <v>45211</v>
      </c>
      <c r="C1193" s="1" t="n">
        <v>45338</v>
      </c>
      <c r="D1193" t="inlineStr">
        <is>
          <t>KALMAR LÄN</t>
        </is>
      </c>
      <c r="E1193" t="inlineStr">
        <is>
          <t>VIMMERBY</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49488-2023</t>
        </is>
      </c>
      <c r="B1194" s="1" t="n">
        <v>45211</v>
      </c>
      <c r="C1194" s="1" t="n">
        <v>45338</v>
      </c>
      <c r="D1194" t="inlineStr">
        <is>
          <t>KALMAR LÄN</t>
        </is>
      </c>
      <c r="E1194" t="inlineStr">
        <is>
          <t>VIMMERBY</t>
        </is>
      </c>
      <c r="F1194" t="inlineStr">
        <is>
          <t>Sveaskog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49756-2023</t>
        </is>
      </c>
      <c r="B1195" s="1" t="n">
        <v>45212</v>
      </c>
      <c r="C1195" s="1" t="n">
        <v>45338</v>
      </c>
      <c r="D1195" t="inlineStr">
        <is>
          <t>KALMAR LÄN</t>
        </is>
      </c>
      <c r="E1195" t="inlineStr">
        <is>
          <t>VIMMERBY</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50087-2023</t>
        </is>
      </c>
      <c r="B1196" s="1" t="n">
        <v>45215</v>
      </c>
      <c r="C1196" s="1" t="n">
        <v>45338</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50088-2023</t>
        </is>
      </c>
      <c r="B1197" s="1" t="n">
        <v>45215</v>
      </c>
      <c r="C1197" s="1" t="n">
        <v>45338</v>
      </c>
      <c r="D1197" t="inlineStr">
        <is>
          <t>KALMAR LÄN</t>
        </is>
      </c>
      <c r="E1197" t="inlineStr">
        <is>
          <t>VIMMERBY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50093-2023</t>
        </is>
      </c>
      <c r="B1198" s="1" t="n">
        <v>45215</v>
      </c>
      <c r="C1198" s="1" t="n">
        <v>45338</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50091-2023</t>
        </is>
      </c>
      <c r="B1199" s="1" t="n">
        <v>45215</v>
      </c>
      <c r="C1199" s="1" t="n">
        <v>45338</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50085-2023</t>
        </is>
      </c>
      <c r="B1200" s="1" t="n">
        <v>45215</v>
      </c>
      <c r="C1200" s="1" t="n">
        <v>45338</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50648-2023</t>
        </is>
      </c>
      <c r="B1201" s="1" t="n">
        <v>45217</v>
      </c>
      <c r="C1201" s="1" t="n">
        <v>45338</v>
      </c>
      <c r="D1201" t="inlineStr">
        <is>
          <t>KALMAR LÄN</t>
        </is>
      </c>
      <c r="E1201" t="inlineStr">
        <is>
          <t>VIMMERBY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52371-2023</t>
        </is>
      </c>
      <c r="B1202" s="1" t="n">
        <v>45217</v>
      </c>
      <c r="C1202" s="1" t="n">
        <v>45338</v>
      </c>
      <c r="D1202" t="inlineStr">
        <is>
          <t>KALMAR LÄN</t>
        </is>
      </c>
      <c r="E1202" t="inlineStr">
        <is>
          <t>VIMMERBY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52257-2023</t>
        </is>
      </c>
      <c r="B1203" s="1" t="n">
        <v>45217</v>
      </c>
      <c r="C1203" s="1" t="n">
        <v>45338</v>
      </c>
      <c r="D1203" t="inlineStr">
        <is>
          <t>KALMAR LÄN</t>
        </is>
      </c>
      <c r="E1203" t="inlineStr">
        <is>
          <t>VIMMERBY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50934-2023</t>
        </is>
      </c>
      <c r="B1204" s="1" t="n">
        <v>45218</v>
      </c>
      <c r="C1204" s="1" t="n">
        <v>45338</v>
      </c>
      <c r="D1204" t="inlineStr">
        <is>
          <t>KALMAR LÄN</t>
        </is>
      </c>
      <c r="E1204" t="inlineStr">
        <is>
          <t>VIMMERBY</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51408-2023</t>
        </is>
      </c>
      <c r="B1205" s="1" t="n">
        <v>45219</v>
      </c>
      <c r="C1205" s="1" t="n">
        <v>45338</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51187-2023</t>
        </is>
      </c>
      <c r="B1206" s="1" t="n">
        <v>45219</v>
      </c>
      <c r="C1206" s="1" t="n">
        <v>45338</v>
      </c>
      <c r="D1206" t="inlineStr">
        <is>
          <t>KALMAR LÄN</t>
        </is>
      </c>
      <c r="E1206" t="inlineStr">
        <is>
          <t>VIMMERBY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51775-2023</t>
        </is>
      </c>
      <c r="B1207" s="1" t="n">
        <v>45222</v>
      </c>
      <c r="C1207" s="1" t="n">
        <v>45338</v>
      </c>
      <c r="D1207" t="inlineStr">
        <is>
          <t>KALMAR LÄN</t>
        </is>
      </c>
      <c r="E1207" t="inlineStr">
        <is>
          <t>VIMMERBY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51552-2023</t>
        </is>
      </c>
      <c r="B1208" s="1" t="n">
        <v>45222</v>
      </c>
      <c r="C1208" s="1" t="n">
        <v>45338</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52279-2023</t>
        </is>
      </c>
      <c r="B1209" s="1" t="n">
        <v>45224</v>
      </c>
      <c r="C1209" s="1" t="n">
        <v>45338</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52294-2023</t>
        </is>
      </c>
      <c r="B1210" s="1" t="n">
        <v>45224</v>
      </c>
      <c r="C1210" s="1" t="n">
        <v>45338</v>
      </c>
      <c r="D1210" t="inlineStr">
        <is>
          <t>KALMAR LÄN</t>
        </is>
      </c>
      <c r="E1210" t="inlineStr">
        <is>
          <t>VIMMERBY</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52327-2023</t>
        </is>
      </c>
      <c r="B1211" s="1" t="n">
        <v>45224</v>
      </c>
      <c r="C1211" s="1" t="n">
        <v>45338</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52208-2023</t>
        </is>
      </c>
      <c r="B1212" s="1" t="n">
        <v>45224</v>
      </c>
      <c r="C1212" s="1" t="n">
        <v>45338</v>
      </c>
      <c r="D1212" t="inlineStr">
        <is>
          <t>KALMAR LÄN</t>
        </is>
      </c>
      <c r="E1212" t="inlineStr">
        <is>
          <t>VIMMERBY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52324-2023</t>
        </is>
      </c>
      <c r="B1213" s="1" t="n">
        <v>45224</v>
      </c>
      <c r="C1213" s="1" t="n">
        <v>45338</v>
      </c>
      <c r="D1213" t="inlineStr">
        <is>
          <t>KALMAR LÄN</t>
        </is>
      </c>
      <c r="E1213" t="inlineStr">
        <is>
          <t>VIMMERBY</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52411-2023</t>
        </is>
      </c>
      <c r="B1214" s="1" t="n">
        <v>45225</v>
      </c>
      <c r="C1214" s="1" t="n">
        <v>45338</v>
      </c>
      <c r="D1214" t="inlineStr">
        <is>
          <t>KALMAR LÄN</t>
        </is>
      </c>
      <c r="E1214" t="inlineStr">
        <is>
          <t>VIMMERBY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52588-2023</t>
        </is>
      </c>
      <c r="B1215" s="1" t="n">
        <v>45225</v>
      </c>
      <c r="C1215" s="1" t="n">
        <v>45338</v>
      </c>
      <c r="D1215" t="inlineStr">
        <is>
          <t>KALMAR LÄN</t>
        </is>
      </c>
      <c r="E1215" t="inlineStr">
        <is>
          <t>VIMMERBY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52616-2023</t>
        </is>
      </c>
      <c r="B1216" s="1" t="n">
        <v>45225</v>
      </c>
      <c r="C1216" s="1" t="n">
        <v>45338</v>
      </c>
      <c r="D1216" t="inlineStr">
        <is>
          <t>KALMAR LÄN</t>
        </is>
      </c>
      <c r="E1216" t="inlineStr">
        <is>
          <t>VIMMERBY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52623-2023</t>
        </is>
      </c>
      <c r="B1217" s="1" t="n">
        <v>45225</v>
      </c>
      <c r="C1217" s="1" t="n">
        <v>45338</v>
      </c>
      <c r="D1217" t="inlineStr">
        <is>
          <t>KALMAR LÄN</t>
        </is>
      </c>
      <c r="E1217" t="inlineStr">
        <is>
          <t>VIMMERBY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52703-2023</t>
        </is>
      </c>
      <c r="B1218" s="1" t="n">
        <v>45225</v>
      </c>
      <c r="C1218" s="1" t="n">
        <v>45338</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53220-2023</t>
        </is>
      </c>
      <c r="B1219" s="1" t="n">
        <v>45229</v>
      </c>
      <c r="C1219" s="1" t="n">
        <v>45338</v>
      </c>
      <c r="D1219" t="inlineStr">
        <is>
          <t>KALMAR LÄN</t>
        </is>
      </c>
      <c r="E1219" t="inlineStr">
        <is>
          <t>VIMMERBY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54084-2023</t>
        </is>
      </c>
      <c r="B1220" s="1" t="n">
        <v>45232</v>
      </c>
      <c r="C1220" s="1" t="n">
        <v>45338</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54086-2023</t>
        </is>
      </c>
      <c r="B1221" s="1" t="n">
        <v>45232</v>
      </c>
      <c r="C1221" s="1" t="n">
        <v>45338</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55716-2023</t>
        </is>
      </c>
      <c r="B1222" s="1" t="n">
        <v>45232</v>
      </c>
      <c r="C1222" s="1" t="n">
        <v>45338</v>
      </c>
      <c r="D1222" t="inlineStr">
        <is>
          <t>KALMAR LÄN</t>
        </is>
      </c>
      <c r="E1222" t="inlineStr">
        <is>
          <t>VIMMERBY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54785-2023</t>
        </is>
      </c>
      <c r="B1223" s="1" t="n">
        <v>45236</v>
      </c>
      <c r="C1223" s="1" t="n">
        <v>45338</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54787-2023</t>
        </is>
      </c>
      <c r="B1224" s="1" t="n">
        <v>45236</v>
      </c>
      <c r="C1224" s="1" t="n">
        <v>45338</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55236-2023</t>
        </is>
      </c>
      <c r="B1225" s="1" t="n">
        <v>45237</v>
      </c>
      <c r="C1225" s="1" t="n">
        <v>45338</v>
      </c>
      <c r="D1225" t="inlineStr">
        <is>
          <t>KALMAR LÄN</t>
        </is>
      </c>
      <c r="E1225" t="inlineStr">
        <is>
          <t>VIMMERBY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55245-2023</t>
        </is>
      </c>
      <c r="B1226" s="1" t="n">
        <v>45237</v>
      </c>
      <c r="C1226" s="1" t="n">
        <v>45338</v>
      </c>
      <c r="D1226" t="inlineStr">
        <is>
          <t>KALMAR LÄN</t>
        </is>
      </c>
      <c r="E1226" t="inlineStr">
        <is>
          <t>VIMMERBY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55279-2023</t>
        </is>
      </c>
      <c r="B1227" s="1" t="n">
        <v>45237</v>
      </c>
      <c r="C1227" s="1" t="n">
        <v>45338</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55457-2023</t>
        </is>
      </c>
      <c r="B1228" s="1" t="n">
        <v>45238</v>
      </c>
      <c r="C1228" s="1" t="n">
        <v>45338</v>
      </c>
      <c r="D1228" t="inlineStr">
        <is>
          <t>KALMAR LÄN</t>
        </is>
      </c>
      <c r="E1228" t="inlineStr">
        <is>
          <t>VIMMERBY</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55470-2023</t>
        </is>
      </c>
      <c r="B1229" s="1" t="n">
        <v>45238</v>
      </c>
      <c r="C1229" s="1" t="n">
        <v>45338</v>
      </c>
      <c r="D1229" t="inlineStr">
        <is>
          <t>KALMAR LÄN</t>
        </is>
      </c>
      <c r="E1229" t="inlineStr">
        <is>
          <t>VIMMERBY</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55436-2023</t>
        </is>
      </c>
      <c r="B1230" s="1" t="n">
        <v>45238</v>
      </c>
      <c r="C1230" s="1" t="n">
        <v>45338</v>
      </c>
      <c r="D1230" t="inlineStr">
        <is>
          <t>KALMAR LÄN</t>
        </is>
      </c>
      <c r="E1230" t="inlineStr">
        <is>
          <t>VIMMERBY</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55510-2023</t>
        </is>
      </c>
      <c r="B1231" s="1" t="n">
        <v>45238</v>
      </c>
      <c r="C1231" s="1" t="n">
        <v>45338</v>
      </c>
      <c r="D1231" t="inlineStr">
        <is>
          <t>KALMAR LÄN</t>
        </is>
      </c>
      <c r="E1231" t="inlineStr">
        <is>
          <t>VIMMERBY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55442-2023</t>
        </is>
      </c>
      <c r="B1232" s="1" t="n">
        <v>45238</v>
      </c>
      <c r="C1232" s="1" t="n">
        <v>45338</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56657-2023</t>
        </is>
      </c>
      <c r="B1233" s="1" t="n">
        <v>45243</v>
      </c>
      <c r="C1233" s="1" t="n">
        <v>45338</v>
      </c>
      <c r="D1233" t="inlineStr">
        <is>
          <t>KALMAR LÄN</t>
        </is>
      </c>
      <c r="E1233" t="inlineStr">
        <is>
          <t>VIMMERBY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56659-2023</t>
        </is>
      </c>
      <c r="B1234" s="1" t="n">
        <v>45243</v>
      </c>
      <c r="C1234" s="1" t="n">
        <v>45338</v>
      </c>
      <c r="D1234" t="inlineStr">
        <is>
          <t>KALMAR LÄN</t>
        </is>
      </c>
      <c r="E1234" t="inlineStr">
        <is>
          <t>VIMMERBY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57036-2023</t>
        </is>
      </c>
      <c r="B1235" s="1" t="n">
        <v>45244</v>
      </c>
      <c r="C1235" s="1" t="n">
        <v>45338</v>
      </c>
      <c r="D1235" t="inlineStr">
        <is>
          <t>KALMAR LÄN</t>
        </is>
      </c>
      <c r="E1235" t="inlineStr">
        <is>
          <t>VIMMERBY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57040-2023</t>
        </is>
      </c>
      <c r="B1236" s="1" t="n">
        <v>45244</v>
      </c>
      <c r="C1236" s="1" t="n">
        <v>45338</v>
      </c>
      <c r="D1236" t="inlineStr">
        <is>
          <t>KALMAR LÄN</t>
        </is>
      </c>
      <c r="E1236" t="inlineStr">
        <is>
          <t>VIMMERBY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57254-2023</t>
        </is>
      </c>
      <c r="B1237" s="1" t="n">
        <v>45245</v>
      </c>
      <c r="C1237" s="1" t="n">
        <v>45338</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57114-2023</t>
        </is>
      </c>
      <c r="B1238" s="1" t="n">
        <v>45245</v>
      </c>
      <c r="C1238" s="1" t="n">
        <v>45338</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57264-2023</t>
        </is>
      </c>
      <c r="B1239" s="1" t="n">
        <v>45245</v>
      </c>
      <c r="C1239" s="1" t="n">
        <v>45338</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57311-2023</t>
        </is>
      </c>
      <c r="B1240" s="1" t="n">
        <v>45245</v>
      </c>
      <c r="C1240" s="1" t="n">
        <v>45338</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57256-2023</t>
        </is>
      </c>
      <c r="B1241" s="1" t="n">
        <v>45245</v>
      </c>
      <c r="C1241" s="1" t="n">
        <v>45338</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57269-2023</t>
        </is>
      </c>
      <c r="B1242" s="1" t="n">
        <v>45245</v>
      </c>
      <c r="C1242" s="1" t="n">
        <v>45338</v>
      </c>
      <c r="D1242" t="inlineStr">
        <is>
          <t>KALMAR LÄN</t>
        </is>
      </c>
      <c r="E1242" t="inlineStr">
        <is>
          <t>VIMMERBY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57317-2023</t>
        </is>
      </c>
      <c r="B1243" s="1" t="n">
        <v>45245</v>
      </c>
      <c r="C1243" s="1" t="n">
        <v>45338</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57329-2023</t>
        </is>
      </c>
      <c r="B1244" s="1" t="n">
        <v>45245</v>
      </c>
      <c r="C1244" s="1" t="n">
        <v>45338</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58278-2023</t>
        </is>
      </c>
      <c r="B1245" s="1" t="n">
        <v>45250</v>
      </c>
      <c r="C1245" s="1" t="n">
        <v>45338</v>
      </c>
      <c r="D1245" t="inlineStr">
        <is>
          <t>KALMAR LÄN</t>
        </is>
      </c>
      <c r="E1245" t="inlineStr">
        <is>
          <t>VIMMERBY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59598-2023</t>
        </is>
      </c>
      <c r="B1246" s="1" t="n">
        <v>45254</v>
      </c>
      <c r="C1246" s="1" t="n">
        <v>45338</v>
      </c>
      <c r="D1246" t="inlineStr">
        <is>
          <t>KALMAR LÄN</t>
        </is>
      </c>
      <c r="E1246" t="inlineStr">
        <is>
          <t>VIMMERBY</t>
        </is>
      </c>
      <c r="F1246" t="inlineStr">
        <is>
          <t>Övriga Aktiebolag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59943-2023</t>
        </is>
      </c>
      <c r="B1247" s="1" t="n">
        <v>45257</v>
      </c>
      <c r="C1247" s="1" t="n">
        <v>45338</v>
      </c>
      <c r="D1247" t="inlineStr">
        <is>
          <t>KALMAR LÄN</t>
        </is>
      </c>
      <c r="E1247" t="inlineStr">
        <is>
          <t>VIMMERBY</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59955-2023</t>
        </is>
      </c>
      <c r="B1248" s="1" t="n">
        <v>45257</v>
      </c>
      <c r="C1248" s="1" t="n">
        <v>45338</v>
      </c>
      <c r="D1248" t="inlineStr">
        <is>
          <t>KALMAR LÄN</t>
        </is>
      </c>
      <c r="E1248" t="inlineStr">
        <is>
          <t>VIMMERBY</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60437-2023</t>
        </is>
      </c>
      <c r="B1249" s="1" t="n">
        <v>45259</v>
      </c>
      <c r="C1249" s="1" t="n">
        <v>45338</v>
      </c>
      <c r="D1249" t="inlineStr">
        <is>
          <t>KALMAR LÄN</t>
        </is>
      </c>
      <c r="E1249" t="inlineStr">
        <is>
          <t>VIMMERBY</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60438-2023</t>
        </is>
      </c>
      <c r="B1250" s="1" t="n">
        <v>45259</v>
      </c>
      <c r="C1250" s="1" t="n">
        <v>45338</v>
      </c>
      <c r="D1250" t="inlineStr">
        <is>
          <t>KALMAR LÄN</t>
        </is>
      </c>
      <c r="E1250" t="inlineStr">
        <is>
          <t>VIMMERBY</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60675-2023</t>
        </is>
      </c>
      <c r="B1251" s="1" t="n">
        <v>45260</v>
      </c>
      <c r="C1251" s="1" t="n">
        <v>45338</v>
      </c>
      <c r="D1251" t="inlineStr">
        <is>
          <t>KALMAR LÄN</t>
        </is>
      </c>
      <c r="E1251" t="inlineStr">
        <is>
          <t>VIMMERBY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60951-2023</t>
        </is>
      </c>
      <c r="B1252" s="1" t="n">
        <v>45261</v>
      </c>
      <c r="C1252" s="1" t="n">
        <v>45338</v>
      </c>
      <c r="D1252" t="inlineStr">
        <is>
          <t>KALMAR LÄN</t>
        </is>
      </c>
      <c r="E1252" t="inlineStr">
        <is>
          <t>VIMMERBY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61189-2023</t>
        </is>
      </c>
      <c r="B1253" s="1" t="n">
        <v>45264</v>
      </c>
      <c r="C1253" s="1" t="n">
        <v>45338</v>
      </c>
      <c r="D1253" t="inlineStr">
        <is>
          <t>KALMAR LÄN</t>
        </is>
      </c>
      <c r="E1253" t="inlineStr">
        <is>
          <t>VIMMERBY</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61221-2023</t>
        </is>
      </c>
      <c r="B1254" s="1" t="n">
        <v>45264</v>
      </c>
      <c r="C1254" s="1" t="n">
        <v>45338</v>
      </c>
      <c r="D1254" t="inlineStr">
        <is>
          <t>KALMAR LÄN</t>
        </is>
      </c>
      <c r="E1254" t="inlineStr">
        <is>
          <t>VIMMERBY</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61224-2023</t>
        </is>
      </c>
      <c r="B1255" s="1" t="n">
        <v>45264</v>
      </c>
      <c r="C1255" s="1" t="n">
        <v>45338</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61227-2023</t>
        </is>
      </c>
      <c r="B1256" s="1" t="n">
        <v>45264</v>
      </c>
      <c r="C1256" s="1" t="n">
        <v>45338</v>
      </c>
      <c r="D1256" t="inlineStr">
        <is>
          <t>KALMAR LÄN</t>
        </is>
      </c>
      <c r="E1256" t="inlineStr">
        <is>
          <t>VIMMERBY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61820-2023</t>
        </is>
      </c>
      <c r="B1257" s="1" t="n">
        <v>45266</v>
      </c>
      <c r="C1257" s="1" t="n">
        <v>45338</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61817-2023</t>
        </is>
      </c>
      <c r="B1258" s="1" t="n">
        <v>45266</v>
      </c>
      <c r="C1258" s="1" t="n">
        <v>45338</v>
      </c>
      <c r="D1258" t="inlineStr">
        <is>
          <t>KALMAR LÄN</t>
        </is>
      </c>
      <c r="E1258" t="inlineStr">
        <is>
          <t>VIMMERBY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61825-2023</t>
        </is>
      </c>
      <c r="B1259" s="1" t="n">
        <v>45266</v>
      </c>
      <c r="C1259" s="1" t="n">
        <v>45338</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62615-2023</t>
        </is>
      </c>
      <c r="B1260" s="1" t="n">
        <v>45271</v>
      </c>
      <c r="C1260" s="1" t="n">
        <v>45338</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62779-2023</t>
        </is>
      </c>
      <c r="B1261" s="1" t="n">
        <v>45271</v>
      </c>
      <c r="C1261" s="1" t="n">
        <v>45338</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62997-2023</t>
        </is>
      </c>
      <c r="B1262" s="1" t="n">
        <v>45272</v>
      </c>
      <c r="C1262" s="1" t="n">
        <v>45338</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62852-2023</t>
        </is>
      </c>
      <c r="B1263" s="1" t="n">
        <v>45272</v>
      </c>
      <c r="C1263" s="1" t="n">
        <v>45338</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63284-2023</t>
        </is>
      </c>
      <c r="B1264" s="1" t="n">
        <v>45273</v>
      </c>
      <c r="C1264" s="1" t="n">
        <v>45338</v>
      </c>
      <c r="D1264" t="inlineStr">
        <is>
          <t>KALMAR LÄN</t>
        </is>
      </c>
      <c r="E1264" t="inlineStr">
        <is>
          <t>VIMMERBY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63583-2023</t>
        </is>
      </c>
      <c r="B1265" s="1" t="n">
        <v>45275</v>
      </c>
      <c r="C1265" s="1" t="n">
        <v>45338</v>
      </c>
      <c r="D1265" t="inlineStr">
        <is>
          <t>KALMAR LÄN</t>
        </is>
      </c>
      <c r="E1265" t="inlineStr">
        <is>
          <t>VIMMERBY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63541-2023</t>
        </is>
      </c>
      <c r="B1266" s="1" t="n">
        <v>45275</v>
      </c>
      <c r="C1266" s="1" t="n">
        <v>45338</v>
      </c>
      <c r="D1266" t="inlineStr">
        <is>
          <t>KALMAR LÄN</t>
        </is>
      </c>
      <c r="E1266" t="inlineStr">
        <is>
          <t>VIMMERBY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63969-2023</t>
        </is>
      </c>
      <c r="B1267" s="1" t="n">
        <v>45278</v>
      </c>
      <c r="C1267" s="1" t="n">
        <v>45338</v>
      </c>
      <c r="D1267" t="inlineStr">
        <is>
          <t>KALMAR LÄN</t>
        </is>
      </c>
      <c r="E1267" t="inlineStr">
        <is>
          <t>VIMMERBY</t>
        </is>
      </c>
      <c r="F1267" t="inlineStr">
        <is>
          <t>Kyrkan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63950-2023</t>
        </is>
      </c>
      <c r="B1268" s="1" t="n">
        <v>45278</v>
      </c>
      <c r="C1268" s="1" t="n">
        <v>45338</v>
      </c>
      <c r="D1268" t="inlineStr">
        <is>
          <t>KALMAR LÄN</t>
        </is>
      </c>
      <c r="E1268" t="inlineStr">
        <is>
          <t>VIMMERBY</t>
        </is>
      </c>
      <c r="F1268" t="inlineStr">
        <is>
          <t>Kyrkan</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64428-2023</t>
        </is>
      </c>
      <c r="B1269" s="1" t="n">
        <v>45280</v>
      </c>
      <c r="C1269" s="1" t="n">
        <v>45338</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65238-2023</t>
        </is>
      </c>
      <c r="B1270" s="1" t="n">
        <v>45289</v>
      </c>
      <c r="C1270" s="1" t="n">
        <v>45338</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65237-2023</t>
        </is>
      </c>
      <c r="B1271" s="1" t="n">
        <v>45289</v>
      </c>
      <c r="C1271" s="1" t="n">
        <v>45338</v>
      </c>
      <c r="D1271" t="inlineStr">
        <is>
          <t>KALMAR LÄN</t>
        </is>
      </c>
      <c r="E1271" t="inlineStr">
        <is>
          <t>VIMMERBY</t>
        </is>
      </c>
      <c r="F1271" t="inlineStr">
        <is>
          <t>Kyrkan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205-2024</t>
        </is>
      </c>
      <c r="B1272" s="1" t="n">
        <v>45294</v>
      </c>
      <c r="C1272" s="1" t="n">
        <v>45338</v>
      </c>
      <c r="D1272" t="inlineStr">
        <is>
          <t>KALMAR LÄN</t>
        </is>
      </c>
      <c r="E1272" t="inlineStr">
        <is>
          <t>VIMMERBY</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526-2024</t>
        </is>
      </c>
      <c r="B1273" s="1" t="n">
        <v>45299</v>
      </c>
      <c r="C1273" s="1" t="n">
        <v>45338</v>
      </c>
      <c r="D1273" t="inlineStr">
        <is>
          <t>KALMAR LÄN</t>
        </is>
      </c>
      <c r="E1273" t="inlineStr">
        <is>
          <t>VIMMERBY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585-2024</t>
        </is>
      </c>
      <c r="B1274" s="1" t="n">
        <v>45299</v>
      </c>
      <c r="C1274" s="1" t="n">
        <v>45338</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627-2024</t>
        </is>
      </c>
      <c r="B1275" s="1" t="n">
        <v>45299</v>
      </c>
      <c r="C1275" s="1" t="n">
        <v>45338</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527-2024</t>
        </is>
      </c>
      <c r="B1276" s="1" t="n">
        <v>45299</v>
      </c>
      <c r="C1276" s="1" t="n">
        <v>45338</v>
      </c>
      <c r="D1276" t="inlineStr">
        <is>
          <t>KALMAR LÄN</t>
        </is>
      </c>
      <c r="E1276" t="inlineStr">
        <is>
          <t>VIMMERBY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529-2024</t>
        </is>
      </c>
      <c r="B1277" s="1" t="n">
        <v>45299</v>
      </c>
      <c r="C1277" s="1" t="n">
        <v>45338</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690-2024</t>
        </is>
      </c>
      <c r="B1278" s="1" t="n">
        <v>45300</v>
      </c>
      <c r="C1278" s="1" t="n">
        <v>45338</v>
      </c>
      <c r="D1278" t="inlineStr">
        <is>
          <t>KALMAR LÄN</t>
        </is>
      </c>
      <c r="E1278" t="inlineStr">
        <is>
          <t>VIMMERBY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694-2024</t>
        </is>
      </c>
      <c r="B1279" s="1" t="n">
        <v>45300</v>
      </c>
      <c r="C1279" s="1" t="n">
        <v>45338</v>
      </c>
      <c r="D1279" t="inlineStr">
        <is>
          <t>KALMAR LÄN</t>
        </is>
      </c>
      <c r="E1279" t="inlineStr">
        <is>
          <t>VIMMERBY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1018-2024</t>
        </is>
      </c>
      <c r="B1280" s="1" t="n">
        <v>45301</v>
      </c>
      <c r="C1280" s="1" t="n">
        <v>45338</v>
      </c>
      <c r="D1280" t="inlineStr">
        <is>
          <t>KALMAR LÄN</t>
        </is>
      </c>
      <c r="E1280" t="inlineStr">
        <is>
          <t>VIMMERBY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1017-2024</t>
        </is>
      </c>
      <c r="B1281" s="1" t="n">
        <v>45301</v>
      </c>
      <c r="C1281" s="1" t="n">
        <v>45338</v>
      </c>
      <c r="D1281" t="inlineStr">
        <is>
          <t>KALMAR LÄN</t>
        </is>
      </c>
      <c r="E1281" t="inlineStr">
        <is>
          <t>VIMMERBY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1021-2024</t>
        </is>
      </c>
      <c r="B1282" s="1" t="n">
        <v>45301</v>
      </c>
      <c r="C1282" s="1" t="n">
        <v>45338</v>
      </c>
      <c r="D1282" t="inlineStr">
        <is>
          <t>KALMAR LÄN</t>
        </is>
      </c>
      <c r="E1282" t="inlineStr">
        <is>
          <t>VIMMERBY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1016-2024</t>
        </is>
      </c>
      <c r="B1283" s="1" t="n">
        <v>45301</v>
      </c>
      <c r="C1283" s="1" t="n">
        <v>45338</v>
      </c>
      <c r="D1283" t="inlineStr">
        <is>
          <t>KALMAR LÄN</t>
        </is>
      </c>
      <c r="E1283" t="inlineStr">
        <is>
          <t>VIMMERBY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1024-2024</t>
        </is>
      </c>
      <c r="B1284" s="1" t="n">
        <v>45301</v>
      </c>
      <c r="C1284" s="1" t="n">
        <v>45338</v>
      </c>
      <c r="D1284" t="inlineStr">
        <is>
          <t>KALMAR LÄN</t>
        </is>
      </c>
      <c r="E1284" t="inlineStr">
        <is>
          <t>VIMMERBY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1015-2024</t>
        </is>
      </c>
      <c r="B1285" s="1" t="n">
        <v>45301</v>
      </c>
      <c r="C1285" s="1" t="n">
        <v>45338</v>
      </c>
      <c r="D1285" t="inlineStr">
        <is>
          <t>KALMAR LÄN</t>
        </is>
      </c>
      <c r="E1285" t="inlineStr">
        <is>
          <t>VIMMERBY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1023-2024</t>
        </is>
      </c>
      <c r="B1286" s="1" t="n">
        <v>45301</v>
      </c>
      <c r="C1286" s="1" t="n">
        <v>45338</v>
      </c>
      <c r="D1286" t="inlineStr">
        <is>
          <t>KALMAR LÄN</t>
        </is>
      </c>
      <c r="E1286" t="inlineStr">
        <is>
          <t>VIMMERBY</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1225-2024</t>
        </is>
      </c>
      <c r="B1287" s="1" t="n">
        <v>45302</v>
      </c>
      <c r="C1287" s="1" t="n">
        <v>45338</v>
      </c>
      <c r="D1287" t="inlineStr">
        <is>
          <t>KALMAR LÄN</t>
        </is>
      </c>
      <c r="E1287" t="inlineStr">
        <is>
          <t>VIMMERBY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1417-2024</t>
        </is>
      </c>
      <c r="B1288" s="1" t="n">
        <v>45303</v>
      </c>
      <c r="C1288" s="1" t="n">
        <v>45338</v>
      </c>
      <c r="D1288" t="inlineStr">
        <is>
          <t>KALMAR LÄN</t>
        </is>
      </c>
      <c r="E1288" t="inlineStr">
        <is>
          <t>VIMMERBY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1626-2024</t>
        </is>
      </c>
      <c r="B1289" s="1" t="n">
        <v>45306</v>
      </c>
      <c r="C1289" s="1" t="n">
        <v>45338</v>
      </c>
      <c r="D1289" t="inlineStr">
        <is>
          <t>KALMAR LÄN</t>
        </is>
      </c>
      <c r="E1289" t="inlineStr">
        <is>
          <t>VIMMERBY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1628-2024</t>
        </is>
      </c>
      <c r="B1290" s="1" t="n">
        <v>45306</v>
      </c>
      <c r="C1290" s="1" t="n">
        <v>45338</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1987-2024</t>
        </is>
      </c>
      <c r="B1291" s="1" t="n">
        <v>45308</v>
      </c>
      <c r="C1291" s="1" t="n">
        <v>45338</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1985-2024</t>
        </is>
      </c>
      <c r="B1292" s="1" t="n">
        <v>45308</v>
      </c>
      <c r="C1292" s="1" t="n">
        <v>45338</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1986-2024</t>
        </is>
      </c>
      <c r="B1293" s="1" t="n">
        <v>45308</v>
      </c>
      <c r="C1293" s="1" t="n">
        <v>45338</v>
      </c>
      <c r="D1293" t="inlineStr">
        <is>
          <t>KALMAR LÄN</t>
        </is>
      </c>
      <c r="E1293" t="inlineStr">
        <is>
          <t>VIMMERBY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1978-2024</t>
        </is>
      </c>
      <c r="B1294" s="1" t="n">
        <v>45308</v>
      </c>
      <c r="C1294" s="1" t="n">
        <v>45338</v>
      </c>
      <c r="D1294" t="inlineStr">
        <is>
          <t>KALMAR LÄN</t>
        </is>
      </c>
      <c r="E1294" t="inlineStr">
        <is>
          <t>VIMMERBY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2157-2024</t>
        </is>
      </c>
      <c r="B1295" s="1" t="n">
        <v>45309</v>
      </c>
      <c r="C1295" s="1" t="n">
        <v>45338</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2213-2024</t>
        </is>
      </c>
      <c r="B1296" s="1" t="n">
        <v>45309</v>
      </c>
      <c r="C1296" s="1" t="n">
        <v>45338</v>
      </c>
      <c r="D1296" t="inlineStr">
        <is>
          <t>KALMAR LÄN</t>
        </is>
      </c>
      <c r="E1296" t="inlineStr">
        <is>
          <t>VIMMERBY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2330-2024</t>
        </is>
      </c>
      <c r="B1297" s="1" t="n">
        <v>45310</v>
      </c>
      <c r="C1297" s="1" t="n">
        <v>45338</v>
      </c>
      <c r="D1297" t="inlineStr">
        <is>
          <t>KALMAR LÄN</t>
        </is>
      </c>
      <c r="E1297" t="inlineStr">
        <is>
          <t>VIMMERBY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2331-2024</t>
        </is>
      </c>
      <c r="B1298" s="1" t="n">
        <v>45310</v>
      </c>
      <c r="C1298" s="1" t="n">
        <v>45338</v>
      </c>
      <c r="D1298" t="inlineStr">
        <is>
          <t>KALMAR LÄN</t>
        </is>
      </c>
      <c r="E1298" t="inlineStr">
        <is>
          <t>VIMMERBY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2837-2024</t>
        </is>
      </c>
      <c r="B1299" s="1" t="n">
        <v>45314</v>
      </c>
      <c r="C1299" s="1" t="n">
        <v>45338</v>
      </c>
      <c r="D1299" t="inlineStr">
        <is>
          <t>KALMAR LÄN</t>
        </is>
      </c>
      <c r="E1299" t="inlineStr">
        <is>
          <t>VIMMERBY</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3156-2024</t>
        </is>
      </c>
      <c r="B1300" s="1" t="n">
        <v>45316</v>
      </c>
      <c r="C1300" s="1" t="n">
        <v>45338</v>
      </c>
      <c r="D1300" t="inlineStr">
        <is>
          <t>KALMAR LÄN</t>
        </is>
      </c>
      <c r="E1300" t="inlineStr">
        <is>
          <t>VIMMERBY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3029-2024</t>
        </is>
      </c>
      <c r="B1301" s="1" t="n">
        <v>45316</v>
      </c>
      <c r="C1301" s="1" t="n">
        <v>45338</v>
      </c>
      <c r="D1301" t="inlineStr">
        <is>
          <t>KALMAR LÄN</t>
        </is>
      </c>
      <c r="E1301" t="inlineStr">
        <is>
          <t>VIMMERBY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45338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3031-2024</t>
        </is>
      </c>
      <c r="B1303" s="1" t="n">
        <v>45316</v>
      </c>
      <c r="C1303" s="1" t="n">
        <v>45338</v>
      </c>
      <c r="D1303" t="inlineStr">
        <is>
          <t>KALMAR LÄN</t>
        </is>
      </c>
      <c r="E1303" t="inlineStr">
        <is>
          <t>VIMMERBY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3269-2024</t>
        </is>
      </c>
      <c r="B1304" s="1" t="n">
        <v>45317</v>
      </c>
      <c r="C1304" s="1" t="n">
        <v>45338</v>
      </c>
      <c r="D1304" t="inlineStr">
        <is>
          <t>KALMAR LÄN</t>
        </is>
      </c>
      <c r="E1304" t="inlineStr">
        <is>
          <t>VIMMERBY</t>
        </is>
      </c>
      <c r="F1304" t="inlineStr">
        <is>
          <t>Övriga Aktiebolag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3268-2024</t>
        </is>
      </c>
      <c r="B1305" s="1" t="n">
        <v>45317</v>
      </c>
      <c r="C1305" s="1" t="n">
        <v>45338</v>
      </c>
      <c r="D1305" t="inlineStr">
        <is>
          <t>KALMAR LÄN</t>
        </is>
      </c>
      <c r="E1305" t="inlineStr">
        <is>
          <t>VIMMERBY</t>
        </is>
      </c>
      <c r="F1305" t="inlineStr">
        <is>
          <t>Övriga Aktiebolag</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3373-2024</t>
        </is>
      </c>
      <c r="B1306" s="1" t="n">
        <v>45317</v>
      </c>
      <c r="C1306" s="1" t="n">
        <v>45338</v>
      </c>
      <c r="D1306" t="inlineStr">
        <is>
          <t>KALMAR LÄN</t>
        </is>
      </c>
      <c r="E1306" t="inlineStr">
        <is>
          <t>VIMMERBY</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3609-2024</t>
        </is>
      </c>
      <c r="B1307" s="1" t="n">
        <v>45320</v>
      </c>
      <c r="C1307" s="1" t="n">
        <v>45338</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4058-2024</t>
        </is>
      </c>
      <c r="B1308" s="1" t="n">
        <v>45323</v>
      </c>
      <c r="C1308" s="1" t="n">
        <v>45338</v>
      </c>
      <c r="D1308" t="inlineStr">
        <is>
          <t>KALMAR LÄN</t>
        </is>
      </c>
      <c r="E1308" t="inlineStr">
        <is>
          <t>VIMMERBY</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4359-2024</t>
        </is>
      </c>
      <c r="B1309" s="1" t="n">
        <v>45325</v>
      </c>
      <c r="C1309" s="1" t="n">
        <v>45338</v>
      </c>
      <c r="D1309" t="inlineStr">
        <is>
          <t>KALMAR LÄN</t>
        </is>
      </c>
      <c r="E1309" t="inlineStr">
        <is>
          <t>VIMMERBY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4624-2024</t>
        </is>
      </c>
      <c r="B1310" s="1" t="n">
        <v>45328</v>
      </c>
      <c r="C1310" s="1" t="n">
        <v>45338</v>
      </c>
      <c r="D1310" t="inlineStr">
        <is>
          <t>KALMAR LÄN</t>
        </is>
      </c>
      <c r="E1310" t="inlineStr">
        <is>
          <t>VIMMERBY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4622-2024</t>
        </is>
      </c>
      <c r="B1311" s="1" t="n">
        <v>45328</v>
      </c>
      <c r="C1311" s="1" t="n">
        <v>45338</v>
      </c>
      <c r="D1311" t="inlineStr">
        <is>
          <t>KALMAR LÄN</t>
        </is>
      </c>
      <c r="E1311" t="inlineStr">
        <is>
          <t>VIMMERBY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4861-2024</t>
        </is>
      </c>
      <c r="B1312" s="1" t="n">
        <v>45329</v>
      </c>
      <c r="C1312" s="1" t="n">
        <v>45338</v>
      </c>
      <c r="D1312" t="inlineStr">
        <is>
          <t>KALMAR LÄN</t>
        </is>
      </c>
      <c r="E1312" t="inlineStr">
        <is>
          <t>VIMMERBY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4864-2024</t>
        </is>
      </c>
      <c r="B1313" s="1" t="n">
        <v>45329</v>
      </c>
      <c r="C1313" s="1" t="n">
        <v>45338</v>
      </c>
      <c r="D1313" t="inlineStr">
        <is>
          <t>KALMAR LÄN</t>
        </is>
      </c>
      <c r="E1313" t="inlineStr">
        <is>
          <t>VIMMERBY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4899-2024</t>
        </is>
      </c>
      <c r="B1314" s="1" t="n">
        <v>45329</v>
      </c>
      <c r="C1314" s="1" t="n">
        <v>45338</v>
      </c>
      <c r="D1314" t="inlineStr">
        <is>
          <t>KALMAR LÄN</t>
        </is>
      </c>
      <c r="E1314" t="inlineStr">
        <is>
          <t>VIMMERBY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45338</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5148-2024</t>
        </is>
      </c>
      <c r="B1316" s="1" t="n">
        <v>45330</v>
      </c>
      <c r="C1316" s="1" t="n">
        <v>45338</v>
      </c>
      <c r="D1316" t="inlineStr">
        <is>
          <t>KALMAR LÄN</t>
        </is>
      </c>
      <c r="E1316" t="inlineStr">
        <is>
          <t>VIMMERBY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5200-2024</t>
        </is>
      </c>
      <c r="B1317" s="1" t="n">
        <v>45330</v>
      </c>
      <c r="C1317" s="1" t="n">
        <v>45338</v>
      </c>
      <c r="D1317" t="inlineStr">
        <is>
          <t>KALMAR LÄN</t>
        </is>
      </c>
      <c r="E1317" t="inlineStr">
        <is>
          <t>VIMMERBY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5146-2024</t>
        </is>
      </c>
      <c r="B1318" s="1" t="n">
        <v>45330</v>
      </c>
      <c r="C1318" s="1" t="n">
        <v>45338</v>
      </c>
      <c r="D1318" t="inlineStr">
        <is>
          <t>KALMAR LÄN</t>
        </is>
      </c>
      <c r="E1318" t="inlineStr">
        <is>
          <t>VIMMERBY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5206-2024</t>
        </is>
      </c>
      <c r="B1319" s="1" t="n">
        <v>45330</v>
      </c>
      <c r="C1319" s="1" t="n">
        <v>45338</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5701-2024</t>
        </is>
      </c>
      <c r="B1320" s="1" t="n">
        <v>45334</v>
      </c>
      <c r="C1320" s="1" t="n">
        <v>45338</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45338</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45338</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5703-2024</t>
        </is>
      </c>
      <c r="B1323" s="1" t="n">
        <v>45334</v>
      </c>
      <c r="C1323" s="1" t="n">
        <v>45338</v>
      </c>
      <c r="D1323" t="inlineStr">
        <is>
          <t>KALMAR LÄN</t>
        </is>
      </c>
      <c r="E1323" t="inlineStr">
        <is>
          <t>VIMMERBY</t>
        </is>
      </c>
      <c r="G1323" t="n">
        <v>1.1</v>
      </c>
      <c r="H1323" t="n">
        <v>0</v>
      </c>
      <c r="I1323" t="n">
        <v>0</v>
      </c>
      <c r="J1323" t="n">
        <v>0</v>
      </c>
      <c r="K1323" t="n">
        <v>0</v>
      </c>
      <c r="L1323" t="n">
        <v>0</v>
      </c>
      <c r="M1323" t="n">
        <v>0</v>
      </c>
      <c r="N1323" t="n">
        <v>0</v>
      </c>
      <c r="O1323" t="n">
        <v>0</v>
      </c>
      <c r="P1323" t="n">
        <v>0</v>
      </c>
      <c r="Q1323" t="n">
        <v>0</v>
      </c>
      <c r="R1323" s="2" t="inlineStr"/>
    </row>
    <row r="1324">
      <c r="A1324" t="inlineStr">
        <is>
          <t>A 6212-2024</t>
        </is>
      </c>
      <c r="B1324" s="1" t="n">
        <v>45337</v>
      </c>
      <c r="C1324" s="1" t="n">
        <v>45338</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2024-02-16T16:04:28Z</dcterms:created>
  <dcterms:modified xmlns:dcterms="http://purl.org/dc/terms/" xmlns:xsi="http://www.w3.org/2001/XMLSchema-instance" xsi:type="dcterms:W3CDTF">2024-02-16T16:04:29Z</dcterms:modified>
</cp:coreProperties>
</file>