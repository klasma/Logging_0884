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45932</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1023-2024</t>
        </is>
      </c>
      <c r="B9" s="1" t="n">
        <v>45301.67922453704</v>
      </c>
      <c r="C9" s="1" t="n">
        <v>45932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45932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45932</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45932</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45932</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45932</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45932</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45932</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45932</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37667-2025</t>
        </is>
      </c>
      <c r="B18" s="1" t="n">
        <v>45880.51413194444</v>
      </c>
      <c r="C18" s="1" t="n">
        <v>45932</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56985-2024</t>
        </is>
      </c>
      <c r="B19" s="1" t="n">
        <v>45628</v>
      </c>
      <c r="C19" s="1" t="n">
        <v>45932</v>
      </c>
      <c r="D19" t="inlineStr">
        <is>
          <t>KALMAR LÄN</t>
        </is>
      </c>
      <c r="E19" t="inlineStr">
        <is>
          <t>VIMMERBY</t>
        </is>
      </c>
      <c r="G19" t="n">
        <v>3.1</v>
      </c>
      <c r="H19" t="n">
        <v>2</v>
      </c>
      <c r="I19" t="n">
        <v>1</v>
      </c>
      <c r="J19" t="n">
        <v>1</v>
      </c>
      <c r="K19" t="n">
        <v>1</v>
      </c>
      <c r="L19" t="n">
        <v>0</v>
      </c>
      <c r="M19" t="n">
        <v>0</v>
      </c>
      <c r="N19" t="n">
        <v>0</v>
      </c>
      <c r="O19" t="n">
        <v>2</v>
      </c>
      <c r="P19" t="n">
        <v>1</v>
      </c>
      <c r="Q19" t="n">
        <v>3</v>
      </c>
      <c r="R19" s="2" t="inlineStr">
        <is>
          <t>Knärot
Spillkråka
Grönpyrola</t>
        </is>
      </c>
      <c r="S19">
        <f>HYPERLINK("https://klasma.github.io/Logging_0884/artfynd/A 56985-2024 artfynd.xlsx", "A 56985-2024")</f>
        <v/>
      </c>
      <c r="T19">
        <f>HYPERLINK("https://klasma.github.io/Logging_0884/kartor/A 56985-2024 karta.png", "A 56985-2024")</f>
        <v/>
      </c>
      <c r="U19">
        <f>HYPERLINK("https://klasma.github.io/Logging_0884/knärot/A 56985-2024 karta knärot.png", "A 56985-2024")</f>
        <v/>
      </c>
      <c r="V19">
        <f>HYPERLINK("https://klasma.github.io/Logging_0884/klagomål/A 56985-2024 FSC-klagomål.docx", "A 56985-2024")</f>
        <v/>
      </c>
      <c r="W19">
        <f>HYPERLINK("https://klasma.github.io/Logging_0884/klagomålsmail/A 56985-2024 FSC-klagomål mail.docx", "A 56985-2024")</f>
        <v/>
      </c>
      <c r="X19">
        <f>HYPERLINK("https://klasma.github.io/Logging_0884/tillsyn/A 56985-2024 tillsynsbegäran.docx", "A 56985-2024")</f>
        <v/>
      </c>
      <c r="Y19">
        <f>HYPERLINK("https://klasma.github.io/Logging_0884/tillsynsmail/A 56985-2024 tillsynsbegäran mail.docx", "A 56985-2024")</f>
        <v/>
      </c>
      <c r="Z19">
        <f>HYPERLINK("https://klasma.github.io/Logging_0884/fåglar/A 56985-2024 prioriterade fågelarter.docx", "A 56985-2024")</f>
        <v/>
      </c>
    </row>
    <row r="20" ht="15" customHeight="1">
      <c r="A20" t="inlineStr">
        <is>
          <t>A 41398-2021</t>
        </is>
      </c>
      <c r="B20" s="1" t="n">
        <v>44424</v>
      </c>
      <c r="C20" s="1" t="n">
        <v>45932</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45932</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45932</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45932</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2518-2023</t>
        </is>
      </c>
      <c r="B24" s="1" t="n">
        <v>44943</v>
      </c>
      <c r="C24" s="1" t="n">
        <v>45932</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22825-2023</t>
        </is>
      </c>
      <c r="B25" s="1" t="n">
        <v>45072</v>
      </c>
      <c r="C25" s="1" t="n">
        <v>45932</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14024-2023</t>
        </is>
      </c>
      <c r="B26" s="1" t="n">
        <v>45008.60878472222</v>
      </c>
      <c r="C26" s="1" t="n">
        <v>45932</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40684-2025</t>
        </is>
      </c>
      <c r="B27" s="1" t="n">
        <v>45896.86820601852</v>
      </c>
      <c r="C27" s="1" t="n">
        <v>45932</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17935-2025</t>
        </is>
      </c>
      <c r="B28" s="1" t="n">
        <v>45760.34877314815</v>
      </c>
      <c r="C28" s="1" t="n">
        <v>45932</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42802-2025</t>
        </is>
      </c>
      <c r="B29" s="1" t="n">
        <v>45908</v>
      </c>
      <c r="C29" s="1" t="n">
        <v>45932</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19158-2023</t>
        </is>
      </c>
      <c r="B30" s="1" t="n">
        <v>45048</v>
      </c>
      <c r="C30" s="1" t="n">
        <v>45932</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32396-2021</t>
        </is>
      </c>
      <c r="B31" s="1" t="n">
        <v>44371</v>
      </c>
      <c r="C31" s="1" t="n">
        <v>45932</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52301-2023</t>
        </is>
      </c>
      <c r="B32" s="1" t="n">
        <v>45224</v>
      </c>
      <c r="C32" s="1" t="n">
        <v>45932</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9067-2025</t>
        </is>
      </c>
      <c r="B33" s="1" t="n">
        <v>45713</v>
      </c>
      <c r="C33" s="1" t="n">
        <v>45932</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40083-2023</t>
        </is>
      </c>
      <c r="B34" s="1" t="n">
        <v>45168</v>
      </c>
      <c r="C34" s="1" t="n">
        <v>45932</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45932</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28852-2023</t>
        </is>
      </c>
      <c r="B36" s="1" t="n">
        <v>45104</v>
      </c>
      <c r="C36" s="1" t="n">
        <v>45932</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1201-2025</t>
        </is>
      </c>
      <c r="B37" s="1" t="n">
        <v>45667</v>
      </c>
      <c r="C37" s="1" t="n">
        <v>45932</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37930-2021</t>
        </is>
      </c>
      <c r="B38" s="1" t="n">
        <v>44403</v>
      </c>
      <c r="C38" s="1" t="n">
        <v>45932</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33436-2021</t>
        </is>
      </c>
      <c r="B39" s="1" t="n">
        <v>44377.61104166666</v>
      </c>
      <c r="C39" s="1" t="n">
        <v>45932</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46824-2025</t>
        </is>
      </c>
      <c r="B40" s="1" t="n">
        <v>45926.90006944445</v>
      </c>
      <c r="C40" s="1" t="n">
        <v>45932</v>
      </c>
      <c r="D40" t="inlineStr">
        <is>
          <t>KALMAR LÄN</t>
        </is>
      </c>
      <c r="E40" t="inlineStr">
        <is>
          <t>VIMMERBY</t>
        </is>
      </c>
      <c r="G40" t="n">
        <v>2.8</v>
      </c>
      <c r="H40" t="n">
        <v>1</v>
      </c>
      <c r="I40" t="n">
        <v>0</v>
      </c>
      <c r="J40" t="n">
        <v>0</v>
      </c>
      <c r="K40" t="n">
        <v>1</v>
      </c>
      <c r="L40" t="n">
        <v>0</v>
      </c>
      <c r="M40" t="n">
        <v>0</v>
      </c>
      <c r="N40" t="n">
        <v>0</v>
      </c>
      <c r="O40" t="n">
        <v>1</v>
      </c>
      <c r="P40" t="n">
        <v>1</v>
      </c>
      <c r="Q40" t="n">
        <v>1</v>
      </c>
      <c r="R40" s="2" t="inlineStr">
        <is>
          <t>Knärot</t>
        </is>
      </c>
      <c r="S40">
        <f>HYPERLINK("https://klasma.github.io/Logging_0884/artfynd/A 46824-2025 artfynd.xlsx", "A 46824-2025")</f>
        <v/>
      </c>
      <c r="T40">
        <f>HYPERLINK("https://klasma.github.io/Logging_0884/kartor/A 46824-2025 karta.png", "A 46824-2025")</f>
        <v/>
      </c>
      <c r="U40">
        <f>HYPERLINK("https://klasma.github.io/Logging_0884/knärot/A 46824-2025 karta knärot.png", "A 46824-2025")</f>
        <v/>
      </c>
      <c r="V40">
        <f>HYPERLINK("https://klasma.github.io/Logging_0884/klagomål/A 46824-2025 FSC-klagomål.docx", "A 46824-2025")</f>
        <v/>
      </c>
      <c r="W40">
        <f>HYPERLINK("https://klasma.github.io/Logging_0884/klagomålsmail/A 46824-2025 FSC-klagomål mail.docx", "A 46824-2025")</f>
        <v/>
      </c>
      <c r="X40">
        <f>HYPERLINK("https://klasma.github.io/Logging_0884/tillsyn/A 46824-2025 tillsynsbegäran.docx", "A 46824-2025")</f>
        <v/>
      </c>
      <c r="Y40">
        <f>HYPERLINK("https://klasma.github.io/Logging_0884/tillsynsmail/A 46824-2025 tillsynsbegäran mail.docx", "A 46824-2025")</f>
        <v/>
      </c>
    </row>
    <row r="41" ht="15" customHeight="1">
      <c r="A41" t="inlineStr">
        <is>
          <t>A 29183-2025</t>
        </is>
      </c>
      <c r="B41" s="1" t="n">
        <v>45821</v>
      </c>
      <c r="C41" s="1" t="n">
        <v>45932</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6841-2021</t>
        </is>
      </c>
      <c r="B42" s="1" t="n">
        <v>44236</v>
      </c>
      <c r="C42" s="1" t="n">
        <v>45932</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23602-2023</t>
        </is>
      </c>
      <c r="B43" s="1" t="n">
        <v>45077</v>
      </c>
      <c r="C43" s="1" t="n">
        <v>45932</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44515-2024</t>
        </is>
      </c>
      <c r="B44" s="1" t="n">
        <v>45574.42767361111</v>
      </c>
      <c r="C44" s="1" t="n">
        <v>45932</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38602-2025</t>
        </is>
      </c>
      <c r="B45" s="1" t="n">
        <v>45884.50331018519</v>
      </c>
      <c r="C45" s="1" t="n">
        <v>45932</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38602-2025 artfynd.xlsx", "A 38602-2025")</f>
        <v/>
      </c>
      <c r="T45">
        <f>HYPERLINK("https://klasma.github.io/Logging_0884/kartor/A 38602-2025 karta.png", "A 38602-2025")</f>
        <v/>
      </c>
      <c r="U45">
        <f>HYPERLINK("https://klasma.github.io/Logging_0884/knärot/A 38602-2025 karta knärot.png", "A 38602-2025")</f>
        <v/>
      </c>
      <c r="V45">
        <f>HYPERLINK("https://klasma.github.io/Logging_0884/klagomål/A 38602-2025 FSC-klagomål.docx", "A 38602-2025")</f>
        <v/>
      </c>
      <c r="W45">
        <f>HYPERLINK("https://klasma.github.io/Logging_0884/klagomålsmail/A 38602-2025 FSC-klagomål mail.docx", "A 38602-2025")</f>
        <v/>
      </c>
      <c r="X45">
        <f>HYPERLINK("https://klasma.github.io/Logging_0884/tillsyn/A 38602-2025 tillsynsbegäran.docx", "A 38602-2025")</f>
        <v/>
      </c>
      <c r="Y45">
        <f>HYPERLINK("https://klasma.github.io/Logging_0884/tillsynsmail/A 38602-2025 tillsynsbegäran mail.docx", "A 38602-2025")</f>
        <v/>
      </c>
    </row>
    <row r="46" ht="15" customHeight="1">
      <c r="A46" t="inlineStr">
        <is>
          <t>A 61860-2024</t>
        </is>
      </c>
      <c r="B46" s="1" t="n">
        <v>45649</v>
      </c>
      <c r="C46" s="1" t="n">
        <v>45932</v>
      </c>
      <c r="D46" t="inlineStr">
        <is>
          <t>KALMAR LÄN</t>
        </is>
      </c>
      <c r="E46" t="inlineStr">
        <is>
          <t>VIMMERBY</t>
        </is>
      </c>
      <c r="G46" t="n">
        <v>4.4</v>
      </c>
      <c r="H46" t="n">
        <v>1</v>
      </c>
      <c r="I46" t="n">
        <v>0</v>
      </c>
      <c r="J46" t="n">
        <v>0</v>
      </c>
      <c r="K46" t="n">
        <v>1</v>
      </c>
      <c r="L46" t="n">
        <v>0</v>
      </c>
      <c r="M46" t="n">
        <v>0</v>
      </c>
      <c r="N46" t="n">
        <v>0</v>
      </c>
      <c r="O46" t="n">
        <v>1</v>
      </c>
      <c r="P46" t="n">
        <v>1</v>
      </c>
      <c r="Q46" t="n">
        <v>1</v>
      </c>
      <c r="R46" s="2" t="inlineStr">
        <is>
          <t>Knärot</t>
        </is>
      </c>
      <c r="S46">
        <f>HYPERLINK("https://klasma.github.io/Logging_0884/artfynd/A 61860-2024 artfynd.xlsx", "A 61860-2024")</f>
        <v/>
      </c>
      <c r="T46">
        <f>HYPERLINK("https://klasma.github.io/Logging_0884/kartor/A 61860-2024 karta.png", "A 61860-2024")</f>
        <v/>
      </c>
      <c r="U46">
        <f>HYPERLINK("https://klasma.github.io/Logging_0884/knärot/A 61860-2024 karta knärot.png", "A 61860-2024")</f>
        <v/>
      </c>
      <c r="V46">
        <f>HYPERLINK("https://klasma.github.io/Logging_0884/klagomål/A 61860-2024 FSC-klagomål.docx", "A 61860-2024")</f>
        <v/>
      </c>
      <c r="W46">
        <f>HYPERLINK("https://klasma.github.io/Logging_0884/klagomålsmail/A 61860-2024 FSC-klagomål mail.docx", "A 61860-2024")</f>
        <v/>
      </c>
      <c r="X46">
        <f>HYPERLINK("https://klasma.github.io/Logging_0884/tillsyn/A 61860-2024 tillsynsbegäran.docx", "A 61860-2024")</f>
        <v/>
      </c>
      <c r="Y46">
        <f>HYPERLINK("https://klasma.github.io/Logging_0884/tillsynsmail/A 61860-2024 tillsynsbegäran mail.docx", "A 61860-2024")</f>
        <v/>
      </c>
    </row>
    <row r="47" ht="15" customHeight="1">
      <c r="A47" t="inlineStr">
        <is>
          <t>A 32985-2023</t>
        </is>
      </c>
      <c r="B47" s="1" t="n">
        <v>45125</v>
      </c>
      <c r="C47" s="1" t="n">
        <v>45932</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15122-2024</t>
        </is>
      </c>
      <c r="B48" s="1" t="n">
        <v>45399.71412037037</v>
      </c>
      <c r="C48" s="1" t="n">
        <v>45932</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55053-2020</t>
        </is>
      </c>
      <c r="B49" s="1" t="n">
        <v>44130</v>
      </c>
      <c r="C49" s="1" t="n">
        <v>45932</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45932</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45932</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15092-2021</t>
        </is>
      </c>
      <c r="B52" s="1" t="n">
        <v>44281.79269675926</v>
      </c>
      <c r="C52" s="1" t="n">
        <v>45932</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45932</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45932</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45932</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45932</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45932</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45932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45932</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45932</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45932</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45932</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45932</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45932</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45932</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45932</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45932</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45932</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45932</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45932</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45932</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45932</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45932</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45932</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45932</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45932</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45932</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45932</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45932</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45932</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45932</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45932</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45932</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45932</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45932</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45932</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45932</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45932</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45932</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45932</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45932</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45932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45932</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45932</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45932</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45932</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45932</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45932</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45932</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53711-2020</t>
        </is>
      </c>
      <c r="B100" s="1" t="n">
        <v>44124.59795138889</v>
      </c>
      <c r="C100" s="1" t="n">
        <v>45932</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45932</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45932</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45932</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45932</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45932</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45932</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45932</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45932</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45932</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45932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45932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45932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45932</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45932</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45932</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45932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45932</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45932</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45932</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45932</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45932</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45932</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45932</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45932</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45932</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45932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52073-2020</t>
        </is>
      </c>
      <c r="B127" s="1" t="n">
        <v>44117</v>
      </c>
      <c r="C127" s="1" t="n">
        <v>45932</v>
      </c>
      <c r="D127" t="inlineStr">
        <is>
          <t>KALMAR LÄN</t>
        </is>
      </c>
      <c r="E127" t="inlineStr">
        <is>
          <t>VIMMERBY</t>
        </is>
      </c>
      <c r="G127" t="n">
        <v>2.3</v>
      </c>
      <c r="H127" t="n">
        <v>0</v>
      </c>
      <c r="I127" t="n">
        <v>0</v>
      </c>
      <c r="J127" t="n">
        <v>0</v>
      </c>
      <c r="K127" t="n">
        <v>0</v>
      </c>
      <c r="L127" t="n">
        <v>0</v>
      </c>
      <c r="M127" t="n">
        <v>0</v>
      </c>
      <c r="N127" t="n">
        <v>0</v>
      </c>
      <c r="O127" t="n">
        <v>0</v>
      </c>
      <c r="P127" t="n">
        <v>0</v>
      </c>
      <c r="Q127" t="n">
        <v>0</v>
      </c>
      <c r="R127" s="2" t="inlineStr"/>
    </row>
    <row r="128" ht="15" customHeight="1">
      <c r="A128" t="inlineStr">
        <is>
          <t>A 67952-2021</t>
        </is>
      </c>
      <c r="B128" s="1" t="n">
        <v>44525.63913194444</v>
      </c>
      <c r="C128" s="1" t="n">
        <v>45932</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14521-2021</t>
        </is>
      </c>
      <c r="B129" s="1" t="n">
        <v>44279.64934027778</v>
      </c>
      <c r="C129" s="1" t="n">
        <v>45932</v>
      </c>
      <c r="D129" t="inlineStr">
        <is>
          <t>KALMAR LÄN</t>
        </is>
      </c>
      <c r="E129" t="inlineStr">
        <is>
          <t>VIMMERBY</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15533-2022</t>
        </is>
      </c>
      <c r="B130" s="1" t="n">
        <v>44662</v>
      </c>
      <c r="C130" s="1" t="n">
        <v>45932</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45932</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45932</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34036-2021</t>
        </is>
      </c>
      <c r="B133" s="1" t="n">
        <v>44379</v>
      </c>
      <c r="C133" s="1" t="n">
        <v>45932</v>
      </c>
      <c r="D133" t="inlineStr">
        <is>
          <t>KALMAR LÄN</t>
        </is>
      </c>
      <c r="E133" t="inlineStr">
        <is>
          <t>VIMMERBY</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618-2021</t>
        </is>
      </c>
      <c r="B134" s="1" t="n">
        <v>44203</v>
      </c>
      <c r="C134" s="1" t="n">
        <v>45932</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63244-2021</t>
        </is>
      </c>
      <c r="B135" s="1" t="n">
        <v>44508</v>
      </c>
      <c r="C135" s="1" t="n">
        <v>45932</v>
      </c>
      <c r="D135" t="inlineStr">
        <is>
          <t>KALMAR LÄN</t>
        </is>
      </c>
      <c r="E135" t="inlineStr">
        <is>
          <t>VIMMERBY</t>
        </is>
      </c>
      <c r="F135" t="inlineStr">
        <is>
          <t>Övriga statliga verk och myndigheter</t>
        </is>
      </c>
      <c r="G135" t="n">
        <v>0.6</v>
      </c>
      <c r="H135" t="n">
        <v>0</v>
      </c>
      <c r="I135" t="n">
        <v>0</v>
      </c>
      <c r="J135" t="n">
        <v>0</v>
      </c>
      <c r="K135" t="n">
        <v>0</v>
      </c>
      <c r="L135" t="n">
        <v>0</v>
      </c>
      <c r="M135" t="n">
        <v>0</v>
      </c>
      <c r="N135" t="n">
        <v>0</v>
      </c>
      <c r="O135" t="n">
        <v>0</v>
      </c>
      <c r="P135" t="n">
        <v>0</v>
      </c>
      <c r="Q135" t="n">
        <v>0</v>
      </c>
      <c r="R135" s="2" t="inlineStr"/>
    </row>
    <row r="136" ht="15" customHeight="1">
      <c r="A136" t="inlineStr">
        <is>
          <t>A 12241-2021</t>
        </is>
      </c>
      <c r="B136" s="1" t="n">
        <v>44266.7240625</v>
      </c>
      <c r="C136" s="1" t="n">
        <v>45932</v>
      </c>
      <c r="D136" t="inlineStr">
        <is>
          <t>KALMAR LÄN</t>
        </is>
      </c>
      <c r="E136" t="inlineStr">
        <is>
          <t>VIMMERBY</t>
        </is>
      </c>
      <c r="F136" t="inlineStr">
        <is>
          <t>Sveaskog</t>
        </is>
      </c>
      <c r="G136" t="n">
        <v>1</v>
      </c>
      <c r="H136" t="n">
        <v>0</v>
      </c>
      <c r="I136" t="n">
        <v>0</v>
      </c>
      <c r="J136" t="n">
        <v>0</v>
      </c>
      <c r="K136" t="n">
        <v>0</v>
      </c>
      <c r="L136" t="n">
        <v>0</v>
      </c>
      <c r="M136" t="n">
        <v>0</v>
      </c>
      <c r="N136" t="n">
        <v>0</v>
      </c>
      <c r="O136" t="n">
        <v>0</v>
      </c>
      <c r="P136" t="n">
        <v>0</v>
      </c>
      <c r="Q136" t="n">
        <v>0</v>
      </c>
      <c r="R136" s="2" t="inlineStr"/>
    </row>
    <row r="137" ht="15" customHeight="1">
      <c r="A137" t="inlineStr">
        <is>
          <t>A 34040-2021</t>
        </is>
      </c>
      <c r="B137" s="1" t="n">
        <v>44379</v>
      </c>
      <c r="C137" s="1" t="n">
        <v>45932</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12662-2021</t>
        </is>
      </c>
      <c r="B138" s="1" t="n">
        <v>44270.49743055556</v>
      </c>
      <c r="C138" s="1" t="n">
        <v>45932</v>
      </c>
      <c r="D138" t="inlineStr">
        <is>
          <t>KALMAR LÄN</t>
        </is>
      </c>
      <c r="E138" t="inlineStr">
        <is>
          <t>VIMMERBY</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15200-2021</t>
        </is>
      </c>
      <c r="B139" s="1" t="n">
        <v>44284.44574074074</v>
      </c>
      <c r="C139" s="1" t="n">
        <v>45932</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12107-2022</t>
        </is>
      </c>
      <c r="B140" s="1" t="n">
        <v>44636</v>
      </c>
      <c r="C140" s="1" t="n">
        <v>45932</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23825-2022</t>
        </is>
      </c>
      <c r="B141" s="1" t="n">
        <v>44722.48768518519</v>
      </c>
      <c r="C141" s="1" t="n">
        <v>45932</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45932</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39225-2022</t>
        </is>
      </c>
      <c r="B143" s="1" t="n">
        <v>44817.57988425926</v>
      </c>
      <c r="C143" s="1" t="n">
        <v>45932</v>
      </c>
      <c r="D143" t="inlineStr">
        <is>
          <t>KALMAR LÄN</t>
        </is>
      </c>
      <c r="E143" t="inlineStr">
        <is>
          <t>VIMMERBY</t>
        </is>
      </c>
      <c r="G143" t="n">
        <v>2.2</v>
      </c>
      <c r="H143" t="n">
        <v>0</v>
      </c>
      <c r="I143" t="n">
        <v>0</v>
      </c>
      <c r="J143" t="n">
        <v>0</v>
      </c>
      <c r="K143" t="n">
        <v>0</v>
      </c>
      <c r="L143" t="n">
        <v>0</v>
      </c>
      <c r="M143" t="n">
        <v>0</v>
      </c>
      <c r="N143" t="n">
        <v>0</v>
      </c>
      <c r="O143" t="n">
        <v>0</v>
      </c>
      <c r="P143" t="n">
        <v>0</v>
      </c>
      <c r="Q143" t="n">
        <v>0</v>
      </c>
      <c r="R143" s="2" t="inlineStr"/>
    </row>
    <row r="144" ht="15" customHeight="1">
      <c r="A144" t="inlineStr">
        <is>
          <t>A 16602-2021</t>
        </is>
      </c>
      <c r="B144" s="1" t="n">
        <v>44294</v>
      </c>
      <c r="C144" s="1" t="n">
        <v>45932</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16607-2021</t>
        </is>
      </c>
      <c r="B145" s="1" t="n">
        <v>44294</v>
      </c>
      <c r="C145" s="1" t="n">
        <v>45932</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17029-2022</t>
        </is>
      </c>
      <c r="B146" s="1" t="n">
        <v>44676.85248842592</v>
      </c>
      <c r="C146" s="1" t="n">
        <v>45932</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7167-2022</t>
        </is>
      </c>
      <c r="B147" s="1" t="n">
        <v>44604</v>
      </c>
      <c r="C147" s="1" t="n">
        <v>45932</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45932</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45932</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18356-2021</t>
        </is>
      </c>
      <c r="B150" s="1" t="n">
        <v>44305</v>
      </c>
      <c r="C150" s="1" t="n">
        <v>45932</v>
      </c>
      <c r="D150" t="inlineStr">
        <is>
          <t>KALMAR LÄN</t>
        </is>
      </c>
      <c r="E150" t="inlineStr">
        <is>
          <t>VIMMERBY</t>
        </is>
      </c>
      <c r="G150" t="n">
        <v>3.4</v>
      </c>
      <c r="H150" t="n">
        <v>0</v>
      </c>
      <c r="I150" t="n">
        <v>0</v>
      </c>
      <c r="J150" t="n">
        <v>0</v>
      </c>
      <c r="K150" t="n">
        <v>0</v>
      </c>
      <c r="L150" t="n">
        <v>0</v>
      </c>
      <c r="M150" t="n">
        <v>0</v>
      </c>
      <c r="N150" t="n">
        <v>0</v>
      </c>
      <c r="O150" t="n">
        <v>0</v>
      </c>
      <c r="P150" t="n">
        <v>0</v>
      </c>
      <c r="Q150" t="n">
        <v>0</v>
      </c>
      <c r="R150" s="2" t="inlineStr"/>
    </row>
    <row r="151" ht="15" customHeight="1">
      <c r="A151" t="inlineStr">
        <is>
          <t>A 11814-2022</t>
        </is>
      </c>
      <c r="B151" s="1" t="n">
        <v>44634.69703703704</v>
      </c>
      <c r="C151" s="1" t="n">
        <v>45932</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56385-2021</t>
        </is>
      </c>
      <c r="B152" s="1" t="n">
        <v>44480</v>
      </c>
      <c r="C152" s="1" t="n">
        <v>45932</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31053-2022</t>
        </is>
      </c>
      <c r="B153" s="1" t="n">
        <v>44769.45422453704</v>
      </c>
      <c r="C153" s="1" t="n">
        <v>45932</v>
      </c>
      <c r="D153" t="inlineStr">
        <is>
          <t>KALMAR LÄN</t>
        </is>
      </c>
      <c r="E153" t="inlineStr">
        <is>
          <t>VIMMERBY</t>
        </is>
      </c>
      <c r="G153" t="n">
        <v>1.9</v>
      </c>
      <c r="H153" t="n">
        <v>0</v>
      </c>
      <c r="I153" t="n">
        <v>0</v>
      </c>
      <c r="J153" t="n">
        <v>0</v>
      </c>
      <c r="K153" t="n">
        <v>0</v>
      </c>
      <c r="L153" t="n">
        <v>0</v>
      </c>
      <c r="M153" t="n">
        <v>0</v>
      </c>
      <c r="N153" t="n">
        <v>0</v>
      </c>
      <c r="O153" t="n">
        <v>0</v>
      </c>
      <c r="P153" t="n">
        <v>0</v>
      </c>
      <c r="Q153" t="n">
        <v>0</v>
      </c>
      <c r="R153" s="2" t="inlineStr"/>
    </row>
    <row r="154" ht="15" customHeight="1">
      <c r="A154" t="inlineStr">
        <is>
          <t>A 24738-2021</t>
        </is>
      </c>
      <c r="B154" s="1" t="n">
        <v>44340.58002314815</v>
      </c>
      <c r="C154" s="1" t="n">
        <v>45932</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57948-2020</t>
        </is>
      </c>
      <c r="B155" s="1" t="n">
        <v>44142</v>
      </c>
      <c r="C155" s="1" t="n">
        <v>45932</v>
      </c>
      <c r="D155" t="inlineStr">
        <is>
          <t>KALMAR LÄN</t>
        </is>
      </c>
      <c r="E155" t="inlineStr">
        <is>
          <t>VIMMERBY</t>
        </is>
      </c>
      <c r="G155" t="n">
        <v>7.1</v>
      </c>
      <c r="H155" t="n">
        <v>0</v>
      </c>
      <c r="I155" t="n">
        <v>0</v>
      </c>
      <c r="J155" t="n">
        <v>0</v>
      </c>
      <c r="K155" t="n">
        <v>0</v>
      </c>
      <c r="L155" t="n">
        <v>0</v>
      </c>
      <c r="M155" t="n">
        <v>0</v>
      </c>
      <c r="N155" t="n">
        <v>0</v>
      </c>
      <c r="O155" t="n">
        <v>0</v>
      </c>
      <c r="P155" t="n">
        <v>0</v>
      </c>
      <c r="Q155" t="n">
        <v>0</v>
      </c>
      <c r="R155" s="2" t="inlineStr"/>
    </row>
    <row r="156" ht="15" customHeight="1">
      <c r="A156" t="inlineStr">
        <is>
          <t>A 18276-2021</t>
        </is>
      </c>
      <c r="B156" s="1" t="n">
        <v>44305.40046296296</v>
      </c>
      <c r="C156" s="1" t="n">
        <v>45932</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8454-2022</t>
        </is>
      </c>
      <c r="B157" s="1" t="n">
        <v>44612.86762731482</v>
      </c>
      <c r="C157" s="1" t="n">
        <v>45932</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47473-2021</t>
        </is>
      </c>
      <c r="B158" s="1" t="n">
        <v>44447</v>
      </c>
      <c r="C158" s="1" t="n">
        <v>45932</v>
      </c>
      <c r="D158" t="inlineStr">
        <is>
          <t>KALMAR LÄN</t>
        </is>
      </c>
      <c r="E158" t="inlineStr">
        <is>
          <t>VIMMERBY</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46964-2022</t>
        </is>
      </c>
      <c r="B159" s="1" t="n">
        <v>44851.95016203704</v>
      </c>
      <c r="C159" s="1" t="n">
        <v>45932</v>
      </c>
      <c r="D159" t="inlineStr">
        <is>
          <t>KALMAR LÄN</t>
        </is>
      </c>
      <c r="E159" t="inlineStr">
        <is>
          <t>VIMMERBY</t>
        </is>
      </c>
      <c r="G159" t="n">
        <v>0.2</v>
      </c>
      <c r="H159" t="n">
        <v>0</v>
      </c>
      <c r="I159" t="n">
        <v>0</v>
      </c>
      <c r="J159" t="n">
        <v>0</v>
      </c>
      <c r="K159" t="n">
        <v>0</v>
      </c>
      <c r="L159" t="n">
        <v>0</v>
      </c>
      <c r="M159" t="n">
        <v>0</v>
      </c>
      <c r="N159" t="n">
        <v>0</v>
      </c>
      <c r="O159" t="n">
        <v>0</v>
      </c>
      <c r="P159" t="n">
        <v>0</v>
      </c>
      <c r="Q159" t="n">
        <v>0</v>
      </c>
      <c r="R159" s="2" t="inlineStr"/>
    </row>
    <row r="160" ht="15" customHeight="1">
      <c r="A160" t="inlineStr">
        <is>
          <t>A 35001-2021</t>
        </is>
      </c>
      <c r="B160" s="1" t="n">
        <v>44383</v>
      </c>
      <c r="C160" s="1" t="n">
        <v>45932</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13180-2022</t>
        </is>
      </c>
      <c r="B161" s="1" t="n">
        <v>44644</v>
      </c>
      <c r="C161" s="1" t="n">
        <v>45932</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65887-2021</t>
        </is>
      </c>
      <c r="B162" s="1" t="n">
        <v>44517</v>
      </c>
      <c r="C162" s="1" t="n">
        <v>45932</v>
      </c>
      <c r="D162" t="inlineStr">
        <is>
          <t>KALMAR LÄN</t>
        </is>
      </c>
      <c r="E162" t="inlineStr">
        <is>
          <t>VIMMERBY</t>
        </is>
      </c>
      <c r="G162" t="n">
        <v>1.4</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45932</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45932</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27455-2022</t>
        </is>
      </c>
      <c r="B165" s="1" t="n">
        <v>44742</v>
      </c>
      <c r="C165" s="1" t="n">
        <v>45932</v>
      </c>
      <c r="D165" t="inlineStr">
        <is>
          <t>KALMAR LÄN</t>
        </is>
      </c>
      <c r="E165" t="inlineStr">
        <is>
          <t>VIMMERBY</t>
        </is>
      </c>
      <c r="G165" t="n">
        <v>1.6</v>
      </c>
      <c r="H165" t="n">
        <v>0</v>
      </c>
      <c r="I165" t="n">
        <v>0</v>
      </c>
      <c r="J165" t="n">
        <v>0</v>
      </c>
      <c r="K165" t="n">
        <v>0</v>
      </c>
      <c r="L165" t="n">
        <v>0</v>
      </c>
      <c r="M165" t="n">
        <v>0</v>
      </c>
      <c r="N165" t="n">
        <v>0</v>
      </c>
      <c r="O165" t="n">
        <v>0</v>
      </c>
      <c r="P165" t="n">
        <v>0</v>
      </c>
      <c r="Q165" t="n">
        <v>0</v>
      </c>
      <c r="R165" s="2" t="inlineStr"/>
    </row>
    <row r="166" ht="15" customHeight="1">
      <c r="A166" t="inlineStr">
        <is>
          <t>A 55674-2021</t>
        </is>
      </c>
      <c r="B166" s="1" t="n">
        <v>44476</v>
      </c>
      <c r="C166" s="1" t="n">
        <v>45932</v>
      </c>
      <c r="D166" t="inlineStr">
        <is>
          <t>KALMAR LÄN</t>
        </is>
      </c>
      <c r="E166" t="inlineStr">
        <is>
          <t>VIMMERBY</t>
        </is>
      </c>
      <c r="G166" t="n">
        <v>2.1</v>
      </c>
      <c r="H166" t="n">
        <v>0</v>
      </c>
      <c r="I166" t="n">
        <v>0</v>
      </c>
      <c r="J166" t="n">
        <v>0</v>
      </c>
      <c r="K166" t="n">
        <v>0</v>
      </c>
      <c r="L166" t="n">
        <v>0</v>
      </c>
      <c r="M166" t="n">
        <v>0</v>
      </c>
      <c r="N166" t="n">
        <v>0</v>
      </c>
      <c r="O166" t="n">
        <v>0</v>
      </c>
      <c r="P166" t="n">
        <v>0</v>
      </c>
      <c r="Q166" t="n">
        <v>0</v>
      </c>
      <c r="R166" s="2" t="inlineStr"/>
    </row>
    <row r="167" ht="15" customHeight="1">
      <c r="A167" t="inlineStr">
        <is>
          <t>A 39959-2022</t>
        </is>
      </c>
      <c r="B167" s="1" t="n">
        <v>44819</v>
      </c>
      <c r="C167" s="1" t="n">
        <v>45932</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40077-2021</t>
        </is>
      </c>
      <c r="B168" s="1" t="n">
        <v>44418</v>
      </c>
      <c r="C168" s="1" t="n">
        <v>45932</v>
      </c>
      <c r="D168" t="inlineStr">
        <is>
          <t>KALMAR LÄN</t>
        </is>
      </c>
      <c r="E168" t="inlineStr">
        <is>
          <t>VIMMERBY</t>
        </is>
      </c>
      <c r="G168" t="n">
        <v>2.9</v>
      </c>
      <c r="H168" t="n">
        <v>0</v>
      </c>
      <c r="I168" t="n">
        <v>0</v>
      </c>
      <c r="J168" t="n">
        <v>0</v>
      </c>
      <c r="K168" t="n">
        <v>0</v>
      </c>
      <c r="L168" t="n">
        <v>0</v>
      </c>
      <c r="M168" t="n">
        <v>0</v>
      </c>
      <c r="N168" t="n">
        <v>0</v>
      </c>
      <c r="O168" t="n">
        <v>0</v>
      </c>
      <c r="P168" t="n">
        <v>0</v>
      </c>
      <c r="Q168" t="n">
        <v>0</v>
      </c>
      <c r="R168" s="2" t="inlineStr"/>
    </row>
    <row r="169" ht="15" customHeight="1">
      <c r="A169" t="inlineStr">
        <is>
          <t>A 47769-2022</t>
        </is>
      </c>
      <c r="B169" s="1" t="n">
        <v>44854</v>
      </c>
      <c r="C169" s="1" t="n">
        <v>45932</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3330-2021</t>
        </is>
      </c>
      <c r="B170" s="1" t="n">
        <v>44217.79856481482</v>
      </c>
      <c r="C170" s="1" t="n">
        <v>45932</v>
      </c>
      <c r="D170" t="inlineStr">
        <is>
          <t>KALMAR LÄN</t>
        </is>
      </c>
      <c r="E170" t="inlineStr">
        <is>
          <t>VIMMERBY</t>
        </is>
      </c>
      <c r="G170" t="n">
        <v>11.1</v>
      </c>
      <c r="H170" t="n">
        <v>0</v>
      </c>
      <c r="I170" t="n">
        <v>0</v>
      </c>
      <c r="J170" t="n">
        <v>0</v>
      </c>
      <c r="K170" t="n">
        <v>0</v>
      </c>
      <c r="L170" t="n">
        <v>0</v>
      </c>
      <c r="M170" t="n">
        <v>0</v>
      </c>
      <c r="N170" t="n">
        <v>0</v>
      </c>
      <c r="O170" t="n">
        <v>0</v>
      </c>
      <c r="P170" t="n">
        <v>0</v>
      </c>
      <c r="Q170" t="n">
        <v>0</v>
      </c>
      <c r="R170" s="2" t="inlineStr"/>
    </row>
    <row r="171" ht="15" customHeight="1">
      <c r="A171" t="inlineStr">
        <is>
          <t>A 42850-2022</t>
        </is>
      </c>
      <c r="B171" s="1" t="n">
        <v>44832.67608796297</v>
      </c>
      <c r="C171" s="1" t="n">
        <v>45932</v>
      </c>
      <c r="D171" t="inlineStr">
        <is>
          <t>KALMAR LÄN</t>
        </is>
      </c>
      <c r="E171" t="inlineStr">
        <is>
          <t>VIMMERBY</t>
        </is>
      </c>
      <c r="G171" t="n">
        <v>5.9</v>
      </c>
      <c r="H171" t="n">
        <v>0</v>
      </c>
      <c r="I171" t="n">
        <v>0</v>
      </c>
      <c r="J171" t="n">
        <v>0</v>
      </c>
      <c r="K171" t="n">
        <v>0</v>
      </c>
      <c r="L171" t="n">
        <v>0</v>
      </c>
      <c r="M171" t="n">
        <v>0</v>
      </c>
      <c r="N171" t="n">
        <v>0</v>
      </c>
      <c r="O171" t="n">
        <v>0</v>
      </c>
      <c r="P171" t="n">
        <v>0</v>
      </c>
      <c r="Q171" t="n">
        <v>0</v>
      </c>
      <c r="R171" s="2" t="inlineStr"/>
    </row>
    <row r="172" ht="15" customHeight="1">
      <c r="A172" t="inlineStr">
        <is>
          <t>A 12661-2021</t>
        </is>
      </c>
      <c r="B172" s="1" t="n">
        <v>44270</v>
      </c>
      <c r="C172" s="1" t="n">
        <v>45932</v>
      </c>
      <c r="D172" t="inlineStr">
        <is>
          <t>KALMAR LÄN</t>
        </is>
      </c>
      <c r="E172" t="inlineStr">
        <is>
          <t>VIMMERBY</t>
        </is>
      </c>
      <c r="G172" t="n">
        <v>1.8</v>
      </c>
      <c r="H172" t="n">
        <v>0</v>
      </c>
      <c r="I172" t="n">
        <v>0</v>
      </c>
      <c r="J172" t="n">
        <v>0</v>
      </c>
      <c r="K172" t="n">
        <v>0</v>
      </c>
      <c r="L172" t="n">
        <v>0</v>
      </c>
      <c r="M172" t="n">
        <v>0</v>
      </c>
      <c r="N172" t="n">
        <v>0</v>
      </c>
      <c r="O172" t="n">
        <v>0</v>
      </c>
      <c r="P172" t="n">
        <v>0</v>
      </c>
      <c r="Q172" t="n">
        <v>0</v>
      </c>
      <c r="R172" s="2" t="inlineStr"/>
    </row>
    <row r="173" ht="15" customHeight="1">
      <c r="A173" t="inlineStr">
        <is>
          <t>A 24999-2021</t>
        </is>
      </c>
      <c r="B173" s="1" t="n">
        <v>44341</v>
      </c>
      <c r="C173" s="1" t="n">
        <v>45932</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6321-2023</t>
        </is>
      </c>
      <c r="B174" s="1" t="n">
        <v>44965.4815162037</v>
      </c>
      <c r="C174" s="1" t="n">
        <v>45932</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4624-2024</t>
        </is>
      </c>
      <c r="B175" s="1" t="n">
        <v>45328.38755787037</v>
      </c>
      <c r="C175" s="1" t="n">
        <v>45932</v>
      </c>
      <c r="D175" t="inlineStr">
        <is>
          <t>KALMAR LÄN</t>
        </is>
      </c>
      <c r="E175" t="inlineStr">
        <is>
          <t>VIMMERBY</t>
        </is>
      </c>
      <c r="G175" t="n">
        <v>1.7</v>
      </c>
      <c r="H175" t="n">
        <v>0</v>
      </c>
      <c r="I175" t="n">
        <v>0</v>
      </c>
      <c r="J175" t="n">
        <v>0</v>
      </c>
      <c r="K175" t="n">
        <v>0</v>
      </c>
      <c r="L175" t="n">
        <v>0</v>
      </c>
      <c r="M175" t="n">
        <v>0</v>
      </c>
      <c r="N175" t="n">
        <v>0</v>
      </c>
      <c r="O175" t="n">
        <v>0</v>
      </c>
      <c r="P175" t="n">
        <v>0</v>
      </c>
      <c r="Q175" t="n">
        <v>0</v>
      </c>
      <c r="R175" s="2" t="inlineStr"/>
    </row>
    <row r="176" ht="15" customHeight="1">
      <c r="A176" t="inlineStr">
        <is>
          <t>A 7917-2022</t>
        </is>
      </c>
      <c r="B176" s="1" t="n">
        <v>44608</v>
      </c>
      <c r="C176" s="1" t="n">
        <v>45932</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10086-2022</t>
        </is>
      </c>
      <c r="B177" s="1" t="n">
        <v>44621</v>
      </c>
      <c r="C177" s="1" t="n">
        <v>45932</v>
      </c>
      <c r="D177" t="inlineStr">
        <is>
          <t>KALMAR LÄN</t>
        </is>
      </c>
      <c r="E177" t="inlineStr">
        <is>
          <t>VIMMERBY</t>
        </is>
      </c>
      <c r="G177" t="n">
        <v>1.2</v>
      </c>
      <c r="H177" t="n">
        <v>0</v>
      </c>
      <c r="I177" t="n">
        <v>0</v>
      </c>
      <c r="J177" t="n">
        <v>0</v>
      </c>
      <c r="K177" t="n">
        <v>0</v>
      </c>
      <c r="L177" t="n">
        <v>0</v>
      </c>
      <c r="M177" t="n">
        <v>0</v>
      </c>
      <c r="N177" t="n">
        <v>0</v>
      </c>
      <c r="O177" t="n">
        <v>0</v>
      </c>
      <c r="P177" t="n">
        <v>0</v>
      </c>
      <c r="Q177" t="n">
        <v>0</v>
      </c>
      <c r="R177" s="2" t="inlineStr"/>
    </row>
    <row r="178" ht="15" customHeight="1">
      <c r="A178" t="inlineStr">
        <is>
          <t>A 47208-2021</t>
        </is>
      </c>
      <c r="B178" s="1" t="n">
        <v>44447.34237268518</v>
      </c>
      <c r="C178" s="1" t="n">
        <v>45932</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48377-2021</t>
        </is>
      </c>
      <c r="B179" s="1" t="n">
        <v>44451.8375</v>
      </c>
      <c r="C179" s="1" t="n">
        <v>45932</v>
      </c>
      <c r="D179" t="inlineStr">
        <is>
          <t>KALMAR LÄN</t>
        </is>
      </c>
      <c r="E179" t="inlineStr">
        <is>
          <t>VIMMERBY</t>
        </is>
      </c>
      <c r="G179" t="n">
        <v>0.4</v>
      </c>
      <c r="H179" t="n">
        <v>0</v>
      </c>
      <c r="I179" t="n">
        <v>0</v>
      </c>
      <c r="J179" t="n">
        <v>0</v>
      </c>
      <c r="K179" t="n">
        <v>0</v>
      </c>
      <c r="L179" t="n">
        <v>0</v>
      </c>
      <c r="M179" t="n">
        <v>0</v>
      </c>
      <c r="N179" t="n">
        <v>0</v>
      </c>
      <c r="O179" t="n">
        <v>0</v>
      </c>
      <c r="P179" t="n">
        <v>0</v>
      </c>
      <c r="Q179" t="n">
        <v>0</v>
      </c>
      <c r="R179" s="2" t="inlineStr"/>
    </row>
    <row r="180" ht="15" customHeight="1">
      <c r="A180" t="inlineStr">
        <is>
          <t>A 40472-2022</t>
        </is>
      </c>
      <c r="B180" s="1" t="n">
        <v>44823</v>
      </c>
      <c r="C180" s="1" t="n">
        <v>45932</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40730-2024</t>
        </is>
      </c>
      <c r="B181" s="1" t="n">
        <v>45558.44914351852</v>
      </c>
      <c r="C181" s="1" t="n">
        <v>45932</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45932</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2157-2024</t>
        </is>
      </c>
      <c r="B183" s="1" t="n">
        <v>45309.59487268519</v>
      </c>
      <c r="C183" s="1" t="n">
        <v>45932</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16705-2021</t>
        </is>
      </c>
      <c r="B184" s="1" t="n">
        <v>44294</v>
      </c>
      <c r="C184" s="1" t="n">
        <v>45932</v>
      </c>
      <c r="D184" t="inlineStr">
        <is>
          <t>KALMAR LÄN</t>
        </is>
      </c>
      <c r="E184" t="inlineStr">
        <is>
          <t>VIMMERBY</t>
        </is>
      </c>
      <c r="G184" t="n">
        <v>2.6</v>
      </c>
      <c r="H184" t="n">
        <v>0</v>
      </c>
      <c r="I184" t="n">
        <v>0</v>
      </c>
      <c r="J184" t="n">
        <v>0</v>
      </c>
      <c r="K184" t="n">
        <v>0</v>
      </c>
      <c r="L184" t="n">
        <v>0</v>
      </c>
      <c r="M184" t="n">
        <v>0</v>
      </c>
      <c r="N184" t="n">
        <v>0</v>
      </c>
      <c r="O184" t="n">
        <v>0</v>
      </c>
      <c r="P184" t="n">
        <v>0</v>
      </c>
      <c r="Q184" t="n">
        <v>0</v>
      </c>
      <c r="R184" s="2" t="inlineStr"/>
    </row>
    <row r="185" ht="15" customHeight="1">
      <c r="A185" t="inlineStr">
        <is>
          <t>A 51977-2020</t>
        </is>
      </c>
      <c r="B185" s="1" t="n">
        <v>44116</v>
      </c>
      <c r="C185" s="1" t="n">
        <v>45932</v>
      </c>
      <c r="D185" t="inlineStr">
        <is>
          <t>KALMAR LÄN</t>
        </is>
      </c>
      <c r="E185" t="inlineStr">
        <is>
          <t>VIMMERBY</t>
        </is>
      </c>
      <c r="G185" t="n">
        <v>1.5</v>
      </c>
      <c r="H185" t="n">
        <v>0</v>
      </c>
      <c r="I185" t="n">
        <v>0</v>
      </c>
      <c r="J185" t="n">
        <v>0</v>
      </c>
      <c r="K185" t="n">
        <v>0</v>
      </c>
      <c r="L185" t="n">
        <v>0</v>
      </c>
      <c r="M185" t="n">
        <v>0</v>
      </c>
      <c r="N185" t="n">
        <v>0</v>
      </c>
      <c r="O185" t="n">
        <v>0</v>
      </c>
      <c r="P185" t="n">
        <v>0</v>
      </c>
      <c r="Q185" t="n">
        <v>0</v>
      </c>
      <c r="R185" s="2" t="inlineStr"/>
    </row>
    <row r="186" ht="15" customHeight="1">
      <c r="A186" t="inlineStr">
        <is>
          <t>A 35316-2021</t>
        </is>
      </c>
      <c r="B186" s="1" t="n">
        <v>44384</v>
      </c>
      <c r="C186" s="1" t="n">
        <v>45932</v>
      </c>
      <c r="D186" t="inlineStr">
        <is>
          <t>KALMAR LÄN</t>
        </is>
      </c>
      <c r="E186" t="inlineStr">
        <is>
          <t>VIMMERBY</t>
        </is>
      </c>
      <c r="G186" t="n">
        <v>3.5</v>
      </c>
      <c r="H186" t="n">
        <v>0</v>
      </c>
      <c r="I186" t="n">
        <v>0</v>
      </c>
      <c r="J186" t="n">
        <v>0</v>
      </c>
      <c r="K186" t="n">
        <v>0</v>
      </c>
      <c r="L186" t="n">
        <v>0</v>
      </c>
      <c r="M186" t="n">
        <v>0</v>
      </c>
      <c r="N186" t="n">
        <v>0</v>
      </c>
      <c r="O186" t="n">
        <v>0</v>
      </c>
      <c r="P186" t="n">
        <v>0</v>
      </c>
      <c r="Q186" t="n">
        <v>0</v>
      </c>
      <c r="R186" s="2" t="inlineStr"/>
    </row>
    <row r="187" ht="15" customHeight="1">
      <c r="A187" t="inlineStr">
        <is>
          <t>A 49461-2022</t>
        </is>
      </c>
      <c r="B187" s="1" t="n">
        <v>44861</v>
      </c>
      <c r="C187" s="1" t="n">
        <v>45932</v>
      </c>
      <c r="D187" t="inlineStr">
        <is>
          <t>KALMAR LÄN</t>
        </is>
      </c>
      <c r="E187" t="inlineStr">
        <is>
          <t>VIMMERBY</t>
        </is>
      </c>
      <c r="G187" t="n">
        <v>3.2</v>
      </c>
      <c r="H187" t="n">
        <v>0</v>
      </c>
      <c r="I187" t="n">
        <v>0</v>
      </c>
      <c r="J187" t="n">
        <v>0</v>
      </c>
      <c r="K187" t="n">
        <v>0</v>
      </c>
      <c r="L187" t="n">
        <v>0</v>
      </c>
      <c r="M187" t="n">
        <v>0</v>
      </c>
      <c r="N187" t="n">
        <v>0</v>
      </c>
      <c r="O187" t="n">
        <v>0</v>
      </c>
      <c r="P187" t="n">
        <v>0</v>
      </c>
      <c r="Q187" t="n">
        <v>0</v>
      </c>
      <c r="R187" s="2" t="inlineStr"/>
    </row>
    <row r="188" ht="15" customHeight="1">
      <c r="A188" t="inlineStr">
        <is>
          <t>A 33831-2022</t>
        </is>
      </c>
      <c r="B188" s="1" t="n">
        <v>44790.48503472222</v>
      </c>
      <c r="C188" s="1" t="n">
        <v>45932</v>
      </c>
      <c r="D188" t="inlineStr">
        <is>
          <t>KALMAR LÄN</t>
        </is>
      </c>
      <c r="E188" t="inlineStr">
        <is>
          <t>VIMMERBY</t>
        </is>
      </c>
      <c r="G188" t="n">
        <v>1.1</v>
      </c>
      <c r="H188" t="n">
        <v>0</v>
      </c>
      <c r="I188" t="n">
        <v>0</v>
      </c>
      <c r="J188" t="n">
        <v>0</v>
      </c>
      <c r="K188" t="n">
        <v>0</v>
      </c>
      <c r="L188" t="n">
        <v>0</v>
      </c>
      <c r="M188" t="n">
        <v>0</v>
      </c>
      <c r="N188" t="n">
        <v>0</v>
      </c>
      <c r="O188" t="n">
        <v>0</v>
      </c>
      <c r="P188" t="n">
        <v>0</v>
      </c>
      <c r="Q188" t="n">
        <v>0</v>
      </c>
      <c r="R188" s="2" t="inlineStr"/>
    </row>
    <row r="189" ht="15" customHeight="1">
      <c r="A189" t="inlineStr">
        <is>
          <t>A 694-2024</t>
        </is>
      </c>
      <c r="B189" s="1" t="n">
        <v>45300.3794212963</v>
      </c>
      <c r="C189" s="1" t="n">
        <v>45932</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47708-2022</t>
        </is>
      </c>
      <c r="B190" s="1" t="n">
        <v>44854.59157407407</v>
      </c>
      <c r="C190" s="1" t="n">
        <v>45932</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53145-2022</t>
        </is>
      </c>
      <c r="B191" s="1" t="n">
        <v>44876.48346064815</v>
      </c>
      <c r="C191" s="1" t="n">
        <v>45932</v>
      </c>
      <c r="D191" t="inlineStr">
        <is>
          <t>KALMAR LÄN</t>
        </is>
      </c>
      <c r="E191" t="inlineStr">
        <is>
          <t>VIMMERBY</t>
        </is>
      </c>
      <c r="G191" t="n">
        <v>0.4</v>
      </c>
      <c r="H191" t="n">
        <v>0</v>
      </c>
      <c r="I191" t="n">
        <v>0</v>
      </c>
      <c r="J191" t="n">
        <v>0</v>
      </c>
      <c r="K191" t="n">
        <v>0</v>
      </c>
      <c r="L191" t="n">
        <v>0</v>
      </c>
      <c r="M191" t="n">
        <v>0</v>
      </c>
      <c r="N191" t="n">
        <v>0</v>
      </c>
      <c r="O191" t="n">
        <v>0</v>
      </c>
      <c r="P191" t="n">
        <v>0</v>
      </c>
      <c r="Q191" t="n">
        <v>0</v>
      </c>
      <c r="R191" s="2" t="inlineStr"/>
    </row>
    <row r="192" ht="15" customHeight="1">
      <c r="A192" t="inlineStr">
        <is>
          <t>A 25738-2022</t>
        </is>
      </c>
      <c r="B192" s="1" t="n">
        <v>44733.43092592592</v>
      </c>
      <c r="C192" s="1" t="n">
        <v>45932</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59598-2023</t>
        </is>
      </c>
      <c r="B193" s="1" t="n">
        <v>45254.62489583333</v>
      </c>
      <c r="C193" s="1" t="n">
        <v>45932</v>
      </c>
      <c r="D193" t="inlineStr">
        <is>
          <t>KALMAR LÄN</t>
        </is>
      </c>
      <c r="E193" t="inlineStr">
        <is>
          <t>VIMMERBY</t>
        </is>
      </c>
      <c r="F193" t="inlineStr">
        <is>
          <t>Övriga Aktiebolag</t>
        </is>
      </c>
      <c r="G193" t="n">
        <v>4</v>
      </c>
      <c r="H193" t="n">
        <v>0</v>
      </c>
      <c r="I193" t="n">
        <v>0</v>
      </c>
      <c r="J193" t="n">
        <v>0</v>
      </c>
      <c r="K193" t="n">
        <v>0</v>
      </c>
      <c r="L193" t="n">
        <v>0</v>
      </c>
      <c r="M193" t="n">
        <v>0</v>
      </c>
      <c r="N193" t="n">
        <v>0</v>
      </c>
      <c r="O193" t="n">
        <v>0</v>
      </c>
      <c r="P193" t="n">
        <v>0</v>
      </c>
      <c r="Q193" t="n">
        <v>0</v>
      </c>
      <c r="R193" s="2" t="inlineStr"/>
    </row>
    <row r="194" ht="15" customHeight="1">
      <c r="A194" t="inlineStr">
        <is>
          <t>A 7944-2024</t>
        </is>
      </c>
      <c r="B194" s="1" t="n">
        <v>45350.53306712963</v>
      </c>
      <c r="C194" s="1" t="n">
        <v>45932</v>
      </c>
      <c r="D194" t="inlineStr">
        <is>
          <t>KALMAR LÄN</t>
        </is>
      </c>
      <c r="E194" t="inlineStr">
        <is>
          <t>VIMMERBY</t>
        </is>
      </c>
      <c r="G194" t="n">
        <v>1.2</v>
      </c>
      <c r="H194" t="n">
        <v>0</v>
      </c>
      <c r="I194" t="n">
        <v>0</v>
      </c>
      <c r="J194" t="n">
        <v>0</v>
      </c>
      <c r="K194" t="n">
        <v>0</v>
      </c>
      <c r="L194" t="n">
        <v>0</v>
      </c>
      <c r="M194" t="n">
        <v>0</v>
      </c>
      <c r="N194" t="n">
        <v>0</v>
      </c>
      <c r="O194" t="n">
        <v>0</v>
      </c>
      <c r="P194" t="n">
        <v>0</v>
      </c>
      <c r="Q194" t="n">
        <v>0</v>
      </c>
      <c r="R194" s="2" t="inlineStr"/>
    </row>
    <row r="195" ht="15" customHeight="1">
      <c r="A195" t="inlineStr">
        <is>
          <t>A 56389-2021</t>
        </is>
      </c>
      <c r="B195" s="1" t="n">
        <v>44480</v>
      </c>
      <c r="C195" s="1" t="n">
        <v>45932</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9918-2022</t>
        </is>
      </c>
      <c r="B196" s="1" t="n">
        <v>44620</v>
      </c>
      <c r="C196" s="1" t="n">
        <v>45932</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72701-2021</t>
        </is>
      </c>
      <c r="B197" s="1" t="n">
        <v>44546</v>
      </c>
      <c r="C197" s="1" t="n">
        <v>45932</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21496-2023</t>
        </is>
      </c>
      <c r="B198" s="1" t="n">
        <v>45063.49936342592</v>
      </c>
      <c r="C198" s="1" t="n">
        <v>45932</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19111-2025</t>
        </is>
      </c>
      <c r="B199" s="1" t="n">
        <v>45768.65611111111</v>
      </c>
      <c r="C199" s="1" t="n">
        <v>45932</v>
      </c>
      <c r="D199" t="inlineStr">
        <is>
          <t>KALMAR LÄN</t>
        </is>
      </c>
      <c r="E199" t="inlineStr">
        <is>
          <t>VIMMERBY</t>
        </is>
      </c>
      <c r="G199" t="n">
        <v>6.2</v>
      </c>
      <c r="H199" t="n">
        <v>0</v>
      </c>
      <c r="I199" t="n">
        <v>0</v>
      </c>
      <c r="J199" t="n">
        <v>0</v>
      </c>
      <c r="K199" t="n">
        <v>0</v>
      </c>
      <c r="L199" t="n">
        <v>0</v>
      </c>
      <c r="M199" t="n">
        <v>0</v>
      </c>
      <c r="N199" t="n">
        <v>0</v>
      </c>
      <c r="O199" t="n">
        <v>0</v>
      </c>
      <c r="P199" t="n">
        <v>0</v>
      </c>
      <c r="Q199" t="n">
        <v>0</v>
      </c>
      <c r="R199" s="2" t="inlineStr"/>
    </row>
    <row r="200" ht="15" customHeight="1">
      <c r="A200" t="inlineStr">
        <is>
          <t>A 33374-2021</t>
        </is>
      </c>
      <c r="B200" s="1" t="n">
        <v>44377</v>
      </c>
      <c r="C200" s="1" t="n">
        <v>45932</v>
      </c>
      <c r="D200" t="inlineStr">
        <is>
          <t>KALMAR LÄN</t>
        </is>
      </c>
      <c r="E200" t="inlineStr">
        <is>
          <t>VIMMERBY</t>
        </is>
      </c>
      <c r="G200" t="n">
        <v>3.3</v>
      </c>
      <c r="H200" t="n">
        <v>0</v>
      </c>
      <c r="I200" t="n">
        <v>0</v>
      </c>
      <c r="J200" t="n">
        <v>0</v>
      </c>
      <c r="K200" t="n">
        <v>0</v>
      </c>
      <c r="L200" t="n">
        <v>0</v>
      </c>
      <c r="M200" t="n">
        <v>0</v>
      </c>
      <c r="N200" t="n">
        <v>0</v>
      </c>
      <c r="O200" t="n">
        <v>0</v>
      </c>
      <c r="P200" t="n">
        <v>0</v>
      </c>
      <c r="Q200" t="n">
        <v>0</v>
      </c>
      <c r="R200" s="2" t="inlineStr"/>
    </row>
    <row r="201" ht="15" customHeight="1">
      <c r="A201" t="inlineStr">
        <is>
          <t>A 10807-2024</t>
        </is>
      </c>
      <c r="B201" s="1" t="n">
        <v>45369.62780092593</v>
      </c>
      <c r="C201" s="1" t="n">
        <v>45932</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33359-2021</t>
        </is>
      </c>
      <c r="B202" s="1" t="n">
        <v>44377.49684027778</v>
      </c>
      <c r="C202" s="1" t="n">
        <v>45932</v>
      </c>
      <c r="D202" t="inlineStr">
        <is>
          <t>KALMAR LÄN</t>
        </is>
      </c>
      <c r="E202" t="inlineStr">
        <is>
          <t>VIMMERBY</t>
        </is>
      </c>
      <c r="F202" t="inlineStr">
        <is>
          <t>Kommuner</t>
        </is>
      </c>
      <c r="G202" t="n">
        <v>8</v>
      </c>
      <c r="H202" t="n">
        <v>0</v>
      </c>
      <c r="I202" t="n">
        <v>0</v>
      </c>
      <c r="J202" t="n">
        <v>0</v>
      </c>
      <c r="K202" t="n">
        <v>0</v>
      </c>
      <c r="L202" t="n">
        <v>0</v>
      </c>
      <c r="M202" t="n">
        <v>0</v>
      </c>
      <c r="N202" t="n">
        <v>0</v>
      </c>
      <c r="O202" t="n">
        <v>0</v>
      </c>
      <c r="P202" t="n">
        <v>0</v>
      </c>
      <c r="Q202" t="n">
        <v>0</v>
      </c>
      <c r="R202" s="2" t="inlineStr"/>
    </row>
    <row r="203" ht="15" customHeight="1">
      <c r="A203" t="inlineStr">
        <is>
          <t>A 8194-2022</t>
        </is>
      </c>
      <c r="B203" s="1" t="n">
        <v>44609</v>
      </c>
      <c r="C203" s="1" t="n">
        <v>45932</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15191-2021</t>
        </is>
      </c>
      <c r="B204" s="1" t="n">
        <v>44284.42348379629</v>
      </c>
      <c r="C204" s="1" t="n">
        <v>45932</v>
      </c>
      <c r="D204" t="inlineStr">
        <is>
          <t>KALMAR LÄN</t>
        </is>
      </c>
      <c r="E204" t="inlineStr">
        <is>
          <t>VIMMERBY</t>
        </is>
      </c>
      <c r="G204" t="n">
        <v>1.3</v>
      </c>
      <c r="H204" t="n">
        <v>0</v>
      </c>
      <c r="I204" t="n">
        <v>0</v>
      </c>
      <c r="J204" t="n">
        <v>0</v>
      </c>
      <c r="K204" t="n">
        <v>0</v>
      </c>
      <c r="L204" t="n">
        <v>0</v>
      </c>
      <c r="M204" t="n">
        <v>0</v>
      </c>
      <c r="N204" t="n">
        <v>0</v>
      </c>
      <c r="O204" t="n">
        <v>0</v>
      </c>
      <c r="P204" t="n">
        <v>0</v>
      </c>
      <c r="Q204" t="n">
        <v>0</v>
      </c>
      <c r="R204" s="2" t="inlineStr"/>
    </row>
    <row r="205" ht="15" customHeight="1">
      <c r="A205" t="inlineStr">
        <is>
          <t>A 29783-2024</t>
        </is>
      </c>
      <c r="B205" s="1" t="n">
        <v>45485.45778935185</v>
      </c>
      <c r="C205" s="1" t="n">
        <v>45932</v>
      </c>
      <c r="D205" t="inlineStr">
        <is>
          <t>KALMAR LÄN</t>
        </is>
      </c>
      <c r="E205" t="inlineStr">
        <is>
          <t>VIMMERBY</t>
        </is>
      </c>
      <c r="G205" t="n">
        <v>3.1</v>
      </c>
      <c r="H205" t="n">
        <v>0</v>
      </c>
      <c r="I205" t="n">
        <v>0</v>
      </c>
      <c r="J205" t="n">
        <v>0</v>
      </c>
      <c r="K205" t="n">
        <v>0</v>
      </c>
      <c r="L205" t="n">
        <v>0</v>
      </c>
      <c r="M205" t="n">
        <v>0</v>
      </c>
      <c r="N205" t="n">
        <v>0</v>
      </c>
      <c r="O205" t="n">
        <v>0</v>
      </c>
      <c r="P205" t="n">
        <v>0</v>
      </c>
      <c r="Q205" t="n">
        <v>0</v>
      </c>
      <c r="R205" s="2" t="inlineStr"/>
    </row>
    <row r="206" ht="15" customHeight="1">
      <c r="A206" t="inlineStr">
        <is>
          <t>A 34588-2024</t>
        </is>
      </c>
      <c r="B206" s="1" t="n">
        <v>45526.3865625</v>
      </c>
      <c r="C206" s="1" t="n">
        <v>45932</v>
      </c>
      <c r="D206" t="inlineStr">
        <is>
          <t>KALMAR LÄN</t>
        </is>
      </c>
      <c r="E206" t="inlineStr">
        <is>
          <t>VIMMERBY</t>
        </is>
      </c>
      <c r="F206" t="inlineStr">
        <is>
          <t>Övriga Aktiebolag</t>
        </is>
      </c>
      <c r="G206" t="n">
        <v>3.3</v>
      </c>
      <c r="H206" t="n">
        <v>0</v>
      </c>
      <c r="I206" t="n">
        <v>0</v>
      </c>
      <c r="J206" t="n">
        <v>0</v>
      </c>
      <c r="K206" t="n">
        <v>0</v>
      </c>
      <c r="L206" t="n">
        <v>0</v>
      </c>
      <c r="M206" t="n">
        <v>0</v>
      </c>
      <c r="N206" t="n">
        <v>0</v>
      </c>
      <c r="O206" t="n">
        <v>0</v>
      </c>
      <c r="P206" t="n">
        <v>0</v>
      </c>
      <c r="Q206" t="n">
        <v>0</v>
      </c>
      <c r="R206" s="2" t="inlineStr"/>
    </row>
    <row r="207" ht="15" customHeight="1">
      <c r="A207" t="inlineStr">
        <is>
          <t>A 17084-2025</t>
        </is>
      </c>
      <c r="B207" s="1" t="n">
        <v>45755.64450231481</v>
      </c>
      <c r="C207" s="1" t="n">
        <v>45932</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40971-2021</t>
        </is>
      </c>
      <c r="B208" s="1" t="n">
        <v>44421</v>
      </c>
      <c r="C208" s="1" t="n">
        <v>45932</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42918-2021</t>
        </is>
      </c>
      <c r="B209" s="1" t="n">
        <v>44431</v>
      </c>
      <c r="C209" s="1" t="n">
        <v>45932</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68744-2020</t>
        </is>
      </c>
      <c r="B210" s="1" t="n">
        <v>44186</v>
      </c>
      <c r="C210" s="1" t="n">
        <v>45932</v>
      </c>
      <c r="D210" t="inlineStr">
        <is>
          <t>KALMAR LÄN</t>
        </is>
      </c>
      <c r="E210" t="inlineStr">
        <is>
          <t>VIMMERBY</t>
        </is>
      </c>
      <c r="G210" t="n">
        <v>2.5</v>
      </c>
      <c r="H210" t="n">
        <v>0</v>
      </c>
      <c r="I210" t="n">
        <v>0</v>
      </c>
      <c r="J210" t="n">
        <v>0</v>
      </c>
      <c r="K210" t="n">
        <v>0</v>
      </c>
      <c r="L210" t="n">
        <v>0</v>
      </c>
      <c r="M210" t="n">
        <v>0</v>
      </c>
      <c r="N210" t="n">
        <v>0</v>
      </c>
      <c r="O210" t="n">
        <v>0</v>
      </c>
      <c r="P210" t="n">
        <v>0</v>
      </c>
      <c r="Q210" t="n">
        <v>0</v>
      </c>
      <c r="R210" s="2" t="inlineStr"/>
    </row>
    <row r="211" ht="15" customHeight="1">
      <c r="A211" t="inlineStr">
        <is>
          <t>A 33161-2024</t>
        </is>
      </c>
      <c r="B211" s="1" t="n">
        <v>45518.40657407408</v>
      </c>
      <c r="C211" s="1" t="n">
        <v>45932</v>
      </c>
      <c r="D211" t="inlineStr">
        <is>
          <t>KALMAR LÄN</t>
        </is>
      </c>
      <c r="E211" t="inlineStr">
        <is>
          <t>VIMMERBY</t>
        </is>
      </c>
      <c r="G211" t="n">
        <v>4.7</v>
      </c>
      <c r="H211" t="n">
        <v>0</v>
      </c>
      <c r="I211" t="n">
        <v>0</v>
      </c>
      <c r="J211" t="n">
        <v>0</v>
      </c>
      <c r="K211" t="n">
        <v>0</v>
      </c>
      <c r="L211" t="n">
        <v>0</v>
      </c>
      <c r="M211" t="n">
        <v>0</v>
      </c>
      <c r="N211" t="n">
        <v>0</v>
      </c>
      <c r="O211" t="n">
        <v>0</v>
      </c>
      <c r="P211" t="n">
        <v>0</v>
      </c>
      <c r="Q211" t="n">
        <v>0</v>
      </c>
      <c r="R211" s="2" t="inlineStr"/>
    </row>
    <row r="212" ht="15" customHeight="1">
      <c r="A212" t="inlineStr">
        <is>
          <t>A 13457-2021</t>
        </is>
      </c>
      <c r="B212" s="1" t="n">
        <v>44273</v>
      </c>
      <c r="C212" s="1" t="n">
        <v>45932</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22643-2023</t>
        </is>
      </c>
      <c r="B213" s="1" t="n">
        <v>45071</v>
      </c>
      <c r="C213" s="1" t="n">
        <v>45932</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14278-2021</t>
        </is>
      </c>
      <c r="B214" s="1" t="n">
        <v>44278.63479166666</v>
      </c>
      <c r="C214" s="1" t="n">
        <v>45932</v>
      </c>
      <c r="D214" t="inlineStr">
        <is>
          <t>KALMAR LÄN</t>
        </is>
      </c>
      <c r="E214" t="inlineStr">
        <is>
          <t>VIMMERBY</t>
        </is>
      </c>
      <c r="F214" t="inlineStr">
        <is>
          <t>Övriga statliga verk och myndigheter</t>
        </is>
      </c>
      <c r="G214" t="n">
        <v>0.8</v>
      </c>
      <c r="H214" t="n">
        <v>0</v>
      </c>
      <c r="I214" t="n">
        <v>0</v>
      </c>
      <c r="J214" t="n">
        <v>0</v>
      </c>
      <c r="K214" t="n">
        <v>0</v>
      </c>
      <c r="L214" t="n">
        <v>0</v>
      </c>
      <c r="M214" t="n">
        <v>0</v>
      </c>
      <c r="N214" t="n">
        <v>0</v>
      </c>
      <c r="O214" t="n">
        <v>0</v>
      </c>
      <c r="P214" t="n">
        <v>0</v>
      </c>
      <c r="Q214" t="n">
        <v>0</v>
      </c>
      <c r="R214" s="2" t="inlineStr"/>
    </row>
    <row r="215" ht="15" customHeight="1">
      <c r="A215" t="inlineStr">
        <is>
          <t>A 18669-2025</t>
        </is>
      </c>
      <c r="B215" s="1" t="n">
        <v>45763.59436342592</v>
      </c>
      <c r="C215" s="1" t="n">
        <v>45932</v>
      </c>
      <c r="D215" t="inlineStr">
        <is>
          <t>KALMAR LÄN</t>
        </is>
      </c>
      <c r="E215" t="inlineStr">
        <is>
          <t>VIMMERBY</t>
        </is>
      </c>
      <c r="G215" t="n">
        <v>2.7</v>
      </c>
      <c r="H215" t="n">
        <v>0</v>
      </c>
      <c r="I215" t="n">
        <v>0</v>
      </c>
      <c r="J215" t="n">
        <v>0</v>
      </c>
      <c r="K215" t="n">
        <v>0</v>
      </c>
      <c r="L215" t="n">
        <v>0</v>
      </c>
      <c r="M215" t="n">
        <v>0</v>
      </c>
      <c r="N215" t="n">
        <v>0</v>
      </c>
      <c r="O215" t="n">
        <v>0</v>
      </c>
      <c r="P215" t="n">
        <v>0</v>
      </c>
      <c r="Q215" t="n">
        <v>0</v>
      </c>
      <c r="R215" s="2" t="inlineStr"/>
    </row>
    <row r="216" ht="15" customHeight="1">
      <c r="A216" t="inlineStr">
        <is>
          <t>A 14359-2025</t>
        </is>
      </c>
      <c r="B216" s="1" t="n">
        <v>45741.37270833334</v>
      </c>
      <c r="C216" s="1" t="n">
        <v>45932</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38780-2021</t>
        </is>
      </c>
      <c r="B217" s="1" t="n">
        <v>44410</v>
      </c>
      <c r="C217" s="1" t="n">
        <v>45932</v>
      </c>
      <c r="D217" t="inlineStr">
        <is>
          <t>KALMAR LÄN</t>
        </is>
      </c>
      <c r="E217" t="inlineStr">
        <is>
          <t>VIMMERBY</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35198-2023</t>
        </is>
      </c>
      <c r="B218" s="1" t="n">
        <v>45145</v>
      </c>
      <c r="C218" s="1" t="n">
        <v>45932</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29020-2024</t>
        </is>
      </c>
      <c r="B219" s="1" t="n">
        <v>45481.58048611111</v>
      </c>
      <c r="C219" s="1" t="n">
        <v>45932</v>
      </c>
      <c r="D219" t="inlineStr">
        <is>
          <t>KALMAR LÄN</t>
        </is>
      </c>
      <c r="E219" t="inlineStr">
        <is>
          <t>VIMMERBY</t>
        </is>
      </c>
      <c r="G219" t="n">
        <v>2.3</v>
      </c>
      <c r="H219" t="n">
        <v>0</v>
      </c>
      <c r="I219" t="n">
        <v>0</v>
      </c>
      <c r="J219" t="n">
        <v>0</v>
      </c>
      <c r="K219" t="n">
        <v>0</v>
      </c>
      <c r="L219" t="n">
        <v>0</v>
      </c>
      <c r="M219" t="n">
        <v>0</v>
      </c>
      <c r="N219" t="n">
        <v>0</v>
      </c>
      <c r="O219" t="n">
        <v>0</v>
      </c>
      <c r="P219" t="n">
        <v>0</v>
      </c>
      <c r="Q219" t="n">
        <v>0</v>
      </c>
      <c r="R219" s="2" t="inlineStr"/>
    </row>
    <row r="220" ht="15" customHeight="1">
      <c r="A220" t="inlineStr">
        <is>
          <t>A 43853-2023</t>
        </is>
      </c>
      <c r="B220" s="1" t="n">
        <v>45187.60813657408</v>
      </c>
      <c r="C220" s="1" t="n">
        <v>45932</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30406-2023</t>
        </is>
      </c>
      <c r="B221" s="1" t="n">
        <v>45111.48787037037</v>
      </c>
      <c r="C221" s="1" t="n">
        <v>45932</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13817-2024</t>
        </is>
      </c>
      <c r="B222" s="1" t="n">
        <v>45391.41976851852</v>
      </c>
      <c r="C222" s="1" t="n">
        <v>45932</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8453-2022</t>
        </is>
      </c>
      <c r="B223" s="1" t="n">
        <v>44612.86554398148</v>
      </c>
      <c r="C223" s="1" t="n">
        <v>45932</v>
      </c>
      <c r="D223" t="inlineStr">
        <is>
          <t>KALMAR LÄN</t>
        </is>
      </c>
      <c r="E223" t="inlineStr">
        <is>
          <t>VIMMERBY</t>
        </is>
      </c>
      <c r="G223" t="n">
        <v>1.7</v>
      </c>
      <c r="H223" t="n">
        <v>0</v>
      </c>
      <c r="I223" t="n">
        <v>0</v>
      </c>
      <c r="J223" t="n">
        <v>0</v>
      </c>
      <c r="K223" t="n">
        <v>0</v>
      </c>
      <c r="L223" t="n">
        <v>0</v>
      </c>
      <c r="M223" t="n">
        <v>0</v>
      </c>
      <c r="N223" t="n">
        <v>0</v>
      </c>
      <c r="O223" t="n">
        <v>0</v>
      </c>
      <c r="P223" t="n">
        <v>0</v>
      </c>
      <c r="Q223" t="n">
        <v>0</v>
      </c>
      <c r="R223" s="2" t="inlineStr"/>
    </row>
    <row r="224" ht="15" customHeight="1">
      <c r="A224" t="inlineStr">
        <is>
          <t>A 52433-2021</t>
        </is>
      </c>
      <c r="B224" s="1" t="n">
        <v>44466.34726851852</v>
      </c>
      <c r="C224" s="1" t="n">
        <v>45932</v>
      </c>
      <c r="D224" t="inlineStr">
        <is>
          <t>KALMAR LÄN</t>
        </is>
      </c>
      <c r="E224" t="inlineStr">
        <is>
          <t>VIMMERBY</t>
        </is>
      </c>
      <c r="G224" t="n">
        <v>3.5</v>
      </c>
      <c r="H224" t="n">
        <v>0</v>
      </c>
      <c r="I224" t="n">
        <v>0</v>
      </c>
      <c r="J224" t="n">
        <v>0</v>
      </c>
      <c r="K224" t="n">
        <v>0</v>
      </c>
      <c r="L224" t="n">
        <v>0</v>
      </c>
      <c r="M224" t="n">
        <v>0</v>
      </c>
      <c r="N224" t="n">
        <v>0</v>
      </c>
      <c r="O224" t="n">
        <v>0</v>
      </c>
      <c r="P224" t="n">
        <v>0</v>
      </c>
      <c r="Q224" t="n">
        <v>0</v>
      </c>
      <c r="R224" s="2" t="inlineStr"/>
    </row>
    <row r="225" ht="15" customHeight="1">
      <c r="A225" t="inlineStr">
        <is>
          <t>A 50621-2022</t>
        </is>
      </c>
      <c r="B225" s="1" t="n">
        <v>44866.81100694444</v>
      </c>
      <c r="C225" s="1" t="n">
        <v>45932</v>
      </c>
      <c r="D225" t="inlineStr">
        <is>
          <t>KALMAR LÄN</t>
        </is>
      </c>
      <c r="E225" t="inlineStr">
        <is>
          <t>VIMMERBY</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7075-2021</t>
        </is>
      </c>
      <c r="B226" s="1" t="n">
        <v>44237</v>
      </c>
      <c r="C226" s="1" t="n">
        <v>45932</v>
      </c>
      <c r="D226" t="inlineStr">
        <is>
          <t>KALMAR LÄN</t>
        </is>
      </c>
      <c r="E226" t="inlineStr">
        <is>
          <t>VIMMERBY</t>
        </is>
      </c>
      <c r="G226" t="n">
        <v>3.6</v>
      </c>
      <c r="H226" t="n">
        <v>0</v>
      </c>
      <c r="I226" t="n">
        <v>0</v>
      </c>
      <c r="J226" t="n">
        <v>0</v>
      </c>
      <c r="K226" t="n">
        <v>0</v>
      </c>
      <c r="L226" t="n">
        <v>0</v>
      </c>
      <c r="M226" t="n">
        <v>0</v>
      </c>
      <c r="N226" t="n">
        <v>0</v>
      </c>
      <c r="O226" t="n">
        <v>0</v>
      </c>
      <c r="P226" t="n">
        <v>0</v>
      </c>
      <c r="Q226" t="n">
        <v>0</v>
      </c>
      <c r="R226" s="2" t="inlineStr"/>
    </row>
    <row r="227" ht="15" customHeight="1">
      <c r="A227" t="inlineStr">
        <is>
          <t>A 54065-2021</t>
        </is>
      </c>
      <c r="B227" s="1" t="n">
        <v>44470.44232638889</v>
      </c>
      <c r="C227" s="1" t="n">
        <v>45932</v>
      </c>
      <c r="D227" t="inlineStr">
        <is>
          <t>KALMAR LÄN</t>
        </is>
      </c>
      <c r="E227" t="inlineStr">
        <is>
          <t>VIMMERBY</t>
        </is>
      </c>
      <c r="G227" t="n">
        <v>0.9</v>
      </c>
      <c r="H227" t="n">
        <v>0</v>
      </c>
      <c r="I227" t="n">
        <v>0</v>
      </c>
      <c r="J227" t="n">
        <v>0</v>
      </c>
      <c r="K227" t="n">
        <v>0</v>
      </c>
      <c r="L227" t="n">
        <v>0</v>
      </c>
      <c r="M227" t="n">
        <v>0</v>
      </c>
      <c r="N227" t="n">
        <v>0</v>
      </c>
      <c r="O227" t="n">
        <v>0</v>
      </c>
      <c r="P227" t="n">
        <v>0</v>
      </c>
      <c r="Q227" t="n">
        <v>0</v>
      </c>
      <c r="R227" s="2" t="inlineStr"/>
    </row>
    <row r="228" ht="15" customHeight="1">
      <c r="A228" t="inlineStr">
        <is>
          <t>A 31824-2022</t>
        </is>
      </c>
      <c r="B228" s="1" t="n">
        <v>44776</v>
      </c>
      <c r="C228" s="1" t="n">
        <v>45932</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55605-2024</t>
        </is>
      </c>
      <c r="B229" s="1" t="n">
        <v>45622</v>
      </c>
      <c r="C229" s="1" t="n">
        <v>45932</v>
      </c>
      <c r="D229" t="inlineStr">
        <is>
          <t>KALMAR LÄN</t>
        </is>
      </c>
      <c r="E229" t="inlineStr">
        <is>
          <t>VIMMERBY</t>
        </is>
      </c>
      <c r="G229" t="n">
        <v>1.1</v>
      </c>
      <c r="H229" t="n">
        <v>0</v>
      </c>
      <c r="I229" t="n">
        <v>0</v>
      </c>
      <c r="J229" t="n">
        <v>0</v>
      </c>
      <c r="K229" t="n">
        <v>0</v>
      </c>
      <c r="L229" t="n">
        <v>0</v>
      </c>
      <c r="M229" t="n">
        <v>0</v>
      </c>
      <c r="N229" t="n">
        <v>0</v>
      </c>
      <c r="O229" t="n">
        <v>0</v>
      </c>
      <c r="P229" t="n">
        <v>0</v>
      </c>
      <c r="Q229" t="n">
        <v>0</v>
      </c>
      <c r="R229" s="2" t="inlineStr"/>
    </row>
    <row r="230" ht="15" customHeight="1">
      <c r="A230" t="inlineStr">
        <is>
          <t>A 44464-2024</t>
        </is>
      </c>
      <c r="B230" s="1" t="n">
        <v>45574.35809027778</v>
      </c>
      <c r="C230" s="1" t="n">
        <v>45932</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11733-2022</t>
        </is>
      </c>
      <c r="B231" s="1" t="n">
        <v>44634</v>
      </c>
      <c r="C231" s="1" t="n">
        <v>45932</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36049-2024</t>
        </is>
      </c>
      <c r="B232" s="1" t="n">
        <v>45533.61996527778</v>
      </c>
      <c r="C232" s="1" t="n">
        <v>45932</v>
      </c>
      <c r="D232" t="inlineStr">
        <is>
          <t>KALMAR LÄN</t>
        </is>
      </c>
      <c r="E232" t="inlineStr">
        <is>
          <t>VIMMERBY</t>
        </is>
      </c>
      <c r="F232" t="inlineStr">
        <is>
          <t>Kommuner</t>
        </is>
      </c>
      <c r="G232" t="n">
        <v>2.6</v>
      </c>
      <c r="H232" t="n">
        <v>0</v>
      </c>
      <c r="I232" t="n">
        <v>0</v>
      </c>
      <c r="J232" t="n">
        <v>0</v>
      </c>
      <c r="K232" t="n">
        <v>0</v>
      </c>
      <c r="L232" t="n">
        <v>0</v>
      </c>
      <c r="M232" t="n">
        <v>0</v>
      </c>
      <c r="N232" t="n">
        <v>0</v>
      </c>
      <c r="O232" t="n">
        <v>0</v>
      </c>
      <c r="P232" t="n">
        <v>0</v>
      </c>
      <c r="Q232" t="n">
        <v>0</v>
      </c>
      <c r="R232" s="2" t="inlineStr"/>
    </row>
    <row r="233" ht="15" customHeight="1">
      <c r="A233" t="inlineStr">
        <is>
          <t>A 4297-2022</t>
        </is>
      </c>
      <c r="B233" s="1" t="n">
        <v>44588</v>
      </c>
      <c r="C233" s="1" t="n">
        <v>45932</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46399-2024</t>
        </is>
      </c>
      <c r="B234" s="1" t="n">
        <v>45582.41200231481</v>
      </c>
      <c r="C234" s="1" t="n">
        <v>45932</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9511-2023</t>
        </is>
      </c>
      <c r="B235" s="1" t="n">
        <v>44981.64725694444</v>
      </c>
      <c r="C235" s="1" t="n">
        <v>45932</v>
      </c>
      <c r="D235" t="inlineStr">
        <is>
          <t>KALMAR LÄN</t>
        </is>
      </c>
      <c r="E235" t="inlineStr">
        <is>
          <t>VIMMERBY</t>
        </is>
      </c>
      <c r="G235" t="n">
        <v>3.5</v>
      </c>
      <c r="H235" t="n">
        <v>0</v>
      </c>
      <c r="I235" t="n">
        <v>0</v>
      </c>
      <c r="J235" t="n">
        <v>0</v>
      </c>
      <c r="K235" t="n">
        <v>0</v>
      </c>
      <c r="L235" t="n">
        <v>0</v>
      </c>
      <c r="M235" t="n">
        <v>0</v>
      </c>
      <c r="N235" t="n">
        <v>0</v>
      </c>
      <c r="O235" t="n">
        <v>0</v>
      </c>
      <c r="P235" t="n">
        <v>0</v>
      </c>
      <c r="Q235" t="n">
        <v>0</v>
      </c>
      <c r="R235" s="2" t="inlineStr"/>
    </row>
    <row r="236" ht="15" customHeight="1">
      <c r="A236" t="inlineStr">
        <is>
          <t>A 7804-2022</t>
        </is>
      </c>
      <c r="B236" s="1" t="n">
        <v>44608.50458333334</v>
      </c>
      <c r="C236" s="1" t="n">
        <v>45932</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39042-2022</t>
        </is>
      </c>
      <c r="B237" s="1" t="n">
        <v>44817</v>
      </c>
      <c r="C237" s="1" t="n">
        <v>45932</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38757-2023</t>
        </is>
      </c>
      <c r="B238" s="1" t="n">
        <v>45163.41376157408</v>
      </c>
      <c r="C238" s="1" t="n">
        <v>45932</v>
      </c>
      <c r="D238" t="inlineStr">
        <is>
          <t>KALMAR LÄN</t>
        </is>
      </c>
      <c r="E238" t="inlineStr">
        <is>
          <t>VIMMERBY</t>
        </is>
      </c>
      <c r="G238" t="n">
        <v>2.5</v>
      </c>
      <c r="H238" t="n">
        <v>0</v>
      </c>
      <c r="I238" t="n">
        <v>0</v>
      </c>
      <c r="J238" t="n">
        <v>0</v>
      </c>
      <c r="K238" t="n">
        <v>0</v>
      </c>
      <c r="L238" t="n">
        <v>0</v>
      </c>
      <c r="M238" t="n">
        <v>0</v>
      </c>
      <c r="N238" t="n">
        <v>0</v>
      </c>
      <c r="O238" t="n">
        <v>0</v>
      </c>
      <c r="P238" t="n">
        <v>0</v>
      </c>
      <c r="Q238" t="n">
        <v>0</v>
      </c>
      <c r="R238" s="2" t="inlineStr"/>
    </row>
    <row r="239" ht="15" customHeight="1">
      <c r="A239" t="inlineStr">
        <is>
          <t>A 16288-2021</t>
        </is>
      </c>
      <c r="B239" s="1" t="n">
        <v>44292</v>
      </c>
      <c r="C239" s="1" t="n">
        <v>45932</v>
      </c>
      <c r="D239" t="inlineStr">
        <is>
          <t>KALMAR LÄN</t>
        </is>
      </c>
      <c r="E239" t="inlineStr">
        <is>
          <t>VIMMERBY</t>
        </is>
      </c>
      <c r="F239" t="inlineStr">
        <is>
          <t>Övriga Aktiebolag</t>
        </is>
      </c>
      <c r="G239" t="n">
        <v>27.6</v>
      </c>
      <c r="H239" t="n">
        <v>0</v>
      </c>
      <c r="I239" t="n">
        <v>0</v>
      </c>
      <c r="J239" t="n">
        <v>0</v>
      </c>
      <c r="K239" t="n">
        <v>0</v>
      </c>
      <c r="L239" t="n">
        <v>0</v>
      </c>
      <c r="M239" t="n">
        <v>0</v>
      </c>
      <c r="N239" t="n">
        <v>0</v>
      </c>
      <c r="O239" t="n">
        <v>0</v>
      </c>
      <c r="P239" t="n">
        <v>0</v>
      </c>
      <c r="Q239" t="n">
        <v>0</v>
      </c>
      <c r="R239" s="2" t="inlineStr"/>
    </row>
    <row r="240" ht="15" customHeight="1">
      <c r="A240" t="inlineStr">
        <is>
          <t>A 29973-2023</t>
        </is>
      </c>
      <c r="B240" s="1" t="n">
        <v>45108.703125</v>
      </c>
      <c r="C240" s="1" t="n">
        <v>45932</v>
      </c>
      <c r="D240" t="inlineStr">
        <is>
          <t>KALMAR LÄN</t>
        </is>
      </c>
      <c r="E240" t="inlineStr">
        <is>
          <t>VIMMERBY</t>
        </is>
      </c>
      <c r="G240" t="n">
        <v>4</v>
      </c>
      <c r="H240" t="n">
        <v>0</v>
      </c>
      <c r="I240" t="n">
        <v>0</v>
      </c>
      <c r="J240" t="n">
        <v>0</v>
      </c>
      <c r="K240" t="n">
        <v>0</v>
      </c>
      <c r="L240" t="n">
        <v>0</v>
      </c>
      <c r="M240" t="n">
        <v>0</v>
      </c>
      <c r="N240" t="n">
        <v>0</v>
      </c>
      <c r="O240" t="n">
        <v>0</v>
      </c>
      <c r="P240" t="n">
        <v>0</v>
      </c>
      <c r="Q240" t="n">
        <v>0</v>
      </c>
      <c r="R240" s="2" t="inlineStr"/>
    </row>
    <row r="241" ht="15" customHeight="1">
      <c r="A241" t="inlineStr">
        <is>
          <t>A 13532-2025</t>
        </is>
      </c>
      <c r="B241" s="1" t="n">
        <v>45736.50743055555</v>
      </c>
      <c r="C241" s="1" t="n">
        <v>45932</v>
      </c>
      <c r="D241" t="inlineStr">
        <is>
          <t>KALMAR LÄN</t>
        </is>
      </c>
      <c r="E241" t="inlineStr">
        <is>
          <t>VIMMERBY</t>
        </is>
      </c>
      <c r="G241" t="n">
        <v>3.6</v>
      </c>
      <c r="H241" t="n">
        <v>0</v>
      </c>
      <c r="I241" t="n">
        <v>0</v>
      </c>
      <c r="J241" t="n">
        <v>0</v>
      </c>
      <c r="K241" t="n">
        <v>0</v>
      </c>
      <c r="L241" t="n">
        <v>0</v>
      </c>
      <c r="M241" t="n">
        <v>0</v>
      </c>
      <c r="N241" t="n">
        <v>0</v>
      </c>
      <c r="O241" t="n">
        <v>0</v>
      </c>
      <c r="P241" t="n">
        <v>0</v>
      </c>
      <c r="Q241" t="n">
        <v>0</v>
      </c>
      <c r="R241" s="2" t="inlineStr"/>
    </row>
    <row r="242" ht="15" customHeight="1">
      <c r="A242" t="inlineStr">
        <is>
          <t>A 4076-2022</t>
        </is>
      </c>
      <c r="B242" s="1" t="n">
        <v>44588.37998842593</v>
      </c>
      <c r="C242" s="1" t="n">
        <v>45932</v>
      </c>
      <c r="D242" t="inlineStr">
        <is>
          <t>KALMAR LÄN</t>
        </is>
      </c>
      <c r="E242" t="inlineStr">
        <is>
          <t>VIMMERBY</t>
        </is>
      </c>
      <c r="G242" t="n">
        <v>3</v>
      </c>
      <c r="H242" t="n">
        <v>0</v>
      </c>
      <c r="I242" t="n">
        <v>0</v>
      </c>
      <c r="J242" t="n">
        <v>0</v>
      </c>
      <c r="K242" t="n">
        <v>0</v>
      </c>
      <c r="L242" t="n">
        <v>0</v>
      </c>
      <c r="M242" t="n">
        <v>0</v>
      </c>
      <c r="N242" t="n">
        <v>0</v>
      </c>
      <c r="O242" t="n">
        <v>0</v>
      </c>
      <c r="P242" t="n">
        <v>0</v>
      </c>
      <c r="Q242" t="n">
        <v>0</v>
      </c>
      <c r="R242" s="2" t="inlineStr"/>
    </row>
    <row r="243" ht="15" customHeight="1">
      <c r="A243" t="inlineStr">
        <is>
          <t>A 4122-2022</t>
        </is>
      </c>
      <c r="B243" s="1" t="n">
        <v>44588</v>
      </c>
      <c r="C243" s="1" t="n">
        <v>45932</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43038-2022</t>
        </is>
      </c>
      <c r="B244" s="1" t="n">
        <v>44833.60123842592</v>
      </c>
      <c r="C244" s="1" t="n">
        <v>45932</v>
      </c>
      <c r="D244" t="inlineStr">
        <is>
          <t>KALMAR LÄN</t>
        </is>
      </c>
      <c r="E244" t="inlineStr">
        <is>
          <t>VIMMERBY</t>
        </is>
      </c>
      <c r="G244" t="n">
        <v>4.2</v>
      </c>
      <c r="H244" t="n">
        <v>0</v>
      </c>
      <c r="I244" t="n">
        <v>0</v>
      </c>
      <c r="J244" t="n">
        <v>0</v>
      </c>
      <c r="K244" t="n">
        <v>0</v>
      </c>
      <c r="L244" t="n">
        <v>0</v>
      </c>
      <c r="M244" t="n">
        <v>0</v>
      </c>
      <c r="N244" t="n">
        <v>0</v>
      </c>
      <c r="O244" t="n">
        <v>0</v>
      </c>
      <c r="P244" t="n">
        <v>0</v>
      </c>
      <c r="Q244" t="n">
        <v>0</v>
      </c>
      <c r="R244" s="2" t="inlineStr"/>
    </row>
    <row r="245" ht="15" customHeight="1">
      <c r="A245" t="inlineStr">
        <is>
          <t>A 64143-2021</t>
        </is>
      </c>
      <c r="B245" s="1" t="n">
        <v>44510.52157407408</v>
      </c>
      <c r="C245" s="1" t="n">
        <v>45932</v>
      </c>
      <c r="D245" t="inlineStr">
        <is>
          <t>KALMAR LÄN</t>
        </is>
      </c>
      <c r="E245" t="inlineStr">
        <is>
          <t>VIMMERBY</t>
        </is>
      </c>
      <c r="G245" t="n">
        <v>1.6</v>
      </c>
      <c r="H245" t="n">
        <v>0</v>
      </c>
      <c r="I245" t="n">
        <v>0</v>
      </c>
      <c r="J245" t="n">
        <v>0</v>
      </c>
      <c r="K245" t="n">
        <v>0</v>
      </c>
      <c r="L245" t="n">
        <v>0</v>
      </c>
      <c r="M245" t="n">
        <v>0</v>
      </c>
      <c r="N245" t="n">
        <v>0</v>
      </c>
      <c r="O245" t="n">
        <v>0</v>
      </c>
      <c r="P245" t="n">
        <v>0</v>
      </c>
      <c r="Q245" t="n">
        <v>0</v>
      </c>
      <c r="R245" s="2" t="inlineStr"/>
    </row>
    <row r="246" ht="15" customHeight="1">
      <c r="A246" t="inlineStr">
        <is>
          <t>A 58374-2024</t>
        </is>
      </c>
      <c r="B246" s="1" t="n">
        <v>45632.72635416667</v>
      </c>
      <c r="C246" s="1" t="n">
        <v>45932</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73938-2021</t>
        </is>
      </c>
      <c r="B247" s="1" t="n">
        <v>44553</v>
      </c>
      <c r="C247" s="1" t="n">
        <v>45932</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12596-2021</t>
        </is>
      </c>
      <c r="B248" s="1" t="n">
        <v>44270.39765046296</v>
      </c>
      <c r="C248" s="1" t="n">
        <v>45932</v>
      </c>
      <c r="D248" t="inlineStr">
        <is>
          <t>KALMAR LÄN</t>
        </is>
      </c>
      <c r="E248" t="inlineStr">
        <is>
          <t>VIMMERBY</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57799-2022</t>
        </is>
      </c>
      <c r="B249" s="1" t="n">
        <v>44897</v>
      </c>
      <c r="C249" s="1" t="n">
        <v>45932</v>
      </c>
      <c r="D249" t="inlineStr">
        <is>
          <t>KALMAR LÄN</t>
        </is>
      </c>
      <c r="E249" t="inlineStr">
        <is>
          <t>VIMMERBY</t>
        </is>
      </c>
      <c r="G249" t="n">
        <v>1.4</v>
      </c>
      <c r="H249" t="n">
        <v>0</v>
      </c>
      <c r="I249" t="n">
        <v>0</v>
      </c>
      <c r="J249" t="n">
        <v>0</v>
      </c>
      <c r="K249" t="n">
        <v>0</v>
      </c>
      <c r="L249" t="n">
        <v>0</v>
      </c>
      <c r="M249" t="n">
        <v>0</v>
      </c>
      <c r="N249" t="n">
        <v>0</v>
      </c>
      <c r="O249" t="n">
        <v>0</v>
      </c>
      <c r="P249" t="n">
        <v>0</v>
      </c>
      <c r="Q249" t="n">
        <v>0</v>
      </c>
      <c r="R249" s="2" t="inlineStr"/>
    </row>
    <row r="250" ht="15" customHeight="1">
      <c r="A250" t="inlineStr">
        <is>
          <t>A 30921-2024</t>
        </is>
      </c>
      <c r="B250" s="1" t="n">
        <v>45498</v>
      </c>
      <c r="C250" s="1" t="n">
        <v>45932</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40076-2021</t>
        </is>
      </c>
      <c r="B251" s="1" t="n">
        <v>44418</v>
      </c>
      <c r="C251" s="1" t="n">
        <v>45932</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30402-2023</t>
        </is>
      </c>
      <c r="B252" s="1" t="n">
        <v>45111.48395833333</v>
      </c>
      <c r="C252" s="1" t="n">
        <v>45932</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50648-2023</t>
        </is>
      </c>
      <c r="B253" s="1" t="n">
        <v>45217.47834490741</v>
      </c>
      <c r="C253" s="1" t="n">
        <v>45932</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14137-2023</t>
        </is>
      </c>
      <c r="B254" s="1" t="n">
        <v>45009.4671875</v>
      </c>
      <c r="C254" s="1" t="n">
        <v>45932</v>
      </c>
      <c r="D254" t="inlineStr">
        <is>
          <t>KALMAR LÄN</t>
        </is>
      </c>
      <c r="E254" t="inlineStr">
        <is>
          <t>VIMMERBY</t>
        </is>
      </c>
      <c r="G254" t="n">
        <v>1.3</v>
      </c>
      <c r="H254" t="n">
        <v>0</v>
      </c>
      <c r="I254" t="n">
        <v>0</v>
      </c>
      <c r="J254" t="n">
        <v>0</v>
      </c>
      <c r="K254" t="n">
        <v>0</v>
      </c>
      <c r="L254" t="n">
        <v>0</v>
      </c>
      <c r="M254" t="n">
        <v>0</v>
      </c>
      <c r="N254" t="n">
        <v>0</v>
      </c>
      <c r="O254" t="n">
        <v>0</v>
      </c>
      <c r="P254" t="n">
        <v>0</v>
      </c>
      <c r="Q254" t="n">
        <v>0</v>
      </c>
      <c r="R254" s="2" t="inlineStr"/>
    </row>
    <row r="255" ht="15" customHeight="1">
      <c r="A255" t="inlineStr">
        <is>
          <t>A 529-2022</t>
        </is>
      </c>
      <c r="B255" s="1" t="n">
        <v>44566</v>
      </c>
      <c r="C255" s="1" t="n">
        <v>45932</v>
      </c>
      <c r="D255" t="inlineStr">
        <is>
          <t>KALMAR LÄN</t>
        </is>
      </c>
      <c r="E255" t="inlineStr">
        <is>
          <t>VIMMERBY</t>
        </is>
      </c>
      <c r="G255" t="n">
        <v>1.5</v>
      </c>
      <c r="H255" t="n">
        <v>0</v>
      </c>
      <c r="I255" t="n">
        <v>0</v>
      </c>
      <c r="J255" t="n">
        <v>0</v>
      </c>
      <c r="K255" t="n">
        <v>0</v>
      </c>
      <c r="L255" t="n">
        <v>0</v>
      </c>
      <c r="M255" t="n">
        <v>0</v>
      </c>
      <c r="N255" t="n">
        <v>0</v>
      </c>
      <c r="O255" t="n">
        <v>0</v>
      </c>
      <c r="P255" t="n">
        <v>0</v>
      </c>
      <c r="Q255" t="n">
        <v>0</v>
      </c>
      <c r="R255" s="2" t="inlineStr"/>
    </row>
    <row r="256" ht="15" customHeight="1">
      <c r="A256" t="inlineStr">
        <is>
          <t>A 58318-2021</t>
        </is>
      </c>
      <c r="B256" s="1" t="n">
        <v>44488.35878472222</v>
      </c>
      <c r="C256" s="1" t="n">
        <v>45932</v>
      </c>
      <c r="D256" t="inlineStr">
        <is>
          <t>KALMAR LÄN</t>
        </is>
      </c>
      <c r="E256" t="inlineStr">
        <is>
          <t>VIMMERBY</t>
        </is>
      </c>
      <c r="G256" t="n">
        <v>4</v>
      </c>
      <c r="H256" t="n">
        <v>0</v>
      </c>
      <c r="I256" t="n">
        <v>0</v>
      </c>
      <c r="J256" t="n">
        <v>0</v>
      </c>
      <c r="K256" t="n">
        <v>0</v>
      </c>
      <c r="L256" t="n">
        <v>0</v>
      </c>
      <c r="M256" t="n">
        <v>0</v>
      </c>
      <c r="N256" t="n">
        <v>0</v>
      </c>
      <c r="O256" t="n">
        <v>0</v>
      </c>
      <c r="P256" t="n">
        <v>0</v>
      </c>
      <c r="Q256" t="n">
        <v>0</v>
      </c>
      <c r="R256" s="2" t="inlineStr"/>
    </row>
    <row r="257" ht="15" customHeight="1">
      <c r="A257" t="inlineStr">
        <is>
          <t>A 11609-2023</t>
        </is>
      </c>
      <c r="B257" s="1" t="n">
        <v>44994.40635416667</v>
      </c>
      <c r="C257" s="1" t="n">
        <v>45932</v>
      </c>
      <c r="D257" t="inlineStr">
        <is>
          <t>KALMAR LÄN</t>
        </is>
      </c>
      <c r="E257" t="inlineStr">
        <is>
          <t>VIMMERBY</t>
        </is>
      </c>
      <c r="G257" t="n">
        <v>4.9</v>
      </c>
      <c r="H257" t="n">
        <v>0</v>
      </c>
      <c r="I257" t="n">
        <v>0</v>
      </c>
      <c r="J257" t="n">
        <v>0</v>
      </c>
      <c r="K257" t="n">
        <v>0</v>
      </c>
      <c r="L257" t="n">
        <v>0</v>
      </c>
      <c r="M257" t="n">
        <v>0</v>
      </c>
      <c r="N257" t="n">
        <v>0</v>
      </c>
      <c r="O257" t="n">
        <v>0</v>
      </c>
      <c r="P257" t="n">
        <v>0</v>
      </c>
      <c r="Q257" t="n">
        <v>0</v>
      </c>
      <c r="R257" s="2" t="inlineStr"/>
    </row>
    <row r="258" ht="15" customHeight="1">
      <c r="A258" t="inlineStr">
        <is>
          <t>A 89-2023</t>
        </is>
      </c>
      <c r="B258" s="1" t="n">
        <v>44918</v>
      </c>
      <c r="C258" s="1" t="n">
        <v>45932</v>
      </c>
      <c r="D258" t="inlineStr">
        <is>
          <t>KALMAR LÄN</t>
        </is>
      </c>
      <c r="E258" t="inlineStr">
        <is>
          <t>VIMMERBY</t>
        </is>
      </c>
      <c r="G258" t="n">
        <v>16.1</v>
      </c>
      <c r="H258" t="n">
        <v>0</v>
      </c>
      <c r="I258" t="n">
        <v>0</v>
      </c>
      <c r="J258" t="n">
        <v>0</v>
      </c>
      <c r="K258" t="n">
        <v>0</v>
      </c>
      <c r="L258" t="n">
        <v>0</v>
      </c>
      <c r="M258" t="n">
        <v>0</v>
      </c>
      <c r="N258" t="n">
        <v>0</v>
      </c>
      <c r="O258" t="n">
        <v>0</v>
      </c>
      <c r="P258" t="n">
        <v>0</v>
      </c>
      <c r="Q258" t="n">
        <v>0</v>
      </c>
      <c r="R258" s="2" t="inlineStr"/>
    </row>
    <row r="259" ht="15" customHeight="1">
      <c r="A259" t="inlineStr">
        <is>
          <t>A 65961-2020</t>
        </is>
      </c>
      <c r="B259" s="1" t="n">
        <v>44175.39748842592</v>
      </c>
      <c r="C259" s="1" t="n">
        <v>45932</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23088-2024</t>
        </is>
      </c>
      <c r="B260" s="1" t="n">
        <v>45450.51092592593</v>
      </c>
      <c r="C260" s="1" t="n">
        <v>45932</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22399-2025</t>
        </is>
      </c>
      <c r="B261" s="1" t="n">
        <v>45786.52996527778</v>
      </c>
      <c r="C261" s="1" t="n">
        <v>45932</v>
      </c>
      <c r="D261" t="inlineStr">
        <is>
          <t>KALMAR LÄN</t>
        </is>
      </c>
      <c r="E261" t="inlineStr">
        <is>
          <t>VIMMERBY</t>
        </is>
      </c>
      <c r="G261" t="n">
        <v>2.1</v>
      </c>
      <c r="H261" t="n">
        <v>0</v>
      </c>
      <c r="I261" t="n">
        <v>0</v>
      </c>
      <c r="J261" t="n">
        <v>0</v>
      </c>
      <c r="K261" t="n">
        <v>0</v>
      </c>
      <c r="L261" t="n">
        <v>0</v>
      </c>
      <c r="M261" t="n">
        <v>0</v>
      </c>
      <c r="N261" t="n">
        <v>0</v>
      </c>
      <c r="O261" t="n">
        <v>0</v>
      </c>
      <c r="P261" t="n">
        <v>0</v>
      </c>
      <c r="Q261" t="n">
        <v>0</v>
      </c>
      <c r="R261" s="2" t="inlineStr"/>
    </row>
    <row r="262" ht="15" customHeight="1">
      <c r="A262" t="inlineStr">
        <is>
          <t>A 22397-2025</t>
        </is>
      </c>
      <c r="B262" s="1" t="n">
        <v>45786.52878472222</v>
      </c>
      <c r="C262" s="1" t="n">
        <v>45932</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16983-2023</t>
        </is>
      </c>
      <c r="B263" s="1" t="n">
        <v>45033.76043981482</v>
      </c>
      <c r="C263" s="1" t="n">
        <v>45932</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25582-2024</t>
        </is>
      </c>
      <c r="B264" s="1" t="n">
        <v>45463</v>
      </c>
      <c r="C264" s="1" t="n">
        <v>45932</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38851-2023</t>
        </is>
      </c>
      <c r="B265" s="1" t="n">
        <v>45163</v>
      </c>
      <c r="C265" s="1" t="n">
        <v>45932</v>
      </c>
      <c r="D265" t="inlineStr">
        <is>
          <t>KALMAR LÄN</t>
        </is>
      </c>
      <c r="E265" t="inlineStr">
        <is>
          <t>VIMMERBY</t>
        </is>
      </c>
      <c r="G265" t="n">
        <v>4.3</v>
      </c>
      <c r="H265" t="n">
        <v>0</v>
      </c>
      <c r="I265" t="n">
        <v>0</v>
      </c>
      <c r="J265" t="n">
        <v>0</v>
      </c>
      <c r="K265" t="n">
        <v>0</v>
      </c>
      <c r="L265" t="n">
        <v>0</v>
      </c>
      <c r="M265" t="n">
        <v>0</v>
      </c>
      <c r="N265" t="n">
        <v>0</v>
      </c>
      <c r="O265" t="n">
        <v>0</v>
      </c>
      <c r="P265" t="n">
        <v>0</v>
      </c>
      <c r="Q265" t="n">
        <v>0</v>
      </c>
      <c r="R265" s="2" t="inlineStr"/>
    </row>
    <row r="266" ht="15" customHeight="1">
      <c r="A266" t="inlineStr">
        <is>
          <t>A 10759-2023</t>
        </is>
      </c>
      <c r="B266" s="1" t="n">
        <v>44988</v>
      </c>
      <c r="C266" s="1" t="n">
        <v>45932</v>
      </c>
      <c r="D266" t="inlineStr">
        <is>
          <t>KALMAR LÄN</t>
        </is>
      </c>
      <c r="E266" t="inlineStr">
        <is>
          <t>VIMMERBY</t>
        </is>
      </c>
      <c r="G266" t="n">
        <v>0.4</v>
      </c>
      <c r="H266" t="n">
        <v>0</v>
      </c>
      <c r="I266" t="n">
        <v>0</v>
      </c>
      <c r="J266" t="n">
        <v>0</v>
      </c>
      <c r="K266" t="n">
        <v>0</v>
      </c>
      <c r="L266" t="n">
        <v>0</v>
      </c>
      <c r="M266" t="n">
        <v>0</v>
      </c>
      <c r="N266" t="n">
        <v>0</v>
      </c>
      <c r="O266" t="n">
        <v>0</v>
      </c>
      <c r="P266" t="n">
        <v>0</v>
      </c>
      <c r="Q266" t="n">
        <v>0</v>
      </c>
      <c r="R266" s="2" t="inlineStr"/>
    </row>
    <row r="267" ht="15" customHeight="1">
      <c r="A267" t="inlineStr">
        <is>
          <t>A 11152-2023</t>
        </is>
      </c>
      <c r="B267" s="1" t="n">
        <v>44992</v>
      </c>
      <c r="C267" s="1" t="n">
        <v>45932</v>
      </c>
      <c r="D267" t="inlineStr">
        <is>
          <t>KALMAR LÄN</t>
        </is>
      </c>
      <c r="E267" t="inlineStr">
        <is>
          <t>VIMMERBY</t>
        </is>
      </c>
      <c r="G267" t="n">
        <v>10.6</v>
      </c>
      <c r="H267" t="n">
        <v>0</v>
      </c>
      <c r="I267" t="n">
        <v>0</v>
      </c>
      <c r="J267" t="n">
        <v>0</v>
      </c>
      <c r="K267" t="n">
        <v>0</v>
      </c>
      <c r="L267" t="n">
        <v>0</v>
      </c>
      <c r="M267" t="n">
        <v>0</v>
      </c>
      <c r="N267" t="n">
        <v>0</v>
      </c>
      <c r="O267" t="n">
        <v>0</v>
      </c>
      <c r="P267" t="n">
        <v>0</v>
      </c>
      <c r="Q267" t="n">
        <v>0</v>
      </c>
      <c r="R267" s="2" t="inlineStr"/>
    </row>
    <row r="268" ht="15" customHeight="1">
      <c r="A268" t="inlineStr">
        <is>
          <t>A 46144-2023</t>
        </is>
      </c>
      <c r="B268" s="1" t="n">
        <v>45196.57247685185</v>
      </c>
      <c r="C268" s="1" t="n">
        <v>45932</v>
      </c>
      <c r="D268" t="inlineStr">
        <is>
          <t>KALMAR LÄN</t>
        </is>
      </c>
      <c r="E268" t="inlineStr">
        <is>
          <t>VIMMERBY</t>
        </is>
      </c>
      <c r="G268" t="n">
        <v>6.5</v>
      </c>
      <c r="H268" t="n">
        <v>0</v>
      </c>
      <c r="I268" t="n">
        <v>0</v>
      </c>
      <c r="J268" t="n">
        <v>0</v>
      </c>
      <c r="K268" t="n">
        <v>0</v>
      </c>
      <c r="L268" t="n">
        <v>0</v>
      </c>
      <c r="M268" t="n">
        <v>0</v>
      </c>
      <c r="N268" t="n">
        <v>0</v>
      </c>
      <c r="O268" t="n">
        <v>0</v>
      </c>
      <c r="P268" t="n">
        <v>0</v>
      </c>
      <c r="Q268" t="n">
        <v>0</v>
      </c>
      <c r="R268" s="2" t="inlineStr"/>
    </row>
    <row r="269" ht="15" customHeight="1">
      <c r="A269" t="inlineStr">
        <is>
          <t>A 63583-2023</t>
        </is>
      </c>
      <c r="B269" s="1" t="n">
        <v>45275.41833333333</v>
      </c>
      <c r="C269" s="1" t="n">
        <v>45932</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40079-2023</t>
        </is>
      </c>
      <c r="B270" s="1" t="n">
        <v>45168.89298611111</v>
      </c>
      <c r="C270" s="1" t="n">
        <v>45932</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43774-2023</t>
        </is>
      </c>
      <c r="B271" s="1" t="n">
        <v>45187</v>
      </c>
      <c r="C271" s="1" t="n">
        <v>45932</v>
      </c>
      <c r="D271" t="inlineStr">
        <is>
          <t>KALMAR LÄN</t>
        </is>
      </c>
      <c r="E271" t="inlineStr">
        <is>
          <t>VIMMERBY</t>
        </is>
      </c>
      <c r="G271" t="n">
        <v>3.4</v>
      </c>
      <c r="H271" t="n">
        <v>0</v>
      </c>
      <c r="I271" t="n">
        <v>0</v>
      </c>
      <c r="J271" t="n">
        <v>0</v>
      </c>
      <c r="K271" t="n">
        <v>0</v>
      </c>
      <c r="L271" t="n">
        <v>0</v>
      </c>
      <c r="M271" t="n">
        <v>0</v>
      </c>
      <c r="N271" t="n">
        <v>0</v>
      </c>
      <c r="O271" t="n">
        <v>0</v>
      </c>
      <c r="P271" t="n">
        <v>0</v>
      </c>
      <c r="Q271" t="n">
        <v>0</v>
      </c>
      <c r="R271" s="2" t="inlineStr"/>
    </row>
    <row r="272" ht="15" customHeight="1">
      <c r="A272" t="inlineStr">
        <is>
          <t>A 29616-2022</t>
        </is>
      </c>
      <c r="B272" s="1" t="n">
        <v>44754</v>
      </c>
      <c r="C272" s="1" t="n">
        <v>45932</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12499-2023</t>
        </is>
      </c>
      <c r="B273" s="1" t="n">
        <v>44999.86172453704</v>
      </c>
      <c r="C273" s="1" t="n">
        <v>45932</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12500-2023</t>
        </is>
      </c>
      <c r="B274" s="1" t="n">
        <v>44999.8625</v>
      </c>
      <c r="C274" s="1" t="n">
        <v>45932</v>
      </c>
      <c r="D274" t="inlineStr">
        <is>
          <t>KALMAR LÄN</t>
        </is>
      </c>
      <c r="E274" t="inlineStr">
        <is>
          <t>VIMMERBY</t>
        </is>
      </c>
      <c r="G274" t="n">
        <v>0.5</v>
      </c>
      <c r="H274" t="n">
        <v>0</v>
      </c>
      <c r="I274" t="n">
        <v>0</v>
      </c>
      <c r="J274" t="n">
        <v>0</v>
      </c>
      <c r="K274" t="n">
        <v>0</v>
      </c>
      <c r="L274" t="n">
        <v>0</v>
      </c>
      <c r="M274" t="n">
        <v>0</v>
      </c>
      <c r="N274" t="n">
        <v>0</v>
      </c>
      <c r="O274" t="n">
        <v>0</v>
      </c>
      <c r="P274" t="n">
        <v>0</v>
      </c>
      <c r="Q274" t="n">
        <v>0</v>
      </c>
      <c r="R274" s="2" t="inlineStr"/>
    </row>
    <row r="275" ht="15" customHeight="1">
      <c r="A275" t="inlineStr">
        <is>
          <t>A 35846-2023</t>
        </is>
      </c>
      <c r="B275" s="1" t="n">
        <v>45148</v>
      </c>
      <c r="C275" s="1" t="n">
        <v>45932</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49039-2021</t>
        </is>
      </c>
      <c r="B276" s="1" t="n">
        <v>44453.56578703703</v>
      </c>
      <c r="C276" s="1" t="n">
        <v>45932</v>
      </c>
      <c r="D276" t="inlineStr">
        <is>
          <t>KALMAR LÄN</t>
        </is>
      </c>
      <c r="E276" t="inlineStr">
        <is>
          <t>VIMMERBY</t>
        </is>
      </c>
      <c r="G276" t="n">
        <v>0.6</v>
      </c>
      <c r="H276" t="n">
        <v>0</v>
      </c>
      <c r="I276" t="n">
        <v>0</v>
      </c>
      <c r="J276" t="n">
        <v>0</v>
      </c>
      <c r="K276" t="n">
        <v>0</v>
      </c>
      <c r="L276" t="n">
        <v>0</v>
      </c>
      <c r="M276" t="n">
        <v>0</v>
      </c>
      <c r="N276" t="n">
        <v>0</v>
      </c>
      <c r="O276" t="n">
        <v>0</v>
      </c>
      <c r="P276" t="n">
        <v>0</v>
      </c>
      <c r="Q276" t="n">
        <v>0</v>
      </c>
      <c r="R276" s="2" t="inlineStr"/>
    </row>
    <row r="277" ht="15" customHeight="1">
      <c r="A277" t="inlineStr">
        <is>
          <t>A 31382-2023</t>
        </is>
      </c>
      <c r="B277" s="1" t="n">
        <v>45114.55136574074</v>
      </c>
      <c r="C277" s="1" t="n">
        <v>45932</v>
      </c>
      <c r="D277" t="inlineStr">
        <is>
          <t>KALMAR LÄN</t>
        </is>
      </c>
      <c r="E277" t="inlineStr">
        <is>
          <t>VIMMERBY</t>
        </is>
      </c>
      <c r="G277" t="n">
        <v>3.7</v>
      </c>
      <c r="H277" t="n">
        <v>0</v>
      </c>
      <c r="I277" t="n">
        <v>0</v>
      </c>
      <c r="J277" t="n">
        <v>0</v>
      </c>
      <c r="K277" t="n">
        <v>0</v>
      </c>
      <c r="L277" t="n">
        <v>0</v>
      </c>
      <c r="M277" t="n">
        <v>0</v>
      </c>
      <c r="N277" t="n">
        <v>0</v>
      </c>
      <c r="O277" t="n">
        <v>0</v>
      </c>
      <c r="P277" t="n">
        <v>0</v>
      </c>
      <c r="Q277" t="n">
        <v>0</v>
      </c>
      <c r="R277" s="2" t="inlineStr"/>
    </row>
    <row r="278" ht="15" customHeight="1">
      <c r="A278" t="inlineStr">
        <is>
          <t>A 39578-2024</t>
        </is>
      </c>
      <c r="B278" s="1" t="n">
        <v>45552.36484953704</v>
      </c>
      <c r="C278" s="1" t="n">
        <v>45932</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24707-2024</t>
        </is>
      </c>
      <c r="B279" s="1" t="n">
        <v>45460.62172453704</v>
      </c>
      <c r="C279" s="1" t="n">
        <v>45932</v>
      </c>
      <c r="D279" t="inlineStr">
        <is>
          <t>KALMAR LÄN</t>
        </is>
      </c>
      <c r="E279" t="inlineStr">
        <is>
          <t>VIMMERBY</t>
        </is>
      </c>
      <c r="G279" t="n">
        <v>1.7</v>
      </c>
      <c r="H279" t="n">
        <v>0</v>
      </c>
      <c r="I279" t="n">
        <v>0</v>
      </c>
      <c r="J279" t="n">
        <v>0</v>
      </c>
      <c r="K279" t="n">
        <v>0</v>
      </c>
      <c r="L279" t="n">
        <v>0</v>
      </c>
      <c r="M279" t="n">
        <v>0</v>
      </c>
      <c r="N279" t="n">
        <v>0</v>
      </c>
      <c r="O279" t="n">
        <v>0</v>
      </c>
      <c r="P279" t="n">
        <v>0</v>
      </c>
      <c r="Q279" t="n">
        <v>0</v>
      </c>
      <c r="R279" s="2" t="inlineStr"/>
    </row>
    <row r="280" ht="15" customHeight="1">
      <c r="A280" t="inlineStr">
        <is>
          <t>A 56213-2024</t>
        </is>
      </c>
      <c r="B280" s="1" t="n">
        <v>45624.60141203704</v>
      </c>
      <c r="C280" s="1" t="n">
        <v>45932</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54409-2024</t>
        </is>
      </c>
      <c r="B281" s="1" t="n">
        <v>45617.47570601852</v>
      </c>
      <c r="C281" s="1" t="n">
        <v>45932</v>
      </c>
      <c r="D281" t="inlineStr">
        <is>
          <t>KALMAR LÄN</t>
        </is>
      </c>
      <c r="E281" t="inlineStr">
        <is>
          <t>VIMMERBY</t>
        </is>
      </c>
      <c r="G281" t="n">
        <v>4.3</v>
      </c>
      <c r="H281" t="n">
        <v>0</v>
      </c>
      <c r="I281" t="n">
        <v>0</v>
      </c>
      <c r="J281" t="n">
        <v>0</v>
      </c>
      <c r="K281" t="n">
        <v>0</v>
      </c>
      <c r="L281" t="n">
        <v>0</v>
      </c>
      <c r="M281" t="n">
        <v>0</v>
      </c>
      <c r="N281" t="n">
        <v>0</v>
      </c>
      <c r="O281" t="n">
        <v>0</v>
      </c>
      <c r="P281" t="n">
        <v>0</v>
      </c>
      <c r="Q281" t="n">
        <v>0</v>
      </c>
      <c r="R281" s="2" t="inlineStr"/>
    </row>
    <row r="282" ht="15" customHeight="1">
      <c r="A282" t="inlineStr">
        <is>
          <t>A 16825-2024</t>
        </is>
      </c>
      <c r="B282" s="1" t="n">
        <v>45411.47335648148</v>
      </c>
      <c r="C282" s="1" t="n">
        <v>45932</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7643-2022</t>
        </is>
      </c>
      <c r="B283" s="1" t="n">
        <v>44607</v>
      </c>
      <c r="C283" s="1" t="n">
        <v>45932</v>
      </c>
      <c r="D283" t="inlineStr">
        <is>
          <t>KALMAR LÄN</t>
        </is>
      </c>
      <c r="E283" t="inlineStr">
        <is>
          <t>VIMMERBY</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57578-2024</t>
        </is>
      </c>
      <c r="B284" s="1" t="n">
        <v>45630.47564814815</v>
      </c>
      <c r="C284" s="1" t="n">
        <v>45932</v>
      </c>
      <c r="D284" t="inlineStr">
        <is>
          <t>KALMAR LÄN</t>
        </is>
      </c>
      <c r="E284" t="inlineStr">
        <is>
          <t>VIMMERBY</t>
        </is>
      </c>
      <c r="G284" t="n">
        <v>2.6</v>
      </c>
      <c r="H284" t="n">
        <v>0</v>
      </c>
      <c r="I284" t="n">
        <v>0</v>
      </c>
      <c r="J284" t="n">
        <v>0</v>
      </c>
      <c r="K284" t="n">
        <v>0</v>
      </c>
      <c r="L284" t="n">
        <v>0</v>
      </c>
      <c r="M284" t="n">
        <v>0</v>
      </c>
      <c r="N284" t="n">
        <v>0</v>
      </c>
      <c r="O284" t="n">
        <v>0</v>
      </c>
      <c r="P284" t="n">
        <v>0</v>
      </c>
      <c r="Q284" t="n">
        <v>0</v>
      </c>
      <c r="R284" s="2" t="inlineStr"/>
    </row>
    <row r="285" ht="15" customHeight="1">
      <c r="A285" t="inlineStr">
        <is>
          <t>A 31056-2022</t>
        </is>
      </c>
      <c r="B285" s="1" t="n">
        <v>44769.45805555556</v>
      </c>
      <c r="C285" s="1" t="n">
        <v>45932</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33383-2023</t>
        </is>
      </c>
      <c r="B286" s="1" t="n">
        <v>45128.58414351852</v>
      </c>
      <c r="C286" s="1" t="n">
        <v>45932</v>
      </c>
      <c r="D286" t="inlineStr">
        <is>
          <t>KALMAR LÄN</t>
        </is>
      </c>
      <c r="E286" t="inlineStr">
        <is>
          <t>VIMMERBY</t>
        </is>
      </c>
      <c r="G286" t="n">
        <v>2.3</v>
      </c>
      <c r="H286" t="n">
        <v>0</v>
      </c>
      <c r="I286" t="n">
        <v>0</v>
      </c>
      <c r="J286" t="n">
        <v>0</v>
      </c>
      <c r="K286" t="n">
        <v>0</v>
      </c>
      <c r="L286" t="n">
        <v>0</v>
      </c>
      <c r="M286" t="n">
        <v>0</v>
      </c>
      <c r="N286" t="n">
        <v>0</v>
      </c>
      <c r="O286" t="n">
        <v>0</v>
      </c>
      <c r="P286" t="n">
        <v>0</v>
      </c>
      <c r="Q286" t="n">
        <v>0</v>
      </c>
      <c r="R286" s="2" t="inlineStr"/>
    </row>
    <row r="287" ht="15" customHeight="1">
      <c r="A287" t="inlineStr">
        <is>
          <t>A 11027-2023</t>
        </is>
      </c>
      <c r="B287" s="1" t="n">
        <v>44991.89657407408</v>
      </c>
      <c r="C287" s="1" t="n">
        <v>45932</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40828-2023</t>
        </is>
      </c>
      <c r="B288" s="1" t="n">
        <v>45171.96248842592</v>
      </c>
      <c r="C288" s="1" t="n">
        <v>45932</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46224-2024</t>
        </is>
      </c>
      <c r="B289" s="1" t="n">
        <v>45581.57016203704</v>
      </c>
      <c r="C289" s="1" t="n">
        <v>45932</v>
      </c>
      <c r="D289" t="inlineStr">
        <is>
          <t>KALMAR LÄN</t>
        </is>
      </c>
      <c r="E289" t="inlineStr">
        <is>
          <t>VIMMERBY</t>
        </is>
      </c>
      <c r="G289" t="n">
        <v>3.1</v>
      </c>
      <c r="H289" t="n">
        <v>0</v>
      </c>
      <c r="I289" t="n">
        <v>0</v>
      </c>
      <c r="J289" t="n">
        <v>0</v>
      </c>
      <c r="K289" t="n">
        <v>0</v>
      </c>
      <c r="L289" t="n">
        <v>0</v>
      </c>
      <c r="M289" t="n">
        <v>0</v>
      </c>
      <c r="N289" t="n">
        <v>0</v>
      </c>
      <c r="O289" t="n">
        <v>0</v>
      </c>
      <c r="P289" t="n">
        <v>0</v>
      </c>
      <c r="Q289" t="n">
        <v>0</v>
      </c>
      <c r="R289" s="2" t="inlineStr"/>
    </row>
    <row r="290" ht="15" customHeight="1">
      <c r="A290" t="inlineStr">
        <is>
          <t>A 46238-2024</t>
        </is>
      </c>
      <c r="B290" s="1" t="n">
        <v>45581.58418981481</v>
      </c>
      <c r="C290" s="1" t="n">
        <v>45932</v>
      </c>
      <c r="D290" t="inlineStr">
        <is>
          <t>KALMAR LÄN</t>
        </is>
      </c>
      <c r="E290" t="inlineStr">
        <is>
          <t>VIMMERBY</t>
        </is>
      </c>
      <c r="G290" t="n">
        <v>2.1</v>
      </c>
      <c r="H290" t="n">
        <v>0</v>
      </c>
      <c r="I290" t="n">
        <v>0</v>
      </c>
      <c r="J290" t="n">
        <v>0</v>
      </c>
      <c r="K290" t="n">
        <v>0</v>
      </c>
      <c r="L290" t="n">
        <v>0</v>
      </c>
      <c r="M290" t="n">
        <v>0</v>
      </c>
      <c r="N290" t="n">
        <v>0</v>
      </c>
      <c r="O290" t="n">
        <v>0</v>
      </c>
      <c r="P290" t="n">
        <v>0</v>
      </c>
      <c r="Q290" t="n">
        <v>0</v>
      </c>
      <c r="R290" s="2" t="inlineStr"/>
    </row>
    <row r="291" ht="15" customHeight="1">
      <c r="A291" t="inlineStr">
        <is>
          <t>A 53483-2022</t>
        </is>
      </c>
      <c r="B291" s="1" t="n">
        <v>44879.55940972222</v>
      </c>
      <c r="C291" s="1" t="n">
        <v>45932</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18899-2025</t>
        </is>
      </c>
      <c r="B292" s="1" t="n">
        <v>45764.44931712963</v>
      </c>
      <c r="C292" s="1" t="n">
        <v>45932</v>
      </c>
      <c r="D292" t="inlineStr">
        <is>
          <t>KALMAR LÄN</t>
        </is>
      </c>
      <c r="E292" t="inlineStr">
        <is>
          <t>VIMMERBY</t>
        </is>
      </c>
      <c r="F292" t="inlineStr">
        <is>
          <t>Kommuner</t>
        </is>
      </c>
      <c r="G292" t="n">
        <v>4</v>
      </c>
      <c r="H292" t="n">
        <v>0</v>
      </c>
      <c r="I292" t="n">
        <v>0</v>
      </c>
      <c r="J292" t="n">
        <v>0</v>
      </c>
      <c r="K292" t="n">
        <v>0</v>
      </c>
      <c r="L292" t="n">
        <v>0</v>
      </c>
      <c r="M292" t="n">
        <v>0</v>
      </c>
      <c r="N292" t="n">
        <v>0</v>
      </c>
      <c r="O292" t="n">
        <v>0</v>
      </c>
      <c r="P292" t="n">
        <v>0</v>
      </c>
      <c r="Q292" t="n">
        <v>0</v>
      </c>
      <c r="R292" s="2" t="inlineStr"/>
    </row>
    <row r="293" ht="15" customHeight="1">
      <c r="A293" t="inlineStr">
        <is>
          <t>A 20054-2023</t>
        </is>
      </c>
      <c r="B293" s="1" t="n">
        <v>45054.6750462963</v>
      </c>
      <c r="C293" s="1" t="n">
        <v>45932</v>
      </c>
      <c r="D293" t="inlineStr">
        <is>
          <t>KALMAR LÄN</t>
        </is>
      </c>
      <c r="E293" t="inlineStr">
        <is>
          <t>VIMMERBY</t>
        </is>
      </c>
      <c r="G293" t="n">
        <v>2.4</v>
      </c>
      <c r="H293" t="n">
        <v>0</v>
      </c>
      <c r="I293" t="n">
        <v>0</v>
      </c>
      <c r="J293" t="n">
        <v>0</v>
      </c>
      <c r="K293" t="n">
        <v>0</v>
      </c>
      <c r="L293" t="n">
        <v>0</v>
      </c>
      <c r="M293" t="n">
        <v>0</v>
      </c>
      <c r="N293" t="n">
        <v>0</v>
      </c>
      <c r="O293" t="n">
        <v>0</v>
      </c>
      <c r="P293" t="n">
        <v>0</v>
      </c>
      <c r="Q293" t="n">
        <v>0</v>
      </c>
      <c r="R293" s="2" t="inlineStr"/>
    </row>
    <row r="294" ht="15" customHeight="1">
      <c r="A294" t="inlineStr">
        <is>
          <t>A 30633-2024</t>
        </is>
      </c>
      <c r="B294" s="1" t="n">
        <v>45495</v>
      </c>
      <c r="C294" s="1" t="n">
        <v>45932</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58962-2022</t>
        </is>
      </c>
      <c r="B295" s="1" t="n">
        <v>44903</v>
      </c>
      <c r="C295" s="1" t="n">
        <v>45932</v>
      </c>
      <c r="D295" t="inlineStr">
        <is>
          <t>KALMAR LÄN</t>
        </is>
      </c>
      <c r="E295" t="inlineStr">
        <is>
          <t>VIMMERBY</t>
        </is>
      </c>
      <c r="G295" t="n">
        <v>1.1</v>
      </c>
      <c r="H295" t="n">
        <v>0</v>
      </c>
      <c r="I295" t="n">
        <v>0</v>
      </c>
      <c r="J295" t="n">
        <v>0</v>
      </c>
      <c r="K295" t="n">
        <v>0</v>
      </c>
      <c r="L295" t="n">
        <v>0</v>
      </c>
      <c r="M295" t="n">
        <v>0</v>
      </c>
      <c r="N295" t="n">
        <v>0</v>
      </c>
      <c r="O295" t="n">
        <v>0</v>
      </c>
      <c r="P295" t="n">
        <v>0</v>
      </c>
      <c r="Q295" t="n">
        <v>0</v>
      </c>
      <c r="R295" s="2" t="inlineStr"/>
    </row>
    <row r="296" ht="15" customHeight="1">
      <c r="A296" t="inlineStr">
        <is>
          <t>A 54838-2024</t>
        </is>
      </c>
      <c r="B296" s="1" t="n">
        <v>45618.56787037037</v>
      </c>
      <c r="C296" s="1" t="n">
        <v>45932</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6405-2025</t>
        </is>
      </c>
      <c r="B297" s="1" t="n">
        <v>45699.45392361111</v>
      </c>
      <c r="C297" s="1" t="n">
        <v>45932</v>
      </c>
      <c r="D297" t="inlineStr">
        <is>
          <t>KALMAR LÄN</t>
        </is>
      </c>
      <c r="E297" t="inlineStr">
        <is>
          <t>VIMMERBY</t>
        </is>
      </c>
      <c r="G297" t="n">
        <v>1.2</v>
      </c>
      <c r="H297" t="n">
        <v>0</v>
      </c>
      <c r="I297" t="n">
        <v>0</v>
      </c>
      <c r="J297" t="n">
        <v>0</v>
      </c>
      <c r="K297" t="n">
        <v>0</v>
      </c>
      <c r="L297" t="n">
        <v>0</v>
      </c>
      <c r="M297" t="n">
        <v>0</v>
      </c>
      <c r="N297" t="n">
        <v>0</v>
      </c>
      <c r="O297" t="n">
        <v>0</v>
      </c>
      <c r="P297" t="n">
        <v>0</v>
      </c>
      <c r="Q297" t="n">
        <v>0</v>
      </c>
      <c r="R297" s="2" t="inlineStr"/>
    </row>
    <row r="298" ht="15" customHeight="1">
      <c r="A298" t="inlineStr">
        <is>
          <t>A 61861-2024</t>
        </is>
      </c>
      <c r="B298" s="1" t="n">
        <v>45650.37370370371</v>
      </c>
      <c r="C298" s="1" t="n">
        <v>45932</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6307-2025</t>
        </is>
      </c>
      <c r="B299" s="1" t="n">
        <v>45698.69016203703</v>
      </c>
      <c r="C299" s="1" t="n">
        <v>45932</v>
      </c>
      <c r="D299" t="inlineStr">
        <is>
          <t>KALMAR LÄN</t>
        </is>
      </c>
      <c r="E299" t="inlineStr">
        <is>
          <t>VIMMERBY</t>
        </is>
      </c>
      <c r="G299" t="n">
        <v>3</v>
      </c>
      <c r="H299" t="n">
        <v>0</v>
      </c>
      <c r="I299" t="n">
        <v>0</v>
      </c>
      <c r="J299" t="n">
        <v>0</v>
      </c>
      <c r="K299" t="n">
        <v>0</v>
      </c>
      <c r="L299" t="n">
        <v>0</v>
      </c>
      <c r="M299" t="n">
        <v>0</v>
      </c>
      <c r="N299" t="n">
        <v>0</v>
      </c>
      <c r="O299" t="n">
        <v>0</v>
      </c>
      <c r="P299" t="n">
        <v>0</v>
      </c>
      <c r="Q299" t="n">
        <v>0</v>
      </c>
      <c r="R299" s="2" t="inlineStr"/>
    </row>
    <row r="300" ht="15" customHeight="1">
      <c r="A300" t="inlineStr">
        <is>
          <t>A 10837-2023</t>
        </is>
      </c>
      <c r="B300" s="1" t="n">
        <v>44991.30547453704</v>
      </c>
      <c r="C300" s="1" t="n">
        <v>45932</v>
      </c>
      <c r="D300" t="inlineStr">
        <is>
          <t>KALMAR LÄN</t>
        </is>
      </c>
      <c r="E300" t="inlineStr">
        <is>
          <t>VIMMERBY</t>
        </is>
      </c>
      <c r="G300" t="n">
        <v>7.3</v>
      </c>
      <c r="H300" t="n">
        <v>0</v>
      </c>
      <c r="I300" t="n">
        <v>0</v>
      </c>
      <c r="J300" t="n">
        <v>0</v>
      </c>
      <c r="K300" t="n">
        <v>0</v>
      </c>
      <c r="L300" t="n">
        <v>0</v>
      </c>
      <c r="M300" t="n">
        <v>0</v>
      </c>
      <c r="N300" t="n">
        <v>0</v>
      </c>
      <c r="O300" t="n">
        <v>0</v>
      </c>
      <c r="P300" t="n">
        <v>0</v>
      </c>
      <c r="Q300" t="n">
        <v>0</v>
      </c>
      <c r="R300" s="2" t="inlineStr"/>
    </row>
    <row r="301" ht="15" customHeight="1">
      <c r="A301" t="inlineStr">
        <is>
          <t>A 10838-2023</t>
        </is>
      </c>
      <c r="B301" s="1" t="n">
        <v>44991</v>
      </c>
      <c r="C301" s="1" t="n">
        <v>45932</v>
      </c>
      <c r="D301" t="inlineStr">
        <is>
          <t>KALMAR LÄN</t>
        </is>
      </c>
      <c r="E301" t="inlineStr">
        <is>
          <t>VIMMERBY</t>
        </is>
      </c>
      <c r="G301" t="n">
        <v>5.1</v>
      </c>
      <c r="H301" t="n">
        <v>0</v>
      </c>
      <c r="I301" t="n">
        <v>0</v>
      </c>
      <c r="J301" t="n">
        <v>0</v>
      </c>
      <c r="K301" t="n">
        <v>0</v>
      </c>
      <c r="L301" t="n">
        <v>0</v>
      </c>
      <c r="M301" t="n">
        <v>0</v>
      </c>
      <c r="N301" t="n">
        <v>0</v>
      </c>
      <c r="O301" t="n">
        <v>0</v>
      </c>
      <c r="P301" t="n">
        <v>0</v>
      </c>
      <c r="Q301" t="n">
        <v>0</v>
      </c>
      <c r="R301" s="2" t="inlineStr"/>
    </row>
    <row r="302" ht="15" customHeight="1">
      <c r="A302" t="inlineStr">
        <is>
          <t>A 11442-2025</t>
        </is>
      </c>
      <c r="B302" s="1" t="n">
        <v>45726.62721064815</v>
      </c>
      <c r="C302" s="1" t="n">
        <v>45932</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54917-2020</t>
        </is>
      </c>
      <c r="B303" s="1" t="n">
        <v>44127</v>
      </c>
      <c r="C303" s="1" t="n">
        <v>45932</v>
      </c>
      <c r="D303" t="inlineStr">
        <is>
          <t>KALMAR LÄN</t>
        </is>
      </c>
      <c r="E303" t="inlineStr">
        <is>
          <t>VIMMERBY</t>
        </is>
      </c>
      <c r="G303" t="n">
        <v>9.5</v>
      </c>
      <c r="H303" t="n">
        <v>0</v>
      </c>
      <c r="I303" t="n">
        <v>0</v>
      </c>
      <c r="J303" t="n">
        <v>0</v>
      </c>
      <c r="K303" t="n">
        <v>0</v>
      </c>
      <c r="L303" t="n">
        <v>0</v>
      </c>
      <c r="M303" t="n">
        <v>0</v>
      </c>
      <c r="N303" t="n">
        <v>0</v>
      </c>
      <c r="O303" t="n">
        <v>0</v>
      </c>
      <c r="P303" t="n">
        <v>0</v>
      </c>
      <c r="Q303" t="n">
        <v>0</v>
      </c>
      <c r="R303" s="2" t="inlineStr"/>
    </row>
    <row r="304" ht="15" customHeight="1">
      <c r="A304" t="inlineStr">
        <is>
          <t>A 8650-2022</t>
        </is>
      </c>
      <c r="B304" s="1" t="n">
        <v>44613</v>
      </c>
      <c r="C304" s="1" t="n">
        <v>45932</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60437-2023</t>
        </is>
      </c>
      <c r="B305" s="1" t="n">
        <v>45259.51916666667</v>
      </c>
      <c r="C305" s="1" t="n">
        <v>45932</v>
      </c>
      <c r="D305" t="inlineStr">
        <is>
          <t>KALMAR LÄN</t>
        </is>
      </c>
      <c r="E305" t="inlineStr">
        <is>
          <t>VIMMERBY</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60438-2023</t>
        </is>
      </c>
      <c r="B306" s="1" t="n">
        <v>45259.52020833334</v>
      </c>
      <c r="C306" s="1" t="n">
        <v>45932</v>
      </c>
      <c r="D306" t="inlineStr">
        <is>
          <t>KALMAR LÄN</t>
        </is>
      </c>
      <c r="E306" t="inlineStr">
        <is>
          <t>VIMMERBY</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33340-2023</t>
        </is>
      </c>
      <c r="B307" s="1" t="n">
        <v>45128.37305555555</v>
      </c>
      <c r="C307" s="1" t="n">
        <v>45932</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44423-2023</t>
        </is>
      </c>
      <c r="B308" s="1" t="n">
        <v>45189</v>
      </c>
      <c r="C308" s="1" t="n">
        <v>45932</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42165-2024</t>
        </is>
      </c>
      <c r="B309" s="1" t="n">
        <v>45562.46342592593</v>
      </c>
      <c r="C309" s="1" t="n">
        <v>45932</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37323-2024</t>
        </is>
      </c>
      <c r="B310" s="1" t="n">
        <v>45540.50098379629</v>
      </c>
      <c r="C310" s="1" t="n">
        <v>45932</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25244-2023</t>
        </is>
      </c>
      <c r="B311" s="1" t="n">
        <v>45086</v>
      </c>
      <c r="C311" s="1" t="n">
        <v>45932</v>
      </c>
      <c r="D311" t="inlineStr">
        <is>
          <t>KALMAR LÄN</t>
        </is>
      </c>
      <c r="E311" t="inlineStr">
        <is>
          <t>VIMMERBY</t>
        </is>
      </c>
      <c r="G311" t="n">
        <v>4.7</v>
      </c>
      <c r="H311" t="n">
        <v>0</v>
      </c>
      <c r="I311" t="n">
        <v>0</v>
      </c>
      <c r="J311" t="n">
        <v>0</v>
      </c>
      <c r="K311" t="n">
        <v>0</v>
      </c>
      <c r="L311" t="n">
        <v>0</v>
      </c>
      <c r="M311" t="n">
        <v>0</v>
      </c>
      <c r="N311" t="n">
        <v>0</v>
      </c>
      <c r="O311" t="n">
        <v>0</v>
      </c>
      <c r="P311" t="n">
        <v>0</v>
      </c>
      <c r="Q311" t="n">
        <v>0</v>
      </c>
      <c r="R311" s="2" t="inlineStr"/>
    </row>
    <row r="312" ht="15" customHeight="1">
      <c r="A312" t="inlineStr">
        <is>
          <t>A 66022-2021</t>
        </is>
      </c>
      <c r="B312" s="1" t="n">
        <v>44517</v>
      </c>
      <c r="C312" s="1" t="n">
        <v>45932</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13290-2025</t>
        </is>
      </c>
      <c r="B313" s="1" t="n">
        <v>45735.56751157407</v>
      </c>
      <c r="C313" s="1" t="n">
        <v>45932</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35895-2024</t>
        </is>
      </c>
      <c r="B314" s="1" t="n">
        <v>45533.38870370371</v>
      </c>
      <c r="C314" s="1" t="n">
        <v>45932</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19162-2023</t>
        </is>
      </c>
      <c r="B315" s="1" t="n">
        <v>45048.59699074074</v>
      </c>
      <c r="C315" s="1" t="n">
        <v>45932</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11073-2023</t>
        </is>
      </c>
      <c r="B316" s="1" t="n">
        <v>44992</v>
      </c>
      <c r="C316" s="1" t="n">
        <v>45932</v>
      </c>
      <c r="D316" t="inlineStr">
        <is>
          <t>KALMAR LÄN</t>
        </is>
      </c>
      <c r="E316" t="inlineStr">
        <is>
          <t>VIMMERBY</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9475-2023</t>
        </is>
      </c>
      <c r="B317" s="1" t="n">
        <v>44981.58834490741</v>
      </c>
      <c r="C317" s="1" t="n">
        <v>45932</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17-2025</t>
        </is>
      </c>
      <c r="B318" s="1" t="n">
        <v>45658.78774305555</v>
      </c>
      <c r="C318" s="1" t="n">
        <v>45932</v>
      </c>
      <c r="D318" t="inlineStr">
        <is>
          <t>KALMAR LÄN</t>
        </is>
      </c>
      <c r="E318" t="inlineStr">
        <is>
          <t>VIMMERBY</t>
        </is>
      </c>
      <c r="G318" t="n">
        <v>4.4</v>
      </c>
      <c r="H318" t="n">
        <v>0</v>
      </c>
      <c r="I318" t="n">
        <v>0</v>
      </c>
      <c r="J318" t="n">
        <v>0</v>
      </c>
      <c r="K318" t="n">
        <v>0</v>
      </c>
      <c r="L318" t="n">
        <v>0</v>
      </c>
      <c r="M318" t="n">
        <v>0</v>
      </c>
      <c r="N318" t="n">
        <v>0</v>
      </c>
      <c r="O318" t="n">
        <v>0</v>
      </c>
      <c r="P318" t="n">
        <v>0</v>
      </c>
      <c r="Q318" t="n">
        <v>0</v>
      </c>
      <c r="R318" s="2" t="inlineStr"/>
    </row>
    <row r="319" ht="15" customHeight="1">
      <c r="A319" t="inlineStr">
        <is>
          <t>A 32655-2023</t>
        </is>
      </c>
      <c r="B319" s="1" t="n">
        <v>45121.61318287037</v>
      </c>
      <c r="C319" s="1" t="n">
        <v>45932</v>
      </c>
      <c r="D319" t="inlineStr">
        <is>
          <t>KALMAR LÄN</t>
        </is>
      </c>
      <c r="E319" t="inlineStr">
        <is>
          <t>VIMMERBY</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11946-2025</t>
        </is>
      </c>
      <c r="B320" s="1" t="n">
        <v>45728.54832175926</v>
      </c>
      <c r="C320" s="1" t="n">
        <v>45932</v>
      </c>
      <c r="D320" t="inlineStr">
        <is>
          <t>KALMAR LÄN</t>
        </is>
      </c>
      <c r="E320" t="inlineStr">
        <is>
          <t>VIMMERBY</t>
        </is>
      </c>
      <c r="G320" t="n">
        <v>0.4</v>
      </c>
      <c r="H320" t="n">
        <v>0</v>
      </c>
      <c r="I320" t="n">
        <v>0</v>
      </c>
      <c r="J320" t="n">
        <v>0</v>
      </c>
      <c r="K320" t="n">
        <v>0</v>
      </c>
      <c r="L320" t="n">
        <v>0</v>
      </c>
      <c r="M320" t="n">
        <v>0</v>
      </c>
      <c r="N320" t="n">
        <v>0</v>
      </c>
      <c r="O320" t="n">
        <v>0</v>
      </c>
      <c r="P320" t="n">
        <v>0</v>
      </c>
      <c r="Q320" t="n">
        <v>0</v>
      </c>
      <c r="R320" s="2" t="inlineStr"/>
    </row>
    <row r="321" ht="15" customHeight="1">
      <c r="A321" t="inlineStr">
        <is>
          <t>A 19537-2022</t>
        </is>
      </c>
      <c r="B321" s="1" t="n">
        <v>44693.62822916666</v>
      </c>
      <c r="C321" s="1" t="n">
        <v>45932</v>
      </c>
      <c r="D321" t="inlineStr">
        <is>
          <t>KALMAR LÄN</t>
        </is>
      </c>
      <c r="E321" t="inlineStr">
        <is>
          <t>VIMMERBY</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18501-2024</t>
        </is>
      </c>
      <c r="B322" s="1" t="n">
        <v>45425.57538194444</v>
      </c>
      <c r="C322" s="1" t="n">
        <v>45932</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63541-2023</t>
        </is>
      </c>
      <c r="B323" s="1" t="n">
        <v>45275.32266203704</v>
      </c>
      <c r="C323" s="1" t="n">
        <v>45932</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60951-2023</t>
        </is>
      </c>
      <c r="B324" s="1" t="n">
        <v>45261.44914351852</v>
      </c>
      <c r="C324" s="1" t="n">
        <v>45932</v>
      </c>
      <c r="D324" t="inlineStr">
        <is>
          <t>KALMAR LÄN</t>
        </is>
      </c>
      <c r="E324" t="inlineStr">
        <is>
          <t>VIMMERBY</t>
        </is>
      </c>
      <c r="G324" t="n">
        <v>4.3</v>
      </c>
      <c r="H324" t="n">
        <v>0</v>
      </c>
      <c r="I324" t="n">
        <v>0</v>
      </c>
      <c r="J324" t="n">
        <v>0</v>
      </c>
      <c r="K324" t="n">
        <v>0</v>
      </c>
      <c r="L324" t="n">
        <v>0</v>
      </c>
      <c r="M324" t="n">
        <v>0</v>
      </c>
      <c r="N324" t="n">
        <v>0</v>
      </c>
      <c r="O324" t="n">
        <v>0</v>
      </c>
      <c r="P324" t="n">
        <v>0</v>
      </c>
      <c r="Q324" t="n">
        <v>0</v>
      </c>
      <c r="R324" s="2" t="inlineStr"/>
    </row>
    <row r="325" ht="15" customHeight="1">
      <c r="A325" t="inlineStr">
        <is>
          <t>A 60292-2022</t>
        </is>
      </c>
      <c r="B325" s="1" t="n">
        <v>44910.54231481482</v>
      </c>
      <c r="C325" s="1" t="n">
        <v>45932</v>
      </c>
      <c r="D325" t="inlineStr">
        <is>
          <t>KALMAR LÄN</t>
        </is>
      </c>
      <c r="E325" t="inlineStr">
        <is>
          <t>VIMMERBY</t>
        </is>
      </c>
      <c r="G325" t="n">
        <v>4.4</v>
      </c>
      <c r="H325" t="n">
        <v>0</v>
      </c>
      <c r="I325" t="n">
        <v>0</v>
      </c>
      <c r="J325" t="n">
        <v>0</v>
      </c>
      <c r="K325" t="n">
        <v>0</v>
      </c>
      <c r="L325" t="n">
        <v>0</v>
      </c>
      <c r="M325" t="n">
        <v>0</v>
      </c>
      <c r="N325" t="n">
        <v>0</v>
      </c>
      <c r="O325" t="n">
        <v>0</v>
      </c>
      <c r="P325" t="n">
        <v>0</v>
      </c>
      <c r="Q325" t="n">
        <v>0</v>
      </c>
      <c r="R325" s="2" t="inlineStr"/>
    </row>
    <row r="326" ht="15" customHeight="1">
      <c r="A326" t="inlineStr">
        <is>
          <t>A 28034-2022</t>
        </is>
      </c>
      <c r="B326" s="1" t="n">
        <v>44746.38834490741</v>
      </c>
      <c r="C326" s="1" t="n">
        <v>45932</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23394-2025</t>
        </is>
      </c>
      <c r="B327" s="1" t="n">
        <v>45791.89865740741</v>
      </c>
      <c r="C327" s="1" t="n">
        <v>45932</v>
      </c>
      <c r="D327" t="inlineStr">
        <is>
          <t>KALMAR LÄN</t>
        </is>
      </c>
      <c r="E327" t="inlineStr">
        <is>
          <t>VIMMERBY</t>
        </is>
      </c>
      <c r="G327" t="n">
        <v>3.1</v>
      </c>
      <c r="H327" t="n">
        <v>0</v>
      </c>
      <c r="I327" t="n">
        <v>0</v>
      </c>
      <c r="J327" t="n">
        <v>0</v>
      </c>
      <c r="K327" t="n">
        <v>0</v>
      </c>
      <c r="L327" t="n">
        <v>0</v>
      </c>
      <c r="M327" t="n">
        <v>0</v>
      </c>
      <c r="N327" t="n">
        <v>0</v>
      </c>
      <c r="O327" t="n">
        <v>0</v>
      </c>
      <c r="P327" t="n">
        <v>0</v>
      </c>
      <c r="Q327" t="n">
        <v>0</v>
      </c>
      <c r="R327" s="2" t="inlineStr"/>
    </row>
    <row r="328" ht="15" customHeight="1">
      <c r="A328" t="inlineStr">
        <is>
          <t>A 5938-2022</t>
        </is>
      </c>
      <c r="B328" s="1" t="n">
        <v>44598</v>
      </c>
      <c r="C328" s="1" t="n">
        <v>45932</v>
      </c>
      <c r="D328" t="inlineStr">
        <is>
          <t>KALMAR LÄN</t>
        </is>
      </c>
      <c r="E328" t="inlineStr">
        <is>
          <t>VIMMERBY</t>
        </is>
      </c>
      <c r="G328" t="n">
        <v>2.4</v>
      </c>
      <c r="H328" t="n">
        <v>0</v>
      </c>
      <c r="I328" t="n">
        <v>0</v>
      </c>
      <c r="J328" t="n">
        <v>0</v>
      </c>
      <c r="K328" t="n">
        <v>0</v>
      </c>
      <c r="L328" t="n">
        <v>0</v>
      </c>
      <c r="M328" t="n">
        <v>0</v>
      </c>
      <c r="N328" t="n">
        <v>0</v>
      </c>
      <c r="O328" t="n">
        <v>0</v>
      </c>
      <c r="P328" t="n">
        <v>0</v>
      </c>
      <c r="Q328" t="n">
        <v>0</v>
      </c>
      <c r="R328" s="2" t="inlineStr"/>
    </row>
    <row r="329" ht="15" customHeight="1">
      <c r="A329" t="inlineStr">
        <is>
          <t>A 27758-2024</t>
        </is>
      </c>
      <c r="B329" s="1" t="n">
        <v>45475.48303240741</v>
      </c>
      <c r="C329" s="1" t="n">
        <v>45932</v>
      </c>
      <c r="D329" t="inlineStr">
        <is>
          <t>KALMAR LÄN</t>
        </is>
      </c>
      <c r="E329" t="inlineStr">
        <is>
          <t>VIMMERBY</t>
        </is>
      </c>
      <c r="G329" t="n">
        <v>2.6</v>
      </c>
      <c r="H329" t="n">
        <v>0</v>
      </c>
      <c r="I329" t="n">
        <v>0</v>
      </c>
      <c r="J329" t="n">
        <v>0</v>
      </c>
      <c r="K329" t="n">
        <v>0</v>
      </c>
      <c r="L329" t="n">
        <v>0</v>
      </c>
      <c r="M329" t="n">
        <v>0</v>
      </c>
      <c r="N329" t="n">
        <v>0</v>
      </c>
      <c r="O329" t="n">
        <v>0</v>
      </c>
      <c r="P329" t="n">
        <v>0</v>
      </c>
      <c r="Q329" t="n">
        <v>0</v>
      </c>
      <c r="R329" s="2" t="inlineStr"/>
    </row>
    <row r="330" ht="15" customHeight="1">
      <c r="A330" t="inlineStr">
        <is>
          <t>A 13307-2025</t>
        </is>
      </c>
      <c r="B330" s="1" t="n">
        <v>45735.58024305556</v>
      </c>
      <c r="C330" s="1" t="n">
        <v>45932</v>
      </c>
      <c r="D330" t="inlineStr">
        <is>
          <t>KALMAR LÄN</t>
        </is>
      </c>
      <c r="E330" t="inlineStr">
        <is>
          <t>VIMMERBY</t>
        </is>
      </c>
      <c r="G330" t="n">
        <v>0.8</v>
      </c>
      <c r="H330" t="n">
        <v>0</v>
      </c>
      <c r="I330" t="n">
        <v>0</v>
      </c>
      <c r="J330" t="n">
        <v>0</v>
      </c>
      <c r="K330" t="n">
        <v>0</v>
      </c>
      <c r="L330" t="n">
        <v>0</v>
      </c>
      <c r="M330" t="n">
        <v>0</v>
      </c>
      <c r="N330" t="n">
        <v>0</v>
      </c>
      <c r="O330" t="n">
        <v>0</v>
      </c>
      <c r="P330" t="n">
        <v>0</v>
      </c>
      <c r="Q330" t="n">
        <v>0</v>
      </c>
      <c r="R330" s="2" t="inlineStr"/>
    </row>
    <row r="331" ht="15" customHeight="1">
      <c r="A331" t="inlineStr">
        <is>
          <t>A 7485-2024</t>
        </is>
      </c>
      <c r="B331" s="1" t="n">
        <v>45346.67184027778</v>
      </c>
      <c r="C331" s="1" t="n">
        <v>45932</v>
      </c>
      <c r="D331" t="inlineStr">
        <is>
          <t>KALMAR LÄN</t>
        </is>
      </c>
      <c r="E331" t="inlineStr">
        <is>
          <t>VIMMERBY</t>
        </is>
      </c>
      <c r="G331" t="n">
        <v>1.9</v>
      </c>
      <c r="H331" t="n">
        <v>0</v>
      </c>
      <c r="I331" t="n">
        <v>0</v>
      </c>
      <c r="J331" t="n">
        <v>0</v>
      </c>
      <c r="K331" t="n">
        <v>0</v>
      </c>
      <c r="L331" t="n">
        <v>0</v>
      </c>
      <c r="M331" t="n">
        <v>0</v>
      </c>
      <c r="N331" t="n">
        <v>0</v>
      </c>
      <c r="O331" t="n">
        <v>0</v>
      </c>
      <c r="P331" t="n">
        <v>0</v>
      </c>
      <c r="Q331" t="n">
        <v>0</v>
      </c>
      <c r="R331" s="2" t="inlineStr"/>
    </row>
    <row r="332" ht="15" customHeight="1">
      <c r="A332" t="inlineStr">
        <is>
          <t>A 12590-2025</t>
        </is>
      </c>
      <c r="B332" s="1" t="n">
        <v>45732.79925925926</v>
      </c>
      <c r="C332" s="1" t="n">
        <v>45932</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24283-2023</t>
        </is>
      </c>
      <c r="B333" s="1" t="n">
        <v>45079.87827546296</v>
      </c>
      <c r="C333" s="1" t="n">
        <v>45932</v>
      </c>
      <c r="D333" t="inlineStr">
        <is>
          <t>KALMAR LÄN</t>
        </is>
      </c>
      <c r="E333" t="inlineStr">
        <is>
          <t>VIMMERBY</t>
        </is>
      </c>
      <c r="G333" t="n">
        <v>2</v>
      </c>
      <c r="H333" t="n">
        <v>0</v>
      </c>
      <c r="I333" t="n">
        <v>0</v>
      </c>
      <c r="J333" t="n">
        <v>0</v>
      </c>
      <c r="K333" t="n">
        <v>0</v>
      </c>
      <c r="L333" t="n">
        <v>0</v>
      </c>
      <c r="M333" t="n">
        <v>0</v>
      </c>
      <c r="N333" t="n">
        <v>0</v>
      </c>
      <c r="O333" t="n">
        <v>0</v>
      </c>
      <c r="P333" t="n">
        <v>0</v>
      </c>
      <c r="Q333" t="n">
        <v>0</v>
      </c>
      <c r="R333" s="2" t="inlineStr"/>
    </row>
    <row r="334" ht="15" customHeight="1">
      <c r="A334" t="inlineStr">
        <is>
          <t>A 55716-2023</t>
        </is>
      </c>
      <c r="B334" s="1" t="n">
        <v>45232</v>
      </c>
      <c r="C334" s="1" t="n">
        <v>45932</v>
      </c>
      <c r="D334" t="inlineStr">
        <is>
          <t>KALMAR LÄN</t>
        </is>
      </c>
      <c r="E334" t="inlineStr">
        <is>
          <t>VIMMERBY</t>
        </is>
      </c>
      <c r="G334" t="n">
        <v>2.3</v>
      </c>
      <c r="H334" t="n">
        <v>0</v>
      </c>
      <c r="I334" t="n">
        <v>0</v>
      </c>
      <c r="J334" t="n">
        <v>0</v>
      </c>
      <c r="K334" t="n">
        <v>0</v>
      </c>
      <c r="L334" t="n">
        <v>0</v>
      </c>
      <c r="M334" t="n">
        <v>0</v>
      </c>
      <c r="N334" t="n">
        <v>0</v>
      </c>
      <c r="O334" t="n">
        <v>0</v>
      </c>
      <c r="P334" t="n">
        <v>0</v>
      </c>
      <c r="Q334" t="n">
        <v>0</v>
      </c>
      <c r="R334" s="2" t="inlineStr"/>
    </row>
    <row r="335" ht="15" customHeight="1">
      <c r="A335" t="inlineStr">
        <is>
          <t>A 35710-2023</t>
        </is>
      </c>
      <c r="B335" s="1" t="n">
        <v>45147.67096064815</v>
      </c>
      <c r="C335" s="1" t="n">
        <v>45932</v>
      </c>
      <c r="D335" t="inlineStr">
        <is>
          <t>KALMAR LÄN</t>
        </is>
      </c>
      <c r="E335" t="inlineStr">
        <is>
          <t>VIMMERBY</t>
        </is>
      </c>
      <c r="G335" t="n">
        <v>3.1</v>
      </c>
      <c r="H335" t="n">
        <v>0</v>
      </c>
      <c r="I335" t="n">
        <v>0</v>
      </c>
      <c r="J335" t="n">
        <v>0</v>
      </c>
      <c r="K335" t="n">
        <v>0</v>
      </c>
      <c r="L335" t="n">
        <v>0</v>
      </c>
      <c r="M335" t="n">
        <v>0</v>
      </c>
      <c r="N335" t="n">
        <v>0</v>
      </c>
      <c r="O335" t="n">
        <v>0</v>
      </c>
      <c r="P335" t="n">
        <v>0</v>
      </c>
      <c r="Q335" t="n">
        <v>0</v>
      </c>
      <c r="R335" s="2" t="inlineStr"/>
    </row>
    <row r="336" ht="15" customHeight="1">
      <c r="A336" t="inlineStr">
        <is>
          <t>A 52823-2024</t>
        </is>
      </c>
      <c r="B336" s="1" t="n">
        <v>45610.59094907407</v>
      </c>
      <c r="C336" s="1" t="n">
        <v>45932</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2462-2022</t>
        </is>
      </c>
      <c r="B337" s="1" t="n">
        <v>44579.62225694444</v>
      </c>
      <c r="C337" s="1" t="n">
        <v>45932</v>
      </c>
      <c r="D337" t="inlineStr">
        <is>
          <t>KALMAR LÄN</t>
        </is>
      </c>
      <c r="E337" t="inlineStr">
        <is>
          <t>VIMMERBY</t>
        </is>
      </c>
      <c r="G337" t="n">
        <v>1.1</v>
      </c>
      <c r="H337" t="n">
        <v>0</v>
      </c>
      <c r="I337" t="n">
        <v>0</v>
      </c>
      <c r="J337" t="n">
        <v>0</v>
      </c>
      <c r="K337" t="n">
        <v>0</v>
      </c>
      <c r="L337" t="n">
        <v>0</v>
      </c>
      <c r="M337" t="n">
        <v>0</v>
      </c>
      <c r="N337" t="n">
        <v>0</v>
      </c>
      <c r="O337" t="n">
        <v>0</v>
      </c>
      <c r="P337" t="n">
        <v>0</v>
      </c>
      <c r="Q337" t="n">
        <v>0</v>
      </c>
      <c r="R337" s="2" t="inlineStr"/>
    </row>
    <row r="338" ht="15" customHeight="1">
      <c r="A338" t="inlineStr">
        <is>
          <t>A 60228-2021</t>
        </is>
      </c>
      <c r="B338" s="1" t="n">
        <v>44495</v>
      </c>
      <c r="C338" s="1" t="n">
        <v>45932</v>
      </c>
      <c r="D338" t="inlineStr">
        <is>
          <t>KALMAR LÄN</t>
        </is>
      </c>
      <c r="E338" t="inlineStr">
        <is>
          <t>VIMMERBY</t>
        </is>
      </c>
      <c r="G338" t="n">
        <v>4.1</v>
      </c>
      <c r="H338" t="n">
        <v>0</v>
      </c>
      <c r="I338" t="n">
        <v>0</v>
      </c>
      <c r="J338" t="n">
        <v>0</v>
      </c>
      <c r="K338" t="n">
        <v>0</v>
      </c>
      <c r="L338" t="n">
        <v>0</v>
      </c>
      <c r="M338" t="n">
        <v>0</v>
      </c>
      <c r="N338" t="n">
        <v>0</v>
      </c>
      <c r="O338" t="n">
        <v>0</v>
      </c>
      <c r="P338" t="n">
        <v>0</v>
      </c>
      <c r="Q338" t="n">
        <v>0</v>
      </c>
      <c r="R338" s="2" t="inlineStr"/>
    </row>
    <row r="339" ht="15" customHeight="1">
      <c r="A339" t="inlineStr">
        <is>
          <t>A 18329-2023</t>
        </is>
      </c>
      <c r="B339" s="1" t="n">
        <v>45041.63380787037</v>
      </c>
      <c r="C339" s="1" t="n">
        <v>45932</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25979-2023</t>
        </is>
      </c>
      <c r="B340" s="1" t="n">
        <v>45090.89653935185</v>
      </c>
      <c r="C340" s="1" t="n">
        <v>45932</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25980-2023</t>
        </is>
      </c>
      <c r="B341" s="1" t="n">
        <v>45090.89880787037</v>
      </c>
      <c r="C341" s="1" t="n">
        <v>45932</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11147-2023</t>
        </is>
      </c>
      <c r="B342" s="1" t="n">
        <v>44992</v>
      </c>
      <c r="C342" s="1" t="n">
        <v>45932</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12510-2022</t>
        </is>
      </c>
      <c r="B343" s="1" t="n">
        <v>44638.55256944444</v>
      </c>
      <c r="C343" s="1" t="n">
        <v>45932</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6358-2022</t>
        </is>
      </c>
      <c r="B344" s="1" t="n">
        <v>44600</v>
      </c>
      <c r="C344" s="1" t="n">
        <v>45932</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19833-2023</t>
        </is>
      </c>
      <c r="B345" s="1" t="n">
        <v>45052</v>
      </c>
      <c r="C345" s="1" t="n">
        <v>45932</v>
      </c>
      <c r="D345" t="inlineStr">
        <is>
          <t>KALMAR LÄN</t>
        </is>
      </c>
      <c r="E345" t="inlineStr">
        <is>
          <t>VIMMERBY</t>
        </is>
      </c>
      <c r="G345" t="n">
        <v>6.7</v>
      </c>
      <c r="H345" t="n">
        <v>0</v>
      </c>
      <c r="I345" t="n">
        <v>0</v>
      </c>
      <c r="J345" t="n">
        <v>0</v>
      </c>
      <c r="K345" t="n">
        <v>0</v>
      </c>
      <c r="L345" t="n">
        <v>0</v>
      </c>
      <c r="M345" t="n">
        <v>0</v>
      </c>
      <c r="N345" t="n">
        <v>0</v>
      </c>
      <c r="O345" t="n">
        <v>0</v>
      </c>
      <c r="P345" t="n">
        <v>0</v>
      </c>
      <c r="Q345" t="n">
        <v>0</v>
      </c>
      <c r="R345" s="2" t="inlineStr"/>
    </row>
    <row r="346" ht="15" customHeight="1">
      <c r="A346" t="inlineStr">
        <is>
          <t>A 23984-2025</t>
        </is>
      </c>
      <c r="B346" s="1" t="n">
        <v>45796</v>
      </c>
      <c r="C346" s="1" t="n">
        <v>45932</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14548-2024</t>
        </is>
      </c>
      <c r="B347" s="1" t="n">
        <v>45394.66887731481</v>
      </c>
      <c r="C347" s="1" t="n">
        <v>45932</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48373-2021</t>
        </is>
      </c>
      <c r="B348" s="1" t="n">
        <v>44451</v>
      </c>
      <c r="C348" s="1" t="n">
        <v>45932</v>
      </c>
      <c r="D348" t="inlineStr">
        <is>
          <t>KALMAR LÄN</t>
        </is>
      </c>
      <c r="E348" t="inlineStr">
        <is>
          <t>VIMMERBY</t>
        </is>
      </c>
      <c r="G348" t="n">
        <v>2.2</v>
      </c>
      <c r="H348" t="n">
        <v>0</v>
      </c>
      <c r="I348" t="n">
        <v>0</v>
      </c>
      <c r="J348" t="n">
        <v>0</v>
      </c>
      <c r="K348" t="n">
        <v>0</v>
      </c>
      <c r="L348" t="n">
        <v>0</v>
      </c>
      <c r="M348" t="n">
        <v>0</v>
      </c>
      <c r="N348" t="n">
        <v>0</v>
      </c>
      <c r="O348" t="n">
        <v>0</v>
      </c>
      <c r="P348" t="n">
        <v>0</v>
      </c>
      <c r="Q348" t="n">
        <v>0</v>
      </c>
      <c r="R348" s="2" t="inlineStr"/>
    </row>
    <row r="349" ht="15" customHeight="1">
      <c r="A349" t="inlineStr">
        <is>
          <t>A 585-2024</t>
        </is>
      </c>
      <c r="B349" s="1" t="n">
        <v>45299.62576388889</v>
      </c>
      <c r="C349" s="1" t="n">
        <v>45932</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13015-2023</t>
        </is>
      </c>
      <c r="B350" s="1" t="n">
        <v>45002</v>
      </c>
      <c r="C350" s="1" t="n">
        <v>45932</v>
      </c>
      <c r="D350" t="inlineStr">
        <is>
          <t>KALMAR LÄN</t>
        </is>
      </c>
      <c r="E350" t="inlineStr">
        <is>
          <t>VIMMERBY</t>
        </is>
      </c>
      <c r="G350" t="n">
        <v>3.2</v>
      </c>
      <c r="H350" t="n">
        <v>0</v>
      </c>
      <c r="I350" t="n">
        <v>0</v>
      </c>
      <c r="J350" t="n">
        <v>0</v>
      </c>
      <c r="K350" t="n">
        <v>0</v>
      </c>
      <c r="L350" t="n">
        <v>0</v>
      </c>
      <c r="M350" t="n">
        <v>0</v>
      </c>
      <c r="N350" t="n">
        <v>0</v>
      </c>
      <c r="O350" t="n">
        <v>0</v>
      </c>
      <c r="P350" t="n">
        <v>0</v>
      </c>
      <c r="Q350" t="n">
        <v>0</v>
      </c>
      <c r="R350" s="2" t="inlineStr"/>
    </row>
    <row r="351" ht="15" customHeight="1">
      <c r="A351" t="inlineStr">
        <is>
          <t>A 56020-2024</t>
        </is>
      </c>
      <c r="B351" s="1" t="n">
        <v>45623.9525462963</v>
      </c>
      <c r="C351" s="1" t="n">
        <v>45932</v>
      </c>
      <c r="D351" t="inlineStr">
        <is>
          <t>KALMAR LÄN</t>
        </is>
      </c>
      <c r="E351" t="inlineStr">
        <is>
          <t>VIMMERBY</t>
        </is>
      </c>
      <c r="G351" t="n">
        <v>1</v>
      </c>
      <c r="H351" t="n">
        <v>0</v>
      </c>
      <c r="I351" t="n">
        <v>0</v>
      </c>
      <c r="J351" t="n">
        <v>0</v>
      </c>
      <c r="K351" t="n">
        <v>0</v>
      </c>
      <c r="L351" t="n">
        <v>0</v>
      </c>
      <c r="M351" t="n">
        <v>0</v>
      </c>
      <c r="N351" t="n">
        <v>0</v>
      </c>
      <c r="O351" t="n">
        <v>0</v>
      </c>
      <c r="P351" t="n">
        <v>0</v>
      </c>
      <c r="Q351" t="n">
        <v>0</v>
      </c>
      <c r="R351" s="2" t="inlineStr"/>
    </row>
    <row r="352" ht="15" customHeight="1">
      <c r="A352" t="inlineStr">
        <is>
          <t>A 23252-2024</t>
        </is>
      </c>
      <c r="B352" s="1" t="n">
        <v>45453.36067129629</v>
      </c>
      <c r="C352" s="1" t="n">
        <v>45932</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15550-2023</t>
        </is>
      </c>
      <c r="B353" s="1" t="n">
        <v>45020</v>
      </c>
      <c r="C353" s="1" t="n">
        <v>45932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11219-2023</t>
        </is>
      </c>
      <c r="B354" s="1" t="n">
        <v>44992.62498842592</v>
      </c>
      <c r="C354" s="1" t="n">
        <v>45932</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18411-2021</t>
        </is>
      </c>
      <c r="B355" s="1" t="n">
        <v>44302</v>
      </c>
      <c r="C355" s="1" t="n">
        <v>45932</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47855-2024</t>
        </is>
      </c>
      <c r="B356" s="1" t="n">
        <v>45588.66457175926</v>
      </c>
      <c r="C356" s="1" t="n">
        <v>45932</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57256-2023</t>
        </is>
      </c>
      <c r="B357" s="1" t="n">
        <v>45245.5735300926</v>
      </c>
      <c r="C357" s="1" t="n">
        <v>45932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17482-2024</t>
        </is>
      </c>
      <c r="B358" s="1" t="n">
        <v>45415.47848379629</v>
      </c>
      <c r="C358" s="1" t="n">
        <v>45932</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172-2022</t>
        </is>
      </c>
      <c r="B359" s="1" t="n">
        <v>44564.62598379629</v>
      </c>
      <c r="C359" s="1" t="n">
        <v>45932</v>
      </c>
      <c r="D359" t="inlineStr">
        <is>
          <t>KALMAR LÄN</t>
        </is>
      </c>
      <c r="E359" t="inlineStr">
        <is>
          <t>VIMMERBY</t>
        </is>
      </c>
      <c r="G359" t="n">
        <v>2.1</v>
      </c>
      <c r="H359" t="n">
        <v>0</v>
      </c>
      <c r="I359" t="n">
        <v>0</v>
      </c>
      <c r="J359" t="n">
        <v>0</v>
      </c>
      <c r="K359" t="n">
        <v>0</v>
      </c>
      <c r="L359" t="n">
        <v>0</v>
      </c>
      <c r="M359" t="n">
        <v>0</v>
      </c>
      <c r="N359" t="n">
        <v>0</v>
      </c>
      <c r="O359" t="n">
        <v>0</v>
      </c>
      <c r="P359" t="n">
        <v>0</v>
      </c>
      <c r="Q359" t="n">
        <v>0</v>
      </c>
      <c r="R359" s="2" t="inlineStr"/>
    </row>
    <row r="360" ht="15" customHeight="1">
      <c r="A360" t="inlineStr">
        <is>
          <t>A 39584-2024</t>
        </is>
      </c>
      <c r="B360" s="1" t="n">
        <v>45552.36759259259</v>
      </c>
      <c r="C360" s="1" t="n">
        <v>45932</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29186-2024</t>
        </is>
      </c>
      <c r="B361" s="1" t="n">
        <v>45482.54844907407</v>
      </c>
      <c r="C361" s="1" t="n">
        <v>45932</v>
      </c>
      <c r="D361" t="inlineStr">
        <is>
          <t>KALMAR LÄN</t>
        </is>
      </c>
      <c r="E361" t="inlineStr">
        <is>
          <t>VIMMERBY</t>
        </is>
      </c>
      <c r="G361" t="n">
        <v>2.6</v>
      </c>
      <c r="H361" t="n">
        <v>0</v>
      </c>
      <c r="I361" t="n">
        <v>0</v>
      </c>
      <c r="J361" t="n">
        <v>0</v>
      </c>
      <c r="K361" t="n">
        <v>0</v>
      </c>
      <c r="L361" t="n">
        <v>0</v>
      </c>
      <c r="M361" t="n">
        <v>0</v>
      </c>
      <c r="N361" t="n">
        <v>0</v>
      </c>
      <c r="O361" t="n">
        <v>0</v>
      </c>
      <c r="P361" t="n">
        <v>0</v>
      </c>
      <c r="Q361" t="n">
        <v>0</v>
      </c>
      <c r="R361" s="2" t="inlineStr"/>
    </row>
    <row r="362" ht="15" customHeight="1">
      <c r="A362" t="inlineStr">
        <is>
          <t>A 51881-2024</t>
        </is>
      </c>
      <c r="B362" s="1" t="n">
        <v>45607.56773148148</v>
      </c>
      <c r="C362" s="1" t="n">
        <v>45932</v>
      </c>
      <c r="D362" t="inlineStr">
        <is>
          <t>KALMAR LÄN</t>
        </is>
      </c>
      <c r="E362" t="inlineStr">
        <is>
          <t>VIMMERBY</t>
        </is>
      </c>
      <c r="G362" t="n">
        <v>3.4</v>
      </c>
      <c r="H362" t="n">
        <v>0</v>
      </c>
      <c r="I362" t="n">
        <v>0</v>
      </c>
      <c r="J362" t="n">
        <v>0</v>
      </c>
      <c r="K362" t="n">
        <v>0</v>
      </c>
      <c r="L362" t="n">
        <v>0</v>
      </c>
      <c r="M362" t="n">
        <v>0</v>
      </c>
      <c r="N362" t="n">
        <v>0</v>
      </c>
      <c r="O362" t="n">
        <v>0</v>
      </c>
      <c r="P362" t="n">
        <v>0</v>
      </c>
      <c r="Q362" t="n">
        <v>0</v>
      </c>
      <c r="R362" s="2" t="inlineStr"/>
    </row>
    <row r="363" ht="15" customHeight="1">
      <c r="A363" t="inlineStr">
        <is>
          <t>A 2596-2025</t>
        </is>
      </c>
      <c r="B363" s="1" t="n">
        <v>45674.71810185185</v>
      </c>
      <c r="C363" s="1" t="n">
        <v>45932</v>
      </c>
      <c r="D363" t="inlineStr">
        <is>
          <t>KALMAR LÄN</t>
        </is>
      </c>
      <c r="E363" t="inlineStr">
        <is>
          <t>VIMMERBY</t>
        </is>
      </c>
      <c r="G363" t="n">
        <v>9</v>
      </c>
      <c r="H363" t="n">
        <v>0</v>
      </c>
      <c r="I363" t="n">
        <v>0</v>
      </c>
      <c r="J363" t="n">
        <v>0</v>
      </c>
      <c r="K363" t="n">
        <v>0</v>
      </c>
      <c r="L363" t="n">
        <v>0</v>
      </c>
      <c r="M363" t="n">
        <v>0</v>
      </c>
      <c r="N363" t="n">
        <v>0</v>
      </c>
      <c r="O363" t="n">
        <v>0</v>
      </c>
      <c r="P363" t="n">
        <v>0</v>
      </c>
      <c r="Q363" t="n">
        <v>0</v>
      </c>
      <c r="R363" s="2" t="inlineStr"/>
    </row>
    <row r="364" ht="15" customHeight="1">
      <c r="A364" t="inlineStr">
        <is>
          <t>A 50993-2022</t>
        </is>
      </c>
      <c r="B364" s="1" t="n">
        <v>44867</v>
      </c>
      <c r="C364" s="1" t="n">
        <v>45932</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55123-2024</t>
        </is>
      </c>
      <c r="B365" s="1" t="n">
        <v>45621.46103009259</v>
      </c>
      <c r="C365" s="1" t="n">
        <v>45932</v>
      </c>
      <c r="D365" t="inlineStr">
        <is>
          <t>KALMAR LÄN</t>
        </is>
      </c>
      <c r="E365" t="inlineStr">
        <is>
          <t>VIMMERBY</t>
        </is>
      </c>
      <c r="G365" t="n">
        <v>3.1</v>
      </c>
      <c r="H365" t="n">
        <v>0</v>
      </c>
      <c r="I365" t="n">
        <v>0</v>
      </c>
      <c r="J365" t="n">
        <v>0</v>
      </c>
      <c r="K365" t="n">
        <v>0</v>
      </c>
      <c r="L365" t="n">
        <v>0</v>
      </c>
      <c r="M365" t="n">
        <v>0</v>
      </c>
      <c r="N365" t="n">
        <v>0</v>
      </c>
      <c r="O365" t="n">
        <v>0</v>
      </c>
      <c r="P365" t="n">
        <v>0</v>
      </c>
      <c r="Q365" t="n">
        <v>0</v>
      </c>
      <c r="R365" s="2" t="inlineStr"/>
    </row>
    <row r="366" ht="15" customHeight="1">
      <c r="A366" t="inlineStr">
        <is>
          <t>A 35082-2024</t>
        </is>
      </c>
      <c r="B366" s="1" t="n">
        <v>45527.68784722222</v>
      </c>
      <c r="C366" s="1" t="n">
        <v>45932</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49313-2022</t>
        </is>
      </c>
      <c r="B367" s="1" t="n">
        <v>44861.52505787037</v>
      </c>
      <c r="C367" s="1" t="n">
        <v>45932</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1987-2024</t>
        </is>
      </c>
      <c r="B368" s="1" t="n">
        <v>45308.61152777778</v>
      </c>
      <c r="C368" s="1" t="n">
        <v>45932</v>
      </c>
      <c r="D368" t="inlineStr">
        <is>
          <t>KALMAR LÄN</t>
        </is>
      </c>
      <c r="E368" t="inlineStr">
        <is>
          <t>VIMMERBY</t>
        </is>
      </c>
      <c r="G368" t="n">
        <v>3</v>
      </c>
      <c r="H368" t="n">
        <v>0</v>
      </c>
      <c r="I368" t="n">
        <v>0</v>
      </c>
      <c r="J368" t="n">
        <v>0</v>
      </c>
      <c r="K368" t="n">
        <v>0</v>
      </c>
      <c r="L368" t="n">
        <v>0</v>
      </c>
      <c r="M368" t="n">
        <v>0</v>
      </c>
      <c r="N368" t="n">
        <v>0</v>
      </c>
      <c r="O368" t="n">
        <v>0</v>
      </c>
      <c r="P368" t="n">
        <v>0</v>
      </c>
      <c r="Q368" t="n">
        <v>0</v>
      </c>
      <c r="R368" s="2" t="inlineStr"/>
    </row>
    <row r="369" ht="15" customHeight="1">
      <c r="A369" t="inlineStr">
        <is>
          <t>A 16734-2023</t>
        </is>
      </c>
      <c r="B369" s="1" t="n">
        <v>45030.71012731481</v>
      </c>
      <c r="C369" s="1" t="n">
        <v>45932</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54787-2023</t>
        </is>
      </c>
      <c r="B370" s="1" t="n">
        <v>45236</v>
      </c>
      <c r="C370" s="1" t="n">
        <v>45932</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51278-2024</t>
        </is>
      </c>
      <c r="B371" s="1" t="n">
        <v>45603.74959490741</v>
      </c>
      <c r="C371" s="1" t="n">
        <v>45932</v>
      </c>
      <c r="D371" t="inlineStr">
        <is>
          <t>KALMAR LÄN</t>
        </is>
      </c>
      <c r="E371" t="inlineStr">
        <is>
          <t>VIMMERBY</t>
        </is>
      </c>
      <c r="G371" t="n">
        <v>3.4</v>
      </c>
      <c r="H371" t="n">
        <v>0</v>
      </c>
      <c r="I371" t="n">
        <v>0</v>
      </c>
      <c r="J371" t="n">
        <v>0</v>
      </c>
      <c r="K371" t="n">
        <v>0</v>
      </c>
      <c r="L371" t="n">
        <v>0</v>
      </c>
      <c r="M371" t="n">
        <v>0</v>
      </c>
      <c r="N371" t="n">
        <v>0</v>
      </c>
      <c r="O371" t="n">
        <v>0</v>
      </c>
      <c r="P371" t="n">
        <v>0</v>
      </c>
      <c r="Q371" t="n">
        <v>0</v>
      </c>
      <c r="R371" s="2" t="inlineStr"/>
    </row>
    <row r="372" ht="15" customHeight="1">
      <c r="A372" t="inlineStr">
        <is>
          <t>A 32614-2023</t>
        </is>
      </c>
      <c r="B372" s="1" t="n">
        <v>45121</v>
      </c>
      <c r="C372" s="1" t="n">
        <v>45932</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21507-2023</t>
        </is>
      </c>
      <c r="B373" s="1" t="n">
        <v>45063.508125</v>
      </c>
      <c r="C373" s="1" t="n">
        <v>45932</v>
      </c>
      <c r="D373" t="inlineStr">
        <is>
          <t>KALMAR LÄN</t>
        </is>
      </c>
      <c r="E373" t="inlineStr">
        <is>
          <t>VIMMERBY</t>
        </is>
      </c>
      <c r="G373" t="n">
        <v>2.8</v>
      </c>
      <c r="H373" t="n">
        <v>0</v>
      </c>
      <c r="I373" t="n">
        <v>0</v>
      </c>
      <c r="J373" t="n">
        <v>0</v>
      </c>
      <c r="K373" t="n">
        <v>0</v>
      </c>
      <c r="L373" t="n">
        <v>0</v>
      </c>
      <c r="M373" t="n">
        <v>0</v>
      </c>
      <c r="N373" t="n">
        <v>0</v>
      </c>
      <c r="O373" t="n">
        <v>0</v>
      </c>
      <c r="P373" t="n">
        <v>0</v>
      </c>
      <c r="Q373" t="n">
        <v>0</v>
      </c>
      <c r="R373" s="2" t="inlineStr"/>
    </row>
    <row r="374" ht="15" customHeight="1">
      <c r="A374" t="inlineStr">
        <is>
          <t>A 9456-2025</t>
        </is>
      </c>
      <c r="B374" s="1" t="n">
        <v>45715.44159722222</v>
      </c>
      <c r="C374" s="1" t="n">
        <v>45932</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57189-2022</t>
        </is>
      </c>
      <c r="B375" s="1" t="n">
        <v>44895.62296296296</v>
      </c>
      <c r="C375" s="1" t="n">
        <v>45932</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48673-2021</t>
        </is>
      </c>
      <c r="B376" s="1" t="n">
        <v>44452</v>
      </c>
      <c r="C376" s="1" t="n">
        <v>45932</v>
      </c>
      <c r="D376" t="inlineStr">
        <is>
          <t>KALMAR LÄN</t>
        </is>
      </c>
      <c r="E376" t="inlineStr">
        <is>
          <t>VIMMERBY</t>
        </is>
      </c>
      <c r="G376" t="n">
        <v>1.3</v>
      </c>
      <c r="H376" t="n">
        <v>0</v>
      </c>
      <c r="I376" t="n">
        <v>0</v>
      </c>
      <c r="J376" t="n">
        <v>0</v>
      </c>
      <c r="K376" t="n">
        <v>0</v>
      </c>
      <c r="L376" t="n">
        <v>0</v>
      </c>
      <c r="M376" t="n">
        <v>0</v>
      </c>
      <c r="N376" t="n">
        <v>0</v>
      </c>
      <c r="O376" t="n">
        <v>0</v>
      </c>
      <c r="P376" t="n">
        <v>0</v>
      </c>
      <c r="Q376" t="n">
        <v>0</v>
      </c>
      <c r="R376" s="2" t="inlineStr"/>
    </row>
    <row r="377" ht="15" customHeight="1">
      <c r="A377" t="inlineStr">
        <is>
          <t>A 20129-2024</t>
        </is>
      </c>
      <c r="B377" s="1" t="n">
        <v>45434.55831018519</v>
      </c>
      <c r="C377" s="1" t="n">
        <v>45932</v>
      </c>
      <c r="D377" t="inlineStr">
        <is>
          <t>KALMAR LÄN</t>
        </is>
      </c>
      <c r="E377" t="inlineStr">
        <is>
          <t>VIMMERBY</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20137-2024</t>
        </is>
      </c>
      <c r="B378" s="1" t="n">
        <v>45434.56398148148</v>
      </c>
      <c r="C378" s="1" t="n">
        <v>45932</v>
      </c>
      <c r="D378" t="inlineStr">
        <is>
          <t>KALMAR LÄN</t>
        </is>
      </c>
      <c r="E378" t="inlineStr">
        <is>
          <t>VIMMERBY</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7456-2024</t>
        </is>
      </c>
      <c r="B379" s="1" t="n">
        <v>45345.83557870371</v>
      </c>
      <c r="C379" s="1" t="n">
        <v>45932</v>
      </c>
      <c r="D379" t="inlineStr">
        <is>
          <t>KALMAR LÄN</t>
        </is>
      </c>
      <c r="E379" t="inlineStr">
        <is>
          <t>VIMMERBY</t>
        </is>
      </c>
      <c r="G379" t="n">
        <v>4.1</v>
      </c>
      <c r="H379" t="n">
        <v>0</v>
      </c>
      <c r="I379" t="n">
        <v>0</v>
      </c>
      <c r="J379" t="n">
        <v>0</v>
      </c>
      <c r="K379" t="n">
        <v>0</v>
      </c>
      <c r="L379" t="n">
        <v>0</v>
      </c>
      <c r="M379" t="n">
        <v>0</v>
      </c>
      <c r="N379" t="n">
        <v>0</v>
      </c>
      <c r="O379" t="n">
        <v>0</v>
      </c>
      <c r="P379" t="n">
        <v>0</v>
      </c>
      <c r="Q379" t="n">
        <v>0</v>
      </c>
      <c r="R379" s="2" t="inlineStr"/>
    </row>
    <row r="380" ht="15" customHeight="1">
      <c r="A380" t="inlineStr">
        <is>
          <t>A 6850-2023</t>
        </is>
      </c>
      <c r="B380" s="1" t="n">
        <v>44967.44255787037</v>
      </c>
      <c r="C380" s="1" t="n">
        <v>45932</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14248-2023</t>
        </is>
      </c>
      <c r="B381" s="1" t="n">
        <v>45009</v>
      </c>
      <c r="C381" s="1" t="n">
        <v>45932</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12480-2024</t>
        </is>
      </c>
      <c r="B382" s="1" t="n">
        <v>45379</v>
      </c>
      <c r="C382" s="1" t="n">
        <v>45932</v>
      </c>
      <c r="D382" t="inlineStr">
        <is>
          <t>KALMAR LÄN</t>
        </is>
      </c>
      <c r="E382" t="inlineStr">
        <is>
          <t>VIMMERBY</t>
        </is>
      </c>
      <c r="G382" t="n">
        <v>2.8</v>
      </c>
      <c r="H382" t="n">
        <v>0</v>
      </c>
      <c r="I382" t="n">
        <v>0</v>
      </c>
      <c r="J382" t="n">
        <v>0</v>
      </c>
      <c r="K382" t="n">
        <v>0</v>
      </c>
      <c r="L382" t="n">
        <v>0</v>
      </c>
      <c r="M382" t="n">
        <v>0</v>
      </c>
      <c r="N382" t="n">
        <v>0</v>
      </c>
      <c r="O382" t="n">
        <v>0</v>
      </c>
      <c r="P382" t="n">
        <v>0</v>
      </c>
      <c r="Q382" t="n">
        <v>0</v>
      </c>
      <c r="R382" s="2" t="inlineStr"/>
    </row>
    <row r="383" ht="15" customHeight="1">
      <c r="A383" t="inlineStr">
        <is>
          <t>A 58750-2022</t>
        </is>
      </c>
      <c r="B383" s="1" t="n">
        <v>44903.33363425926</v>
      </c>
      <c r="C383" s="1" t="n">
        <v>45932</v>
      </c>
      <c r="D383" t="inlineStr">
        <is>
          <t>KALMAR LÄN</t>
        </is>
      </c>
      <c r="E383" t="inlineStr">
        <is>
          <t>VIMMERBY</t>
        </is>
      </c>
      <c r="G383" t="n">
        <v>3.3</v>
      </c>
      <c r="H383" t="n">
        <v>0</v>
      </c>
      <c r="I383" t="n">
        <v>0</v>
      </c>
      <c r="J383" t="n">
        <v>0</v>
      </c>
      <c r="K383" t="n">
        <v>0</v>
      </c>
      <c r="L383" t="n">
        <v>0</v>
      </c>
      <c r="M383" t="n">
        <v>0</v>
      </c>
      <c r="N383" t="n">
        <v>0</v>
      </c>
      <c r="O383" t="n">
        <v>0</v>
      </c>
      <c r="P383" t="n">
        <v>0</v>
      </c>
      <c r="Q383" t="n">
        <v>0</v>
      </c>
      <c r="R383" s="2" t="inlineStr"/>
    </row>
    <row r="384" ht="15" customHeight="1">
      <c r="A384" t="inlineStr">
        <is>
          <t>A 11111-2023</t>
        </is>
      </c>
      <c r="B384" s="1" t="n">
        <v>44992.4255787037</v>
      </c>
      <c r="C384" s="1" t="n">
        <v>45932</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41158-2023</t>
        </is>
      </c>
      <c r="B385" s="1" t="n">
        <v>45174.31395833333</v>
      </c>
      <c r="C385" s="1" t="n">
        <v>45932</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52324-2023</t>
        </is>
      </c>
      <c r="B386" s="1" t="n">
        <v>45224.64659722222</v>
      </c>
      <c r="C386" s="1" t="n">
        <v>45932</v>
      </c>
      <c r="D386" t="inlineStr">
        <is>
          <t>KALMAR LÄN</t>
        </is>
      </c>
      <c r="E386" t="inlineStr">
        <is>
          <t>VIMMERBY</t>
        </is>
      </c>
      <c r="F386" t="inlineStr">
        <is>
          <t>Sveaskog</t>
        </is>
      </c>
      <c r="G386" t="n">
        <v>2.9</v>
      </c>
      <c r="H386" t="n">
        <v>0</v>
      </c>
      <c r="I386" t="n">
        <v>0</v>
      </c>
      <c r="J386" t="n">
        <v>0</v>
      </c>
      <c r="K386" t="n">
        <v>0</v>
      </c>
      <c r="L386" t="n">
        <v>0</v>
      </c>
      <c r="M386" t="n">
        <v>0</v>
      </c>
      <c r="N386" t="n">
        <v>0</v>
      </c>
      <c r="O386" t="n">
        <v>0</v>
      </c>
      <c r="P386" t="n">
        <v>0</v>
      </c>
      <c r="Q386" t="n">
        <v>0</v>
      </c>
      <c r="R386" s="2" t="inlineStr"/>
    </row>
    <row r="387" ht="15" customHeight="1">
      <c r="A387" t="inlineStr">
        <is>
          <t>A 2510-2023</t>
        </is>
      </c>
      <c r="B387" s="1" t="n">
        <v>44943.57309027778</v>
      </c>
      <c r="C387" s="1" t="n">
        <v>45932</v>
      </c>
      <c r="D387" t="inlineStr">
        <is>
          <t>KALMAR LÄN</t>
        </is>
      </c>
      <c r="E387" t="inlineStr">
        <is>
          <t>VIMMERBY</t>
        </is>
      </c>
      <c r="G387" t="n">
        <v>8.6</v>
      </c>
      <c r="H387" t="n">
        <v>0</v>
      </c>
      <c r="I387" t="n">
        <v>0</v>
      </c>
      <c r="J387" t="n">
        <v>0</v>
      </c>
      <c r="K387" t="n">
        <v>0</v>
      </c>
      <c r="L387" t="n">
        <v>0</v>
      </c>
      <c r="M387" t="n">
        <v>0</v>
      </c>
      <c r="N387" t="n">
        <v>0</v>
      </c>
      <c r="O387" t="n">
        <v>0</v>
      </c>
      <c r="P387" t="n">
        <v>0</v>
      </c>
      <c r="Q387" t="n">
        <v>0</v>
      </c>
      <c r="R387" s="2" t="inlineStr"/>
    </row>
    <row r="388" ht="15" customHeight="1">
      <c r="A388" t="inlineStr">
        <is>
          <t>A 44582-2024</t>
        </is>
      </c>
      <c r="B388" s="1" t="n">
        <v>45574.49298611111</v>
      </c>
      <c r="C388" s="1" t="n">
        <v>45932</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17988-2025</t>
        </is>
      </c>
      <c r="B389" s="1" t="n">
        <v>45761.39600694444</v>
      </c>
      <c r="C389" s="1" t="n">
        <v>45932</v>
      </c>
      <c r="D389" t="inlineStr">
        <is>
          <t>KALMAR LÄN</t>
        </is>
      </c>
      <c r="E389" t="inlineStr">
        <is>
          <t>VIMMERBY</t>
        </is>
      </c>
      <c r="G389" t="n">
        <v>2.8</v>
      </c>
      <c r="H389" t="n">
        <v>0</v>
      </c>
      <c r="I389" t="n">
        <v>0</v>
      </c>
      <c r="J389" t="n">
        <v>0</v>
      </c>
      <c r="K389" t="n">
        <v>0</v>
      </c>
      <c r="L389" t="n">
        <v>0</v>
      </c>
      <c r="M389" t="n">
        <v>0</v>
      </c>
      <c r="N389" t="n">
        <v>0</v>
      </c>
      <c r="O389" t="n">
        <v>0</v>
      </c>
      <c r="P389" t="n">
        <v>0</v>
      </c>
      <c r="Q389" t="n">
        <v>0</v>
      </c>
      <c r="R389" s="2" t="inlineStr"/>
    </row>
    <row r="390" ht="15" customHeight="1">
      <c r="A390" t="inlineStr">
        <is>
          <t>A 40095-2022</t>
        </is>
      </c>
      <c r="B390" s="1" t="n">
        <v>44820</v>
      </c>
      <c r="C390" s="1" t="n">
        <v>45932</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23341-2022</t>
        </is>
      </c>
      <c r="B391" s="1" t="n">
        <v>44720.53898148148</v>
      </c>
      <c r="C391" s="1" t="n">
        <v>45932</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50085-2023</t>
        </is>
      </c>
      <c r="B392" s="1" t="n">
        <v>45215.5959375</v>
      </c>
      <c r="C392" s="1" t="n">
        <v>45932</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50087-2023</t>
        </is>
      </c>
      <c r="B393" s="1" t="n">
        <v>45215.59743055556</v>
      </c>
      <c r="C393" s="1" t="n">
        <v>45932</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8167-2024</t>
        </is>
      </c>
      <c r="B394" s="1" t="n">
        <v>45351.6062962963</v>
      </c>
      <c r="C394" s="1" t="n">
        <v>45932</v>
      </c>
      <c r="D394" t="inlineStr">
        <is>
          <t>KALMAR LÄN</t>
        </is>
      </c>
      <c r="E394" t="inlineStr">
        <is>
          <t>VIMMERBY</t>
        </is>
      </c>
      <c r="G394" t="n">
        <v>3.8</v>
      </c>
      <c r="H394" t="n">
        <v>0</v>
      </c>
      <c r="I394" t="n">
        <v>0</v>
      </c>
      <c r="J394" t="n">
        <v>0</v>
      </c>
      <c r="K394" t="n">
        <v>0</v>
      </c>
      <c r="L394" t="n">
        <v>0</v>
      </c>
      <c r="M394" t="n">
        <v>0</v>
      </c>
      <c r="N394" t="n">
        <v>0</v>
      </c>
      <c r="O394" t="n">
        <v>0</v>
      </c>
      <c r="P394" t="n">
        <v>0</v>
      </c>
      <c r="Q394" t="n">
        <v>0</v>
      </c>
      <c r="R394" s="2" t="inlineStr"/>
    </row>
    <row r="395" ht="15" customHeight="1">
      <c r="A395" t="inlineStr">
        <is>
          <t>A 37028-2024</t>
        </is>
      </c>
      <c r="B395" s="1" t="n">
        <v>45539.38744212963</v>
      </c>
      <c r="C395" s="1" t="n">
        <v>45932</v>
      </c>
      <c r="D395" t="inlineStr">
        <is>
          <t>KALMAR LÄN</t>
        </is>
      </c>
      <c r="E395" t="inlineStr">
        <is>
          <t>VIMMERBY</t>
        </is>
      </c>
      <c r="G395" t="n">
        <v>5.2</v>
      </c>
      <c r="H395" t="n">
        <v>0</v>
      </c>
      <c r="I395" t="n">
        <v>0</v>
      </c>
      <c r="J395" t="n">
        <v>0</v>
      </c>
      <c r="K395" t="n">
        <v>0</v>
      </c>
      <c r="L395" t="n">
        <v>0</v>
      </c>
      <c r="M395" t="n">
        <v>0</v>
      </c>
      <c r="N395" t="n">
        <v>0</v>
      </c>
      <c r="O395" t="n">
        <v>0</v>
      </c>
      <c r="P395" t="n">
        <v>0</v>
      </c>
      <c r="Q395" t="n">
        <v>0</v>
      </c>
      <c r="R395" s="2" t="inlineStr"/>
    </row>
    <row r="396" ht="15" customHeight="1">
      <c r="A396" t="inlineStr">
        <is>
          <t>A 3269-2024</t>
        </is>
      </c>
      <c r="B396" s="1" t="n">
        <v>45317.40372685185</v>
      </c>
      <c r="C396" s="1" t="n">
        <v>45932</v>
      </c>
      <c r="D396" t="inlineStr">
        <is>
          <t>KALMAR LÄN</t>
        </is>
      </c>
      <c r="E396" t="inlineStr">
        <is>
          <t>VIMMERBY</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48120-2022</t>
        </is>
      </c>
      <c r="B397" s="1" t="n">
        <v>44857.65989583333</v>
      </c>
      <c r="C397" s="1" t="n">
        <v>45932</v>
      </c>
      <c r="D397" t="inlineStr">
        <is>
          <t>KALMAR LÄN</t>
        </is>
      </c>
      <c r="E397" t="inlineStr">
        <is>
          <t>VIMMERBY</t>
        </is>
      </c>
      <c r="G397" t="n">
        <v>1.7</v>
      </c>
      <c r="H397" t="n">
        <v>0</v>
      </c>
      <c r="I397" t="n">
        <v>0</v>
      </c>
      <c r="J397" t="n">
        <v>0</v>
      </c>
      <c r="K397" t="n">
        <v>0</v>
      </c>
      <c r="L397" t="n">
        <v>0</v>
      </c>
      <c r="M397" t="n">
        <v>0</v>
      </c>
      <c r="N397" t="n">
        <v>0</v>
      </c>
      <c r="O397" t="n">
        <v>0</v>
      </c>
      <c r="P397" t="n">
        <v>0</v>
      </c>
      <c r="Q397" t="n">
        <v>0</v>
      </c>
      <c r="R397" s="2" t="inlineStr"/>
    </row>
    <row r="398" ht="15" customHeight="1">
      <c r="A398" t="inlineStr">
        <is>
          <t>A 15494-2024</t>
        </is>
      </c>
      <c r="B398" s="1" t="n">
        <v>45401.53033564815</v>
      </c>
      <c r="C398" s="1" t="n">
        <v>45932</v>
      </c>
      <c r="D398" t="inlineStr">
        <is>
          <t>KALMAR LÄN</t>
        </is>
      </c>
      <c r="E398" t="inlineStr">
        <is>
          <t>VIMMERBY</t>
        </is>
      </c>
      <c r="G398" t="n">
        <v>3.2</v>
      </c>
      <c r="H398" t="n">
        <v>0</v>
      </c>
      <c r="I398" t="n">
        <v>0</v>
      </c>
      <c r="J398" t="n">
        <v>0</v>
      </c>
      <c r="K398" t="n">
        <v>0</v>
      </c>
      <c r="L398" t="n">
        <v>0</v>
      </c>
      <c r="M398" t="n">
        <v>0</v>
      </c>
      <c r="N398" t="n">
        <v>0</v>
      </c>
      <c r="O398" t="n">
        <v>0</v>
      </c>
      <c r="P398" t="n">
        <v>0</v>
      </c>
      <c r="Q398" t="n">
        <v>0</v>
      </c>
      <c r="R398" s="2" t="inlineStr"/>
    </row>
    <row r="399" ht="15" customHeight="1">
      <c r="A399" t="inlineStr">
        <is>
          <t>A 6368-2023</t>
        </is>
      </c>
      <c r="B399" s="1" t="n">
        <v>44965</v>
      </c>
      <c r="C399" s="1" t="n">
        <v>45932</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9416-2024</t>
        </is>
      </c>
      <c r="B400" s="1" t="n">
        <v>45359.44837962963</v>
      </c>
      <c r="C400" s="1" t="n">
        <v>45932</v>
      </c>
      <c r="D400" t="inlineStr">
        <is>
          <t>KALMAR LÄN</t>
        </is>
      </c>
      <c r="E400" t="inlineStr">
        <is>
          <t>VIMMERBY</t>
        </is>
      </c>
      <c r="G400" t="n">
        <v>3.2</v>
      </c>
      <c r="H400" t="n">
        <v>0</v>
      </c>
      <c r="I400" t="n">
        <v>0</v>
      </c>
      <c r="J400" t="n">
        <v>0</v>
      </c>
      <c r="K400" t="n">
        <v>0</v>
      </c>
      <c r="L400" t="n">
        <v>0</v>
      </c>
      <c r="M400" t="n">
        <v>0</v>
      </c>
      <c r="N400" t="n">
        <v>0</v>
      </c>
      <c r="O400" t="n">
        <v>0</v>
      </c>
      <c r="P400" t="n">
        <v>0</v>
      </c>
      <c r="Q400" t="n">
        <v>0</v>
      </c>
      <c r="R400" s="2" t="inlineStr"/>
    </row>
    <row r="401" ht="15" customHeight="1">
      <c r="A401" t="inlineStr">
        <is>
          <t>A 6668-2023</t>
        </is>
      </c>
      <c r="B401" s="1" t="n">
        <v>44966</v>
      </c>
      <c r="C401" s="1" t="n">
        <v>45932</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2604-2025</t>
        </is>
      </c>
      <c r="B402" s="1" t="n">
        <v>45674.74094907408</v>
      </c>
      <c r="C402" s="1" t="n">
        <v>45932</v>
      </c>
      <c r="D402" t="inlineStr">
        <is>
          <t>KALMAR LÄN</t>
        </is>
      </c>
      <c r="E402" t="inlineStr">
        <is>
          <t>VIMMERBY</t>
        </is>
      </c>
      <c r="G402" t="n">
        <v>7.6</v>
      </c>
      <c r="H402" t="n">
        <v>0</v>
      </c>
      <c r="I402" t="n">
        <v>0</v>
      </c>
      <c r="J402" t="n">
        <v>0</v>
      </c>
      <c r="K402" t="n">
        <v>0</v>
      </c>
      <c r="L402" t="n">
        <v>0</v>
      </c>
      <c r="M402" t="n">
        <v>0</v>
      </c>
      <c r="N402" t="n">
        <v>0</v>
      </c>
      <c r="O402" t="n">
        <v>0</v>
      </c>
      <c r="P402" t="n">
        <v>0</v>
      </c>
      <c r="Q402" t="n">
        <v>0</v>
      </c>
      <c r="R402" s="2" t="inlineStr"/>
    </row>
    <row r="403" ht="15" customHeight="1">
      <c r="A403" t="inlineStr">
        <is>
          <t>A 29168-2024</t>
        </is>
      </c>
      <c r="B403" s="1" t="n">
        <v>45482.49870370371</v>
      </c>
      <c r="C403" s="1" t="n">
        <v>45932</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8086-2021</t>
        </is>
      </c>
      <c r="B404" s="1" t="n">
        <v>44243</v>
      </c>
      <c r="C404" s="1" t="n">
        <v>45932</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55236-2023</t>
        </is>
      </c>
      <c r="B405" s="1" t="n">
        <v>45237.63225694445</v>
      </c>
      <c r="C405" s="1" t="n">
        <v>45932</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55245-2023</t>
        </is>
      </c>
      <c r="B406" s="1" t="n">
        <v>45237.64408564815</v>
      </c>
      <c r="C406" s="1" t="n">
        <v>45932</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36055-2024</t>
        </is>
      </c>
      <c r="B407" s="1" t="n">
        <v>45533.63056712963</v>
      </c>
      <c r="C407" s="1" t="n">
        <v>45932</v>
      </c>
      <c r="D407" t="inlineStr">
        <is>
          <t>KALMAR LÄN</t>
        </is>
      </c>
      <c r="E407" t="inlineStr">
        <is>
          <t>VIMMERBY</t>
        </is>
      </c>
      <c r="F407" t="inlineStr">
        <is>
          <t>Kommuner</t>
        </is>
      </c>
      <c r="G407" t="n">
        <v>1.9</v>
      </c>
      <c r="H407" t="n">
        <v>0</v>
      </c>
      <c r="I407" t="n">
        <v>0</v>
      </c>
      <c r="J407" t="n">
        <v>0</v>
      </c>
      <c r="K407" t="n">
        <v>0</v>
      </c>
      <c r="L407" t="n">
        <v>0</v>
      </c>
      <c r="M407" t="n">
        <v>0</v>
      </c>
      <c r="N407" t="n">
        <v>0</v>
      </c>
      <c r="O407" t="n">
        <v>0</v>
      </c>
      <c r="P407" t="n">
        <v>0</v>
      </c>
      <c r="Q407" t="n">
        <v>0</v>
      </c>
      <c r="R407" s="2" t="inlineStr"/>
    </row>
    <row r="408" ht="15" customHeight="1">
      <c r="A408" t="inlineStr">
        <is>
          <t>A 2797-2023</t>
        </is>
      </c>
      <c r="B408" s="1" t="n">
        <v>44944.71386574074</v>
      </c>
      <c r="C408" s="1" t="n">
        <v>45932</v>
      </c>
      <c r="D408" t="inlineStr">
        <is>
          <t>KALMAR LÄN</t>
        </is>
      </c>
      <c r="E408" t="inlineStr">
        <is>
          <t>VIMMERBY</t>
        </is>
      </c>
      <c r="G408" t="n">
        <v>3.4</v>
      </c>
      <c r="H408" t="n">
        <v>0</v>
      </c>
      <c r="I408" t="n">
        <v>0</v>
      </c>
      <c r="J408" t="n">
        <v>0</v>
      </c>
      <c r="K408" t="n">
        <v>0</v>
      </c>
      <c r="L408" t="n">
        <v>0</v>
      </c>
      <c r="M408" t="n">
        <v>0</v>
      </c>
      <c r="N408" t="n">
        <v>0</v>
      </c>
      <c r="O408" t="n">
        <v>0</v>
      </c>
      <c r="P408" t="n">
        <v>0</v>
      </c>
      <c r="Q408" t="n">
        <v>0</v>
      </c>
      <c r="R408" s="2" t="inlineStr"/>
    </row>
    <row r="409" ht="15" customHeight="1">
      <c r="A409" t="inlineStr">
        <is>
          <t>A 2799-2023</t>
        </is>
      </c>
      <c r="B409" s="1" t="n">
        <v>44944.72100694444</v>
      </c>
      <c r="C409" s="1" t="n">
        <v>45932</v>
      </c>
      <c r="D409" t="inlineStr">
        <is>
          <t>KALMAR LÄN</t>
        </is>
      </c>
      <c r="E409" t="inlineStr">
        <is>
          <t>VIMMERBY</t>
        </is>
      </c>
      <c r="G409" t="n">
        <v>1.3</v>
      </c>
      <c r="H409" t="n">
        <v>0</v>
      </c>
      <c r="I409" t="n">
        <v>0</v>
      </c>
      <c r="J409" t="n">
        <v>0</v>
      </c>
      <c r="K409" t="n">
        <v>0</v>
      </c>
      <c r="L409" t="n">
        <v>0</v>
      </c>
      <c r="M409" t="n">
        <v>0</v>
      </c>
      <c r="N409" t="n">
        <v>0</v>
      </c>
      <c r="O409" t="n">
        <v>0</v>
      </c>
      <c r="P409" t="n">
        <v>0</v>
      </c>
      <c r="Q409" t="n">
        <v>0</v>
      </c>
      <c r="R409" s="2" t="inlineStr"/>
    </row>
    <row r="410" ht="15" customHeight="1">
      <c r="A410" t="inlineStr">
        <is>
          <t>A 58724-2024</t>
        </is>
      </c>
      <c r="B410" s="1" t="n">
        <v>45635.66409722222</v>
      </c>
      <c r="C410" s="1" t="n">
        <v>45932</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25987-2024</t>
        </is>
      </c>
      <c r="B411" s="1" t="n">
        <v>45467.74417824074</v>
      </c>
      <c r="C411" s="1" t="n">
        <v>45932</v>
      </c>
      <c r="D411" t="inlineStr">
        <is>
          <t>KALMAR LÄN</t>
        </is>
      </c>
      <c r="E411" t="inlineStr">
        <is>
          <t>VIMMERBY</t>
        </is>
      </c>
      <c r="G411" t="n">
        <v>0.8</v>
      </c>
      <c r="H411" t="n">
        <v>0</v>
      </c>
      <c r="I411" t="n">
        <v>0</v>
      </c>
      <c r="J411" t="n">
        <v>0</v>
      </c>
      <c r="K411" t="n">
        <v>0</v>
      </c>
      <c r="L411" t="n">
        <v>0</v>
      </c>
      <c r="M411" t="n">
        <v>0</v>
      </c>
      <c r="N411" t="n">
        <v>0</v>
      </c>
      <c r="O411" t="n">
        <v>0</v>
      </c>
      <c r="P411" t="n">
        <v>0</v>
      </c>
      <c r="Q411" t="n">
        <v>0</v>
      </c>
      <c r="R411" s="2" t="inlineStr"/>
    </row>
    <row r="412" ht="15" customHeight="1">
      <c r="A412" t="inlineStr">
        <is>
          <t>A 22194-2024</t>
        </is>
      </c>
      <c r="B412" s="1" t="n">
        <v>45446.36482638889</v>
      </c>
      <c r="C412" s="1" t="n">
        <v>45932</v>
      </c>
      <c r="D412" t="inlineStr">
        <is>
          <t>KALMAR LÄN</t>
        </is>
      </c>
      <c r="E412" t="inlineStr">
        <is>
          <t>VIMMERBY</t>
        </is>
      </c>
      <c r="F412" t="inlineStr">
        <is>
          <t>Sveaskog</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27443-2023</t>
        </is>
      </c>
      <c r="B413" s="1" t="n">
        <v>45097.40524305555</v>
      </c>
      <c r="C413" s="1" t="n">
        <v>45932</v>
      </c>
      <c r="D413" t="inlineStr">
        <is>
          <t>KALMAR LÄN</t>
        </is>
      </c>
      <c r="E413" t="inlineStr">
        <is>
          <t>VIMMERBY</t>
        </is>
      </c>
      <c r="F413" t="inlineStr">
        <is>
          <t>Övriga Aktiebolag</t>
        </is>
      </c>
      <c r="G413" t="n">
        <v>2.3</v>
      </c>
      <c r="H413" t="n">
        <v>0</v>
      </c>
      <c r="I413" t="n">
        <v>0</v>
      </c>
      <c r="J413" t="n">
        <v>0</v>
      </c>
      <c r="K413" t="n">
        <v>0</v>
      </c>
      <c r="L413" t="n">
        <v>0</v>
      </c>
      <c r="M413" t="n">
        <v>0</v>
      </c>
      <c r="N413" t="n">
        <v>0</v>
      </c>
      <c r="O413" t="n">
        <v>0</v>
      </c>
      <c r="P413" t="n">
        <v>0</v>
      </c>
      <c r="Q413" t="n">
        <v>0</v>
      </c>
      <c r="R413" s="2" t="inlineStr"/>
    </row>
    <row r="414" ht="15" customHeight="1">
      <c r="A414" t="inlineStr">
        <is>
          <t>A 19865-2021</t>
        </is>
      </c>
      <c r="B414" s="1" t="n">
        <v>44312</v>
      </c>
      <c r="C414" s="1" t="n">
        <v>45932</v>
      </c>
      <c r="D414" t="inlineStr">
        <is>
          <t>KALMAR LÄN</t>
        </is>
      </c>
      <c r="E414" t="inlineStr">
        <is>
          <t>VIMMERBY</t>
        </is>
      </c>
      <c r="G414" t="n">
        <v>8.6</v>
      </c>
      <c r="H414" t="n">
        <v>0</v>
      </c>
      <c r="I414" t="n">
        <v>0</v>
      </c>
      <c r="J414" t="n">
        <v>0</v>
      </c>
      <c r="K414" t="n">
        <v>0</v>
      </c>
      <c r="L414" t="n">
        <v>0</v>
      </c>
      <c r="M414" t="n">
        <v>0</v>
      </c>
      <c r="N414" t="n">
        <v>0</v>
      </c>
      <c r="O414" t="n">
        <v>0</v>
      </c>
      <c r="P414" t="n">
        <v>0</v>
      </c>
      <c r="Q414" t="n">
        <v>0</v>
      </c>
      <c r="R414" s="2" t="inlineStr"/>
    </row>
    <row r="415" ht="15" customHeight="1">
      <c r="A415" t="inlineStr">
        <is>
          <t>A 845-2023</t>
        </is>
      </c>
      <c r="B415" s="1" t="n">
        <v>44931</v>
      </c>
      <c r="C415" s="1" t="n">
        <v>45932</v>
      </c>
      <c r="D415" t="inlineStr">
        <is>
          <t>KALMAR LÄN</t>
        </is>
      </c>
      <c r="E415" t="inlineStr">
        <is>
          <t>VIMMERBY</t>
        </is>
      </c>
      <c r="F415" t="inlineStr">
        <is>
          <t>Övriga Aktiebolag</t>
        </is>
      </c>
      <c r="G415" t="n">
        <v>19</v>
      </c>
      <c r="H415" t="n">
        <v>0</v>
      </c>
      <c r="I415" t="n">
        <v>0</v>
      </c>
      <c r="J415" t="n">
        <v>0</v>
      </c>
      <c r="K415" t="n">
        <v>0</v>
      </c>
      <c r="L415" t="n">
        <v>0</v>
      </c>
      <c r="M415" t="n">
        <v>0</v>
      </c>
      <c r="N415" t="n">
        <v>0</v>
      </c>
      <c r="O415" t="n">
        <v>0</v>
      </c>
      <c r="P415" t="n">
        <v>0</v>
      </c>
      <c r="Q415" t="n">
        <v>0</v>
      </c>
      <c r="R415" s="2" t="inlineStr"/>
    </row>
    <row r="416" ht="15" customHeight="1">
      <c r="A416" t="inlineStr">
        <is>
          <t>A 12630-2023</t>
        </is>
      </c>
      <c r="B416" s="1" t="n">
        <v>45000.47998842593</v>
      </c>
      <c r="C416" s="1" t="n">
        <v>45932</v>
      </c>
      <c r="D416" t="inlineStr">
        <is>
          <t>KALMAR LÄN</t>
        </is>
      </c>
      <c r="E416" t="inlineStr">
        <is>
          <t>VIMMERBY</t>
        </is>
      </c>
      <c r="G416" t="n">
        <v>2.1</v>
      </c>
      <c r="H416" t="n">
        <v>0</v>
      </c>
      <c r="I416" t="n">
        <v>0</v>
      </c>
      <c r="J416" t="n">
        <v>0</v>
      </c>
      <c r="K416" t="n">
        <v>0</v>
      </c>
      <c r="L416" t="n">
        <v>0</v>
      </c>
      <c r="M416" t="n">
        <v>0</v>
      </c>
      <c r="N416" t="n">
        <v>0</v>
      </c>
      <c r="O416" t="n">
        <v>0</v>
      </c>
      <c r="P416" t="n">
        <v>0</v>
      </c>
      <c r="Q416" t="n">
        <v>0</v>
      </c>
      <c r="R416" s="2" t="inlineStr"/>
    </row>
    <row r="417" ht="15" customHeight="1">
      <c r="A417" t="inlineStr">
        <is>
          <t>A 37192-2024</t>
        </is>
      </c>
      <c r="B417" s="1" t="n">
        <v>45539.66027777778</v>
      </c>
      <c r="C417" s="1" t="n">
        <v>45932</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25792-2025</t>
        </is>
      </c>
      <c r="B418" s="1" t="n">
        <v>45804.39141203704</v>
      </c>
      <c r="C418" s="1" t="n">
        <v>45932</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38964-2025</t>
        </is>
      </c>
      <c r="B419" s="1" t="n">
        <v>45887.68759259259</v>
      </c>
      <c r="C419" s="1" t="n">
        <v>45932</v>
      </c>
      <c r="D419" t="inlineStr">
        <is>
          <t>KALMAR LÄN</t>
        </is>
      </c>
      <c r="E419" t="inlineStr">
        <is>
          <t>VIMMERBY</t>
        </is>
      </c>
      <c r="G419" t="n">
        <v>7.5</v>
      </c>
      <c r="H419" t="n">
        <v>0</v>
      </c>
      <c r="I419" t="n">
        <v>0</v>
      </c>
      <c r="J419" t="n">
        <v>0</v>
      </c>
      <c r="K419" t="n">
        <v>0</v>
      </c>
      <c r="L419" t="n">
        <v>0</v>
      </c>
      <c r="M419" t="n">
        <v>0</v>
      </c>
      <c r="N419" t="n">
        <v>0</v>
      </c>
      <c r="O419" t="n">
        <v>0</v>
      </c>
      <c r="P419" t="n">
        <v>0</v>
      </c>
      <c r="Q419" t="n">
        <v>0</v>
      </c>
      <c r="R419" s="2" t="inlineStr"/>
    </row>
    <row r="420" ht="15" customHeight="1">
      <c r="A420" t="inlineStr">
        <is>
          <t>A 45856-2025</t>
        </is>
      </c>
      <c r="B420" s="1" t="n">
        <v>45923</v>
      </c>
      <c r="C420" s="1" t="n">
        <v>45932</v>
      </c>
      <c r="D420" t="inlineStr">
        <is>
          <t>KALMAR LÄN</t>
        </is>
      </c>
      <c r="E420" t="inlineStr">
        <is>
          <t>VIMMERBY</t>
        </is>
      </c>
      <c r="G420" t="n">
        <v>2.1</v>
      </c>
      <c r="H420" t="n">
        <v>0</v>
      </c>
      <c r="I420" t="n">
        <v>0</v>
      </c>
      <c r="J420" t="n">
        <v>0</v>
      </c>
      <c r="K420" t="n">
        <v>0</v>
      </c>
      <c r="L420" t="n">
        <v>0</v>
      </c>
      <c r="M420" t="n">
        <v>0</v>
      </c>
      <c r="N420" t="n">
        <v>0</v>
      </c>
      <c r="O420" t="n">
        <v>0</v>
      </c>
      <c r="P420" t="n">
        <v>0</v>
      </c>
      <c r="Q420" t="n">
        <v>0</v>
      </c>
      <c r="R420" s="2" t="inlineStr"/>
    </row>
    <row r="421" ht="15" customHeight="1">
      <c r="A421" t="inlineStr">
        <is>
          <t>A 26039-2025</t>
        </is>
      </c>
      <c r="B421" s="1" t="n">
        <v>45804.6953587963</v>
      </c>
      <c r="C421" s="1" t="n">
        <v>45932</v>
      </c>
      <c r="D421" t="inlineStr">
        <is>
          <t>KALMAR LÄN</t>
        </is>
      </c>
      <c r="E421" t="inlineStr">
        <is>
          <t>VIMMERBY</t>
        </is>
      </c>
      <c r="F421" t="inlineStr">
        <is>
          <t>Sveaskog</t>
        </is>
      </c>
      <c r="G421" t="n">
        <v>5.2</v>
      </c>
      <c r="H421" t="n">
        <v>0</v>
      </c>
      <c r="I421" t="n">
        <v>0</v>
      </c>
      <c r="J421" t="n">
        <v>0</v>
      </c>
      <c r="K421" t="n">
        <v>0</v>
      </c>
      <c r="L421" t="n">
        <v>0</v>
      </c>
      <c r="M421" t="n">
        <v>0</v>
      </c>
      <c r="N421" t="n">
        <v>0</v>
      </c>
      <c r="O421" t="n">
        <v>0</v>
      </c>
      <c r="P421" t="n">
        <v>0</v>
      </c>
      <c r="Q421" t="n">
        <v>0</v>
      </c>
      <c r="R421" s="2" t="inlineStr"/>
    </row>
    <row r="422" ht="15" customHeight="1">
      <c r="A422" t="inlineStr">
        <is>
          <t>A 21109-2024</t>
        </is>
      </c>
      <c r="B422" s="1" t="n">
        <v>45440.28329861111</v>
      </c>
      <c r="C422" s="1" t="n">
        <v>45932</v>
      </c>
      <c r="D422" t="inlineStr">
        <is>
          <t>KALMAR LÄN</t>
        </is>
      </c>
      <c r="E422" t="inlineStr">
        <is>
          <t>VIMMERBY</t>
        </is>
      </c>
      <c r="G422" t="n">
        <v>0.8</v>
      </c>
      <c r="H422" t="n">
        <v>0</v>
      </c>
      <c r="I422" t="n">
        <v>0</v>
      </c>
      <c r="J422" t="n">
        <v>0</v>
      </c>
      <c r="K422" t="n">
        <v>0</v>
      </c>
      <c r="L422" t="n">
        <v>0</v>
      </c>
      <c r="M422" t="n">
        <v>0</v>
      </c>
      <c r="N422" t="n">
        <v>0</v>
      </c>
      <c r="O422" t="n">
        <v>0</v>
      </c>
      <c r="P422" t="n">
        <v>0</v>
      </c>
      <c r="Q422" t="n">
        <v>0</v>
      </c>
      <c r="R422" s="2" t="inlineStr"/>
    </row>
    <row r="423" ht="15" customHeight="1">
      <c r="A423" t="inlineStr">
        <is>
          <t>A 42429-2024</t>
        </is>
      </c>
      <c r="B423" s="1" t="n">
        <v>45565.40657407408</v>
      </c>
      <c r="C423" s="1" t="n">
        <v>45932</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30634-2024</t>
        </is>
      </c>
      <c r="B424" s="1" t="n">
        <v>45495</v>
      </c>
      <c r="C424" s="1" t="n">
        <v>45932</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26046-2025</t>
        </is>
      </c>
      <c r="B425" s="1" t="n">
        <v>45804.708125</v>
      </c>
      <c r="C425" s="1" t="n">
        <v>45932</v>
      </c>
      <c r="D425" t="inlineStr">
        <is>
          <t>KALMAR LÄN</t>
        </is>
      </c>
      <c r="E425" t="inlineStr">
        <is>
          <t>VIMMERBY</t>
        </is>
      </c>
      <c r="F425" t="inlineStr">
        <is>
          <t>Sveaskog</t>
        </is>
      </c>
      <c r="G425" t="n">
        <v>5.1</v>
      </c>
      <c r="H425" t="n">
        <v>0</v>
      </c>
      <c r="I425" t="n">
        <v>0</v>
      </c>
      <c r="J425" t="n">
        <v>0</v>
      </c>
      <c r="K425" t="n">
        <v>0</v>
      </c>
      <c r="L425" t="n">
        <v>0</v>
      </c>
      <c r="M425" t="n">
        <v>0</v>
      </c>
      <c r="N425" t="n">
        <v>0</v>
      </c>
      <c r="O425" t="n">
        <v>0</v>
      </c>
      <c r="P425" t="n">
        <v>0</v>
      </c>
      <c r="Q425" t="n">
        <v>0</v>
      </c>
      <c r="R425" s="2" t="inlineStr"/>
    </row>
    <row r="426" ht="15" customHeight="1">
      <c r="A426" t="inlineStr">
        <is>
          <t>A 29180-2024</t>
        </is>
      </c>
      <c r="B426" s="1" t="n">
        <v>45482.54108796296</v>
      </c>
      <c r="C426" s="1" t="n">
        <v>45932</v>
      </c>
      <c r="D426" t="inlineStr">
        <is>
          <t>KALMAR LÄN</t>
        </is>
      </c>
      <c r="E426" t="inlineStr">
        <is>
          <t>VIMMERBY</t>
        </is>
      </c>
      <c r="G426" t="n">
        <v>3.8</v>
      </c>
      <c r="H426" t="n">
        <v>0</v>
      </c>
      <c r="I426" t="n">
        <v>0</v>
      </c>
      <c r="J426" t="n">
        <v>0</v>
      </c>
      <c r="K426" t="n">
        <v>0</v>
      </c>
      <c r="L426" t="n">
        <v>0</v>
      </c>
      <c r="M426" t="n">
        <v>0</v>
      </c>
      <c r="N426" t="n">
        <v>0</v>
      </c>
      <c r="O426" t="n">
        <v>0</v>
      </c>
      <c r="P426" t="n">
        <v>0</v>
      </c>
      <c r="Q426" t="n">
        <v>0</v>
      </c>
      <c r="R426" s="2" t="inlineStr"/>
    </row>
    <row r="427" ht="15" customHeight="1">
      <c r="A427" t="inlineStr">
        <is>
          <t>A 40260-2024</t>
        </is>
      </c>
      <c r="B427" s="1" t="n">
        <v>45554.63225694445</v>
      </c>
      <c r="C427" s="1" t="n">
        <v>45932</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26124-2025</t>
        </is>
      </c>
      <c r="B428" s="1" t="n">
        <v>45805.39247685186</v>
      </c>
      <c r="C428" s="1" t="n">
        <v>45932</v>
      </c>
      <c r="D428" t="inlineStr">
        <is>
          <t>KALMAR LÄN</t>
        </is>
      </c>
      <c r="E428" t="inlineStr">
        <is>
          <t>VIMMERBY</t>
        </is>
      </c>
      <c r="G428" t="n">
        <v>6.6</v>
      </c>
      <c r="H428" t="n">
        <v>0</v>
      </c>
      <c r="I428" t="n">
        <v>0</v>
      </c>
      <c r="J428" t="n">
        <v>0</v>
      </c>
      <c r="K428" t="n">
        <v>0</v>
      </c>
      <c r="L428" t="n">
        <v>0</v>
      </c>
      <c r="M428" t="n">
        <v>0</v>
      </c>
      <c r="N428" t="n">
        <v>0</v>
      </c>
      <c r="O428" t="n">
        <v>0</v>
      </c>
      <c r="P428" t="n">
        <v>0</v>
      </c>
      <c r="Q428" t="n">
        <v>0</v>
      </c>
      <c r="R428" s="2" t="inlineStr"/>
    </row>
    <row r="429" ht="15" customHeight="1">
      <c r="A429" t="inlineStr">
        <is>
          <t>A 45846-2023</t>
        </is>
      </c>
      <c r="B429" s="1" t="n">
        <v>45195.58452546296</v>
      </c>
      <c r="C429" s="1" t="n">
        <v>45932</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59943-2023</t>
        </is>
      </c>
      <c r="B430" s="1" t="n">
        <v>45257.67958333333</v>
      </c>
      <c r="C430" s="1" t="n">
        <v>45932</v>
      </c>
      <c r="D430" t="inlineStr">
        <is>
          <t>KALMAR LÄN</t>
        </is>
      </c>
      <c r="E430" t="inlineStr">
        <is>
          <t>VIMMERBY</t>
        </is>
      </c>
      <c r="G430" t="n">
        <v>6.4</v>
      </c>
      <c r="H430" t="n">
        <v>0</v>
      </c>
      <c r="I430" t="n">
        <v>0</v>
      </c>
      <c r="J430" t="n">
        <v>0</v>
      </c>
      <c r="K430" t="n">
        <v>0</v>
      </c>
      <c r="L430" t="n">
        <v>0</v>
      </c>
      <c r="M430" t="n">
        <v>0</v>
      </c>
      <c r="N430" t="n">
        <v>0</v>
      </c>
      <c r="O430" t="n">
        <v>0</v>
      </c>
      <c r="P430" t="n">
        <v>0</v>
      </c>
      <c r="Q430" t="n">
        <v>0</v>
      </c>
      <c r="R430" s="2" t="inlineStr"/>
    </row>
    <row r="431" ht="15" customHeight="1">
      <c r="A431" t="inlineStr">
        <is>
          <t>A 42820-2025</t>
        </is>
      </c>
      <c r="B431" s="1" t="n">
        <v>45908</v>
      </c>
      <c r="C431" s="1" t="n">
        <v>45932</v>
      </c>
      <c r="D431" t="inlineStr">
        <is>
          <t>KALMAR LÄN</t>
        </is>
      </c>
      <c r="E431" t="inlineStr">
        <is>
          <t>VIMMERBY</t>
        </is>
      </c>
      <c r="G431" t="n">
        <v>1.2</v>
      </c>
      <c r="H431" t="n">
        <v>0</v>
      </c>
      <c r="I431" t="n">
        <v>0</v>
      </c>
      <c r="J431" t="n">
        <v>0</v>
      </c>
      <c r="K431" t="n">
        <v>0</v>
      </c>
      <c r="L431" t="n">
        <v>0</v>
      </c>
      <c r="M431" t="n">
        <v>0</v>
      </c>
      <c r="N431" t="n">
        <v>0</v>
      </c>
      <c r="O431" t="n">
        <v>0</v>
      </c>
      <c r="P431" t="n">
        <v>0</v>
      </c>
      <c r="Q431" t="n">
        <v>0</v>
      </c>
      <c r="R431" s="2" t="inlineStr"/>
    </row>
    <row r="432" ht="15" customHeight="1">
      <c r="A432" t="inlineStr">
        <is>
          <t>A 16020-2023</t>
        </is>
      </c>
      <c r="B432" s="1" t="n">
        <v>45026.82216435186</v>
      </c>
      <c r="C432" s="1" t="n">
        <v>45932</v>
      </c>
      <c r="D432" t="inlineStr">
        <is>
          <t>KALMAR LÄN</t>
        </is>
      </c>
      <c r="E432" t="inlineStr">
        <is>
          <t>VIMMERBY</t>
        </is>
      </c>
      <c r="G432" t="n">
        <v>1.1</v>
      </c>
      <c r="H432" t="n">
        <v>0</v>
      </c>
      <c r="I432" t="n">
        <v>0</v>
      </c>
      <c r="J432" t="n">
        <v>0</v>
      </c>
      <c r="K432" t="n">
        <v>0</v>
      </c>
      <c r="L432" t="n">
        <v>0</v>
      </c>
      <c r="M432" t="n">
        <v>0</v>
      </c>
      <c r="N432" t="n">
        <v>0</v>
      </c>
      <c r="O432" t="n">
        <v>0</v>
      </c>
      <c r="P432" t="n">
        <v>0</v>
      </c>
      <c r="Q432" t="n">
        <v>0</v>
      </c>
      <c r="R432" s="2" t="inlineStr"/>
    </row>
    <row r="433" ht="15" customHeight="1">
      <c r="A433" t="inlineStr">
        <is>
          <t>A 26207-2025</t>
        </is>
      </c>
      <c r="B433" s="1" t="n">
        <v>45805.52983796296</v>
      </c>
      <c r="C433" s="1" t="n">
        <v>45932</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25830-2025</t>
        </is>
      </c>
      <c r="B434" s="1" t="n">
        <v>45804.44519675926</v>
      </c>
      <c r="C434" s="1" t="n">
        <v>45932</v>
      </c>
      <c r="D434" t="inlineStr">
        <is>
          <t>KALMAR LÄN</t>
        </is>
      </c>
      <c r="E434" t="inlineStr">
        <is>
          <t>VIMMERBY</t>
        </is>
      </c>
      <c r="G434" t="n">
        <v>4.9</v>
      </c>
      <c r="H434" t="n">
        <v>0</v>
      </c>
      <c r="I434" t="n">
        <v>0</v>
      </c>
      <c r="J434" t="n">
        <v>0</v>
      </c>
      <c r="K434" t="n">
        <v>0</v>
      </c>
      <c r="L434" t="n">
        <v>0</v>
      </c>
      <c r="M434" t="n">
        <v>0</v>
      </c>
      <c r="N434" t="n">
        <v>0</v>
      </c>
      <c r="O434" t="n">
        <v>0</v>
      </c>
      <c r="P434" t="n">
        <v>0</v>
      </c>
      <c r="Q434" t="n">
        <v>0</v>
      </c>
      <c r="R434" s="2" t="inlineStr"/>
    </row>
    <row r="435" ht="15" customHeight="1">
      <c r="A435" t="inlineStr">
        <is>
          <t>A 5527-2022</t>
        </is>
      </c>
      <c r="B435" s="1" t="n">
        <v>44595.583125</v>
      </c>
      <c r="C435" s="1" t="n">
        <v>45932</v>
      </c>
      <c r="D435" t="inlineStr">
        <is>
          <t>KALMAR LÄN</t>
        </is>
      </c>
      <c r="E435" t="inlineStr">
        <is>
          <t>VIMMERBY</t>
        </is>
      </c>
      <c r="G435" t="n">
        <v>3.6</v>
      </c>
      <c r="H435" t="n">
        <v>0</v>
      </c>
      <c r="I435" t="n">
        <v>0</v>
      </c>
      <c r="J435" t="n">
        <v>0</v>
      </c>
      <c r="K435" t="n">
        <v>0</v>
      </c>
      <c r="L435" t="n">
        <v>0</v>
      </c>
      <c r="M435" t="n">
        <v>0</v>
      </c>
      <c r="N435" t="n">
        <v>0</v>
      </c>
      <c r="O435" t="n">
        <v>0</v>
      </c>
      <c r="P435" t="n">
        <v>0</v>
      </c>
      <c r="Q435" t="n">
        <v>0</v>
      </c>
      <c r="R435" s="2" t="inlineStr"/>
    </row>
    <row r="436" ht="15" customHeight="1">
      <c r="A436" t="inlineStr">
        <is>
          <t>A 26254-2025</t>
        </is>
      </c>
      <c r="B436" s="1" t="n">
        <v>45805</v>
      </c>
      <c r="C436" s="1" t="n">
        <v>45932</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61820-2023</t>
        </is>
      </c>
      <c r="B437" s="1" t="n">
        <v>45266.32614583334</v>
      </c>
      <c r="C437" s="1" t="n">
        <v>45932</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12325-2023</t>
        </is>
      </c>
      <c r="B438" s="1" t="n">
        <v>44999.35858796296</v>
      </c>
      <c r="C438" s="1" t="n">
        <v>45932</v>
      </c>
      <c r="D438" t="inlineStr">
        <is>
          <t>KALMAR LÄN</t>
        </is>
      </c>
      <c r="E438" t="inlineStr">
        <is>
          <t>VIMMERBY</t>
        </is>
      </c>
      <c r="G438" t="n">
        <v>3.4</v>
      </c>
      <c r="H438" t="n">
        <v>0</v>
      </c>
      <c r="I438" t="n">
        <v>0</v>
      </c>
      <c r="J438" t="n">
        <v>0</v>
      </c>
      <c r="K438" t="n">
        <v>0</v>
      </c>
      <c r="L438" t="n">
        <v>0</v>
      </c>
      <c r="M438" t="n">
        <v>0</v>
      </c>
      <c r="N438" t="n">
        <v>0</v>
      </c>
      <c r="O438" t="n">
        <v>0</v>
      </c>
      <c r="P438" t="n">
        <v>0</v>
      </c>
      <c r="Q438" t="n">
        <v>0</v>
      </c>
      <c r="R438" s="2" t="inlineStr"/>
    </row>
    <row r="439" ht="15" customHeight="1">
      <c r="A439" t="inlineStr">
        <is>
          <t>A 1016-2024</t>
        </is>
      </c>
      <c r="B439" s="1" t="n">
        <v>45301</v>
      </c>
      <c r="C439" s="1" t="n">
        <v>45932</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33681-2022</t>
        </is>
      </c>
      <c r="B440" s="1" t="n">
        <v>44789</v>
      </c>
      <c r="C440" s="1" t="n">
        <v>45932</v>
      </c>
      <c r="D440" t="inlineStr">
        <is>
          <t>KALMAR LÄN</t>
        </is>
      </c>
      <c r="E440" t="inlineStr">
        <is>
          <t>VIMMERBY</t>
        </is>
      </c>
      <c r="G440" t="n">
        <v>3.2</v>
      </c>
      <c r="H440" t="n">
        <v>0</v>
      </c>
      <c r="I440" t="n">
        <v>0</v>
      </c>
      <c r="J440" t="n">
        <v>0</v>
      </c>
      <c r="K440" t="n">
        <v>0</v>
      </c>
      <c r="L440" t="n">
        <v>0</v>
      </c>
      <c r="M440" t="n">
        <v>0</v>
      </c>
      <c r="N440" t="n">
        <v>0</v>
      </c>
      <c r="O440" t="n">
        <v>0</v>
      </c>
      <c r="P440" t="n">
        <v>0</v>
      </c>
      <c r="Q440" t="n">
        <v>0</v>
      </c>
      <c r="R440" s="2" t="inlineStr"/>
    </row>
    <row r="441" ht="15" customHeight="1">
      <c r="A441" t="inlineStr">
        <is>
          <t>A 45560-2021</t>
        </is>
      </c>
      <c r="B441" s="1" t="n">
        <v>44440</v>
      </c>
      <c r="C441" s="1" t="n">
        <v>45932</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40256-2024</t>
        </is>
      </c>
      <c r="B442" s="1" t="n">
        <v>45554.62944444444</v>
      </c>
      <c r="C442" s="1" t="n">
        <v>45932</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58104-2024</t>
        </is>
      </c>
      <c r="B443" s="1" t="n">
        <v>45632.37459490741</v>
      </c>
      <c r="C443" s="1" t="n">
        <v>45932</v>
      </c>
      <c r="D443" t="inlineStr">
        <is>
          <t>KALMAR LÄN</t>
        </is>
      </c>
      <c r="E443" t="inlineStr">
        <is>
          <t>VIMMERBY</t>
        </is>
      </c>
      <c r="G443" t="n">
        <v>5</v>
      </c>
      <c r="H443" t="n">
        <v>0</v>
      </c>
      <c r="I443" t="n">
        <v>0</v>
      </c>
      <c r="J443" t="n">
        <v>0</v>
      </c>
      <c r="K443" t="n">
        <v>0</v>
      </c>
      <c r="L443" t="n">
        <v>0</v>
      </c>
      <c r="M443" t="n">
        <v>0</v>
      </c>
      <c r="N443" t="n">
        <v>0</v>
      </c>
      <c r="O443" t="n">
        <v>0</v>
      </c>
      <c r="P443" t="n">
        <v>0</v>
      </c>
      <c r="Q443" t="n">
        <v>0</v>
      </c>
      <c r="R443" s="2" t="inlineStr"/>
    </row>
    <row r="444" ht="15" customHeight="1">
      <c r="A444" t="inlineStr">
        <is>
          <t>A 36259-2022</t>
        </is>
      </c>
      <c r="B444" s="1" t="n">
        <v>44803.59118055556</v>
      </c>
      <c r="C444" s="1" t="n">
        <v>45932</v>
      </c>
      <c r="D444" t="inlineStr">
        <is>
          <t>KALMAR LÄN</t>
        </is>
      </c>
      <c r="E444" t="inlineStr">
        <is>
          <t>VIMMERBY</t>
        </is>
      </c>
      <c r="G444" t="n">
        <v>3.9</v>
      </c>
      <c r="H444" t="n">
        <v>0</v>
      </c>
      <c r="I444" t="n">
        <v>0</v>
      </c>
      <c r="J444" t="n">
        <v>0</v>
      </c>
      <c r="K444" t="n">
        <v>0</v>
      </c>
      <c r="L444" t="n">
        <v>0</v>
      </c>
      <c r="M444" t="n">
        <v>0</v>
      </c>
      <c r="N444" t="n">
        <v>0</v>
      </c>
      <c r="O444" t="n">
        <v>0</v>
      </c>
      <c r="P444" t="n">
        <v>0</v>
      </c>
      <c r="Q444" t="n">
        <v>0</v>
      </c>
      <c r="R444" s="2" t="inlineStr"/>
    </row>
    <row r="445" ht="15" customHeight="1">
      <c r="A445" t="inlineStr">
        <is>
          <t>A 43034-2024</t>
        </is>
      </c>
      <c r="B445" s="1" t="n">
        <v>45567.42011574074</v>
      </c>
      <c r="C445" s="1" t="n">
        <v>45932</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3902-2022</t>
        </is>
      </c>
      <c r="B446" s="1" t="n">
        <v>44587.48847222222</v>
      </c>
      <c r="C446" s="1" t="n">
        <v>45932</v>
      </c>
      <c r="D446" t="inlineStr">
        <is>
          <t>KALMAR LÄN</t>
        </is>
      </c>
      <c r="E446" t="inlineStr">
        <is>
          <t>VIMMERBY</t>
        </is>
      </c>
      <c r="G446" t="n">
        <v>2.6</v>
      </c>
      <c r="H446" t="n">
        <v>0</v>
      </c>
      <c r="I446" t="n">
        <v>0</v>
      </c>
      <c r="J446" t="n">
        <v>0</v>
      </c>
      <c r="K446" t="n">
        <v>0</v>
      </c>
      <c r="L446" t="n">
        <v>0</v>
      </c>
      <c r="M446" t="n">
        <v>0</v>
      </c>
      <c r="N446" t="n">
        <v>0</v>
      </c>
      <c r="O446" t="n">
        <v>0</v>
      </c>
      <c r="P446" t="n">
        <v>0</v>
      </c>
      <c r="Q446" t="n">
        <v>0</v>
      </c>
      <c r="R446" s="2" t="inlineStr"/>
    </row>
    <row r="447" ht="15" customHeight="1">
      <c r="A447" t="inlineStr">
        <is>
          <t>A 5074-2023</t>
        </is>
      </c>
      <c r="B447" s="1" t="n">
        <v>44958.61047453704</v>
      </c>
      <c r="C447" s="1" t="n">
        <v>45932</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30070-2023</t>
        </is>
      </c>
      <c r="B448" s="1" t="n">
        <v>45110.4275</v>
      </c>
      <c r="C448" s="1" t="n">
        <v>45932</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51187-2023</t>
        </is>
      </c>
      <c r="B449" s="1" t="n">
        <v>45219.40528935185</v>
      </c>
      <c r="C449" s="1" t="n">
        <v>45932</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31209-2024</t>
        </is>
      </c>
      <c r="B450" s="1" t="n">
        <v>45503.5658912037</v>
      </c>
      <c r="C450" s="1" t="n">
        <v>45932</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4527-2023</t>
        </is>
      </c>
      <c r="B451" s="1" t="n">
        <v>44956</v>
      </c>
      <c r="C451" s="1" t="n">
        <v>45932</v>
      </c>
      <c r="D451" t="inlineStr">
        <is>
          <t>KALMAR LÄN</t>
        </is>
      </c>
      <c r="E451" t="inlineStr">
        <is>
          <t>VIMMERBY</t>
        </is>
      </c>
      <c r="F451" t="inlineStr">
        <is>
          <t>Kommuner</t>
        </is>
      </c>
      <c r="G451" t="n">
        <v>8.5</v>
      </c>
      <c r="H451" t="n">
        <v>0</v>
      </c>
      <c r="I451" t="n">
        <v>0</v>
      </c>
      <c r="J451" t="n">
        <v>0</v>
      </c>
      <c r="K451" t="n">
        <v>0</v>
      </c>
      <c r="L451" t="n">
        <v>0</v>
      </c>
      <c r="M451" t="n">
        <v>0</v>
      </c>
      <c r="N451" t="n">
        <v>0</v>
      </c>
      <c r="O451" t="n">
        <v>0</v>
      </c>
      <c r="P451" t="n">
        <v>0</v>
      </c>
      <c r="Q451" t="n">
        <v>0</v>
      </c>
      <c r="R451" s="2" t="inlineStr"/>
    </row>
    <row r="452" ht="15" customHeight="1">
      <c r="A452" t="inlineStr">
        <is>
          <t>A 15715-2022</t>
        </is>
      </c>
      <c r="B452" s="1" t="n">
        <v>44663</v>
      </c>
      <c r="C452" s="1" t="n">
        <v>45932</v>
      </c>
      <c r="D452" t="inlineStr">
        <is>
          <t>KALMAR LÄN</t>
        </is>
      </c>
      <c r="E452" t="inlineStr">
        <is>
          <t>VIMMERBY</t>
        </is>
      </c>
      <c r="G452" t="n">
        <v>2.3</v>
      </c>
      <c r="H452" t="n">
        <v>0</v>
      </c>
      <c r="I452" t="n">
        <v>0</v>
      </c>
      <c r="J452" t="n">
        <v>0</v>
      </c>
      <c r="K452" t="n">
        <v>0</v>
      </c>
      <c r="L452" t="n">
        <v>0</v>
      </c>
      <c r="M452" t="n">
        <v>0</v>
      </c>
      <c r="N452" t="n">
        <v>0</v>
      </c>
      <c r="O452" t="n">
        <v>0</v>
      </c>
      <c r="P452" t="n">
        <v>0</v>
      </c>
      <c r="Q452" t="n">
        <v>0</v>
      </c>
      <c r="R452" s="2" t="inlineStr"/>
    </row>
    <row r="453" ht="15" customHeight="1">
      <c r="A453" t="inlineStr">
        <is>
          <t>A 12586-2021</t>
        </is>
      </c>
      <c r="B453" s="1" t="n">
        <v>44270.38002314815</v>
      </c>
      <c r="C453" s="1" t="n">
        <v>45932</v>
      </c>
      <c r="D453" t="inlineStr">
        <is>
          <t>KALMAR LÄN</t>
        </is>
      </c>
      <c r="E453" t="inlineStr">
        <is>
          <t>VIMMERBY</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43093-2024</t>
        </is>
      </c>
      <c r="B454" s="1" t="n">
        <v>45567</v>
      </c>
      <c r="C454" s="1" t="n">
        <v>45932</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5864-2022</t>
        </is>
      </c>
      <c r="B455" s="1" t="n">
        <v>44596</v>
      </c>
      <c r="C455" s="1" t="n">
        <v>45932</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56022-2024</t>
        </is>
      </c>
      <c r="B456" s="1" t="n">
        <v>45623.95947916667</v>
      </c>
      <c r="C456" s="1" t="n">
        <v>45932</v>
      </c>
      <c r="D456" t="inlineStr">
        <is>
          <t>KALMAR LÄN</t>
        </is>
      </c>
      <c r="E456" t="inlineStr">
        <is>
          <t>VIMMERBY</t>
        </is>
      </c>
      <c r="G456" t="n">
        <v>0.3</v>
      </c>
      <c r="H456" t="n">
        <v>0</v>
      </c>
      <c r="I456" t="n">
        <v>0</v>
      </c>
      <c r="J456" t="n">
        <v>0</v>
      </c>
      <c r="K456" t="n">
        <v>0</v>
      </c>
      <c r="L456" t="n">
        <v>0</v>
      </c>
      <c r="M456" t="n">
        <v>0</v>
      </c>
      <c r="N456" t="n">
        <v>0</v>
      </c>
      <c r="O456" t="n">
        <v>0</v>
      </c>
      <c r="P456" t="n">
        <v>0</v>
      </c>
      <c r="Q456" t="n">
        <v>0</v>
      </c>
      <c r="R456" s="2" t="inlineStr"/>
    </row>
    <row r="457" ht="15" customHeight="1">
      <c r="A457" t="inlineStr">
        <is>
          <t>A 18330-2023</t>
        </is>
      </c>
      <c r="B457" s="1" t="n">
        <v>45041</v>
      </c>
      <c r="C457" s="1" t="n">
        <v>45932</v>
      </c>
      <c r="D457" t="inlineStr">
        <is>
          <t>KALMAR LÄN</t>
        </is>
      </c>
      <c r="E457" t="inlineStr">
        <is>
          <t>VIMMERBY</t>
        </is>
      </c>
      <c r="G457" t="n">
        <v>1.7</v>
      </c>
      <c r="H457" t="n">
        <v>0</v>
      </c>
      <c r="I457" t="n">
        <v>0</v>
      </c>
      <c r="J457" t="n">
        <v>0</v>
      </c>
      <c r="K457" t="n">
        <v>0</v>
      </c>
      <c r="L457" t="n">
        <v>0</v>
      </c>
      <c r="M457" t="n">
        <v>0</v>
      </c>
      <c r="N457" t="n">
        <v>0</v>
      </c>
      <c r="O457" t="n">
        <v>0</v>
      </c>
      <c r="P457" t="n">
        <v>0</v>
      </c>
      <c r="Q457" t="n">
        <v>0</v>
      </c>
      <c r="R457" s="2" t="inlineStr"/>
    </row>
    <row r="458" ht="15" customHeight="1">
      <c r="A458" t="inlineStr">
        <is>
          <t>A 30912-2023</t>
        </is>
      </c>
      <c r="B458" s="1" t="n">
        <v>45113.41633101852</v>
      </c>
      <c r="C458" s="1" t="n">
        <v>45932</v>
      </c>
      <c r="D458" t="inlineStr">
        <is>
          <t>KALMAR LÄN</t>
        </is>
      </c>
      <c r="E458" t="inlineStr">
        <is>
          <t>VIMMERBY</t>
        </is>
      </c>
      <c r="G458" t="n">
        <v>5</v>
      </c>
      <c r="H458" t="n">
        <v>0</v>
      </c>
      <c r="I458" t="n">
        <v>0</v>
      </c>
      <c r="J458" t="n">
        <v>0</v>
      </c>
      <c r="K458" t="n">
        <v>0</v>
      </c>
      <c r="L458" t="n">
        <v>0</v>
      </c>
      <c r="M458" t="n">
        <v>0</v>
      </c>
      <c r="N458" t="n">
        <v>0</v>
      </c>
      <c r="O458" t="n">
        <v>0</v>
      </c>
      <c r="P458" t="n">
        <v>0</v>
      </c>
      <c r="Q458" t="n">
        <v>0</v>
      </c>
      <c r="R458" s="2" t="inlineStr"/>
    </row>
    <row r="459" ht="15" customHeight="1">
      <c r="A459" t="inlineStr">
        <is>
          <t>A 20126-2024</t>
        </is>
      </c>
      <c r="B459" s="1" t="n">
        <v>45434.55471064815</v>
      </c>
      <c r="C459" s="1" t="n">
        <v>45932</v>
      </c>
      <c r="D459" t="inlineStr">
        <is>
          <t>KALMAR LÄN</t>
        </is>
      </c>
      <c r="E459" t="inlineStr">
        <is>
          <t>VIMMERBY</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20136-2024</t>
        </is>
      </c>
      <c r="B460" s="1" t="n">
        <v>45434.56291666667</v>
      </c>
      <c r="C460" s="1" t="n">
        <v>45932</v>
      </c>
      <c r="D460" t="inlineStr">
        <is>
          <t>KALMAR LÄN</t>
        </is>
      </c>
      <c r="E460" t="inlineStr">
        <is>
          <t>VIMMERBY</t>
        </is>
      </c>
      <c r="F460" t="inlineStr">
        <is>
          <t>Sveaskog</t>
        </is>
      </c>
      <c r="G460" t="n">
        <v>8.4</v>
      </c>
      <c r="H460" t="n">
        <v>0</v>
      </c>
      <c r="I460" t="n">
        <v>0</v>
      </c>
      <c r="J460" t="n">
        <v>0</v>
      </c>
      <c r="K460" t="n">
        <v>0</v>
      </c>
      <c r="L460" t="n">
        <v>0</v>
      </c>
      <c r="M460" t="n">
        <v>0</v>
      </c>
      <c r="N460" t="n">
        <v>0</v>
      </c>
      <c r="O460" t="n">
        <v>0</v>
      </c>
      <c r="P460" t="n">
        <v>0</v>
      </c>
      <c r="Q460" t="n">
        <v>0</v>
      </c>
      <c r="R460" s="2" t="inlineStr"/>
    </row>
    <row r="461" ht="15" customHeight="1">
      <c r="A461" t="inlineStr">
        <is>
          <t>A 1146-2025</t>
        </is>
      </c>
      <c r="B461" s="1" t="n">
        <v>45666</v>
      </c>
      <c r="C461" s="1" t="n">
        <v>45932</v>
      </c>
      <c r="D461" t="inlineStr">
        <is>
          <t>KALMAR LÄN</t>
        </is>
      </c>
      <c r="E461" t="inlineStr">
        <is>
          <t>VIMMERBY</t>
        </is>
      </c>
      <c r="G461" t="n">
        <v>4</v>
      </c>
      <c r="H461" t="n">
        <v>0</v>
      </c>
      <c r="I461" t="n">
        <v>0</v>
      </c>
      <c r="J461" t="n">
        <v>0</v>
      </c>
      <c r="K461" t="n">
        <v>0</v>
      </c>
      <c r="L461" t="n">
        <v>0</v>
      </c>
      <c r="M461" t="n">
        <v>0</v>
      </c>
      <c r="N461" t="n">
        <v>0</v>
      </c>
      <c r="O461" t="n">
        <v>0</v>
      </c>
      <c r="P461" t="n">
        <v>0</v>
      </c>
      <c r="Q461" t="n">
        <v>0</v>
      </c>
      <c r="R461" s="2" t="inlineStr"/>
    </row>
    <row r="462" ht="15" customHeight="1">
      <c r="A462" t="inlineStr">
        <is>
          <t>A 46921-2023</t>
        </is>
      </c>
      <c r="B462" s="1" t="n">
        <v>45201.39996527778</v>
      </c>
      <c r="C462" s="1" t="n">
        <v>45932</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62023-2022</t>
        </is>
      </c>
      <c r="B463" s="1" t="n">
        <v>44918.50106481482</v>
      </c>
      <c r="C463" s="1" t="n">
        <v>45932</v>
      </c>
      <c r="D463" t="inlineStr">
        <is>
          <t>KALMAR LÄN</t>
        </is>
      </c>
      <c r="E463" t="inlineStr">
        <is>
          <t>VIMMERBY</t>
        </is>
      </c>
      <c r="G463" t="n">
        <v>0.3</v>
      </c>
      <c r="H463" t="n">
        <v>0</v>
      </c>
      <c r="I463" t="n">
        <v>0</v>
      </c>
      <c r="J463" t="n">
        <v>0</v>
      </c>
      <c r="K463" t="n">
        <v>0</v>
      </c>
      <c r="L463" t="n">
        <v>0</v>
      </c>
      <c r="M463" t="n">
        <v>0</v>
      </c>
      <c r="N463" t="n">
        <v>0</v>
      </c>
      <c r="O463" t="n">
        <v>0</v>
      </c>
      <c r="P463" t="n">
        <v>0</v>
      </c>
      <c r="Q463" t="n">
        <v>0</v>
      </c>
      <c r="R463" s="2" t="inlineStr"/>
    </row>
    <row r="464" ht="15" customHeight="1">
      <c r="A464" t="inlineStr">
        <is>
          <t>A 25236-2023</t>
        </is>
      </c>
      <c r="B464" s="1" t="n">
        <v>45086.63334490741</v>
      </c>
      <c r="C464" s="1" t="n">
        <v>45932</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16119-2023</t>
        </is>
      </c>
      <c r="B465" s="1" t="n">
        <v>45027.59450231482</v>
      </c>
      <c r="C465" s="1" t="n">
        <v>45932</v>
      </c>
      <c r="D465" t="inlineStr">
        <is>
          <t>KALMAR LÄN</t>
        </is>
      </c>
      <c r="E465" t="inlineStr">
        <is>
          <t>VIMMERBY</t>
        </is>
      </c>
      <c r="F465" t="inlineStr">
        <is>
          <t>Kommuner</t>
        </is>
      </c>
      <c r="G465" t="n">
        <v>4.4</v>
      </c>
      <c r="H465" t="n">
        <v>0</v>
      </c>
      <c r="I465" t="n">
        <v>0</v>
      </c>
      <c r="J465" t="n">
        <v>0</v>
      </c>
      <c r="K465" t="n">
        <v>0</v>
      </c>
      <c r="L465" t="n">
        <v>0</v>
      </c>
      <c r="M465" t="n">
        <v>0</v>
      </c>
      <c r="N465" t="n">
        <v>0</v>
      </c>
      <c r="O465" t="n">
        <v>0</v>
      </c>
      <c r="P465" t="n">
        <v>0</v>
      </c>
      <c r="Q465" t="n">
        <v>0</v>
      </c>
      <c r="R465" s="2" t="inlineStr"/>
    </row>
    <row r="466" ht="15" customHeight="1">
      <c r="A466" t="inlineStr">
        <is>
          <t>A 52327-2023</t>
        </is>
      </c>
      <c r="B466" s="1" t="n">
        <v>45224.6515162037</v>
      </c>
      <c r="C466" s="1" t="n">
        <v>45932</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12075-2024</t>
        </is>
      </c>
      <c r="B467" s="1" t="n">
        <v>45377</v>
      </c>
      <c r="C467" s="1" t="n">
        <v>45932</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29348-2023</t>
        </is>
      </c>
      <c r="B468" s="1" t="n">
        <v>45106.25025462963</v>
      </c>
      <c r="C468" s="1" t="n">
        <v>45932</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6082-2022</t>
        </is>
      </c>
      <c r="B469" s="1" t="n">
        <v>44599</v>
      </c>
      <c r="C469" s="1" t="n">
        <v>45932</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31340-2023</t>
        </is>
      </c>
      <c r="B470" s="1" t="n">
        <v>45114.47895833333</v>
      </c>
      <c r="C470" s="1" t="n">
        <v>45932</v>
      </c>
      <c r="D470" t="inlineStr">
        <is>
          <t>KALMAR LÄN</t>
        </is>
      </c>
      <c r="E470" t="inlineStr">
        <is>
          <t>VIMMERBY</t>
        </is>
      </c>
      <c r="G470" t="n">
        <v>1.8</v>
      </c>
      <c r="H470" t="n">
        <v>0</v>
      </c>
      <c r="I470" t="n">
        <v>0</v>
      </c>
      <c r="J470" t="n">
        <v>0</v>
      </c>
      <c r="K470" t="n">
        <v>0</v>
      </c>
      <c r="L470" t="n">
        <v>0</v>
      </c>
      <c r="M470" t="n">
        <v>0</v>
      </c>
      <c r="N470" t="n">
        <v>0</v>
      </c>
      <c r="O470" t="n">
        <v>0</v>
      </c>
      <c r="P470" t="n">
        <v>0</v>
      </c>
      <c r="Q470" t="n">
        <v>0</v>
      </c>
      <c r="R470" s="2" t="inlineStr"/>
    </row>
    <row r="471" ht="15" customHeight="1">
      <c r="A471" t="inlineStr">
        <is>
          <t>A 2801-2023</t>
        </is>
      </c>
      <c r="B471" s="1" t="n">
        <v>44944.73487268519</v>
      </c>
      <c r="C471" s="1" t="n">
        <v>45932</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5146-2024</t>
        </is>
      </c>
      <c r="B472" s="1" t="n">
        <v>45330</v>
      </c>
      <c r="C472" s="1" t="n">
        <v>45932</v>
      </c>
      <c r="D472" t="inlineStr">
        <is>
          <t>KALMAR LÄN</t>
        </is>
      </c>
      <c r="E472" t="inlineStr">
        <is>
          <t>VIMMERBY</t>
        </is>
      </c>
      <c r="G472" t="n">
        <v>5.3</v>
      </c>
      <c r="H472" t="n">
        <v>0</v>
      </c>
      <c r="I472" t="n">
        <v>0</v>
      </c>
      <c r="J472" t="n">
        <v>0</v>
      </c>
      <c r="K472" t="n">
        <v>0</v>
      </c>
      <c r="L472" t="n">
        <v>0</v>
      </c>
      <c r="M472" t="n">
        <v>0</v>
      </c>
      <c r="N472" t="n">
        <v>0</v>
      </c>
      <c r="O472" t="n">
        <v>0</v>
      </c>
      <c r="P472" t="n">
        <v>0</v>
      </c>
      <c r="Q472" t="n">
        <v>0</v>
      </c>
      <c r="R472" s="2" t="inlineStr"/>
    </row>
    <row r="473" ht="15" customHeight="1">
      <c r="A473" t="inlineStr">
        <is>
          <t>A 5148-2024</t>
        </is>
      </c>
      <c r="B473" s="1" t="n">
        <v>45330</v>
      </c>
      <c r="C473" s="1" t="n">
        <v>45932</v>
      </c>
      <c r="D473" t="inlineStr">
        <is>
          <t>KALMAR LÄN</t>
        </is>
      </c>
      <c r="E473" t="inlineStr">
        <is>
          <t>VIMMERBY</t>
        </is>
      </c>
      <c r="G473" t="n">
        <v>5.6</v>
      </c>
      <c r="H473" t="n">
        <v>0</v>
      </c>
      <c r="I473" t="n">
        <v>0</v>
      </c>
      <c r="J473" t="n">
        <v>0</v>
      </c>
      <c r="K473" t="n">
        <v>0</v>
      </c>
      <c r="L473" t="n">
        <v>0</v>
      </c>
      <c r="M473" t="n">
        <v>0</v>
      </c>
      <c r="N473" t="n">
        <v>0</v>
      </c>
      <c r="O473" t="n">
        <v>0</v>
      </c>
      <c r="P473" t="n">
        <v>0</v>
      </c>
      <c r="Q473" t="n">
        <v>0</v>
      </c>
      <c r="R473" s="2" t="inlineStr"/>
    </row>
    <row r="474" ht="15" customHeight="1">
      <c r="A474" t="inlineStr">
        <is>
          <t>A 27718-2025</t>
        </is>
      </c>
      <c r="B474" s="1" t="n">
        <v>45814.38221064815</v>
      </c>
      <c r="C474" s="1" t="n">
        <v>45932</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27719-2025</t>
        </is>
      </c>
      <c r="B475" s="1" t="n">
        <v>45814.3865625</v>
      </c>
      <c r="C475" s="1" t="n">
        <v>45932</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58278-2023</t>
        </is>
      </c>
      <c r="B476" s="1" t="n">
        <v>45250.5278587963</v>
      </c>
      <c r="C476" s="1" t="n">
        <v>45932</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22266-2023</t>
        </is>
      </c>
      <c r="B477" s="1" t="n">
        <v>45070</v>
      </c>
      <c r="C477" s="1" t="n">
        <v>45932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52588-2023</t>
        </is>
      </c>
      <c r="B478" s="1" t="n">
        <v>45225.60192129629</v>
      </c>
      <c r="C478" s="1" t="n">
        <v>45932</v>
      </c>
      <c r="D478" t="inlineStr">
        <is>
          <t>KALMAR LÄN</t>
        </is>
      </c>
      <c r="E478" t="inlineStr">
        <is>
          <t>VIMMERBY</t>
        </is>
      </c>
      <c r="G478" t="n">
        <v>2.9</v>
      </c>
      <c r="H478" t="n">
        <v>0</v>
      </c>
      <c r="I478" t="n">
        <v>0</v>
      </c>
      <c r="J478" t="n">
        <v>0</v>
      </c>
      <c r="K478" t="n">
        <v>0</v>
      </c>
      <c r="L478" t="n">
        <v>0</v>
      </c>
      <c r="M478" t="n">
        <v>0</v>
      </c>
      <c r="N478" t="n">
        <v>0</v>
      </c>
      <c r="O478" t="n">
        <v>0</v>
      </c>
      <c r="P478" t="n">
        <v>0</v>
      </c>
      <c r="Q478" t="n">
        <v>0</v>
      </c>
      <c r="R478" s="2" t="inlineStr"/>
    </row>
    <row r="479" ht="15" customHeight="1">
      <c r="A479" t="inlineStr">
        <is>
          <t>A 28286-2025</t>
        </is>
      </c>
      <c r="B479" s="1" t="n">
        <v>45818.58993055556</v>
      </c>
      <c r="C479" s="1" t="n">
        <v>45932</v>
      </c>
      <c r="D479" t="inlineStr">
        <is>
          <t>KALMAR LÄN</t>
        </is>
      </c>
      <c r="E479" t="inlineStr">
        <is>
          <t>VIMMERBY</t>
        </is>
      </c>
      <c r="F479" t="inlineStr">
        <is>
          <t>Sveaskog</t>
        </is>
      </c>
      <c r="G479" t="n">
        <v>8</v>
      </c>
      <c r="H479" t="n">
        <v>0</v>
      </c>
      <c r="I479" t="n">
        <v>0</v>
      </c>
      <c r="J479" t="n">
        <v>0</v>
      </c>
      <c r="K479" t="n">
        <v>0</v>
      </c>
      <c r="L479" t="n">
        <v>0</v>
      </c>
      <c r="M479" t="n">
        <v>0</v>
      </c>
      <c r="N479" t="n">
        <v>0</v>
      </c>
      <c r="O479" t="n">
        <v>0</v>
      </c>
      <c r="P479" t="n">
        <v>0</v>
      </c>
      <c r="Q479" t="n">
        <v>0</v>
      </c>
      <c r="R479" s="2" t="inlineStr"/>
    </row>
    <row r="480" ht="15" customHeight="1">
      <c r="A480" t="inlineStr">
        <is>
          <t>A 28282-2025</t>
        </is>
      </c>
      <c r="B480" s="1" t="n">
        <v>45818.58769675926</v>
      </c>
      <c r="C480" s="1" t="n">
        <v>45932</v>
      </c>
      <c r="D480" t="inlineStr">
        <is>
          <t>KALMAR LÄN</t>
        </is>
      </c>
      <c r="E480" t="inlineStr">
        <is>
          <t>VIMMERBY</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28294-2025</t>
        </is>
      </c>
      <c r="B481" s="1" t="n">
        <v>45818.595625</v>
      </c>
      <c r="C481" s="1" t="n">
        <v>45932</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28290-2025</t>
        </is>
      </c>
      <c r="B482" s="1" t="n">
        <v>45818.59261574074</v>
      </c>
      <c r="C482" s="1" t="n">
        <v>45932</v>
      </c>
      <c r="D482" t="inlineStr">
        <is>
          <t>KALMAR LÄN</t>
        </is>
      </c>
      <c r="E482" t="inlineStr">
        <is>
          <t>VIMMERBY</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6802-2025</t>
        </is>
      </c>
      <c r="B483" s="1" t="n">
        <v>45700.68289351852</v>
      </c>
      <c r="C483" s="1" t="n">
        <v>45932</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28280-2025</t>
        </is>
      </c>
      <c r="B484" s="1" t="n">
        <v>45818.5862037037</v>
      </c>
      <c r="C484" s="1" t="n">
        <v>45932</v>
      </c>
      <c r="D484" t="inlineStr">
        <is>
          <t>KALMAR LÄN</t>
        </is>
      </c>
      <c r="E484" t="inlineStr">
        <is>
          <t>VIMMERBY</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71793-2021</t>
        </is>
      </c>
      <c r="B485" s="1" t="n">
        <v>44539</v>
      </c>
      <c r="C485" s="1" t="n">
        <v>45932</v>
      </c>
      <c r="D485" t="inlineStr">
        <is>
          <t>KALMAR LÄN</t>
        </is>
      </c>
      <c r="E485" t="inlineStr">
        <is>
          <t>VIMMERBY</t>
        </is>
      </c>
      <c r="G485" t="n">
        <v>2.7</v>
      </c>
      <c r="H485" t="n">
        <v>0</v>
      </c>
      <c r="I485" t="n">
        <v>0</v>
      </c>
      <c r="J485" t="n">
        <v>0</v>
      </c>
      <c r="K485" t="n">
        <v>0</v>
      </c>
      <c r="L485" t="n">
        <v>0</v>
      </c>
      <c r="M485" t="n">
        <v>0</v>
      </c>
      <c r="N485" t="n">
        <v>0</v>
      </c>
      <c r="O485" t="n">
        <v>0</v>
      </c>
      <c r="P485" t="n">
        <v>0</v>
      </c>
      <c r="Q485" t="n">
        <v>0</v>
      </c>
      <c r="R485" s="2" t="inlineStr"/>
    </row>
    <row r="486" ht="15" customHeight="1">
      <c r="A486" t="inlineStr">
        <is>
          <t>A 7758-2024</t>
        </is>
      </c>
      <c r="B486" s="1" t="n">
        <v>45349.54434027777</v>
      </c>
      <c r="C486" s="1" t="n">
        <v>45932</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5701-2024</t>
        </is>
      </c>
      <c r="B487" s="1" t="n">
        <v>45334.78826388889</v>
      </c>
      <c r="C487" s="1" t="n">
        <v>45932</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28620-2025</t>
        </is>
      </c>
      <c r="B488" s="1" t="n">
        <v>45819.61060185185</v>
      </c>
      <c r="C488" s="1" t="n">
        <v>45932</v>
      </c>
      <c r="D488" t="inlineStr">
        <is>
          <t>KALMAR LÄN</t>
        </is>
      </c>
      <c r="E488" t="inlineStr">
        <is>
          <t>VIMMERBY</t>
        </is>
      </c>
      <c r="G488" t="n">
        <v>5.6</v>
      </c>
      <c r="H488" t="n">
        <v>0</v>
      </c>
      <c r="I488" t="n">
        <v>0</v>
      </c>
      <c r="J488" t="n">
        <v>0</v>
      </c>
      <c r="K488" t="n">
        <v>0</v>
      </c>
      <c r="L488" t="n">
        <v>0</v>
      </c>
      <c r="M488" t="n">
        <v>0</v>
      </c>
      <c r="N488" t="n">
        <v>0</v>
      </c>
      <c r="O488" t="n">
        <v>0</v>
      </c>
      <c r="P488" t="n">
        <v>0</v>
      </c>
      <c r="Q488" t="n">
        <v>0</v>
      </c>
      <c r="R488" s="2" t="inlineStr"/>
    </row>
    <row r="489" ht="15" customHeight="1">
      <c r="A489" t="inlineStr">
        <is>
          <t>A 31405-2023</t>
        </is>
      </c>
      <c r="B489" s="1" t="n">
        <v>45114.58148148148</v>
      </c>
      <c r="C489" s="1" t="n">
        <v>45932</v>
      </c>
      <c r="D489" t="inlineStr">
        <is>
          <t>KALMAR LÄN</t>
        </is>
      </c>
      <c r="E489" t="inlineStr">
        <is>
          <t>VIMMERBY</t>
        </is>
      </c>
      <c r="G489" t="n">
        <v>2.6</v>
      </c>
      <c r="H489" t="n">
        <v>0</v>
      </c>
      <c r="I489" t="n">
        <v>0</v>
      </c>
      <c r="J489" t="n">
        <v>0</v>
      </c>
      <c r="K489" t="n">
        <v>0</v>
      </c>
      <c r="L489" t="n">
        <v>0</v>
      </c>
      <c r="M489" t="n">
        <v>0</v>
      </c>
      <c r="N489" t="n">
        <v>0</v>
      </c>
      <c r="O489" t="n">
        <v>0</v>
      </c>
      <c r="P489" t="n">
        <v>0</v>
      </c>
      <c r="Q489" t="n">
        <v>0</v>
      </c>
      <c r="R489" s="2" t="inlineStr"/>
    </row>
    <row r="490" ht="15" customHeight="1">
      <c r="A490" t="inlineStr">
        <is>
          <t>A 527-2024</t>
        </is>
      </c>
      <c r="B490" s="1" t="n">
        <v>45299.47513888889</v>
      </c>
      <c r="C490" s="1" t="n">
        <v>45932</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6355-2022</t>
        </is>
      </c>
      <c r="B491" s="1" t="n">
        <v>44600</v>
      </c>
      <c r="C491" s="1" t="n">
        <v>45932</v>
      </c>
      <c r="D491" t="inlineStr">
        <is>
          <t>KALMAR LÄN</t>
        </is>
      </c>
      <c r="E491" t="inlineStr">
        <is>
          <t>VIMMERBY</t>
        </is>
      </c>
      <c r="G491" t="n">
        <v>4.9</v>
      </c>
      <c r="H491" t="n">
        <v>0</v>
      </c>
      <c r="I491" t="n">
        <v>0</v>
      </c>
      <c r="J491" t="n">
        <v>0</v>
      </c>
      <c r="K491" t="n">
        <v>0</v>
      </c>
      <c r="L491" t="n">
        <v>0</v>
      </c>
      <c r="M491" t="n">
        <v>0</v>
      </c>
      <c r="N491" t="n">
        <v>0</v>
      </c>
      <c r="O491" t="n">
        <v>0</v>
      </c>
      <c r="P491" t="n">
        <v>0</v>
      </c>
      <c r="Q491" t="n">
        <v>0</v>
      </c>
      <c r="R491" s="2" t="inlineStr"/>
    </row>
    <row r="492" ht="15" customHeight="1">
      <c r="A492" t="inlineStr">
        <is>
          <t>A 46225-2024</t>
        </is>
      </c>
      <c r="B492" s="1" t="n">
        <v>45581.57333333333</v>
      </c>
      <c r="C492" s="1" t="n">
        <v>45932</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60230-2022</t>
        </is>
      </c>
      <c r="B493" s="1" t="n">
        <v>44910</v>
      </c>
      <c r="C493" s="1" t="n">
        <v>45932</v>
      </c>
      <c r="D493" t="inlineStr">
        <is>
          <t>KALMAR LÄN</t>
        </is>
      </c>
      <c r="E493" t="inlineStr">
        <is>
          <t>VIMMERBY</t>
        </is>
      </c>
      <c r="G493" t="n">
        <v>11.3</v>
      </c>
      <c r="H493" t="n">
        <v>0</v>
      </c>
      <c r="I493" t="n">
        <v>0</v>
      </c>
      <c r="J493" t="n">
        <v>0</v>
      </c>
      <c r="K493" t="n">
        <v>0</v>
      </c>
      <c r="L493" t="n">
        <v>0</v>
      </c>
      <c r="M493" t="n">
        <v>0</v>
      </c>
      <c r="N493" t="n">
        <v>0</v>
      </c>
      <c r="O493" t="n">
        <v>0</v>
      </c>
      <c r="P493" t="n">
        <v>0</v>
      </c>
      <c r="Q493" t="n">
        <v>0</v>
      </c>
      <c r="R493" s="2" t="inlineStr"/>
    </row>
    <row r="494" ht="15" customHeight="1">
      <c r="A494" t="inlineStr">
        <is>
          <t>A 9418-2024</t>
        </is>
      </c>
      <c r="B494" s="1" t="n">
        <v>45359.45038194444</v>
      </c>
      <c r="C494" s="1" t="n">
        <v>45932</v>
      </c>
      <c r="D494" t="inlineStr">
        <is>
          <t>KALMAR LÄN</t>
        </is>
      </c>
      <c r="E494" t="inlineStr">
        <is>
          <t>VIMMERBY</t>
        </is>
      </c>
      <c r="G494" t="n">
        <v>1.9</v>
      </c>
      <c r="H494" t="n">
        <v>0</v>
      </c>
      <c r="I494" t="n">
        <v>0</v>
      </c>
      <c r="J494" t="n">
        <v>0</v>
      </c>
      <c r="K494" t="n">
        <v>0</v>
      </c>
      <c r="L494" t="n">
        <v>0</v>
      </c>
      <c r="M494" t="n">
        <v>0</v>
      </c>
      <c r="N494" t="n">
        <v>0</v>
      </c>
      <c r="O494" t="n">
        <v>0</v>
      </c>
      <c r="P494" t="n">
        <v>0</v>
      </c>
      <c r="Q494" t="n">
        <v>0</v>
      </c>
      <c r="R494" s="2" t="inlineStr"/>
    </row>
    <row r="495" ht="15" customHeight="1">
      <c r="A495" t="inlineStr">
        <is>
          <t>A 28712-2025</t>
        </is>
      </c>
      <c r="B495" s="1" t="n">
        <v>45820.33708333333</v>
      </c>
      <c r="C495" s="1" t="n">
        <v>45932</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28714-2025</t>
        </is>
      </c>
      <c r="B496" s="1" t="n">
        <v>45820.34128472222</v>
      </c>
      <c r="C496" s="1" t="n">
        <v>45932</v>
      </c>
      <c r="D496" t="inlineStr">
        <is>
          <t>KALMAR LÄN</t>
        </is>
      </c>
      <c r="E496" t="inlineStr">
        <is>
          <t>VIMMERBY</t>
        </is>
      </c>
      <c r="G496" t="n">
        <v>1.8</v>
      </c>
      <c r="H496" t="n">
        <v>0</v>
      </c>
      <c r="I496" t="n">
        <v>0</v>
      </c>
      <c r="J496" t="n">
        <v>0</v>
      </c>
      <c r="K496" t="n">
        <v>0</v>
      </c>
      <c r="L496" t="n">
        <v>0</v>
      </c>
      <c r="M496" t="n">
        <v>0</v>
      </c>
      <c r="N496" t="n">
        <v>0</v>
      </c>
      <c r="O496" t="n">
        <v>0</v>
      </c>
      <c r="P496" t="n">
        <v>0</v>
      </c>
      <c r="Q496" t="n">
        <v>0</v>
      </c>
      <c r="R496" s="2" t="inlineStr"/>
    </row>
    <row r="497" ht="15" customHeight="1">
      <c r="A497" t="inlineStr">
        <is>
          <t>A 5925-2022</t>
        </is>
      </c>
      <c r="B497" s="1" t="n">
        <v>44598.7384837963</v>
      </c>
      <c r="C497" s="1" t="n">
        <v>45932</v>
      </c>
      <c r="D497" t="inlineStr">
        <is>
          <t>KALMAR LÄN</t>
        </is>
      </c>
      <c r="E497" t="inlineStr">
        <is>
          <t>VIMMERBY</t>
        </is>
      </c>
      <c r="G497" t="n">
        <v>2.1</v>
      </c>
      <c r="H497" t="n">
        <v>0</v>
      </c>
      <c r="I497" t="n">
        <v>0</v>
      </c>
      <c r="J497" t="n">
        <v>0</v>
      </c>
      <c r="K497" t="n">
        <v>0</v>
      </c>
      <c r="L497" t="n">
        <v>0</v>
      </c>
      <c r="M497" t="n">
        <v>0</v>
      </c>
      <c r="N497" t="n">
        <v>0</v>
      </c>
      <c r="O497" t="n">
        <v>0</v>
      </c>
      <c r="P497" t="n">
        <v>0</v>
      </c>
      <c r="Q497" t="n">
        <v>0</v>
      </c>
      <c r="R497" s="2" t="inlineStr"/>
    </row>
    <row r="498" ht="15" customHeight="1">
      <c r="A498" t="inlineStr">
        <is>
          <t>A 57091-2022</t>
        </is>
      </c>
      <c r="B498" s="1" t="n">
        <v>44895.46524305556</v>
      </c>
      <c r="C498" s="1" t="n">
        <v>45932</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3816-2022</t>
        </is>
      </c>
      <c r="B499" s="1" t="n">
        <v>44587</v>
      </c>
      <c r="C499" s="1" t="n">
        <v>45932</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28713-2025</t>
        </is>
      </c>
      <c r="B500" s="1" t="n">
        <v>45820.33930555556</v>
      </c>
      <c r="C500" s="1" t="n">
        <v>45932</v>
      </c>
      <c r="D500" t="inlineStr">
        <is>
          <t>KALMAR LÄN</t>
        </is>
      </c>
      <c r="E500" t="inlineStr">
        <is>
          <t>VIMMERBY</t>
        </is>
      </c>
      <c r="G500" t="n">
        <v>2.3</v>
      </c>
      <c r="H500" t="n">
        <v>0</v>
      </c>
      <c r="I500" t="n">
        <v>0</v>
      </c>
      <c r="J500" t="n">
        <v>0</v>
      </c>
      <c r="K500" t="n">
        <v>0</v>
      </c>
      <c r="L500" t="n">
        <v>0</v>
      </c>
      <c r="M500" t="n">
        <v>0</v>
      </c>
      <c r="N500" t="n">
        <v>0</v>
      </c>
      <c r="O500" t="n">
        <v>0</v>
      </c>
      <c r="P500" t="n">
        <v>0</v>
      </c>
      <c r="Q500" t="n">
        <v>0</v>
      </c>
      <c r="R500" s="2" t="inlineStr"/>
    </row>
    <row r="501" ht="15" customHeight="1">
      <c r="A501" t="inlineStr">
        <is>
          <t>A 43606-2024</t>
        </is>
      </c>
      <c r="B501" s="1" t="n">
        <v>45569.45017361111</v>
      </c>
      <c r="C501" s="1" t="n">
        <v>45932</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43617-2024</t>
        </is>
      </c>
      <c r="B502" s="1" t="n">
        <v>45569.47494212963</v>
      </c>
      <c r="C502" s="1" t="n">
        <v>45932</v>
      </c>
      <c r="D502" t="inlineStr">
        <is>
          <t>KALMAR LÄN</t>
        </is>
      </c>
      <c r="E502" t="inlineStr">
        <is>
          <t>VIMMERBY</t>
        </is>
      </c>
      <c r="G502" t="n">
        <v>2.7</v>
      </c>
      <c r="H502" t="n">
        <v>0</v>
      </c>
      <c r="I502" t="n">
        <v>0</v>
      </c>
      <c r="J502" t="n">
        <v>0</v>
      </c>
      <c r="K502" t="n">
        <v>0</v>
      </c>
      <c r="L502" t="n">
        <v>0</v>
      </c>
      <c r="M502" t="n">
        <v>0</v>
      </c>
      <c r="N502" t="n">
        <v>0</v>
      </c>
      <c r="O502" t="n">
        <v>0</v>
      </c>
      <c r="P502" t="n">
        <v>0</v>
      </c>
      <c r="Q502" t="n">
        <v>0</v>
      </c>
      <c r="R502" s="2" t="inlineStr"/>
    </row>
    <row r="503" ht="15" customHeight="1">
      <c r="A503" t="inlineStr">
        <is>
          <t>A 47859-2024</t>
        </is>
      </c>
      <c r="B503" s="1" t="n">
        <v>45588.67070601852</v>
      </c>
      <c r="C503" s="1" t="n">
        <v>45932</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46522-2022</t>
        </is>
      </c>
      <c r="B504" s="1" t="n">
        <v>44848.59133101852</v>
      </c>
      <c r="C504" s="1" t="n">
        <v>45932</v>
      </c>
      <c r="D504" t="inlineStr">
        <is>
          <t>KALMAR LÄN</t>
        </is>
      </c>
      <c r="E504" t="inlineStr">
        <is>
          <t>VIMMERBY</t>
        </is>
      </c>
      <c r="G504" t="n">
        <v>1.4</v>
      </c>
      <c r="H504" t="n">
        <v>0</v>
      </c>
      <c r="I504" t="n">
        <v>0</v>
      </c>
      <c r="J504" t="n">
        <v>0</v>
      </c>
      <c r="K504" t="n">
        <v>0</v>
      </c>
      <c r="L504" t="n">
        <v>0</v>
      </c>
      <c r="M504" t="n">
        <v>0</v>
      </c>
      <c r="N504" t="n">
        <v>0</v>
      </c>
      <c r="O504" t="n">
        <v>0</v>
      </c>
      <c r="P504" t="n">
        <v>0</v>
      </c>
      <c r="Q504" t="n">
        <v>0</v>
      </c>
      <c r="R504" s="2" t="inlineStr"/>
    </row>
    <row r="505" ht="15" customHeight="1">
      <c r="A505" t="inlineStr">
        <is>
          <t>A 29737-2025</t>
        </is>
      </c>
      <c r="B505" s="1" t="n">
        <v>45825.58672453704</v>
      </c>
      <c r="C505" s="1" t="n">
        <v>45932</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8540-2024</t>
        </is>
      </c>
      <c r="B506" s="1" t="n">
        <v>45355.54138888889</v>
      </c>
      <c r="C506" s="1" t="n">
        <v>45932</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29727-2025</t>
        </is>
      </c>
      <c r="B507" s="1" t="n">
        <v>45825.5796875</v>
      </c>
      <c r="C507" s="1" t="n">
        <v>45932</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3331-2023</t>
        </is>
      </c>
      <c r="B508" s="1" t="n">
        <v>44949</v>
      </c>
      <c r="C508" s="1" t="n">
        <v>45932</v>
      </c>
      <c r="D508" t="inlineStr">
        <is>
          <t>KALMAR LÄN</t>
        </is>
      </c>
      <c r="E508" t="inlineStr">
        <is>
          <t>VIMMERBY</t>
        </is>
      </c>
      <c r="G508" t="n">
        <v>6.2</v>
      </c>
      <c r="H508" t="n">
        <v>0</v>
      </c>
      <c r="I508" t="n">
        <v>0</v>
      </c>
      <c r="J508" t="n">
        <v>0</v>
      </c>
      <c r="K508" t="n">
        <v>0</v>
      </c>
      <c r="L508" t="n">
        <v>0</v>
      </c>
      <c r="M508" t="n">
        <v>0</v>
      </c>
      <c r="N508" t="n">
        <v>0</v>
      </c>
      <c r="O508" t="n">
        <v>0</v>
      </c>
      <c r="P508" t="n">
        <v>0</v>
      </c>
      <c r="Q508" t="n">
        <v>0</v>
      </c>
      <c r="R508" s="2" t="inlineStr"/>
    </row>
    <row r="509" ht="15" customHeight="1">
      <c r="A509" t="inlineStr">
        <is>
          <t>A 41066-2024</t>
        </is>
      </c>
      <c r="B509" s="1" t="n">
        <v>45559.38876157408</v>
      </c>
      <c r="C509" s="1" t="n">
        <v>45932</v>
      </c>
      <c r="D509" t="inlineStr">
        <is>
          <t>KALMAR LÄN</t>
        </is>
      </c>
      <c r="E509" t="inlineStr">
        <is>
          <t>VIMMERBY</t>
        </is>
      </c>
      <c r="G509" t="n">
        <v>2.4</v>
      </c>
      <c r="H509" t="n">
        <v>0</v>
      </c>
      <c r="I509" t="n">
        <v>0</v>
      </c>
      <c r="J509" t="n">
        <v>0</v>
      </c>
      <c r="K509" t="n">
        <v>0</v>
      </c>
      <c r="L509" t="n">
        <v>0</v>
      </c>
      <c r="M509" t="n">
        <v>0</v>
      </c>
      <c r="N509" t="n">
        <v>0</v>
      </c>
      <c r="O509" t="n">
        <v>0</v>
      </c>
      <c r="P509" t="n">
        <v>0</v>
      </c>
      <c r="Q509" t="n">
        <v>0</v>
      </c>
      <c r="R509" s="2" t="inlineStr"/>
    </row>
    <row r="510" ht="15" customHeight="1">
      <c r="A510" t="inlineStr">
        <is>
          <t>A 29724-2025</t>
        </is>
      </c>
      <c r="B510" s="1" t="n">
        <v>45825.57680555555</v>
      </c>
      <c r="C510" s="1" t="n">
        <v>45932</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598-2025</t>
        </is>
      </c>
      <c r="B511" s="1" t="n">
        <v>45660</v>
      </c>
      <c r="C511" s="1" t="n">
        <v>45932</v>
      </c>
      <c r="D511" t="inlineStr">
        <is>
          <t>KALMAR LÄN</t>
        </is>
      </c>
      <c r="E511" t="inlineStr">
        <is>
          <t>VIMMERBY</t>
        </is>
      </c>
      <c r="G511" t="n">
        <v>12</v>
      </c>
      <c r="H511" t="n">
        <v>0</v>
      </c>
      <c r="I511" t="n">
        <v>0</v>
      </c>
      <c r="J511" t="n">
        <v>0</v>
      </c>
      <c r="K511" t="n">
        <v>0</v>
      </c>
      <c r="L511" t="n">
        <v>0</v>
      </c>
      <c r="M511" t="n">
        <v>0</v>
      </c>
      <c r="N511" t="n">
        <v>0</v>
      </c>
      <c r="O511" t="n">
        <v>0</v>
      </c>
      <c r="P511" t="n">
        <v>0</v>
      </c>
      <c r="Q511" t="n">
        <v>0</v>
      </c>
      <c r="R511" s="2" t="inlineStr"/>
    </row>
    <row r="512" ht="15" customHeight="1">
      <c r="A512" t="inlineStr">
        <is>
          <t>A 52279-2023</t>
        </is>
      </c>
      <c r="B512" s="1" t="n">
        <v>45224</v>
      </c>
      <c r="C512" s="1" t="n">
        <v>45932</v>
      </c>
      <c r="D512" t="inlineStr">
        <is>
          <t>KALMAR LÄN</t>
        </is>
      </c>
      <c r="E512" t="inlineStr">
        <is>
          <t>VIMMERBY</t>
        </is>
      </c>
      <c r="G512" t="n">
        <v>1.8</v>
      </c>
      <c r="H512" t="n">
        <v>0</v>
      </c>
      <c r="I512" t="n">
        <v>0</v>
      </c>
      <c r="J512" t="n">
        <v>0</v>
      </c>
      <c r="K512" t="n">
        <v>0</v>
      </c>
      <c r="L512" t="n">
        <v>0</v>
      </c>
      <c r="M512" t="n">
        <v>0</v>
      </c>
      <c r="N512" t="n">
        <v>0</v>
      </c>
      <c r="O512" t="n">
        <v>0</v>
      </c>
      <c r="P512" t="n">
        <v>0</v>
      </c>
      <c r="Q512" t="n">
        <v>0</v>
      </c>
      <c r="R512" s="2" t="inlineStr"/>
    </row>
    <row r="513" ht="15" customHeight="1">
      <c r="A513" t="inlineStr">
        <is>
          <t>A 25799-2023</t>
        </is>
      </c>
      <c r="B513" s="1" t="n">
        <v>45090</v>
      </c>
      <c r="C513" s="1" t="n">
        <v>45932</v>
      </c>
      <c r="D513" t="inlineStr">
        <is>
          <t>KALMAR LÄN</t>
        </is>
      </c>
      <c r="E513" t="inlineStr">
        <is>
          <t>VIMMERBY</t>
        </is>
      </c>
      <c r="G513" t="n">
        <v>7.7</v>
      </c>
      <c r="H513" t="n">
        <v>0</v>
      </c>
      <c r="I513" t="n">
        <v>0</v>
      </c>
      <c r="J513" t="n">
        <v>0</v>
      </c>
      <c r="K513" t="n">
        <v>0</v>
      </c>
      <c r="L513" t="n">
        <v>0</v>
      </c>
      <c r="M513" t="n">
        <v>0</v>
      </c>
      <c r="N513" t="n">
        <v>0</v>
      </c>
      <c r="O513" t="n">
        <v>0</v>
      </c>
      <c r="P513" t="n">
        <v>0</v>
      </c>
      <c r="Q513" t="n">
        <v>0</v>
      </c>
      <c r="R513" s="2" t="inlineStr"/>
    </row>
    <row r="514" ht="15" customHeight="1">
      <c r="A514" t="inlineStr">
        <is>
          <t>A 53083-2021</t>
        </is>
      </c>
      <c r="B514" s="1" t="n">
        <v>44467.83386574074</v>
      </c>
      <c r="C514" s="1" t="n">
        <v>45932</v>
      </c>
      <c r="D514" t="inlineStr">
        <is>
          <t>KALMAR LÄN</t>
        </is>
      </c>
      <c r="E514" t="inlineStr">
        <is>
          <t>VIMMERBY</t>
        </is>
      </c>
      <c r="G514" t="n">
        <v>6.8</v>
      </c>
      <c r="H514" t="n">
        <v>0</v>
      </c>
      <c r="I514" t="n">
        <v>0</v>
      </c>
      <c r="J514" t="n">
        <v>0</v>
      </c>
      <c r="K514" t="n">
        <v>0</v>
      </c>
      <c r="L514" t="n">
        <v>0</v>
      </c>
      <c r="M514" t="n">
        <v>0</v>
      </c>
      <c r="N514" t="n">
        <v>0</v>
      </c>
      <c r="O514" t="n">
        <v>0</v>
      </c>
      <c r="P514" t="n">
        <v>0</v>
      </c>
      <c r="Q514" t="n">
        <v>0</v>
      </c>
      <c r="R514" s="2" t="inlineStr"/>
    </row>
    <row r="515" ht="15" customHeight="1">
      <c r="A515" t="inlineStr">
        <is>
          <t>A 24655-2021</t>
        </is>
      </c>
      <c r="B515" s="1" t="n">
        <v>44340</v>
      </c>
      <c r="C515" s="1" t="n">
        <v>45932</v>
      </c>
      <c r="D515" t="inlineStr">
        <is>
          <t>KALMAR LÄN</t>
        </is>
      </c>
      <c r="E515" t="inlineStr">
        <is>
          <t>VIMMERBY</t>
        </is>
      </c>
      <c r="G515" t="n">
        <v>14.9</v>
      </c>
      <c r="H515" t="n">
        <v>0</v>
      </c>
      <c r="I515" t="n">
        <v>0</v>
      </c>
      <c r="J515" t="n">
        <v>0</v>
      </c>
      <c r="K515" t="n">
        <v>0</v>
      </c>
      <c r="L515" t="n">
        <v>0</v>
      </c>
      <c r="M515" t="n">
        <v>0</v>
      </c>
      <c r="N515" t="n">
        <v>0</v>
      </c>
      <c r="O515" t="n">
        <v>0</v>
      </c>
      <c r="P515" t="n">
        <v>0</v>
      </c>
      <c r="Q515" t="n">
        <v>0</v>
      </c>
      <c r="R515" s="2" t="inlineStr"/>
    </row>
    <row r="516" ht="15" customHeight="1">
      <c r="A516" t="inlineStr">
        <is>
          <t>A 17486-2024</t>
        </is>
      </c>
      <c r="B516" s="1" t="n">
        <v>45415.48979166667</v>
      </c>
      <c r="C516" s="1" t="n">
        <v>45932</v>
      </c>
      <c r="D516" t="inlineStr">
        <is>
          <t>KALMAR LÄN</t>
        </is>
      </c>
      <c r="E516" t="inlineStr">
        <is>
          <t>VIMMERBY</t>
        </is>
      </c>
      <c r="G516" t="n">
        <v>2.6</v>
      </c>
      <c r="H516" t="n">
        <v>0</v>
      </c>
      <c r="I516" t="n">
        <v>0</v>
      </c>
      <c r="J516" t="n">
        <v>0</v>
      </c>
      <c r="K516" t="n">
        <v>0</v>
      </c>
      <c r="L516" t="n">
        <v>0</v>
      </c>
      <c r="M516" t="n">
        <v>0</v>
      </c>
      <c r="N516" t="n">
        <v>0</v>
      </c>
      <c r="O516" t="n">
        <v>0</v>
      </c>
      <c r="P516" t="n">
        <v>0</v>
      </c>
      <c r="Q516" t="n">
        <v>0</v>
      </c>
      <c r="R516" s="2" t="inlineStr"/>
    </row>
    <row r="517" ht="15" customHeight="1">
      <c r="A517" t="inlineStr">
        <is>
          <t>A 71631-2021</t>
        </is>
      </c>
      <c r="B517" s="1" t="n">
        <v>44542.90072916666</v>
      </c>
      <c r="C517" s="1" t="n">
        <v>45932</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30293-2025</t>
        </is>
      </c>
      <c r="B518" s="1" t="n">
        <v>45827</v>
      </c>
      <c r="C518" s="1" t="n">
        <v>45932</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30290-2025</t>
        </is>
      </c>
      <c r="B519" s="1" t="n">
        <v>45827</v>
      </c>
      <c r="C519" s="1" t="n">
        <v>45932</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33838-2022</t>
        </is>
      </c>
      <c r="B520" s="1" t="n">
        <v>44790.49040509259</v>
      </c>
      <c r="C520" s="1" t="n">
        <v>45932</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32835-2022</t>
        </is>
      </c>
      <c r="B521" s="1" t="n">
        <v>44784.42528935185</v>
      </c>
      <c r="C521" s="1" t="n">
        <v>45932</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30850-2025</t>
        </is>
      </c>
      <c r="B522" s="1" t="n">
        <v>45831</v>
      </c>
      <c r="C522" s="1" t="n">
        <v>45932</v>
      </c>
      <c r="D522" t="inlineStr">
        <is>
          <t>KALMAR LÄN</t>
        </is>
      </c>
      <c r="E522" t="inlineStr">
        <is>
          <t>VIMMERBY</t>
        </is>
      </c>
      <c r="G522" t="n">
        <v>2.7</v>
      </c>
      <c r="H522" t="n">
        <v>0</v>
      </c>
      <c r="I522" t="n">
        <v>0</v>
      </c>
      <c r="J522" t="n">
        <v>0</v>
      </c>
      <c r="K522" t="n">
        <v>0</v>
      </c>
      <c r="L522" t="n">
        <v>0</v>
      </c>
      <c r="M522" t="n">
        <v>0</v>
      </c>
      <c r="N522" t="n">
        <v>0</v>
      </c>
      <c r="O522" t="n">
        <v>0</v>
      </c>
      <c r="P522" t="n">
        <v>0</v>
      </c>
      <c r="Q522" t="n">
        <v>0</v>
      </c>
      <c r="R522" s="2" t="inlineStr"/>
    </row>
    <row r="523" ht="15" customHeight="1">
      <c r="A523" t="inlineStr">
        <is>
          <t>A 1081-2023</t>
        </is>
      </c>
      <c r="B523" s="1" t="n">
        <v>44935</v>
      </c>
      <c r="C523" s="1" t="n">
        <v>45932</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47063-2022</t>
        </is>
      </c>
      <c r="B524" s="1" t="n">
        <v>44852</v>
      </c>
      <c r="C524" s="1" t="n">
        <v>45932</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16015-2025</t>
        </is>
      </c>
      <c r="B525" s="1" t="n">
        <v>45749.60487268519</v>
      </c>
      <c r="C525" s="1" t="n">
        <v>45932</v>
      </c>
      <c r="D525" t="inlineStr">
        <is>
          <t>KALMAR LÄN</t>
        </is>
      </c>
      <c r="E525" t="inlineStr">
        <is>
          <t>VIMMERBY</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28403-2023</t>
        </is>
      </c>
      <c r="B526" s="1" t="n">
        <v>45100.85270833333</v>
      </c>
      <c r="C526" s="1" t="n">
        <v>45932</v>
      </c>
      <c r="D526" t="inlineStr">
        <is>
          <t>KALMAR LÄN</t>
        </is>
      </c>
      <c r="E526" t="inlineStr">
        <is>
          <t>VIMMERBY</t>
        </is>
      </c>
      <c r="G526" t="n">
        <v>1.8</v>
      </c>
      <c r="H526" t="n">
        <v>0</v>
      </c>
      <c r="I526" t="n">
        <v>0</v>
      </c>
      <c r="J526" t="n">
        <v>0</v>
      </c>
      <c r="K526" t="n">
        <v>0</v>
      </c>
      <c r="L526" t="n">
        <v>0</v>
      </c>
      <c r="M526" t="n">
        <v>0</v>
      </c>
      <c r="N526" t="n">
        <v>0</v>
      </c>
      <c r="O526" t="n">
        <v>0</v>
      </c>
      <c r="P526" t="n">
        <v>0</v>
      </c>
      <c r="Q526" t="n">
        <v>0</v>
      </c>
      <c r="R526" s="2" t="inlineStr"/>
    </row>
    <row r="527" ht="15" customHeight="1">
      <c r="A527" t="inlineStr">
        <is>
          <t>A 9694-2023</t>
        </is>
      </c>
      <c r="B527" s="1" t="n">
        <v>44984.45895833334</v>
      </c>
      <c r="C527" s="1" t="n">
        <v>45932</v>
      </c>
      <c r="D527" t="inlineStr">
        <is>
          <t>KALMAR LÄN</t>
        </is>
      </c>
      <c r="E527" t="inlineStr">
        <is>
          <t>VIMMERBY</t>
        </is>
      </c>
      <c r="G527" t="n">
        <v>2.1</v>
      </c>
      <c r="H527" t="n">
        <v>0</v>
      </c>
      <c r="I527" t="n">
        <v>0</v>
      </c>
      <c r="J527" t="n">
        <v>0</v>
      </c>
      <c r="K527" t="n">
        <v>0</v>
      </c>
      <c r="L527" t="n">
        <v>0</v>
      </c>
      <c r="M527" t="n">
        <v>0</v>
      </c>
      <c r="N527" t="n">
        <v>0</v>
      </c>
      <c r="O527" t="n">
        <v>0</v>
      </c>
      <c r="P527" t="n">
        <v>0</v>
      </c>
      <c r="Q527" t="n">
        <v>0</v>
      </c>
      <c r="R527" s="2" t="inlineStr"/>
    </row>
    <row r="528" ht="15" customHeight="1">
      <c r="A528" t="inlineStr">
        <is>
          <t>A 33103-2024</t>
        </is>
      </c>
      <c r="B528" s="1" t="n">
        <v>45517.8162037037</v>
      </c>
      <c r="C528" s="1" t="n">
        <v>45932</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22198-2024</t>
        </is>
      </c>
      <c r="B529" s="1" t="n">
        <v>45446.36865740741</v>
      </c>
      <c r="C529" s="1" t="n">
        <v>45932</v>
      </c>
      <c r="D529" t="inlineStr">
        <is>
          <t>KALMAR LÄN</t>
        </is>
      </c>
      <c r="E529" t="inlineStr">
        <is>
          <t>VIMMERBY</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57311-2023</t>
        </is>
      </c>
      <c r="B530" s="1" t="n">
        <v>45245.63574074074</v>
      </c>
      <c r="C530" s="1" t="n">
        <v>45932</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12588-2025</t>
        </is>
      </c>
      <c r="B531" s="1" t="n">
        <v>45732.76936342593</v>
      </c>
      <c r="C531" s="1" t="n">
        <v>45932</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7932-2025</t>
        </is>
      </c>
      <c r="B532" s="1" t="n">
        <v>45707.3793287037</v>
      </c>
      <c r="C532" s="1" t="n">
        <v>45932</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2260-2022</t>
        </is>
      </c>
      <c r="B533" s="1" t="n">
        <v>44578.62943287037</v>
      </c>
      <c r="C533" s="1" t="n">
        <v>45932</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11661-2023</t>
        </is>
      </c>
      <c r="B534" s="1" t="n">
        <v>44994.46908564815</v>
      </c>
      <c r="C534" s="1" t="n">
        <v>45932</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58046-2022</t>
        </is>
      </c>
      <c r="B535" s="1" t="n">
        <v>44900.57393518519</v>
      </c>
      <c r="C535" s="1" t="n">
        <v>45932</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45528-2021</t>
        </is>
      </c>
      <c r="B536" s="1" t="n">
        <v>44440.60415509259</v>
      </c>
      <c r="C536" s="1" t="n">
        <v>45932</v>
      </c>
      <c r="D536" t="inlineStr">
        <is>
          <t>KALMAR LÄN</t>
        </is>
      </c>
      <c r="E536" t="inlineStr">
        <is>
          <t>VIMMERBY</t>
        </is>
      </c>
      <c r="G536" t="n">
        <v>2.2</v>
      </c>
      <c r="H536" t="n">
        <v>0</v>
      </c>
      <c r="I536" t="n">
        <v>0</v>
      </c>
      <c r="J536" t="n">
        <v>0</v>
      </c>
      <c r="K536" t="n">
        <v>0</v>
      </c>
      <c r="L536" t="n">
        <v>0</v>
      </c>
      <c r="M536" t="n">
        <v>0</v>
      </c>
      <c r="N536" t="n">
        <v>0</v>
      </c>
      <c r="O536" t="n">
        <v>0</v>
      </c>
      <c r="P536" t="n">
        <v>0</v>
      </c>
      <c r="Q536" t="n">
        <v>0</v>
      </c>
      <c r="R536" s="2" t="inlineStr"/>
    </row>
    <row r="537" ht="15" customHeight="1">
      <c r="A537" t="inlineStr">
        <is>
          <t>A 46979-2023</t>
        </is>
      </c>
      <c r="B537" s="1" t="n">
        <v>45201</v>
      </c>
      <c r="C537" s="1" t="n">
        <v>45932</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6574-2023</t>
        </is>
      </c>
      <c r="B538" s="1" t="n">
        <v>44966</v>
      </c>
      <c r="C538" s="1" t="n">
        <v>45932</v>
      </c>
      <c r="D538" t="inlineStr">
        <is>
          <t>KALMAR LÄN</t>
        </is>
      </c>
      <c r="E538" t="inlineStr">
        <is>
          <t>VIMMERBY</t>
        </is>
      </c>
      <c r="G538" t="n">
        <v>2.5</v>
      </c>
      <c r="H538" t="n">
        <v>0</v>
      </c>
      <c r="I538" t="n">
        <v>0</v>
      </c>
      <c r="J538" t="n">
        <v>0</v>
      </c>
      <c r="K538" t="n">
        <v>0</v>
      </c>
      <c r="L538" t="n">
        <v>0</v>
      </c>
      <c r="M538" t="n">
        <v>0</v>
      </c>
      <c r="N538" t="n">
        <v>0</v>
      </c>
      <c r="O538" t="n">
        <v>0</v>
      </c>
      <c r="P538" t="n">
        <v>0</v>
      </c>
      <c r="Q538" t="n">
        <v>0</v>
      </c>
      <c r="R538" s="2" t="inlineStr"/>
    </row>
    <row r="539" ht="15" customHeight="1">
      <c r="A539" t="inlineStr">
        <is>
          <t>A 31552-2025</t>
        </is>
      </c>
      <c r="B539" s="1" t="n">
        <v>45833.64563657407</v>
      </c>
      <c r="C539" s="1" t="n">
        <v>45932</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31555-2025</t>
        </is>
      </c>
      <c r="B540" s="1" t="n">
        <v>45833.64814814815</v>
      </c>
      <c r="C540" s="1" t="n">
        <v>45932</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30971-2025</t>
        </is>
      </c>
      <c r="B541" s="1" t="n">
        <v>45832.46146990741</v>
      </c>
      <c r="C541" s="1" t="n">
        <v>45932</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31551-2025</t>
        </is>
      </c>
      <c r="B542" s="1" t="n">
        <v>45833.64237268519</v>
      </c>
      <c r="C542" s="1" t="n">
        <v>45932</v>
      </c>
      <c r="D542" t="inlineStr">
        <is>
          <t>KALMAR LÄN</t>
        </is>
      </c>
      <c r="E542" t="inlineStr">
        <is>
          <t>VIMMERBY</t>
        </is>
      </c>
      <c r="G542" t="n">
        <v>1.9</v>
      </c>
      <c r="H542" t="n">
        <v>0</v>
      </c>
      <c r="I542" t="n">
        <v>0</v>
      </c>
      <c r="J542" t="n">
        <v>0</v>
      </c>
      <c r="K542" t="n">
        <v>0</v>
      </c>
      <c r="L542" t="n">
        <v>0</v>
      </c>
      <c r="M542" t="n">
        <v>0</v>
      </c>
      <c r="N542" t="n">
        <v>0</v>
      </c>
      <c r="O542" t="n">
        <v>0</v>
      </c>
      <c r="P542" t="n">
        <v>0</v>
      </c>
      <c r="Q542" t="n">
        <v>0</v>
      </c>
      <c r="R542" s="2" t="inlineStr"/>
    </row>
    <row r="543" ht="15" customHeight="1">
      <c r="A543" t="inlineStr">
        <is>
          <t>A 2121-2022</t>
        </is>
      </c>
      <c r="B543" s="1" t="n">
        <v>44578.32717592592</v>
      </c>
      <c r="C543" s="1" t="n">
        <v>45932</v>
      </c>
      <c r="D543" t="inlineStr">
        <is>
          <t>KALMAR LÄN</t>
        </is>
      </c>
      <c r="E543" t="inlineStr">
        <is>
          <t>VIMMERBY</t>
        </is>
      </c>
      <c r="G543" t="n">
        <v>2</v>
      </c>
      <c r="H543" t="n">
        <v>0</v>
      </c>
      <c r="I543" t="n">
        <v>0</v>
      </c>
      <c r="J543" t="n">
        <v>0</v>
      </c>
      <c r="K543" t="n">
        <v>0</v>
      </c>
      <c r="L543" t="n">
        <v>0</v>
      </c>
      <c r="M543" t="n">
        <v>0</v>
      </c>
      <c r="N543" t="n">
        <v>0</v>
      </c>
      <c r="O543" t="n">
        <v>0</v>
      </c>
      <c r="P543" t="n">
        <v>0</v>
      </c>
      <c r="Q543" t="n">
        <v>0</v>
      </c>
      <c r="R543" s="2" t="inlineStr"/>
    </row>
    <row r="544" ht="15" customHeight="1">
      <c r="A544" t="inlineStr">
        <is>
          <t>A 30882-2025</t>
        </is>
      </c>
      <c r="B544" s="1" t="n">
        <v>45832.34540509259</v>
      </c>
      <c r="C544" s="1" t="n">
        <v>45932</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4058-2024</t>
        </is>
      </c>
      <c r="B545" s="1" t="n">
        <v>45323.53744212963</v>
      </c>
      <c r="C545" s="1" t="n">
        <v>45932</v>
      </c>
      <c r="D545" t="inlineStr">
        <is>
          <t>KALMAR LÄN</t>
        </is>
      </c>
      <c r="E545" t="inlineStr">
        <is>
          <t>VIMMERBY</t>
        </is>
      </c>
      <c r="G545" t="n">
        <v>6.5</v>
      </c>
      <c r="H545" t="n">
        <v>0</v>
      </c>
      <c r="I545" t="n">
        <v>0</v>
      </c>
      <c r="J545" t="n">
        <v>0</v>
      </c>
      <c r="K545" t="n">
        <v>0</v>
      </c>
      <c r="L545" t="n">
        <v>0</v>
      </c>
      <c r="M545" t="n">
        <v>0</v>
      </c>
      <c r="N545" t="n">
        <v>0</v>
      </c>
      <c r="O545" t="n">
        <v>0</v>
      </c>
      <c r="P545" t="n">
        <v>0</v>
      </c>
      <c r="Q545" t="n">
        <v>0</v>
      </c>
      <c r="R545" s="2" t="inlineStr"/>
    </row>
    <row r="546" ht="15" customHeight="1">
      <c r="A546" t="inlineStr">
        <is>
          <t>A 31872-2025</t>
        </is>
      </c>
      <c r="B546" s="1" t="n">
        <v>45834.65040509259</v>
      </c>
      <c r="C546" s="1" t="n">
        <v>45932</v>
      </c>
      <c r="D546" t="inlineStr">
        <is>
          <t>KALMAR LÄN</t>
        </is>
      </c>
      <c r="E546" t="inlineStr">
        <is>
          <t>VIMMERBY</t>
        </is>
      </c>
      <c r="F546" t="inlineStr">
        <is>
          <t>Sveaskog</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8559-2025</t>
        </is>
      </c>
      <c r="B547" s="1" t="n">
        <v>45709.62280092593</v>
      </c>
      <c r="C547" s="1" t="n">
        <v>45932</v>
      </c>
      <c r="D547" t="inlineStr">
        <is>
          <t>KALMAR LÄN</t>
        </is>
      </c>
      <c r="E547" t="inlineStr">
        <is>
          <t>VIMMERBY</t>
        </is>
      </c>
      <c r="G547" t="n">
        <v>8.9</v>
      </c>
      <c r="H547" t="n">
        <v>0</v>
      </c>
      <c r="I547" t="n">
        <v>0</v>
      </c>
      <c r="J547" t="n">
        <v>0</v>
      </c>
      <c r="K547" t="n">
        <v>0</v>
      </c>
      <c r="L547" t="n">
        <v>0</v>
      </c>
      <c r="M547" t="n">
        <v>0</v>
      </c>
      <c r="N547" t="n">
        <v>0</v>
      </c>
      <c r="O547" t="n">
        <v>0</v>
      </c>
      <c r="P547" t="n">
        <v>0</v>
      </c>
      <c r="Q547" t="n">
        <v>0</v>
      </c>
      <c r="R547" s="2" t="inlineStr"/>
    </row>
    <row r="548" ht="15" customHeight="1">
      <c r="A548" t="inlineStr">
        <is>
          <t>A 32064-2025</t>
        </is>
      </c>
      <c r="B548" s="1" t="n">
        <v>45835.44709490741</v>
      </c>
      <c r="C548" s="1" t="n">
        <v>45932</v>
      </c>
      <c r="D548" t="inlineStr">
        <is>
          <t>KALMAR LÄN</t>
        </is>
      </c>
      <c r="E548" t="inlineStr">
        <is>
          <t>VIMMERBY</t>
        </is>
      </c>
      <c r="G548" t="n">
        <v>2.6</v>
      </c>
      <c r="H548" t="n">
        <v>0</v>
      </c>
      <c r="I548" t="n">
        <v>0</v>
      </c>
      <c r="J548" t="n">
        <v>0</v>
      </c>
      <c r="K548" t="n">
        <v>0</v>
      </c>
      <c r="L548" t="n">
        <v>0</v>
      </c>
      <c r="M548" t="n">
        <v>0</v>
      </c>
      <c r="N548" t="n">
        <v>0</v>
      </c>
      <c r="O548" t="n">
        <v>0</v>
      </c>
      <c r="P548" t="n">
        <v>0</v>
      </c>
      <c r="Q548" t="n">
        <v>0</v>
      </c>
      <c r="R548" s="2" t="inlineStr"/>
    </row>
    <row r="549" ht="15" customHeight="1">
      <c r="A549" t="inlineStr">
        <is>
          <t>A 34386-2024</t>
        </is>
      </c>
      <c r="B549" s="1" t="n">
        <v>45525.41762731481</v>
      </c>
      <c r="C549" s="1" t="n">
        <v>45932</v>
      </c>
      <c r="D549" t="inlineStr">
        <is>
          <t>KALMAR LÄN</t>
        </is>
      </c>
      <c r="E549" t="inlineStr">
        <is>
          <t>VIMMERBY</t>
        </is>
      </c>
      <c r="G549" t="n">
        <v>0.3</v>
      </c>
      <c r="H549" t="n">
        <v>0</v>
      </c>
      <c r="I549" t="n">
        <v>0</v>
      </c>
      <c r="J549" t="n">
        <v>0</v>
      </c>
      <c r="K549" t="n">
        <v>0</v>
      </c>
      <c r="L549" t="n">
        <v>0</v>
      </c>
      <c r="M549" t="n">
        <v>0</v>
      </c>
      <c r="N549" t="n">
        <v>0</v>
      </c>
      <c r="O549" t="n">
        <v>0</v>
      </c>
      <c r="P549" t="n">
        <v>0</v>
      </c>
      <c r="Q549" t="n">
        <v>0</v>
      </c>
      <c r="R549" s="2" t="inlineStr"/>
    </row>
    <row r="550" ht="15" customHeight="1">
      <c r="A550" t="inlineStr">
        <is>
          <t>A 32109-2025</t>
        </is>
      </c>
      <c r="B550" s="1" t="n">
        <v>45835.48267361111</v>
      </c>
      <c r="C550" s="1" t="n">
        <v>45932</v>
      </c>
      <c r="D550" t="inlineStr">
        <is>
          <t>KALMAR LÄN</t>
        </is>
      </c>
      <c r="E550" t="inlineStr">
        <is>
          <t>VIMMERBY</t>
        </is>
      </c>
      <c r="G550" t="n">
        <v>2.5</v>
      </c>
      <c r="H550" t="n">
        <v>0</v>
      </c>
      <c r="I550" t="n">
        <v>0</v>
      </c>
      <c r="J550" t="n">
        <v>0</v>
      </c>
      <c r="K550" t="n">
        <v>0</v>
      </c>
      <c r="L550" t="n">
        <v>0</v>
      </c>
      <c r="M550" t="n">
        <v>0</v>
      </c>
      <c r="N550" t="n">
        <v>0</v>
      </c>
      <c r="O550" t="n">
        <v>0</v>
      </c>
      <c r="P550" t="n">
        <v>0</v>
      </c>
      <c r="Q550" t="n">
        <v>0</v>
      </c>
      <c r="R550" s="2" t="inlineStr"/>
    </row>
    <row r="551" ht="15" customHeight="1">
      <c r="A551" t="inlineStr">
        <is>
          <t>A 32113-2025</t>
        </is>
      </c>
      <c r="B551" s="1" t="n">
        <v>45835.48445601852</v>
      </c>
      <c r="C551" s="1" t="n">
        <v>45932</v>
      </c>
      <c r="D551" t="inlineStr">
        <is>
          <t>KALMAR LÄN</t>
        </is>
      </c>
      <c r="E551" t="inlineStr">
        <is>
          <t>VIMMERBY</t>
        </is>
      </c>
      <c r="G551" t="n">
        <v>3.5</v>
      </c>
      <c r="H551" t="n">
        <v>0</v>
      </c>
      <c r="I551" t="n">
        <v>0</v>
      </c>
      <c r="J551" t="n">
        <v>0</v>
      </c>
      <c r="K551" t="n">
        <v>0</v>
      </c>
      <c r="L551" t="n">
        <v>0</v>
      </c>
      <c r="M551" t="n">
        <v>0</v>
      </c>
      <c r="N551" t="n">
        <v>0</v>
      </c>
      <c r="O551" t="n">
        <v>0</v>
      </c>
      <c r="P551" t="n">
        <v>0</v>
      </c>
      <c r="Q551" t="n">
        <v>0</v>
      </c>
      <c r="R551" s="2" t="inlineStr"/>
    </row>
    <row r="552" ht="15" customHeight="1">
      <c r="A552" t="inlineStr">
        <is>
          <t>A 32116-2025</t>
        </is>
      </c>
      <c r="B552" s="1" t="n">
        <v>45835.48862268519</v>
      </c>
      <c r="C552" s="1" t="n">
        <v>45932</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1978-2024</t>
        </is>
      </c>
      <c r="B553" s="1" t="n">
        <v>45308.59001157407</v>
      </c>
      <c r="C553" s="1" t="n">
        <v>45932</v>
      </c>
      <c r="D553" t="inlineStr">
        <is>
          <t>KALMAR LÄN</t>
        </is>
      </c>
      <c r="E553" t="inlineStr">
        <is>
          <t>VIMMERBY</t>
        </is>
      </c>
      <c r="G553" t="n">
        <v>0.9</v>
      </c>
      <c r="H553" t="n">
        <v>0</v>
      </c>
      <c r="I553" t="n">
        <v>0</v>
      </c>
      <c r="J553" t="n">
        <v>0</v>
      </c>
      <c r="K553" t="n">
        <v>0</v>
      </c>
      <c r="L553" t="n">
        <v>0</v>
      </c>
      <c r="M553" t="n">
        <v>0</v>
      </c>
      <c r="N553" t="n">
        <v>0</v>
      </c>
      <c r="O553" t="n">
        <v>0</v>
      </c>
      <c r="P553" t="n">
        <v>0</v>
      </c>
      <c r="Q553" t="n">
        <v>0</v>
      </c>
      <c r="R553" s="2" t="inlineStr"/>
    </row>
    <row r="554" ht="15" customHeight="1">
      <c r="A554" t="inlineStr">
        <is>
          <t>A 31870-2025</t>
        </is>
      </c>
      <c r="B554" s="1" t="n">
        <v>45834.64667824074</v>
      </c>
      <c r="C554" s="1" t="n">
        <v>45932</v>
      </c>
      <c r="D554" t="inlineStr">
        <is>
          <t>KALMAR LÄN</t>
        </is>
      </c>
      <c r="E554" t="inlineStr">
        <is>
          <t>VIMMERBY</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30318-2023</t>
        </is>
      </c>
      <c r="B555" s="1" t="n">
        <v>45111.30824074074</v>
      </c>
      <c r="C555" s="1" t="n">
        <v>45932</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32065-2025</t>
        </is>
      </c>
      <c r="B556" s="1" t="n">
        <v>45835.44732638889</v>
      </c>
      <c r="C556" s="1" t="n">
        <v>45932</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6069-2023</t>
        </is>
      </c>
      <c r="B557" s="1" t="n">
        <v>44964.5115162037</v>
      </c>
      <c r="C557" s="1" t="n">
        <v>45932</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31987-2025</t>
        </is>
      </c>
      <c r="B558" s="1" t="n">
        <v>45835.36229166666</v>
      </c>
      <c r="C558" s="1" t="n">
        <v>45932</v>
      </c>
      <c r="D558" t="inlineStr">
        <is>
          <t>KALMAR LÄN</t>
        </is>
      </c>
      <c r="E558" t="inlineStr">
        <is>
          <t>VIMMERBY</t>
        </is>
      </c>
      <c r="F558" t="inlineStr">
        <is>
          <t>Kyrkan</t>
        </is>
      </c>
      <c r="G558" t="n">
        <v>1.2</v>
      </c>
      <c r="H558" t="n">
        <v>0</v>
      </c>
      <c r="I558" t="n">
        <v>0</v>
      </c>
      <c r="J558" t="n">
        <v>0</v>
      </c>
      <c r="K558" t="n">
        <v>0</v>
      </c>
      <c r="L558" t="n">
        <v>0</v>
      </c>
      <c r="M558" t="n">
        <v>0</v>
      </c>
      <c r="N558" t="n">
        <v>0</v>
      </c>
      <c r="O558" t="n">
        <v>0</v>
      </c>
      <c r="P558" t="n">
        <v>0</v>
      </c>
      <c r="Q558" t="n">
        <v>0</v>
      </c>
      <c r="R558" s="2" t="inlineStr"/>
    </row>
    <row r="559" ht="15" customHeight="1">
      <c r="A559" t="inlineStr">
        <is>
          <t>A 32077-2025</t>
        </is>
      </c>
      <c r="B559" s="1" t="n">
        <v>45835.45099537037</v>
      </c>
      <c r="C559" s="1" t="n">
        <v>45932</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32120-2025</t>
        </is>
      </c>
      <c r="B560" s="1" t="n">
        <v>45835.4924537037</v>
      </c>
      <c r="C560" s="1" t="n">
        <v>45932</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31876-2025</t>
        </is>
      </c>
      <c r="B561" s="1" t="n">
        <v>45834.65197916667</v>
      </c>
      <c r="C561" s="1" t="n">
        <v>45932</v>
      </c>
      <c r="D561" t="inlineStr">
        <is>
          <t>KALMAR LÄN</t>
        </is>
      </c>
      <c r="E561" t="inlineStr">
        <is>
          <t>VIMMERBY</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25234-2023</t>
        </is>
      </c>
      <c r="B562" s="1" t="n">
        <v>45086.63194444445</v>
      </c>
      <c r="C562" s="1" t="n">
        <v>45932</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46078-2023</t>
        </is>
      </c>
      <c r="B563" s="1" t="n">
        <v>45196</v>
      </c>
      <c r="C563" s="1" t="n">
        <v>45932</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32633-2023</t>
        </is>
      </c>
      <c r="B564" s="1" t="n">
        <v>45121.58699074074</v>
      </c>
      <c r="C564" s="1" t="n">
        <v>45932</v>
      </c>
      <c r="D564" t="inlineStr">
        <is>
          <t>KALMAR LÄN</t>
        </is>
      </c>
      <c r="E564" t="inlineStr">
        <is>
          <t>VIMMERBY</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49461-2023</t>
        </is>
      </c>
      <c r="B565" s="1" t="n">
        <v>45211.52642361111</v>
      </c>
      <c r="C565" s="1" t="n">
        <v>45932</v>
      </c>
      <c r="D565" t="inlineStr">
        <is>
          <t>KALMAR LÄN</t>
        </is>
      </c>
      <c r="E565" t="inlineStr">
        <is>
          <t>VIMMERBY</t>
        </is>
      </c>
      <c r="G565" t="n">
        <v>1.5</v>
      </c>
      <c r="H565" t="n">
        <v>0</v>
      </c>
      <c r="I565" t="n">
        <v>0</v>
      </c>
      <c r="J565" t="n">
        <v>0</v>
      </c>
      <c r="K565" t="n">
        <v>0</v>
      </c>
      <c r="L565" t="n">
        <v>0</v>
      </c>
      <c r="M565" t="n">
        <v>0</v>
      </c>
      <c r="N565" t="n">
        <v>0</v>
      </c>
      <c r="O565" t="n">
        <v>0</v>
      </c>
      <c r="P565" t="n">
        <v>0</v>
      </c>
      <c r="Q565" t="n">
        <v>0</v>
      </c>
      <c r="R565" s="2" t="inlineStr"/>
    </row>
    <row r="566" ht="15" customHeight="1">
      <c r="A566" t="inlineStr">
        <is>
          <t>A 3609-2024</t>
        </is>
      </c>
      <c r="B566" s="1" t="n">
        <v>45320.89128472222</v>
      </c>
      <c r="C566" s="1" t="n">
        <v>45932</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10424-2023</t>
        </is>
      </c>
      <c r="B567" s="1" t="n">
        <v>44987.54104166666</v>
      </c>
      <c r="C567" s="1" t="n">
        <v>45932</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23095-2023</t>
        </is>
      </c>
      <c r="B568" s="1" t="n">
        <v>45075.43059027778</v>
      </c>
      <c r="C568" s="1" t="n">
        <v>45932</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11429-2022</t>
        </is>
      </c>
      <c r="B569" s="1" t="n">
        <v>44630</v>
      </c>
      <c r="C569" s="1" t="n">
        <v>45932</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32380-2025</t>
        </is>
      </c>
      <c r="B570" s="1" t="n">
        <v>45837.77701388889</v>
      </c>
      <c r="C570" s="1" t="n">
        <v>45932</v>
      </c>
      <c r="D570" t="inlineStr">
        <is>
          <t>KALMAR LÄN</t>
        </is>
      </c>
      <c r="E570" t="inlineStr">
        <is>
          <t>VIMMERBY</t>
        </is>
      </c>
      <c r="G570" t="n">
        <v>3.1</v>
      </c>
      <c r="H570" t="n">
        <v>0</v>
      </c>
      <c r="I570" t="n">
        <v>0</v>
      </c>
      <c r="J570" t="n">
        <v>0</v>
      </c>
      <c r="K570" t="n">
        <v>0</v>
      </c>
      <c r="L570" t="n">
        <v>0</v>
      </c>
      <c r="M570" t="n">
        <v>0</v>
      </c>
      <c r="N570" t="n">
        <v>0</v>
      </c>
      <c r="O570" t="n">
        <v>0</v>
      </c>
      <c r="P570" t="n">
        <v>0</v>
      </c>
      <c r="Q570" t="n">
        <v>0</v>
      </c>
      <c r="R570" s="2" t="inlineStr"/>
    </row>
    <row r="571" ht="15" customHeight="1">
      <c r="A571" t="inlineStr">
        <is>
          <t>A 33186-2025</t>
        </is>
      </c>
      <c r="B571" s="1" t="n">
        <v>45840.59474537037</v>
      </c>
      <c r="C571" s="1" t="n">
        <v>45932</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33695-2025</t>
        </is>
      </c>
      <c r="B572" s="1" t="n">
        <v>45841.70569444444</v>
      </c>
      <c r="C572" s="1" t="n">
        <v>45932</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33698-2025</t>
        </is>
      </c>
      <c r="B573" s="1" t="n">
        <v>45841.70868055556</v>
      </c>
      <c r="C573" s="1" t="n">
        <v>45932</v>
      </c>
      <c r="D573" t="inlineStr">
        <is>
          <t>KALMAR LÄN</t>
        </is>
      </c>
      <c r="E573" t="inlineStr">
        <is>
          <t>VIMMERBY</t>
        </is>
      </c>
      <c r="G573" t="n">
        <v>3.7</v>
      </c>
      <c r="H573" t="n">
        <v>0</v>
      </c>
      <c r="I573" t="n">
        <v>0</v>
      </c>
      <c r="J573" t="n">
        <v>0</v>
      </c>
      <c r="K573" t="n">
        <v>0</v>
      </c>
      <c r="L573" t="n">
        <v>0</v>
      </c>
      <c r="M573" t="n">
        <v>0</v>
      </c>
      <c r="N573" t="n">
        <v>0</v>
      </c>
      <c r="O573" t="n">
        <v>0</v>
      </c>
      <c r="P573" t="n">
        <v>0</v>
      </c>
      <c r="Q573" t="n">
        <v>0</v>
      </c>
      <c r="R573" s="2" t="inlineStr"/>
    </row>
    <row r="574" ht="15" customHeight="1">
      <c r="A574" t="inlineStr">
        <is>
          <t>A 49382-2023</t>
        </is>
      </c>
      <c r="B574" s="1" t="n">
        <v>45208</v>
      </c>
      <c r="C574" s="1" t="n">
        <v>45932</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12810-2023</t>
        </is>
      </c>
      <c r="B575" s="1" t="n">
        <v>45001.43854166667</v>
      </c>
      <c r="C575" s="1" t="n">
        <v>45932</v>
      </c>
      <c r="D575" t="inlineStr">
        <is>
          <t>KALMAR LÄN</t>
        </is>
      </c>
      <c r="E575" t="inlineStr">
        <is>
          <t>VIMMERBY</t>
        </is>
      </c>
      <c r="G575" t="n">
        <v>1.5</v>
      </c>
      <c r="H575" t="n">
        <v>0</v>
      </c>
      <c r="I575" t="n">
        <v>0</v>
      </c>
      <c r="J575" t="n">
        <v>0</v>
      </c>
      <c r="K575" t="n">
        <v>0</v>
      </c>
      <c r="L575" t="n">
        <v>0</v>
      </c>
      <c r="M575" t="n">
        <v>0</v>
      </c>
      <c r="N575" t="n">
        <v>0</v>
      </c>
      <c r="O575" t="n">
        <v>0</v>
      </c>
      <c r="P575" t="n">
        <v>0</v>
      </c>
      <c r="Q575" t="n">
        <v>0</v>
      </c>
      <c r="R575" s="2" t="inlineStr"/>
    </row>
    <row r="576" ht="15" customHeight="1">
      <c r="A576" t="inlineStr">
        <is>
          <t>A 3425-2022</t>
        </is>
      </c>
      <c r="B576" s="1" t="n">
        <v>44585.51060185185</v>
      </c>
      <c r="C576" s="1" t="n">
        <v>45932</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60675-2023</t>
        </is>
      </c>
      <c r="B577" s="1" t="n">
        <v>45260.4716550926</v>
      </c>
      <c r="C577" s="1" t="n">
        <v>45932</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2536-2023</t>
        </is>
      </c>
      <c r="B578" s="1" t="n">
        <v>44943.62954861111</v>
      </c>
      <c r="C578" s="1" t="n">
        <v>45932</v>
      </c>
      <c r="D578" t="inlineStr">
        <is>
          <t>KALMAR LÄN</t>
        </is>
      </c>
      <c r="E578" t="inlineStr">
        <is>
          <t>VIMMERBY</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30977-2025</t>
        </is>
      </c>
      <c r="B579" s="1" t="n">
        <v>45832.46649305556</v>
      </c>
      <c r="C579" s="1" t="n">
        <v>45932</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11141-2024</t>
        </is>
      </c>
      <c r="B580" s="1" t="n">
        <v>45371.45865740741</v>
      </c>
      <c r="C580" s="1" t="n">
        <v>45932</v>
      </c>
      <c r="D580" t="inlineStr">
        <is>
          <t>KALMAR LÄN</t>
        </is>
      </c>
      <c r="E580" t="inlineStr">
        <is>
          <t>VIMMERBY</t>
        </is>
      </c>
      <c r="G580" t="n">
        <v>0.7</v>
      </c>
      <c r="H580" t="n">
        <v>0</v>
      </c>
      <c r="I580" t="n">
        <v>0</v>
      </c>
      <c r="J580" t="n">
        <v>0</v>
      </c>
      <c r="K580" t="n">
        <v>0</v>
      </c>
      <c r="L580" t="n">
        <v>0</v>
      </c>
      <c r="M580" t="n">
        <v>0</v>
      </c>
      <c r="N580" t="n">
        <v>0</v>
      </c>
      <c r="O580" t="n">
        <v>0</v>
      </c>
      <c r="P580" t="n">
        <v>0</v>
      </c>
      <c r="Q580" t="n">
        <v>0</v>
      </c>
      <c r="R580" s="2" t="inlineStr"/>
    </row>
    <row r="581" ht="15" customHeight="1">
      <c r="A581" t="inlineStr">
        <is>
          <t>A 28395-2023</t>
        </is>
      </c>
      <c r="B581" s="1" t="n">
        <v>45100.4062962963</v>
      </c>
      <c r="C581" s="1" t="n">
        <v>45932</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33696-2025</t>
        </is>
      </c>
      <c r="B582" s="1" t="n">
        <v>45841.7072337963</v>
      </c>
      <c r="C582" s="1" t="n">
        <v>45932</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11111-2024</t>
        </is>
      </c>
      <c r="B583" s="1" t="n">
        <v>45371.36359953704</v>
      </c>
      <c r="C583" s="1" t="n">
        <v>45932</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34597-2022</t>
        </is>
      </c>
      <c r="B584" s="1" t="n">
        <v>44795</v>
      </c>
      <c r="C584" s="1" t="n">
        <v>45932</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26956-2025</t>
        </is>
      </c>
      <c r="B585" s="1" t="n">
        <v>45811.45460648148</v>
      </c>
      <c r="C585" s="1" t="n">
        <v>45932</v>
      </c>
      <c r="D585" t="inlineStr">
        <is>
          <t>KALMAR LÄN</t>
        </is>
      </c>
      <c r="E585" t="inlineStr">
        <is>
          <t>VIMMERBY</t>
        </is>
      </c>
      <c r="G585" t="n">
        <v>1.1</v>
      </c>
      <c r="H585" t="n">
        <v>0</v>
      </c>
      <c r="I585" t="n">
        <v>0</v>
      </c>
      <c r="J585" t="n">
        <v>0</v>
      </c>
      <c r="K585" t="n">
        <v>0</v>
      </c>
      <c r="L585" t="n">
        <v>0</v>
      </c>
      <c r="M585" t="n">
        <v>0</v>
      </c>
      <c r="N585" t="n">
        <v>0</v>
      </c>
      <c r="O585" t="n">
        <v>0</v>
      </c>
      <c r="P585" t="n">
        <v>0</v>
      </c>
      <c r="Q585" t="n">
        <v>0</v>
      </c>
      <c r="R585" s="2" t="inlineStr"/>
    </row>
    <row r="586" ht="15" customHeight="1">
      <c r="A586" t="inlineStr">
        <is>
          <t>A 1687-2023</t>
        </is>
      </c>
      <c r="B586" s="1" t="n">
        <v>44938</v>
      </c>
      <c r="C586" s="1" t="n">
        <v>45932</v>
      </c>
      <c r="D586" t="inlineStr">
        <is>
          <t>KALMAR LÄN</t>
        </is>
      </c>
      <c r="E586" t="inlineStr">
        <is>
          <t>VIMMERBY</t>
        </is>
      </c>
      <c r="F586" t="inlineStr">
        <is>
          <t>Kommuner</t>
        </is>
      </c>
      <c r="G586" t="n">
        <v>2.5</v>
      </c>
      <c r="H586" t="n">
        <v>0</v>
      </c>
      <c r="I586" t="n">
        <v>0</v>
      </c>
      <c r="J586" t="n">
        <v>0</v>
      </c>
      <c r="K586" t="n">
        <v>0</v>
      </c>
      <c r="L586" t="n">
        <v>0</v>
      </c>
      <c r="M586" t="n">
        <v>0</v>
      </c>
      <c r="N586" t="n">
        <v>0</v>
      </c>
      <c r="O586" t="n">
        <v>0</v>
      </c>
      <c r="P586" t="n">
        <v>0</v>
      </c>
      <c r="Q586" t="n">
        <v>0</v>
      </c>
      <c r="R586" s="2" t="inlineStr"/>
    </row>
    <row r="587" ht="15" customHeight="1">
      <c r="A587" t="inlineStr">
        <is>
          <t>A 34060-2025</t>
        </is>
      </c>
      <c r="B587" s="1" t="n">
        <v>45845.42015046296</v>
      </c>
      <c r="C587" s="1" t="n">
        <v>45932</v>
      </c>
      <c r="D587" t="inlineStr">
        <is>
          <t>KALMAR LÄN</t>
        </is>
      </c>
      <c r="E587" t="inlineStr">
        <is>
          <t>VIMMERBY</t>
        </is>
      </c>
      <c r="G587" t="n">
        <v>5.7</v>
      </c>
      <c r="H587" t="n">
        <v>0</v>
      </c>
      <c r="I587" t="n">
        <v>0</v>
      </c>
      <c r="J587" t="n">
        <v>0</v>
      </c>
      <c r="K587" t="n">
        <v>0</v>
      </c>
      <c r="L587" t="n">
        <v>0</v>
      </c>
      <c r="M587" t="n">
        <v>0</v>
      </c>
      <c r="N587" t="n">
        <v>0</v>
      </c>
      <c r="O587" t="n">
        <v>0</v>
      </c>
      <c r="P587" t="n">
        <v>0</v>
      </c>
      <c r="Q587" t="n">
        <v>0</v>
      </c>
      <c r="R587" s="2" t="inlineStr"/>
    </row>
    <row r="588" ht="15" customHeight="1">
      <c r="A588" t="inlineStr">
        <is>
          <t>A 34071-2025</t>
        </is>
      </c>
      <c r="B588" s="1" t="n">
        <v>45845.43803240741</v>
      </c>
      <c r="C588" s="1" t="n">
        <v>45932</v>
      </c>
      <c r="D588" t="inlineStr">
        <is>
          <t>KALMAR LÄN</t>
        </is>
      </c>
      <c r="E588" t="inlineStr">
        <is>
          <t>VIMMERBY</t>
        </is>
      </c>
      <c r="G588" t="n">
        <v>6.8</v>
      </c>
      <c r="H588" t="n">
        <v>0</v>
      </c>
      <c r="I588" t="n">
        <v>0</v>
      </c>
      <c r="J588" t="n">
        <v>0</v>
      </c>
      <c r="K588" t="n">
        <v>0</v>
      </c>
      <c r="L588" t="n">
        <v>0</v>
      </c>
      <c r="M588" t="n">
        <v>0</v>
      </c>
      <c r="N588" t="n">
        <v>0</v>
      </c>
      <c r="O588" t="n">
        <v>0</v>
      </c>
      <c r="P588" t="n">
        <v>0</v>
      </c>
      <c r="Q588" t="n">
        <v>0</v>
      </c>
      <c r="R588" s="2" t="inlineStr"/>
    </row>
    <row r="589" ht="15" customHeight="1">
      <c r="A589" t="inlineStr">
        <is>
          <t>A 34106-2025</t>
        </is>
      </c>
      <c r="B589" s="1" t="n">
        <v>45845.49414351852</v>
      </c>
      <c r="C589" s="1" t="n">
        <v>45932</v>
      </c>
      <c r="D589" t="inlineStr">
        <is>
          <t>KALMAR LÄN</t>
        </is>
      </c>
      <c r="E589" t="inlineStr">
        <is>
          <t>VIMMERBY</t>
        </is>
      </c>
      <c r="G589" t="n">
        <v>6</v>
      </c>
      <c r="H589" t="n">
        <v>0</v>
      </c>
      <c r="I589" t="n">
        <v>0</v>
      </c>
      <c r="J589" t="n">
        <v>0</v>
      </c>
      <c r="K589" t="n">
        <v>0</v>
      </c>
      <c r="L589" t="n">
        <v>0</v>
      </c>
      <c r="M589" t="n">
        <v>0</v>
      </c>
      <c r="N589" t="n">
        <v>0</v>
      </c>
      <c r="O589" t="n">
        <v>0</v>
      </c>
      <c r="P589" t="n">
        <v>0</v>
      </c>
      <c r="Q589" t="n">
        <v>0</v>
      </c>
      <c r="R589" s="2" t="inlineStr"/>
    </row>
    <row r="590" ht="15" customHeight="1">
      <c r="A590" t="inlineStr">
        <is>
          <t>A 28702-2025</t>
        </is>
      </c>
      <c r="B590" s="1" t="n">
        <v>45820.03976851852</v>
      </c>
      <c r="C590" s="1" t="n">
        <v>45932</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3494-2023</t>
        </is>
      </c>
      <c r="B591" s="1" t="n">
        <v>44949</v>
      </c>
      <c r="C591" s="1" t="n">
        <v>45932</v>
      </c>
      <c r="D591" t="inlineStr">
        <is>
          <t>KALMAR LÄN</t>
        </is>
      </c>
      <c r="E591" t="inlineStr">
        <is>
          <t>VIMMERBY</t>
        </is>
      </c>
      <c r="F591" t="inlineStr">
        <is>
          <t>Kyrkan</t>
        </is>
      </c>
      <c r="G591" t="n">
        <v>0.8</v>
      </c>
      <c r="H591" t="n">
        <v>0</v>
      </c>
      <c r="I591" t="n">
        <v>0</v>
      </c>
      <c r="J591" t="n">
        <v>0</v>
      </c>
      <c r="K591" t="n">
        <v>0</v>
      </c>
      <c r="L591" t="n">
        <v>0</v>
      </c>
      <c r="M591" t="n">
        <v>0</v>
      </c>
      <c r="N591" t="n">
        <v>0</v>
      </c>
      <c r="O591" t="n">
        <v>0</v>
      </c>
      <c r="P591" t="n">
        <v>0</v>
      </c>
      <c r="Q591" t="n">
        <v>0</v>
      </c>
      <c r="R591" s="2" t="inlineStr"/>
    </row>
    <row r="592" ht="15" customHeight="1">
      <c r="A592" t="inlineStr">
        <is>
          <t>A 64428-2023</t>
        </is>
      </c>
      <c r="B592" s="1" t="n">
        <v>45280.66769675926</v>
      </c>
      <c r="C592" s="1" t="n">
        <v>45932</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30588-2023</t>
        </is>
      </c>
      <c r="B593" s="1" t="n">
        <v>45112.33599537037</v>
      </c>
      <c r="C593" s="1" t="n">
        <v>45932</v>
      </c>
      <c r="D593" t="inlineStr">
        <is>
          <t>KALMAR LÄN</t>
        </is>
      </c>
      <c r="E593" t="inlineStr">
        <is>
          <t>VIMMERBY</t>
        </is>
      </c>
      <c r="G593" t="n">
        <v>2.7</v>
      </c>
      <c r="H593" t="n">
        <v>0</v>
      </c>
      <c r="I593" t="n">
        <v>0</v>
      </c>
      <c r="J593" t="n">
        <v>0</v>
      </c>
      <c r="K593" t="n">
        <v>0</v>
      </c>
      <c r="L593" t="n">
        <v>0</v>
      </c>
      <c r="M593" t="n">
        <v>0</v>
      </c>
      <c r="N593" t="n">
        <v>0</v>
      </c>
      <c r="O593" t="n">
        <v>0</v>
      </c>
      <c r="P593" t="n">
        <v>0</v>
      </c>
      <c r="Q593" t="n">
        <v>0</v>
      </c>
      <c r="R593" s="2" t="inlineStr"/>
    </row>
    <row r="594" ht="15" customHeight="1">
      <c r="A594" t="inlineStr">
        <is>
          <t>A 30503-2023</t>
        </is>
      </c>
      <c r="B594" s="1" t="n">
        <v>45111</v>
      </c>
      <c r="C594" s="1" t="n">
        <v>45932</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15449-2023</t>
        </is>
      </c>
      <c r="B595" s="1" t="n">
        <v>45020</v>
      </c>
      <c r="C595" s="1" t="n">
        <v>45932</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43242-2024</t>
        </is>
      </c>
      <c r="B596" s="1" t="n">
        <v>45568.30189814815</v>
      </c>
      <c r="C596" s="1" t="n">
        <v>45932</v>
      </c>
      <c r="D596" t="inlineStr">
        <is>
          <t>KALMAR LÄN</t>
        </is>
      </c>
      <c r="E596" t="inlineStr">
        <is>
          <t>VIMMERBY</t>
        </is>
      </c>
      <c r="G596" t="n">
        <v>2.6</v>
      </c>
      <c r="H596" t="n">
        <v>0</v>
      </c>
      <c r="I596" t="n">
        <v>0</v>
      </c>
      <c r="J596" t="n">
        <v>0</v>
      </c>
      <c r="K596" t="n">
        <v>0</v>
      </c>
      <c r="L596" t="n">
        <v>0</v>
      </c>
      <c r="M596" t="n">
        <v>0</v>
      </c>
      <c r="N596" t="n">
        <v>0</v>
      </c>
      <c r="O596" t="n">
        <v>0</v>
      </c>
      <c r="P596" t="n">
        <v>0</v>
      </c>
      <c r="Q596" t="n">
        <v>0</v>
      </c>
      <c r="R596" s="2" t="inlineStr"/>
    </row>
    <row r="597" ht="15" customHeight="1">
      <c r="A597" t="inlineStr">
        <is>
          <t>A 61878-2020</t>
        </is>
      </c>
      <c r="B597" s="1" t="n">
        <v>44159</v>
      </c>
      <c r="C597" s="1" t="n">
        <v>45932</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34628-2025</t>
        </is>
      </c>
      <c r="B598" s="1" t="n">
        <v>45847.91280092593</v>
      </c>
      <c r="C598" s="1" t="n">
        <v>45932</v>
      </c>
      <c r="D598" t="inlineStr">
        <is>
          <t>KALMAR LÄN</t>
        </is>
      </c>
      <c r="E598" t="inlineStr">
        <is>
          <t>VIMMERBY</t>
        </is>
      </c>
      <c r="G598" t="n">
        <v>4.2</v>
      </c>
      <c r="H598" t="n">
        <v>0</v>
      </c>
      <c r="I598" t="n">
        <v>0</v>
      </c>
      <c r="J598" t="n">
        <v>0</v>
      </c>
      <c r="K598" t="n">
        <v>0</v>
      </c>
      <c r="L598" t="n">
        <v>0</v>
      </c>
      <c r="M598" t="n">
        <v>0</v>
      </c>
      <c r="N598" t="n">
        <v>0</v>
      </c>
      <c r="O598" t="n">
        <v>0</v>
      </c>
      <c r="P598" t="n">
        <v>0</v>
      </c>
      <c r="Q598" t="n">
        <v>0</v>
      </c>
      <c r="R598" s="2" t="inlineStr"/>
    </row>
    <row r="599" ht="15" customHeight="1">
      <c r="A599" t="inlineStr">
        <is>
          <t>A 56853-2022</t>
        </is>
      </c>
      <c r="B599" s="1" t="n">
        <v>44894.49538194444</v>
      </c>
      <c r="C599" s="1" t="n">
        <v>45932</v>
      </c>
      <c r="D599" t="inlineStr">
        <is>
          <t>KALMAR LÄN</t>
        </is>
      </c>
      <c r="E599" t="inlineStr">
        <is>
          <t>VIMMERBY</t>
        </is>
      </c>
      <c r="G599" t="n">
        <v>4.3</v>
      </c>
      <c r="H599" t="n">
        <v>0</v>
      </c>
      <c r="I599" t="n">
        <v>0</v>
      </c>
      <c r="J599" t="n">
        <v>0</v>
      </c>
      <c r="K599" t="n">
        <v>0</v>
      </c>
      <c r="L599" t="n">
        <v>0</v>
      </c>
      <c r="M599" t="n">
        <v>0</v>
      </c>
      <c r="N599" t="n">
        <v>0</v>
      </c>
      <c r="O599" t="n">
        <v>0</v>
      </c>
      <c r="P599" t="n">
        <v>0</v>
      </c>
      <c r="Q599" t="n">
        <v>0</v>
      </c>
      <c r="R599" s="2" t="inlineStr"/>
    </row>
    <row r="600" ht="15" customHeight="1">
      <c r="A600" t="inlineStr">
        <is>
          <t>A 39803-2025</t>
        </is>
      </c>
      <c r="B600" s="1" t="n">
        <v>45891.50525462963</v>
      </c>
      <c r="C600" s="1" t="n">
        <v>45932</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39807-2025</t>
        </is>
      </c>
      <c r="B601" s="1" t="n">
        <v>45891.50986111111</v>
      </c>
      <c r="C601" s="1" t="n">
        <v>45932</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65049-2020</t>
        </is>
      </c>
      <c r="B602" s="1" t="n">
        <v>44172</v>
      </c>
      <c r="C602" s="1" t="n">
        <v>45932</v>
      </c>
      <c r="D602" t="inlineStr">
        <is>
          <t>KALMAR LÄN</t>
        </is>
      </c>
      <c r="E602" t="inlineStr">
        <is>
          <t>VIMMERBY</t>
        </is>
      </c>
      <c r="G602" t="n">
        <v>2.3</v>
      </c>
      <c r="H602" t="n">
        <v>0</v>
      </c>
      <c r="I602" t="n">
        <v>0</v>
      </c>
      <c r="J602" t="n">
        <v>0</v>
      </c>
      <c r="K602" t="n">
        <v>0</v>
      </c>
      <c r="L602" t="n">
        <v>0</v>
      </c>
      <c r="M602" t="n">
        <v>0</v>
      </c>
      <c r="N602" t="n">
        <v>0</v>
      </c>
      <c r="O602" t="n">
        <v>0</v>
      </c>
      <c r="P602" t="n">
        <v>0</v>
      </c>
      <c r="Q602" t="n">
        <v>0</v>
      </c>
      <c r="R602" s="2" t="inlineStr"/>
    </row>
    <row r="603" ht="15" customHeight="1">
      <c r="A603" t="inlineStr">
        <is>
          <t>A 47263-2023</t>
        </is>
      </c>
      <c r="B603" s="1" t="n">
        <v>45202.4209837963</v>
      </c>
      <c r="C603" s="1" t="n">
        <v>45932</v>
      </c>
      <c r="D603" t="inlineStr">
        <is>
          <t>KALMAR LÄN</t>
        </is>
      </c>
      <c r="E603" t="inlineStr">
        <is>
          <t>VIMMERBY</t>
        </is>
      </c>
      <c r="G603" t="n">
        <v>1.8</v>
      </c>
      <c r="H603" t="n">
        <v>0</v>
      </c>
      <c r="I603" t="n">
        <v>0</v>
      </c>
      <c r="J603" t="n">
        <v>0</v>
      </c>
      <c r="K603" t="n">
        <v>0</v>
      </c>
      <c r="L603" t="n">
        <v>0</v>
      </c>
      <c r="M603" t="n">
        <v>0</v>
      </c>
      <c r="N603" t="n">
        <v>0</v>
      </c>
      <c r="O603" t="n">
        <v>0</v>
      </c>
      <c r="P603" t="n">
        <v>0</v>
      </c>
      <c r="Q603" t="n">
        <v>0</v>
      </c>
      <c r="R603" s="2" t="inlineStr"/>
    </row>
    <row r="604" ht="15" customHeight="1">
      <c r="A604" t="inlineStr">
        <is>
          <t>A 38604-2025</t>
        </is>
      </c>
      <c r="B604" s="1" t="n">
        <v>45884.50613425926</v>
      </c>
      <c r="C604" s="1" t="n">
        <v>45932</v>
      </c>
      <c r="D604" t="inlineStr">
        <is>
          <t>KALMAR LÄN</t>
        </is>
      </c>
      <c r="E604" t="inlineStr">
        <is>
          <t>VIMMERBY</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58100-2024</t>
        </is>
      </c>
      <c r="B605" s="1" t="n">
        <v>45632.36706018518</v>
      </c>
      <c r="C605" s="1" t="n">
        <v>45932</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58159-2024</t>
        </is>
      </c>
      <c r="B606" s="1" t="n">
        <v>45632.44886574074</v>
      </c>
      <c r="C606" s="1" t="n">
        <v>45932</v>
      </c>
      <c r="D606" t="inlineStr">
        <is>
          <t>KALMAR LÄN</t>
        </is>
      </c>
      <c r="E606" t="inlineStr">
        <is>
          <t>VIMMERBY</t>
        </is>
      </c>
      <c r="G606" t="n">
        <v>7.5</v>
      </c>
      <c r="H606" t="n">
        <v>0</v>
      </c>
      <c r="I606" t="n">
        <v>0</v>
      </c>
      <c r="J606" t="n">
        <v>0</v>
      </c>
      <c r="K606" t="n">
        <v>0</v>
      </c>
      <c r="L606" t="n">
        <v>0</v>
      </c>
      <c r="M606" t="n">
        <v>0</v>
      </c>
      <c r="N606" t="n">
        <v>0</v>
      </c>
      <c r="O606" t="n">
        <v>0</v>
      </c>
      <c r="P606" t="n">
        <v>0</v>
      </c>
      <c r="Q606" t="n">
        <v>0</v>
      </c>
      <c r="R606" s="2" t="inlineStr"/>
    </row>
    <row r="607" ht="15" customHeight="1">
      <c r="A607" t="inlineStr">
        <is>
          <t>A 33815-2022</t>
        </is>
      </c>
      <c r="B607" s="1" t="n">
        <v>44790.45876157407</v>
      </c>
      <c r="C607" s="1" t="n">
        <v>45932</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33842-2022</t>
        </is>
      </c>
      <c r="B608" s="1" t="n">
        <v>44790.49523148148</v>
      </c>
      <c r="C608" s="1" t="n">
        <v>45932</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57114-2023</t>
        </is>
      </c>
      <c r="B609" s="1" t="n">
        <v>45245.36174768519</v>
      </c>
      <c r="C609" s="1" t="n">
        <v>45932</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3423-2022</t>
        </is>
      </c>
      <c r="B610" s="1" t="n">
        <v>44585.50431712963</v>
      </c>
      <c r="C610" s="1" t="n">
        <v>45932</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39736-2025</t>
        </is>
      </c>
      <c r="B611" s="1" t="n">
        <v>45891</v>
      </c>
      <c r="C611" s="1" t="n">
        <v>45932</v>
      </c>
      <c r="D611" t="inlineStr">
        <is>
          <t>KALMAR LÄN</t>
        </is>
      </c>
      <c r="E611" t="inlineStr">
        <is>
          <t>VIMMERBY</t>
        </is>
      </c>
      <c r="G611" t="n">
        <v>12.8</v>
      </c>
      <c r="H611" t="n">
        <v>0</v>
      </c>
      <c r="I611" t="n">
        <v>0</v>
      </c>
      <c r="J611" t="n">
        <v>0</v>
      </c>
      <c r="K611" t="n">
        <v>0</v>
      </c>
      <c r="L611" t="n">
        <v>0</v>
      </c>
      <c r="M611" t="n">
        <v>0</v>
      </c>
      <c r="N611" t="n">
        <v>0</v>
      </c>
      <c r="O611" t="n">
        <v>0</v>
      </c>
      <c r="P611" t="n">
        <v>0</v>
      </c>
      <c r="Q611" t="n">
        <v>0</v>
      </c>
      <c r="R611" s="2" t="inlineStr"/>
    </row>
    <row r="612" ht="15" customHeight="1">
      <c r="A612" t="inlineStr">
        <is>
          <t>A 39801-2025</t>
        </is>
      </c>
      <c r="B612" s="1" t="n">
        <v>45891.50216435185</v>
      </c>
      <c r="C612" s="1" t="n">
        <v>45932</v>
      </c>
      <c r="D612" t="inlineStr">
        <is>
          <t>KALMAR LÄN</t>
        </is>
      </c>
      <c r="E612" t="inlineStr">
        <is>
          <t>VIMMERBY</t>
        </is>
      </c>
      <c r="G612" t="n">
        <v>2</v>
      </c>
      <c r="H612" t="n">
        <v>0</v>
      </c>
      <c r="I612" t="n">
        <v>0</v>
      </c>
      <c r="J612" t="n">
        <v>0</v>
      </c>
      <c r="K612" t="n">
        <v>0</v>
      </c>
      <c r="L612" t="n">
        <v>0</v>
      </c>
      <c r="M612" t="n">
        <v>0</v>
      </c>
      <c r="N612" t="n">
        <v>0</v>
      </c>
      <c r="O612" t="n">
        <v>0</v>
      </c>
      <c r="P612" t="n">
        <v>0</v>
      </c>
      <c r="Q612" t="n">
        <v>0</v>
      </c>
      <c r="R612" s="2" t="inlineStr"/>
    </row>
    <row r="613" ht="15" customHeight="1">
      <c r="A613" t="inlineStr">
        <is>
          <t>A 40665-2023</t>
        </is>
      </c>
      <c r="B613" s="1" t="n">
        <v>45170</v>
      </c>
      <c r="C613" s="1" t="n">
        <v>45932</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49408-2023</t>
        </is>
      </c>
      <c r="B614" s="1" t="n">
        <v>45211.43555555555</v>
      </c>
      <c r="C614" s="1" t="n">
        <v>45932</v>
      </c>
      <c r="D614" t="inlineStr">
        <is>
          <t>KALMAR LÄN</t>
        </is>
      </c>
      <c r="E614" t="inlineStr">
        <is>
          <t>VIMMERBY</t>
        </is>
      </c>
      <c r="G614" t="n">
        <v>13.1</v>
      </c>
      <c r="H614" t="n">
        <v>0</v>
      </c>
      <c r="I614" t="n">
        <v>0</v>
      </c>
      <c r="J614" t="n">
        <v>0</v>
      </c>
      <c r="K614" t="n">
        <v>0</v>
      </c>
      <c r="L614" t="n">
        <v>0</v>
      </c>
      <c r="M614" t="n">
        <v>0</v>
      </c>
      <c r="N614" t="n">
        <v>0</v>
      </c>
      <c r="O614" t="n">
        <v>0</v>
      </c>
      <c r="P614" t="n">
        <v>0</v>
      </c>
      <c r="Q614" t="n">
        <v>0</v>
      </c>
      <c r="R614" s="2" t="inlineStr"/>
    </row>
    <row r="615" ht="15" customHeight="1">
      <c r="A615" t="inlineStr">
        <is>
          <t>A 56536-2022</t>
        </is>
      </c>
      <c r="B615" s="1" t="n">
        <v>44893</v>
      </c>
      <c r="C615" s="1" t="n">
        <v>45932</v>
      </c>
      <c r="D615" t="inlineStr">
        <is>
          <t>KALMAR LÄN</t>
        </is>
      </c>
      <c r="E615" t="inlineStr">
        <is>
          <t>VIMMERBY</t>
        </is>
      </c>
      <c r="G615" t="n">
        <v>3.2</v>
      </c>
      <c r="H615" t="n">
        <v>0</v>
      </c>
      <c r="I615" t="n">
        <v>0</v>
      </c>
      <c r="J615" t="n">
        <v>0</v>
      </c>
      <c r="K615" t="n">
        <v>0</v>
      </c>
      <c r="L615" t="n">
        <v>0</v>
      </c>
      <c r="M615" t="n">
        <v>0</v>
      </c>
      <c r="N615" t="n">
        <v>0</v>
      </c>
      <c r="O615" t="n">
        <v>0</v>
      </c>
      <c r="P615" t="n">
        <v>0</v>
      </c>
      <c r="Q615" t="n">
        <v>0</v>
      </c>
      <c r="R615" s="2" t="inlineStr"/>
    </row>
    <row r="616" ht="15" customHeight="1">
      <c r="A616" t="inlineStr">
        <is>
          <t>A 41199-2023</t>
        </is>
      </c>
      <c r="B616" s="1" t="n">
        <v>45174.40454861111</v>
      </c>
      <c r="C616" s="1" t="n">
        <v>45932</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8945-2025</t>
        </is>
      </c>
      <c r="B617" s="1" t="n">
        <v>45713.45311342592</v>
      </c>
      <c r="C617" s="1" t="n">
        <v>45932</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39889-2025</t>
        </is>
      </c>
      <c r="B618" s="1" t="n">
        <v>45891</v>
      </c>
      <c r="C618" s="1" t="n">
        <v>45932</v>
      </c>
      <c r="D618" t="inlineStr">
        <is>
          <t>KALMAR LÄN</t>
        </is>
      </c>
      <c r="E618" t="inlineStr">
        <is>
          <t>VIMMERBY</t>
        </is>
      </c>
      <c r="G618" t="n">
        <v>4.5</v>
      </c>
      <c r="H618" t="n">
        <v>0</v>
      </c>
      <c r="I618" t="n">
        <v>0</v>
      </c>
      <c r="J618" t="n">
        <v>0</v>
      </c>
      <c r="K618" t="n">
        <v>0</v>
      </c>
      <c r="L618" t="n">
        <v>0</v>
      </c>
      <c r="M618" t="n">
        <v>0</v>
      </c>
      <c r="N618" t="n">
        <v>0</v>
      </c>
      <c r="O618" t="n">
        <v>0</v>
      </c>
      <c r="P618" t="n">
        <v>0</v>
      </c>
      <c r="Q618" t="n">
        <v>0</v>
      </c>
      <c r="R618" s="2" t="inlineStr"/>
    </row>
    <row r="619" ht="15" customHeight="1">
      <c r="A619" t="inlineStr">
        <is>
          <t>A 11619-2023</t>
        </is>
      </c>
      <c r="B619" s="1" t="n">
        <v>44994.42113425926</v>
      </c>
      <c r="C619" s="1" t="n">
        <v>45932</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40925-2025</t>
        </is>
      </c>
      <c r="B620" s="1" t="n">
        <v>45897.64208333333</v>
      </c>
      <c r="C620" s="1" t="n">
        <v>45932</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41896-2023</t>
        </is>
      </c>
      <c r="B621" s="1" t="n">
        <v>45176.72427083334</v>
      </c>
      <c r="C621" s="1" t="n">
        <v>45932</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40973-2025</t>
        </is>
      </c>
      <c r="B622" s="1" t="n">
        <v>45897.89737268518</v>
      </c>
      <c r="C622" s="1" t="n">
        <v>45932</v>
      </c>
      <c r="D622" t="inlineStr">
        <is>
          <t>KALMAR LÄN</t>
        </is>
      </c>
      <c r="E622" t="inlineStr">
        <is>
          <t>VIMMERBY</t>
        </is>
      </c>
      <c r="G622" t="n">
        <v>1.8</v>
      </c>
      <c r="H622" t="n">
        <v>0</v>
      </c>
      <c r="I622" t="n">
        <v>0</v>
      </c>
      <c r="J622" t="n">
        <v>0</v>
      </c>
      <c r="K622" t="n">
        <v>0</v>
      </c>
      <c r="L622" t="n">
        <v>0</v>
      </c>
      <c r="M622" t="n">
        <v>0</v>
      </c>
      <c r="N622" t="n">
        <v>0</v>
      </c>
      <c r="O622" t="n">
        <v>0</v>
      </c>
      <c r="P622" t="n">
        <v>0</v>
      </c>
      <c r="Q622" t="n">
        <v>0</v>
      </c>
      <c r="R622" s="2" t="inlineStr"/>
    </row>
    <row r="623" ht="15" customHeight="1">
      <c r="A623" t="inlineStr">
        <is>
          <t>A 35270-2025</t>
        </is>
      </c>
      <c r="B623" s="1" t="n">
        <v>45853.87112268519</v>
      </c>
      <c r="C623" s="1" t="n">
        <v>45932</v>
      </c>
      <c r="D623" t="inlineStr">
        <is>
          <t>KALMAR LÄN</t>
        </is>
      </c>
      <c r="E623" t="inlineStr">
        <is>
          <t>VIMMERBY</t>
        </is>
      </c>
      <c r="G623" t="n">
        <v>2.4</v>
      </c>
      <c r="H623" t="n">
        <v>0</v>
      </c>
      <c r="I623" t="n">
        <v>0</v>
      </c>
      <c r="J623" t="n">
        <v>0</v>
      </c>
      <c r="K623" t="n">
        <v>0</v>
      </c>
      <c r="L623" t="n">
        <v>0</v>
      </c>
      <c r="M623" t="n">
        <v>0</v>
      </c>
      <c r="N623" t="n">
        <v>0</v>
      </c>
      <c r="O623" t="n">
        <v>0</v>
      </c>
      <c r="P623" t="n">
        <v>0</v>
      </c>
      <c r="Q623" t="n">
        <v>0</v>
      </c>
      <c r="R623" s="2" t="inlineStr"/>
    </row>
    <row r="624" ht="15" customHeight="1">
      <c r="A624" t="inlineStr">
        <is>
          <t>A 35271-2025</t>
        </is>
      </c>
      <c r="B624" s="1" t="n">
        <v>45853.87599537037</v>
      </c>
      <c r="C624" s="1" t="n">
        <v>45932</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35272-2025</t>
        </is>
      </c>
      <c r="B625" s="1" t="n">
        <v>45853.88070601852</v>
      </c>
      <c r="C625" s="1" t="n">
        <v>45932</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50860-2022</t>
        </is>
      </c>
      <c r="B626" s="1" t="n">
        <v>44867</v>
      </c>
      <c r="C626" s="1" t="n">
        <v>45932</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40971-2025</t>
        </is>
      </c>
      <c r="B627" s="1" t="n">
        <v>45897.88836805556</v>
      </c>
      <c r="C627" s="1" t="n">
        <v>45932</v>
      </c>
      <c r="D627" t="inlineStr">
        <is>
          <t>KALMAR LÄN</t>
        </is>
      </c>
      <c r="E627" t="inlineStr">
        <is>
          <t>VIMMERBY</t>
        </is>
      </c>
      <c r="G627" t="n">
        <v>1.5</v>
      </c>
      <c r="H627" t="n">
        <v>0</v>
      </c>
      <c r="I627" t="n">
        <v>0</v>
      </c>
      <c r="J627" t="n">
        <v>0</v>
      </c>
      <c r="K627" t="n">
        <v>0</v>
      </c>
      <c r="L627" t="n">
        <v>0</v>
      </c>
      <c r="M627" t="n">
        <v>0</v>
      </c>
      <c r="N627" t="n">
        <v>0</v>
      </c>
      <c r="O627" t="n">
        <v>0</v>
      </c>
      <c r="P627" t="n">
        <v>0</v>
      </c>
      <c r="Q627" t="n">
        <v>0</v>
      </c>
      <c r="R627" s="2" t="inlineStr"/>
    </row>
    <row r="628" ht="15" customHeight="1">
      <c r="A628" t="inlineStr">
        <is>
          <t>A 25370-2022</t>
        </is>
      </c>
      <c r="B628" s="1" t="n">
        <v>44732.3659837963</v>
      </c>
      <c r="C628" s="1" t="n">
        <v>45932</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40970-2025</t>
        </is>
      </c>
      <c r="B629" s="1" t="n">
        <v>45897.88706018519</v>
      </c>
      <c r="C629" s="1" t="n">
        <v>45932</v>
      </c>
      <c r="D629" t="inlineStr">
        <is>
          <t>KALMAR LÄN</t>
        </is>
      </c>
      <c r="E629" t="inlineStr">
        <is>
          <t>VIMMERBY</t>
        </is>
      </c>
      <c r="G629" t="n">
        <v>1</v>
      </c>
      <c r="H629" t="n">
        <v>0</v>
      </c>
      <c r="I629" t="n">
        <v>0</v>
      </c>
      <c r="J629" t="n">
        <v>0</v>
      </c>
      <c r="K629" t="n">
        <v>0</v>
      </c>
      <c r="L629" t="n">
        <v>0</v>
      </c>
      <c r="M629" t="n">
        <v>0</v>
      </c>
      <c r="N629" t="n">
        <v>0</v>
      </c>
      <c r="O629" t="n">
        <v>0</v>
      </c>
      <c r="P629" t="n">
        <v>0</v>
      </c>
      <c r="Q629" t="n">
        <v>0</v>
      </c>
      <c r="R629" s="2" t="inlineStr"/>
    </row>
    <row r="630" ht="15" customHeight="1">
      <c r="A630" t="inlineStr">
        <is>
          <t>A 17926-2025</t>
        </is>
      </c>
      <c r="B630" s="1" t="n">
        <v>45759.38987268518</v>
      </c>
      <c r="C630" s="1" t="n">
        <v>45932</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40921-2025</t>
        </is>
      </c>
      <c r="B631" s="1" t="n">
        <v>45897.63520833333</v>
      </c>
      <c r="C631" s="1" t="n">
        <v>45932</v>
      </c>
      <c r="D631" t="inlineStr">
        <is>
          <t>KALMAR LÄN</t>
        </is>
      </c>
      <c r="E631" t="inlineStr">
        <is>
          <t>VIMMERBY</t>
        </is>
      </c>
      <c r="G631" t="n">
        <v>4.2</v>
      </c>
      <c r="H631" t="n">
        <v>0</v>
      </c>
      <c r="I631" t="n">
        <v>0</v>
      </c>
      <c r="J631" t="n">
        <v>0</v>
      </c>
      <c r="K631" t="n">
        <v>0</v>
      </c>
      <c r="L631" t="n">
        <v>0</v>
      </c>
      <c r="M631" t="n">
        <v>0</v>
      </c>
      <c r="N631" t="n">
        <v>0</v>
      </c>
      <c r="O631" t="n">
        <v>0</v>
      </c>
      <c r="P631" t="n">
        <v>0</v>
      </c>
      <c r="Q631" t="n">
        <v>0</v>
      </c>
      <c r="R631" s="2" t="inlineStr"/>
    </row>
    <row r="632" ht="15" customHeight="1">
      <c r="A632" t="inlineStr">
        <is>
          <t>A 16953-2025</t>
        </is>
      </c>
      <c r="B632" s="1" t="n">
        <v>45755.44333333334</v>
      </c>
      <c r="C632" s="1" t="n">
        <v>45932</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35596-2025</t>
        </is>
      </c>
      <c r="B633" s="1" t="n">
        <v>45858.60641203704</v>
      </c>
      <c r="C633" s="1" t="n">
        <v>45932</v>
      </c>
      <c r="D633" t="inlineStr">
        <is>
          <t>KALMAR LÄN</t>
        </is>
      </c>
      <c r="E633" t="inlineStr">
        <is>
          <t>VIMMERBY</t>
        </is>
      </c>
      <c r="G633" t="n">
        <v>2.8</v>
      </c>
      <c r="H633" t="n">
        <v>0</v>
      </c>
      <c r="I633" t="n">
        <v>0</v>
      </c>
      <c r="J633" t="n">
        <v>0</v>
      </c>
      <c r="K633" t="n">
        <v>0</v>
      </c>
      <c r="L633" t="n">
        <v>0</v>
      </c>
      <c r="M633" t="n">
        <v>0</v>
      </c>
      <c r="N633" t="n">
        <v>0</v>
      </c>
      <c r="O633" t="n">
        <v>0</v>
      </c>
      <c r="P633" t="n">
        <v>0</v>
      </c>
      <c r="Q633" t="n">
        <v>0</v>
      </c>
      <c r="R633" s="2" t="inlineStr"/>
    </row>
    <row r="634" ht="15" customHeight="1">
      <c r="A634" t="inlineStr">
        <is>
          <t>A 41589-2025</t>
        </is>
      </c>
      <c r="B634" s="1" t="n">
        <v>45901.63219907408</v>
      </c>
      <c r="C634" s="1" t="n">
        <v>45932</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41591-2025</t>
        </is>
      </c>
      <c r="B635" s="1" t="n">
        <v>45901.6327662037</v>
      </c>
      <c r="C635" s="1" t="n">
        <v>45932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58577-2024</t>
        </is>
      </c>
      <c r="B636" s="1" t="n">
        <v>45635.4874537037</v>
      </c>
      <c r="C636" s="1" t="n">
        <v>45932</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21028-2023</t>
        </is>
      </c>
      <c r="B637" s="1" t="n">
        <v>45061</v>
      </c>
      <c r="C637" s="1" t="n">
        <v>45932</v>
      </c>
      <c r="D637" t="inlineStr">
        <is>
          <t>KALMAR LÄN</t>
        </is>
      </c>
      <c r="E637" t="inlineStr">
        <is>
          <t>VIMMERBY</t>
        </is>
      </c>
      <c r="F637" t="inlineStr">
        <is>
          <t>Övriga Aktiebolag</t>
        </is>
      </c>
      <c r="G637" t="n">
        <v>0.7</v>
      </c>
      <c r="H637" t="n">
        <v>0</v>
      </c>
      <c r="I637" t="n">
        <v>0</v>
      </c>
      <c r="J637" t="n">
        <v>0</v>
      </c>
      <c r="K637" t="n">
        <v>0</v>
      </c>
      <c r="L637" t="n">
        <v>0</v>
      </c>
      <c r="M637" t="n">
        <v>0</v>
      </c>
      <c r="N637" t="n">
        <v>0</v>
      </c>
      <c r="O637" t="n">
        <v>0</v>
      </c>
      <c r="P637" t="n">
        <v>0</v>
      </c>
      <c r="Q637" t="n">
        <v>0</v>
      </c>
      <c r="R637" s="2" t="inlineStr"/>
    </row>
    <row r="638" ht="15" customHeight="1">
      <c r="A638" t="inlineStr">
        <is>
          <t>A 35597-2025</t>
        </is>
      </c>
      <c r="B638" s="1" t="n">
        <v>45858.66019675926</v>
      </c>
      <c r="C638" s="1" t="n">
        <v>45932</v>
      </c>
      <c r="D638" t="inlineStr">
        <is>
          <t>KALMAR LÄN</t>
        </is>
      </c>
      <c r="E638" t="inlineStr">
        <is>
          <t>VIMMERBY</t>
        </is>
      </c>
      <c r="G638" t="n">
        <v>6.4</v>
      </c>
      <c r="H638" t="n">
        <v>0</v>
      </c>
      <c r="I638" t="n">
        <v>0</v>
      </c>
      <c r="J638" t="n">
        <v>0</v>
      </c>
      <c r="K638" t="n">
        <v>0</v>
      </c>
      <c r="L638" t="n">
        <v>0</v>
      </c>
      <c r="M638" t="n">
        <v>0</v>
      </c>
      <c r="N638" t="n">
        <v>0</v>
      </c>
      <c r="O638" t="n">
        <v>0</v>
      </c>
      <c r="P638" t="n">
        <v>0</v>
      </c>
      <c r="Q638" t="n">
        <v>0</v>
      </c>
      <c r="R638" s="2" t="inlineStr"/>
    </row>
    <row r="639" ht="15" customHeight="1">
      <c r="A639" t="inlineStr">
        <is>
          <t>A 29440-2024</t>
        </is>
      </c>
      <c r="B639" s="1" t="n">
        <v>45483.82479166667</v>
      </c>
      <c r="C639" s="1" t="n">
        <v>45932</v>
      </c>
      <c r="D639" t="inlineStr">
        <is>
          <t>KALMAR LÄN</t>
        </is>
      </c>
      <c r="E639" t="inlineStr">
        <is>
          <t>VIMMERBY</t>
        </is>
      </c>
      <c r="G639" t="n">
        <v>4.5</v>
      </c>
      <c r="H639" t="n">
        <v>0</v>
      </c>
      <c r="I639" t="n">
        <v>0</v>
      </c>
      <c r="J639" t="n">
        <v>0</v>
      </c>
      <c r="K639" t="n">
        <v>0</v>
      </c>
      <c r="L639" t="n">
        <v>0</v>
      </c>
      <c r="M639" t="n">
        <v>0</v>
      </c>
      <c r="N639" t="n">
        <v>0</v>
      </c>
      <c r="O639" t="n">
        <v>0</v>
      </c>
      <c r="P639" t="n">
        <v>0</v>
      </c>
      <c r="Q639" t="n">
        <v>0</v>
      </c>
      <c r="R639" s="2" t="inlineStr"/>
    </row>
    <row r="640" ht="15" customHeight="1">
      <c r="A640" t="inlineStr">
        <is>
          <t>A 19445-2021</t>
        </is>
      </c>
      <c r="B640" s="1" t="n">
        <v>44310</v>
      </c>
      <c r="C640" s="1" t="n">
        <v>45932</v>
      </c>
      <c r="D640" t="inlineStr">
        <is>
          <t>KALMAR LÄN</t>
        </is>
      </c>
      <c r="E640" t="inlineStr">
        <is>
          <t>VIMMERBY</t>
        </is>
      </c>
      <c r="G640" t="n">
        <v>6.8</v>
      </c>
      <c r="H640" t="n">
        <v>0</v>
      </c>
      <c r="I640" t="n">
        <v>0</v>
      </c>
      <c r="J640" t="n">
        <v>0</v>
      </c>
      <c r="K640" t="n">
        <v>0</v>
      </c>
      <c r="L640" t="n">
        <v>0</v>
      </c>
      <c r="M640" t="n">
        <v>0</v>
      </c>
      <c r="N640" t="n">
        <v>0</v>
      </c>
      <c r="O640" t="n">
        <v>0</v>
      </c>
      <c r="P640" t="n">
        <v>0</v>
      </c>
      <c r="Q640" t="n">
        <v>0</v>
      </c>
      <c r="R640" s="2" t="inlineStr"/>
    </row>
    <row r="641" ht="15" customHeight="1">
      <c r="A641" t="inlineStr">
        <is>
          <t>A 27122-2023</t>
        </is>
      </c>
      <c r="B641" s="1" t="n">
        <v>45096.45247685185</v>
      </c>
      <c r="C641" s="1" t="n">
        <v>45932</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13813-2024</t>
        </is>
      </c>
      <c r="B642" s="1" t="n">
        <v>45391.41310185185</v>
      </c>
      <c r="C642" s="1" t="n">
        <v>45932</v>
      </c>
      <c r="D642" t="inlineStr">
        <is>
          <t>KALMAR LÄN</t>
        </is>
      </c>
      <c r="E642" t="inlineStr">
        <is>
          <t>VIMMERBY</t>
        </is>
      </c>
      <c r="G642" t="n">
        <v>0.4</v>
      </c>
      <c r="H642" t="n">
        <v>0</v>
      </c>
      <c r="I642" t="n">
        <v>0</v>
      </c>
      <c r="J642" t="n">
        <v>0</v>
      </c>
      <c r="K642" t="n">
        <v>0</v>
      </c>
      <c r="L642" t="n">
        <v>0</v>
      </c>
      <c r="M642" t="n">
        <v>0</v>
      </c>
      <c r="N642" t="n">
        <v>0</v>
      </c>
      <c r="O642" t="n">
        <v>0</v>
      </c>
      <c r="P642" t="n">
        <v>0</v>
      </c>
      <c r="Q642" t="n">
        <v>0</v>
      </c>
      <c r="R642" s="2" t="inlineStr"/>
    </row>
    <row r="643" ht="15" customHeight="1">
      <c r="A643" t="inlineStr">
        <is>
          <t>A 38969-2023</t>
        </is>
      </c>
      <c r="B643" s="1" t="n">
        <v>45163.63621527778</v>
      </c>
      <c r="C643" s="1" t="n">
        <v>45932</v>
      </c>
      <c r="D643" t="inlineStr">
        <is>
          <t>KALMAR LÄN</t>
        </is>
      </c>
      <c r="E643" t="inlineStr">
        <is>
          <t>VIMMERBY</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46887-2025</t>
        </is>
      </c>
      <c r="B644" s="1" t="n">
        <v>45929.3672337963</v>
      </c>
      <c r="C644" s="1" t="n">
        <v>45932</v>
      </c>
      <c r="D644" t="inlineStr">
        <is>
          <t>KALMAR LÄN</t>
        </is>
      </c>
      <c r="E644" t="inlineStr">
        <is>
          <t>VIMMERBY</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26937-2023</t>
        </is>
      </c>
      <c r="B645" s="1" t="n">
        <v>45093.62777777778</v>
      </c>
      <c r="C645" s="1" t="n">
        <v>45932</v>
      </c>
      <c r="D645" t="inlineStr">
        <is>
          <t>KALMAR LÄN</t>
        </is>
      </c>
      <c r="E645" t="inlineStr">
        <is>
          <t>VIMMERBY</t>
        </is>
      </c>
      <c r="F645" t="inlineStr">
        <is>
          <t>Sveaskog</t>
        </is>
      </c>
      <c r="G645" t="n">
        <v>14.5</v>
      </c>
      <c r="H645" t="n">
        <v>0</v>
      </c>
      <c r="I645" t="n">
        <v>0</v>
      </c>
      <c r="J645" t="n">
        <v>0</v>
      </c>
      <c r="K645" t="n">
        <v>0</v>
      </c>
      <c r="L645" t="n">
        <v>0</v>
      </c>
      <c r="M645" t="n">
        <v>0</v>
      </c>
      <c r="N645" t="n">
        <v>0</v>
      </c>
      <c r="O645" t="n">
        <v>0</v>
      </c>
      <c r="P645" t="n">
        <v>0</v>
      </c>
      <c r="Q645" t="n">
        <v>0</v>
      </c>
      <c r="R645" s="2" t="inlineStr"/>
    </row>
    <row r="646" ht="15" customHeight="1">
      <c r="A646" t="inlineStr">
        <is>
          <t>A 57486-2024</t>
        </is>
      </c>
      <c r="B646" s="1" t="n">
        <v>45630.35827546296</v>
      </c>
      <c r="C646" s="1" t="n">
        <v>45932</v>
      </c>
      <c r="D646" t="inlineStr">
        <is>
          <t>KALMAR LÄN</t>
        </is>
      </c>
      <c r="E646" t="inlineStr">
        <is>
          <t>VIMMERBY</t>
        </is>
      </c>
      <c r="G646" t="n">
        <v>0.4</v>
      </c>
      <c r="H646" t="n">
        <v>0</v>
      </c>
      <c r="I646" t="n">
        <v>0</v>
      </c>
      <c r="J646" t="n">
        <v>0</v>
      </c>
      <c r="K646" t="n">
        <v>0</v>
      </c>
      <c r="L646" t="n">
        <v>0</v>
      </c>
      <c r="M646" t="n">
        <v>0</v>
      </c>
      <c r="N646" t="n">
        <v>0</v>
      </c>
      <c r="O646" t="n">
        <v>0</v>
      </c>
      <c r="P646" t="n">
        <v>0</v>
      </c>
      <c r="Q646" t="n">
        <v>0</v>
      </c>
      <c r="R646" s="2" t="inlineStr"/>
    </row>
    <row r="647" ht="15" customHeight="1">
      <c r="A647" t="inlineStr">
        <is>
          <t>A 41224-2025</t>
        </is>
      </c>
      <c r="B647" s="1" t="n">
        <v>45898.58861111111</v>
      </c>
      <c r="C647" s="1" t="n">
        <v>45932</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43186-2021</t>
        </is>
      </c>
      <c r="B648" s="1" t="n">
        <v>44431.84840277778</v>
      </c>
      <c r="C648" s="1" t="n">
        <v>45932</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1799-2025</t>
        </is>
      </c>
      <c r="B649" s="1" t="n">
        <v>45671.46746527778</v>
      </c>
      <c r="C649" s="1" t="n">
        <v>45932</v>
      </c>
      <c r="D649" t="inlineStr">
        <is>
          <t>KALMAR LÄN</t>
        </is>
      </c>
      <c r="E649" t="inlineStr">
        <is>
          <t>VIMMERBY</t>
        </is>
      </c>
      <c r="G649" t="n">
        <v>3.3</v>
      </c>
      <c r="H649" t="n">
        <v>0</v>
      </c>
      <c r="I649" t="n">
        <v>0</v>
      </c>
      <c r="J649" t="n">
        <v>0</v>
      </c>
      <c r="K649" t="n">
        <v>0</v>
      </c>
      <c r="L649" t="n">
        <v>0</v>
      </c>
      <c r="M649" t="n">
        <v>0</v>
      </c>
      <c r="N649" t="n">
        <v>0</v>
      </c>
      <c r="O649" t="n">
        <v>0</v>
      </c>
      <c r="P649" t="n">
        <v>0</v>
      </c>
      <c r="Q649" t="n">
        <v>0</v>
      </c>
      <c r="R649" s="2" t="inlineStr"/>
    </row>
    <row r="650" ht="15" customHeight="1">
      <c r="A650" t="inlineStr">
        <is>
          <t>A 30063-2023</t>
        </is>
      </c>
      <c r="B650" s="1" t="n">
        <v>45110.4184375</v>
      </c>
      <c r="C650" s="1" t="n">
        <v>45932</v>
      </c>
      <c r="D650" t="inlineStr">
        <is>
          <t>KALMAR LÄN</t>
        </is>
      </c>
      <c r="E650" t="inlineStr">
        <is>
          <t>VIMMERBY</t>
        </is>
      </c>
      <c r="G650" t="n">
        <v>1.2</v>
      </c>
      <c r="H650" t="n">
        <v>0</v>
      </c>
      <c r="I650" t="n">
        <v>0</v>
      </c>
      <c r="J650" t="n">
        <v>0</v>
      </c>
      <c r="K650" t="n">
        <v>0</v>
      </c>
      <c r="L650" t="n">
        <v>0</v>
      </c>
      <c r="M650" t="n">
        <v>0</v>
      </c>
      <c r="N650" t="n">
        <v>0</v>
      </c>
      <c r="O650" t="n">
        <v>0</v>
      </c>
      <c r="P650" t="n">
        <v>0</v>
      </c>
      <c r="Q650" t="n">
        <v>0</v>
      </c>
      <c r="R650" s="2" t="inlineStr"/>
    </row>
    <row r="651" ht="15" customHeight="1">
      <c r="A651" t="inlineStr">
        <is>
          <t>A 9129-2025</t>
        </is>
      </c>
      <c r="B651" s="1" t="n">
        <v>45713.92412037037</v>
      </c>
      <c r="C651" s="1" t="n">
        <v>45932</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22197-2024</t>
        </is>
      </c>
      <c r="B652" s="1" t="n">
        <v>45446.36774305555</v>
      </c>
      <c r="C652" s="1" t="n">
        <v>45932</v>
      </c>
      <c r="D652" t="inlineStr">
        <is>
          <t>KALMAR LÄN</t>
        </is>
      </c>
      <c r="E652" t="inlineStr">
        <is>
          <t>VIMMERBY</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53752-2024</t>
        </is>
      </c>
      <c r="B653" s="1" t="n">
        <v>45615.48927083334</v>
      </c>
      <c r="C653" s="1" t="n">
        <v>45932</v>
      </c>
      <c r="D653" t="inlineStr">
        <is>
          <t>KALMAR LÄN</t>
        </is>
      </c>
      <c r="E653" t="inlineStr">
        <is>
          <t>VIMMERBY</t>
        </is>
      </c>
      <c r="G653" t="n">
        <v>2.4</v>
      </c>
      <c r="H653" t="n">
        <v>0</v>
      </c>
      <c r="I653" t="n">
        <v>0</v>
      </c>
      <c r="J653" t="n">
        <v>0</v>
      </c>
      <c r="K653" t="n">
        <v>0</v>
      </c>
      <c r="L653" t="n">
        <v>0</v>
      </c>
      <c r="M653" t="n">
        <v>0</v>
      </c>
      <c r="N653" t="n">
        <v>0</v>
      </c>
      <c r="O653" t="n">
        <v>0</v>
      </c>
      <c r="P653" t="n">
        <v>0</v>
      </c>
      <c r="Q653" t="n">
        <v>0</v>
      </c>
      <c r="R653" s="2" t="inlineStr"/>
    </row>
    <row r="654" ht="15" customHeight="1">
      <c r="A654" t="inlineStr">
        <is>
          <t>A 43068-2023</t>
        </is>
      </c>
      <c r="B654" s="1" t="n">
        <v>45182.78834490741</v>
      </c>
      <c r="C654" s="1" t="n">
        <v>45932</v>
      </c>
      <c r="D654" t="inlineStr">
        <is>
          <t>KALMAR LÄN</t>
        </is>
      </c>
      <c r="E654" t="inlineStr">
        <is>
          <t>VIMMERBY</t>
        </is>
      </c>
      <c r="G654" t="n">
        <v>1.5</v>
      </c>
      <c r="H654" t="n">
        <v>0</v>
      </c>
      <c r="I654" t="n">
        <v>0</v>
      </c>
      <c r="J654" t="n">
        <v>0</v>
      </c>
      <c r="K654" t="n">
        <v>0</v>
      </c>
      <c r="L654" t="n">
        <v>0</v>
      </c>
      <c r="M654" t="n">
        <v>0</v>
      </c>
      <c r="N654" t="n">
        <v>0</v>
      </c>
      <c r="O654" t="n">
        <v>0</v>
      </c>
      <c r="P654" t="n">
        <v>0</v>
      </c>
      <c r="Q654" t="n">
        <v>0</v>
      </c>
      <c r="R654" s="2" t="inlineStr"/>
    </row>
    <row r="655" ht="15" customHeight="1">
      <c r="A655" t="inlineStr">
        <is>
          <t>A 41735-2025</t>
        </is>
      </c>
      <c r="B655" s="1" t="n">
        <v>45902.47164351852</v>
      </c>
      <c r="C655" s="1" t="n">
        <v>45932</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18020-2025</t>
        </is>
      </c>
      <c r="B656" s="1" t="n">
        <v>45761.4437962963</v>
      </c>
      <c r="C656" s="1" t="n">
        <v>45932</v>
      </c>
      <c r="D656" t="inlineStr">
        <is>
          <t>KALMAR LÄN</t>
        </is>
      </c>
      <c r="E656" t="inlineStr">
        <is>
          <t>VIMMERBY</t>
        </is>
      </c>
      <c r="G656" t="n">
        <v>0.6</v>
      </c>
      <c r="H656" t="n">
        <v>0</v>
      </c>
      <c r="I656" t="n">
        <v>0</v>
      </c>
      <c r="J656" t="n">
        <v>0</v>
      </c>
      <c r="K656" t="n">
        <v>0</v>
      </c>
      <c r="L656" t="n">
        <v>0</v>
      </c>
      <c r="M656" t="n">
        <v>0</v>
      </c>
      <c r="N656" t="n">
        <v>0</v>
      </c>
      <c r="O656" t="n">
        <v>0</v>
      </c>
      <c r="P656" t="n">
        <v>0</v>
      </c>
      <c r="Q656" t="n">
        <v>0</v>
      </c>
      <c r="R656" s="2" t="inlineStr"/>
    </row>
    <row r="657" ht="15" customHeight="1">
      <c r="A657" t="inlineStr">
        <is>
          <t>A 45854-2025</t>
        </is>
      </c>
      <c r="B657" s="1" t="n">
        <v>45923</v>
      </c>
      <c r="C657" s="1" t="n">
        <v>45932</v>
      </c>
      <c r="D657" t="inlineStr">
        <is>
          <t>KALMAR LÄN</t>
        </is>
      </c>
      <c r="E657" t="inlineStr">
        <is>
          <t>VIMMERBY</t>
        </is>
      </c>
      <c r="G657" t="n">
        <v>2.2</v>
      </c>
      <c r="H657" t="n">
        <v>0</v>
      </c>
      <c r="I657" t="n">
        <v>0</v>
      </c>
      <c r="J657" t="n">
        <v>0</v>
      </c>
      <c r="K657" t="n">
        <v>0</v>
      </c>
      <c r="L657" t="n">
        <v>0</v>
      </c>
      <c r="M657" t="n">
        <v>0</v>
      </c>
      <c r="N657" t="n">
        <v>0</v>
      </c>
      <c r="O657" t="n">
        <v>0</v>
      </c>
      <c r="P657" t="n">
        <v>0</v>
      </c>
      <c r="Q657" t="n">
        <v>0</v>
      </c>
      <c r="R657" s="2" t="inlineStr"/>
    </row>
    <row r="658" ht="15" customHeight="1">
      <c r="A658" t="inlineStr">
        <is>
          <t>A 45855-2025</t>
        </is>
      </c>
      <c r="B658" s="1" t="n">
        <v>45923</v>
      </c>
      <c r="C658" s="1" t="n">
        <v>45932</v>
      </c>
      <c r="D658" t="inlineStr">
        <is>
          <t>KALMAR LÄN</t>
        </is>
      </c>
      <c r="E658" t="inlineStr">
        <is>
          <t>VIMMERBY</t>
        </is>
      </c>
      <c r="G658" t="n">
        <v>1.4</v>
      </c>
      <c r="H658" t="n">
        <v>0</v>
      </c>
      <c r="I658" t="n">
        <v>0</v>
      </c>
      <c r="J658" t="n">
        <v>0</v>
      </c>
      <c r="K658" t="n">
        <v>0</v>
      </c>
      <c r="L658" t="n">
        <v>0</v>
      </c>
      <c r="M658" t="n">
        <v>0</v>
      </c>
      <c r="N658" t="n">
        <v>0</v>
      </c>
      <c r="O658" t="n">
        <v>0</v>
      </c>
      <c r="P658" t="n">
        <v>0</v>
      </c>
      <c r="Q658" t="n">
        <v>0</v>
      </c>
      <c r="R658" s="2" t="inlineStr"/>
    </row>
    <row r="659" ht="15" customHeight="1">
      <c r="A659" t="inlineStr">
        <is>
          <t>A 33424-2023</t>
        </is>
      </c>
      <c r="B659" s="1" t="n">
        <v>45128.9325</v>
      </c>
      <c r="C659" s="1" t="n">
        <v>45932</v>
      </c>
      <c r="D659" t="inlineStr">
        <is>
          <t>KALMAR LÄN</t>
        </is>
      </c>
      <c r="E659" t="inlineStr">
        <is>
          <t>VIMMERBY</t>
        </is>
      </c>
      <c r="G659" t="n">
        <v>2.4</v>
      </c>
      <c r="H659" t="n">
        <v>0</v>
      </c>
      <c r="I659" t="n">
        <v>0</v>
      </c>
      <c r="J659" t="n">
        <v>0</v>
      </c>
      <c r="K659" t="n">
        <v>0</v>
      </c>
      <c r="L659" t="n">
        <v>0</v>
      </c>
      <c r="M659" t="n">
        <v>0</v>
      </c>
      <c r="N659" t="n">
        <v>0</v>
      </c>
      <c r="O659" t="n">
        <v>0</v>
      </c>
      <c r="P659" t="n">
        <v>0</v>
      </c>
      <c r="Q659" t="n">
        <v>0</v>
      </c>
      <c r="R659" s="2" t="inlineStr"/>
    </row>
    <row r="660" ht="15" customHeight="1">
      <c r="A660" t="inlineStr">
        <is>
          <t>A 33425-2023</t>
        </is>
      </c>
      <c r="B660" s="1" t="n">
        <v>45128.93540509259</v>
      </c>
      <c r="C660" s="1" t="n">
        <v>45932</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12327-2023</t>
        </is>
      </c>
      <c r="B661" s="1" t="n">
        <v>44999.36081018519</v>
      </c>
      <c r="C661" s="1" t="n">
        <v>45932</v>
      </c>
      <c r="D661" t="inlineStr">
        <is>
          <t>KALMAR LÄN</t>
        </is>
      </c>
      <c r="E661" t="inlineStr">
        <is>
          <t>VIMMERBY</t>
        </is>
      </c>
      <c r="G661" t="n">
        <v>1.2</v>
      </c>
      <c r="H661" t="n">
        <v>0</v>
      </c>
      <c r="I661" t="n">
        <v>0</v>
      </c>
      <c r="J661" t="n">
        <v>0</v>
      </c>
      <c r="K661" t="n">
        <v>0</v>
      </c>
      <c r="L661" t="n">
        <v>0</v>
      </c>
      <c r="M661" t="n">
        <v>0</v>
      </c>
      <c r="N661" t="n">
        <v>0</v>
      </c>
      <c r="O661" t="n">
        <v>0</v>
      </c>
      <c r="P661" t="n">
        <v>0</v>
      </c>
      <c r="Q661" t="n">
        <v>0</v>
      </c>
      <c r="R661" s="2" t="inlineStr"/>
    </row>
    <row r="662" ht="15" customHeight="1">
      <c r="A662" t="inlineStr">
        <is>
          <t>A 43092-2024</t>
        </is>
      </c>
      <c r="B662" s="1" t="n">
        <v>45567</v>
      </c>
      <c r="C662" s="1" t="n">
        <v>45932</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41896-2025</t>
        </is>
      </c>
      <c r="B663" s="1" t="n">
        <v>45903.38800925926</v>
      </c>
      <c r="C663" s="1" t="n">
        <v>45932</v>
      </c>
      <c r="D663" t="inlineStr">
        <is>
          <t>KALMAR LÄN</t>
        </is>
      </c>
      <c r="E663" t="inlineStr">
        <is>
          <t>VIMMERBY</t>
        </is>
      </c>
      <c r="G663" t="n">
        <v>2.9</v>
      </c>
      <c r="H663" t="n">
        <v>0</v>
      </c>
      <c r="I663" t="n">
        <v>0</v>
      </c>
      <c r="J663" t="n">
        <v>0</v>
      </c>
      <c r="K663" t="n">
        <v>0</v>
      </c>
      <c r="L663" t="n">
        <v>0</v>
      </c>
      <c r="M663" t="n">
        <v>0</v>
      </c>
      <c r="N663" t="n">
        <v>0</v>
      </c>
      <c r="O663" t="n">
        <v>0</v>
      </c>
      <c r="P663" t="n">
        <v>0</v>
      </c>
      <c r="Q663" t="n">
        <v>0</v>
      </c>
      <c r="R663" s="2" t="inlineStr"/>
    </row>
    <row r="664" ht="15" customHeight="1">
      <c r="A664" t="inlineStr">
        <is>
          <t>A 52435-2021</t>
        </is>
      </c>
      <c r="B664" s="1" t="n">
        <v>44466.34962962963</v>
      </c>
      <c r="C664" s="1" t="n">
        <v>45932</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12121-2025</t>
        </is>
      </c>
      <c r="B665" s="1" t="n">
        <v>45729.36868055556</v>
      </c>
      <c r="C665" s="1" t="n">
        <v>45932</v>
      </c>
      <c r="D665" t="inlineStr">
        <is>
          <t>KALMAR LÄN</t>
        </is>
      </c>
      <c r="E665" t="inlineStr">
        <is>
          <t>VIMMERBY</t>
        </is>
      </c>
      <c r="G665" t="n">
        <v>4.3</v>
      </c>
      <c r="H665" t="n">
        <v>0</v>
      </c>
      <c r="I665" t="n">
        <v>0</v>
      </c>
      <c r="J665" t="n">
        <v>0</v>
      </c>
      <c r="K665" t="n">
        <v>0</v>
      </c>
      <c r="L665" t="n">
        <v>0</v>
      </c>
      <c r="M665" t="n">
        <v>0</v>
      </c>
      <c r="N665" t="n">
        <v>0</v>
      </c>
      <c r="O665" t="n">
        <v>0</v>
      </c>
      <c r="P665" t="n">
        <v>0</v>
      </c>
      <c r="Q665" t="n">
        <v>0</v>
      </c>
      <c r="R665" s="2" t="inlineStr"/>
    </row>
    <row r="666" ht="15" customHeight="1">
      <c r="A666" t="inlineStr">
        <is>
          <t>A 9710-2023</t>
        </is>
      </c>
      <c r="B666" s="1" t="n">
        <v>44984</v>
      </c>
      <c r="C666" s="1" t="n">
        <v>45932</v>
      </c>
      <c r="D666" t="inlineStr">
        <is>
          <t>KALMAR LÄN</t>
        </is>
      </c>
      <c r="E666" t="inlineStr">
        <is>
          <t>VIMMERBY</t>
        </is>
      </c>
      <c r="G666" t="n">
        <v>3.7</v>
      </c>
      <c r="H666" t="n">
        <v>0</v>
      </c>
      <c r="I666" t="n">
        <v>0</v>
      </c>
      <c r="J666" t="n">
        <v>0</v>
      </c>
      <c r="K666" t="n">
        <v>0</v>
      </c>
      <c r="L666" t="n">
        <v>0</v>
      </c>
      <c r="M666" t="n">
        <v>0</v>
      </c>
      <c r="N666" t="n">
        <v>0</v>
      </c>
      <c r="O666" t="n">
        <v>0</v>
      </c>
      <c r="P666" t="n">
        <v>0</v>
      </c>
      <c r="Q666" t="n">
        <v>0</v>
      </c>
      <c r="R666" s="2" t="inlineStr"/>
    </row>
    <row r="667" ht="15" customHeight="1">
      <c r="A667" t="inlineStr">
        <is>
          <t>A 35127-2024</t>
        </is>
      </c>
      <c r="B667" s="1" t="n">
        <v>45530.33202546297</v>
      </c>
      <c r="C667" s="1" t="n">
        <v>45932</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9720-2023</t>
        </is>
      </c>
      <c r="B668" s="1" t="n">
        <v>44984</v>
      </c>
      <c r="C668" s="1" t="n">
        <v>45932</v>
      </c>
      <c r="D668" t="inlineStr">
        <is>
          <t>KALMAR LÄN</t>
        </is>
      </c>
      <c r="E668" t="inlineStr">
        <is>
          <t>VIMMERBY</t>
        </is>
      </c>
      <c r="G668" t="n">
        <v>4.4</v>
      </c>
      <c r="H668" t="n">
        <v>0</v>
      </c>
      <c r="I668" t="n">
        <v>0</v>
      </c>
      <c r="J668" t="n">
        <v>0</v>
      </c>
      <c r="K668" t="n">
        <v>0</v>
      </c>
      <c r="L668" t="n">
        <v>0</v>
      </c>
      <c r="M668" t="n">
        <v>0</v>
      </c>
      <c r="N668" t="n">
        <v>0</v>
      </c>
      <c r="O668" t="n">
        <v>0</v>
      </c>
      <c r="P668" t="n">
        <v>0</v>
      </c>
      <c r="Q668" t="n">
        <v>0</v>
      </c>
      <c r="R668" s="2" t="inlineStr"/>
    </row>
    <row r="669" ht="15" customHeight="1">
      <c r="A669" t="inlineStr">
        <is>
          <t>A 15493-2023</t>
        </is>
      </c>
      <c r="B669" s="1" t="n">
        <v>45018</v>
      </c>
      <c r="C669" s="1" t="n">
        <v>45932</v>
      </c>
      <c r="D669" t="inlineStr">
        <is>
          <t>KALMAR LÄN</t>
        </is>
      </c>
      <c r="E669" t="inlineStr">
        <is>
          <t>VIMMERBY</t>
        </is>
      </c>
      <c r="G669" t="n">
        <v>1</v>
      </c>
      <c r="H669" t="n">
        <v>0</v>
      </c>
      <c r="I669" t="n">
        <v>0</v>
      </c>
      <c r="J669" t="n">
        <v>0</v>
      </c>
      <c r="K669" t="n">
        <v>0</v>
      </c>
      <c r="L669" t="n">
        <v>0</v>
      </c>
      <c r="M669" t="n">
        <v>0</v>
      </c>
      <c r="N669" t="n">
        <v>0</v>
      </c>
      <c r="O669" t="n">
        <v>0</v>
      </c>
      <c r="P669" t="n">
        <v>0</v>
      </c>
      <c r="Q669" t="n">
        <v>0</v>
      </c>
      <c r="R669" s="2" t="inlineStr"/>
    </row>
    <row r="670" ht="15" customHeight="1">
      <c r="A670" t="inlineStr">
        <is>
          <t>A 47227-2025</t>
        </is>
      </c>
      <c r="B670" s="1" t="n">
        <v>45930.39769675926</v>
      </c>
      <c r="C670" s="1" t="n">
        <v>45932</v>
      </c>
      <c r="D670" t="inlineStr">
        <is>
          <t>KALMAR LÄN</t>
        </is>
      </c>
      <c r="E670" t="inlineStr">
        <is>
          <t>VIMMERBY</t>
        </is>
      </c>
      <c r="G670" t="n">
        <v>1.3</v>
      </c>
      <c r="H670" t="n">
        <v>0</v>
      </c>
      <c r="I670" t="n">
        <v>0</v>
      </c>
      <c r="J670" t="n">
        <v>0</v>
      </c>
      <c r="K670" t="n">
        <v>0</v>
      </c>
      <c r="L670" t="n">
        <v>0</v>
      </c>
      <c r="M670" t="n">
        <v>0</v>
      </c>
      <c r="N670" t="n">
        <v>0</v>
      </c>
      <c r="O670" t="n">
        <v>0</v>
      </c>
      <c r="P670" t="n">
        <v>0</v>
      </c>
      <c r="Q670" t="n">
        <v>0</v>
      </c>
      <c r="R670" s="2" t="inlineStr"/>
    </row>
    <row r="671" ht="15" customHeight="1">
      <c r="A671" t="inlineStr">
        <is>
          <t>A 60215-2022</t>
        </is>
      </c>
      <c r="B671" s="1" t="n">
        <v>44910.41346064815</v>
      </c>
      <c r="C671" s="1" t="n">
        <v>45932</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36226-2025</t>
        </is>
      </c>
      <c r="B672" s="1" t="n">
        <v>45867.51630787037</v>
      </c>
      <c r="C672" s="1" t="n">
        <v>45932</v>
      </c>
      <c r="D672" t="inlineStr">
        <is>
          <t>KALMAR LÄN</t>
        </is>
      </c>
      <c r="E672" t="inlineStr">
        <is>
          <t>VIMMERBY</t>
        </is>
      </c>
      <c r="G672" t="n">
        <v>3.1</v>
      </c>
      <c r="H672" t="n">
        <v>0</v>
      </c>
      <c r="I672" t="n">
        <v>0</v>
      </c>
      <c r="J672" t="n">
        <v>0</v>
      </c>
      <c r="K672" t="n">
        <v>0</v>
      </c>
      <c r="L672" t="n">
        <v>0</v>
      </c>
      <c r="M672" t="n">
        <v>0</v>
      </c>
      <c r="N672" t="n">
        <v>0</v>
      </c>
      <c r="O672" t="n">
        <v>0</v>
      </c>
      <c r="P672" t="n">
        <v>0</v>
      </c>
      <c r="Q672" t="n">
        <v>0</v>
      </c>
      <c r="R672" s="2" t="inlineStr"/>
    </row>
    <row r="673" ht="15" customHeight="1">
      <c r="A673" t="inlineStr">
        <is>
          <t>A 36273-2025</t>
        </is>
      </c>
      <c r="B673" s="1" t="n">
        <v>45867.63094907408</v>
      </c>
      <c r="C673" s="1" t="n">
        <v>45932</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29441-2024</t>
        </is>
      </c>
      <c r="B674" s="1" t="n">
        <v>45483.82834490741</v>
      </c>
      <c r="C674" s="1" t="n">
        <v>45932</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36282-2025</t>
        </is>
      </c>
      <c r="B675" s="1" t="n">
        <v>45867.64663194444</v>
      </c>
      <c r="C675" s="1" t="n">
        <v>45932</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36246-2025</t>
        </is>
      </c>
      <c r="B676" s="1" t="n">
        <v>45867.56320601852</v>
      </c>
      <c r="C676" s="1" t="n">
        <v>45932</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36297-2025</t>
        </is>
      </c>
      <c r="B677" s="1" t="n">
        <v>45867.68625</v>
      </c>
      <c r="C677" s="1" t="n">
        <v>45932</v>
      </c>
      <c r="D677" t="inlineStr">
        <is>
          <t>KALMAR LÄN</t>
        </is>
      </c>
      <c r="E677" t="inlineStr">
        <is>
          <t>VIMMERBY</t>
        </is>
      </c>
      <c r="G677" t="n">
        <v>4.9</v>
      </c>
      <c r="H677" t="n">
        <v>0</v>
      </c>
      <c r="I677" t="n">
        <v>0</v>
      </c>
      <c r="J677" t="n">
        <v>0</v>
      </c>
      <c r="K677" t="n">
        <v>0</v>
      </c>
      <c r="L677" t="n">
        <v>0</v>
      </c>
      <c r="M677" t="n">
        <v>0</v>
      </c>
      <c r="N677" t="n">
        <v>0</v>
      </c>
      <c r="O677" t="n">
        <v>0</v>
      </c>
      <c r="P677" t="n">
        <v>0</v>
      </c>
      <c r="Q677" t="n">
        <v>0</v>
      </c>
      <c r="R677" s="2" t="inlineStr"/>
    </row>
    <row r="678" ht="15" customHeight="1">
      <c r="A678" t="inlineStr">
        <is>
          <t>A 42828-2025</t>
        </is>
      </c>
      <c r="B678" s="1" t="n">
        <v>45908.57716435185</v>
      </c>
      <c r="C678" s="1" t="n">
        <v>45932</v>
      </c>
      <c r="D678" t="inlineStr">
        <is>
          <t>KALMAR LÄN</t>
        </is>
      </c>
      <c r="E678" t="inlineStr">
        <is>
          <t>VIMMERBY</t>
        </is>
      </c>
      <c r="G678" t="n">
        <v>5.2</v>
      </c>
      <c r="H678" t="n">
        <v>0</v>
      </c>
      <c r="I678" t="n">
        <v>0</v>
      </c>
      <c r="J678" t="n">
        <v>0</v>
      </c>
      <c r="K678" t="n">
        <v>0</v>
      </c>
      <c r="L678" t="n">
        <v>0</v>
      </c>
      <c r="M678" t="n">
        <v>0</v>
      </c>
      <c r="N678" t="n">
        <v>0</v>
      </c>
      <c r="O678" t="n">
        <v>0</v>
      </c>
      <c r="P678" t="n">
        <v>0</v>
      </c>
      <c r="Q678" t="n">
        <v>0</v>
      </c>
      <c r="R678" s="2" t="inlineStr"/>
    </row>
    <row r="679" ht="15" customHeight="1">
      <c r="A679" t="inlineStr">
        <is>
          <t>A 6216-2025</t>
        </is>
      </c>
      <c r="B679" s="1" t="n">
        <v>45698.52806712963</v>
      </c>
      <c r="C679" s="1" t="n">
        <v>45932</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62779-2023</t>
        </is>
      </c>
      <c r="B680" s="1" t="n">
        <v>45271.66576388889</v>
      </c>
      <c r="C680" s="1" t="n">
        <v>45932</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52294-2023</t>
        </is>
      </c>
      <c r="B681" s="1" t="n">
        <v>45224.60075231481</v>
      </c>
      <c r="C681" s="1" t="n">
        <v>45932</v>
      </c>
      <c r="D681" t="inlineStr">
        <is>
          <t>KALMAR LÄN</t>
        </is>
      </c>
      <c r="E681" t="inlineStr">
        <is>
          <t>VIMMERBY</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36221-2025</t>
        </is>
      </c>
      <c r="B682" s="1" t="n">
        <v>45867.50792824074</v>
      </c>
      <c r="C682" s="1" t="n">
        <v>45932</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29726-2025</t>
        </is>
      </c>
      <c r="B683" s="1" t="n">
        <v>45825.57805555555</v>
      </c>
      <c r="C683" s="1" t="n">
        <v>45932</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19502-2025</t>
        </is>
      </c>
      <c r="B684" s="1" t="n">
        <v>45769</v>
      </c>
      <c r="C684" s="1" t="n">
        <v>45932</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31013-2023</t>
        </is>
      </c>
      <c r="B685" s="1" t="n">
        <v>45113.56574074074</v>
      </c>
      <c r="C685" s="1" t="n">
        <v>45932</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72067-2021</t>
        </is>
      </c>
      <c r="B686" s="1" t="n">
        <v>44540</v>
      </c>
      <c r="C686" s="1" t="n">
        <v>45932</v>
      </c>
      <c r="D686" t="inlineStr">
        <is>
          <t>KALMAR LÄN</t>
        </is>
      </c>
      <c r="E686" t="inlineStr">
        <is>
          <t>VIMMERBY</t>
        </is>
      </c>
      <c r="G686" t="n">
        <v>1.6</v>
      </c>
      <c r="H686" t="n">
        <v>0</v>
      </c>
      <c r="I686" t="n">
        <v>0</v>
      </c>
      <c r="J686" t="n">
        <v>0</v>
      </c>
      <c r="K686" t="n">
        <v>0</v>
      </c>
      <c r="L686" t="n">
        <v>0</v>
      </c>
      <c r="M686" t="n">
        <v>0</v>
      </c>
      <c r="N686" t="n">
        <v>0</v>
      </c>
      <c r="O686" t="n">
        <v>0</v>
      </c>
      <c r="P686" t="n">
        <v>0</v>
      </c>
      <c r="Q686" t="n">
        <v>0</v>
      </c>
      <c r="R686" s="2" t="inlineStr"/>
    </row>
    <row r="687" ht="15" customHeight="1">
      <c r="A687" t="inlineStr">
        <is>
          <t>A 36299-2025</t>
        </is>
      </c>
      <c r="B687" s="1" t="n">
        <v>45867.69346064814</v>
      </c>
      <c r="C687" s="1" t="n">
        <v>45932</v>
      </c>
      <c r="D687" t="inlineStr">
        <is>
          <t>KALMAR LÄN</t>
        </is>
      </c>
      <c r="E687" t="inlineStr">
        <is>
          <t>VIMMERBY</t>
        </is>
      </c>
      <c r="G687" t="n">
        <v>7.6</v>
      </c>
      <c r="H687" t="n">
        <v>0</v>
      </c>
      <c r="I687" t="n">
        <v>0</v>
      </c>
      <c r="J687" t="n">
        <v>0</v>
      </c>
      <c r="K687" t="n">
        <v>0</v>
      </c>
      <c r="L687" t="n">
        <v>0</v>
      </c>
      <c r="M687" t="n">
        <v>0</v>
      </c>
      <c r="N687" t="n">
        <v>0</v>
      </c>
      <c r="O687" t="n">
        <v>0</v>
      </c>
      <c r="P687" t="n">
        <v>0</v>
      </c>
      <c r="Q687" t="n">
        <v>0</v>
      </c>
      <c r="R687" s="2" t="inlineStr"/>
    </row>
    <row r="688" ht="15" customHeight="1">
      <c r="A688" t="inlineStr">
        <is>
          <t>A 61538-2022</t>
        </is>
      </c>
      <c r="B688" s="1" t="n">
        <v>44916.55414351852</v>
      </c>
      <c r="C688" s="1" t="n">
        <v>45932</v>
      </c>
      <c r="D688" t="inlineStr">
        <is>
          <t>KALMAR LÄN</t>
        </is>
      </c>
      <c r="E688" t="inlineStr">
        <is>
          <t>VIMMERBY</t>
        </is>
      </c>
      <c r="G688" t="n">
        <v>1.5</v>
      </c>
      <c r="H688" t="n">
        <v>0</v>
      </c>
      <c r="I688" t="n">
        <v>0</v>
      </c>
      <c r="J688" t="n">
        <v>0</v>
      </c>
      <c r="K688" t="n">
        <v>0</v>
      </c>
      <c r="L688" t="n">
        <v>0</v>
      </c>
      <c r="M688" t="n">
        <v>0</v>
      </c>
      <c r="N688" t="n">
        <v>0</v>
      </c>
      <c r="O688" t="n">
        <v>0</v>
      </c>
      <c r="P688" t="n">
        <v>0</v>
      </c>
      <c r="Q688" t="n">
        <v>0</v>
      </c>
      <c r="R688" s="2" t="inlineStr"/>
    </row>
    <row r="689" ht="15" customHeight="1">
      <c r="A689" t="inlineStr">
        <is>
          <t>A 29093-2023</t>
        </is>
      </c>
      <c r="B689" s="1" t="n">
        <v>45105</v>
      </c>
      <c r="C689" s="1" t="n">
        <v>45932</v>
      </c>
      <c r="D689" t="inlineStr">
        <is>
          <t>KALMAR LÄN</t>
        </is>
      </c>
      <c r="E689" t="inlineStr">
        <is>
          <t>VIMMERBY</t>
        </is>
      </c>
      <c r="G689" t="n">
        <v>2.9</v>
      </c>
      <c r="H689" t="n">
        <v>0</v>
      </c>
      <c r="I689" t="n">
        <v>0</v>
      </c>
      <c r="J689" t="n">
        <v>0</v>
      </c>
      <c r="K689" t="n">
        <v>0</v>
      </c>
      <c r="L689" t="n">
        <v>0</v>
      </c>
      <c r="M689" t="n">
        <v>0</v>
      </c>
      <c r="N689" t="n">
        <v>0</v>
      </c>
      <c r="O689" t="n">
        <v>0</v>
      </c>
      <c r="P689" t="n">
        <v>0</v>
      </c>
      <c r="Q689" t="n">
        <v>0</v>
      </c>
      <c r="R689" s="2" t="inlineStr"/>
    </row>
    <row r="690" ht="15" customHeight="1">
      <c r="A690" t="inlineStr">
        <is>
          <t>A 33352-2022</t>
        </is>
      </c>
      <c r="B690" s="1" t="n">
        <v>44788</v>
      </c>
      <c r="C690" s="1" t="n">
        <v>45932</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43617-2025</t>
        </is>
      </c>
      <c r="B691" s="1" t="n">
        <v>45911.67798611111</v>
      </c>
      <c r="C691" s="1" t="n">
        <v>45932</v>
      </c>
      <c r="D691" t="inlineStr">
        <is>
          <t>KALMAR LÄN</t>
        </is>
      </c>
      <c r="E691" t="inlineStr">
        <is>
          <t>VIMMERBY</t>
        </is>
      </c>
      <c r="G691" t="n">
        <v>0.6</v>
      </c>
      <c r="H691" t="n">
        <v>0</v>
      </c>
      <c r="I691" t="n">
        <v>0</v>
      </c>
      <c r="J691" t="n">
        <v>0</v>
      </c>
      <c r="K691" t="n">
        <v>0</v>
      </c>
      <c r="L691" t="n">
        <v>0</v>
      </c>
      <c r="M691" t="n">
        <v>0</v>
      </c>
      <c r="N691" t="n">
        <v>0</v>
      </c>
      <c r="O691" t="n">
        <v>0</v>
      </c>
      <c r="P691" t="n">
        <v>0</v>
      </c>
      <c r="Q691" t="n">
        <v>0</v>
      </c>
      <c r="R691" s="2" t="inlineStr"/>
    </row>
    <row r="692" ht="15" customHeight="1">
      <c r="A692" t="inlineStr">
        <is>
          <t>A 10674-2021</t>
        </is>
      </c>
      <c r="B692" s="1" t="n">
        <v>44258</v>
      </c>
      <c r="C692" s="1" t="n">
        <v>45932</v>
      </c>
      <c r="D692" t="inlineStr">
        <is>
          <t>KALMAR LÄN</t>
        </is>
      </c>
      <c r="E692" t="inlineStr">
        <is>
          <t>VIMMERBY</t>
        </is>
      </c>
      <c r="G692" t="n">
        <v>8.4</v>
      </c>
      <c r="H692" t="n">
        <v>0</v>
      </c>
      <c r="I692" t="n">
        <v>0</v>
      </c>
      <c r="J692" t="n">
        <v>0</v>
      </c>
      <c r="K692" t="n">
        <v>0</v>
      </c>
      <c r="L692" t="n">
        <v>0</v>
      </c>
      <c r="M692" t="n">
        <v>0</v>
      </c>
      <c r="N692" t="n">
        <v>0</v>
      </c>
      <c r="O692" t="n">
        <v>0</v>
      </c>
      <c r="P692" t="n">
        <v>0</v>
      </c>
      <c r="Q692" t="n">
        <v>0</v>
      </c>
      <c r="R692" s="2" t="inlineStr"/>
    </row>
    <row r="693" ht="15" customHeight="1">
      <c r="A693" t="inlineStr">
        <is>
          <t>A 22264-2023</t>
        </is>
      </c>
      <c r="B693" s="1" t="n">
        <v>45070.3665625</v>
      </c>
      <c r="C693" s="1" t="n">
        <v>45932</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36155-2023</t>
        </is>
      </c>
      <c r="B694" s="1" t="n">
        <v>45149.60917824074</v>
      </c>
      <c r="C694" s="1" t="n">
        <v>45932</v>
      </c>
      <c r="D694" t="inlineStr">
        <is>
          <t>KALMAR LÄN</t>
        </is>
      </c>
      <c r="E694" t="inlineStr">
        <is>
          <t>VIMMERBY</t>
        </is>
      </c>
      <c r="G694" t="n">
        <v>5</v>
      </c>
      <c r="H694" t="n">
        <v>0</v>
      </c>
      <c r="I694" t="n">
        <v>0</v>
      </c>
      <c r="J694" t="n">
        <v>0</v>
      </c>
      <c r="K694" t="n">
        <v>0</v>
      </c>
      <c r="L694" t="n">
        <v>0</v>
      </c>
      <c r="M694" t="n">
        <v>0</v>
      </c>
      <c r="N694" t="n">
        <v>0</v>
      </c>
      <c r="O694" t="n">
        <v>0</v>
      </c>
      <c r="P694" t="n">
        <v>0</v>
      </c>
      <c r="Q694" t="n">
        <v>0</v>
      </c>
      <c r="R694" s="2" t="inlineStr"/>
    </row>
    <row r="695" ht="15" customHeight="1">
      <c r="A695" t="inlineStr">
        <is>
          <t>A 16676-2023</t>
        </is>
      </c>
      <c r="B695" s="1" t="n">
        <v>45028</v>
      </c>
      <c r="C695" s="1" t="n">
        <v>45932</v>
      </c>
      <c r="D695" t="inlineStr">
        <is>
          <t>KALMAR LÄN</t>
        </is>
      </c>
      <c r="E695" t="inlineStr">
        <is>
          <t>VIMMERBY</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6220-2025</t>
        </is>
      </c>
      <c r="B696" s="1" t="n">
        <v>45698.53725694444</v>
      </c>
      <c r="C696" s="1" t="n">
        <v>45932</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36538-2025</t>
        </is>
      </c>
      <c r="B697" s="1" t="n">
        <v>45869.62276620371</v>
      </c>
      <c r="C697" s="1" t="n">
        <v>45932</v>
      </c>
      <c r="D697" t="inlineStr">
        <is>
          <t>KALMAR LÄN</t>
        </is>
      </c>
      <c r="E697" t="inlineStr">
        <is>
          <t>VIMMERBY</t>
        </is>
      </c>
      <c r="G697" t="n">
        <v>2.6</v>
      </c>
      <c r="H697" t="n">
        <v>0</v>
      </c>
      <c r="I697" t="n">
        <v>0</v>
      </c>
      <c r="J697" t="n">
        <v>0</v>
      </c>
      <c r="K697" t="n">
        <v>0</v>
      </c>
      <c r="L697" t="n">
        <v>0</v>
      </c>
      <c r="M697" t="n">
        <v>0</v>
      </c>
      <c r="N697" t="n">
        <v>0</v>
      </c>
      <c r="O697" t="n">
        <v>0</v>
      </c>
      <c r="P697" t="n">
        <v>0</v>
      </c>
      <c r="Q697" t="n">
        <v>0</v>
      </c>
      <c r="R697" s="2" t="inlineStr"/>
    </row>
    <row r="698" ht="15" customHeight="1">
      <c r="A698" t="inlineStr">
        <is>
          <t>A 24096-2024</t>
        </is>
      </c>
      <c r="B698" s="1" t="n">
        <v>45456.59289351852</v>
      </c>
      <c r="C698" s="1" t="n">
        <v>45932</v>
      </c>
      <c r="D698" t="inlineStr">
        <is>
          <t>KALMAR LÄN</t>
        </is>
      </c>
      <c r="E698" t="inlineStr">
        <is>
          <t>VIMMERBY</t>
        </is>
      </c>
      <c r="G698" t="n">
        <v>2.3</v>
      </c>
      <c r="H698" t="n">
        <v>0</v>
      </c>
      <c r="I698" t="n">
        <v>0</v>
      </c>
      <c r="J698" t="n">
        <v>0</v>
      </c>
      <c r="K698" t="n">
        <v>0</v>
      </c>
      <c r="L698" t="n">
        <v>0</v>
      </c>
      <c r="M698" t="n">
        <v>0</v>
      </c>
      <c r="N698" t="n">
        <v>0</v>
      </c>
      <c r="O698" t="n">
        <v>0</v>
      </c>
      <c r="P698" t="n">
        <v>0</v>
      </c>
      <c r="Q698" t="n">
        <v>0</v>
      </c>
      <c r="R698" s="2" t="inlineStr"/>
    </row>
    <row r="699" ht="15" customHeight="1">
      <c r="A699" t="inlineStr">
        <is>
          <t>A 29173-2024</t>
        </is>
      </c>
      <c r="B699" s="1" t="n">
        <v>45482.52887731481</v>
      </c>
      <c r="C699" s="1" t="n">
        <v>45932</v>
      </c>
      <c r="D699" t="inlineStr">
        <is>
          <t>KALMAR LÄN</t>
        </is>
      </c>
      <c r="E699" t="inlineStr">
        <is>
          <t>VIMMERBY</t>
        </is>
      </c>
      <c r="G699" t="n">
        <v>0.6</v>
      </c>
      <c r="H699" t="n">
        <v>0</v>
      </c>
      <c r="I699" t="n">
        <v>0</v>
      </c>
      <c r="J699" t="n">
        <v>0</v>
      </c>
      <c r="K699" t="n">
        <v>0</v>
      </c>
      <c r="L699" t="n">
        <v>0</v>
      </c>
      <c r="M699" t="n">
        <v>0</v>
      </c>
      <c r="N699" t="n">
        <v>0</v>
      </c>
      <c r="O699" t="n">
        <v>0</v>
      </c>
      <c r="P699" t="n">
        <v>0</v>
      </c>
      <c r="Q699" t="n">
        <v>0</v>
      </c>
      <c r="R699" s="2" t="inlineStr"/>
    </row>
    <row r="700" ht="15" customHeight="1">
      <c r="A700" t="inlineStr">
        <is>
          <t>A 29013-2024</t>
        </is>
      </c>
      <c r="B700" s="1" t="n">
        <v>45481.55984953704</v>
      </c>
      <c r="C700" s="1" t="n">
        <v>45932</v>
      </c>
      <c r="D700" t="inlineStr">
        <is>
          <t>KALMAR LÄN</t>
        </is>
      </c>
      <c r="E700" t="inlineStr">
        <is>
          <t>VIMMERBY</t>
        </is>
      </c>
      <c r="G700" t="n">
        <v>3.4</v>
      </c>
      <c r="H700" t="n">
        <v>0</v>
      </c>
      <c r="I700" t="n">
        <v>0</v>
      </c>
      <c r="J700" t="n">
        <v>0</v>
      </c>
      <c r="K700" t="n">
        <v>0</v>
      </c>
      <c r="L700" t="n">
        <v>0</v>
      </c>
      <c r="M700" t="n">
        <v>0</v>
      </c>
      <c r="N700" t="n">
        <v>0</v>
      </c>
      <c r="O700" t="n">
        <v>0</v>
      </c>
      <c r="P700" t="n">
        <v>0</v>
      </c>
      <c r="Q700" t="n">
        <v>0</v>
      </c>
      <c r="R700" s="2" t="inlineStr"/>
    </row>
    <row r="701" ht="15" customHeight="1">
      <c r="A701" t="inlineStr">
        <is>
          <t>A 53542-2022</t>
        </is>
      </c>
      <c r="B701" s="1" t="n">
        <v>44879.62173611111</v>
      </c>
      <c r="C701" s="1" t="n">
        <v>45932</v>
      </c>
      <c r="D701" t="inlineStr">
        <is>
          <t>KALMAR LÄN</t>
        </is>
      </c>
      <c r="E701" t="inlineStr">
        <is>
          <t>VIMMERBY</t>
        </is>
      </c>
      <c r="G701" t="n">
        <v>2.6</v>
      </c>
      <c r="H701" t="n">
        <v>0</v>
      </c>
      <c r="I701" t="n">
        <v>0</v>
      </c>
      <c r="J701" t="n">
        <v>0</v>
      </c>
      <c r="K701" t="n">
        <v>0</v>
      </c>
      <c r="L701" t="n">
        <v>0</v>
      </c>
      <c r="M701" t="n">
        <v>0</v>
      </c>
      <c r="N701" t="n">
        <v>0</v>
      </c>
      <c r="O701" t="n">
        <v>0</v>
      </c>
      <c r="P701" t="n">
        <v>0</v>
      </c>
      <c r="Q701" t="n">
        <v>0</v>
      </c>
      <c r="R701" s="2" t="inlineStr"/>
    </row>
    <row r="702" ht="15" customHeight="1">
      <c r="A702" t="inlineStr">
        <is>
          <t>A 6066-2023</t>
        </is>
      </c>
      <c r="B702" s="1" t="n">
        <v>44964.50894675926</v>
      </c>
      <c r="C702" s="1" t="n">
        <v>45932</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59955-2023</t>
        </is>
      </c>
      <c r="B703" s="1" t="n">
        <v>45257.70313657408</v>
      </c>
      <c r="C703" s="1" t="n">
        <v>45932</v>
      </c>
      <c r="D703" t="inlineStr">
        <is>
          <t>KALMAR LÄN</t>
        </is>
      </c>
      <c r="E703" t="inlineStr">
        <is>
          <t>VIMMERBY</t>
        </is>
      </c>
      <c r="G703" t="n">
        <v>13.8</v>
      </c>
      <c r="H703" t="n">
        <v>0</v>
      </c>
      <c r="I703" t="n">
        <v>0</v>
      </c>
      <c r="J703" t="n">
        <v>0</v>
      </c>
      <c r="K703" t="n">
        <v>0</v>
      </c>
      <c r="L703" t="n">
        <v>0</v>
      </c>
      <c r="M703" t="n">
        <v>0</v>
      </c>
      <c r="N703" t="n">
        <v>0</v>
      </c>
      <c r="O703" t="n">
        <v>0</v>
      </c>
      <c r="P703" t="n">
        <v>0</v>
      </c>
      <c r="Q703" t="n">
        <v>0</v>
      </c>
      <c r="R703" s="2" t="inlineStr"/>
    </row>
    <row r="704" ht="15" customHeight="1">
      <c r="A704" t="inlineStr">
        <is>
          <t>A 36040-2024</t>
        </is>
      </c>
      <c r="B704" s="1" t="n">
        <v>45533.60232638889</v>
      </c>
      <c r="C704" s="1" t="n">
        <v>45932</v>
      </c>
      <c r="D704" t="inlineStr">
        <is>
          <t>KALMAR LÄN</t>
        </is>
      </c>
      <c r="E704" t="inlineStr">
        <is>
          <t>VIMMERBY</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36043-2024</t>
        </is>
      </c>
      <c r="B705" s="1" t="n">
        <v>45533.60770833334</v>
      </c>
      <c r="C705" s="1" t="n">
        <v>45932</v>
      </c>
      <c r="D705" t="inlineStr">
        <is>
          <t>KALMAR LÄN</t>
        </is>
      </c>
      <c r="E705" t="inlineStr">
        <is>
          <t>VIMMERBY</t>
        </is>
      </c>
      <c r="F705" t="inlineStr">
        <is>
          <t>Kommuner</t>
        </is>
      </c>
      <c r="G705" t="n">
        <v>1.5</v>
      </c>
      <c r="H705" t="n">
        <v>0</v>
      </c>
      <c r="I705" t="n">
        <v>0</v>
      </c>
      <c r="J705" t="n">
        <v>0</v>
      </c>
      <c r="K705" t="n">
        <v>0</v>
      </c>
      <c r="L705" t="n">
        <v>0</v>
      </c>
      <c r="M705" t="n">
        <v>0</v>
      </c>
      <c r="N705" t="n">
        <v>0</v>
      </c>
      <c r="O705" t="n">
        <v>0</v>
      </c>
      <c r="P705" t="n">
        <v>0</v>
      </c>
      <c r="Q705" t="n">
        <v>0</v>
      </c>
      <c r="R705" s="2" t="inlineStr"/>
    </row>
    <row r="706" ht="15" customHeight="1">
      <c r="A706" t="inlineStr">
        <is>
          <t>A 12890-2023</t>
        </is>
      </c>
      <c r="B706" s="1" t="n">
        <v>45001.59209490741</v>
      </c>
      <c r="C706" s="1" t="n">
        <v>45932</v>
      </c>
      <c r="D706" t="inlineStr">
        <is>
          <t>KALMAR LÄN</t>
        </is>
      </c>
      <c r="E706" t="inlineStr">
        <is>
          <t>VIMMERBY</t>
        </is>
      </c>
      <c r="G706" t="n">
        <v>2.8</v>
      </c>
      <c r="H706" t="n">
        <v>0</v>
      </c>
      <c r="I706" t="n">
        <v>0</v>
      </c>
      <c r="J706" t="n">
        <v>0</v>
      </c>
      <c r="K706" t="n">
        <v>0</v>
      </c>
      <c r="L706" t="n">
        <v>0</v>
      </c>
      <c r="M706" t="n">
        <v>0</v>
      </c>
      <c r="N706" t="n">
        <v>0</v>
      </c>
      <c r="O706" t="n">
        <v>0</v>
      </c>
      <c r="P706" t="n">
        <v>0</v>
      </c>
      <c r="Q706" t="n">
        <v>0</v>
      </c>
      <c r="R706" s="2" t="inlineStr"/>
    </row>
    <row r="707" ht="15" customHeight="1">
      <c r="A707" t="inlineStr">
        <is>
          <t>A 43594-2024</t>
        </is>
      </c>
      <c r="B707" s="1" t="n">
        <v>45569.44295138889</v>
      </c>
      <c r="C707" s="1" t="n">
        <v>45932</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53482-2022</t>
        </is>
      </c>
      <c r="B708" s="1" t="n">
        <v>44879</v>
      </c>
      <c r="C708" s="1" t="n">
        <v>45932</v>
      </c>
      <c r="D708" t="inlineStr">
        <is>
          <t>KALMAR LÄN</t>
        </is>
      </c>
      <c r="E708" t="inlineStr">
        <is>
          <t>VIMMERBY</t>
        </is>
      </c>
      <c r="G708" t="n">
        <v>10.1</v>
      </c>
      <c r="H708" t="n">
        <v>0</v>
      </c>
      <c r="I708" t="n">
        <v>0</v>
      </c>
      <c r="J708" t="n">
        <v>0</v>
      </c>
      <c r="K708" t="n">
        <v>0</v>
      </c>
      <c r="L708" t="n">
        <v>0</v>
      </c>
      <c r="M708" t="n">
        <v>0</v>
      </c>
      <c r="N708" t="n">
        <v>0</v>
      </c>
      <c r="O708" t="n">
        <v>0</v>
      </c>
      <c r="P708" t="n">
        <v>0</v>
      </c>
      <c r="Q708" t="n">
        <v>0</v>
      </c>
      <c r="R708" s="2" t="inlineStr"/>
    </row>
    <row r="709" ht="15" customHeight="1">
      <c r="A709" t="inlineStr">
        <is>
          <t>A 43465-2025</t>
        </is>
      </c>
      <c r="B709" s="1" t="n">
        <v>45911.47138888889</v>
      </c>
      <c r="C709" s="1" t="n">
        <v>45932</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27761-2024</t>
        </is>
      </c>
      <c r="B710" s="1" t="n">
        <v>45475.49018518518</v>
      </c>
      <c r="C710" s="1" t="n">
        <v>45932</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7627-2025</t>
        </is>
      </c>
      <c r="B711" s="1" t="n">
        <v>45705.73300925926</v>
      </c>
      <c r="C711" s="1" t="n">
        <v>45932</v>
      </c>
      <c r="D711" t="inlineStr">
        <is>
          <t>KALMAR LÄN</t>
        </is>
      </c>
      <c r="E711" t="inlineStr">
        <is>
          <t>VIMMERBY</t>
        </is>
      </c>
      <c r="G711" t="n">
        <v>2.1</v>
      </c>
      <c r="H711" t="n">
        <v>0</v>
      </c>
      <c r="I711" t="n">
        <v>0</v>
      </c>
      <c r="J711" t="n">
        <v>0</v>
      </c>
      <c r="K711" t="n">
        <v>0</v>
      </c>
      <c r="L711" t="n">
        <v>0</v>
      </c>
      <c r="M711" t="n">
        <v>0</v>
      </c>
      <c r="N711" t="n">
        <v>0</v>
      </c>
      <c r="O711" t="n">
        <v>0</v>
      </c>
      <c r="P711" t="n">
        <v>0</v>
      </c>
      <c r="Q711" t="n">
        <v>0</v>
      </c>
      <c r="R711" s="2" t="inlineStr"/>
    </row>
    <row r="712" ht="15" customHeight="1">
      <c r="A712" t="inlineStr">
        <is>
          <t>A 64203-2021</t>
        </is>
      </c>
      <c r="B712" s="1" t="n">
        <v>44510.60921296296</v>
      </c>
      <c r="C712" s="1" t="n">
        <v>45932</v>
      </c>
      <c r="D712" t="inlineStr">
        <is>
          <t>KALMAR LÄN</t>
        </is>
      </c>
      <c r="E712" t="inlineStr">
        <is>
          <t>VIMMERBY</t>
        </is>
      </c>
      <c r="F712" t="inlineStr">
        <is>
          <t>Övriga Aktiebolag</t>
        </is>
      </c>
      <c r="G712" t="n">
        <v>5.4</v>
      </c>
      <c r="H712" t="n">
        <v>0</v>
      </c>
      <c r="I712" t="n">
        <v>0</v>
      </c>
      <c r="J712" t="n">
        <v>0</v>
      </c>
      <c r="K712" t="n">
        <v>0</v>
      </c>
      <c r="L712" t="n">
        <v>0</v>
      </c>
      <c r="M712" t="n">
        <v>0</v>
      </c>
      <c r="N712" t="n">
        <v>0</v>
      </c>
      <c r="O712" t="n">
        <v>0</v>
      </c>
      <c r="P712" t="n">
        <v>0</v>
      </c>
      <c r="Q712" t="n">
        <v>0</v>
      </c>
      <c r="R712" s="2" t="inlineStr"/>
    </row>
    <row r="713" ht="15" customHeight="1">
      <c r="A713" t="inlineStr">
        <is>
          <t>A 5720-2023</t>
        </is>
      </c>
      <c r="B713" s="1" t="n">
        <v>44961</v>
      </c>
      <c r="C713" s="1" t="n">
        <v>45932</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9643-2023</t>
        </is>
      </c>
      <c r="B714" s="1" t="n">
        <v>44984</v>
      </c>
      <c r="C714" s="1" t="n">
        <v>45932</v>
      </c>
      <c r="D714" t="inlineStr">
        <is>
          <t>KALMAR LÄN</t>
        </is>
      </c>
      <c r="E714" t="inlineStr">
        <is>
          <t>VIMMERBY</t>
        </is>
      </c>
      <c r="G714" t="n">
        <v>2</v>
      </c>
      <c r="H714" t="n">
        <v>0</v>
      </c>
      <c r="I714" t="n">
        <v>0</v>
      </c>
      <c r="J714" t="n">
        <v>0</v>
      </c>
      <c r="K714" t="n">
        <v>0</v>
      </c>
      <c r="L714" t="n">
        <v>0</v>
      </c>
      <c r="M714" t="n">
        <v>0</v>
      </c>
      <c r="N714" t="n">
        <v>0</v>
      </c>
      <c r="O714" t="n">
        <v>0</v>
      </c>
      <c r="P714" t="n">
        <v>0</v>
      </c>
      <c r="Q714" t="n">
        <v>0</v>
      </c>
      <c r="R714" s="2" t="inlineStr"/>
    </row>
    <row r="715" ht="15" customHeight="1">
      <c r="A715" t="inlineStr">
        <is>
          <t>A 25728-2023</t>
        </is>
      </c>
      <c r="B715" s="1" t="n">
        <v>45090.38012731481</v>
      </c>
      <c r="C715" s="1" t="n">
        <v>45932</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42794-2025</t>
        </is>
      </c>
      <c r="B716" s="1" t="n">
        <v>45908</v>
      </c>
      <c r="C716" s="1" t="n">
        <v>45932</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34090-2025</t>
        </is>
      </c>
      <c r="B717" s="1" t="n">
        <v>45845</v>
      </c>
      <c r="C717" s="1" t="n">
        <v>45932</v>
      </c>
      <c r="D717" t="inlineStr">
        <is>
          <t>KALMAR LÄN</t>
        </is>
      </c>
      <c r="E717" t="inlineStr">
        <is>
          <t>VIMMERBY</t>
        </is>
      </c>
      <c r="G717" t="n">
        <v>2.8</v>
      </c>
      <c r="H717" t="n">
        <v>0</v>
      </c>
      <c r="I717" t="n">
        <v>0</v>
      </c>
      <c r="J717" t="n">
        <v>0</v>
      </c>
      <c r="K717" t="n">
        <v>0</v>
      </c>
      <c r="L717" t="n">
        <v>0</v>
      </c>
      <c r="M717" t="n">
        <v>0</v>
      </c>
      <c r="N717" t="n">
        <v>0</v>
      </c>
      <c r="O717" t="n">
        <v>0</v>
      </c>
      <c r="P717" t="n">
        <v>0</v>
      </c>
      <c r="Q717" t="n">
        <v>0</v>
      </c>
      <c r="R717" s="2" t="inlineStr"/>
    </row>
    <row r="718" ht="15" customHeight="1">
      <c r="A718" t="inlineStr">
        <is>
          <t>A 6807-2025</t>
        </is>
      </c>
      <c r="B718" s="1" t="n">
        <v>45700.68672453704</v>
      </c>
      <c r="C718" s="1" t="n">
        <v>45932</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7047-2022</t>
        </is>
      </c>
      <c r="B719" s="1" t="n">
        <v>44603</v>
      </c>
      <c r="C719" s="1" t="n">
        <v>45932</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35711-2023</t>
        </is>
      </c>
      <c r="B720" s="1" t="n">
        <v>45147.67172453704</v>
      </c>
      <c r="C720" s="1" t="n">
        <v>45932</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5382-2023</t>
        </is>
      </c>
      <c r="B721" s="1" t="n">
        <v>44959.66407407408</v>
      </c>
      <c r="C721" s="1" t="n">
        <v>45932</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41311-2023</t>
        </is>
      </c>
      <c r="B722" s="1" t="n">
        <v>45174</v>
      </c>
      <c r="C722" s="1" t="n">
        <v>45932</v>
      </c>
      <c r="D722" t="inlineStr">
        <is>
          <t>KALMAR LÄN</t>
        </is>
      </c>
      <c r="E722" t="inlineStr">
        <is>
          <t>VIMMERBY</t>
        </is>
      </c>
      <c r="G722" t="n">
        <v>0.7</v>
      </c>
      <c r="H722" t="n">
        <v>0</v>
      </c>
      <c r="I722" t="n">
        <v>0</v>
      </c>
      <c r="J722" t="n">
        <v>0</v>
      </c>
      <c r="K722" t="n">
        <v>0</v>
      </c>
      <c r="L722" t="n">
        <v>0</v>
      </c>
      <c r="M722" t="n">
        <v>0</v>
      </c>
      <c r="N722" t="n">
        <v>0</v>
      </c>
      <c r="O722" t="n">
        <v>0</v>
      </c>
      <c r="P722" t="n">
        <v>0</v>
      </c>
      <c r="Q722" t="n">
        <v>0</v>
      </c>
      <c r="R722" s="2" t="inlineStr"/>
    </row>
    <row r="723" ht="15" customHeight="1">
      <c r="A723" t="inlineStr">
        <is>
          <t>A 36598-2025</t>
        </is>
      </c>
      <c r="B723" s="1" t="n">
        <v>45870.51708333333</v>
      </c>
      <c r="C723" s="1" t="n">
        <v>45932</v>
      </c>
      <c r="D723" t="inlineStr">
        <is>
          <t>KALMAR LÄN</t>
        </is>
      </c>
      <c r="E723" t="inlineStr">
        <is>
          <t>VIMMERBY</t>
        </is>
      </c>
      <c r="G723" t="n">
        <v>3.7</v>
      </c>
      <c r="H723" t="n">
        <v>0</v>
      </c>
      <c r="I723" t="n">
        <v>0</v>
      </c>
      <c r="J723" t="n">
        <v>0</v>
      </c>
      <c r="K723" t="n">
        <v>0</v>
      </c>
      <c r="L723" t="n">
        <v>0</v>
      </c>
      <c r="M723" t="n">
        <v>0</v>
      </c>
      <c r="N723" t="n">
        <v>0</v>
      </c>
      <c r="O723" t="n">
        <v>0</v>
      </c>
      <c r="P723" t="n">
        <v>0</v>
      </c>
      <c r="Q723" t="n">
        <v>0</v>
      </c>
      <c r="R723" s="2" t="inlineStr"/>
    </row>
    <row r="724" ht="15" customHeight="1">
      <c r="A724" t="inlineStr">
        <is>
          <t>A 36602-2025</t>
        </is>
      </c>
      <c r="B724" s="1" t="n">
        <v>45870.52111111111</v>
      </c>
      <c r="C724" s="1" t="n">
        <v>45932</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40823-2023</t>
        </is>
      </c>
      <c r="B725" s="1" t="n">
        <v>45171.77335648148</v>
      </c>
      <c r="C725" s="1" t="n">
        <v>45932</v>
      </c>
      <c r="D725" t="inlineStr">
        <is>
          <t>KALMAR LÄN</t>
        </is>
      </c>
      <c r="E725" t="inlineStr">
        <is>
          <t>VIMMERBY</t>
        </is>
      </c>
      <c r="G725" t="n">
        <v>2.7</v>
      </c>
      <c r="H725" t="n">
        <v>0</v>
      </c>
      <c r="I725" t="n">
        <v>0</v>
      </c>
      <c r="J725" t="n">
        <v>0</v>
      </c>
      <c r="K725" t="n">
        <v>0</v>
      </c>
      <c r="L725" t="n">
        <v>0</v>
      </c>
      <c r="M725" t="n">
        <v>0</v>
      </c>
      <c r="N725" t="n">
        <v>0</v>
      </c>
      <c r="O725" t="n">
        <v>0</v>
      </c>
      <c r="P725" t="n">
        <v>0</v>
      </c>
      <c r="Q725" t="n">
        <v>0</v>
      </c>
      <c r="R725" s="2" t="inlineStr"/>
    </row>
    <row r="726" ht="15" customHeight="1">
      <c r="A726" t="inlineStr">
        <is>
          <t>A 26318-2023</t>
        </is>
      </c>
      <c r="B726" s="1" t="n">
        <v>45091.67936342592</v>
      </c>
      <c r="C726" s="1" t="n">
        <v>45932</v>
      </c>
      <c r="D726" t="inlineStr">
        <is>
          <t>KALMAR LÄN</t>
        </is>
      </c>
      <c r="E726" t="inlineStr">
        <is>
          <t>VIMMERBY</t>
        </is>
      </c>
      <c r="G726" t="n">
        <v>3.8</v>
      </c>
      <c r="H726" t="n">
        <v>0</v>
      </c>
      <c r="I726" t="n">
        <v>0</v>
      </c>
      <c r="J726" t="n">
        <v>0</v>
      </c>
      <c r="K726" t="n">
        <v>0</v>
      </c>
      <c r="L726" t="n">
        <v>0</v>
      </c>
      <c r="M726" t="n">
        <v>0</v>
      </c>
      <c r="N726" t="n">
        <v>0</v>
      </c>
      <c r="O726" t="n">
        <v>0</v>
      </c>
      <c r="P726" t="n">
        <v>0</v>
      </c>
      <c r="Q726" t="n">
        <v>0</v>
      </c>
      <c r="R726" s="2" t="inlineStr"/>
    </row>
    <row r="727" ht="15" customHeight="1">
      <c r="A727" t="inlineStr">
        <is>
          <t>A 6218-2025</t>
        </is>
      </c>
      <c r="B727" s="1" t="n">
        <v>45698.53336805556</v>
      </c>
      <c r="C727" s="1" t="n">
        <v>45932</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30920-2023</t>
        </is>
      </c>
      <c r="B728" s="1" t="n">
        <v>45113.43921296296</v>
      </c>
      <c r="C728" s="1" t="n">
        <v>45932</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44091-2025</t>
        </is>
      </c>
      <c r="B729" s="1" t="n">
        <v>45915.55950231481</v>
      </c>
      <c r="C729" s="1" t="n">
        <v>45932</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6857-2023</t>
        </is>
      </c>
      <c r="B730" s="1" t="n">
        <v>44967.45122685185</v>
      </c>
      <c r="C730" s="1" t="n">
        <v>45932</v>
      </c>
      <c r="D730" t="inlineStr">
        <is>
          <t>KALMAR LÄN</t>
        </is>
      </c>
      <c r="E730" t="inlineStr">
        <is>
          <t>VIMMERBY</t>
        </is>
      </c>
      <c r="G730" t="n">
        <v>2.1</v>
      </c>
      <c r="H730" t="n">
        <v>0</v>
      </c>
      <c r="I730" t="n">
        <v>0</v>
      </c>
      <c r="J730" t="n">
        <v>0</v>
      </c>
      <c r="K730" t="n">
        <v>0</v>
      </c>
      <c r="L730" t="n">
        <v>0</v>
      </c>
      <c r="M730" t="n">
        <v>0</v>
      </c>
      <c r="N730" t="n">
        <v>0</v>
      </c>
      <c r="O730" t="n">
        <v>0</v>
      </c>
      <c r="P730" t="n">
        <v>0</v>
      </c>
      <c r="Q730" t="n">
        <v>0</v>
      </c>
      <c r="R730" s="2" t="inlineStr"/>
    </row>
    <row r="731" ht="15" customHeight="1">
      <c r="A731" t="inlineStr">
        <is>
          <t>A 36603-2025</t>
        </is>
      </c>
      <c r="B731" s="1" t="n">
        <v>45870.52142361111</v>
      </c>
      <c r="C731" s="1" t="n">
        <v>45932</v>
      </c>
      <c r="D731" t="inlineStr">
        <is>
          <t>KALMAR LÄN</t>
        </is>
      </c>
      <c r="E731" t="inlineStr">
        <is>
          <t>VIMMERBY</t>
        </is>
      </c>
      <c r="G731" t="n">
        <v>1.6</v>
      </c>
      <c r="H731" t="n">
        <v>0</v>
      </c>
      <c r="I731" t="n">
        <v>0</v>
      </c>
      <c r="J731" t="n">
        <v>0</v>
      </c>
      <c r="K731" t="n">
        <v>0</v>
      </c>
      <c r="L731" t="n">
        <v>0</v>
      </c>
      <c r="M731" t="n">
        <v>0</v>
      </c>
      <c r="N731" t="n">
        <v>0</v>
      </c>
      <c r="O731" t="n">
        <v>0</v>
      </c>
      <c r="P731" t="n">
        <v>0</v>
      </c>
      <c r="Q731" t="n">
        <v>0</v>
      </c>
      <c r="R731" s="2" t="inlineStr"/>
    </row>
    <row r="732" ht="15" customHeight="1">
      <c r="A732" t="inlineStr">
        <is>
          <t>A 61355-2024</t>
        </is>
      </c>
      <c r="B732" s="1" t="n">
        <v>45646.38200231481</v>
      </c>
      <c r="C732" s="1" t="n">
        <v>45932</v>
      </c>
      <c r="D732" t="inlineStr">
        <is>
          <t>KALMAR LÄN</t>
        </is>
      </c>
      <c r="E732" t="inlineStr">
        <is>
          <t>VIMMERBY</t>
        </is>
      </c>
      <c r="G732" t="n">
        <v>2.7</v>
      </c>
      <c r="H732" t="n">
        <v>0</v>
      </c>
      <c r="I732" t="n">
        <v>0</v>
      </c>
      <c r="J732" t="n">
        <v>0</v>
      </c>
      <c r="K732" t="n">
        <v>0</v>
      </c>
      <c r="L732" t="n">
        <v>0</v>
      </c>
      <c r="M732" t="n">
        <v>0</v>
      </c>
      <c r="N732" t="n">
        <v>0</v>
      </c>
      <c r="O732" t="n">
        <v>0</v>
      </c>
      <c r="P732" t="n">
        <v>0</v>
      </c>
      <c r="Q732" t="n">
        <v>0</v>
      </c>
      <c r="R732" s="2" t="inlineStr"/>
    </row>
    <row r="733" ht="15" customHeight="1">
      <c r="A733" t="inlineStr">
        <is>
          <t>A 44095-2025</t>
        </is>
      </c>
      <c r="B733" s="1" t="n">
        <v>45915.56430555556</v>
      </c>
      <c r="C733" s="1" t="n">
        <v>45932</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5792-2023</t>
        </is>
      </c>
      <c r="B734" s="1" t="n">
        <v>44963.44769675926</v>
      </c>
      <c r="C734" s="1" t="n">
        <v>45932</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10303-2025</t>
        </is>
      </c>
      <c r="B735" s="1" t="n">
        <v>45720.44217592593</v>
      </c>
      <c r="C735" s="1" t="n">
        <v>45932</v>
      </c>
      <c r="D735" t="inlineStr">
        <is>
          <t>KALMAR LÄN</t>
        </is>
      </c>
      <c r="E735" t="inlineStr">
        <is>
          <t>VIMMERBY</t>
        </is>
      </c>
      <c r="G735" t="n">
        <v>0.9</v>
      </c>
      <c r="H735" t="n">
        <v>0</v>
      </c>
      <c r="I735" t="n">
        <v>0</v>
      </c>
      <c r="J735" t="n">
        <v>0</v>
      </c>
      <c r="K735" t="n">
        <v>0</v>
      </c>
      <c r="L735" t="n">
        <v>0</v>
      </c>
      <c r="M735" t="n">
        <v>0</v>
      </c>
      <c r="N735" t="n">
        <v>0</v>
      </c>
      <c r="O735" t="n">
        <v>0</v>
      </c>
      <c r="P735" t="n">
        <v>0</v>
      </c>
      <c r="Q735" t="n">
        <v>0</v>
      </c>
      <c r="R735" s="2" t="inlineStr"/>
    </row>
    <row r="736" ht="15" customHeight="1">
      <c r="A736" t="inlineStr">
        <is>
          <t>A 36600-2025</t>
        </is>
      </c>
      <c r="B736" s="1" t="n">
        <v>45870.51958333333</v>
      </c>
      <c r="C736" s="1" t="n">
        <v>45932</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36601-2025</t>
        </is>
      </c>
      <c r="B737" s="1" t="n">
        <v>45870.52005787037</v>
      </c>
      <c r="C737" s="1" t="n">
        <v>45932</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45932</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15394-2025</t>
        </is>
      </c>
      <c r="B739" s="1" t="n">
        <v>45747.43196759259</v>
      </c>
      <c r="C739" s="1" t="n">
        <v>45932</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15388-2025</t>
        </is>
      </c>
      <c r="B740" s="1" t="n">
        <v>45747.42633101852</v>
      </c>
      <c r="C740" s="1" t="n">
        <v>45932</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15391-2025</t>
        </is>
      </c>
      <c r="B741" s="1" t="n">
        <v>45747.42958333333</v>
      </c>
      <c r="C741" s="1" t="n">
        <v>45932</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6474-2025</t>
        </is>
      </c>
      <c r="B742" s="1" t="n">
        <v>45699.60055555555</v>
      </c>
      <c r="C742" s="1" t="n">
        <v>45932</v>
      </c>
      <c r="D742" t="inlineStr">
        <is>
          <t>KALMAR LÄN</t>
        </is>
      </c>
      <c r="E742" t="inlineStr">
        <is>
          <t>VIMMERBY</t>
        </is>
      </c>
      <c r="G742" t="n">
        <v>1.6</v>
      </c>
      <c r="H742" t="n">
        <v>0</v>
      </c>
      <c r="I742" t="n">
        <v>0</v>
      </c>
      <c r="J742" t="n">
        <v>0</v>
      </c>
      <c r="K742" t="n">
        <v>0</v>
      </c>
      <c r="L742" t="n">
        <v>0</v>
      </c>
      <c r="M742" t="n">
        <v>0</v>
      </c>
      <c r="N742" t="n">
        <v>0</v>
      </c>
      <c r="O742" t="n">
        <v>0</v>
      </c>
      <c r="P742" t="n">
        <v>0</v>
      </c>
      <c r="Q742" t="n">
        <v>0</v>
      </c>
      <c r="R742" s="2" t="inlineStr"/>
    </row>
    <row r="743" ht="15" customHeight="1">
      <c r="A743" t="inlineStr">
        <is>
          <t>A 32919-2022</t>
        </is>
      </c>
      <c r="B743" s="1" t="n">
        <v>44784.62724537037</v>
      </c>
      <c r="C743" s="1" t="n">
        <v>45932</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44742-2025</t>
        </is>
      </c>
      <c r="B744" s="1" t="n">
        <v>45917.67054398148</v>
      </c>
      <c r="C744" s="1" t="n">
        <v>45932</v>
      </c>
      <c r="D744" t="inlineStr">
        <is>
          <t>KALMAR LÄN</t>
        </is>
      </c>
      <c r="E744" t="inlineStr">
        <is>
          <t>VIMMERBY</t>
        </is>
      </c>
      <c r="G744" t="n">
        <v>4.7</v>
      </c>
      <c r="H744" t="n">
        <v>0</v>
      </c>
      <c r="I744" t="n">
        <v>0</v>
      </c>
      <c r="J744" t="n">
        <v>0</v>
      </c>
      <c r="K744" t="n">
        <v>0</v>
      </c>
      <c r="L744" t="n">
        <v>0</v>
      </c>
      <c r="M744" t="n">
        <v>0</v>
      </c>
      <c r="N744" t="n">
        <v>0</v>
      </c>
      <c r="O744" t="n">
        <v>0</v>
      </c>
      <c r="P744" t="n">
        <v>0</v>
      </c>
      <c r="Q744" t="n">
        <v>0</v>
      </c>
      <c r="R744" s="2" t="inlineStr"/>
    </row>
    <row r="745" ht="15" customHeight="1">
      <c r="A745" t="inlineStr">
        <is>
          <t>A 36802-2021</t>
        </is>
      </c>
      <c r="B745" s="1" t="n">
        <v>44392</v>
      </c>
      <c r="C745" s="1" t="n">
        <v>45932</v>
      </c>
      <c r="D745" t="inlineStr">
        <is>
          <t>KALMAR LÄN</t>
        </is>
      </c>
      <c r="E745" t="inlineStr">
        <is>
          <t>VIMMERBY</t>
        </is>
      </c>
      <c r="F745" t="inlineStr">
        <is>
          <t>Sveaskog</t>
        </is>
      </c>
      <c r="G745" t="n">
        <v>4.6</v>
      </c>
      <c r="H745" t="n">
        <v>0</v>
      </c>
      <c r="I745" t="n">
        <v>0</v>
      </c>
      <c r="J745" t="n">
        <v>0</v>
      </c>
      <c r="K745" t="n">
        <v>0</v>
      </c>
      <c r="L745" t="n">
        <v>0</v>
      </c>
      <c r="M745" t="n">
        <v>0</v>
      </c>
      <c r="N745" t="n">
        <v>0</v>
      </c>
      <c r="O745" t="n">
        <v>0</v>
      </c>
      <c r="P745" t="n">
        <v>0</v>
      </c>
      <c r="Q745" t="n">
        <v>0</v>
      </c>
      <c r="R745" s="2" t="inlineStr"/>
    </row>
    <row r="746" ht="15" customHeight="1">
      <c r="A746" t="inlineStr">
        <is>
          <t>A 37088-2025</t>
        </is>
      </c>
      <c r="B746" s="1" t="n">
        <v>45875.45716435185</v>
      </c>
      <c r="C746" s="1" t="n">
        <v>45932</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37102-2025</t>
        </is>
      </c>
      <c r="B747" s="1" t="n">
        <v>45875.47454861111</v>
      </c>
      <c r="C747" s="1" t="n">
        <v>45932</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37079-2025</t>
        </is>
      </c>
      <c r="B748" s="1" t="n">
        <v>45875.42716435185</v>
      </c>
      <c r="C748" s="1" t="n">
        <v>45932</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44329-2025</t>
        </is>
      </c>
      <c r="B749" s="1" t="n">
        <v>45916.41019675926</v>
      </c>
      <c r="C749" s="1" t="n">
        <v>45932</v>
      </c>
      <c r="D749" t="inlineStr">
        <is>
          <t>KALMAR LÄN</t>
        </is>
      </c>
      <c r="E749" t="inlineStr">
        <is>
          <t>VIMMERBY</t>
        </is>
      </c>
      <c r="G749" t="n">
        <v>4.3</v>
      </c>
      <c r="H749" t="n">
        <v>0</v>
      </c>
      <c r="I749" t="n">
        <v>0</v>
      </c>
      <c r="J749" t="n">
        <v>0</v>
      </c>
      <c r="K749" t="n">
        <v>0</v>
      </c>
      <c r="L749" t="n">
        <v>0</v>
      </c>
      <c r="M749" t="n">
        <v>0</v>
      </c>
      <c r="N749" t="n">
        <v>0</v>
      </c>
      <c r="O749" t="n">
        <v>0</v>
      </c>
      <c r="P749" t="n">
        <v>0</v>
      </c>
      <c r="Q749" t="n">
        <v>0</v>
      </c>
      <c r="R749" s="2" t="inlineStr"/>
    </row>
    <row r="750" ht="15" customHeight="1">
      <c r="A750" t="inlineStr">
        <is>
          <t>A 56659-2023</t>
        </is>
      </c>
      <c r="B750" s="1" t="n">
        <v>45243.84869212963</v>
      </c>
      <c r="C750" s="1" t="n">
        <v>45932</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44517-2025</t>
        </is>
      </c>
      <c r="B751" s="1" t="n">
        <v>45916.7103587963</v>
      </c>
      <c r="C751" s="1" t="n">
        <v>45932</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38198-2024</t>
        </is>
      </c>
      <c r="B752" s="1" t="n">
        <v>45545.49508101852</v>
      </c>
      <c r="C752" s="1" t="n">
        <v>45932</v>
      </c>
      <c r="D752" t="inlineStr">
        <is>
          <t>KALMAR LÄN</t>
        </is>
      </c>
      <c r="E752" t="inlineStr">
        <is>
          <t>VIMMERBY</t>
        </is>
      </c>
      <c r="G752" t="n">
        <v>7.9</v>
      </c>
      <c r="H752" t="n">
        <v>0</v>
      </c>
      <c r="I752" t="n">
        <v>0</v>
      </c>
      <c r="J752" t="n">
        <v>0</v>
      </c>
      <c r="K752" t="n">
        <v>0</v>
      </c>
      <c r="L752" t="n">
        <v>0</v>
      </c>
      <c r="M752" t="n">
        <v>0</v>
      </c>
      <c r="N752" t="n">
        <v>0</v>
      </c>
      <c r="O752" t="n">
        <v>0</v>
      </c>
      <c r="P752" t="n">
        <v>0</v>
      </c>
      <c r="Q752" t="n">
        <v>0</v>
      </c>
      <c r="R752" s="2" t="inlineStr"/>
    </row>
    <row r="753" ht="15" customHeight="1">
      <c r="A753" t="inlineStr">
        <is>
          <t>A 13015-2022</t>
        </is>
      </c>
      <c r="B753" s="1" t="n">
        <v>44643</v>
      </c>
      <c r="C753" s="1" t="n">
        <v>45932</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9623-2024</t>
        </is>
      </c>
      <c r="B754" s="1" t="n">
        <v>45361.87975694444</v>
      </c>
      <c r="C754" s="1" t="n">
        <v>45932</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36934-2025</t>
        </is>
      </c>
      <c r="B755" s="1" t="n">
        <v>45874.57109953704</v>
      </c>
      <c r="C755" s="1" t="n">
        <v>45932</v>
      </c>
      <c r="D755" t="inlineStr">
        <is>
          <t>KALMAR LÄN</t>
        </is>
      </c>
      <c r="E755" t="inlineStr">
        <is>
          <t>VIMMERBY</t>
        </is>
      </c>
      <c r="G755" t="n">
        <v>4.2</v>
      </c>
      <c r="H755" t="n">
        <v>0</v>
      </c>
      <c r="I755" t="n">
        <v>0</v>
      </c>
      <c r="J755" t="n">
        <v>0</v>
      </c>
      <c r="K755" t="n">
        <v>0</v>
      </c>
      <c r="L755" t="n">
        <v>0</v>
      </c>
      <c r="M755" t="n">
        <v>0</v>
      </c>
      <c r="N755" t="n">
        <v>0</v>
      </c>
      <c r="O755" t="n">
        <v>0</v>
      </c>
      <c r="P755" t="n">
        <v>0</v>
      </c>
      <c r="Q755" t="n">
        <v>0</v>
      </c>
      <c r="R755" s="2" t="inlineStr"/>
    </row>
    <row r="756" ht="15" customHeight="1">
      <c r="A756" t="inlineStr">
        <is>
          <t>A 58967-2022</t>
        </is>
      </c>
      <c r="B756" s="1" t="n">
        <v>44896</v>
      </c>
      <c r="C756" s="1" t="n">
        <v>45932</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6399-2025</t>
        </is>
      </c>
      <c r="B757" s="1" t="n">
        <v>45699.44291666667</v>
      </c>
      <c r="C757" s="1" t="n">
        <v>45932</v>
      </c>
      <c r="D757" t="inlineStr">
        <is>
          <t>KALMAR LÄN</t>
        </is>
      </c>
      <c r="E757" t="inlineStr">
        <is>
          <t>VIMMERBY</t>
        </is>
      </c>
      <c r="G757" t="n">
        <v>3.1</v>
      </c>
      <c r="H757" t="n">
        <v>0</v>
      </c>
      <c r="I757" t="n">
        <v>0</v>
      </c>
      <c r="J757" t="n">
        <v>0</v>
      </c>
      <c r="K757" t="n">
        <v>0</v>
      </c>
      <c r="L757" t="n">
        <v>0</v>
      </c>
      <c r="M757" t="n">
        <v>0</v>
      </c>
      <c r="N757" t="n">
        <v>0</v>
      </c>
      <c r="O757" t="n">
        <v>0</v>
      </c>
      <c r="P757" t="n">
        <v>0</v>
      </c>
      <c r="Q757" t="n">
        <v>0</v>
      </c>
      <c r="R757" s="2" t="inlineStr"/>
    </row>
    <row r="758" ht="15" customHeight="1">
      <c r="A758" t="inlineStr">
        <is>
          <t>A 31355-2023</t>
        </is>
      </c>
      <c r="B758" s="1" t="n">
        <v>45114.49505787037</v>
      </c>
      <c r="C758" s="1" t="n">
        <v>45932</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17968-2025</t>
        </is>
      </c>
      <c r="B759" s="1" t="n">
        <v>45761.35990740741</v>
      </c>
      <c r="C759" s="1" t="n">
        <v>45932</v>
      </c>
      <c r="D759" t="inlineStr">
        <is>
          <t>KALMAR LÄN</t>
        </is>
      </c>
      <c r="E759" t="inlineStr">
        <is>
          <t>VIMMERBY</t>
        </is>
      </c>
      <c r="G759" t="n">
        <v>3.3</v>
      </c>
      <c r="H759" t="n">
        <v>0</v>
      </c>
      <c r="I759" t="n">
        <v>0</v>
      </c>
      <c r="J759" t="n">
        <v>0</v>
      </c>
      <c r="K759" t="n">
        <v>0</v>
      </c>
      <c r="L759" t="n">
        <v>0</v>
      </c>
      <c r="M759" t="n">
        <v>0</v>
      </c>
      <c r="N759" t="n">
        <v>0</v>
      </c>
      <c r="O759" t="n">
        <v>0</v>
      </c>
      <c r="P759" t="n">
        <v>0</v>
      </c>
      <c r="Q759" t="n">
        <v>0</v>
      </c>
      <c r="R759" s="2" t="inlineStr"/>
    </row>
    <row r="760" ht="15" customHeight="1">
      <c r="A760" t="inlineStr">
        <is>
          <t>A 6028-2023</t>
        </is>
      </c>
      <c r="B760" s="1" t="n">
        <v>44964.44356481481</v>
      </c>
      <c r="C760" s="1" t="n">
        <v>45932</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66295-2020</t>
        </is>
      </c>
      <c r="B761" s="1" t="n">
        <v>44176</v>
      </c>
      <c r="C761" s="1" t="n">
        <v>45932</v>
      </c>
      <c r="D761" t="inlineStr">
        <is>
          <t>KALMAR LÄN</t>
        </is>
      </c>
      <c r="E761" t="inlineStr">
        <is>
          <t>VIMMERBY</t>
        </is>
      </c>
      <c r="G761" t="n">
        <v>4.1</v>
      </c>
      <c r="H761" t="n">
        <v>0</v>
      </c>
      <c r="I761" t="n">
        <v>0</v>
      </c>
      <c r="J761" t="n">
        <v>0</v>
      </c>
      <c r="K761" t="n">
        <v>0</v>
      </c>
      <c r="L761" t="n">
        <v>0</v>
      </c>
      <c r="M761" t="n">
        <v>0</v>
      </c>
      <c r="N761" t="n">
        <v>0</v>
      </c>
      <c r="O761" t="n">
        <v>0</v>
      </c>
      <c r="P761" t="n">
        <v>0</v>
      </c>
      <c r="Q761" t="n">
        <v>0</v>
      </c>
      <c r="R761" s="2" t="inlineStr"/>
    </row>
    <row r="762" ht="15" customHeight="1">
      <c r="A762" t="inlineStr">
        <is>
          <t>A 55436-2023</t>
        </is>
      </c>
      <c r="B762" s="1" t="n">
        <v>45238.4328587963</v>
      </c>
      <c r="C762" s="1" t="n">
        <v>45932</v>
      </c>
      <c r="D762" t="inlineStr">
        <is>
          <t>KALMAR LÄN</t>
        </is>
      </c>
      <c r="E762" t="inlineStr">
        <is>
          <t>VIMMERBY</t>
        </is>
      </c>
      <c r="G762" t="n">
        <v>5.6</v>
      </c>
      <c r="H762" t="n">
        <v>0</v>
      </c>
      <c r="I762" t="n">
        <v>0</v>
      </c>
      <c r="J762" t="n">
        <v>0</v>
      </c>
      <c r="K762" t="n">
        <v>0</v>
      </c>
      <c r="L762" t="n">
        <v>0</v>
      </c>
      <c r="M762" t="n">
        <v>0</v>
      </c>
      <c r="N762" t="n">
        <v>0</v>
      </c>
      <c r="O762" t="n">
        <v>0</v>
      </c>
      <c r="P762" t="n">
        <v>0</v>
      </c>
      <c r="Q762" t="n">
        <v>0</v>
      </c>
      <c r="R762" s="2" t="inlineStr"/>
    </row>
    <row r="763" ht="15" customHeight="1">
      <c r="A763" t="inlineStr">
        <is>
          <t>A 30400-2023</t>
        </is>
      </c>
      <c r="B763" s="1" t="n">
        <v>45111.48225694444</v>
      </c>
      <c r="C763" s="1" t="n">
        <v>45932</v>
      </c>
      <c r="D763" t="inlineStr">
        <is>
          <t>KALMAR LÄN</t>
        </is>
      </c>
      <c r="E763" t="inlineStr">
        <is>
          <t>VIMMERBY</t>
        </is>
      </c>
      <c r="G763" t="n">
        <v>2.7</v>
      </c>
      <c r="H763" t="n">
        <v>0</v>
      </c>
      <c r="I763" t="n">
        <v>0</v>
      </c>
      <c r="J763" t="n">
        <v>0</v>
      </c>
      <c r="K763" t="n">
        <v>0</v>
      </c>
      <c r="L763" t="n">
        <v>0</v>
      </c>
      <c r="M763" t="n">
        <v>0</v>
      </c>
      <c r="N763" t="n">
        <v>0</v>
      </c>
      <c r="O763" t="n">
        <v>0</v>
      </c>
      <c r="P763" t="n">
        <v>0</v>
      </c>
      <c r="Q763" t="n">
        <v>0</v>
      </c>
      <c r="R763" s="2" t="inlineStr"/>
    </row>
    <row r="764" ht="15" customHeight="1">
      <c r="A764" t="inlineStr">
        <is>
          <t>A 30404-2023</t>
        </is>
      </c>
      <c r="B764" s="1" t="n">
        <v>45111.48636574074</v>
      </c>
      <c r="C764" s="1" t="n">
        <v>45932</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45114-2025</t>
        </is>
      </c>
      <c r="B765" s="1" t="n">
        <v>45919.42387731482</v>
      </c>
      <c r="C765" s="1" t="n">
        <v>45932</v>
      </c>
      <c r="D765" t="inlineStr">
        <is>
          <t>KALMAR LÄN</t>
        </is>
      </c>
      <c r="E765" t="inlineStr">
        <is>
          <t>VIMMERBY</t>
        </is>
      </c>
      <c r="G765" t="n">
        <v>2.7</v>
      </c>
      <c r="H765" t="n">
        <v>0</v>
      </c>
      <c r="I765" t="n">
        <v>0</v>
      </c>
      <c r="J765" t="n">
        <v>0</v>
      </c>
      <c r="K765" t="n">
        <v>0</v>
      </c>
      <c r="L765" t="n">
        <v>0</v>
      </c>
      <c r="M765" t="n">
        <v>0</v>
      </c>
      <c r="N765" t="n">
        <v>0</v>
      </c>
      <c r="O765" t="n">
        <v>0</v>
      </c>
      <c r="P765" t="n">
        <v>0</v>
      </c>
      <c r="Q765" t="n">
        <v>0</v>
      </c>
      <c r="R765" s="2" t="inlineStr"/>
    </row>
    <row r="766" ht="15" customHeight="1">
      <c r="A766" t="inlineStr">
        <is>
          <t>A 27705-2023</t>
        </is>
      </c>
      <c r="B766" s="1" t="n">
        <v>45098.30535879629</v>
      </c>
      <c r="C766" s="1" t="n">
        <v>45932</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56582-2022</t>
        </is>
      </c>
      <c r="B767" s="1" t="n">
        <v>44893</v>
      </c>
      <c r="C767" s="1" t="n">
        <v>45932</v>
      </c>
      <c r="D767" t="inlineStr">
        <is>
          <t>KALMAR LÄN</t>
        </is>
      </c>
      <c r="E767" t="inlineStr">
        <is>
          <t>VIMMERBY</t>
        </is>
      </c>
      <c r="G767" t="n">
        <v>2.2</v>
      </c>
      <c r="H767" t="n">
        <v>0</v>
      </c>
      <c r="I767" t="n">
        <v>0</v>
      </c>
      <c r="J767" t="n">
        <v>0</v>
      </c>
      <c r="K767" t="n">
        <v>0</v>
      </c>
      <c r="L767" t="n">
        <v>0</v>
      </c>
      <c r="M767" t="n">
        <v>0</v>
      </c>
      <c r="N767" t="n">
        <v>0</v>
      </c>
      <c r="O767" t="n">
        <v>0</v>
      </c>
      <c r="P767" t="n">
        <v>0</v>
      </c>
      <c r="Q767" t="n">
        <v>0</v>
      </c>
      <c r="R767" s="2" t="inlineStr"/>
    </row>
    <row r="768" ht="15" customHeight="1">
      <c r="A768" t="inlineStr">
        <is>
          <t>A 20-2025</t>
        </is>
      </c>
      <c r="B768" s="1" t="n">
        <v>45658.80232638889</v>
      </c>
      <c r="C768" s="1" t="n">
        <v>45932</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23-2025</t>
        </is>
      </c>
      <c r="B769" s="1" t="n">
        <v>45658.80827546296</v>
      </c>
      <c r="C769" s="1" t="n">
        <v>45932</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43962-2024</t>
        </is>
      </c>
      <c r="B770" s="1" t="n">
        <v>45572.48293981481</v>
      </c>
      <c r="C770" s="1" t="n">
        <v>45932</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35713-2023</t>
        </is>
      </c>
      <c r="B771" s="1" t="n">
        <v>45147</v>
      </c>
      <c r="C771" s="1" t="n">
        <v>45932</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36843-2023</t>
        </is>
      </c>
      <c r="B772" s="1" t="n">
        <v>45154.49831018518</v>
      </c>
      <c r="C772" s="1" t="n">
        <v>45932</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37578-2025</t>
        </is>
      </c>
      <c r="B773" s="1" t="n">
        <v>45880.38380787037</v>
      </c>
      <c r="C773" s="1" t="n">
        <v>45932</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45319-2025</t>
        </is>
      </c>
      <c r="B774" s="1" t="n">
        <v>45921.95611111111</v>
      </c>
      <c r="C774" s="1" t="n">
        <v>45932</v>
      </c>
      <c r="D774" t="inlineStr">
        <is>
          <t>KALMAR LÄN</t>
        </is>
      </c>
      <c r="E774" t="inlineStr">
        <is>
          <t>VIMMERBY</t>
        </is>
      </c>
      <c r="G774" t="n">
        <v>1</v>
      </c>
      <c r="H774" t="n">
        <v>0</v>
      </c>
      <c r="I774" t="n">
        <v>0</v>
      </c>
      <c r="J774" t="n">
        <v>0</v>
      </c>
      <c r="K774" t="n">
        <v>0</v>
      </c>
      <c r="L774" t="n">
        <v>0</v>
      </c>
      <c r="M774" t="n">
        <v>0</v>
      </c>
      <c r="N774" t="n">
        <v>0</v>
      </c>
      <c r="O774" t="n">
        <v>0</v>
      </c>
      <c r="P774" t="n">
        <v>0</v>
      </c>
      <c r="Q774" t="n">
        <v>0</v>
      </c>
      <c r="R774" s="2" t="inlineStr"/>
    </row>
    <row r="775" ht="15" customHeight="1">
      <c r="A775" t="inlineStr">
        <is>
          <t>A 10785-2025</t>
        </is>
      </c>
      <c r="B775" s="1" t="n">
        <v>45722.48634259259</v>
      </c>
      <c r="C775" s="1" t="n">
        <v>45932</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45320-2025</t>
        </is>
      </c>
      <c r="B776" s="1" t="n">
        <v>45921.96395833333</v>
      </c>
      <c r="C776" s="1" t="n">
        <v>45932</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29017-2024</t>
        </is>
      </c>
      <c r="B777" s="1" t="n">
        <v>45481.56722222222</v>
      </c>
      <c r="C777" s="1" t="n">
        <v>45932</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40147-2023</t>
        </is>
      </c>
      <c r="B778" s="1" t="n">
        <v>45169</v>
      </c>
      <c r="C778" s="1" t="n">
        <v>45932</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23263-2024</t>
        </is>
      </c>
      <c r="B779" s="1" t="n">
        <v>45453.36854166666</v>
      </c>
      <c r="C779" s="1" t="n">
        <v>45932</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11074-2023</t>
        </is>
      </c>
      <c r="B780" s="1" t="n">
        <v>44992.34151620371</v>
      </c>
      <c r="C780" s="1" t="n">
        <v>45932</v>
      </c>
      <c r="D780" t="inlineStr">
        <is>
          <t>KALMAR LÄN</t>
        </is>
      </c>
      <c r="E780" t="inlineStr">
        <is>
          <t>VIMMERBY</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61939-2021</t>
        </is>
      </c>
      <c r="B781" s="1" t="n">
        <v>44502</v>
      </c>
      <c r="C781" s="1" t="n">
        <v>45932</v>
      </c>
      <c r="D781" t="inlineStr">
        <is>
          <t>KALMAR LÄN</t>
        </is>
      </c>
      <c r="E781" t="inlineStr">
        <is>
          <t>VIMMERBY</t>
        </is>
      </c>
      <c r="G781" t="n">
        <v>2.7</v>
      </c>
      <c r="H781" t="n">
        <v>0</v>
      </c>
      <c r="I781" t="n">
        <v>0</v>
      </c>
      <c r="J781" t="n">
        <v>0</v>
      </c>
      <c r="K781" t="n">
        <v>0</v>
      </c>
      <c r="L781" t="n">
        <v>0</v>
      </c>
      <c r="M781" t="n">
        <v>0</v>
      </c>
      <c r="N781" t="n">
        <v>0</v>
      </c>
      <c r="O781" t="n">
        <v>0</v>
      </c>
      <c r="P781" t="n">
        <v>0</v>
      </c>
      <c r="Q781" t="n">
        <v>0</v>
      </c>
      <c r="R781" s="2" t="inlineStr"/>
    </row>
    <row r="782" ht="15" customHeight="1">
      <c r="A782" t="inlineStr">
        <is>
          <t>A 12215-2024</t>
        </is>
      </c>
      <c r="B782" s="1" t="n">
        <v>45378.32185185186</v>
      </c>
      <c r="C782" s="1" t="n">
        <v>45932</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50995-2022</t>
        </is>
      </c>
      <c r="B783" s="1" t="n">
        <v>44867</v>
      </c>
      <c r="C783" s="1" t="n">
        <v>45932</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11303-2025</t>
        </is>
      </c>
      <c r="B784" s="1" t="n">
        <v>45726.44471064815</v>
      </c>
      <c r="C784" s="1" t="n">
        <v>45932</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37668-2025</t>
        </is>
      </c>
      <c r="B785" s="1" t="n">
        <v>45880.51550925926</v>
      </c>
      <c r="C785" s="1" t="n">
        <v>45932</v>
      </c>
      <c r="D785" t="inlineStr">
        <is>
          <t>KALMAR LÄN</t>
        </is>
      </c>
      <c r="E785" t="inlineStr">
        <is>
          <t>VIMMERBY</t>
        </is>
      </c>
      <c r="F785" t="inlineStr">
        <is>
          <t>Sveaskog</t>
        </is>
      </c>
      <c r="G785" t="n">
        <v>0.6</v>
      </c>
      <c r="H785" t="n">
        <v>0</v>
      </c>
      <c r="I785" t="n">
        <v>0</v>
      </c>
      <c r="J785" t="n">
        <v>0</v>
      </c>
      <c r="K785" t="n">
        <v>0</v>
      </c>
      <c r="L785" t="n">
        <v>0</v>
      </c>
      <c r="M785" t="n">
        <v>0</v>
      </c>
      <c r="N785" t="n">
        <v>0</v>
      </c>
      <c r="O785" t="n">
        <v>0</v>
      </c>
      <c r="P785" t="n">
        <v>0</v>
      </c>
      <c r="Q785" t="n">
        <v>0</v>
      </c>
      <c r="R785" s="2" t="inlineStr"/>
    </row>
    <row r="786" ht="15" customHeight="1">
      <c r="A786" t="inlineStr">
        <is>
          <t>A 12033-2024</t>
        </is>
      </c>
      <c r="B786" s="1" t="n">
        <v>45377.40043981482</v>
      </c>
      <c r="C786" s="1" t="n">
        <v>45932</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50764-2020</t>
        </is>
      </c>
      <c r="B787" s="1" t="n">
        <v>44111</v>
      </c>
      <c r="C787" s="1" t="n">
        <v>45932</v>
      </c>
      <c r="D787" t="inlineStr">
        <is>
          <t>KALMAR LÄN</t>
        </is>
      </c>
      <c r="E787" t="inlineStr">
        <is>
          <t>VIMMERBY</t>
        </is>
      </c>
      <c r="G787" t="n">
        <v>2.3</v>
      </c>
      <c r="H787" t="n">
        <v>0</v>
      </c>
      <c r="I787" t="n">
        <v>0</v>
      </c>
      <c r="J787" t="n">
        <v>0</v>
      </c>
      <c r="K787" t="n">
        <v>0</v>
      </c>
      <c r="L787" t="n">
        <v>0</v>
      </c>
      <c r="M787" t="n">
        <v>0</v>
      </c>
      <c r="N787" t="n">
        <v>0</v>
      </c>
      <c r="O787" t="n">
        <v>0</v>
      </c>
      <c r="P787" t="n">
        <v>0</v>
      </c>
      <c r="Q787" t="n">
        <v>0</v>
      </c>
      <c r="R787" s="2" t="inlineStr"/>
    </row>
    <row r="788" ht="15" customHeight="1">
      <c r="A788" t="inlineStr">
        <is>
          <t>A 51408-2023</t>
        </is>
      </c>
      <c r="B788" s="1" t="n">
        <v>45219.69356481481</v>
      </c>
      <c r="C788" s="1" t="n">
        <v>45932</v>
      </c>
      <c r="D788" t="inlineStr">
        <is>
          <t>KALMAR LÄN</t>
        </is>
      </c>
      <c r="E788" t="inlineStr">
        <is>
          <t>VIMMERBY</t>
        </is>
      </c>
      <c r="G788" t="n">
        <v>0.7</v>
      </c>
      <c r="H788" t="n">
        <v>0</v>
      </c>
      <c r="I788" t="n">
        <v>0</v>
      </c>
      <c r="J788" t="n">
        <v>0</v>
      </c>
      <c r="K788" t="n">
        <v>0</v>
      </c>
      <c r="L788" t="n">
        <v>0</v>
      </c>
      <c r="M788" t="n">
        <v>0</v>
      </c>
      <c r="N788" t="n">
        <v>0</v>
      </c>
      <c r="O788" t="n">
        <v>0</v>
      </c>
      <c r="P788" t="n">
        <v>0</v>
      </c>
      <c r="Q788" t="n">
        <v>0</v>
      </c>
      <c r="R788" s="2" t="inlineStr"/>
    </row>
    <row r="789" ht="15" customHeight="1">
      <c r="A789" t="inlineStr">
        <is>
          <t>A 27993-2022</t>
        </is>
      </c>
      <c r="B789" s="1" t="n">
        <v>44745.84396990741</v>
      </c>
      <c r="C789" s="1" t="n">
        <v>45932</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49488-2023</t>
        </is>
      </c>
      <c r="B790" s="1" t="n">
        <v>45211.55472222222</v>
      </c>
      <c r="C790" s="1" t="n">
        <v>45932</v>
      </c>
      <c r="D790" t="inlineStr">
        <is>
          <t>KALMAR LÄN</t>
        </is>
      </c>
      <c r="E790" t="inlineStr">
        <is>
          <t>VIMMERBY</t>
        </is>
      </c>
      <c r="F790" t="inlineStr">
        <is>
          <t>Sveaskog</t>
        </is>
      </c>
      <c r="G790" t="n">
        <v>6.2</v>
      </c>
      <c r="H790" t="n">
        <v>0</v>
      </c>
      <c r="I790" t="n">
        <v>0</v>
      </c>
      <c r="J790" t="n">
        <v>0</v>
      </c>
      <c r="K790" t="n">
        <v>0</v>
      </c>
      <c r="L790" t="n">
        <v>0</v>
      </c>
      <c r="M790" t="n">
        <v>0</v>
      </c>
      <c r="N790" t="n">
        <v>0</v>
      </c>
      <c r="O790" t="n">
        <v>0</v>
      </c>
      <c r="P790" t="n">
        <v>0</v>
      </c>
      <c r="Q790" t="n">
        <v>0</v>
      </c>
      <c r="R790" s="2" t="inlineStr"/>
    </row>
    <row r="791" ht="15" customHeight="1">
      <c r="A791" t="inlineStr">
        <is>
          <t>A 46118-2025</t>
        </is>
      </c>
      <c r="B791" s="1" t="n">
        <v>45924.57697916667</v>
      </c>
      <c r="C791" s="1" t="n">
        <v>45932</v>
      </c>
      <c r="D791" t="inlineStr">
        <is>
          <t>KALMAR LÄN</t>
        </is>
      </c>
      <c r="E791" t="inlineStr">
        <is>
          <t>VIMMERBY</t>
        </is>
      </c>
      <c r="G791" t="n">
        <v>2.9</v>
      </c>
      <c r="H791" t="n">
        <v>0</v>
      </c>
      <c r="I791" t="n">
        <v>0</v>
      </c>
      <c r="J791" t="n">
        <v>0</v>
      </c>
      <c r="K791" t="n">
        <v>0</v>
      </c>
      <c r="L791" t="n">
        <v>0</v>
      </c>
      <c r="M791" t="n">
        <v>0</v>
      </c>
      <c r="N791" t="n">
        <v>0</v>
      </c>
      <c r="O791" t="n">
        <v>0</v>
      </c>
      <c r="P791" t="n">
        <v>0</v>
      </c>
      <c r="Q791" t="n">
        <v>0</v>
      </c>
      <c r="R791" s="2" t="inlineStr"/>
    </row>
    <row r="792" ht="15" customHeight="1">
      <c r="A792" t="inlineStr">
        <is>
          <t>A 37939-2025</t>
        </is>
      </c>
      <c r="B792" s="1" t="n">
        <v>45881.59877314815</v>
      </c>
      <c r="C792" s="1" t="n">
        <v>45932</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37866-2025</t>
        </is>
      </c>
      <c r="B793" s="1" t="n">
        <v>45881</v>
      </c>
      <c r="C793" s="1" t="n">
        <v>45932</v>
      </c>
      <c r="D793" t="inlineStr">
        <is>
          <t>KALMAR LÄN</t>
        </is>
      </c>
      <c r="E793" t="inlineStr">
        <is>
          <t>VIMMERBY</t>
        </is>
      </c>
      <c r="G793" t="n">
        <v>3.4</v>
      </c>
      <c r="H793" t="n">
        <v>0</v>
      </c>
      <c r="I793" t="n">
        <v>0</v>
      </c>
      <c r="J793" t="n">
        <v>0</v>
      </c>
      <c r="K793" t="n">
        <v>0</v>
      </c>
      <c r="L793" t="n">
        <v>0</v>
      </c>
      <c r="M793" t="n">
        <v>0</v>
      </c>
      <c r="N793" t="n">
        <v>0</v>
      </c>
      <c r="O793" t="n">
        <v>0</v>
      </c>
      <c r="P793" t="n">
        <v>0</v>
      </c>
      <c r="Q793" t="n">
        <v>0</v>
      </c>
      <c r="R793" s="2" t="inlineStr"/>
    </row>
    <row r="794" ht="15" customHeight="1">
      <c r="A794" t="inlineStr">
        <is>
          <t>A 46361-2025</t>
        </is>
      </c>
      <c r="B794" s="1" t="n">
        <v>45925.49670138889</v>
      </c>
      <c r="C794" s="1" t="n">
        <v>45932</v>
      </c>
      <c r="D794" t="inlineStr">
        <is>
          <t>KALMAR LÄN</t>
        </is>
      </c>
      <c r="E794" t="inlineStr">
        <is>
          <t>VIMMERBY</t>
        </is>
      </c>
      <c r="G794" t="n">
        <v>4.2</v>
      </c>
      <c r="H794" t="n">
        <v>0</v>
      </c>
      <c r="I794" t="n">
        <v>0</v>
      </c>
      <c r="J794" t="n">
        <v>0</v>
      </c>
      <c r="K794" t="n">
        <v>0</v>
      </c>
      <c r="L794" t="n">
        <v>0</v>
      </c>
      <c r="M794" t="n">
        <v>0</v>
      </c>
      <c r="N794" t="n">
        <v>0</v>
      </c>
      <c r="O794" t="n">
        <v>0</v>
      </c>
      <c r="P794" t="n">
        <v>0</v>
      </c>
      <c r="Q794" t="n">
        <v>0</v>
      </c>
      <c r="R794" s="2" t="inlineStr"/>
    </row>
    <row r="795" ht="15" customHeight="1">
      <c r="A795" t="inlineStr">
        <is>
          <t>A 57555-2024</t>
        </is>
      </c>
      <c r="B795" s="1" t="n">
        <v>45630.45069444444</v>
      </c>
      <c r="C795" s="1" t="n">
        <v>45932</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8410-2023</t>
        </is>
      </c>
      <c r="B796" s="1" t="n">
        <v>44977</v>
      </c>
      <c r="C796" s="1" t="n">
        <v>45932</v>
      </c>
      <c r="D796" t="inlineStr">
        <is>
          <t>KALMAR LÄN</t>
        </is>
      </c>
      <c r="E796" t="inlineStr">
        <is>
          <t>VIMMERBY</t>
        </is>
      </c>
      <c r="G796" t="n">
        <v>0.9</v>
      </c>
      <c r="H796" t="n">
        <v>0</v>
      </c>
      <c r="I796" t="n">
        <v>0</v>
      </c>
      <c r="J796" t="n">
        <v>0</v>
      </c>
      <c r="K796" t="n">
        <v>0</v>
      </c>
      <c r="L796" t="n">
        <v>0</v>
      </c>
      <c r="M796" t="n">
        <v>0</v>
      </c>
      <c r="N796" t="n">
        <v>0</v>
      </c>
      <c r="O796" t="n">
        <v>0</v>
      </c>
      <c r="P796" t="n">
        <v>0</v>
      </c>
      <c r="Q796" t="n">
        <v>0</v>
      </c>
      <c r="R796" s="2" t="inlineStr"/>
    </row>
    <row r="797" ht="15" customHeight="1">
      <c r="A797" t="inlineStr">
        <is>
          <t>A 36014-2024</t>
        </is>
      </c>
      <c r="B797" s="1" t="n">
        <v>45533.56108796296</v>
      </c>
      <c r="C797" s="1" t="n">
        <v>45932</v>
      </c>
      <c r="D797" t="inlineStr">
        <is>
          <t>KALMAR LÄN</t>
        </is>
      </c>
      <c r="E797" t="inlineStr">
        <is>
          <t>VIMMERBY</t>
        </is>
      </c>
      <c r="G797" t="n">
        <v>2.3</v>
      </c>
      <c r="H797" t="n">
        <v>0</v>
      </c>
      <c r="I797" t="n">
        <v>0</v>
      </c>
      <c r="J797" t="n">
        <v>0</v>
      </c>
      <c r="K797" t="n">
        <v>0</v>
      </c>
      <c r="L797" t="n">
        <v>0</v>
      </c>
      <c r="M797" t="n">
        <v>0</v>
      </c>
      <c r="N797" t="n">
        <v>0</v>
      </c>
      <c r="O797" t="n">
        <v>0</v>
      </c>
      <c r="P797" t="n">
        <v>0</v>
      </c>
      <c r="Q797" t="n">
        <v>0</v>
      </c>
      <c r="R797" s="2" t="inlineStr"/>
    </row>
    <row r="798" ht="15" customHeight="1">
      <c r="A798" t="inlineStr">
        <is>
          <t>A 36030-2024</t>
        </is>
      </c>
      <c r="B798" s="1" t="n">
        <v>45533.58302083334</v>
      </c>
      <c r="C798" s="1" t="n">
        <v>45932</v>
      </c>
      <c r="D798" t="inlineStr">
        <is>
          <t>KALMAR LÄN</t>
        </is>
      </c>
      <c r="E798" t="inlineStr">
        <is>
          <t>VIMMERBY</t>
        </is>
      </c>
      <c r="F798" t="inlineStr">
        <is>
          <t>Kommuner</t>
        </is>
      </c>
      <c r="G798" t="n">
        <v>4</v>
      </c>
      <c r="H798" t="n">
        <v>0</v>
      </c>
      <c r="I798" t="n">
        <v>0</v>
      </c>
      <c r="J798" t="n">
        <v>0</v>
      </c>
      <c r="K798" t="n">
        <v>0</v>
      </c>
      <c r="L798" t="n">
        <v>0</v>
      </c>
      <c r="M798" t="n">
        <v>0</v>
      </c>
      <c r="N798" t="n">
        <v>0</v>
      </c>
      <c r="O798" t="n">
        <v>0</v>
      </c>
      <c r="P798" t="n">
        <v>0</v>
      </c>
      <c r="Q798" t="n">
        <v>0</v>
      </c>
      <c r="R798" s="2" t="inlineStr"/>
    </row>
    <row r="799" ht="15" customHeight="1">
      <c r="A799" t="inlineStr">
        <is>
          <t>A 32865-2023</t>
        </is>
      </c>
      <c r="B799" s="1" t="n">
        <v>45124</v>
      </c>
      <c r="C799" s="1" t="n">
        <v>45932</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30920-2024</t>
        </is>
      </c>
      <c r="B800" s="1" t="n">
        <v>45498.673125</v>
      </c>
      <c r="C800" s="1" t="n">
        <v>45932</v>
      </c>
      <c r="D800" t="inlineStr">
        <is>
          <t>KALMAR LÄN</t>
        </is>
      </c>
      <c r="E800" t="inlineStr">
        <is>
          <t>VIMMERBY</t>
        </is>
      </c>
      <c r="G800" t="n">
        <v>1.3</v>
      </c>
      <c r="H800" t="n">
        <v>0</v>
      </c>
      <c r="I800" t="n">
        <v>0</v>
      </c>
      <c r="J800" t="n">
        <v>0</v>
      </c>
      <c r="K800" t="n">
        <v>0</v>
      </c>
      <c r="L800" t="n">
        <v>0</v>
      </c>
      <c r="M800" t="n">
        <v>0</v>
      </c>
      <c r="N800" t="n">
        <v>0</v>
      </c>
      <c r="O800" t="n">
        <v>0</v>
      </c>
      <c r="P800" t="n">
        <v>0</v>
      </c>
      <c r="Q800" t="n">
        <v>0</v>
      </c>
      <c r="R800" s="2" t="inlineStr"/>
    </row>
    <row r="801" ht="15" customHeight="1">
      <c r="A801" t="inlineStr">
        <is>
          <t>A 46365-2025</t>
        </is>
      </c>
      <c r="B801" s="1" t="n">
        <v>45925.50075231482</v>
      </c>
      <c r="C801" s="1" t="n">
        <v>45932</v>
      </c>
      <c r="D801" t="inlineStr">
        <is>
          <t>KALMAR LÄN</t>
        </is>
      </c>
      <c r="E801" t="inlineStr">
        <is>
          <t>VIMMERBY</t>
        </is>
      </c>
      <c r="G801" t="n">
        <v>5.6</v>
      </c>
      <c r="H801" t="n">
        <v>0</v>
      </c>
      <c r="I801" t="n">
        <v>0</v>
      </c>
      <c r="J801" t="n">
        <v>0</v>
      </c>
      <c r="K801" t="n">
        <v>0</v>
      </c>
      <c r="L801" t="n">
        <v>0</v>
      </c>
      <c r="M801" t="n">
        <v>0</v>
      </c>
      <c r="N801" t="n">
        <v>0</v>
      </c>
      <c r="O801" t="n">
        <v>0</v>
      </c>
      <c r="P801" t="n">
        <v>0</v>
      </c>
      <c r="Q801" t="n">
        <v>0</v>
      </c>
      <c r="R801" s="2" t="inlineStr"/>
    </row>
    <row r="802" ht="15" customHeight="1">
      <c r="A802" t="inlineStr">
        <is>
          <t>A 40929-2022</t>
        </is>
      </c>
      <c r="B802" s="1" t="n">
        <v>44825.4336574074</v>
      </c>
      <c r="C802" s="1" t="n">
        <v>45932</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50091-2023</t>
        </is>
      </c>
      <c r="B803" s="1" t="n">
        <v>45215.60199074074</v>
      </c>
      <c r="C803" s="1" t="n">
        <v>45932</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36008-2024</t>
        </is>
      </c>
      <c r="B804" s="1" t="n">
        <v>45533.55362268518</v>
      </c>
      <c r="C804" s="1" t="n">
        <v>45932</v>
      </c>
      <c r="D804" t="inlineStr">
        <is>
          <t>KALMAR LÄN</t>
        </is>
      </c>
      <c r="E804" t="inlineStr">
        <is>
          <t>VIMMERBY</t>
        </is>
      </c>
      <c r="G804" t="n">
        <v>3.7</v>
      </c>
      <c r="H804" t="n">
        <v>0</v>
      </c>
      <c r="I804" t="n">
        <v>0</v>
      </c>
      <c r="J804" t="n">
        <v>0</v>
      </c>
      <c r="K804" t="n">
        <v>0</v>
      </c>
      <c r="L804" t="n">
        <v>0</v>
      </c>
      <c r="M804" t="n">
        <v>0</v>
      </c>
      <c r="N804" t="n">
        <v>0</v>
      </c>
      <c r="O804" t="n">
        <v>0</v>
      </c>
      <c r="P804" t="n">
        <v>0</v>
      </c>
      <c r="Q804" t="n">
        <v>0</v>
      </c>
      <c r="R804" s="2" t="inlineStr"/>
    </row>
    <row r="805" ht="15" customHeight="1">
      <c r="A805" t="inlineStr">
        <is>
          <t>A 16622-2025</t>
        </is>
      </c>
      <c r="B805" s="1" t="n">
        <v>45754.33641203704</v>
      </c>
      <c r="C805" s="1" t="n">
        <v>45932</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17511-2024</t>
        </is>
      </c>
      <c r="B806" s="1" t="n">
        <v>45415.57682870371</v>
      </c>
      <c r="C806" s="1" t="n">
        <v>45932</v>
      </c>
      <c r="D806" t="inlineStr">
        <is>
          <t>KALMAR LÄN</t>
        </is>
      </c>
      <c r="E806" t="inlineStr">
        <is>
          <t>VIMMERBY</t>
        </is>
      </c>
      <c r="G806" t="n">
        <v>5.3</v>
      </c>
      <c r="H806" t="n">
        <v>0</v>
      </c>
      <c r="I806" t="n">
        <v>0</v>
      </c>
      <c r="J806" t="n">
        <v>0</v>
      </c>
      <c r="K806" t="n">
        <v>0</v>
      </c>
      <c r="L806" t="n">
        <v>0</v>
      </c>
      <c r="M806" t="n">
        <v>0</v>
      </c>
      <c r="N806" t="n">
        <v>0</v>
      </c>
      <c r="O806" t="n">
        <v>0</v>
      </c>
      <c r="P806" t="n">
        <v>0</v>
      </c>
      <c r="Q806" t="n">
        <v>0</v>
      </c>
      <c r="R806" s="2" t="inlineStr"/>
    </row>
    <row r="807" ht="15" customHeight="1">
      <c r="A807" t="inlineStr">
        <is>
          <t>A 43705-2023</t>
        </is>
      </c>
      <c r="B807" s="1" t="n">
        <v>45187.42854166667</v>
      </c>
      <c r="C807" s="1" t="n">
        <v>45932</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55300-2021</t>
        </is>
      </c>
      <c r="B808" s="1" t="n">
        <v>44475</v>
      </c>
      <c r="C808" s="1" t="n">
        <v>45932</v>
      </c>
      <c r="D808" t="inlineStr">
        <is>
          <t>KALMAR LÄN</t>
        </is>
      </c>
      <c r="E808" t="inlineStr">
        <is>
          <t>VIMMERBY</t>
        </is>
      </c>
      <c r="G808" t="n">
        <v>3.4</v>
      </c>
      <c r="H808" t="n">
        <v>0</v>
      </c>
      <c r="I808" t="n">
        <v>0</v>
      </c>
      <c r="J808" t="n">
        <v>0</v>
      </c>
      <c r="K808" t="n">
        <v>0</v>
      </c>
      <c r="L808" t="n">
        <v>0</v>
      </c>
      <c r="M808" t="n">
        <v>0</v>
      </c>
      <c r="N808" t="n">
        <v>0</v>
      </c>
      <c r="O808" t="n">
        <v>0</v>
      </c>
      <c r="P808" t="n">
        <v>0</v>
      </c>
      <c r="Q808" t="n">
        <v>0</v>
      </c>
      <c r="R808" s="2" t="inlineStr"/>
    </row>
    <row r="809" ht="15" customHeight="1">
      <c r="A809" t="inlineStr">
        <is>
          <t>A 44179-2022</t>
        </is>
      </c>
      <c r="B809" s="1" t="n">
        <v>44839.4528125</v>
      </c>
      <c r="C809" s="1" t="n">
        <v>45932</v>
      </c>
      <c r="D809" t="inlineStr">
        <is>
          <t>KALMAR LÄN</t>
        </is>
      </c>
      <c r="E809" t="inlineStr">
        <is>
          <t>VIMMERBY</t>
        </is>
      </c>
      <c r="G809" t="n">
        <v>2.8</v>
      </c>
      <c r="H809" t="n">
        <v>0</v>
      </c>
      <c r="I809" t="n">
        <v>0</v>
      </c>
      <c r="J809" t="n">
        <v>0</v>
      </c>
      <c r="K809" t="n">
        <v>0</v>
      </c>
      <c r="L809" t="n">
        <v>0</v>
      </c>
      <c r="M809" t="n">
        <v>0</v>
      </c>
      <c r="N809" t="n">
        <v>0</v>
      </c>
      <c r="O809" t="n">
        <v>0</v>
      </c>
      <c r="P809" t="n">
        <v>0</v>
      </c>
      <c r="Q809" t="n">
        <v>0</v>
      </c>
      <c r="R809" s="2" t="inlineStr"/>
    </row>
    <row r="810" ht="15" customHeight="1">
      <c r="A810" t="inlineStr">
        <is>
          <t>A 52755-2022</t>
        </is>
      </c>
      <c r="B810" s="1" t="n">
        <v>44875.27736111111</v>
      </c>
      <c r="C810" s="1" t="n">
        <v>45932</v>
      </c>
      <c r="D810" t="inlineStr">
        <is>
          <t>KALMAR LÄN</t>
        </is>
      </c>
      <c r="E810" t="inlineStr">
        <is>
          <t>VIMMERBY</t>
        </is>
      </c>
      <c r="G810" t="n">
        <v>1.1</v>
      </c>
      <c r="H810" t="n">
        <v>0</v>
      </c>
      <c r="I810" t="n">
        <v>0</v>
      </c>
      <c r="J810" t="n">
        <v>0</v>
      </c>
      <c r="K810" t="n">
        <v>0</v>
      </c>
      <c r="L810" t="n">
        <v>0</v>
      </c>
      <c r="M810" t="n">
        <v>0</v>
      </c>
      <c r="N810" t="n">
        <v>0</v>
      </c>
      <c r="O810" t="n">
        <v>0</v>
      </c>
      <c r="P810" t="n">
        <v>0</v>
      </c>
      <c r="Q810" t="n">
        <v>0</v>
      </c>
      <c r="R810" s="2" t="inlineStr"/>
    </row>
    <row r="811" ht="15" customHeight="1">
      <c r="A811" t="inlineStr">
        <is>
          <t>A 35998-2024</t>
        </is>
      </c>
      <c r="B811" s="1" t="n">
        <v>45533.54429398148</v>
      </c>
      <c r="C811" s="1" t="n">
        <v>45932</v>
      </c>
      <c r="D811" t="inlineStr">
        <is>
          <t>KALMAR LÄN</t>
        </is>
      </c>
      <c r="E811" t="inlineStr">
        <is>
          <t>VIMMERBY</t>
        </is>
      </c>
      <c r="G811" t="n">
        <v>8.6</v>
      </c>
      <c r="H811" t="n">
        <v>0</v>
      </c>
      <c r="I811" t="n">
        <v>0</v>
      </c>
      <c r="J811" t="n">
        <v>0</v>
      </c>
      <c r="K811" t="n">
        <v>0</v>
      </c>
      <c r="L811" t="n">
        <v>0</v>
      </c>
      <c r="M811" t="n">
        <v>0</v>
      </c>
      <c r="N811" t="n">
        <v>0</v>
      </c>
      <c r="O811" t="n">
        <v>0</v>
      </c>
      <c r="P811" t="n">
        <v>0</v>
      </c>
      <c r="Q811" t="n">
        <v>0</v>
      </c>
      <c r="R811" s="2" t="inlineStr"/>
    </row>
    <row r="812" ht="15" customHeight="1">
      <c r="A812" t="inlineStr">
        <is>
          <t>A 7797-2023</t>
        </is>
      </c>
      <c r="B812" s="1" t="n">
        <v>44973.43075231482</v>
      </c>
      <c r="C812" s="1" t="n">
        <v>45932</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29351-2023</t>
        </is>
      </c>
      <c r="B813" s="1" t="n">
        <v>45106.2610300926</v>
      </c>
      <c r="C813" s="1" t="n">
        <v>45932</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7630-2025</t>
        </is>
      </c>
      <c r="B814" s="1" t="n">
        <v>45705.74418981482</v>
      </c>
      <c r="C814" s="1" t="n">
        <v>45932</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1024-2024</t>
        </is>
      </c>
      <c r="B815" s="1" t="n">
        <v>45301.68237268519</v>
      </c>
      <c r="C815" s="1" t="n">
        <v>45932</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10787-2025</t>
        </is>
      </c>
      <c r="B816" s="1" t="n">
        <v>45722.48915509259</v>
      </c>
      <c r="C816" s="1" t="n">
        <v>45932</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29350-2023</t>
        </is>
      </c>
      <c r="B817" s="1" t="n">
        <v>45106</v>
      </c>
      <c r="C817" s="1" t="n">
        <v>45932</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14855-2025</t>
        </is>
      </c>
      <c r="B818" s="1" t="n">
        <v>45743.41148148148</v>
      </c>
      <c r="C818" s="1" t="n">
        <v>45932</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43601-2024</t>
        </is>
      </c>
      <c r="B819" s="1" t="n">
        <v>45569.44684027778</v>
      </c>
      <c r="C819" s="1" t="n">
        <v>45932</v>
      </c>
      <c r="D819" t="inlineStr">
        <is>
          <t>KALMAR LÄN</t>
        </is>
      </c>
      <c r="E819" t="inlineStr">
        <is>
          <t>VIMMERBY</t>
        </is>
      </c>
      <c r="G819" t="n">
        <v>0.5</v>
      </c>
      <c r="H819" t="n">
        <v>0</v>
      </c>
      <c r="I819" t="n">
        <v>0</v>
      </c>
      <c r="J819" t="n">
        <v>0</v>
      </c>
      <c r="K819" t="n">
        <v>0</v>
      </c>
      <c r="L819" t="n">
        <v>0</v>
      </c>
      <c r="M819" t="n">
        <v>0</v>
      </c>
      <c r="N819" t="n">
        <v>0</v>
      </c>
      <c r="O819" t="n">
        <v>0</v>
      </c>
      <c r="P819" t="n">
        <v>0</v>
      </c>
      <c r="Q819" t="n">
        <v>0</v>
      </c>
      <c r="R819" s="2" t="inlineStr"/>
    </row>
    <row r="820" ht="15" customHeight="1">
      <c r="A820" t="inlineStr">
        <is>
          <t>A 35913-2023</t>
        </is>
      </c>
      <c r="B820" s="1" t="n">
        <v>45148</v>
      </c>
      <c r="C820" s="1" t="n">
        <v>45932</v>
      </c>
      <c r="D820" t="inlineStr">
        <is>
          <t>KALMAR LÄN</t>
        </is>
      </c>
      <c r="E820" t="inlineStr">
        <is>
          <t>VIMMERBY</t>
        </is>
      </c>
      <c r="G820" t="n">
        <v>6.9</v>
      </c>
      <c r="H820" t="n">
        <v>0</v>
      </c>
      <c r="I820" t="n">
        <v>0</v>
      </c>
      <c r="J820" t="n">
        <v>0</v>
      </c>
      <c r="K820" t="n">
        <v>0</v>
      </c>
      <c r="L820" t="n">
        <v>0</v>
      </c>
      <c r="M820" t="n">
        <v>0</v>
      </c>
      <c r="N820" t="n">
        <v>0</v>
      </c>
      <c r="O820" t="n">
        <v>0</v>
      </c>
      <c r="P820" t="n">
        <v>0</v>
      </c>
      <c r="Q820" t="n">
        <v>0</v>
      </c>
      <c r="R820" s="2" t="inlineStr"/>
    </row>
    <row r="821" ht="15" customHeight="1">
      <c r="A821" t="inlineStr">
        <is>
          <t>A 9624-2024</t>
        </is>
      </c>
      <c r="B821" s="1" t="n">
        <v>45361.90282407407</v>
      </c>
      <c r="C821" s="1" t="n">
        <v>45932</v>
      </c>
      <c r="D821" t="inlineStr">
        <is>
          <t>KALMAR LÄN</t>
        </is>
      </c>
      <c r="E821" t="inlineStr">
        <is>
          <t>VIMMERBY</t>
        </is>
      </c>
      <c r="G821" t="n">
        <v>3.8</v>
      </c>
      <c r="H821" t="n">
        <v>0</v>
      </c>
      <c r="I821" t="n">
        <v>0</v>
      </c>
      <c r="J821" t="n">
        <v>0</v>
      </c>
      <c r="K821" t="n">
        <v>0</v>
      </c>
      <c r="L821" t="n">
        <v>0</v>
      </c>
      <c r="M821" t="n">
        <v>0</v>
      </c>
      <c r="N821" t="n">
        <v>0</v>
      </c>
      <c r="O821" t="n">
        <v>0</v>
      </c>
      <c r="P821" t="n">
        <v>0</v>
      </c>
      <c r="Q821" t="n">
        <v>0</v>
      </c>
      <c r="R821" s="2" t="inlineStr"/>
    </row>
    <row r="822" ht="15" customHeight="1">
      <c r="A822" t="inlineStr">
        <is>
          <t>A 3938-2023</t>
        </is>
      </c>
      <c r="B822" s="1" t="n">
        <v>44952.35775462963</v>
      </c>
      <c r="C822" s="1" t="n">
        <v>45932</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39053-2024</t>
        </is>
      </c>
      <c r="B823" s="1" t="n">
        <v>45548</v>
      </c>
      <c r="C823" s="1" t="n">
        <v>45932</v>
      </c>
      <c r="D823" t="inlineStr">
        <is>
          <t>KALMAR LÄN</t>
        </is>
      </c>
      <c r="E823" t="inlineStr">
        <is>
          <t>VIMMERBY</t>
        </is>
      </c>
      <c r="G823" t="n">
        <v>5</v>
      </c>
      <c r="H823" t="n">
        <v>0</v>
      </c>
      <c r="I823" t="n">
        <v>0</v>
      </c>
      <c r="J823" t="n">
        <v>0</v>
      </c>
      <c r="K823" t="n">
        <v>0</v>
      </c>
      <c r="L823" t="n">
        <v>0</v>
      </c>
      <c r="M823" t="n">
        <v>0</v>
      </c>
      <c r="N823" t="n">
        <v>0</v>
      </c>
      <c r="O823" t="n">
        <v>0</v>
      </c>
      <c r="P823" t="n">
        <v>0</v>
      </c>
      <c r="Q823" t="n">
        <v>0</v>
      </c>
      <c r="R823" s="2" t="inlineStr"/>
    </row>
    <row r="824" ht="15" customHeight="1">
      <c r="A824" t="inlineStr">
        <is>
          <t>A 14451-2024</t>
        </is>
      </c>
      <c r="B824" s="1" t="n">
        <v>45394.50028935185</v>
      </c>
      <c r="C824" s="1" t="n">
        <v>45932</v>
      </c>
      <c r="D824" t="inlineStr">
        <is>
          <t>KALMAR LÄN</t>
        </is>
      </c>
      <c r="E824" t="inlineStr">
        <is>
          <t>VIMMERBY</t>
        </is>
      </c>
      <c r="G824" t="n">
        <v>1.9</v>
      </c>
      <c r="H824" t="n">
        <v>0</v>
      </c>
      <c r="I824" t="n">
        <v>0</v>
      </c>
      <c r="J824" t="n">
        <v>0</v>
      </c>
      <c r="K824" t="n">
        <v>0</v>
      </c>
      <c r="L824" t="n">
        <v>0</v>
      </c>
      <c r="M824" t="n">
        <v>0</v>
      </c>
      <c r="N824" t="n">
        <v>0</v>
      </c>
      <c r="O824" t="n">
        <v>0</v>
      </c>
      <c r="P824" t="n">
        <v>0</v>
      </c>
      <c r="Q824" t="n">
        <v>0</v>
      </c>
      <c r="R824" s="2" t="inlineStr"/>
    </row>
    <row r="825" ht="15" customHeight="1">
      <c r="A825" t="inlineStr">
        <is>
          <t>A 34205-2023</t>
        </is>
      </c>
      <c r="B825" s="1" t="n">
        <v>45138</v>
      </c>
      <c r="C825" s="1" t="n">
        <v>45932</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3268-2024</t>
        </is>
      </c>
      <c r="B826" s="1" t="n">
        <v>45317</v>
      </c>
      <c r="C826" s="1" t="n">
        <v>45932</v>
      </c>
      <c r="D826" t="inlineStr">
        <is>
          <t>KALMAR LÄN</t>
        </is>
      </c>
      <c r="E826" t="inlineStr">
        <is>
          <t>VIMMERBY</t>
        </is>
      </c>
      <c r="F826" t="inlineStr">
        <is>
          <t>Övriga Aktiebolag</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12819-2024</t>
        </is>
      </c>
      <c r="B827" s="1" t="n">
        <v>45384.66917824074</v>
      </c>
      <c r="C827" s="1" t="n">
        <v>45932</v>
      </c>
      <c r="D827" t="inlineStr">
        <is>
          <t>KALMAR LÄN</t>
        </is>
      </c>
      <c r="E827" t="inlineStr">
        <is>
          <t>VIMMERBY</t>
        </is>
      </c>
      <c r="G827" t="n">
        <v>5.1</v>
      </c>
      <c r="H827" t="n">
        <v>0</v>
      </c>
      <c r="I827" t="n">
        <v>0</v>
      </c>
      <c r="J827" t="n">
        <v>0</v>
      </c>
      <c r="K827" t="n">
        <v>0</v>
      </c>
      <c r="L827" t="n">
        <v>0</v>
      </c>
      <c r="M827" t="n">
        <v>0</v>
      </c>
      <c r="N827" t="n">
        <v>0</v>
      </c>
      <c r="O827" t="n">
        <v>0</v>
      </c>
      <c r="P827" t="n">
        <v>0</v>
      </c>
      <c r="Q827" t="n">
        <v>0</v>
      </c>
      <c r="R827" s="2" t="inlineStr"/>
    </row>
    <row r="828" ht="15" customHeight="1">
      <c r="A828" t="inlineStr">
        <is>
          <t>A 6214-2025</t>
        </is>
      </c>
      <c r="B828" s="1" t="n">
        <v>45698.51711805556</v>
      </c>
      <c r="C828" s="1" t="n">
        <v>45932</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32569-2024</t>
        </is>
      </c>
      <c r="B829" s="1" t="n">
        <v>45513.55840277778</v>
      </c>
      <c r="C829" s="1" t="n">
        <v>45932</v>
      </c>
      <c r="D829" t="inlineStr">
        <is>
          <t>KALMAR LÄN</t>
        </is>
      </c>
      <c r="E829" t="inlineStr">
        <is>
          <t>VIMMERBY</t>
        </is>
      </c>
      <c r="G829" t="n">
        <v>3.7</v>
      </c>
      <c r="H829" t="n">
        <v>0</v>
      </c>
      <c r="I829" t="n">
        <v>0</v>
      </c>
      <c r="J829" t="n">
        <v>0</v>
      </c>
      <c r="K829" t="n">
        <v>0</v>
      </c>
      <c r="L829" t="n">
        <v>0</v>
      </c>
      <c r="M829" t="n">
        <v>0</v>
      </c>
      <c r="N829" t="n">
        <v>0</v>
      </c>
      <c r="O829" t="n">
        <v>0</v>
      </c>
      <c r="P829" t="n">
        <v>0</v>
      </c>
      <c r="Q829" t="n">
        <v>0</v>
      </c>
      <c r="R829" s="2" t="inlineStr"/>
    </row>
    <row r="830" ht="15" customHeight="1">
      <c r="A830" t="inlineStr">
        <is>
          <t>A 32575-2024</t>
        </is>
      </c>
      <c r="B830" s="1" t="n">
        <v>45513.56527777778</v>
      </c>
      <c r="C830" s="1" t="n">
        <v>45932</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59300-2024</t>
        </is>
      </c>
      <c r="B831" s="1" t="n">
        <v>45637.66542824074</v>
      </c>
      <c r="C831" s="1" t="n">
        <v>45932</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59768-2024</t>
        </is>
      </c>
      <c r="B832" s="1" t="n">
        <v>45639.56185185185</v>
      </c>
      <c r="C832" s="1" t="n">
        <v>45932</v>
      </c>
      <c r="D832" t="inlineStr">
        <is>
          <t>KALMAR LÄN</t>
        </is>
      </c>
      <c r="E832" t="inlineStr">
        <is>
          <t>VIMMERBY</t>
        </is>
      </c>
      <c r="G832" t="n">
        <v>5.9</v>
      </c>
      <c r="H832" t="n">
        <v>0</v>
      </c>
      <c r="I832" t="n">
        <v>0</v>
      </c>
      <c r="J832" t="n">
        <v>0</v>
      </c>
      <c r="K832" t="n">
        <v>0</v>
      </c>
      <c r="L832" t="n">
        <v>0</v>
      </c>
      <c r="M832" t="n">
        <v>0</v>
      </c>
      <c r="N832" t="n">
        <v>0</v>
      </c>
      <c r="O832" t="n">
        <v>0</v>
      </c>
      <c r="P832" t="n">
        <v>0</v>
      </c>
      <c r="Q832" t="n">
        <v>0</v>
      </c>
      <c r="R832" s="2" t="inlineStr"/>
    </row>
    <row r="833" ht="15" customHeight="1">
      <c r="A833" t="inlineStr">
        <is>
          <t>A 36526-2023</t>
        </is>
      </c>
      <c r="B833" s="1" t="n">
        <v>45153.32778935185</v>
      </c>
      <c r="C833" s="1" t="n">
        <v>45932</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58728-2024</t>
        </is>
      </c>
      <c r="B834" s="1" t="n">
        <v>45635.66695601852</v>
      </c>
      <c r="C834" s="1" t="n">
        <v>45932</v>
      </c>
      <c r="D834" t="inlineStr">
        <is>
          <t>KALMAR LÄN</t>
        </is>
      </c>
      <c r="E834" t="inlineStr">
        <is>
          <t>VIMMERBY</t>
        </is>
      </c>
      <c r="G834" t="n">
        <v>0.4</v>
      </c>
      <c r="H834" t="n">
        <v>0</v>
      </c>
      <c r="I834" t="n">
        <v>0</v>
      </c>
      <c r="J834" t="n">
        <v>0</v>
      </c>
      <c r="K834" t="n">
        <v>0</v>
      </c>
      <c r="L834" t="n">
        <v>0</v>
      </c>
      <c r="M834" t="n">
        <v>0</v>
      </c>
      <c r="N834" t="n">
        <v>0</v>
      </c>
      <c r="O834" t="n">
        <v>0</v>
      </c>
      <c r="P834" t="n">
        <v>0</v>
      </c>
      <c r="Q834" t="n">
        <v>0</v>
      </c>
      <c r="R834" s="2" t="inlineStr"/>
    </row>
    <row r="835" ht="15" customHeight="1">
      <c r="A835" t="inlineStr">
        <is>
          <t>A 49474-2023</t>
        </is>
      </c>
      <c r="B835" s="1" t="n">
        <v>45211.541875</v>
      </c>
      <c r="C835" s="1" t="n">
        <v>45932</v>
      </c>
      <c r="D835" t="inlineStr">
        <is>
          <t>KALMAR LÄN</t>
        </is>
      </c>
      <c r="E835" t="inlineStr">
        <is>
          <t>VIMMERBY</t>
        </is>
      </c>
      <c r="G835" t="n">
        <v>3.6</v>
      </c>
      <c r="H835" t="n">
        <v>0</v>
      </c>
      <c r="I835" t="n">
        <v>0</v>
      </c>
      <c r="J835" t="n">
        <v>0</v>
      </c>
      <c r="K835" t="n">
        <v>0</v>
      </c>
      <c r="L835" t="n">
        <v>0</v>
      </c>
      <c r="M835" t="n">
        <v>0</v>
      </c>
      <c r="N835" t="n">
        <v>0</v>
      </c>
      <c r="O835" t="n">
        <v>0</v>
      </c>
      <c r="P835" t="n">
        <v>0</v>
      </c>
      <c r="Q835" t="n">
        <v>0</v>
      </c>
      <c r="R835" s="2" t="inlineStr"/>
    </row>
    <row r="836" ht="15" customHeight="1">
      <c r="A836" t="inlineStr">
        <is>
          <t>A 57682-2022</t>
        </is>
      </c>
      <c r="B836" s="1" t="n">
        <v>44890</v>
      </c>
      <c r="C836" s="1" t="n">
        <v>45932</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14220-2021</t>
        </is>
      </c>
      <c r="B837" s="1" t="n">
        <v>44278.54855324074</v>
      </c>
      <c r="C837" s="1" t="n">
        <v>45932</v>
      </c>
      <c r="D837" t="inlineStr">
        <is>
          <t>KALMAR LÄN</t>
        </is>
      </c>
      <c r="E837" t="inlineStr">
        <is>
          <t>VIMMERBY</t>
        </is>
      </c>
      <c r="G837" t="n">
        <v>0.3</v>
      </c>
      <c r="H837" t="n">
        <v>0</v>
      </c>
      <c r="I837" t="n">
        <v>0</v>
      </c>
      <c r="J837" t="n">
        <v>0</v>
      </c>
      <c r="K837" t="n">
        <v>0</v>
      </c>
      <c r="L837" t="n">
        <v>0</v>
      </c>
      <c r="M837" t="n">
        <v>0</v>
      </c>
      <c r="N837" t="n">
        <v>0</v>
      </c>
      <c r="O837" t="n">
        <v>0</v>
      </c>
      <c r="P837" t="n">
        <v>0</v>
      </c>
      <c r="Q837" t="n">
        <v>0</v>
      </c>
      <c r="R837" s="2" t="inlineStr"/>
    </row>
    <row r="838" ht="15" customHeight="1">
      <c r="A838" t="inlineStr">
        <is>
          <t>A 63950-2023</t>
        </is>
      </c>
      <c r="B838" s="1" t="n">
        <v>45278</v>
      </c>
      <c r="C838" s="1" t="n">
        <v>45932</v>
      </c>
      <c r="D838" t="inlineStr">
        <is>
          <t>KALMAR LÄN</t>
        </is>
      </c>
      <c r="E838" t="inlineStr">
        <is>
          <t>VIMMERBY</t>
        </is>
      </c>
      <c r="F838" t="inlineStr">
        <is>
          <t>Kyrkan</t>
        </is>
      </c>
      <c r="G838" t="n">
        <v>2.7</v>
      </c>
      <c r="H838" t="n">
        <v>0</v>
      </c>
      <c r="I838" t="n">
        <v>0</v>
      </c>
      <c r="J838" t="n">
        <v>0</v>
      </c>
      <c r="K838" t="n">
        <v>0</v>
      </c>
      <c r="L838" t="n">
        <v>0</v>
      </c>
      <c r="M838" t="n">
        <v>0</v>
      </c>
      <c r="N838" t="n">
        <v>0</v>
      </c>
      <c r="O838" t="n">
        <v>0</v>
      </c>
      <c r="P838" t="n">
        <v>0</v>
      </c>
      <c r="Q838" t="n">
        <v>0</v>
      </c>
      <c r="R838" s="2" t="inlineStr"/>
    </row>
    <row r="839" ht="15" customHeight="1">
      <c r="A839" t="inlineStr">
        <is>
          <t>A 16516-2023</t>
        </is>
      </c>
      <c r="B839" s="1" t="n">
        <v>45029</v>
      </c>
      <c r="C839" s="1" t="n">
        <v>45932</v>
      </c>
      <c r="D839" t="inlineStr">
        <is>
          <t>KALMAR LÄN</t>
        </is>
      </c>
      <c r="E839" t="inlineStr">
        <is>
          <t>VIMMERBY</t>
        </is>
      </c>
      <c r="G839" t="n">
        <v>4.3</v>
      </c>
      <c r="H839" t="n">
        <v>0</v>
      </c>
      <c r="I839" t="n">
        <v>0</v>
      </c>
      <c r="J839" t="n">
        <v>0</v>
      </c>
      <c r="K839" t="n">
        <v>0</v>
      </c>
      <c r="L839" t="n">
        <v>0</v>
      </c>
      <c r="M839" t="n">
        <v>0</v>
      </c>
      <c r="N839" t="n">
        <v>0</v>
      </c>
      <c r="O839" t="n">
        <v>0</v>
      </c>
      <c r="P839" t="n">
        <v>0</v>
      </c>
      <c r="Q839" t="n">
        <v>0</v>
      </c>
      <c r="R839" s="2" t="inlineStr"/>
    </row>
    <row r="840" ht="15" customHeight="1">
      <c r="A840" t="inlineStr">
        <is>
          <t>A 47842-2024</t>
        </is>
      </c>
      <c r="B840" s="1" t="n">
        <v>45588.65545138889</v>
      </c>
      <c r="C840" s="1" t="n">
        <v>45932</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6408-2025</t>
        </is>
      </c>
      <c r="B841" s="1" t="n">
        <v>45699.45671296296</v>
      </c>
      <c r="C841" s="1" t="n">
        <v>45932</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25109-2023</t>
        </is>
      </c>
      <c r="B842" s="1" t="n">
        <v>45086</v>
      </c>
      <c r="C842" s="1" t="n">
        <v>45932</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33380-2023</t>
        </is>
      </c>
      <c r="B843" s="1" t="n">
        <v>45128</v>
      </c>
      <c r="C843" s="1" t="n">
        <v>45932</v>
      </c>
      <c r="D843" t="inlineStr">
        <is>
          <t>KALMAR LÄN</t>
        </is>
      </c>
      <c r="E843" t="inlineStr">
        <is>
          <t>VIMMERBY</t>
        </is>
      </c>
      <c r="G843" t="n">
        <v>5.2</v>
      </c>
      <c r="H843" t="n">
        <v>0</v>
      </c>
      <c r="I843" t="n">
        <v>0</v>
      </c>
      <c r="J843" t="n">
        <v>0</v>
      </c>
      <c r="K843" t="n">
        <v>0</v>
      </c>
      <c r="L843" t="n">
        <v>0</v>
      </c>
      <c r="M843" t="n">
        <v>0</v>
      </c>
      <c r="N843" t="n">
        <v>0</v>
      </c>
      <c r="O843" t="n">
        <v>0</v>
      </c>
      <c r="P843" t="n">
        <v>0</v>
      </c>
      <c r="Q843" t="n">
        <v>0</v>
      </c>
      <c r="R843" s="2" t="inlineStr"/>
    </row>
    <row r="844" ht="15" customHeight="1">
      <c r="A844" t="inlineStr">
        <is>
          <t>A 32639-2023</t>
        </is>
      </c>
      <c r="B844" s="1" t="n">
        <v>45121.5965162037</v>
      </c>
      <c r="C844" s="1" t="n">
        <v>45932</v>
      </c>
      <c r="D844" t="inlineStr">
        <is>
          <t>KALMAR LÄN</t>
        </is>
      </c>
      <c r="E844" t="inlineStr">
        <is>
          <t>VIMMERBY</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32642-2023</t>
        </is>
      </c>
      <c r="B845" s="1" t="n">
        <v>45121.59954861111</v>
      </c>
      <c r="C845" s="1" t="n">
        <v>45932</v>
      </c>
      <c r="D845" t="inlineStr">
        <is>
          <t>KALMAR LÄN</t>
        </is>
      </c>
      <c r="E845" t="inlineStr">
        <is>
          <t>VIMMERBY</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32651-2023</t>
        </is>
      </c>
      <c r="B846" s="1" t="n">
        <v>45121.6096875</v>
      </c>
      <c r="C846" s="1" t="n">
        <v>45932</v>
      </c>
      <c r="D846" t="inlineStr">
        <is>
          <t>KALMAR LÄN</t>
        </is>
      </c>
      <c r="E846" t="inlineStr">
        <is>
          <t>VIMMERBY</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11928-2022</t>
        </is>
      </c>
      <c r="B847" s="1" t="n">
        <v>44635</v>
      </c>
      <c r="C847" s="1" t="n">
        <v>45932</v>
      </c>
      <c r="D847" t="inlineStr">
        <is>
          <t>KALMAR LÄN</t>
        </is>
      </c>
      <c r="E847" t="inlineStr">
        <is>
          <t>VIMMERBY</t>
        </is>
      </c>
      <c r="G847" t="n">
        <v>2.8</v>
      </c>
      <c r="H847" t="n">
        <v>0</v>
      </c>
      <c r="I847" t="n">
        <v>0</v>
      </c>
      <c r="J847" t="n">
        <v>0</v>
      </c>
      <c r="K847" t="n">
        <v>0</v>
      </c>
      <c r="L847" t="n">
        <v>0</v>
      </c>
      <c r="M847" t="n">
        <v>0</v>
      </c>
      <c r="N847" t="n">
        <v>0</v>
      </c>
      <c r="O847" t="n">
        <v>0</v>
      </c>
      <c r="P847" t="n">
        <v>0</v>
      </c>
      <c r="Q847" t="n">
        <v>0</v>
      </c>
      <c r="R847" s="2" t="inlineStr"/>
    </row>
    <row r="848" ht="15" customHeight="1">
      <c r="A848" t="inlineStr">
        <is>
          <t>A 7068-2024</t>
        </is>
      </c>
      <c r="B848" s="1" t="n">
        <v>45343.68038194445</v>
      </c>
      <c r="C848" s="1" t="n">
        <v>45932</v>
      </c>
      <c r="D848" t="inlineStr">
        <is>
          <t>KALMAR LÄN</t>
        </is>
      </c>
      <c r="E848" t="inlineStr">
        <is>
          <t>VIMMERBY</t>
        </is>
      </c>
      <c r="G848" t="n">
        <v>2.5</v>
      </c>
      <c r="H848" t="n">
        <v>0</v>
      </c>
      <c r="I848" t="n">
        <v>0</v>
      </c>
      <c r="J848" t="n">
        <v>0</v>
      </c>
      <c r="K848" t="n">
        <v>0</v>
      </c>
      <c r="L848" t="n">
        <v>0</v>
      </c>
      <c r="M848" t="n">
        <v>0</v>
      </c>
      <c r="N848" t="n">
        <v>0</v>
      </c>
      <c r="O848" t="n">
        <v>0</v>
      </c>
      <c r="P848" t="n">
        <v>0</v>
      </c>
      <c r="Q848" t="n">
        <v>0</v>
      </c>
      <c r="R848" s="2" t="inlineStr"/>
    </row>
    <row r="849" ht="15" customHeight="1">
      <c r="A849" t="inlineStr">
        <is>
          <t>A 46234-2024</t>
        </is>
      </c>
      <c r="B849" s="1" t="n">
        <v>45581.57958333333</v>
      </c>
      <c r="C849" s="1" t="n">
        <v>45932</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37187-2024</t>
        </is>
      </c>
      <c r="B850" s="1" t="n">
        <v>45539.65212962963</v>
      </c>
      <c r="C850" s="1" t="n">
        <v>45932</v>
      </c>
      <c r="D850" t="inlineStr">
        <is>
          <t>KALMAR LÄN</t>
        </is>
      </c>
      <c r="E850" t="inlineStr">
        <is>
          <t>VIMMERBY</t>
        </is>
      </c>
      <c r="G850" t="n">
        <v>2.7</v>
      </c>
      <c r="H850" t="n">
        <v>0</v>
      </c>
      <c r="I850" t="n">
        <v>0</v>
      </c>
      <c r="J850" t="n">
        <v>0</v>
      </c>
      <c r="K850" t="n">
        <v>0</v>
      </c>
      <c r="L850" t="n">
        <v>0</v>
      </c>
      <c r="M850" t="n">
        <v>0</v>
      </c>
      <c r="N850" t="n">
        <v>0</v>
      </c>
      <c r="O850" t="n">
        <v>0</v>
      </c>
      <c r="P850" t="n">
        <v>0</v>
      </c>
      <c r="Q850" t="n">
        <v>0</v>
      </c>
      <c r="R850" s="2" t="inlineStr"/>
    </row>
    <row r="851">
      <c r="A851" t="inlineStr">
        <is>
          <t>A 1021-2024</t>
        </is>
      </c>
      <c r="B851" s="1" t="n">
        <v>45301.67736111111</v>
      </c>
      <c r="C851" s="1" t="n">
        <v>45932</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2025-10-02T12:47:18Z</dcterms:created>
  <dcterms:modified xmlns:dcterms="http://purl.org/dc/terms/" xmlns:xsi="http://www.w3.org/2001/XMLSchema-instance" xsi:type="dcterms:W3CDTF">2025-10-02T12:47:19Z</dcterms:modified>
</cp:coreProperties>
</file>