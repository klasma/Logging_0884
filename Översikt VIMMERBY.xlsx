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46084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46084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46084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55604-2025</t>
        </is>
      </c>
      <c r="B14" s="1" t="n">
        <v>45971</v>
      </c>
      <c r="C14" s="1" t="n">
        <v>46084</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46084</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58997-2025</t>
        </is>
      </c>
      <c r="B16" s="1" t="n">
        <v>45987</v>
      </c>
      <c r="C16" s="1" t="n">
        <v>46084</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46824-2025</t>
        </is>
      </c>
      <c r="B17" s="1" t="n">
        <v>45926.90006944445</v>
      </c>
      <c r="C17" s="1" t="n">
        <v>46084</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37901-2022</t>
        </is>
      </c>
      <c r="B18" s="1" t="n">
        <v>44811</v>
      </c>
      <c r="C18" s="1" t="n">
        <v>46084</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15427-2023</t>
        </is>
      </c>
      <c r="B19" s="1" t="n">
        <v>45020</v>
      </c>
      <c r="C19" s="1" t="n">
        <v>46084</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57053-2025</t>
        </is>
      </c>
      <c r="B20" s="1" t="n">
        <v>45979.35256944445</v>
      </c>
      <c r="C20" s="1" t="n">
        <v>46084</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46084</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41398-2021</t>
        </is>
      </c>
      <c r="B22" s="1" t="n">
        <v>44424</v>
      </c>
      <c r="C22" s="1" t="n">
        <v>46084</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46084</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46084</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46084</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46084</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46084</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46084</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22825-2023</t>
        </is>
      </c>
      <c r="B29" s="1" t="n">
        <v>45072</v>
      </c>
      <c r="C29" s="1" t="n">
        <v>46084</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53787-2025</t>
        </is>
      </c>
      <c r="B30" s="1" t="n">
        <v>45960</v>
      </c>
      <c r="C30" s="1" t="n">
        <v>46084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14024-2023</t>
        </is>
      </c>
      <c r="B31" s="1" t="n">
        <v>45008.60878472222</v>
      </c>
      <c r="C31" s="1" t="n">
        <v>46084</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46084</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46084</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46084</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46084</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61860-2024</t>
        </is>
      </c>
      <c r="B36" s="1" t="n">
        <v>45649</v>
      </c>
      <c r="C36" s="1" t="n">
        <v>46084</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1201-2025</t>
        </is>
      </c>
      <c r="B37" s="1" t="n">
        <v>45667</v>
      </c>
      <c r="C37" s="1" t="n">
        <v>46084</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29183-2025</t>
        </is>
      </c>
      <c r="B38" s="1" t="n">
        <v>45821</v>
      </c>
      <c r="C38" s="1" t="n">
        <v>46084</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37930-2021</t>
        </is>
      </c>
      <c r="B39" s="1" t="n">
        <v>44403</v>
      </c>
      <c r="C39" s="1" t="n">
        <v>46084</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33436-2021</t>
        </is>
      </c>
      <c r="B40" s="1" t="n">
        <v>44377.61104166666</v>
      </c>
      <c r="C40" s="1" t="n">
        <v>46084</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28852-2023</t>
        </is>
      </c>
      <c r="B41" s="1" t="n">
        <v>45104</v>
      </c>
      <c r="C41" s="1" t="n">
        <v>46084</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53404-2025</t>
        </is>
      </c>
      <c r="B42" s="1" t="n">
        <v>45959.57126157408</v>
      </c>
      <c r="C42" s="1" t="n">
        <v>46084</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53400-2025</t>
        </is>
      </c>
      <c r="B43" s="1" t="n">
        <v>45959.56684027778</v>
      </c>
      <c r="C43" s="1" t="n">
        <v>46084</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55384-2025</t>
        </is>
      </c>
      <c r="B44" s="1" t="n">
        <v>45971.43178240741</v>
      </c>
      <c r="C44" s="1" t="n">
        <v>46084</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57062-2025</t>
        </is>
      </c>
      <c r="B45" s="1" t="n">
        <v>45979.37598379629</v>
      </c>
      <c r="C45" s="1" t="n">
        <v>46084</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52301-2023</t>
        </is>
      </c>
      <c r="B46" s="1" t="n">
        <v>45224</v>
      </c>
      <c r="C46" s="1" t="n">
        <v>46084</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44515-2024</t>
        </is>
      </c>
      <c r="B47" s="1" t="n">
        <v>45574.42767361111</v>
      </c>
      <c r="C47" s="1" t="n">
        <v>46084</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40083-2023</t>
        </is>
      </c>
      <c r="B48" s="1" t="n">
        <v>45168</v>
      </c>
      <c r="C48" s="1" t="n">
        <v>46084</v>
      </c>
      <c r="D48" t="inlineStr">
        <is>
          <t>KALMAR LÄN</t>
        </is>
      </c>
      <c r="E48" t="inlineStr">
        <is>
          <t>VIMMERBY</t>
        </is>
      </c>
      <c r="G48" t="n">
        <v>2.2</v>
      </c>
      <c r="H48" t="n">
        <v>1</v>
      </c>
      <c r="I48" t="n">
        <v>0</v>
      </c>
      <c r="J48" t="n">
        <v>0</v>
      </c>
      <c r="K48" t="n">
        <v>0</v>
      </c>
      <c r="L48" t="n">
        <v>0</v>
      </c>
      <c r="M48" t="n">
        <v>0</v>
      </c>
      <c r="N48" t="n">
        <v>0</v>
      </c>
      <c r="O48" t="n">
        <v>0</v>
      </c>
      <c r="P48" t="n">
        <v>0</v>
      </c>
      <c r="Q48" t="n">
        <v>1</v>
      </c>
      <c r="R48" s="2" t="inlineStr">
        <is>
          <t>Revlummer</t>
        </is>
      </c>
      <c r="S48">
        <f>HYPERLINK("https://klasma.github.io/Logging_0884/artfynd/A 40083-2023 artfynd.xlsx", "A 40083-2023")</f>
        <v/>
      </c>
      <c r="T48">
        <f>HYPERLINK("https://klasma.github.io/Logging_0884/kartor/A 40083-2023 karta.png", "A 40083-2023")</f>
        <v/>
      </c>
      <c r="V48">
        <f>HYPERLINK("https://klasma.github.io/Logging_0884/klagomål/A 40083-2023 FSC-klagomål.docx", "A 40083-2023")</f>
        <v/>
      </c>
      <c r="W48">
        <f>HYPERLINK("https://klasma.github.io/Logging_0884/klagomålsmail/A 40083-2023 FSC-klagomål mail.docx", "A 40083-2023")</f>
        <v/>
      </c>
      <c r="X48">
        <f>HYPERLINK("https://klasma.github.io/Logging_0884/tillsyn/A 40083-2023 tillsynsbegäran.docx", "A 40083-2023")</f>
        <v/>
      </c>
      <c r="Y48">
        <f>HYPERLINK("https://klasma.github.io/Logging_0884/tillsynsmail/A 40083-2023 tillsynsbegäran mail.docx", "A 40083-2023")</f>
        <v/>
      </c>
    </row>
    <row r="49" ht="15" customHeight="1">
      <c r="A49" t="inlineStr">
        <is>
          <t>A 40084-2023</t>
        </is>
      </c>
      <c r="B49" s="1" t="n">
        <v>45168</v>
      </c>
      <c r="C49" s="1" t="n">
        <v>46084</v>
      </c>
      <c r="D49" t="inlineStr">
        <is>
          <t>KALMAR LÄN</t>
        </is>
      </c>
      <c r="E49" t="inlineStr">
        <is>
          <t>VIMMERBY</t>
        </is>
      </c>
      <c r="G49" t="n">
        <v>1.3</v>
      </c>
      <c r="H49" t="n">
        <v>1</v>
      </c>
      <c r="I49" t="n">
        <v>0</v>
      </c>
      <c r="J49" t="n">
        <v>1</v>
      </c>
      <c r="K49" t="n">
        <v>0</v>
      </c>
      <c r="L49" t="n">
        <v>0</v>
      </c>
      <c r="M49" t="n">
        <v>0</v>
      </c>
      <c r="N49" t="n">
        <v>0</v>
      </c>
      <c r="O49" t="n">
        <v>1</v>
      </c>
      <c r="P49" t="n">
        <v>0</v>
      </c>
      <c r="Q49" t="n">
        <v>1</v>
      </c>
      <c r="R49" s="2" t="inlineStr">
        <is>
          <t>Entita</t>
        </is>
      </c>
      <c r="S49">
        <f>HYPERLINK("https://klasma.github.io/Logging_0884/artfynd/A 40084-2023 artfynd.xlsx", "A 40084-2023")</f>
        <v/>
      </c>
      <c r="T49">
        <f>HYPERLINK("https://klasma.github.io/Logging_0884/kartor/A 40084-2023 karta.png", "A 40084-2023")</f>
        <v/>
      </c>
      <c r="V49">
        <f>HYPERLINK("https://klasma.github.io/Logging_0884/klagomål/A 40084-2023 FSC-klagomål.docx", "A 40084-2023")</f>
        <v/>
      </c>
      <c r="W49">
        <f>HYPERLINK("https://klasma.github.io/Logging_0884/klagomålsmail/A 40084-2023 FSC-klagomål mail.docx", "A 40084-2023")</f>
        <v/>
      </c>
      <c r="X49">
        <f>HYPERLINK("https://klasma.github.io/Logging_0884/tillsyn/A 40084-2023 tillsynsbegäran.docx", "A 40084-2023")</f>
        <v/>
      </c>
      <c r="Y49">
        <f>HYPERLINK("https://klasma.github.io/Logging_0884/tillsynsmail/A 40084-2023 tillsynsbegäran mail.docx", "A 40084-2023")</f>
        <v/>
      </c>
      <c r="Z49">
        <f>HYPERLINK("https://klasma.github.io/Logging_0884/fåglar/A 40084-2023 prioriterade fågelarter.docx", "A 40084-2023")</f>
        <v/>
      </c>
    </row>
    <row r="50" ht="15" customHeight="1">
      <c r="A50" t="inlineStr">
        <is>
          <t>A 23602-2023</t>
        </is>
      </c>
      <c r="B50" s="1" t="n">
        <v>45077</v>
      </c>
      <c r="C50" s="1" t="n">
        <v>46084</v>
      </c>
      <c r="D50" t="inlineStr">
        <is>
          <t>KALMAR LÄN</t>
        </is>
      </c>
      <c r="E50" t="inlineStr">
        <is>
          <t>VIMMERBY</t>
        </is>
      </c>
      <c r="G50" t="n">
        <v>1.6</v>
      </c>
      <c r="H50" t="n">
        <v>0</v>
      </c>
      <c r="I50" t="n">
        <v>0</v>
      </c>
      <c r="J50" t="n">
        <v>1</v>
      </c>
      <c r="K50" t="n">
        <v>0</v>
      </c>
      <c r="L50" t="n">
        <v>0</v>
      </c>
      <c r="M50" t="n">
        <v>0</v>
      </c>
      <c r="N50" t="n">
        <v>0</v>
      </c>
      <c r="O50" t="n">
        <v>1</v>
      </c>
      <c r="P50" t="n">
        <v>0</v>
      </c>
      <c r="Q50" t="n">
        <v>1</v>
      </c>
      <c r="R50" s="2" t="inlineStr">
        <is>
          <t>Vedtrappmossa</t>
        </is>
      </c>
      <c r="S50">
        <f>HYPERLINK("https://klasma.github.io/Logging_0884/artfynd/A 23602-2023 artfynd.xlsx", "A 23602-2023")</f>
        <v/>
      </c>
      <c r="T50">
        <f>HYPERLINK("https://klasma.github.io/Logging_0884/kartor/A 23602-2023 karta.png", "A 23602-2023")</f>
        <v/>
      </c>
      <c r="V50">
        <f>HYPERLINK("https://klasma.github.io/Logging_0884/klagomål/A 23602-2023 FSC-klagomål.docx", "A 23602-2023")</f>
        <v/>
      </c>
      <c r="W50">
        <f>HYPERLINK("https://klasma.github.io/Logging_0884/klagomålsmail/A 23602-2023 FSC-klagomål mail.docx", "A 23602-2023")</f>
        <v/>
      </c>
      <c r="X50">
        <f>HYPERLINK("https://klasma.github.io/Logging_0884/tillsyn/A 23602-2023 tillsynsbegäran.docx", "A 23602-2023")</f>
        <v/>
      </c>
      <c r="Y50">
        <f>HYPERLINK("https://klasma.github.io/Logging_0884/tillsynsmail/A 23602-2023 tillsynsbegäran mail.docx", "A 23602-2023")</f>
        <v/>
      </c>
    </row>
    <row r="51" ht="15" customHeight="1">
      <c r="A51" t="inlineStr">
        <is>
          <t>A 32985-2023</t>
        </is>
      </c>
      <c r="B51" s="1" t="n">
        <v>45125</v>
      </c>
      <c r="C51" s="1" t="n">
        <v>46084</v>
      </c>
      <c r="D51" t="inlineStr">
        <is>
          <t>KALMAR LÄN</t>
        </is>
      </c>
      <c r="E51" t="inlineStr">
        <is>
          <t>VIMMERBY</t>
        </is>
      </c>
      <c r="G51" t="n">
        <v>1.9</v>
      </c>
      <c r="H51" t="n">
        <v>0</v>
      </c>
      <c r="I51" t="n">
        <v>0</v>
      </c>
      <c r="J51" t="n">
        <v>0</v>
      </c>
      <c r="K51" t="n">
        <v>0</v>
      </c>
      <c r="L51" t="n">
        <v>1</v>
      </c>
      <c r="M51" t="n">
        <v>0</v>
      </c>
      <c r="N51" t="n">
        <v>0</v>
      </c>
      <c r="O51" t="n">
        <v>1</v>
      </c>
      <c r="P51" t="n">
        <v>1</v>
      </c>
      <c r="Q51" t="n">
        <v>1</v>
      </c>
      <c r="R51" s="2" t="inlineStr">
        <is>
          <t>Ryl</t>
        </is>
      </c>
      <c r="S51">
        <f>HYPERLINK("https://klasma.github.io/Logging_0884/artfynd/A 32985-2023 artfynd.xlsx", "A 32985-2023")</f>
        <v/>
      </c>
      <c r="T51">
        <f>HYPERLINK("https://klasma.github.io/Logging_0884/kartor/A 32985-2023 karta.png", "A 32985-2023")</f>
        <v/>
      </c>
      <c r="V51">
        <f>HYPERLINK("https://klasma.github.io/Logging_0884/klagomål/A 32985-2023 FSC-klagomål.docx", "A 32985-2023")</f>
        <v/>
      </c>
      <c r="W51">
        <f>HYPERLINK("https://klasma.github.io/Logging_0884/klagomålsmail/A 32985-2023 FSC-klagomål mail.docx", "A 32985-2023")</f>
        <v/>
      </c>
      <c r="X51">
        <f>HYPERLINK("https://klasma.github.io/Logging_0884/tillsyn/A 32985-2023 tillsynsbegäran.docx", "A 32985-2023")</f>
        <v/>
      </c>
      <c r="Y51">
        <f>HYPERLINK("https://klasma.github.io/Logging_0884/tillsynsmail/A 32985-2023 tillsynsbegäran mail.docx", "A 32985-2023")</f>
        <v/>
      </c>
    </row>
    <row r="52" ht="15" customHeight="1">
      <c r="A52" t="inlineStr">
        <is>
          <t>A 15122-2024</t>
        </is>
      </c>
      <c r="B52" s="1" t="n">
        <v>45399.71412037037</v>
      </c>
      <c r="C52" s="1" t="n">
        <v>46084</v>
      </c>
      <c r="D52" t="inlineStr">
        <is>
          <t>KALMAR LÄN</t>
        </is>
      </c>
      <c r="E52" t="inlineStr">
        <is>
          <t>VIMMERBY</t>
        </is>
      </c>
      <c r="G52" t="n">
        <v>1.7</v>
      </c>
      <c r="H52" t="n">
        <v>0</v>
      </c>
      <c r="I52" t="n">
        <v>0</v>
      </c>
      <c r="J52" t="n">
        <v>0</v>
      </c>
      <c r="K52" t="n">
        <v>1</v>
      </c>
      <c r="L52" t="n">
        <v>0</v>
      </c>
      <c r="M52" t="n">
        <v>0</v>
      </c>
      <c r="N52" t="n">
        <v>0</v>
      </c>
      <c r="O52" t="n">
        <v>1</v>
      </c>
      <c r="P52" t="n">
        <v>1</v>
      </c>
      <c r="Q52" t="n">
        <v>1</v>
      </c>
      <c r="R52" s="2" t="inlineStr">
        <is>
          <t>Sågfibbla</t>
        </is>
      </c>
      <c r="S52">
        <f>HYPERLINK("https://klasma.github.io/Logging_0884/artfynd/A 15122-2024 artfynd.xlsx", "A 15122-2024")</f>
        <v/>
      </c>
      <c r="T52">
        <f>HYPERLINK("https://klasma.github.io/Logging_0884/kartor/A 15122-2024 karta.png", "A 15122-2024")</f>
        <v/>
      </c>
      <c r="V52">
        <f>HYPERLINK("https://klasma.github.io/Logging_0884/klagomål/A 15122-2024 FSC-klagomål.docx", "A 15122-2024")</f>
        <v/>
      </c>
      <c r="W52">
        <f>HYPERLINK("https://klasma.github.io/Logging_0884/klagomålsmail/A 15122-2024 FSC-klagomål mail.docx", "A 15122-2024")</f>
        <v/>
      </c>
      <c r="X52">
        <f>HYPERLINK("https://klasma.github.io/Logging_0884/tillsyn/A 15122-2024 tillsynsbegäran.docx", "A 15122-2024")</f>
        <v/>
      </c>
      <c r="Y52">
        <f>HYPERLINK("https://klasma.github.io/Logging_0884/tillsynsmail/A 15122-2024 tillsynsbegäran mail.docx", "A 15122-2024")</f>
        <v/>
      </c>
    </row>
    <row r="53" ht="15" customHeight="1">
      <c r="A53" t="inlineStr">
        <is>
          <t>A 15092-2021</t>
        </is>
      </c>
      <c r="B53" s="1" t="n">
        <v>44281.79269675926</v>
      </c>
      <c r="C53" s="1" t="n">
        <v>46084</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46084</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46084</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46084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46084</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46084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46084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46084</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46084</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46084</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46084</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46084</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46084</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46084</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46084</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46084</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46084</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46084</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46084</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46084</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46084</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46084</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46084</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46084</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46084</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46084</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46084</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46084</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46084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46084</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46084</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46084</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46084</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46084</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46084</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46084</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46084</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46084</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46084</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46084</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46084</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46084</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46084</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46084</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31533-2022</t>
        </is>
      </c>
      <c r="B109" s="1" t="n">
        <v>44774</v>
      </c>
      <c r="C109" s="1" t="n">
        <v>46084</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46084</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46084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46084</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46084</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46084</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46084</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46084</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46084</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46084</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46084</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46084</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46084</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46084</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46084</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46084</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46084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46084</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46084</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46084</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8453-2022</t>
        </is>
      </c>
      <c r="B131" s="1" t="n">
        <v>44612.86554398148</v>
      </c>
      <c r="C131" s="1" t="n">
        <v>46084</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52433-2021</t>
        </is>
      </c>
      <c r="B132" s="1" t="n">
        <v>44466.34726851852</v>
      </c>
      <c r="C132" s="1" t="n">
        <v>46084</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50621-2022</t>
        </is>
      </c>
      <c r="B133" s="1" t="n">
        <v>44866.81100694444</v>
      </c>
      <c r="C133" s="1" t="n">
        <v>46084</v>
      </c>
      <c r="D133" t="inlineStr">
        <is>
          <t>KALMAR LÄN</t>
        </is>
      </c>
      <c r="E133" t="inlineStr">
        <is>
          <t>VIMMERBY</t>
        </is>
      </c>
      <c r="F133" t="inlineStr">
        <is>
          <t>Övriga Aktiebolag</t>
        </is>
      </c>
      <c r="G133" t="n">
        <v>5.1</v>
      </c>
      <c r="H133" t="n">
        <v>0</v>
      </c>
      <c r="I133" t="n">
        <v>0</v>
      </c>
      <c r="J133" t="n">
        <v>0</v>
      </c>
      <c r="K133" t="n">
        <v>0</v>
      </c>
      <c r="L133" t="n">
        <v>0</v>
      </c>
      <c r="M133" t="n">
        <v>0</v>
      </c>
      <c r="N133" t="n">
        <v>0</v>
      </c>
      <c r="O133" t="n">
        <v>0</v>
      </c>
      <c r="P133" t="n">
        <v>0</v>
      </c>
      <c r="Q133" t="n">
        <v>0</v>
      </c>
      <c r="R133" s="2" t="inlineStr"/>
    </row>
    <row r="134" ht="15" customHeight="1">
      <c r="A134" t="inlineStr">
        <is>
          <t>A 56389-2021</t>
        </is>
      </c>
      <c r="B134" s="1" t="n">
        <v>44480</v>
      </c>
      <c r="C134" s="1" t="n">
        <v>46084</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54065-2021</t>
        </is>
      </c>
      <c r="B135" s="1" t="n">
        <v>44470.44232638889</v>
      </c>
      <c r="C135" s="1" t="n">
        <v>46084</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32603-2021</t>
        </is>
      </c>
      <c r="B136" s="1" t="n">
        <v>44375.38789351852</v>
      </c>
      <c r="C136" s="1" t="n">
        <v>46084</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12241-2021</t>
        </is>
      </c>
      <c r="B137" s="1" t="n">
        <v>44266.7240625</v>
      </c>
      <c r="C137" s="1" t="n">
        <v>46084</v>
      </c>
      <c r="D137" t="inlineStr">
        <is>
          <t>KALMAR LÄN</t>
        </is>
      </c>
      <c r="E137" t="inlineStr">
        <is>
          <t>VIMMERBY</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46084</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12662-2021</t>
        </is>
      </c>
      <c r="B139" s="1" t="n">
        <v>44270.49743055556</v>
      </c>
      <c r="C139" s="1" t="n">
        <v>46084</v>
      </c>
      <c r="D139" t="inlineStr">
        <is>
          <t>KALMAR LÄN</t>
        </is>
      </c>
      <c r="E139" t="inlineStr">
        <is>
          <t>VIMMERBY</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11733-2022</t>
        </is>
      </c>
      <c r="B140" s="1" t="n">
        <v>44634</v>
      </c>
      <c r="C140" s="1" t="n">
        <v>46084</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36117-2021</t>
        </is>
      </c>
      <c r="B141" s="1" t="n">
        <v>44386</v>
      </c>
      <c r="C141" s="1" t="n">
        <v>46084</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42521-2021</t>
        </is>
      </c>
      <c r="B142" s="1" t="n">
        <v>44427</v>
      </c>
      <c r="C142" s="1" t="n">
        <v>46084</v>
      </c>
      <c r="D142" t="inlineStr">
        <is>
          <t>KALMAR LÄN</t>
        </is>
      </c>
      <c r="E142" t="inlineStr">
        <is>
          <t>VIMMERBY</t>
        </is>
      </c>
      <c r="G142" t="n">
        <v>5.4</v>
      </c>
      <c r="H142" t="n">
        <v>0</v>
      </c>
      <c r="I142" t="n">
        <v>0</v>
      </c>
      <c r="J142" t="n">
        <v>0</v>
      </c>
      <c r="K142" t="n">
        <v>0</v>
      </c>
      <c r="L142" t="n">
        <v>0</v>
      </c>
      <c r="M142" t="n">
        <v>0</v>
      </c>
      <c r="N142" t="n">
        <v>0</v>
      </c>
      <c r="O142" t="n">
        <v>0</v>
      </c>
      <c r="P142" t="n">
        <v>0</v>
      </c>
      <c r="Q142" t="n">
        <v>0</v>
      </c>
      <c r="R142" s="2" t="inlineStr"/>
    </row>
    <row r="143" ht="15" customHeight="1">
      <c r="A143" t="inlineStr">
        <is>
          <t>A 67952-2021</t>
        </is>
      </c>
      <c r="B143" s="1" t="n">
        <v>44525.63913194444</v>
      </c>
      <c r="C143" s="1" t="n">
        <v>46084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46084</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15533-2022</t>
        </is>
      </c>
      <c r="B145" s="1" t="n">
        <v>44662</v>
      </c>
      <c r="C145" s="1" t="n">
        <v>46084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23825-2022</t>
        </is>
      </c>
      <c r="B146" s="1" t="n">
        <v>44722.48768518519</v>
      </c>
      <c r="C146" s="1" t="n">
        <v>46084</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165-2022</t>
        </is>
      </c>
      <c r="B147" s="1" t="n">
        <v>44564</v>
      </c>
      <c r="C147" s="1" t="n">
        <v>46084</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7804-2022</t>
        </is>
      </c>
      <c r="B148" s="1" t="n">
        <v>44608.50458333334</v>
      </c>
      <c r="C148" s="1" t="n">
        <v>46084</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39042-2022</t>
        </is>
      </c>
      <c r="B149" s="1" t="n">
        <v>44817</v>
      </c>
      <c r="C149" s="1" t="n">
        <v>46084</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46964-2022</t>
        </is>
      </c>
      <c r="B150" s="1" t="n">
        <v>44851.95016203704</v>
      </c>
      <c r="C150" s="1" t="n">
        <v>46084</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16288-2021</t>
        </is>
      </c>
      <c r="B151" s="1" t="n">
        <v>44292</v>
      </c>
      <c r="C151" s="1" t="n">
        <v>46084</v>
      </c>
      <c r="D151" t="inlineStr">
        <is>
          <t>KALMAR LÄN</t>
        </is>
      </c>
      <c r="E151" t="inlineStr">
        <is>
          <t>VIMMERBY</t>
        </is>
      </c>
      <c r="F151" t="inlineStr">
        <is>
          <t>Övriga Aktiebolag</t>
        </is>
      </c>
      <c r="G151" t="n">
        <v>27.6</v>
      </c>
      <c r="H151" t="n">
        <v>0</v>
      </c>
      <c r="I151" t="n">
        <v>0</v>
      </c>
      <c r="J151" t="n">
        <v>0</v>
      </c>
      <c r="K151" t="n">
        <v>0</v>
      </c>
      <c r="L151" t="n">
        <v>0</v>
      </c>
      <c r="M151" t="n">
        <v>0</v>
      </c>
      <c r="N151" t="n">
        <v>0</v>
      </c>
      <c r="O151" t="n">
        <v>0</v>
      </c>
      <c r="P151" t="n">
        <v>0</v>
      </c>
      <c r="Q151" t="n">
        <v>0</v>
      </c>
      <c r="R151" s="2" t="inlineStr"/>
    </row>
    <row r="152" ht="15" customHeight="1">
      <c r="A152" t="inlineStr">
        <is>
          <t>A 34040-2021</t>
        </is>
      </c>
      <c r="B152" s="1" t="n">
        <v>44379</v>
      </c>
      <c r="C152" s="1" t="n">
        <v>46084</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13180-2022</t>
        </is>
      </c>
      <c r="B153" s="1" t="n">
        <v>44644</v>
      </c>
      <c r="C153" s="1" t="n">
        <v>46084</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15200-2021</t>
        </is>
      </c>
      <c r="B154" s="1" t="n">
        <v>44284.44574074074</v>
      </c>
      <c r="C154" s="1" t="n">
        <v>46084</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18276-2021</t>
        </is>
      </c>
      <c r="B155" s="1" t="n">
        <v>44305.40046296296</v>
      </c>
      <c r="C155" s="1" t="n">
        <v>46084</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4076-2022</t>
        </is>
      </c>
      <c r="B156" s="1" t="n">
        <v>44588.37998842593</v>
      </c>
      <c r="C156" s="1" t="n">
        <v>46084</v>
      </c>
      <c r="D156" t="inlineStr">
        <is>
          <t>KALMAR LÄN</t>
        </is>
      </c>
      <c r="E156" t="inlineStr">
        <is>
          <t>VIMMERBY</t>
        </is>
      </c>
      <c r="G156" t="n">
        <v>3</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46084</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4122-2022</t>
        </is>
      </c>
      <c r="B158" s="1" t="n">
        <v>44588</v>
      </c>
      <c r="C158" s="1" t="n">
        <v>46084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12107-2022</t>
        </is>
      </c>
      <c r="B159" s="1" t="n">
        <v>44636</v>
      </c>
      <c r="C159" s="1" t="n">
        <v>46084</v>
      </c>
      <c r="D159" t="inlineStr">
        <is>
          <t>KALMAR LÄN</t>
        </is>
      </c>
      <c r="E159" t="inlineStr">
        <is>
          <t>VIMMERBY</t>
        </is>
      </c>
      <c r="G159" t="n">
        <v>1.8</v>
      </c>
      <c r="H159" t="n">
        <v>0</v>
      </c>
      <c r="I159" t="n">
        <v>0</v>
      </c>
      <c r="J159" t="n">
        <v>0</v>
      </c>
      <c r="K159" t="n">
        <v>0</v>
      </c>
      <c r="L159" t="n">
        <v>0</v>
      </c>
      <c r="M159" t="n">
        <v>0</v>
      </c>
      <c r="N159" t="n">
        <v>0</v>
      </c>
      <c r="O159" t="n">
        <v>0</v>
      </c>
      <c r="P159" t="n">
        <v>0</v>
      </c>
      <c r="Q159" t="n">
        <v>0</v>
      </c>
      <c r="R159" s="2" t="inlineStr"/>
    </row>
    <row r="160" ht="15" customHeight="1">
      <c r="A160" t="inlineStr">
        <is>
          <t>A 39225-2022</t>
        </is>
      </c>
      <c r="B160" s="1" t="n">
        <v>44817.57988425926</v>
      </c>
      <c r="C160" s="1" t="n">
        <v>46084</v>
      </c>
      <c r="D160" t="inlineStr">
        <is>
          <t>KALMAR LÄN</t>
        </is>
      </c>
      <c r="E160" t="inlineStr">
        <is>
          <t>VIMMERBY</t>
        </is>
      </c>
      <c r="G160" t="n">
        <v>2.2</v>
      </c>
      <c r="H160" t="n">
        <v>0</v>
      </c>
      <c r="I160" t="n">
        <v>0</v>
      </c>
      <c r="J160" t="n">
        <v>0</v>
      </c>
      <c r="K160" t="n">
        <v>0</v>
      </c>
      <c r="L160" t="n">
        <v>0</v>
      </c>
      <c r="M160" t="n">
        <v>0</v>
      </c>
      <c r="N160" t="n">
        <v>0</v>
      </c>
      <c r="O160" t="n">
        <v>0</v>
      </c>
      <c r="P160" t="n">
        <v>0</v>
      </c>
      <c r="Q160" t="n">
        <v>0</v>
      </c>
      <c r="R160" s="2" t="inlineStr"/>
    </row>
    <row r="161" ht="15" customHeight="1">
      <c r="A161" t="inlineStr">
        <is>
          <t>A 16602-2021</t>
        </is>
      </c>
      <c r="B161" s="1" t="n">
        <v>44294</v>
      </c>
      <c r="C161" s="1" t="n">
        <v>46084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16607-2021</t>
        </is>
      </c>
      <c r="B162" s="1" t="n">
        <v>44294</v>
      </c>
      <c r="C162" s="1" t="n">
        <v>46084</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17029-2022</t>
        </is>
      </c>
      <c r="B163" s="1" t="n">
        <v>44676.85248842592</v>
      </c>
      <c r="C163" s="1" t="n">
        <v>46084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41056-2022</t>
        </is>
      </c>
      <c r="B164" s="1" t="n">
        <v>44824</v>
      </c>
      <c r="C164" s="1" t="n">
        <v>46084</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31660-2021</t>
        </is>
      </c>
      <c r="B165" s="1" t="n">
        <v>44369</v>
      </c>
      <c r="C165" s="1" t="n">
        <v>46084</v>
      </c>
      <c r="D165" t="inlineStr">
        <is>
          <t>KALMAR LÄN</t>
        </is>
      </c>
      <c r="E165" t="inlineStr">
        <is>
          <t>VIMMERBY</t>
        </is>
      </c>
      <c r="G165" t="n">
        <v>4.2</v>
      </c>
      <c r="H165" t="n">
        <v>0</v>
      </c>
      <c r="I165" t="n">
        <v>0</v>
      </c>
      <c r="J165" t="n">
        <v>0</v>
      </c>
      <c r="K165" t="n">
        <v>0</v>
      </c>
      <c r="L165" t="n">
        <v>0</v>
      </c>
      <c r="M165" t="n">
        <v>0</v>
      </c>
      <c r="N165" t="n">
        <v>0</v>
      </c>
      <c r="O165" t="n">
        <v>0</v>
      </c>
      <c r="P165" t="n">
        <v>0</v>
      </c>
      <c r="Q165" t="n">
        <v>0</v>
      </c>
      <c r="R165" s="2" t="inlineStr"/>
    </row>
    <row r="166" ht="15" customHeight="1">
      <c r="A166" t="inlineStr">
        <is>
          <t>A 27455-2022</t>
        </is>
      </c>
      <c r="B166" s="1" t="n">
        <v>44742</v>
      </c>
      <c r="C166" s="1" t="n">
        <v>46084</v>
      </c>
      <c r="D166" t="inlineStr">
        <is>
          <t>KALMAR LÄN</t>
        </is>
      </c>
      <c r="E166" t="inlineStr">
        <is>
          <t>VIMMERBY</t>
        </is>
      </c>
      <c r="G166" t="n">
        <v>1.6</v>
      </c>
      <c r="H166" t="n">
        <v>0</v>
      </c>
      <c r="I166" t="n">
        <v>0</v>
      </c>
      <c r="J166" t="n">
        <v>0</v>
      </c>
      <c r="K166" t="n">
        <v>0</v>
      </c>
      <c r="L166" t="n">
        <v>0</v>
      </c>
      <c r="M166" t="n">
        <v>0</v>
      </c>
      <c r="N166" t="n">
        <v>0</v>
      </c>
      <c r="O166" t="n">
        <v>0</v>
      </c>
      <c r="P166" t="n">
        <v>0</v>
      </c>
      <c r="Q166" t="n">
        <v>0</v>
      </c>
      <c r="R166" s="2" t="inlineStr"/>
    </row>
    <row r="167" ht="15" customHeight="1">
      <c r="A167" t="inlineStr">
        <is>
          <t>A 58374-2024</t>
        </is>
      </c>
      <c r="B167" s="1" t="n">
        <v>45632.72635416667</v>
      </c>
      <c r="C167" s="1" t="n">
        <v>46084</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7167-2022</t>
        </is>
      </c>
      <c r="B168" s="1" t="n">
        <v>44604</v>
      </c>
      <c r="C168" s="1" t="n">
        <v>46084</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42850-2022</t>
        </is>
      </c>
      <c r="B169" s="1" t="n">
        <v>44832.67608796297</v>
      </c>
      <c r="C169" s="1" t="n">
        <v>46084</v>
      </c>
      <c r="D169" t="inlineStr">
        <is>
          <t>KALMAR LÄN</t>
        </is>
      </c>
      <c r="E169" t="inlineStr">
        <is>
          <t>VIMMERBY</t>
        </is>
      </c>
      <c r="G169" t="n">
        <v>5.9</v>
      </c>
      <c r="H169" t="n">
        <v>0</v>
      </c>
      <c r="I169" t="n">
        <v>0</v>
      </c>
      <c r="J169" t="n">
        <v>0</v>
      </c>
      <c r="K169" t="n">
        <v>0</v>
      </c>
      <c r="L169" t="n">
        <v>0</v>
      </c>
      <c r="M169" t="n">
        <v>0</v>
      </c>
      <c r="N169" t="n">
        <v>0</v>
      </c>
      <c r="O169" t="n">
        <v>0</v>
      </c>
      <c r="P169" t="n">
        <v>0</v>
      </c>
      <c r="Q169" t="n">
        <v>0</v>
      </c>
      <c r="R169" s="2" t="inlineStr"/>
    </row>
    <row r="170" ht="15" customHeight="1">
      <c r="A170" t="inlineStr">
        <is>
          <t>A 18356-2021</t>
        </is>
      </c>
      <c r="B170" s="1" t="n">
        <v>44305</v>
      </c>
      <c r="C170" s="1" t="n">
        <v>46084</v>
      </c>
      <c r="D170" t="inlineStr">
        <is>
          <t>KALMAR LÄN</t>
        </is>
      </c>
      <c r="E170" t="inlineStr">
        <is>
          <t>VIMMERBY</t>
        </is>
      </c>
      <c r="G170" t="n">
        <v>3.4</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46084</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35001-2021</t>
        </is>
      </c>
      <c r="B172" s="1" t="n">
        <v>44383</v>
      </c>
      <c r="C172" s="1" t="n">
        <v>46084</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55674-2021</t>
        </is>
      </c>
      <c r="B173" s="1" t="n">
        <v>44476</v>
      </c>
      <c r="C173" s="1" t="n">
        <v>46084</v>
      </c>
      <c r="D173" t="inlineStr">
        <is>
          <t>KALMAR LÄN</t>
        </is>
      </c>
      <c r="E173" t="inlineStr">
        <is>
          <t>VIMMERBY</t>
        </is>
      </c>
      <c r="G173" t="n">
        <v>2.1</v>
      </c>
      <c r="H173" t="n">
        <v>0</v>
      </c>
      <c r="I173" t="n">
        <v>0</v>
      </c>
      <c r="J173" t="n">
        <v>0</v>
      </c>
      <c r="K173" t="n">
        <v>0</v>
      </c>
      <c r="L173" t="n">
        <v>0</v>
      </c>
      <c r="M173" t="n">
        <v>0</v>
      </c>
      <c r="N173" t="n">
        <v>0</v>
      </c>
      <c r="O173" t="n">
        <v>0</v>
      </c>
      <c r="P173" t="n">
        <v>0</v>
      </c>
      <c r="Q173" t="n">
        <v>0</v>
      </c>
      <c r="R173" s="2" t="inlineStr"/>
    </row>
    <row r="174" ht="15" customHeight="1">
      <c r="A174" t="inlineStr">
        <is>
          <t>A 40077-2021</t>
        </is>
      </c>
      <c r="B174" s="1" t="n">
        <v>44418</v>
      </c>
      <c r="C174" s="1" t="n">
        <v>46084</v>
      </c>
      <c r="D174" t="inlineStr">
        <is>
          <t>KALMAR LÄN</t>
        </is>
      </c>
      <c r="E174" t="inlineStr">
        <is>
          <t>VIMMERBY</t>
        </is>
      </c>
      <c r="G174" t="n">
        <v>2.9</v>
      </c>
      <c r="H174" t="n">
        <v>0</v>
      </c>
      <c r="I174" t="n">
        <v>0</v>
      </c>
      <c r="J174" t="n">
        <v>0</v>
      </c>
      <c r="K174" t="n">
        <v>0</v>
      </c>
      <c r="L174" t="n">
        <v>0</v>
      </c>
      <c r="M174" t="n">
        <v>0</v>
      </c>
      <c r="N174" t="n">
        <v>0</v>
      </c>
      <c r="O174" t="n">
        <v>0</v>
      </c>
      <c r="P174" t="n">
        <v>0</v>
      </c>
      <c r="Q174" t="n">
        <v>0</v>
      </c>
      <c r="R174" s="2" t="inlineStr"/>
    </row>
    <row r="175" ht="15" customHeight="1">
      <c r="A175" t="inlineStr">
        <is>
          <t>A 30402-2023</t>
        </is>
      </c>
      <c r="B175" s="1" t="n">
        <v>45111.48395833333</v>
      </c>
      <c r="C175" s="1" t="n">
        <v>46084</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53145-2022</t>
        </is>
      </c>
      <c r="B176" s="1" t="n">
        <v>44876.48346064815</v>
      </c>
      <c r="C176" s="1" t="n">
        <v>46084</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46084</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47769-2022</t>
        </is>
      </c>
      <c r="B178" s="1" t="n">
        <v>44854</v>
      </c>
      <c r="C178" s="1" t="n">
        <v>46084</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46084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46084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46084</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46084</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55300-2021</t>
        </is>
      </c>
      <c r="B183" s="1" t="n">
        <v>44475</v>
      </c>
      <c r="C183" s="1" t="n">
        <v>46084</v>
      </c>
      <c r="D183" t="inlineStr">
        <is>
          <t>KALMAR LÄN</t>
        </is>
      </c>
      <c r="E183" t="inlineStr">
        <is>
          <t>VIMMERBY</t>
        </is>
      </c>
      <c r="G183" t="n">
        <v>3.4</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46084</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44179-2022</t>
        </is>
      </c>
      <c r="B185" s="1" t="n">
        <v>44839.4528125</v>
      </c>
      <c r="C185" s="1" t="n">
        <v>46084</v>
      </c>
      <c r="D185" t="inlineStr">
        <is>
          <t>KALMAR LÄN</t>
        </is>
      </c>
      <c r="E185" t="inlineStr">
        <is>
          <t>VIMMERBY</t>
        </is>
      </c>
      <c r="G185" t="n">
        <v>2.8</v>
      </c>
      <c r="H185" t="n">
        <v>0</v>
      </c>
      <c r="I185" t="n">
        <v>0</v>
      </c>
      <c r="J185" t="n">
        <v>0</v>
      </c>
      <c r="K185" t="n">
        <v>0</v>
      </c>
      <c r="L185" t="n">
        <v>0</v>
      </c>
      <c r="M185" t="n">
        <v>0</v>
      </c>
      <c r="N185" t="n">
        <v>0</v>
      </c>
      <c r="O185" t="n">
        <v>0</v>
      </c>
      <c r="P185" t="n">
        <v>0</v>
      </c>
      <c r="Q185" t="n">
        <v>0</v>
      </c>
      <c r="R185" s="2" t="inlineStr"/>
    </row>
    <row r="186" ht="15" customHeight="1">
      <c r="A186" t="inlineStr">
        <is>
          <t>A 48377-2021</t>
        </is>
      </c>
      <c r="B186" s="1" t="n">
        <v>44451.8375</v>
      </c>
      <c r="C186" s="1" t="n">
        <v>46084</v>
      </c>
      <c r="D186" t="inlineStr">
        <is>
          <t>KALMAR LÄN</t>
        </is>
      </c>
      <c r="E186" t="inlineStr">
        <is>
          <t>VIMMERBY</t>
        </is>
      </c>
      <c r="G186" t="n">
        <v>0.4</v>
      </c>
      <c r="H186" t="n">
        <v>0</v>
      </c>
      <c r="I186" t="n">
        <v>0</v>
      </c>
      <c r="J186" t="n">
        <v>0</v>
      </c>
      <c r="K186" t="n">
        <v>0</v>
      </c>
      <c r="L186" t="n">
        <v>0</v>
      </c>
      <c r="M186" t="n">
        <v>0</v>
      </c>
      <c r="N186" t="n">
        <v>0</v>
      </c>
      <c r="O186" t="n">
        <v>0</v>
      </c>
      <c r="P186" t="n">
        <v>0</v>
      </c>
      <c r="Q186" t="n">
        <v>0</v>
      </c>
      <c r="R186" s="2" t="inlineStr"/>
    </row>
    <row r="187" ht="15" customHeight="1">
      <c r="A187" t="inlineStr">
        <is>
          <t>A 40472-2022</t>
        </is>
      </c>
      <c r="B187" s="1" t="n">
        <v>44823</v>
      </c>
      <c r="C187" s="1" t="n">
        <v>46084</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52755-2022</t>
        </is>
      </c>
      <c r="B188" s="1" t="n">
        <v>44875.27736111111</v>
      </c>
      <c r="C188" s="1" t="n">
        <v>46084</v>
      </c>
      <c r="D188" t="inlineStr">
        <is>
          <t>KALMAR LÄN</t>
        </is>
      </c>
      <c r="E188" t="inlineStr">
        <is>
          <t>VIMMERBY</t>
        </is>
      </c>
      <c r="G188" t="n">
        <v>1.1</v>
      </c>
      <c r="H188" t="n">
        <v>0</v>
      </c>
      <c r="I188" t="n">
        <v>0</v>
      </c>
      <c r="J188" t="n">
        <v>0</v>
      </c>
      <c r="K188" t="n">
        <v>0</v>
      </c>
      <c r="L188" t="n">
        <v>0</v>
      </c>
      <c r="M188" t="n">
        <v>0</v>
      </c>
      <c r="N188" t="n">
        <v>0</v>
      </c>
      <c r="O188" t="n">
        <v>0</v>
      </c>
      <c r="P188" t="n">
        <v>0</v>
      </c>
      <c r="Q188" t="n">
        <v>0</v>
      </c>
      <c r="R188" s="2" t="inlineStr"/>
    </row>
    <row r="189" ht="15" customHeight="1">
      <c r="A189" t="inlineStr">
        <is>
          <t>A 35998-2024</t>
        </is>
      </c>
      <c r="B189" s="1" t="n">
        <v>45533.54429398148</v>
      </c>
      <c r="C189" s="1" t="n">
        <v>46084</v>
      </c>
      <c r="D189" t="inlineStr">
        <is>
          <t>KALMAR LÄN</t>
        </is>
      </c>
      <c r="E189" t="inlineStr">
        <is>
          <t>VIMMERBY</t>
        </is>
      </c>
      <c r="G189" t="n">
        <v>8.6</v>
      </c>
      <c r="H189" t="n">
        <v>0</v>
      </c>
      <c r="I189" t="n">
        <v>0</v>
      </c>
      <c r="J189" t="n">
        <v>0</v>
      </c>
      <c r="K189" t="n">
        <v>0</v>
      </c>
      <c r="L189" t="n">
        <v>0</v>
      </c>
      <c r="M189" t="n">
        <v>0</v>
      </c>
      <c r="N189" t="n">
        <v>0</v>
      </c>
      <c r="O189" t="n">
        <v>0</v>
      </c>
      <c r="P189" t="n">
        <v>0</v>
      </c>
      <c r="Q189" t="n">
        <v>0</v>
      </c>
      <c r="R189" s="2" t="inlineStr"/>
    </row>
    <row r="190" ht="15" customHeight="1">
      <c r="A190" t="inlineStr">
        <is>
          <t>A 7797-2023</t>
        </is>
      </c>
      <c r="B190" s="1" t="n">
        <v>44973.43075231482</v>
      </c>
      <c r="C190" s="1" t="n">
        <v>46084</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35316-2021</t>
        </is>
      </c>
      <c r="B191" s="1" t="n">
        <v>44384</v>
      </c>
      <c r="C191" s="1" t="n">
        <v>46084</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33831-2022</t>
        </is>
      </c>
      <c r="B192" s="1" t="n">
        <v>44790.48503472222</v>
      </c>
      <c r="C192" s="1" t="n">
        <v>46084</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47708-2022</t>
        </is>
      </c>
      <c r="B193" s="1" t="n">
        <v>44854.59157407407</v>
      </c>
      <c r="C193" s="1" t="n">
        <v>46084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29351-2023</t>
        </is>
      </c>
      <c r="B194" s="1" t="n">
        <v>45106.2610300926</v>
      </c>
      <c r="C194" s="1" t="n">
        <v>46084</v>
      </c>
      <c r="D194" t="inlineStr">
        <is>
          <t>KALMAR LÄN</t>
        </is>
      </c>
      <c r="E194" t="inlineStr">
        <is>
          <t>VIMMERBY</t>
        </is>
      </c>
      <c r="G194" t="n">
        <v>0.4</v>
      </c>
      <c r="H194" t="n">
        <v>0</v>
      </c>
      <c r="I194" t="n">
        <v>0</v>
      </c>
      <c r="J194" t="n">
        <v>0</v>
      </c>
      <c r="K194" t="n">
        <v>0</v>
      </c>
      <c r="L194" t="n">
        <v>0</v>
      </c>
      <c r="M194" t="n">
        <v>0</v>
      </c>
      <c r="N194" t="n">
        <v>0</v>
      </c>
      <c r="O194" t="n">
        <v>0</v>
      </c>
      <c r="P194" t="n">
        <v>0</v>
      </c>
      <c r="Q194" t="n">
        <v>0</v>
      </c>
      <c r="R194" s="2" t="inlineStr"/>
    </row>
    <row r="195" ht="15" customHeight="1">
      <c r="A195" t="inlineStr">
        <is>
          <t>A 7630-2025</t>
        </is>
      </c>
      <c r="B195" s="1" t="n">
        <v>45705.74418981482</v>
      </c>
      <c r="C195" s="1" t="n">
        <v>46084</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1024-2024</t>
        </is>
      </c>
      <c r="B196" s="1" t="n">
        <v>45301.68237268519</v>
      </c>
      <c r="C196" s="1" t="n">
        <v>46084</v>
      </c>
      <c r="D196" t="inlineStr">
        <is>
          <t>KALMAR LÄN</t>
        </is>
      </c>
      <c r="E196" t="inlineStr">
        <is>
          <t>VIMMERBY</t>
        </is>
      </c>
      <c r="G196" t="n">
        <v>13</v>
      </c>
      <c r="H196" t="n">
        <v>0</v>
      </c>
      <c r="I196" t="n">
        <v>0</v>
      </c>
      <c r="J196" t="n">
        <v>0</v>
      </c>
      <c r="K196" t="n">
        <v>0</v>
      </c>
      <c r="L196" t="n">
        <v>0</v>
      </c>
      <c r="M196" t="n">
        <v>0</v>
      </c>
      <c r="N196" t="n">
        <v>0</v>
      </c>
      <c r="O196" t="n">
        <v>0</v>
      </c>
      <c r="P196" t="n">
        <v>0</v>
      </c>
      <c r="Q196" t="n">
        <v>0</v>
      </c>
      <c r="R196" s="2" t="inlineStr"/>
    </row>
    <row r="197" ht="15" customHeight="1">
      <c r="A197" t="inlineStr">
        <is>
          <t>A 42918-2021</t>
        </is>
      </c>
      <c r="B197" s="1" t="n">
        <v>44431</v>
      </c>
      <c r="C197" s="1" t="n">
        <v>46084</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9918-2022</t>
        </is>
      </c>
      <c r="B198" s="1" t="n">
        <v>44620</v>
      </c>
      <c r="C198" s="1" t="n">
        <v>46084</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22643-2023</t>
        </is>
      </c>
      <c r="B199" s="1" t="n">
        <v>45071</v>
      </c>
      <c r="C199" s="1" t="n">
        <v>46084</v>
      </c>
      <c r="D199" t="inlineStr">
        <is>
          <t>KALMAR LÄN</t>
        </is>
      </c>
      <c r="E199" t="inlineStr">
        <is>
          <t>VIMMERBY</t>
        </is>
      </c>
      <c r="G199" t="n">
        <v>3.9</v>
      </c>
      <c r="H199" t="n">
        <v>0</v>
      </c>
      <c r="I199" t="n">
        <v>0</v>
      </c>
      <c r="J199" t="n">
        <v>0</v>
      </c>
      <c r="K199" t="n">
        <v>0</v>
      </c>
      <c r="L199" t="n">
        <v>0</v>
      </c>
      <c r="M199" t="n">
        <v>0</v>
      </c>
      <c r="N199" t="n">
        <v>0</v>
      </c>
      <c r="O199" t="n">
        <v>0</v>
      </c>
      <c r="P199" t="n">
        <v>0</v>
      </c>
      <c r="Q199" t="n">
        <v>0</v>
      </c>
      <c r="R199" s="2" t="inlineStr"/>
    </row>
    <row r="200" ht="15" customHeight="1">
      <c r="A200" t="inlineStr">
        <is>
          <t>A 10787-2025</t>
        </is>
      </c>
      <c r="B200" s="1" t="n">
        <v>45722.48915509259</v>
      </c>
      <c r="C200" s="1" t="n">
        <v>46084</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18669-2025</t>
        </is>
      </c>
      <c r="B201" s="1" t="n">
        <v>45763.59436342592</v>
      </c>
      <c r="C201" s="1" t="n">
        <v>46084</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38780-2021</t>
        </is>
      </c>
      <c r="B202" s="1" t="n">
        <v>44410</v>
      </c>
      <c r="C202" s="1" t="n">
        <v>46084</v>
      </c>
      <c r="D202" t="inlineStr">
        <is>
          <t>KALMAR LÄN</t>
        </is>
      </c>
      <c r="E202" t="inlineStr">
        <is>
          <t>VIMMERBY</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29350-2023</t>
        </is>
      </c>
      <c r="B203" s="1" t="n">
        <v>45106</v>
      </c>
      <c r="C203" s="1" t="n">
        <v>46084</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14855-2025</t>
        </is>
      </c>
      <c r="B204" s="1" t="n">
        <v>45743.41148148148</v>
      </c>
      <c r="C204" s="1" t="n">
        <v>46084</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43601-2024</t>
        </is>
      </c>
      <c r="B205" s="1" t="n">
        <v>45569.44684027778</v>
      </c>
      <c r="C205" s="1" t="n">
        <v>46084</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35913-2023</t>
        </is>
      </c>
      <c r="B206" s="1" t="n">
        <v>45148</v>
      </c>
      <c r="C206" s="1" t="n">
        <v>46084</v>
      </c>
      <c r="D206" t="inlineStr">
        <is>
          <t>KALMAR LÄN</t>
        </is>
      </c>
      <c r="E206" t="inlineStr">
        <is>
          <t>VIMMERBY</t>
        </is>
      </c>
      <c r="G206" t="n">
        <v>6.9</v>
      </c>
      <c r="H206" t="n">
        <v>0</v>
      </c>
      <c r="I206" t="n">
        <v>0</v>
      </c>
      <c r="J206" t="n">
        <v>0</v>
      </c>
      <c r="K206" t="n">
        <v>0</v>
      </c>
      <c r="L206" t="n">
        <v>0</v>
      </c>
      <c r="M206" t="n">
        <v>0</v>
      </c>
      <c r="N206" t="n">
        <v>0</v>
      </c>
      <c r="O206" t="n">
        <v>0</v>
      </c>
      <c r="P206" t="n">
        <v>0</v>
      </c>
      <c r="Q206" t="n">
        <v>0</v>
      </c>
      <c r="R206" s="2" t="inlineStr"/>
    </row>
    <row r="207" ht="15" customHeight="1">
      <c r="A207" t="inlineStr">
        <is>
          <t>A 29020-2024</t>
        </is>
      </c>
      <c r="B207" s="1" t="n">
        <v>45481.58048611111</v>
      </c>
      <c r="C207" s="1" t="n">
        <v>46084</v>
      </c>
      <c r="D207" t="inlineStr">
        <is>
          <t>KALMAR LÄN</t>
        </is>
      </c>
      <c r="E207" t="inlineStr">
        <is>
          <t>VIMMERBY</t>
        </is>
      </c>
      <c r="G207" t="n">
        <v>2.3</v>
      </c>
      <c r="H207" t="n">
        <v>0</v>
      </c>
      <c r="I207" t="n">
        <v>0</v>
      </c>
      <c r="J207" t="n">
        <v>0</v>
      </c>
      <c r="K207" t="n">
        <v>0</v>
      </c>
      <c r="L207" t="n">
        <v>0</v>
      </c>
      <c r="M207" t="n">
        <v>0</v>
      </c>
      <c r="N207" t="n">
        <v>0</v>
      </c>
      <c r="O207" t="n">
        <v>0</v>
      </c>
      <c r="P207" t="n">
        <v>0</v>
      </c>
      <c r="Q207" t="n">
        <v>0</v>
      </c>
      <c r="R207" s="2" t="inlineStr"/>
    </row>
    <row r="208" ht="15" customHeight="1">
      <c r="A208" t="inlineStr">
        <is>
          <t>A 9624-2024</t>
        </is>
      </c>
      <c r="B208" s="1" t="n">
        <v>45361.90282407407</v>
      </c>
      <c r="C208" s="1" t="n">
        <v>46084</v>
      </c>
      <c r="D208" t="inlineStr">
        <is>
          <t>KALMAR LÄN</t>
        </is>
      </c>
      <c r="E208" t="inlineStr">
        <is>
          <t>VIMMERBY</t>
        </is>
      </c>
      <c r="G208" t="n">
        <v>3.8</v>
      </c>
      <c r="H208" t="n">
        <v>0</v>
      </c>
      <c r="I208" t="n">
        <v>0</v>
      </c>
      <c r="J208" t="n">
        <v>0</v>
      </c>
      <c r="K208" t="n">
        <v>0</v>
      </c>
      <c r="L208" t="n">
        <v>0</v>
      </c>
      <c r="M208" t="n">
        <v>0</v>
      </c>
      <c r="N208" t="n">
        <v>0</v>
      </c>
      <c r="O208" t="n">
        <v>0</v>
      </c>
      <c r="P208" t="n">
        <v>0</v>
      </c>
      <c r="Q208" t="n">
        <v>0</v>
      </c>
      <c r="R208" s="2" t="inlineStr"/>
    </row>
    <row r="209" ht="15" customHeight="1">
      <c r="A209" t="inlineStr">
        <is>
          <t>A 3938-2023</t>
        </is>
      </c>
      <c r="B209" s="1" t="n">
        <v>44952.35775462963</v>
      </c>
      <c r="C209" s="1" t="n">
        <v>46084</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30406-2023</t>
        </is>
      </c>
      <c r="B210" s="1" t="n">
        <v>45111.48787037037</v>
      </c>
      <c r="C210" s="1" t="n">
        <v>46084</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13817-2024</t>
        </is>
      </c>
      <c r="B211" s="1" t="n">
        <v>45391.41976851852</v>
      </c>
      <c r="C211" s="1" t="n">
        <v>46084</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39053-2024</t>
        </is>
      </c>
      <c r="B212" s="1" t="n">
        <v>45548</v>
      </c>
      <c r="C212" s="1" t="n">
        <v>46084</v>
      </c>
      <c r="D212" t="inlineStr">
        <is>
          <t>KALMAR LÄN</t>
        </is>
      </c>
      <c r="E212" t="inlineStr">
        <is>
          <t>VIMMERBY</t>
        </is>
      </c>
      <c r="G212" t="n">
        <v>5</v>
      </c>
      <c r="H212" t="n">
        <v>0</v>
      </c>
      <c r="I212" t="n">
        <v>0</v>
      </c>
      <c r="J212" t="n">
        <v>0</v>
      </c>
      <c r="K212" t="n">
        <v>0</v>
      </c>
      <c r="L212" t="n">
        <v>0</v>
      </c>
      <c r="M212" t="n">
        <v>0</v>
      </c>
      <c r="N212" t="n">
        <v>0</v>
      </c>
      <c r="O212" t="n">
        <v>0</v>
      </c>
      <c r="P212" t="n">
        <v>0</v>
      </c>
      <c r="Q212" t="n">
        <v>0</v>
      </c>
      <c r="R212" s="2" t="inlineStr"/>
    </row>
    <row r="213" ht="15" customHeight="1">
      <c r="A213" t="inlineStr">
        <is>
          <t>A 14451-2024</t>
        </is>
      </c>
      <c r="B213" s="1" t="n">
        <v>45394.50028935185</v>
      </c>
      <c r="C213" s="1" t="n">
        <v>46084</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34205-2023</t>
        </is>
      </c>
      <c r="B214" s="1" t="n">
        <v>45138</v>
      </c>
      <c r="C214" s="1" t="n">
        <v>46084</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11609-2023</t>
        </is>
      </c>
      <c r="B215" s="1" t="n">
        <v>44994.40635416667</v>
      </c>
      <c r="C215" s="1" t="n">
        <v>46084</v>
      </c>
      <c r="D215" t="inlineStr">
        <is>
          <t>KALMAR LÄN</t>
        </is>
      </c>
      <c r="E215" t="inlineStr">
        <is>
          <t>VIMMERBY</t>
        </is>
      </c>
      <c r="G215" t="n">
        <v>4.9</v>
      </c>
      <c r="H215" t="n">
        <v>0</v>
      </c>
      <c r="I215" t="n">
        <v>0</v>
      </c>
      <c r="J215" t="n">
        <v>0</v>
      </c>
      <c r="K215" t="n">
        <v>0</v>
      </c>
      <c r="L215" t="n">
        <v>0</v>
      </c>
      <c r="M215" t="n">
        <v>0</v>
      </c>
      <c r="N215" t="n">
        <v>0</v>
      </c>
      <c r="O215" t="n">
        <v>0</v>
      </c>
      <c r="P215" t="n">
        <v>0</v>
      </c>
      <c r="Q215" t="n">
        <v>0</v>
      </c>
      <c r="R215" s="2" t="inlineStr"/>
    </row>
    <row r="216" ht="15" customHeight="1">
      <c r="A216" t="inlineStr">
        <is>
          <t>A 3268-2024</t>
        </is>
      </c>
      <c r="B216" s="1" t="n">
        <v>45317</v>
      </c>
      <c r="C216" s="1" t="n">
        <v>46084</v>
      </c>
      <c r="D216" t="inlineStr">
        <is>
          <t>KALMAR LÄN</t>
        </is>
      </c>
      <c r="E216" t="inlineStr">
        <is>
          <t>VIMMERBY</t>
        </is>
      </c>
      <c r="F216" t="inlineStr">
        <is>
          <t>Övriga Aktiebolag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12819-2024</t>
        </is>
      </c>
      <c r="B217" s="1" t="n">
        <v>45384.66917824074</v>
      </c>
      <c r="C217" s="1" t="n">
        <v>46084</v>
      </c>
      <c r="D217" t="inlineStr">
        <is>
          <t>KALMAR LÄN</t>
        </is>
      </c>
      <c r="E217" t="inlineStr">
        <is>
          <t>VIMMERBY</t>
        </is>
      </c>
      <c r="G217" t="n">
        <v>5.1</v>
      </c>
      <c r="H217" t="n">
        <v>0</v>
      </c>
      <c r="I217" t="n">
        <v>0</v>
      </c>
      <c r="J217" t="n">
        <v>0</v>
      </c>
      <c r="K217" t="n">
        <v>0</v>
      </c>
      <c r="L217" t="n">
        <v>0</v>
      </c>
      <c r="M217" t="n">
        <v>0</v>
      </c>
      <c r="N217" t="n">
        <v>0</v>
      </c>
      <c r="O217" t="n">
        <v>0</v>
      </c>
      <c r="P217" t="n">
        <v>0</v>
      </c>
      <c r="Q217" t="n">
        <v>0</v>
      </c>
      <c r="R217" s="2" t="inlineStr"/>
    </row>
    <row r="218" ht="15" customHeight="1">
      <c r="A218" t="inlineStr">
        <is>
          <t>A 16983-2023</t>
        </is>
      </c>
      <c r="B218" s="1" t="n">
        <v>45033.76043981482</v>
      </c>
      <c r="C218" s="1" t="n">
        <v>46084</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6214-2025</t>
        </is>
      </c>
      <c r="B219" s="1" t="n">
        <v>45698.51711805556</v>
      </c>
      <c r="C219" s="1" t="n">
        <v>46084</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32569-2024</t>
        </is>
      </c>
      <c r="B220" s="1" t="n">
        <v>45513.55840277778</v>
      </c>
      <c r="C220" s="1" t="n">
        <v>46084</v>
      </c>
      <c r="D220" t="inlineStr">
        <is>
          <t>KALMAR LÄN</t>
        </is>
      </c>
      <c r="E220" t="inlineStr">
        <is>
          <t>VIMMERBY</t>
        </is>
      </c>
      <c r="G220" t="n">
        <v>3.7</v>
      </c>
      <c r="H220" t="n">
        <v>0</v>
      </c>
      <c r="I220" t="n">
        <v>0</v>
      </c>
      <c r="J220" t="n">
        <v>0</v>
      </c>
      <c r="K220" t="n">
        <v>0</v>
      </c>
      <c r="L220" t="n">
        <v>0</v>
      </c>
      <c r="M220" t="n">
        <v>0</v>
      </c>
      <c r="N220" t="n">
        <v>0</v>
      </c>
      <c r="O220" t="n">
        <v>0</v>
      </c>
      <c r="P220" t="n">
        <v>0</v>
      </c>
      <c r="Q220" t="n">
        <v>0</v>
      </c>
      <c r="R220" s="2" t="inlineStr"/>
    </row>
    <row r="221" ht="15" customHeight="1">
      <c r="A221" t="inlineStr">
        <is>
          <t>A 32575-2024</t>
        </is>
      </c>
      <c r="B221" s="1" t="n">
        <v>45513.56527777778</v>
      </c>
      <c r="C221" s="1" t="n">
        <v>46084</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46144-2023</t>
        </is>
      </c>
      <c r="B222" s="1" t="n">
        <v>45196.57247685185</v>
      </c>
      <c r="C222" s="1" t="n">
        <v>46084</v>
      </c>
      <c r="D222" t="inlineStr">
        <is>
          <t>KALMAR LÄN</t>
        </is>
      </c>
      <c r="E222" t="inlineStr">
        <is>
          <t>VIMMERBY</t>
        </is>
      </c>
      <c r="G222" t="n">
        <v>6.5</v>
      </c>
      <c r="H222" t="n">
        <v>0</v>
      </c>
      <c r="I222" t="n">
        <v>0</v>
      </c>
      <c r="J222" t="n">
        <v>0</v>
      </c>
      <c r="K222" t="n">
        <v>0</v>
      </c>
      <c r="L222" t="n">
        <v>0</v>
      </c>
      <c r="M222" t="n">
        <v>0</v>
      </c>
      <c r="N222" t="n">
        <v>0</v>
      </c>
      <c r="O222" t="n">
        <v>0</v>
      </c>
      <c r="P222" t="n">
        <v>0</v>
      </c>
      <c r="Q222" t="n">
        <v>0</v>
      </c>
      <c r="R222" s="2" t="inlineStr"/>
    </row>
    <row r="223" ht="15" customHeight="1">
      <c r="A223" t="inlineStr">
        <is>
          <t>A 59300-2024</t>
        </is>
      </c>
      <c r="B223" s="1" t="n">
        <v>45637.66542824074</v>
      </c>
      <c r="C223" s="1" t="n">
        <v>46084</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59768-2024</t>
        </is>
      </c>
      <c r="B224" s="1" t="n">
        <v>45639.56185185185</v>
      </c>
      <c r="C224" s="1" t="n">
        <v>46084</v>
      </c>
      <c r="D224" t="inlineStr">
        <is>
          <t>KALMAR LÄN</t>
        </is>
      </c>
      <c r="E224" t="inlineStr">
        <is>
          <t>VIMMERBY</t>
        </is>
      </c>
      <c r="G224" t="n">
        <v>5.9</v>
      </c>
      <c r="H224" t="n">
        <v>0</v>
      </c>
      <c r="I224" t="n">
        <v>0</v>
      </c>
      <c r="J224" t="n">
        <v>0</v>
      </c>
      <c r="K224" t="n">
        <v>0</v>
      </c>
      <c r="L224" t="n">
        <v>0</v>
      </c>
      <c r="M224" t="n">
        <v>0</v>
      </c>
      <c r="N224" t="n">
        <v>0</v>
      </c>
      <c r="O224" t="n">
        <v>0</v>
      </c>
      <c r="P224" t="n">
        <v>0</v>
      </c>
      <c r="Q224" t="n">
        <v>0</v>
      </c>
      <c r="R224" s="2" t="inlineStr"/>
    </row>
    <row r="225" ht="15" customHeight="1">
      <c r="A225" t="inlineStr">
        <is>
          <t>A 36526-2023</t>
        </is>
      </c>
      <c r="B225" s="1" t="n">
        <v>45153.32778935185</v>
      </c>
      <c r="C225" s="1" t="n">
        <v>46084</v>
      </c>
      <c r="D225" t="inlineStr">
        <is>
          <t>KALMAR LÄN</t>
        </is>
      </c>
      <c r="E225" t="inlineStr">
        <is>
          <t>VIMMERBY</t>
        </is>
      </c>
      <c r="G225" t="n">
        <v>2.7</v>
      </c>
      <c r="H225" t="n">
        <v>0</v>
      </c>
      <c r="I225" t="n">
        <v>0</v>
      </c>
      <c r="J225" t="n">
        <v>0</v>
      </c>
      <c r="K225" t="n">
        <v>0</v>
      </c>
      <c r="L225" t="n">
        <v>0</v>
      </c>
      <c r="M225" t="n">
        <v>0</v>
      </c>
      <c r="N225" t="n">
        <v>0</v>
      </c>
      <c r="O225" t="n">
        <v>0</v>
      </c>
      <c r="P225" t="n">
        <v>0</v>
      </c>
      <c r="Q225" t="n">
        <v>0</v>
      </c>
      <c r="R225" s="2" t="inlineStr"/>
    </row>
    <row r="226" ht="15" customHeight="1">
      <c r="A226" t="inlineStr">
        <is>
          <t>A 31382-2023</t>
        </is>
      </c>
      <c r="B226" s="1" t="n">
        <v>45114.55136574074</v>
      </c>
      <c r="C226" s="1" t="n">
        <v>46084</v>
      </c>
      <c r="D226" t="inlineStr">
        <is>
          <t>KALMAR LÄN</t>
        </is>
      </c>
      <c r="E226" t="inlineStr">
        <is>
          <t>VIMMERBY</t>
        </is>
      </c>
      <c r="G226" t="n">
        <v>3.7</v>
      </c>
      <c r="H226" t="n">
        <v>0</v>
      </c>
      <c r="I226" t="n">
        <v>0</v>
      </c>
      <c r="J226" t="n">
        <v>0</v>
      </c>
      <c r="K226" t="n">
        <v>0</v>
      </c>
      <c r="L226" t="n">
        <v>0</v>
      </c>
      <c r="M226" t="n">
        <v>0</v>
      </c>
      <c r="N226" t="n">
        <v>0</v>
      </c>
      <c r="O226" t="n">
        <v>0</v>
      </c>
      <c r="P226" t="n">
        <v>0</v>
      </c>
      <c r="Q226" t="n">
        <v>0</v>
      </c>
      <c r="R226" s="2" t="inlineStr"/>
    </row>
    <row r="227" ht="15" customHeight="1">
      <c r="A227" t="inlineStr">
        <is>
          <t>A 22399-2025</t>
        </is>
      </c>
      <c r="B227" s="1" t="n">
        <v>45786.52996527778</v>
      </c>
      <c r="C227" s="1" t="n">
        <v>46084</v>
      </c>
      <c r="D227" t="inlineStr">
        <is>
          <t>KALMAR LÄN</t>
        </is>
      </c>
      <c r="E227" t="inlineStr">
        <is>
          <t>VIMMERBY</t>
        </is>
      </c>
      <c r="G227" t="n">
        <v>2.1</v>
      </c>
      <c r="H227" t="n">
        <v>0</v>
      </c>
      <c r="I227" t="n">
        <v>0</v>
      </c>
      <c r="J227" t="n">
        <v>0</v>
      </c>
      <c r="K227" t="n">
        <v>0</v>
      </c>
      <c r="L227" t="n">
        <v>0</v>
      </c>
      <c r="M227" t="n">
        <v>0</v>
      </c>
      <c r="N227" t="n">
        <v>0</v>
      </c>
      <c r="O227" t="n">
        <v>0</v>
      </c>
      <c r="P227" t="n">
        <v>0</v>
      </c>
      <c r="Q227" t="n">
        <v>0</v>
      </c>
      <c r="R227" s="2" t="inlineStr"/>
    </row>
    <row r="228" ht="15" customHeight="1">
      <c r="A228" t="inlineStr">
        <is>
          <t>A 22397-2025</t>
        </is>
      </c>
      <c r="B228" s="1" t="n">
        <v>45786.52878472222</v>
      </c>
      <c r="C228" s="1" t="n">
        <v>46084</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58728-2024</t>
        </is>
      </c>
      <c r="B229" s="1" t="n">
        <v>45635.66695601852</v>
      </c>
      <c r="C229" s="1" t="n">
        <v>46084</v>
      </c>
      <c r="D229" t="inlineStr">
        <is>
          <t>KALMAR LÄN</t>
        </is>
      </c>
      <c r="E229" t="inlineStr">
        <is>
          <t>VIMMERBY</t>
        </is>
      </c>
      <c r="G229" t="n">
        <v>0.4</v>
      </c>
      <c r="H229" t="n">
        <v>0</v>
      </c>
      <c r="I229" t="n">
        <v>0</v>
      </c>
      <c r="J229" t="n">
        <v>0</v>
      </c>
      <c r="K229" t="n">
        <v>0</v>
      </c>
      <c r="L229" t="n">
        <v>0</v>
      </c>
      <c r="M229" t="n">
        <v>0</v>
      </c>
      <c r="N229" t="n">
        <v>0</v>
      </c>
      <c r="O229" t="n">
        <v>0</v>
      </c>
      <c r="P229" t="n">
        <v>0</v>
      </c>
      <c r="Q229" t="n">
        <v>0</v>
      </c>
      <c r="R229" s="2" t="inlineStr"/>
    </row>
    <row r="230" ht="15" customHeight="1">
      <c r="A230" t="inlineStr">
        <is>
          <t>A 56213-2024</t>
        </is>
      </c>
      <c r="B230" s="1" t="n">
        <v>45624.60141203704</v>
      </c>
      <c r="C230" s="1" t="n">
        <v>46084</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25582-2024</t>
        </is>
      </c>
      <c r="B231" s="1" t="n">
        <v>45463</v>
      </c>
      <c r="C231" s="1" t="n">
        <v>46084</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49474-2023</t>
        </is>
      </c>
      <c r="B232" s="1" t="n">
        <v>45211.541875</v>
      </c>
      <c r="C232" s="1" t="n">
        <v>46084</v>
      </c>
      <c r="D232" t="inlineStr">
        <is>
          <t>KALMAR LÄN</t>
        </is>
      </c>
      <c r="E232" t="inlineStr">
        <is>
          <t>VIMMERBY</t>
        </is>
      </c>
      <c r="G232" t="n">
        <v>3.6</v>
      </c>
      <c r="H232" t="n">
        <v>0</v>
      </c>
      <c r="I232" t="n">
        <v>0</v>
      </c>
      <c r="J232" t="n">
        <v>0</v>
      </c>
      <c r="K232" t="n">
        <v>0</v>
      </c>
      <c r="L232" t="n">
        <v>0</v>
      </c>
      <c r="M232" t="n">
        <v>0</v>
      </c>
      <c r="N232" t="n">
        <v>0</v>
      </c>
      <c r="O232" t="n">
        <v>0</v>
      </c>
      <c r="P232" t="n">
        <v>0</v>
      </c>
      <c r="Q232" t="n">
        <v>0</v>
      </c>
      <c r="R232" s="2" t="inlineStr"/>
    </row>
    <row r="233" ht="15" customHeight="1">
      <c r="A233" t="inlineStr">
        <is>
          <t>A 54409-2024</t>
        </is>
      </c>
      <c r="B233" s="1" t="n">
        <v>45617.47570601852</v>
      </c>
      <c r="C233" s="1" t="n">
        <v>46084</v>
      </c>
      <c r="D233" t="inlineStr">
        <is>
          <t>KALMAR LÄN</t>
        </is>
      </c>
      <c r="E233" t="inlineStr">
        <is>
          <t>VIMMERBY</t>
        </is>
      </c>
      <c r="G233" t="n">
        <v>4.3</v>
      </c>
      <c r="H233" t="n">
        <v>0</v>
      </c>
      <c r="I233" t="n">
        <v>0</v>
      </c>
      <c r="J233" t="n">
        <v>0</v>
      </c>
      <c r="K233" t="n">
        <v>0</v>
      </c>
      <c r="L233" t="n">
        <v>0</v>
      </c>
      <c r="M233" t="n">
        <v>0</v>
      </c>
      <c r="N233" t="n">
        <v>0</v>
      </c>
      <c r="O233" t="n">
        <v>0</v>
      </c>
      <c r="P233" t="n">
        <v>0</v>
      </c>
      <c r="Q233" t="n">
        <v>0</v>
      </c>
      <c r="R233" s="2" t="inlineStr"/>
    </row>
    <row r="234" ht="15" customHeight="1">
      <c r="A234" t="inlineStr">
        <is>
          <t>A 57682-2022</t>
        </is>
      </c>
      <c r="B234" s="1" t="n">
        <v>44890</v>
      </c>
      <c r="C234" s="1" t="n">
        <v>46084</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14220-2021</t>
        </is>
      </c>
      <c r="B235" s="1" t="n">
        <v>44278.54855324074</v>
      </c>
      <c r="C235" s="1" t="n">
        <v>46084</v>
      </c>
      <c r="D235" t="inlineStr">
        <is>
          <t>KALMAR LÄN</t>
        </is>
      </c>
      <c r="E235" t="inlineStr">
        <is>
          <t>VIMMERBY</t>
        </is>
      </c>
      <c r="G235" t="n">
        <v>0.3</v>
      </c>
      <c r="H235" t="n">
        <v>0</v>
      </c>
      <c r="I235" t="n">
        <v>0</v>
      </c>
      <c r="J235" t="n">
        <v>0</v>
      </c>
      <c r="K235" t="n">
        <v>0</v>
      </c>
      <c r="L235" t="n">
        <v>0</v>
      </c>
      <c r="M235" t="n">
        <v>0</v>
      </c>
      <c r="N235" t="n">
        <v>0</v>
      </c>
      <c r="O235" t="n">
        <v>0</v>
      </c>
      <c r="P235" t="n">
        <v>0</v>
      </c>
      <c r="Q235" t="n">
        <v>0</v>
      </c>
      <c r="R235" s="2" t="inlineStr"/>
    </row>
    <row r="236" ht="15" customHeight="1">
      <c r="A236" t="inlineStr">
        <is>
          <t>A 63950-2023</t>
        </is>
      </c>
      <c r="B236" s="1" t="n">
        <v>45278</v>
      </c>
      <c r="C236" s="1" t="n">
        <v>46084</v>
      </c>
      <c r="D236" t="inlineStr">
        <is>
          <t>KALMAR LÄN</t>
        </is>
      </c>
      <c r="E236" t="inlineStr">
        <is>
          <t>VIMMERBY</t>
        </is>
      </c>
      <c r="F236" t="inlineStr">
        <is>
          <t>Kyrkan</t>
        </is>
      </c>
      <c r="G236" t="n">
        <v>2.7</v>
      </c>
      <c r="H236" t="n">
        <v>0</v>
      </c>
      <c r="I236" t="n">
        <v>0</v>
      </c>
      <c r="J236" t="n">
        <v>0</v>
      </c>
      <c r="K236" t="n">
        <v>0</v>
      </c>
      <c r="L236" t="n">
        <v>0</v>
      </c>
      <c r="M236" t="n">
        <v>0</v>
      </c>
      <c r="N236" t="n">
        <v>0</v>
      </c>
      <c r="O236" t="n">
        <v>0</v>
      </c>
      <c r="P236" t="n">
        <v>0</v>
      </c>
      <c r="Q236" t="n">
        <v>0</v>
      </c>
      <c r="R236" s="2" t="inlineStr"/>
    </row>
    <row r="237" ht="15" customHeight="1">
      <c r="A237" t="inlineStr">
        <is>
          <t>A 16825-2024</t>
        </is>
      </c>
      <c r="B237" s="1" t="n">
        <v>45411.47335648148</v>
      </c>
      <c r="C237" s="1" t="n">
        <v>46084</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38604-2025</t>
        </is>
      </c>
      <c r="B238" s="1" t="n">
        <v>45884.50613425926</v>
      </c>
      <c r="C238" s="1" t="n">
        <v>46084</v>
      </c>
      <c r="D238" t="inlineStr">
        <is>
          <t>KALMAR LÄN</t>
        </is>
      </c>
      <c r="E238" t="inlineStr">
        <is>
          <t>VIMMERBY</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16516-2023</t>
        </is>
      </c>
      <c r="B239" s="1" t="n">
        <v>45029</v>
      </c>
      <c r="C239" s="1" t="n">
        <v>46084</v>
      </c>
      <c r="D239" t="inlineStr">
        <is>
          <t>KALMAR LÄN</t>
        </is>
      </c>
      <c r="E239" t="inlineStr">
        <is>
          <t>VIMMERBY</t>
        </is>
      </c>
      <c r="G239" t="n">
        <v>4.3</v>
      </c>
      <c r="H239" t="n">
        <v>0</v>
      </c>
      <c r="I239" t="n">
        <v>0</v>
      </c>
      <c r="J239" t="n">
        <v>0</v>
      </c>
      <c r="K239" t="n">
        <v>0</v>
      </c>
      <c r="L239" t="n">
        <v>0</v>
      </c>
      <c r="M239" t="n">
        <v>0</v>
      </c>
      <c r="N239" t="n">
        <v>0</v>
      </c>
      <c r="O239" t="n">
        <v>0</v>
      </c>
      <c r="P239" t="n">
        <v>0</v>
      </c>
      <c r="Q239" t="n">
        <v>0</v>
      </c>
      <c r="R239" s="2" t="inlineStr"/>
    </row>
    <row r="240" ht="15" customHeight="1">
      <c r="A240" t="inlineStr">
        <is>
          <t>A 57578-2024</t>
        </is>
      </c>
      <c r="B240" s="1" t="n">
        <v>45630.47564814815</v>
      </c>
      <c r="C240" s="1" t="n">
        <v>46084</v>
      </c>
      <c r="D240" t="inlineStr">
        <is>
          <t>KALMAR LÄN</t>
        </is>
      </c>
      <c r="E240" t="inlineStr">
        <is>
          <t>VIMMERBY</t>
        </is>
      </c>
      <c r="G240" t="n">
        <v>2.6</v>
      </c>
      <c r="H240" t="n">
        <v>0</v>
      </c>
      <c r="I240" t="n">
        <v>0</v>
      </c>
      <c r="J240" t="n">
        <v>0</v>
      </c>
      <c r="K240" t="n">
        <v>0</v>
      </c>
      <c r="L240" t="n">
        <v>0</v>
      </c>
      <c r="M240" t="n">
        <v>0</v>
      </c>
      <c r="N240" t="n">
        <v>0</v>
      </c>
      <c r="O240" t="n">
        <v>0</v>
      </c>
      <c r="P240" t="n">
        <v>0</v>
      </c>
      <c r="Q240" t="n">
        <v>0</v>
      </c>
      <c r="R240" s="2" t="inlineStr"/>
    </row>
    <row r="241" ht="15" customHeight="1">
      <c r="A241" t="inlineStr">
        <is>
          <t>A 7643-2022</t>
        </is>
      </c>
      <c r="B241" s="1" t="n">
        <v>44607</v>
      </c>
      <c r="C241" s="1" t="n">
        <v>46084</v>
      </c>
      <c r="D241" t="inlineStr">
        <is>
          <t>KALMAR LÄN</t>
        </is>
      </c>
      <c r="E241" t="inlineStr">
        <is>
          <t>VIMMERBY</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47842-2024</t>
        </is>
      </c>
      <c r="B242" s="1" t="n">
        <v>45588.65545138889</v>
      </c>
      <c r="C242" s="1" t="n">
        <v>46084</v>
      </c>
      <c r="D242" t="inlineStr">
        <is>
          <t>KALMAR LÄN</t>
        </is>
      </c>
      <c r="E242" t="inlineStr">
        <is>
          <t>VIMMERBY</t>
        </is>
      </c>
      <c r="G242" t="n">
        <v>2.4</v>
      </c>
      <c r="H242" t="n">
        <v>0</v>
      </c>
      <c r="I242" t="n">
        <v>0</v>
      </c>
      <c r="J242" t="n">
        <v>0</v>
      </c>
      <c r="K242" t="n">
        <v>0</v>
      </c>
      <c r="L242" t="n">
        <v>0</v>
      </c>
      <c r="M242" t="n">
        <v>0</v>
      </c>
      <c r="N242" t="n">
        <v>0</v>
      </c>
      <c r="O242" t="n">
        <v>0</v>
      </c>
      <c r="P242" t="n">
        <v>0</v>
      </c>
      <c r="Q242" t="n">
        <v>0</v>
      </c>
      <c r="R242" s="2" t="inlineStr"/>
    </row>
    <row r="243" ht="15" customHeight="1">
      <c r="A243" t="inlineStr">
        <is>
          <t>A 11027-2023</t>
        </is>
      </c>
      <c r="B243" s="1" t="n">
        <v>44991.89657407408</v>
      </c>
      <c r="C243" s="1" t="n">
        <v>46084</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6408-2025</t>
        </is>
      </c>
      <c r="B244" s="1" t="n">
        <v>45699.45671296296</v>
      </c>
      <c r="C244" s="1" t="n">
        <v>46084</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25109-2023</t>
        </is>
      </c>
      <c r="B245" s="1" t="n">
        <v>45086</v>
      </c>
      <c r="C245" s="1" t="n">
        <v>46084</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33380-2023</t>
        </is>
      </c>
      <c r="B246" s="1" t="n">
        <v>45128</v>
      </c>
      <c r="C246" s="1" t="n">
        <v>46084</v>
      </c>
      <c r="D246" t="inlineStr">
        <is>
          <t>KALMAR LÄN</t>
        </is>
      </c>
      <c r="E246" t="inlineStr">
        <is>
          <t>VIMMERBY</t>
        </is>
      </c>
      <c r="G246" t="n">
        <v>5.2</v>
      </c>
      <c r="H246" t="n">
        <v>0</v>
      </c>
      <c r="I246" t="n">
        <v>0</v>
      </c>
      <c r="J246" t="n">
        <v>0</v>
      </c>
      <c r="K246" t="n">
        <v>0</v>
      </c>
      <c r="L246" t="n">
        <v>0</v>
      </c>
      <c r="M246" t="n">
        <v>0</v>
      </c>
      <c r="N246" t="n">
        <v>0</v>
      </c>
      <c r="O246" t="n">
        <v>0</v>
      </c>
      <c r="P246" t="n">
        <v>0</v>
      </c>
      <c r="Q246" t="n">
        <v>0</v>
      </c>
      <c r="R246" s="2" t="inlineStr"/>
    </row>
    <row r="247" ht="15" customHeight="1">
      <c r="A247" t="inlineStr">
        <is>
          <t>A 6307-2025</t>
        </is>
      </c>
      <c r="B247" s="1" t="n">
        <v>45698.69016203703</v>
      </c>
      <c r="C247" s="1" t="n">
        <v>46084</v>
      </c>
      <c r="D247" t="inlineStr">
        <is>
          <t>KALMAR LÄN</t>
        </is>
      </c>
      <c r="E247" t="inlineStr">
        <is>
          <t>VIMMERBY</t>
        </is>
      </c>
      <c r="G247" t="n">
        <v>3</v>
      </c>
      <c r="H247" t="n">
        <v>0</v>
      </c>
      <c r="I247" t="n">
        <v>0</v>
      </c>
      <c r="J247" t="n">
        <v>0</v>
      </c>
      <c r="K247" t="n">
        <v>0</v>
      </c>
      <c r="L247" t="n">
        <v>0</v>
      </c>
      <c r="M247" t="n">
        <v>0</v>
      </c>
      <c r="N247" t="n">
        <v>0</v>
      </c>
      <c r="O247" t="n">
        <v>0</v>
      </c>
      <c r="P247" t="n">
        <v>0</v>
      </c>
      <c r="Q247" t="n">
        <v>0</v>
      </c>
      <c r="R247" s="2" t="inlineStr"/>
    </row>
    <row r="248" ht="15" customHeight="1">
      <c r="A248" t="inlineStr">
        <is>
          <t>A 11442-2025</t>
        </is>
      </c>
      <c r="B248" s="1" t="n">
        <v>45726.62721064815</v>
      </c>
      <c r="C248" s="1" t="n">
        <v>46084</v>
      </c>
      <c r="D248" t="inlineStr">
        <is>
          <t>KALMAR LÄN</t>
        </is>
      </c>
      <c r="E248" t="inlineStr">
        <is>
          <t>VIMMERBY</t>
        </is>
      </c>
      <c r="G248" t="n">
        <v>2.6</v>
      </c>
      <c r="H248" t="n">
        <v>0</v>
      </c>
      <c r="I248" t="n">
        <v>0</v>
      </c>
      <c r="J248" t="n">
        <v>0</v>
      </c>
      <c r="K248" t="n">
        <v>0</v>
      </c>
      <c r="L248" t="n">
        <v>0</v>
      </c>
      <c r="M248" t="n">
        <v>0</v>
      </c>
      <c r="N248" t="n">
        <v>0</v>
      </c>
      <c r="O248" t="n">
        <v>0</v>
      </c>
      <c r="P248" t="n">
        <v>0</v>
      </c>
      <c r="Q248" t="n">
        <v>0</v>
      </c>
      <c r="R248" s="2" t="inlineStr"/>
    </row>
    <row r="249" ht="15" customHeight="1">
      <c r="A249" t="inlineStr">
        <is>
          <t>A 32639-2023</t>
        </is>
      </c>
      <c r="B249" s="1" t="n">
        <v>45121.5965162037</v>
      </c>
      <c r="C249" s="1" t="n">
        <v>46084</v>
      </c>
      <c r="D249" t="inlineStr">
        <is>
          <t>KALMAR LÄN</t>
        </is>
      </c>
      <c r="E249" t="inlineStr">
        <is>
          <t>VIMMERBY</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32642-2023</t>
        </is>
      </c>
      <c r="B250" s="1" t="n">
        <v>45121.59954861111</v>
      </c>
      <c r="C250" s="1" t="n">
        <v>46084</v>
      </c>
      <c r="D250" t="inlineStr">
        <is>
          <t>KALMAR LÄN</t>
        </is>
      </c>
      <c r="E250" t="inlineStr">
        <is>
          <t>VIMMERBY</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32651-2023</t>
        </is>
      </c>
      <c r="B251" s="1" t="n">
        <v>45121.6096875</v>
      </c>
      <c r="C251" s="1" t="n">
        <v>46084</v>
      </c>
      <c r="D251" t="inlineStr">
        <is>
          <t>KALMAR LÄN</t>
        </is>
      </c>
      <c r="E251" t="inlineStr">
        <is>
          <t>VIMMERBY</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53483-2022</t>
        </is>
      </c>
      <c r="B252" s="1" t="n">
        <v>44879.55940972222</v>
      </c>
      <c r="C252" s="1" t="n">
        <v>46084</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18899-2025</t>
        </is>
      </c>
      <c r="B253" s="1" t="n">
        <v>45764.44931712963</v>
      </c>
      <c r="C253" s="1" t="n">
        <v>46084</v>
      </c>
      <c r="D253" t="inlineStr">
        <is>
          <t>KALMAR LÄN</t>
        </is>
      </c>
      <c r="E253" t="inlineStr">
        <is>
          <t>VIMMERBY</t>
        </is>
      </c>
      <c r="F253" t="inlineStr">
        <is>
          <t>Kommuner</t>
        </is>
      </c>
      <c r="G253" t="n">
        <v>4</v>
      </c>
      <c r="H253" t="n">
        <v>0</v>
      </c>
      <c r="I253" t="n">
        <v>0</v>
      </c>
      <c r="J253" t="n">
        <v>0</v>
      </c>
      <c r="K253" t="n">
        <v>0</v>
      </c>
      <c r="L253" t="n">
        <v>0</v>
      </c>
      <c r="M253" t="n">
        <v>0</v>
      </c>
      <c r="N253" t="n">
        <v>0</v>
      </c>
      <c r="O253" t="n">
        <v>0</v>
      </c>
      <c r="P253" t="n">
        <v>0</v>
      </c>
      <c r="Q253" t="n">
        <v>0</v>
      </c>
      <c r="R253" s="2" t="inlineStr"/>
    </row>
    <row r="254" ht="15" customHeight="1">
      <c r="A254" t="inlineStr">
        <is>
          <t>A 20054-2023</t>
        </is>
      </c>
      <c r="B254" s="1" t="n">
        <v>45054.6750462963</v>
      </c>
      <c r="C254" s="1" t="n">
        <v>46084</v>
      </c>
      <c r="D254" t="inlineStr">
        <is>
          <t>KALMAR LÄN</t>
        </is>
      </c>
      <c r="E254" t="inlineStr">
        <is>
          <t>VIMMERBY</t>
        </is>
      </c>
      <c r="G254" t="n">
        <v>2.4</v>
      </c>
      <c r="H254" t="n">
        <v>0</v>
      </c>
      <c r="I254" t="n">
        <v>0</v>
      </c>
      <c r="J254" t="n">
        <v>0</v>
      </c>
      <c r="K254" t="n">
        <v>0</v>
      </c>
      <c r="L254" t="n">
        <v>0</v>
      </c>
      <c r="M254" t="n">
        <v>0</v>
      </c>
      <c r="N254" t="n">
        <v>0</v>
      </c>
      <c r="O254" t="n">
        <v>0</v>
      </c>
      <c r="P254" t="n">
        <v>0</v>
      </c>
      <c r="Q254" t="n">
        <v>0</v>
      </c>
      <c r="R254" s="2" t="inlineStr"/>
    </row>
    <row r="255" ht="15" customHeight="1">
      <c r="A255" t="inlineStr">
        <is>
          <t>A 58962-2022</t>
        </is>
      </c>
      <c r="B255" s="1" t="n">
        <v>44903</v>
      </c>
      <c r="C255" s="1" t="n">
        <v>46084</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11928-2022</t>
        </is>
      </c>
      <c r="B256" s="1" t="n">
        <v>44635</v>
      </c>
      <c r="C256" s="1" t="n">
        <v>46084</v>
      </c>
      <c r="D256" t="inlineStr">
        <is>
          <t>KALMAR LÄN</t>
        </is>
      </c>
      <c r="E256" t="inlineStr">
        <is>
          <t>VIMMERBY</t>
        </is>
      </c>
      <c r="G256" t="n">
        <v>2.8</v>
      </c>
      <c r="H256" t="n">
        <v>0</v>
      </c>
      <c r="I256" t="n">
        <v>0</v>
      </c>
      <c r="J256" t="n">
        <v>0</v>
      </c>
      <c r="K256" t="n">
        <v>0</v>
      </c>
      <c r="L256" t="n">
        <v>0</v>
      </c>
      <c r="M256" t="n">
        <v>0</v>
      </c>
      <c r="N256" t="n">
        <v>0</v>
      </c>
      <c r="O256" t="n">
        <v>0</v>
      </c>
      <c r="P256" t="n">
        <v>0</v>
      </c>
      <c r="Q256" t="n">
        <v>0</v>
      </c>
      <c r="R256" s="2" t="inlineStr"/>
    </row>
    <row r="257" ht="15" customHeight="1">
      <c r="A257" t="inlineStr">
        <is>
          <t>A 10837-2023</t>
        </is>
      </c>
      <c r="B257" s="1" t="n">
        <v>44991.30547453704</v>
      </c>
      <c r="C257" s="1" t="n">
        <v>46084</v>
      </c>
      <c r="D257" t="inlineStr">
        <is>
          <t>KALMAR LÄN</t>
        </is>
      </c>
      <c r="E257" t="inlineStr">
        <is>
          <t>VIMMERBY</t>
        </is>
      </c>
      <c r="G257" t="n">
        <v>7.3</v>
      </c>
      <c r="H257" t="n">
        <v>0</v>
      </c>
      <c r="I257" t="n">
        <v>0</v>
      </c>
      <c r="J257" t="n">
        <v>0</v>
      </c>
      <c r="K257" t="n">
        <v>0</v>
      </c>
      <c r="L257" t="n">
        <v>0</v>
      </c>
      <c r="M257" t="n">
        <v>0</v>
      </c>
      <c r="N257" t="n">
        <v>0</v>
      </c>
      <c r="O257" t="n">
        <v>0</v>
      </c>
      <c r="P257" t="n">
        <v>0</v>
      </c>
      <c r="Q257" t="n">
        <v>0</v>
      </c>
      <c r="R257" s="2" t="inlineStr"/>
    </row>
    <row r="258" ht="15" customHeight="1">
      <c r="A258" t="inlineStr">
        <is>
          <t>A 10838-2023</t>
        </is>
      </c>
      <c r="B258" s="1" t="n">
        <v>44991</v>
      </c>
      <c r="C258" s="1" t="n">
        <v>46084</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7068-2024</t>
        </is>
      </c>
      <c r="B259" s="1" t="n">
        <v>45343.68038194445</v>
      </c>
      <c r="C259" s="1" t="n">
        <v>46084</v>
      </c>
      <c r="D259" t="inlineStr">
        <is>
          <t>KALMAR LÄN</t>
        </is>
      </c>
      <c r="E259" t="inlineStr">
        <is>
          <t>VIMMERBY</t>
        </is>
      </c>
      <c r="G259" t="n">
        <v>2.5</v>
      </c>
      <c r="H259" t="n">
        <v>0</v>
      </c>
      <c r="I259" t="n">
        <v>0</v>
      </c>
      <c r="J259" t="n">
        <v>0</v>
      </c>
      <c r="K259" t="n">
        <v>0</v>
      </c>
      <c r="L259" t="n">
        <v>0</v>
      </c>
      <c r="M259" t="n">
        <v>0</v>
      </c>
      <c r="N259" t="n">
        <v>0</v>
      </c>
      <c r="O259" t="n">
        <v>0</v>
      </c>
      <c r="P259" t="n">
        <v>0</v>
      </c>
      <c r="Q259" t="n">
        <v>0</v>
      </c>
      <c r="R259" s="2" t="inlineStr"/>
    </row>
    <row r="260" ht="15" customHeight="1">
      <c r="A260" t="inlineStr">
        <is>
          <t>A 46234-2024</t>
        </is>
      </c>
      <c r="B260" s="1" t="n">
        <v>45581.57958333333</v>
      </c>
      <c r="C260" s="1" t="n">
        <v>46084</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37187-2024</t>
        </is>
      </c>
      <c r="B261" s="1" t="n">
        <v>45539.65212962963</v>
      </c>
      <c r="C261" s="1" t="n">
        <v>46084</v>
      </c>
      <c r="D261" t="inlineStr">
        <is>
          <t>KALMAR LÄN</t>
        </is>
      </c>
      <c r="E261" t="inlineStr">
        <is>
          <t>VIMMERBY</t>
        </is>
      </c>
      <c r="G261" t="n">
        <v>2.7</v>
      </c>
      <c r="H261" t="n">
        <v>0</v>
      </c>
      <c r="I261" t="n">
        <v>0</v>
      </c>
      <c r="J261" t="n">
        <v>0</v>
      </c>
      <c r="K261" t="n">
        <v>0</v>
      </c>
      <c r="L261" t="n">
        <v>0</v>
      </c>
      <c r="M261" t="n">
        <v>0</v>
      </c>
      <c r="N261" t="n">
        <v>0</v>
      </c>
      <c r="O261" t="n">
        <v>0</v>
      </c>
      <c r="P261" t="n">
        <v>0</v>
      </c>
      <c r="Q261" t="n">
        <v>0</v>
      </c>
      <c r="R261" s="2" t="inlineStr"/>
    </row>
    <row r="262" ht="15" customHeight="1">
      <c r="A262" t="inlineStr">
        <is>
          <t>A 29726-2025</t>
        </is>
      </c>
      <c r="B262" s="1" t="n">
        <v>45825.57805555555</v>
      </c>
      <c r="C262" s="1" t="n">
        <v>46084</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1021-2024</t>
        </is>
      </c>
      <c r="B263" s="1" t="n">
        <v>45301.67736111111</v>
      </c>
      <c r="C263" s="1" t="n">
        <v>46084</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72701-2021</t>
        </is>
      </c>
      <c r="B264" s="1" t="n">
        <v>44546</v>
      </c>
      <c r="C264" s="1" t="n">
        <v>46084</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19111-2025</t>
        </is>
      </c>
      <c r="B265" s="1" t="n">
        <v>45768.65611111111</v>
      </c>
      <c r="C265" s="1" t="n">
        <v>46084</v>
      </c>
      <c r="D265" t="inlineStr">
        <is>
          <t>KALMAR LÄN</t>
        </is>
      </c>
      <c r="E265" t="inlineStr">
        <is>
          <t>VIMMERBY</t>
        </is>
      </c>
      <c r="G265" t="n">
        <v>6.2</v>
      </c>
      <c r="H265" t="n">
        <v>0</v>
      </c>
      <c r="I265" t="n">
        <v>0</v>
      </c>
      <c r="J265" t="n">
        <v>0</v>
      </c>
      <c r="K265" t="n">
        <v>0</v>
      </c>
      <c r="L265" t="n">
        <v>0</v>
      </c>
      <c r="M265" t="n">
        <v>0</v>
      </c>
      <c r="N265" t="n">
        <v>0</v>
      </c>
      <c r="O265" t="n">
        <v>0</v>
      </c>
      <c r="P265" t="n">
        <v>0</v>
      </c>
      <c r="Q265" t="n">
        <v>0</v>
      </c>
      <c r="R265" s="2" t="inlineStr"/>
    </row>
    <row r="266" ht="15" customHeight="1">
      <c r="A266" t="inlineStr">
        <is>
          <t>A 33374-2021</t>
        </is>
      </c>
      <c r="B266" s="1" t="n">
        <v>44377</v>
      </c>
      <c r="C266" s="1" t="n">
        <v>46084</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23394-2025</t>
        </is>
      </c>
      <c r="B267" s="1" t="n">
        <v>45791.89865740741</v>
      </c>
      <c r="C267" s="1" t="n">
        <v>46084</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10807-2024</t>
        </is>
      </c>
      <c r="B268" s="1" t="n">
        <v>45369.62780092593</v>
      </c>
      <c r="C268" s="1" t="n">
        <v>46084</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39801-2025</t>
        </is>
      </c>
      <c r="B269" s="1" t="n">
        <v>45891.50216435185</v>
      </c>
      <c r="C269" s="1" t="n">
        <v>46084</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33359-2021</t>
        </is>
      </c>
      <c r="B270" s="1" t="n">
        <v>44377.49684027778</v>
      </c>
      <c r="C270" s="1" t="n">
        <v>46084</v>
      </c>
      <c r="D270" t="inlineStr">
        <is>
          <t>KALMAR LÄN</t>
        </is>
      </c>
      <c r="E270" t="inlineStr">
        <is>
          <t>VIMMERBY</t>
        </is>
      </c>
      <c r="F270" t="inlineStr">
        <is>
          <t>Kommuner</t>
        </is>
      </c>
      <c r="G270" t="n">
        <v>8</v>
      </c>
      <c r="H270" t="n">
        <v>0</v>
      </c>
      <c r="I270" t="n">
        <v>0</v>
      </c>
      <c r="J270" t="n">
        <v>0</v>
      </c>
      <c r="K270" t="n">
        <v>0</v>
      </c>
      <c r="L270" t="n">
        <v>0</v>
      </c>
      <c r="M270" t="n">
        <v>0</v>
      </c>
      <c r="N270" t="n">
        <v>0</v>
      </c>
      <c r="O270" t="n">
        <v>0</v>
      </c>
      <c r="P270" t="n">
        <v>0</v>
      </c>
      <c r="Q270" t="n">
        <v>0</v>
      </c>
      <c r="R270" s="2" t="inlineStr"/>
    </row>
    <row r="271" ht="15" customHeight="1">
      <c r="A271" t="inlineStr">
        <is>
          <t>A 39807-2025</t>
        </is>
      </c>
      <c r="B271" s="1" t="n">
        <v>45891.50986111111</v>
      </c>
      <c r="C271" s="1" t="n">
        <v>46084</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39736-2025</t>
        </is>
      </c>
      <c r="B272" s="1" t="n">
        <v>45891</v>
      </c>
      <c r="C272" s="1" t="n">
        <v>46084</v>
      </c>
      <c r="D272" t="inlineStr">
        <is>
          <t>KALMAR LÄN</t>
        </is>
      </c>
      <c r="E272" t="inlineStr">
        <is>
          <t>VIMMERBY</t>
        </is>
      </c>
      <c r="G272" t="n">
        <v>12.8</v>
      </c>
      <c r="H272" t="n">
        <v>0</v>
      </c>
      <c r="I272" t="n">
        <v>0</v>
      </c>
      <c r="J272" t="n">
        <v>0</v>
      </c>
      <c r="K272" t="n">
        <v>0</v>
      </c>
      <c r="L272" t="n">
        <v>0</v>
      </c>
      <c r="M272" t="n">
        <v>0</v>
      </c>
      <c r="N272" t="n">
        <v>0</v>
      </c>
      <c r="O272" t="n">
        <v>0</v>
      </c>
      <c r="P272" t="n">
        <v>0</v>
      </c>
      <c r="Q272" t="n">
        <v>0</v>
      </c>
      <c r="R272" s="2" t="inlineStr"/>
    </row>
    <row r="273" ht="15" customHeight="1">
      <c r="A273" t="inlineStr">
        <is>
          <t>A 34588-2024</t>
        </is>
      </c>
      <c r="B273" s="1" t="n">
        <v>45526.3865625</v>
      </c>
      <c r="C273" s="1" t="n">
        <v>46084</v>
      </c>
      <c r="D273" t="inlineStr">
        <is>
          <t>KALMAR LÄN</t>
        </is>
      </c>
      <c r="E273" t="inlineStr">
        <is>
          <t>VIMMERBY</t>
        </is>
      </c>
      <c r="F273" t="inlineStr">
        <is>
          <t>Övriga Aktiebolag</t>
        </is>
      </c>
      <c r="G273" t="n">
        <v>3.3</v>
      </c>
      <c r="H273" t="n">
        <v>0</v>
      </c>
      <c r="I273" t="n">
        <v>0</v>
      </c>
      <c r="J273" t="n">
        <v>0</v>
      </c>
      <c r="K273" t="n">
        <v>0</v>
      </c>
      <c r="L273" t="n">
        <v>0</v>
      </c>
      <c r="M273" t="n">
        <v>0</v>
      </c>
      <c r="N273" t="n">
        <v>0</v>
      </c>
      <c r="O273" t="n">
        <v>0</v>
      </c>
      <c r="P273" t="n">
        <v>0</v>
      </c>
      <c r="Q273" t="n">
        <v>0</v>
      </c>
      <c r="R273" s="2" t="inlineStr"/>
    </row>
    <row r="274" ht="15" customHeight="1">
      <c r="A274" t="inlineStr">
        <is>
          <t>A 17084-2025</t>
        </is>
      </c>
      <c r="B274" s="1" t="n">
        <v>45755.64450231481</v>
      </c>
      <c r="C274" s="1" t="n">
        <v>46084</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33161-2024</t>
        </is>
      </c>
      <c r="B275" s="1" t="n">
        <v>45518.40657407408</v>
      </c>
      <c r="C275" s="1" t="n">
        <v>46084</v>
      </c>
      <c r="D275" t="inlineStr">
        <is>
          <t>KALMAR LÄN</t>
        </is>
      </c>
      <c r="E275" t="inlineStr">
        <is>
          <t>VIMMERBY</t>
        </is>
      </c>
      <c r="G275" t="n">
        <v>4.7</v>
      </c>
      <c r="H275" t="n">
        <v>0</v>
      </c>
      <c r="I275" t="n">
        <v>0</v>
      </c>
      <c r="J275" t="n">
        <v>0</v>
      </c>
      <c r="K275" t="n">
        <v>0</v>
      </c>
      <c r="L275" t="n">
        <v>0</v>
      </c>
      <c r="M275" t="n">
        <v>0</v>
      </c>
      <c r="N275" t="n">
        <v>0</v>
      </c>
      <c r="O275" t="n">
        <v>0</v>
      </c>
      <c r="P275" t="n">
        <v>0</v>
      </c>
      <c r="Q275" t="n">
        <v>0</v>
      </c>
      <c r="R275" s="2" t="inlineStr"/>
    </row>
    <row r="276" ht="15" customHeight="1">
      <c r="A276" t="inlineStr">
        <is>
          <t>A 23984-2025</t>
        </is>
      </c>
      <c r="B276" s="1" t="n">
        <v>45796</v>
      </c>
      <c r="C276" s="1" t="n">
        <v>46084</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39803-2025</t>
        </is>
      </c>
      <c r="B277" s="1" t="n">
        <v>45891.50525462963</v>
      </c>
      <c r="C277" s="1" t="n">
        <v>46084</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14359-2025</t>
        </is>
      </c>
      <c r="B278" s="1" t="n">
        <v>45741.37270833334</v>
      </c>
      <c r="C278" s="1" t="n">
        <v>46084</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39889-2025</t>
        </is>
      </c>
      <c r="B279" s="1" t="n">
        <v>45891</v>
      </c>
      <c r="C279" s="1" t="n">
        <v>46084</v>
      </c>
      <c r="D279" t="inlineStr">
        <is>
          <t>KALMAR LÄN</t>
        </is>
      </c>
      <c r="E279" t="inlineStr">
        <is>
          <t>VIMMERBY</t>
        </is>
      </c>
      <c r="G279" t="n">
        <v>4.5</v>
      </c>
      <c r="H279" t="n">
        <v>0</v>
      </c>
      <c r="I279" t="n">
        <v>0</v>
      </c>
      <c r="J279" t="n">
        <v>0</v>
      </c>
      <c r="K279" t="n">
        <v>0</v>
      </c>
      <c r="L279" t="n">
        <v>0</v>
      </c>
      <c r="M279" t="n">
        <v>0</v>
      </c>
      <c r="N279" t="n">
        <v>0</v>
      </c>
      <c r="O279" t="n">
        <v>0</v>
      </c>
      <c r="P279" t="n">
        <v>0</v>
      </c>
      <c r="Q279" t="n">
        <v>0</v>
      </c>
      <c r="R279" s="2" t="inlineStr"/>
    </row>
    <row r="280" ht="15" customHeight="1">
      <c r="A280" t="inlineStr">
        <is>
          <t>A 55605-2024</t>
        </is>
      </c>
      <c r="B280" s="1" t="n">
        <v>45622</v>
      </c>
      <c r="C280" s="1" t="n">
        <v>46084</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44464-2024</t>
        </is>
      </c>
      <c r="B281" s="1" t="n">
        <v>45574.35809027778</v>
      </c>
      <c r="C281" s="1" t="n">
        <v>46084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36049-2024</t>
        </is>
      </c>
      <c r="B282" s="1" t="n">
        <v>45533.61996527778</v>
      </c>
      <c r="C282" s="1" t="n">
        <v>46084</v>
      </c>
      <c r="D282" t="inlineStr">
        <is>
          <t>KALMAR LÄN</t>
        </is>
      </c>
      <c r="E282" t="inlineStr">
        <is>
          <t>VIMMERBY</t>
        </is>
      </c>
      <c r="F282" t="inlineStr">
        <is>
          <t>Kommuner</t>
        </is>
      </c>
      <c r="G282" t="n">
        <v>2.6</v>
      </c>
      <c r="H282" t="n">
        <v>0</v>
      </c>
      <c r="I282" t="n">
        <v>0</v>
      </c>
      <c r="J282" t="n">
        <v>0</v>
      </c>
      <c r="K282" t="n">
        <v>0</v>
      </c>
      <c r="L282" t="n">
        <v>0</v>
      </c>
      <c r="M282" t="n">
        <v>0</v>
      </c>
      <c r="N282" t="n">
        <v>0</v>
      </c>
      <c r="O282" t="n">
        <v>0</v>
      </c>
      <c r="P282" t="n">
        <v>0</v>
      </c>
      <c r="Q282" t="n">
        <v>0</v>
      </c>
      <c r="R282" s="2" t="inlineStr"/>
    </row>
    <row r="283" ht="15" customHeight="1">
      <c r="A283" t="inlineStr">
        <is>
          <t>A 4297-2022</t>
        </is>
      </c>
      <c r="B283" s="1" t="n">
        <v>44588</v>
      </c>
      <c r="C283" s="1" t="n">
        <v>46084</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35082-2024</t>
        </is>
      </c>
      <c r="B284" s="1" t="n">
        <v>45527.68784722222</v>
      </c>
      <c r="C284" s="1" t="n">
        <v>46084</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40925-2025</t>
        </is>
      </c>
      <c r="B285" s="1" t="n">
        <v>45897.64208333333</v>
      </c>
      <c r="C285" s="1" t="n">
        <v>46084</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51278-2024</t>
        </is>
      </c>
      <c r="B286" s="1" t="n">
        <v>45603.74959490741</v>
      </c>
      <c r="C286" s="1" t="n">
        <v>46084</v>
      </c>
      <c r="D286" t="inlineStr">
        <is>
          <t>KALMAR LÄN</t>
        </is>
      </c>
      <c r="E286" t="inlineStr">
        <is>
          <t>VIMMERBY</t>
        </is>
      </c>
      <c r="G286" t="n">
        <v>3.4</v>
      </c>
      <c r="H286" t="n">
        <v>0</v>
      </c>
      <c r="I286" t="n">
        <v>0</v>
      </c>
      <c r="J286" t="n">
        <v>0</v>
      </c>
      <c r="K286" t="n">
        <v>0</v>
      </c>
      <c r="L286" t="n">
        <v>0</v>
      </c>
      <c r="M286" t="n">
        <v>0</v>
      </c>
      <c r="N286" t="n">
        <v>0</v>
      </c>
      <c r="O286" t="n">
        <v>0</v>
      </c>
      <c r="P286" t="n">
        <v>0</v>
      </c>
      <c r="Q286" t="n">
        <v>0</v>
      </c>
      <c r="R286" s="2" t="inlineStr"/>
    </row>
    <row r="287" ht="15" customHeight="1">
      <c r="A287" t="inlineStr">
        <is>
          <t>A 40921-2025</t>
        </is>
      </c>
      <c r="B287" s="1" t="n">
        <v>45897.63520833333</v>
      </c>
      <c r="C287" s="1" t="n">
        <v>46084</v>
      </c>
      <c r="D287" t="inlineStr">
        <is>
          <t>KALMAR LÄN</t>
        </is>
      </c>
      <c r="E287" t="inlineStr">
        <is>
          <t>VIMMERBY</t>
        </is>
      </c>
      <c r="G287" t="n">
        <v>4.2</v>
      </c>
      <c r="H287" t="n">
        <v>0</v>
      </c>
      <c r="I287" t="n">
        <v>0</v>
      </c>
      <c r="J287" t="n">
        <v>0</v>
      </c>
      <c r="K287" t="n">
        <v>0</v>
      </c>
      <c r="L287" t="n">
        <v>0</v>
      </c>
      <c r="M287" t="n">
        <v>0</v>
      </c>
      <c r="N287" t="n">
        <v>0</v>
      </c>
      <c r="O287" t="n">
        <v>0</v>
      </c>
      <c r="P287" t="n">
        <v>0</v>
      </c>
      <c r="Q287" t="n">
        <v>0</v>
      </c>
      <c r="R287" s="2" t="inlineStr"/>
    </row>
    <row r="288" ht="15" customHeight="1">
      <c r="A288" t="inlineStr">
        <is>
          <t>A 46399-2024</t>
        </is>
      </c>
      <c r="B288" s="1" t="n">
        <v>45582.41200231481</v>
      </c>
      <c r="C288" s="1" t="n">
        <v>46084</v>
      </c>
      <c r="D288" t="inlineStr">
        <is>
          <t>KALMAR LÄN</t>
        </is>
      </c>
      <c r="E288" t="inlineStr">
        <is>
          <t>VIMMERBY</t>
        </is>
      </c>
      <c r="G288" t="n">
        <v>4.6</v>
      </c>
      <c r="H288" t="n">
        <v>0</v>
      </c>
      <c r="I288" t="n">
        <v>0</v>
      </c>
      <c r="J288" t="n">
        <v>0</v>
      </c>
      <c r="K288" t="n">
        <v>0</v>
      </c>
      <c r="L288" t="n">
        <v>0</v>
      </c>
      <c r="M288" t="n">
        <v>0</v>
      </c>
      <c r="N288" t="n">
        <v>0</v>
      </c>
      <c r="O288" t="n">
        <v>0</v>
      </c>
      <c r="P288" t="n">
        <v>0</v>
      </c>
      <c r="Q288" t="n">
        <v>0</v>
      </c>
      <c r="R288" s="2" t="inlineStr"/>
    </row>
    <row r="289" ht="15" customHeight="1">
      <c r="A289" t="inlineStr">
        <is>
          <t>A 9456-2025</t>
        </is>
      </c>
      <c r="B289" s="1" t="n">
        <v>45715.44159722222</v>
      </c>
      <c r="C289" s="1" t="n">
        <v>46084</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11111-2023</t>
        </is>
      </c>
      <c r="B290" s="1" t="n">
        <v>44992.4255787037</v>
      </c>
      <c r="C290" s="1" t="n">
        <v>46084</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44582-2024</t>
        </is>
      </c>
      <c r="B291" s="1" t="n">
        <v>45574.49298611111</v>
      </c>
      <c r="C291" s="1" t="n">
        <v>46084</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41224-2025</t>
        </is>
      </c>
      <c r="B292" s="1" t="n">
        <v>45898.58861111111</v>
      </c>
      <c r="C292" s="1" t="n">
        <v>46084</v>
      </c>
      <c r="D292" t="inlineStr">
        <is>
          <t>KALMAR LÄN</t>
        </is>
      </c>
      <c r="E292" t="inlineStr">
        <is>
          <t>VIMMERBY</t>
        </is>
      </c>
      <c r="G292" t="n">
        <v>4.4</v>
      </c>
      <c r="H292" t="n">
        <v>0</v>
      </c>
      <c r="I292" t="n">
        <v>0</v>
      </c>
      <c r="J292" t="n">
        <v>0</v>
      </c>
      <c r="K292" t="n">
        <v>0</v>
      </c>
      <c r="L292" t="n">
        <v>0</v>
      </c>
      <c r="M292" t="n">
        <v>0</v>
      </c>
      <c r="N292" t="n">
        <v>0</v>
      </c>
      <c r="O292" t="n">
        <v>0</v>
      </c>
      <c r="P292" t="n">
        <v>0</v>
      </c>
      <c r="Q292" t="n">
        <v>0</v>
      </c>
      <c r="R292" s="2" t="inlineStr"/>
    </row>
    <row r="293" ht="15" customHeight="1">
      <c r="A293" t="inlineStr">
        <is>
          <t>A 13532-2025</t>
        </is>
      </c>
      <c r="B293" s="1" t="n">
        <v>45736.50743055555</v>
      </c>
      <c r="C293" s="1" t="n">
        <v>46084</v>
      </c>
      <c r="D293" t="inlineStr">
        <is>
          <t>KALMAR LÄN</t>
        </is>
      </c>
      <c r="E293" t="inlineStr">
        <is>
          <t>VIMMERBY</t>
        </is>
      </c>
      <c r="G293" t="n">
        <v>3.6</v>
      </c>
      <c r="H293" t="n">
        <v>0</v>
      </c>
      <c r="I293" t="n">
        <v>0</v>
      </c>
      <c r="J293" t="n">
        <v>0</v>
      </c>
      <c r="K293" t="n">
        <v>0</v>
      </c>
      <c r="L293" t="n">
        <v>0</v>
      </c>
      <c r="M293" t="n">
        <v>0</v>
      </c>
      <c r="N293" t="n">
        <v>0</v>
      </c>
      <c r="O293" t="n">
        <v>0</v>
      </c>
      <c r="P293" t="n">
        <v>0</v>
      </c>
      <c r="Q293" t="n">
        <v>0</v>
      </c>
      <c r="R293" s="2" t="inlineStr"/>
    </row>
    <row r="294" ht="15" customHeight="1">
      <c r="A294" t="inlineStr">
        <is>
          <t>A 41591-2025</t>
        </is>
      </c>
      <c r="B294" s="1" t="n">
        <v>45901.6327662037</v>
      </c>
      <c r="C294" s="1" t="n">
        <v>46084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43038-2022</t>
        </is>
      </c>
      <c r="B295" s="1" t="n">
        <v>44833.60123842592</v>
      </c>
      <c r="C295" s="1" t="n">
        <v>46084</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40971-2025</t>
        </is>
      </c>
      <c r="B296" s="1" t="n">
        <v>45897.88836805556</v>
      </c>
      <c r="C296" s="1" t="n">
        <v>46084</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41589-2025</t>
        </is>
      </c>
      <c r="B297" s="1" t="n">
        <v>45901.63219907408</v>
      </c>
      <c r="C297" s="1" t="n">
        <v>46084</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15494-2024</t>
        </is>
      </c>
      <c r="B298" s="1" t="n">
        <v>45401.53033564815</v>
      </c>
      <c r="C298" s="1" t="n">
        <v>46084</v>
      </c>
      <c r="D298" t="inlineStr">
        <is>
          <t>KALMAR LÄN</t>
        </is>
      </c>
      <c r="E298" t="inlineStr">
        <is>
          <t>VIMMERBY</t>
        </is>
      </c>
      <c r="G298" t="n">
        <v>3.2</v>
      </c>
      <c r="H298" t="n">
        <v>0</v>
      </c>
      <c r="I298" t="n">
        <v>0</v>
      </c>
      <c r="J298" t="n">
        <v>0</v>
      </c>
      <c r="K298" t="n">
        <v>0</v>
      </c>
      <c r="L298" t="n">
        <v>0</v>
      </c>
      <c r="M298" t="n">
        <v>0</v>
      </c>
      <c r="N298" t="n">
        <v>0</v>
      </c>
      <c r="O298" t="n">
        <v>0</v>
      </c>
      <c r="P298" t="n">
        <v>0</v>
      </c>
      <c r="Q298" t="n">
        <v>0</v>
      </c>
      <c r="R298" s="2" t="inlineStr"/>
    </row>
    <row r="299" ht="15" customHeight="1">
      <c r="A299" t="inlineStr">
        <is>
          <t>A 40970-2025</t>
        </is>
      </c>
      <c r="B299" s="1" t="n">
        <v>45897.88706018519</v>
      </c>
      <c r="C299" s="1" t="n">
        <v>46084</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40973-2025</t>
        </is>
      </c>
      <c r="B300" s="1" t="n">
        <v>45897.89737268518</v>
      </c>
      <c r="C300" s="1" t="n">
        <v>46084</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12596-2021</t>
        </is>
      </c>
      <c r="B301" s="1" t="n">
        <v>44270.39765046296</v>
      </c>
      <c r="C301" s="1" t="n">
        <v>46084</v>
      </c>
      <c r="D301" t="inlineStr">
        <is>
          <t>KALMAR LÄN</t>
        </is>
      </c>
      <c r="E301" t="inlineStr">
        <is>
          <t>VIMMERBY</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34090-2025</t>
        </is>
      </c>
      <c r="B302" s="1" t="n">
        <v>45845</v>
      </c>
      <c r="C302" s="1" t="n">
        <v>46084</v>
      </c>
      <c r="D302" t="inlineStr">
        <is>
          <t>KALMAR LÄN</t>
        </is>
      </c>
      <c r="E302" t="inlineStr">
        <is>
          <t>VIMMERBY</t>
        </is>
      </c>
      <c r="G302" t="n">
        <v>2.8</v>
      </c>
      <c r="H302" t="n">
        <v>0</v>
      </c>
      <c r="I302" t="n">
        <v>0</v>
      </c>
      <c r="J302" t="n">
        <v>0</v>
      </c>
      <c r="K302" t="n">
        <v>0</v>
      </c>
      <c r="L302" t="n">
        <v>0</v>
      </c>
      <c r="M302" t="n">
        <v>0</v>
      </c>
      <c r="N302" t="n">
        <v>0</v>
      </c>
      <c r="O302" t="n">
        <v>0</v>
      </c>
      <c r="P302" t="n">
        <v>0</v>
      </c>
      <c r="Q302" t="n">
        <v>0</v>
      </c>
      <c r="R302" s="2" t="inlineStr"/>
    </row>
    <row r="303" ht="15" customHeight="1">
      <c r="A303" t="inlineStr">
        <is>
          <t>A 57799-2022</t>
        </is>
      </c>
      <c r="B303" s="1" t="n">
        <v>44897</v>
      </c>
      <c r="C303" s="1" t="n">
        <v>46084</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30921-2024</t>
        </is>
      </c>
      <c r="B304" s="1" t="n">
        <v>45498</v>
      </c>
      <c r="C304" s="1" t="n">
        <v>46084</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58724-2024</t>
        </is>
      </c>
      <c r="B305" s="1" t="n">
        <v>45635.66409722222</v>
      </c>
      <c r="C305" s="1" t="n">
        <v>46084</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25792-2025</t>
        </is>
      </c>
      <c r="B306" s="1" t="n">
        <v>45804.39141203704</v>
      </c>
      <c r="C306" s="1" t="n">
        <v>46084</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26039-2025</t>
        </is>
      </c>
      <c r="B307" s="1" t="n">
        <v>45804.6953587963</v>
      </c>
      <c r="C307" s="1" t="n">
        <v>46084</v>
      </c>
      <c r="D307" t="inlineStr">
        <is>
          <t>KALMAR LÄN</t>
        </is>
      </c>
      <c r="E307" t="inlineStr">
        <is>
          <t>VIMMERBY</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26046-2025</t>
        </is>
      </c>
      <c r="B308" s="1" t="n">
        <v>45804.708125</v>
      </c>
      <c r="C308" s="1" t="n">
        <v>46084</v>
      </c>
      <c r="D308" t="inlineStr">
        <is>
          <t>KALMAR LÄN</t>
        </is>
      </c>
      <c r="E308" t="inlineStr">
        <is>
          <t>VIMMERBY</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13290-2025</t>
        </is>
      </c>
      <c r="B309" s="1" t="n">
        <v>45735.56751157407</v>
      </c>
      <c r="C309" s="1" t="n">
        <v>46084</v>
      </c>
      <c r="D309" t="inlineStr">
        <is>
          <t>KALMAR LÄN</t>
        </is>
      </c>
      <c r="E309" t="inlineStr">
        <is>
          <t>VIMMERBY</t>
        </is>
      </c>
      <c r="G309" t="n">
        <v>0.8</v>
      </c>
      <c r="H309" t="n">
        <v>0</v>
      </c>
      <c r="I309" t="n">
        <v>0</v>
      </c>
      <c r="J309" t="n">
        <v>0</v>
      </c>
      <c r="K309" t="n">
        <v>0</v>
      </c>
      <c r="L309" t="n">
        <v>0</v>
      </c>
      <c r="M309" t="n">
        <v>0</v>
      </c>
      <c r="N309" t="n">
        <v>0</v>
      </c>
      <c r="O309" t="n">
        <v>0</v>
      </c>
      <c r="P309" t="n">
        <v>0</v>
      </c>
      <c r="Q309" t="n">
        <v>0</v>
      </c>
      <c r="R309" s="2" t="inlineStr"/>
    </row>
    <row r="310" ht="15" customHeight="1">
      <c r="A310" t="inlineStr">
        <is>
          <t>A 19162-2023</t>
        </is>
      </c>
      <c r="B310" s="1" t="n">
        <v>45048.59699074074</v>
      </c>
      <c r="C310" s="1" t="n">
        <v>46084</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26124-2025</t>
        </is>
      </c>
      <c r="B311" s="1" t="n">
        <v>45805.39247685186</v>
      </c>
      <c r="C311" s="1" t="n">
        <v>46084</v>
      </c>
      <c r="D311" t="inlineStr">
        <is>
          <t>KALMAR LÄN</t>
        </is>
      </c>
      <c r="E311" t="inlineStr">
        <is>
          <t>VIMMERBY</t>
        </is>
      </c>
      <c r="G311" t="n">
        <v>6.6</v>
      </c>
      <c r="H311" t="n">
        <v>0</v>
      </c>
      <c r="I311" t="n">
        <v>0</v>
      </c>
      <c r="J311" t="n">
        <v>0</v>
      </c>
      <c r="K311" t="n">
        <v>0</v>
      </c>
      <c r="L311" t="n">
        <v>0</v>
      </c>
      <c r="M311" t="n">
        <v>0</v>
      </c>
      <c r="N311" t="n">
        <v>0</v>
      </c>
      <c r="O311" t="n">
        <v>0</v>
      </c>
      <c r="P311" t="n">
        <v>0</v>
      </c>
      <c r="Q311" t="n">
        <v>0</v>
      </c>
      <c r="R311" s="2" t="inlineStr"/>
    </row>
    <row r="312" ht="15" customHeight="1">
      <c r="A312" t="inlineStr">
        <is>
          <t>A 41735-2025</t>
        </is>
      </c>
      <c r="B312" s="1" t="n">
        <v>45902.47164351852</v>
      </c>
      <c r="C312" s="1" t="n">
        <v>46084</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14137-2023</t>
        </is>
      </c>
      <c r="B313" s="1" t="n">
        <v>45009.4671875</v>
      </c>
      <c r="C313" s="1" t="n">
        <v>46084</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26207-2025</t>
        </is>
      </c>
      <c r="B314" s="1" t="n">
        <v>45805.52983796296</v>
      </c>
      <c r="C314" s="1" t="n">
        <v>46084</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25830-2025</t>
        </is>
      </c>
      <c r="B315" s="1" t="n">
        <v>45804.44519675926</v>
      </c>
      <c r="C315" s="1" t="n">
        <v>46084</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9475-2023</t>
        </is>
      </c>
      <c r="B316" s="1" t="n">
        <v>44981.58834490741</v>
      </c>
      <c r="C316" s="1" t="n">
        <v>46084</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26254-2025</t>
        </is>
      </c>
      <c r="B317" s="1" t="n">
        <v>45805</v>
      </c>
      <c r="C317" s="1" t="n">
        <v>46084</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11152-2023</t>
        </is>
      </c>
      <c r="B318" s="1" t="n">
        <v>44992</v>
      </c>
      <c r="C318" s="1" t="n">
        <v>46084</v>
      </c>
      <c r="D318" t="inlineStr">
        <is>
          <t>KALMAR LÄN</t>
        </is>
      </c>
      <c r="E318" t="inlineStr">
        <is>
          <t>VIMMERBY</t>
        </is>
      </c>
      <c r="G318" t="n">
        <v>10.6</v>
      </c>
      <c r="H318" t="n">
        <v>0</v>
      </c>
      <c r="I318" t="n">
        <v>0</v>
      </c>
      <c r="J318" t="n">
        <v>0</v>
      </c>
      <c r="K318" t="n">
        <v>0</v>
      </c>
      <c r="L318" t="n">
        <v>0</v>
      </c>
      <c r="M318" t="n">
        <v>0</v>
      </c>
      <c r="N318" t="n">
        <v>0</v>
      </c>
      <c r="O318" t="n">
        <v>0</v>
      </c>
      <c r="P318" t="n">
        <v>0</v>
      </c>
      <c r="Q318" t="n">
        <v>0</v>
      </c>
      <c r="R318" s="2" t="inlineStr"/>
    </row>
    <row r="319" ht="15" customHeight="1">
      <c r="A319" t="inlineStr">
        <is>
          <t>A 12499-2023</t>
        </is>
      </c>
      <c r="B319" s="1" t="n">
        <v>44999.86172453704</v>
      </c>
      <c r="C319" s="1" t="n">
        <v>46084</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12500-2023</t>
        </is>
      </c>
      <c r="B320" s="1" t="n">
        <v>44999.8625</v>
      </c>
      <c r="C320" s="1" t="n">
        <v>46084</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35846-2023</t>
        </is>
      </c>
      <c r="B321" s="1" t="n">
        <v>45148</v>
      </c>
      <c r="C321" s="1" t="n">
        <v>46084</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49039-2021</t>
        </is>
      </c>
      <c r="B322" s="1" t="n">
        <v>44453.56578703703</v>
      </c>
      <c r="C322" s="1" t="n">
        <v>46084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11946-2025</t>
        </is>
      </c>
      <c r="B323" s="1" t="n">
        <v>45728.54832175926</v>
      </c>
      <c r="C323" s="1" t="n">
        <v>46084</v>
      </c>
      <c r="D323" t="inlineStr">
        <is>
          <t>KALMAR LÄN</t>
        </is>
      </c>
      <c r="E323" t="inlineStr">
        <is>
          <t>VIMMERBY</t>
        </is>
      </c>
      <c r="G323" t="n">
        <v>0.4</v>
      </c>
      <c r="H323" t="n">
        <v>0</v>
      </c>
      <c r="I323" t="n">
        <v>0</v>
      </c>
      <c r="J323" t="n">
        <v>0</v>
      </c>
      <c r="K323" t="n">
        <v>0</v>
      </c>
      <c r="L323" t="n">
        <v>0</v>
      </c>
      <c r="M323" t="n">
        <v>0</v>
      </c>
      <c r="N323" t="n">
        <v>0</v>
      </c>
      <c r="O323" t="n">
        <v>0</v>
      </c>
      <c r="P323" t="n">
        <v>0</v>
      </c>
      <c r="Q323" t="n">
        <v>0</v>
      </c>
      <c r="R323" s="2" t="inlineStr"/>
    </row>
    <row r="324" ht="15" customHeight="1">
      <c r="A324" t="inlineStr">
        <is>
          <t>A 19537-2022</t>
        </is>
      </c>
      <c r="B324" s="1" t="n">
        <v>44693.62822916666</v>
      </c>
      <c r="C324" s="1" t="n">
        <v>46084</v>
      </c>
      <c r="D324" t="inlineStr">
        <is>
          <t>KALMAR LÄN</t>
        </is>
      </c>
      <c r="E324" t="inlineStr">
        <is>
          <t>VIMMERBY</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42828-2025</t>
        </is>
      </c>
      <c r="B325" s="1" t="n">
        <v>45908.57716435185</v>
      </c>
      <c r="C325" s="1" t="n">
        <v>46084</v>
      </c>
      <c r="D325" t="inlineStr">
        <is>
          <t>KALMAR LÄN</t>
        </is>
      </c>
      <c r="E325" t="inlineStr">
        <is>
          <t>VIMMERBY</t>
        </is>
      </c>
      <c r="G325" t="n">
        <v>5.2</v>
      </c>
      <c r="H325" t="n">
        <v>0</v>
      </c>
      <c r="I325" t="n">
        <v>0</v>
      </c>
      <c r="J325" t="n">
        <v>0</v>
      </c>
      <c r="K325" t="n">
        <v>0</v>
      </c>
      <c r="L325" t="n">
        <v>0</v>
      </c>
      <c r="M325" t="n">
        <v>0</v>
      </c>
      <c r="N325" t="n">
        <v>0</v>
      </c>
      <c r="O325" t="n">
        <v>0</v>
      </c>
      <c r="P325" t="n">
        <v>0</v>
      </c>
      <c r="Q325" t="n">
        <v>0</v>
      </c>
      <c r="R325" s="2" t="inlineStr"/>
    </row>
    <row r="326" ht="15" customHeight="1">
      <c r="A326" t="inlineStr">
        <is>
          <t>A 46224-2024</t>
        </is>
      </c>
      <c r="B326" s="1" t="n">
        <v>45581.57016203704</v>
      </c>
      <c r="C326" s="1" t="n">
        <v>46084</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46238-2024</t>
        </is>
      </c>
      <c r="B327" s="1" t="n">
        <v>45581.58418981481</v>
      </c>
      <c r="C327" s="1" t="n">
        <v>46084</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30633-2024</t>
        </is>
      </c>
      <c r="B328" s="1" t="n">
        <v>45495</v>
      </c>
      <c r="C328" s="1" t="n">
        <v>46084</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42794-2025</t>
        </is>
      </c>
      <c r="B329" s="1" t="n">
        <v>45908</v>
      </c>
      <c r="C329" s="1" t="n">
        <v>46084</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54838-2024</t>
        </is>
      </c>
      <c r="B330" s="1" t="n">
        <v>45618.56787037037</v>
      </c>
      <c r="C330" s="1" t="n">
        <v>46084</v>
      </c>
      <c r="D330" t="inlineStr">
        <is>
          <t>KALMAR LÄN</t>
        </is>
      </c>
      <c r="E330" t="inlineStr">
        <is>
          <t>VIMMERBY</t>
        </is>
      </c>
      <c r="G330" t="n">
        <v>3.3</v>
      </c>
      <c r="H330" t="n">
        <v>0</v>
      </c>
      <c r="I330" t="n">
        <v>0</v>
      </c>
      <c r="J330" t="n">
        <v>0</v>
      </c>
      <c r="K330" t="n">
        <v>0</v>
      </c>
      <c r="L330" t="n">
        <v>0</v>
      </c>
      <c r="M330" t="n">
        <v>0</v>
      </c>
      <c r="N330" t="n">
        <v>0</v>
      </c>
      <c r="O330" t="n">
        <v>0</v>
      </c>
      <c r="P330" t="n">
        <v>0</v>
      </c>
      <c r="Q330" t="n">
        <v>0</v>
      </c>
      <c r="R330" s="2" t="inlineStr"/>
    </row>
    <row r="331" ht="15" customHeight="1">
      <c r="A331" t="inlineStr">
        <is>
          <t>A 6405-2025</t>
        </is>
      </c>
      <c r="B331" s="1" t="n">
        <v>45699.45392361111</v>
      </c>
      <c r="C331" s="1" t="n">
        <v>46084</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42820-2025</t>
        </is>
      </c>
      <c r="B332" s="1" t="n">
        <v>45908</v>
      </c>
      <c r="C332" s="1" t="n">
        <v>46084</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60951-2023</t>
        </is>
      </c>
      <c r="B333" s="1" t="n">
        <v>45261.44914351852</v>
      </c>
      <c r="C333" s="1" t="n">
        <v>46084</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60292-2022</t>
        </is>
      </c>
      <c r="B334" s="1" t="n">
        <v>44910.54231481482</v>
      </c>
      <c r="C334" s="1" t="n">
        <v>46084</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60437-2023</t>
        </is>
      </c>
      <c r="B335" s="1" t="n">
        <v>45259.51916666667</v>
      </c>
      <c r="C335" s="1" t="n">
        <v>46084</v>
      </c>
      <c r="D335" t="inlineStr">
        <is>
          <t>KALMAR LÄN</t>
        </is>
      </c>
      <c r="E335" t="inlineStr">
        <is>
          <t>VIMMERBY</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60438-2023</t>
        </is>
      </c>
      <c r="B336" s="1" t="n">
        <v>45259.52020833334</v>
      </c>
      <c r="C336" s="1" t="n">
        <v>46084</v>
      </c>
      <c r="D336" t="inlineStr">
        <is>
          <t>KALMAR LÄN</t>
        </is>
      </c>
      <c r="E336" t="inlineStr">
        <is>
          <t>VIMMERBY</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42165-2024</t>
        </is>
      </c>
      <c r="B337" s="1" t="n">
        <v>45562.46342592593</v>
      </c>
      <c r="C337" s="1" t="n">
        <v>46084</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34060-2025</t>
        </is>
      </c>
      <c r="B338" s="1" t="n">
        <v>45845.42015046296</v>
      </c>
      <c r="C338" s="1" t="n">
        <v>46084</v>
      </c>
      <c r="D338" t="inlineStr">
        <is>
          <t>KALMAR LÄN</t>
        </is>
      </c>
      <c r="E338" t="inlineStr">
        <is>
          <t>VIMMERBY</t>
        </is>
      </c>
      <c r="G338" t="n">
        <v>5.7</v>
      </c>
      <c r="H338" t="n">
        <v>0</v>
      </c>
      <c r="I338" t="n">
        <v>0</v>
      </c>
      <c r="J338" t="n">
        <v>0</v>
      </c>
      <c r="K338" t="n">
        <v>0</v>
      </c>
      <c r="L338" t="n">
        <v>0</v>
      </c>
      <c r="M338" t="n">
        <v>0</v>
      </c>
      <c r="N338" t="n">
        <v>0</v>
      </c>
      <c r="O338" t="n">
        <v>0</v>
      </c>
      <c r="P338" t="n">
        <v>0</v>
      </c>
      <c r="Q338" t="n">
        <v>0</v>
      </c>
      <c r="R338" s="2" t="inlineStr"/>
    </row>
    <row r="339" ht="15" customHeight="1">
      <c r="A339" t="inlineStr">
        <is>
          <t>A 7485-2024</t>
        </is>
      </c>
      <c r="B339" s="1" t="n">
        <v>45346.67184027778</v>
      </c>
      <c r="C339" s="1" t="n">
        <v>46084</v>
      </c>
      <c r="D339" t="inlineStr">
        <is>
          <t>KALMAR LÄN</t>
        </is>
      </c>
      <c r="E339" t="inlineStr">
        <is>
          <t>VIMMERBY</t>
        </is>
      </c>
      <c r="G339" t="n">
        <v>1.9</v>
      </c>
      <c r="H339" t="n">
        <v>0</v>
      </c>
      <c r="I339" t="n">
        <v>0</v>
      </c>
      <c r="J339" t="n">
        <v>0</v>
      </c>
      <c r="K339" t="n">
        <v>0</v>
      </c>
      <c r="L339" t="n">
        <v>0</v>
      </c>
      <c r="M339" t="n">
        <v>0</v>
      </c>
      <c r="N339" t="n">
        <v>0</v>
      </c>
      <c r="O339" t="n">
        <v>0</v>
      </c>
      <c r="P339" t="n">
        <v>0</v>
      </c>
      <c r="Q339" t="n">
        <v>0</v>
      </c>
      <c r="R339" s="2" t="inlineStr"/>
    </row>
    <row r="340" ht="15" customHeight="1">
      <c r="A340" t="inlineStr">
        <is>
          <t>A 43465-2025</t>
        </is>
      </c>
      <c r="B340" s="1" t="n">
        <v>45911.47138888889</v>
      </c>
      <c r="C340" s="1" t="n">
        <v>46084</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12590-2025</t>
        </is>
      </c>
      <c r="B341" s="1" t="n">
        <v>45732.79925925926</v>
      </c>
      <c r="C341" s="1" t="n">
        <v>46084</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25244-2023</t>
        </is>
      </c>
      <c r="B342" s="1" t="n">
        <v>45086</v>
      </c>
      <c r="C342" s="1" t="n">
        <v>46084</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35710-2023</t>
        </is>
      </c>
      <c r="B343" s="1" t="n">
        <v>45147.67096064815</v>
      </c>
      <c r="C343" s="1" t="n">
        <v>46084</v>
      </c>
      <c r="D343" t="inlineStr">
        <is>
          <t>KALMAR LÄN</t>
        </is>
      </c>
      <c r="E343" t="inlineStr">
        <is>
          <t>VIMMERBY</t>
        </is>
      </c>
      <c r="G343" t="n">
        <v>3.1</v>
      </c>
      <c r="H343" t="n">
        <v>0</v>
      </c>
      <c r="I343" t="n">
        <v>0</v>
      </c>
      <c r="J343" t="n">
        <v>0</v>
      </c>
      <c r="K343" t="n">
        <v>0</v>
      </c>
      <c r="L343" t="n">
        <v>0</v>
      </c>
      <c r="M343" t="n">
        <v>0</v>
      </c>
      <c r="N343" t="n">
        <v>0</v>
      </c>
      <c r="O343" t="n">
        <v>0</v>
      </c>
      <c r="P343" t="n">
        <v>0</v>
      </c>
      <c r="Q343" t="n">
        <v>0</v>
      </c>
      <c r="R343" s="2" t="inlineStr"/>
    </row>
    <row r="344" ht="15" customHeight="1">
      <c r="A344" t="inlineStr">
        <is>
          <t>A 43617-2025</t>
        </is>
      </c>
      <c r="B344" s="1" t="n">
        <v>45911.67798611111</v>
      </c>
      <c r="C344" s="1" t="n">
        <v>46084</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52823-2024</t>
        </is>
      </c>
      <c r="B345" s="1" t="n">
        <v>45610.59094907407</v>
      </c>
      <c r="C345" s="1" t="n">
        <v>46084</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66022-2021</t>
        </is>
      </c>
      <c r="B346" s="1" t="n">
        <v>44517</v>
      </c>
      <c r="C346" s="1" t="n">
        <v>46084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35895-2024</t>
        </is>
      </c>
      <c r="B347" s="1" t="n">
        <v>45533.38870370371</v>
      </c>
      <c r="C347" s="1" t="n">
        <v>46084</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11073-2023</t>
        </is>
      </c>
      <c r="B348" s="1" t="n">
        <v>44992</v>
      </c>
      <c r="C348" s="1" t="n">
        <v>46084</v>
      </c>
      <c r="D348" t="inlineStr">
        <is>
          <t>KALMAR LÄN</t>
        </is>
      </c>
      <c r="E348" t="inlineStr">
        <is>
          <t>VIMMERBY</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17-2025</t>
        </is>
      </c>
      <c r="B349" s="1" t="n">
        <v>45658.78774305555</v>
      </c>
      <c r="C349" s="1" t="n">
        <v>46084</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32655-2023</t>
        </is>
      </c>
      <c r="B350" s="1" t="n">
        <v>45121.61318287037</v>
      </c>
      <c r="C350" s="1" t="n">
        <v>46084</v>
      </c>
      <c r="D350" t="inlineStr">
        <is>
          <t>KALMAR LÄN</t>
        </is>
      </c>
      <c r="E350" t="inlineStr">
        <is>
          <t>VIMMERBY</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28286-2025</t>
        </is>
      </c>
      <c r="B351" s="1" t="n">
        <v>45818.58993055556</v>
      </c>
      <c r="C351" s="1" t="n">
        <v>46084</v>
      </c>
      <c r="D351" t="inlineStr">
        <is>
          <t>KALMAR LÄN</t>
        </is>
      </c>
      <c r="E351" t="inlineStr">
        <is>
          <t>VIMMERBY</t>
        </is>
      </c>
      <c r="F351" t="inlineStr">
        <is>
          <t>Sveaskog</t>
        </is>
      </c>
      <c r="G351" t="n">
        <v>8</v>
      </c>
      <c r="H351" t="n">
        <v>0</v>
      </c>
      <c r="I351" t="n">
        <v>0</v>
      </c>
      <c r="J351" t="n">
        <v>0</v>
      </c>
      <c r="K351" t="n">
        <v>0</v>
      </c>
      <c r="L351" t="n">
        <v>0</v>
      </c>
      <c r="M351" t="n">
        <v>0</v>
      </c>
      <c r="N351" t="n">
        <v>0</v>
      </c>
      <c r="O351" t="n">
        <v>0</v>
      </c>
      <c r="P351" t="n">
        <v>0</v>
      </c>
      <c r="Q351" t="n">
        <v>0</v>
      </c>
      <c r="R351" s="2" t="inlineStr"/>
    </row>
    <row r="352" ht="15" customHeight="1">
      <c r="A352" t="inlineStr">
        <is>
          <t>A 44095-2025</t>
        </is>
      </c>
      <c r="B352" s="1" t="n">
        <v>45915.56430555556</v>
      </c>
      <c r="C352" s="1" t="n">
        <v>46084</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28282-2025</t>
        </is>
      </c>
      <c r="B353" s="1" t="n">
        <v>45818.58769675926</v>
      </c>
      <c r="C353" s="1" t="n">
        <v>46084</v>
      </c>
      <c r="D353" t="inlineStr">
        <is>
          <t>KALMAR LÄN</t>
        </is>
      </c>
      <c r="E353" t="inlineStr">
        <is>
          <t>VIMMERBY</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28294-2025</t>
        </is>
      </c>
      <c r="B354" s="1" t="n">
        <v>45818.595625</v>
      </c>
      <c r="C354" s="1" t="n">
        <v>46084</v>
      </c>
      <c r="D354" t="inlineStr">
        <is>
          <t>KALMAR LÄN</t>
        </is>
      </c>
      <c r="E354" t="inlineStr">
        <is>
          <t>VIMMERBY</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28290-2025</t>
        </is>
      </c>
      <c r="B355" s="1" t="n">
        <v>45818.59261574074</v>
      </c>
      <c r="C355" s="1" t="n">
        <v>46084</v>
      </c>
      <c r="D355" t="inlineStr">
        <is>
          <t>KALMAR LÄN</t>
        </is>
      </c>
      <c r="E355" t="inlineStr">
        <is>
          <t>VIMMERBY</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63541-2023</t>
        </is>
      </c>
      <c r="B356" s="1" t="n">
        <v>45275.32266203704</v>
      </c>
      <c r="C356" s="1" t="n">
        <v>46084</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28280-2025</t>
        </is>
      </c>
      <c r="B357" s="1" t="n">
        <v>45818.5862037037</v>
      </c>
      <c r="C357" s="1" t="n">
        <v>46084</v>
      </c>
      <c r="D357" t="inlineStr">
        <is>
          <t>KALMAR LÄN</t>
        </is>
      </c>
      <c r="E357" t="inlineStr">
        <is>
          <t>VIMMERBY</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11147-2023</t>
        </is>
      </c>
      <c r="B358" s="1" t="n">
        <v>44992</v>
      </c>
      <c r="C358" s="1" t="n">
        <v>46084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44091-2025</t>
        </is>
      </c>
      <c r="B359" s="1" t="n">
        <v>45915.55950231481</v>
      </c>
      <c r="C359" s="1" t="n">
        <v>46084</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28620-2025</t>
        </is>
      </c>
      <c r="B360" s="1" t="n">
        <v>45819.61060185185</v>
      </c>
      <c r="C360" s="1" t="n">
        <v>46084</v>
      </c>
      <c r="D360" t="inlineStr">
        <is>
          <t>KALMAR LÄN</t>
        </is>
      </c>
      <c r="E360" t="inlineStr">
        <is>
          <t>VIMMERBY</t>
        </is>
      </c>
      <c r="G360" t="n">
        <v>5.6</v>
      </c>
      <c r="H360" t="n">
        <v>0</v>
      </c>
      <c r="I360" t="n">
        <v>0</v>
      </c>
      <c r="J360" t="n">
        <v>0</v>
      </c>
      <c r="K360" t="n">
        <v>0</v>
      </c>
      <c r="L360" t="n">
        <v>0</v>
      </c>
      <c r="M360" t="n">
        <v>0</v>
      </c>
      <c r="N360" t="n">
        <v>0</v>
      </c>
      <c r="O360" t="n">
        <v>0</v>
      </c>
      <c r="P360" t="n">
        <v>0</v>
      </c>
      <c r="Q360" t="n">
        <v>0</v>
      </c>
      <c r="R360" s="2" t="inlineStr"/>
    </row>
    <row r="361" ht="15" customHeight="1">
      <c r="A361" t="inlineStr">
        <is>
          <t>A 28034-2022</t>
        </is>
      </c>
      <c r="B361" s="1" t="n">
        <v>44746.38834490741</v>
      </c>
      <c r="C361" s="1" t="n">
        <v>46084</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19833-2023</t>
        </is>
      </c>
      <c r="B362" s="1" t="n">
        <v>45052</v>
      </c>
      <c r="C362" s="1" t="n">
        <v>46084</v>
      </c>
      <c r="D362" t="inlineStr">
        <is>
          <t>KALMAR LÄN</t>
        </is>
      </c>
      <c r="E362" t="inlineStr">
        <is>
          <t>VIMMERBY</t>
        </is>
      </c>
      <c r="G362" t="n">
        <v>6.7</v>
      </c>
      <c r="H362" t="n">
        <v>0</v>
      </c>
      <c r="I362" t="n">
        <v>0</v>
      </c>
      <c r="J362" t="n">
        <v>0</v>
      </c>
      <c r="K362" t="n">
        <v>0</v>
      </c>
      <c r="L362" t="n">
        <v>0</v>
      </c>
      <c r="M362" t="n">
        <v>0</v>
      </c>
      <c r="N362" t="n">
        <v>0</v>
      </c>
      <c r="O362" t="n">
        <v>0</v>
      </c>
      <c r="P362" t="n">
        <v>0</v>
      </c>
      <c r="Q362" t="n">
        <v>0</v>
      </c>
      <c r="R362" s="2" t="inlineStr"/>
    </row>
    <row r="363" ht="15" customHeight="1">
      <c r="A363" t="inlineStr">
        <is>
          <t>A 5938-2022</t>
        </is>
      </c>
      <c r="B363" s="1" t="n">
        <v>44598</v>
      </c>
      <c r="C363" s="1" t="n">
        <v>46084</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24283-2023</t>
        </is>
      </c>
      <c r="B364" s="1" t="n">
        <v>45079.87827546296</v>
      </c>
      <c r="C364" s="1" t="n">
        <v>46084</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28712-2025</t>
        </is>
      </c>
      <c r="B365" s="1" t="n">
        <v>45820.33708333333</v>
      </c>
      <c r="C365" s="1" t="n">
        <v>46084</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28714-2025</t>
        </is>
      </c>
      <c r="B366" s="1" t="n">
        <v>45820.34128472222</v>
      </c>
      <c r="C366" s="1" t="n">
        <v>46084</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14548-2024</t>
        </is>
      </c>
      <c r="B367" s="1" t="n">
        <v>45394.66887731481</v>
      </c>
      <c r="C367" s="1" t="n">
        <v>46084</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44517-2025</t>
        </is>
      </c>
      <c r="B368" s="1" t="n">
        <v>45916.7103587963</v>
      </c>
      <c r="C368" s="1" t="n">
        <v>46084</v>
      </c>
      <c r="D368" t="inlineStr">
        <is>
          <t>KALMAR LÄN</t>
        </is>
      </c>
      <c r="E368" t="inlineStr">
        <is>
          <t>VIMMERBY</t>
        </is>
      </c>
      <c r="G368" t="n">
        <v>0.9</v>
      </c>
      <c r="H368" t="n">
        <v>0</v>
      </c>
      <c r="I368" t="n">
        <v>0</v>
      </c>
      <c r="J368" t="n">
        <v>0</v>
      </c>
      <c r="K368" t="n">
        <v>0</v>
      </c>
      <c r="L368" t="n">
        <v>0</v>
      </c>
      <c r="M368" t="n">
        <v>0</v>
      </c>
      <c r="N368" t="n">
        <v>0</v>
      </c>
      <c r="O368" t="n">
        <v>0</v>
      </c>
      <c r="P368" t="n">
        <v>0</v>
      </c>
      <c r="Q368" t="n">
        <v>0</v>
      </c>
      <c r="R368" s="2" t="inlineStr"/>
    </row>
    <row r="369" ht="15" customHeight="1">
      <c r="A369" t="inlineStr">
        <is>
          <t>A 2462-2022</t>
        </is>
      </c>
      <c r="B369" s="1" t="n">
        <v>44579.62225694444</v>
      </c>
      <c r="C369" s="1" t="n">
        <v>46084</v>
      </c>
      <c r="D369" t="inlineStr">
        <is>
          <t>KALMAR LÄN</t>
        </is>
      </c>
      <c r="E369" t="inlineStr">
        <is>
          <t>VIMMERBY</t>
        </is>
      </c>
      <c r="G369" t="n">
        <v>1.1</v>
      </c>
      <c r="H369" t="n">
        <v>0</v>
      </c>
      <c r="I369" t="n">
        <v>0</v>
      </c>
      <c r="J369" t="n">
        <v>0</v>
      </c>
      <c r="K369" t="n">
        <v>0</v>
      </c>
      <c r="L369" t="n">
        <v>0</v>
      </c>
      <c r="M369" t="n">
        <v>0</v>
      </c>
      <c r="N369" t="n">
        <v>0</v>
      </c>
      <c r="O369" t="n">
        <v>0</v>
      </c>
      <c r="P369" t="n">
        <v>0</v>
      </c>
      <c r="Q369" t="n">
        <v>0</v>
      </c>
      <c r="R369" s="2" t="inlineStr"/>
    </row>
    <row r="370" ht="15" customHeight="1">
      <c r="A370" t="inlineStr">
        <is>
          <t>A 585-2024</t>
        </is>
      </c>
      <c r="B370" s="1" t="n">
        <v>45299.62576388889</v>
      </c>
      <c r="C370" s="1" t="n">
        <v>46084</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28713-2025</t>
        </is>
      </c>
      <c r="B371" s="1" t="n">
        <v>45820.33930555556</v>
      </c>
      <c r="C371" s="1" t="n">
        <v>46084</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60228-2021</t>
        </is>
      </c>
      <c r="B372" s="1" t="n">
        <v>44495</v>
      </c>
      <c r="C372" s="1" t="n">
        <v>46084</v>
      </c>
      <c r="D372" t="inlineStr">
        <is>
          <t>KALMAR LÄN</t>
        </is>
      </c>
      <c r="E372" t="inlineStr">
        <is>
          <t>VIMMERBY</t>
        </is>
      </c>
      <c r="G372" t="n">
        <v>4.1</v>
      </c>
      <c r="H372" t="n">
        <v>0</v>
      </c>
      <c r="I372" t="n">
        <v>0</v>
      </c>
      <c r="J372" t="n">
        <v>0</v>
      </c>
      <c r="K372" t="n">
        <v>0</v>
      </c>
      <c r="L372" t="n">
        <v>0</v>
      </c>
      <c r="M372" t="n">
        <v>0</v>
      </c>
      <c r="N372" t="n">
        <v>0</v>
      </c>
      <c r="O372" t="n">
        <v>0</v>
      </c>
      <c r="P372" t="n">
        <v>0</v>
      </c>
      <c r="Q372" t="n">
        <v>0</v>
      </c>
      <c r="R372" s="2" t="inlineStr"/>
    </row>
    <row r="373" ht="15" customHeight="1">
      <c r="A373" t="inlineStr">
        <is>
          <t>A 25979-2023</t>
        </is>
      </c>
      <c r="B373" s="1" t="n">
        <v>45090.89653935185</v>
      </c>
      <c r="C373" s="1" t="n">
        <v>46084</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25980-2023</t>
        </is>
      </c>
      <c r="B374" s="1" t="n">
        <v>45090.89880787037</v>
      </c>
      <c r="C374" s="1" t="n">
        <v>46084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56020-2024</t>
        </is>
      </c>
      <c r="B375" s="1" t="n">
        <v>45623.9525462963</v>
      </c>
      <c r="C375" s="1" t="n">
        <v>46084</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12510-2022</t>
        </is>
      </c>
      <c r="B376" s="1" t="n">
        <v>44638.55256944444</v>
      </c>
      <c r="C376" s="1" t="n">
        <v>46084</v>
      </c>
      <c r="D376" t="inlineStr">
        <is>
          <t>KALMAR LÄN</t>
        </is>
      </c>
      <c r="E376" t="inlineStr">
        <is>
          <t>VIMMERBY</t>
        </is>
      </c>
      <c r="G376" t="n">
        <v>2.4</v>
      </c>
      <c r="H376" t="n">
        <v>0</v>
      </c>
      <c r="I376" t="n">
        <v>0</v>
      </c>
      <c r="J376" t="n">
        <v>0</v>
      </c>
      <c r="K376" t="n">
        <v>0</v>
      </c>
      <c r="L376" t="n">
        <v>0</v>
      </c>
      <c r="M376" t="n">
        <v>0</v>
      </c>
      <c r="N376" t="n">
        <v>0</v>
      </c>
      <c r="O376" t="n">
        <v>0</v>
      </c>
      <c r="P376" t="n">
        <v>0</v>
      </c>
      <c r="Q376" t="n">
        <v>0</v>
      </c>
      <c r="R376" s="2" t="inlineStr"/>
    </row>
    <row r="377" ht="15" customHeight="1">
      <c r="A377" t="inlineStr">
        <is>
          <t>A 6358-2022</t>
        </is>
      </c>
      <c r="B377" s="1" t="n">
        <v>44600</v>
      </c>
      <c r="C377" s="1" t="n">
        <v>46084</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44742-2025</t>
        </is>
      </c>
      <c r="B378" s="1" t="n">
        <v>45917.67054398148</v>
      </c>
      <c r="C378" s="1" t="n">
        <v>46084</v>
      </c>
      <c r="D378" t="inlineStr">
        <is>
          <t>KALMAR LÄN</t>
        </is>
      </c>
      <c r="E378" t="inlineStr">
        <is>
          <t>VIMMERBY</t>
        </is>
      </c>
      <c r="G378" t="n">
        <v>4.7</v>
      </c>
      <c r="H378" t="n">
        <v>0</v>
      </c>
      <c r="I378" t="n">
        <v>0</v>
      </c>
      <c r="J378" t="n">
        <v>0</v>
      </c>
      <c r="K378" t="n">
        <v>0</v>
      </c>
      <c r="L378" t="n">
        <v>0</v>
      </c>
      <c r="M378" t="n">
        <v>0</v>
      </c>
      <c r="N378" t="n">
        <v>0</v>
      </c>
      <c r="O378" t="n">
        <v>0</v>
      </c>
      <c r="P378" t="n">
        <v>0</v>
      </c>
      <c r="Q378" t="n">
        <v>0</v>
      </c>
      <c r="R378" s="2" t="inlineStr"/>
    </row>
    <row r="379" ht="15" customHeight="1">
      <c r="A379" t="inlineStr">
        <is>
          <t>A 44329-2025</t>
        </is>
      </c>
      <c r="B379" s="1" t="n">
        <v>45916.41019675926</v>
      </c>
      <c r="C379" s="1" t="n">
        <v>46084</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46084</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29737-2025</t>
        </is>
      </c>
      <c r="B381" s="1" t="n">
        <v>45825.58672453704</v>
      </c>
      <c r="C381" s="1" t="n">
        <v>46084</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29727-2025</t>
        </is>
      </c>
      <c r="B382" s="1" t="n">
        <v>45825.5796875</v>
      </c>
      <c r="C382" s="1" t="n">
        <v>46084</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23252-2024</t>
        </is>
      </c>
      <c r="B383" s="1" t="n">
        <v>45453.36067129629</v>
      </c>
      <c r="C383" s="1" t="n">
        <v>46084</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15550-2023</t>
        </is>
      </c>
      <c r="B384" s="1" t="n">
        <v>45020</v>
      </c>
      <c r="C384" s="1" t="n">
        <v>46084</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11219-2023</t>
        </is>
      </c>
      <c r="B385" s="1" t="n">
        <v>44992.62498842592</v>
      </c>
      <c r="C385" s="1" t="n">
        <v>46084</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48373-2021</t>
        </is>
      </c>
      <c r="B386" s="1" t="n">
        <v>44451</v>
      </c>
      <c r="C386" s="1" t="n">
        <v>46084</v>
      </c>
      <c r="D386" t="inlineStr">
        <is>
          <t>KALMAR LÄN</t>
        </is>
      </c>
      <c r="E386" t="inlineStr">
        <is>
          <t>VIMMERBY</t>
        </is>
      </c>
      <c r="G386" t="n">
        <v>2.2</v>
      </c>
      <c r="H386" t="n">
        <v>0</v>
      </c>
      <c r="I386" t="n">
        <v>0</v>
      </c>
      <c r="J386" t="n">
        <v>0</v>
      </c>
      <c r="K386" t="n">
        <v>0</v>
      </c>
      <c r="L386" t="n">
        <v>0</v>
      </c>
      <c r="M386" t="n">
        <v>0</v>
      </c>
      <c r="N386" t="n">
        <v>0</v>
      </c>
      <c r="O386" t="n">
        <v>0</v>
      </c>
      <c r="P386" t="n">
        <v>0</v>
      </c>
      <c r="Q386" t="n">
        <v>0</v>
      </c>
      <c r="R386" s="2" t="inlineStr"/>
    </row>
    <row r="387" ht="15" customHeight="1">
      <c r="A387" t="inlineStr">
        <is>
          <t>A 45114-2025</t>
        </is>
      </c>
      <c r="B387" s="1" t="n">
        <v>45919.42387731482</v>
      </c>
      <c r="C387" s="1" t="n">
        <v>46084</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18411-2021</t>
        </is>
      </c>
      <c r="B388" s="1" t="n">
        <v>44302</v>
      </c>
      <c r="C388" s="1" t="n">
        <v>46084</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30293-2025</t>
        </is>
      </c>
      <c r="B389" s="1" t="n">
        <v>45827</v>
      </c>
      <c r="C389" s="1" t="n">
        <v>46084</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30290-2025</t>
        </is>
      </c>
      <c r="B390" s="1" t="n">
        <v>45827</v>
      </c>
      <c r="C390" s="1" t="n">
        <v>46084</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47855-2024</t>
        </is>
      </c>
      <c r="B391" s="1" t="n">
        <v>45588.66457175926</v>
      </c>
      <c r="C391" s="1" t="n">
        <v>46084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45319-2025</t>
        </is>
      </c>
      <c r="B392" s="1" t="n">
        <v>45921.95611111111</v>
      </c>
      <c r="C392" s="1" t="n">
        <v>46084</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57256-2023</t>
        </is>
      </c>
      <c r="B393" s="1" t="n">
        <v>45245.5735300926</v>
      </c>
      <c r="C393" s="1" t="n">
        <v>46084</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30850-2025</t>
        </is>
      </c>
      <c r="B394" s="1" t="n">
        <v>45831</v>
      </c>
      <c r="C394" s="1" t="n">
        <v>46084</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17482-2024</t>
        </is>
      </c>
      <c r="B395" s="1" t="n">
        <v>45415.47848379629</v>
      </c>
      <c r="C395" s="1" t="n">
        <v>46084</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172-2022</t>
        </is>
      </c>
      <c r="B396" s="1" t="n">
        <v>44564.62598379629</v>
      </c>
      <c r="C396" s="1" t="n">
        <v>46084</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45320-2025</t>
        </is>
      </c>
      <c r="B397" s="1" t="n">
        <v>45921.96395833333</v>
      </c>
      <c r="C397" s="1" t="n">
        <v>46084</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39584-2024</t>
        </is>
      </c>
      <c r="B398" s="1" t="n">
        <v>45552.36759259259</v>
      </c>
      <c r="C398" s="1" t="n">
        <v>46084</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46118-2025</t>
        </is>
      </c>
      <c r="B399" s="1" t="n">
        <v>45924.57697916667</v>
      </c>
      <c r="C399" s="1" t="n">
        <v>46084</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55123-2024</t>
        </is>
      </c>
      <c r="B400" s="1" t="n">
        <v>45621.46103009259</v>
      </c>
      <c r="C400" s="1" t="n">
        <v>46084</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46365-2025</t>
        </is>
      </c>
      <c r="B401" s="1" t="n">
        <v>45925.50075231482</v>
      </c>
      <c r="C401" s="1" t="n">
        <v>46084</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31552-2025</t>
        </is>
      </c>
      <c r="B402" s="1" t="n">
        <v>45833.64563657407</v>
      </c>
      <c r="C402" s="1" t="n">
        <v>46084</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31555-2025</t>
        </is>
      </c>
      <c r="B403" s="1" t="n">
        <v>45833.64814814815</v>
      </c>
      <c r="C403" s="1" t="n">
        <v>46084</v>
      </c>
      <c r="D403" t="inlineStr">
        <is>
          <t>KALMAR LÄN</t>
        </is>
      </c>
      <c r="E403" t="inlineStr">
        <is>
          <t>VIMMERBY</t>
        </is>
      </c>
      <c r="G403" t="n">
        <v>1.8</v>
      </c>
      <c r="H403" t="n">
        <v>0</v>
      </c>
      <c r="I403" t="n">
        <v>0</v>
      </c>
      <c r="J403" t="n">
        <v>0</v>
      </c>
      <c r="K403" t="n">
        <v>0</v>
      </c>
      <c r="L403" t="n">
        <v>0</v>
      </c>
      <c r="M403" t="n">
        <v>0</v>
      </c>
      <c r="N403" t="n">
        <v>0</v>
      </c>
      <c r="O403" t="n">
        <v>0</v>
      </c>
      <c r="P403" t="n">
        <v>0</v>
      </c>
      <c r="Q403" t="n">
        <v>0</v>
      </c>
      <c r="R403" s="2" t="inlineStr"/>
    </row>
    <row r="404" ht="15" customHeight="1">
      <c r="A404" t="inlineStr">
        <is>
          <t>A 51881-2024</t>
        </is>
      </c>
      <c r="B404" s="1" t="n">
        <v>45607.56773148148</v>
      </c>
      <c r="C404" s="1" t="n">
        <v>46084</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46361-2025</t>
        </is>
      </c>
      <c r="B405" s="1" t="n">
        <v>45925.49670138889</v>
      </c>
      <c r="C405" s="1" t="n">
        <v>46084</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49313-2022</t>
        </is>
      </c>
      <c r="B406" s="1" t="n">
        <v>44861.52505787037</v>
      </c>
      <c r="C406" s="1" t="n">
        <v>46084</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30971-2025</t>
        </is>
      </c>
      <c r="B407" s="1" t="n">
        <v>45832.46146990741</v>
      </c>
      <c r="C407" s="1" t="n">
        <v>46084</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1987-2024</t>
        </is>
      </c>
      <c r="B408" s="1" t="n">
        <v>45308.61152777778</v>
      </c>
      <c r="C408" s="1" t="n">
        <v>46084</v>
      </c>
      <c r="D408" t="inlineStr">
        <is>
          <t>KALMAR LÄN</t>
        </is>
      </c>
      <c r="E408" t="inlineStr">
        <is>
          <t>VIMMERBY</t>
        </is>
      </c>
      <c r="G408" t="n">
        <v>3</v>
      </c>
      <c r="H408" t="n">
        <v>0</v>
      </c>
      <c r="I408" t="n">
        <v>0</v>
      </c>
      <c r="J408" t="n">
        <v>0</v>
      </c>
      <c r="K408" t="n">
        <v>0</v>
      </c>
      <c r="L408" t="n">
        <v>0</v>
      </c>
      <c r="M408" t="n">
        <v>0</v>
      </c>
      <c r="N408" t="n">
        <v>0</v>
      </c>
      <c r="O408" t="n">
        <v>0</v>
      </c>
      <c r="P408" t="n">
        <v>0</v>
      </c>
      <c r="Q408" t="n">
        <v>0</v>
      </c>
      <c r="R408" s="2" t="inlineStr"/>
    </row>
    <row r="409" ht="15" customHeight="1">
      <c r="A409" t="inlineStr">
        <is>
          <t>A 31551-2025</t>
        </is>
      </c>
      <c r="B409" s="1" t="n">
        <v>45833.64237268519</v>
      </c>
      <c r="C409" s="1" t="n">
        <v>46084</v>
      </c>
      <c r="D409" t="inlineStr">
        <is>
          <t>KALMAR LÄN</t>
        </is>
      </c>
      <c r="E409" t="inlineStr">
        <is>
          <t>VIMMERBY</t>
        </is>
      </c>
      <c r="G409" t="n">
        <v>1.9</v>
      </c>
      <c r="H409" t="n">
        <v>0</v>
      </c>
      <c r="I409" t="n">
        <v>0</v>
      </c>
      <c r="J409" t="n">
        <v>0</v>
      </c>
      <c r="K409" t="n">
        <v>0</v>
      </c>
      <c r="L409" t="n">
        <v>0</v>
      </c>
      <c r="M409" t="n">
        <v>0</v>
      </c>
      <c r="N409" t="n">
        <v>0</v>
      </c>
      <c r="O409" t="n">
        <v>0</v>
      </c>
      <c r="P409" t="n">
        <v>0</v>
      </c>
      <c r="Q409" t="n">
        <v>0</v>
      </c>
      <c r="R409" s="2" t="inlineStr"/>
    </row>
    <row r="410" ht="15" customHeight="1">
      <c r="A410" t="inlineStr">
        <is>
          <t>A 30882-2025</t>
        </is>
      </c>
      <c r="B410" s="1" t="n">
        <v>45832.34540509259</v>
      </c>
      <c r="C410" s="1" t="n">
        <v>46084</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21507-2023</t>
        </is>
      </c>
      <c r="B411" s="1" t="n">
        <v>45063.508125</v>
      </c>
      <c r="C411" s="1" t="n">
        <v>46084</v>
      </c>
      <c r="D411" t="inlineStr">
        <is>
          <t>KALMAR LÄN</t>
        </is>
      </c>
      <c r="E411" t="inlineStr">
        <is>
          <t>VIMMERBY</t>
        </is>
      </c>
      <c r="G411" t="n">
        <v>2.8</v>
      </c>
      <c r="H411" t="n">
        <v>0</v>
      </c>
      <c r="I411" t="n">
        <v>0</v>
      </c>
      <c r="J411" t="n">
        <v>0</v>
      </c>
      <c r="K411" t="n">
        <v>0</v>
      </c>
      <c r="L411" t="n">
        <v>0</v>
      </c>
      <c r="M411" t="n">
        <v>0</v>
      </c>
      <c r="N411" t="n">
        <v>0</v>
      </c>
      <c r="O411" t="n">
        <v>0</v>
      </c>
      <c r="P411" t="n">
        <v>0</v>
      </c>
      <c r="Q411" t="n">
        <v>0</v>
      </c>
      <c r="R411" s="2" t="inlineStr"/>
    </row>
    <row r="412" ht="15" customHeight="1">
      <c r="A412" t="inlineStr">
        <is>
          <t>A 2596-2025</t>
        </is>
      </c>
      <c r="B412" s="1" t="n">
        <v>45674.71810185185</v>
      </c>
      <c r="C412" s="1" t="n">
        <v>46084</v>
      </c>
      <c r="D412" t="inlineStr">
        <is>
          <t>KALMAR LÄN</t>
        </is>
      </c>
      <c r="E412" t="inlineStr">
        <is>
          <t>VIMMERBY</t>
        </is>
      </c>
      <c r="G412" t="n">
        <v>9</v>
      </c>
      <c r="H412" t="n">
        <v>0</v>
      </c>
      <c r="I412" t="n">
        <v>0</v>
      </c>
      <c r="J412" t="n">
        <v>0</v>
      </c>
      <c r="K412" t="n">
        <v>0</v>
      </c>
      <c r="L412" t="n">
        <v>0</v>
      </c>
      <c r="M412" t="n">
        <v>0</v>
      </c>
      <c r="N412" t="n">
        <v>0</v>
      </c>
      <c r="O412" t="n">
        <v>0</v>
      </c>
      <c r="P412" t="n">
        <v>0</v>
      </c>
      <c r="Q412" t="n">
        <v>0</v>
      </c>
      <c r="R412" s="2" t="inlineStr"/>
    </row>
    <row r="413" ht="15" customHeight="1">
      <c r="A413" t="inlineStr">
        <is>
          <t>A 57189-2022</t>
        </is>
      </c>
      <c r="B413" s="1" t="n">
        <v>44895.62296296296</v>
      </c>
      <c r="C413" s="1" t="n">
        <v>46084</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48673-2021</t>
        </is>
      </c>
      <c r="B414" s="1" t="n">
        <v>44452</v>
      </c>
      <c r="C414" s="1" t="n">
        <v>46084</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31872-2025</t>
        </is>
      </c>
      <c r="B415" s="1" t="n">
        <v>45834.65040509259</v>
      </c>
      <c r="C415" s="1" t="n">
        <v>46084</v>
      </c>
      <c r="D415" t="inlineStr">
        <is>
          <t>KALMAR LÄN</t>
        </is>
      </c>
      <c r="E415" t="inlineStr">
        <is>
          <t>VIMMERBY</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14248-2023</t>
        </is>
      </c>
      <c r="B416" s="1" t="n">
        <v>45009</v>
      </c>
      <c r="C416" s="1" t="n">
        <v>46084</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12480-2024</t>
        </is>
      </c>
      <c r="B417" s="1" t="n">
        <v>45379</v>
      </c>
      <c r="C417" s="1" t="n">
        <v>46084</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8559-2025</t>
        </is>
      </c>
      <c r="B418" s="1" t="n">
        <v>45709.62280092593</v>
      </c>
      <c r="C418" s="1" t="n">
        <v>46084</v>
      </c>
      <c r="D418" t="inlineStr">
        <is>
          <t>KALMAR LÄN</t>
        </is>
      </c>
      <c r="E418" t="inlineStr">
        <is>
          <t>VIMMERBY</t>
        </is>
      </c>
      <c r="G418" t="n">
        <v>8.9</v>
      </c>
      <c r="H418" t="n">
        <v>0</v>
      </c>
      <c r="I418" t="n">
        <v>0</v>
      </c>
      <c r="J418" t="n">
        <v>0</v>
      </c>
      <c r="K418" t="n">
        <v>0</v>
      </c>
      <c r="L418" t="n">
        <v>0</v>
      </c>
      <c r="M418" t="n">
        <v>0</v>
      </c>
      <c r="N418" t="n">
        <v>0</v>
      </c>
      <c r="O418" t="n">
        <v>0</v>
      </c>
      <c r="P418" t="n">
        <v>0</v>
      </c>
      <c r="Q418" t="n">
        <v>0</v>
      </c>
      <c r="R418" s="2" t="inlineStr"/>
    </row>
    <row r="419" ht="15" customHeight="1">
      <c r="A419" t="inlineStr">
        <is>
          <t>A 46887-2025</t>
        </is>
      </c>
      <c r="B419" s="1" t="n">
        <v>45929.3672337963</v>
      </c>
      <c r="C419" s="1" t="n">
        <v>46084</v>
      </c>
      <c r="D419" t="inlineStr">
        <is>
          <t>KALMAR LÄN</t>
        </is>
      </c>
      <c r="E419" t="inlineStr">
        <is>
          <t>VIMMERBY</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32064-2025</t>
        </is>
      </c>
      <c r="B420" s="1" t="n">
        <v>45835.44709490741</v>
      </c>
      <c r="C420" s="1" t="n">
        <v>46084</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45856-2025</t>
        </is>
      </c>
      <c r="B421" s="1" t="n">
        <v>45923</v>
      </c>
      <c r="C421" s="1" t="n">
        <v>46084</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32109-2025</t>
        </is>
      </c>
      <c r="B422" s="1" t="n">
        <v>45835.48267361111</v>
      </c>
      <c r="C422" s="1" t="n">
        <v>46084</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32113-2025</t>
        </is>
      </c>
      <c r="B423" s="1" t="n">
        <v>45835.48445601852</v>
      </c>
      <c r="C423" s="1" t="n">
        <v>46084</v>
      </c>
      <c r="D423" t="inlineStr">
        <is>
          <t>KALMAR LÄN</t>
        </is>
      </c>
      <c r="E423" t="inlineStr">
        <is>
          <t>VIMMERBY</t>
        </is>
      </c>
      <c r="G423" t="n">
        <v>3.5</v>
      </c>
      <c r="H423" t="n">
        <v>0</v>
      </c>
      <c r="I423" t="n">
        <v>0</v>
      </c>
      <c r="J423" t="n">
        <v>0</v>
      </c>
      <c r="K423" t="n">
        <v>0</v>
      </c>
      <c r="L423" t="n">
        <v>0</v>
      </c>
      <c r="M423" t="n">
        <v>0</v>
      </c>
      <c r="N423" t="n">
        <v>0</v>
      </c>
      <c r="O423" t="n">
        <v>0</v>
      </c>
      <c r="P423" t="n">
        <v>0</v>
      </c>
      <c r="Q423" t="n">
        <v>0</v>
      </c>
      <c r="R423" s="2" t="inlineStr"/>
    </row>
    <row r="424" ht="15" customHeight="1">
      <c r="A424" t="inlineStr">
        <is>
          <t>A 32116-2025</t>
        </is>
      </c>
      <c r="B424" s="1" t="n">
        <v>45835.48862268519</v>
      </c>
      <c r="C424" s="1" t="n">
        <v>46084</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31870-2025</t>
        </is>
      </c>
      <c r="B425" s="1" t="n">
        <v>45834.64667824074</v>
      </c>
      <c r="C425" s="1" t="n">
        <v>46084</v>
      </c>
      <c r="D425" t="inlineStr">
        <is>
          <t>KALMAR LÄN</t>
        </is>
      </c>
      <c r="E425" t="inlineStr">
        <is>
          <t>VIMMERBY</t>
        </is>
      </c>
      <c r="F425" t="inlineStr">
        <is>
          <t>Sveaskog</t>
        </is>
      </c>
      <c r="G425" t="n">
        <v>3.5</v>
      </c>
      <c r="H425" t="n">
        <v>0</v>
      </c>
      <c r="I425" t="n">
        <v>0</v>
      </c>
      <c r="J425" t="n">
        <v>0</v>
      </c>
      <c r="K425" t="n">
        <v>0</v>
      </c>
      <c r="L425" t="n">
        <v>0</v>
      </c>
      <c r="M425" t="n">
        <v>0</v>
      </c>
      <c r="N425" t="n">
        <v>0</v>
      </c>
      <c r="O425" t="n">
        <v>0</v>
      </c>
      <c r="P425" t="n">
        <v>0</v>
      </c>
      <c r="Q425" t="n">
        <v>0</v>
      </c>
      <c r="R425" s="2" t="inlineStr"/>
    </row>
    <row r="426" ht="15" customHeight="1">
      <c r="A426" t="inlineStr">
        <is>
          <t>A 32065-2025</t>
        </is>
      </c>
      <c r="B426" s="1" t="n">
        <v>45835.44732638889</v>
      </c>
      <c r="C426" s="1" t="n">
        <v>46084</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31987-2025</t>
        </is>
      </c>
      <c r="B427" s="1" t="n">
        <v>45835.36229166666</v>
      </c>
      <c r="C427" s="1" t="n">
        <v>46084</v>
      </c>
      <c r="D427" t="inlineStr">
        <is>
          <t>KALMAR LÄN</t>
        </is>
      </c>
      <c r="E427" t="inlineStr">
        <is>
          <t>VIMMERBY</t>
        </is>
      </c>
      <c r="F427" t="inlineStr">
        <is>
          <t>Kyrkan</t>
        </is>
      </c>
      <c r="G427" t="n">
        <v>1.2</v>
      </c>
      <c r="H427" t="n">
        <v>0</v>
      </c>
      <c r="I427" t="n">
        <v>0</v>
      </c>
      <c r="J427" t="n">
        <v>0</v>
      </c>
      <c r="K427" t="n">
        <v>0</v>
      </c>
      <c r="L427" t="n">
        <v>0</v>
      </c>
      <c r="M427" t="n">
        <v>0</v>
      </c>
      <c r="N427" t="n">
        <v>0</v>
      </c>
      <c r="O427" t="n">
        <v>0</v>
      </c>
      <c r="P427" t="n">
        <v>0</v>
      </c>
      <c r="Q427" t="n">
        <v>0</v>
      </c>
      <c r="R427" s="2" t="inlineStr"/>
    </row>
    <row r="428" ht="15" customHeight="1">
      <c r="A428" t="inlineStr">
        <is>
          <t>A 32077-2025</t>
        </is>
      </c>
      <c r="B428" s="1" t="n">
        <v>45835.45099537037</v>
      </c>
      <c r="C428" s="1" t="n">
        <v>46084</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32120-2025</t>
        </is>
      </c>
      <c r="B429" s="1" t="n">
        <v>45835.4924537037</v>
      </c>
      <c r="C429" s="1" t="n">
        <v>46084</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31876-2025</t>
        </is>
      </c>
      <c r="B430" s="1" t="n">
        <v>45834.65197916667</v>
      </c>
      <c r="C430" s="1" t="n">
        <v>46084</v>
      </c>
      <c r="D430" t="inlineStr">
        <is>
          <t>KALMAR LÄN</t>
        </is>
      </c>
      <c r="E430" t="inlineStr">
        <is>
          <t>VIMMERBY</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45854-2025</t>
        </is>
      </c>
      <c r="B431" s="1" t="n">
        <v>45923</v>
      </c>
      <c r="C431" s="1" t="n">
        <v>46084</v>
      </c>
      <c r="D431" t="inlineStr">
        <is>
          <t>KALMAR LÄN</t>
        </is>
      </c>
      <c r="E431" t="inlineStr">
        <is>
          <t>VIMMERBY</t>
        </is>
      </c>
      <c r="G431" t="n">
        <v>2.2</v>
      </c>
      <c r="H431" t="n">
        <v>0</v>
      </c>
      <c r="I431" t="n">
        <v>0</v>
      </c>
      <c r="J431" t="n">
        <v>0</v>
      </c>
      <c r="K431" t="n">
        <v>0</v>
      </c>
      <c r="L431" t="n">
        <v>0</v>
      </c>
      <c r="M431" t="n">
        <v>0</v>
      </c>
      <c r="N431" t="n">
        <v>0</v>
      </c>
      <c r="O431" t="n">
        <v>0</v>
      </c>
      <c r="P431" t="n">
        <v>0</v>
      </c>
      <c r="Q431" t="n">
        <v>0</v>
      </c>
      <c r="R431" s="2" t="inlineStr"/>
    </row>
    <row r="432" ht="15" customHeight="1">
      <c r="A432" t="inlineStr">
        <is>
          <t>A 45855-2025</t>
        </is>
      </c>
      <c r="B432" s="1" t="n">
        <v>45923</v>
      </c>
      <c r="C432" s="1" t="n">
        <v>46084</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16734-2023</t>
        </is>
      </c>
      <c r="B433" s="1" t="n">
        <v>45030.71012731481</v>
      </c>
      <c r="C433" s="1" t="n">
        <v>46084</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40095-2022</t>
        </is>
      </c>
      <c r="B434" s="1" t="n">
        <v>44820</v>
      </c>
      <c r="C434" s="1" t="n">
        <v>46084</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50085-2023</t>
        </is>
      </c>
      <c r="B435" s="1" t="n">
        <v>45215.5959375</v>
      </c>
      <c r="C435" s="1" t="n">
        <v>46084</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50087-2023</t>
        </is>
      </c>
      <c r="B436" s="1" t="n">
        <v>45215.59743055556</v>
      </c>
      <c r="C436" s="1" t="n">
        <v>46084</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8167-2024</t>
        </is>
      </c>
      <c r="B437" s="1" t="n">
        <v>45351.6062962963</v>
      </c>
      <c r="C437" s="1" t="n">
        <v>46084</v>
      </c>
      <c r="D437" t="inlineStr">
        <is>
          <t>KALMAR LÄN</t>
        </is>
      </c>
      <c r="E437" t="inlineStr">
        <is>
          <t>VIMMERBY</t>
        </is>
      </c>
      <c r="G437" t="n">
        <v>3.8</v>
      </c>
      <c r="H437" t="n">
        <v>0</v>
      </c>
      <c r="I437" t="n">
        <v>0</v>
      </c>
      <c r="J437" t="n">
        <v>0</v>
      </c>
      <c r="K437" t="n">
        <v>0</v>
      </c>
      <c r="L437" t="n">
        <v>0</v>
      </c>
      <c r="M437" t="n">
        <v>0</v>
      </c>
      <c r="N437" t="n">
        <v>0</v>
      </c>
      <c r="O437" t="n">
        <v>0</v>
      </c>
      <c r="P437" t="n">
        <v>0</v>
      </c>
      <c r="Q437" t="n">
        <v>0</v>
      </c>
      <c r="R437" s="2" t="inlineStr"/>
    </row>
    <row r="438" ht="15" customHeight="1">
      <c r="A438" t="inlineStr">
        <is>
          <t>A 47227-2025</t>
        </is>
      </c>
      <c r="B438" s="1" t="n">
        <v>45930.39769675926</v>
      </c>
      <c r="C438" s="1" t="n">
        <v>46084</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2604-2025</t>
        </is>
      </c>
      <c r="B439" s="1" t="n">
        <v>45674.74094907408</v>
      </c>
      <c r="C439" s="1" t="n">
        <v>46084</v>
      </c>
      <c r="D439" t="inlineStr">
        <is>
          <t>KALMAR LÄN</t>
        </is>
      </c>
      <c r="E439" t="inlineStr">
        <is>
          <t>VIMMERBY</t>
        </is>
      </c>
      <c r="G439" t="n">
        <v>7.6</v>
      </c>
      <c r="H439" t="n">
        <v>0</v>
      </c>
      <c r="I439" t="n">
        <v>0</v>
      </c>
      <c r="J439" t="n">
        <v>0</v>
      </c>
      <c r="K439" t="n">
        <v>0</v>
      </c>
      <c r="L439" t="n">
        <v>0</v>
      </c>
      <c r="M439" t="n">
        <v>0</v>
      </c>
      <c r="N439" t="n">
        <v>0</v>
      </c>
      <c r="O439" t="n">
        <v>0</v>
      </c>
      <c r="P439" t="n">
        <v>0</v>
      </c>
      <c r="Q439" t="n">
        <v>0</v>
      </c>
      <c r="R439" s="2" t="inlineStr"/>
    </row>
    <row r="440" ht="15" customHeight="1">
      <c r="A440" t="inlineStr">
        <is>
          <t>A 32380-2025</t>
        </is>
      </c>
      <c r="B440" s="1" t="n">
        <v>45837.77701388889</v>
      </c>
      <c r="C440" s="1" t="n">
        <v>46084</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33186-2025</t>
        </is>
      </c>
      <c r="B441" s="1" t="n">
        <v>45840.59474537037</v>
      </c>
      <c r="C441" s="1" t="n">
        <v>46084</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33695-2025</t>
        </is>
      </c>
      <c r="B442" s="1" t="n">
        <v>45841.70569444444</v>
      </c>
      <c r="C442" s="1" t="n">
        <v>46084</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33698-2025</t>
        </is>
      </c>
      <c r="B443" s="1" t="n">
        <v>45841.70868055556</v>
      </c>
      <c r="C443" s="1" t="n">
        <v>46084</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48299-2025</t>
        </is>
      </c>
      <c r="B444" s="1" t="n">
        <v>45933.60982638889</v>
      </c>
      <c r="C444" s="1" t="n">
        <v>46084</v>
      </c>
      <c r="D444" t="inlineStr">
        <is>
          <t>KALMAR LÄN</t>
        </is>
      </c>
      <c r="E444" t="inlineStr">
        <is>
          <t>VIMMERBY</t>
        </is>
      </c>
      <c r="G444" t="n">
        <v>1.8</v>
      </c>
      <c r="H444" t="n">
        <v>0</v>
      </c>
      <c r="I444" t="n">
        <v>0</v>
      </c>
      <c r="J444" t="n">
        <v>0</v>
      </c>
      <c r="K444" t="n">
        <v>0</v>
      </c>
      <c r="L444" t="n">
        <v>0</v>
      </c>
      <c r="M444" t="n">
        <v>0</v>
      </c>
      <c r="N444" t="n">
        <v>0</v>
      </c>
      <c r="O444" t="n">
        <v>0</v>
      </c>
      <c r="P444" t="n">
        <v>0</v>
      </c>
      <c r="Q444" t="n">
        <v>0</v>
      </c>
      <c r="R444" s="2" t="inlineStr"/>
    </row>
    <row r="445" ht="15" customHeight="1">
      <c r="A445" t="inlineStr">
        <is>
          <t>A 30977-2025</t>
        </is>
      </c>
      <c r="B445" s="1" t="n">
        <v>45832.46649305556</v>
      </c>
      <c r="C445" s="1" t="n">
        <v>46084</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37192-2024</t>
        </is>
      </c>
      <c r="B446" s="1" t="n">
        <v>45539.66027777778</v>
      </c>
      <c r="C446" s="1" t="n">
        <v>46084</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33696-2025</t>
        </is>
      </c>
      <c r="B447" s="1" t="n">
        <v>45841.7072337963</v>
      </c>
      <c r="C447" s="1" t="n">
        <v>46084</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47965-2025</t>
        </is>
      </c>
      <c r="B448" s="1" t="n">
        <v>45932.59597222223</v>
      </c>
      <c r="C448" s="1" t="n">
        <v>46084</v>
      </c>
      <c r="D448" t="inlineStr">
        <is>
          <t>KALMAR LÄN</t>
        </is>
      </c>
      <c r="E448" t="inlineStr">
        <is>
          <t>VIMMERBY</t>
        </is>
      </c>
      <c r="G448" t="n">
        <v>2.2</v>
      </c>
      <c r="H448" t="n">
        <v>0</v>
      </c>
      <c r="I448" t="n">
        <v>0</v>
      </c>
      <c r="J448" t="n">
        <v>0</v>
      </c>
      <c r="K448" t="n">
        <v>0</v>
      </c>
      <c r="L448" t="n">
        <v>0</v>
      </c>
      <c r="M448" t="n">
        <v>0</v>
      </c>
      <c r="N448" t="n">
        <v>0</v>
      </c>
      <c r="O448" t="n">
        <v>0</v>
      </c>
      <c r="P448" t="n">
        <v>0</v>
      </c>
      <c r="Q448" t="n">
        <v>0</v>
      </c>
      <c r="R448" s="2" t="inlineStr"/>
    </row>
    <row r="449" ht="15" customHeight="1">
      <c r="A449" t="inlineStr">
        <is>
          <t>A 42429-2024</t>
        </is>
      </c>
      <c r="B449" s="1" t="n">
        <v>45565.40657407408</v>
      </c>
      <c r="C449" s="1" t="n">
        <v>46084</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20129-2024</t>
        </is>
      </c>
      <c r="B450" s="1" t="n">
        <v>45434.55831018519</v>
      </c>
      <c r="C450" s="1" t="n">
        <v>46084</v>
      </c>
      <c r="D450" t="inlineStr">
        <is>
          <t>KALMAR LÄN</t>
        </is>
      </c>
      <c r="E450" t="inlineStr">
        <is>
          <t>VIMMERBY</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20137-2024</t>
        </is>
      </c>
      <c r="B451" s="1" t="n">
        <v>45434.56398148148</v>
      </c>
      <c r="C451" s="1" t="n">
        <v>46084</v>
      </c>
      <c r="D451" t="inlineStr">
        <is>
          <t>KALMAR LÄN</t>
        </is>
      </c>
      <c r="E451" t="inlineStr">
        <is>
          <t>VIMMERBY</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29180-2024</t>
        </is>
      </c>
      <c r="B452" s="1" t="n">
        <v>45482.54108796296</v>
      </c>
      <c r="C452" s="1" t="n">
        <v>46084</v>
      </c>
      <c r="D452" t="inlineStr">
        <is>
          <t>KALMAR LÄN</t>
        </is>
      </c>
      <c r="E452" t="inlineStr">
        <is>
          <t>VIMMERBY</t>
        </is>
      </c>
      <c r="G452" t="n">
        <v>3.8</v>
      </c>
      <c r="H452" t="n">
        <v>0</v>
      </c>
      <c r="I452" t="n">
        <v>0</v>
      </c>
      <c r="J452" t="n">
        <v>0</v>
      </c>
      <c r="K452" t="n">
        <v>0</v>
      </c>
      <c r="L452" t="n">
        <v>0</v>
      </c>
      <c r="M452" t="n">
        <v>0</v>
      </c>
      <c r="N452" t="n">
        <v>0</v>
      </c>
      <c r="O452" t="n">
        <v>0</v>
      </c>
      <c r="P452" t="n">
        <v>0</v>
      </c>
      <c r="Q452" t="n">
        <v>0</v>
      </c>
      <c r="R452" s="2" t="inlineStr"/>
    </row>
    <row r="453" ht="15" customHeight="1">
      <c r="A453" t="inlineStr">
        <is>
          <t>A 7456-2024</t>
        </is>
      </c>
      <c r="B453" s="1" t="n">
        <v>45345.83557870371</v>
      </c>
      <c r="C453" s="1" t="n">
        <v>46084</v>
      </c>
      <c r="D453" t="inlineStr">
        <is>
          <t>KALMAR LÄN</t>
        </is>
      </c>
      <c r="E453" t="inlineStr">
        <is>
          <t>VIMMERBY</t>
        </is>
      </c>
      <c r="G453" t="n">
        <v>4.1</v>
      </c>
      <c r="H453" t="n">
        <v>0</v>
      </c>
      <c r="I453" t="n">
        <v>0</v>
      </c>
      <c r="J453" t="n">
        <v>0</v>
      </c>
      <c r="K453" t="n">
        <v>0</v>
      </c>
      <c r="L453" t="n">
        <v>0</v>
      </c>
      <c r="M453" t="n">
        <v>0</v>
      </c>
      <c r="N453" t="n">
        <v>0</v>
      </c>
      <c r="O453" t="n">
        <v>0</v>
      </c>
      <c r="P453" t="n">
        <v>0</v>
      </c>
      <c r="Q453" t="n">
        <v>0</v>
      </c>
      <c r="R453" s="2" t="inlineStr"/>
    </row>
    <row r="454" ht="15" customHeight="1">
      <c r="A454" t="inlineStr">
        <is>
          <t>A 26956-2025</t>
        </is>
      </c>
      <c r="B454" s="1" t="n">
        <v>45811.45460648148</v>
      </c>
      <c r="C454" s="1" t="n">
        <v>46084</v>
      </c>
      <c r="D454" t="inlineStr">
        <is>
          <t>KALMAR LÄN</t>
        </is>
      </c>
      <c r="E454" t="inlineStr">
        <is>
          <t>VIMMERBY</t>
        </is>
      </c>
      <c r="G454" t="n">
        <v>1.1</v>
      </c>
      <c r="H454" t="n">
        <v>0</v>
      </c>
      <c r="I454" t="n">
        <v>0</v>
      </c>
      <c r="J454" t="n">
        <v>0</v>
      </c>
      <c r="K454" t="n">
        <v>0</v>
      </c>
      <c r="L454" t="n">
        <v>0</v>
      </c>
      <c r="M454" t="n">
        <v>0</v>
      </c>
      <c r="N454" t="n">
        <v>0</v>
      </c>
      <c r="O454" t="n">
        <v>0</v>
      </c>
      <c r="P454" t="n">
        <v>0</v>
      </c>
      <c r="Q454" t="n">
        <v>0</v>
      </c>
      <c r="R454" s="2" t="inlineStr"/>
    </row>
    <row r="455" ht="15" customHeight="1">
      <c r="A455" t="inlineStr">
        <is>
          <t>A 47955-2025</t>
        </is>
      </c>
      <c r="B455" s="1" t="n">
        <v>45932.58896990741</v>
      </c>
      <c r="C455" s="1" t="n">
        <v>46084</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45846-2023</t>
        </is>
      </c>
      <c r="B456" s="1" t="n">
        <v>45195.58452546296</v>
      </c>
      <c r="C456" s="1" t="n">
        <v>46084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48723-2025</t>
        </is>
      </c>
      <c r="B457" s="1" t="n">
        <v>45936.65121527778</v>
      </c>
      <c r="C457" s="1" t="n">
        <v>46084</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16020-2023</t>
        </is>
      </c>
      <c r="B458" s="1" t="n">
        <v>45026.82216435186</v>
      </c>
      <c r="C458" s="1" t="n">
        <v>46084</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48712-2025</t>
        </is>
      </c>
      <c r="B459" s="1" t="n">
        <v>45936.63373842592</v>
      </c>
      <c r="C459" s="1" t="n">
        <v>46084</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48408-2025</t>
        </is>
      </c>
      <c r="B460" s="1" t="n">
        <v>45934.40527777778</v>
      </c>
      <c r="C460" s="1" t="n">
        <v>46084</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61820-2023</t>
        </is>
      </c>
      <c r="B461" s="1" t="n">
        <v>45266.32614583334</v>
      </c>
      <c r="C461" s="1" t="n">
        <v>46084</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48409-2025</t>
        </is>
      </c>
      <c r="B462" s="1" t="n">
        <v>45934.41387731482</v>
      </c>
      <c r="C462" s="1" t="n">
        <v>46084</v>
      </c>
      <c r="D462" t="inlineStr">
        <is>
          <t>KALMAR LÄN</t>
        </is>
      </c>
      <c r="E462" t="inlineStr">
        <is>
          <t>VIMMERBY</t>
        </is>
      </c>
      <c r="G462" t="n">
        <v>1.2</v>
      </c>
      <c r="H462" t="n">
        <v>0</v>
      </c>
      <c r="I462" t="n">
        <v>0</v>
      </c>
      <c r="J462" t="n">
        <v>0</v>
      </c>
      <c r="K462" t="n">
        <v>0</v>
      </c>
      <c r="L462" t="n">
        <v>0</v>
      </c>
      <c r="M462" t="n">
        <v>0</v>
      </c>
      <c r="N462" t="n">
        <v>0</v>
      </c>
      <c r="O462" t="n">
        <v>0</v>
      </c>
      <c r="P462" t="n">
        <v>0</v>
      </c>
      <c r="Q462" t="n">
        <v>0</v>
      </c>
      <c r="R462" s="2" t="inlineStr"/>
    </row>
    <row r="463" ht="15" customHeight="1">
      <c r="A463" t="inlineStr">
        <is>
          <t>A 48600-2025</t>
        </is>
      </c>
      <c r="B463" s="1" t="n">
        <v>45935</v>
      </c>
      <c r="C463" s="1" t="n">
        <v>46084</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34071-2025</t>
        </is>
      </c>
      <c r="B464" s="1" t="n">
        <v>45845.43803240741</v>
      </c>
      <c r="C464" s="1" t="n">
        <v>46084</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34106-2025</t>
        </is>
      </c>
      <c r="B465" s="1" t="n">
        <v>45845.49414351852</v>
      </c>
      <c r="C465" s="1" t="n">
        <v>46084</v>
      </c>
      <c r="D465" t="inlineStr">
        <is>
          <t>KALMAR LÄN</t>
        </is>
      </c>
      <c r="E465" t="inlineStr">
        <is>
          <t>VIMMERBY</t>
        </is>
      </c>
      <c r="G465" t="n">
        <v>6</v>
      </c>
      <c r="H465" t="n">
        <v>0</v>
      </c>
      <c r="I465" t="n">
        <v>0</v>
      </c>
      <c r="J465" t="n">
        <v>0</v>
      </c>
      <c r="K465" t="n">
        <v>0</v>
      </c>
      <c r="L465" t="n">
        <v>0</v>
      </c>
      <c r="M465" t="n">
        <v>0</v>
      </c>
      <c r="N465" t="n">
        <v>0</v>
      </c>
      <c r="O465" t="n">
        <v>0</v>
      </c>
      <c r="P465" t="n">
        <v>0</v>
      </c>
      <c r="Q465" t="n">
        <v>0</v>
      </c>
      <c r="R465" s="2" t="inlineStr"/>
    </row>
    <row r="466" ht="15" customHeight="1">
      <c r="A466" t="inlineStr">
        <is>
          <t>A 28702-2025</t>
        </is>
      </c>
      <c r="B466" s="1" t="n">
        <v>45820.03976851852</v>
      </c>
      <c r="C466" s="1" t="n">
        <v>46084</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45560-2021</t>
        </is>
      </c>
      <c r="B467" s="1" t="n">
        <v>44440</v>
      </c>
      <c r="C467" s="1" t="n">
        <v>46084</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40256-2024</t>
        </is>
      </c>
      <c r="B468" s="1" t="n">
        <v>45554.62944444444</v>
      </c>
      <c r="C468" s="1" t="n">
        <v>46084</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58104-2024</t>
        </is>
      </c>
      <c r="B469" s="1" t="n">
        <v>45632.37459490741</v>
      </c>
      <c r="C469" s="1" t="n">
        <v>46084</v>
      </c>
      <c r="D469" t="inlineStr">
        <is>
          <t>KALMAR LÄN</t>
        </is>
      </c>
      <c r="E469" t="inlineStr">
        <is>
          <t>VIMMERBY</t>
        </is>
      </c>
      <c r="G469" t="n">
        <v>5</v>
      </c>
      <c r="H469" t="n">
        <v>0</v>
      </c>
      <c r="I469" t="n">
        <v>0</v>
      </c>
      <c r="J469" t="n">
        <v>0</v>
      </c>
      <c r="K469" t="n">
        <v>0</v>
      </c>
      <c r="L469" t="n">
        <v>0</v>
      </c>
      <c r="M469" t="n">
        <v>0</v>
      </c>
      <c r="N469" t="n">
        <v>0</v>
      </c>
      <c r="O469" t="n">
        <v>0</v>
      </c>
      <c r="P469" t="n">
        <v>0</v>
      </c>
      <c r="Q469" t="n">
        <v>0</v>
      </c>
      <c r="R469" s="2" t="inlineStr"/>
    </row>
    <row r="470" ht="15" customHeight="1">
      <c r="A470" t="inlineStr">
        <is>
          <t>A 52324-2023</t>
        </is>
      </c>
      <c r="B470" s="1" t="n">
        <v>45224.64659722222</v>
      </c>
      <c r="C470" s="1" t="n">
        <v>46084</v>
      </c>
      <c r="D470" t="inlineStr">
        <is>
          <t>KALMAR LÄN</t>
        </is>
      </c>
      <c r="E470" t="inlineStr">
        <is>
          <t>VIMMERBY</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36259-2022</t>
        </is>
      </c>
      <c r="B471" s="1" t="n">
        <v>44803.59118055556</v>
      </c>
      <c r="C471" s="1" t="n">
        <v>46084</v>
      </c>
      <c r="D471" t="inlineStr">
        <is>
          <t>KALMAR LÄN</t>
        </is>
      </c>
      <c r="E471" t="inlineStr">
        <is>
          <t>VIMMERBY</t>
        </is>
      </c>
      <c r="G471" t="n">
        <v>3.9</v>
      </c>
      <c r="H471" t="n">
        <v>0</v>
      </c>
      <c r="I471" t="n">
        <v>0</v>
      </c>
      <c r="J471" t="n">
        <v>0</v>
      </c>
      <c r="K471" t="n">
        <v>0</v>
      </c>
      <c r="L471" t="n">
        <v>0</v>
      </c>
      <c r="M471" t="n">
        <v>0</v>
      </c>
      <c r="N471" t="n">
        <v>0</v>
      </c>
      <c r="O471" t="n">
        <v>0</v>
      </c>
      <c r="P471" t="n">
        <v>0</v>
      </c>
      <c r="Q471" t="n">
        <v>0</v>
      </c>
      <c r="R471" s="2" t="inlineStr"/>
    </row>
    <row r="472" ht="15" customHeight="1">
      <c r="A472" t="inlineStr">
        <is>
          <t>A 43034-2024</t>
        </is>
      </c>
      <c r="B472" s="1" t="n">
        <v>45567.42011574074</v>
      </c>
      <c r="C472" s="1" t="n">
        <v>46084</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3902-2022</t>
        </is>
      </c>
      <c r="B473" s="1" t="n">
        <v>44587.48847222222</v>
      </c>
      <c r="C473" s="1" t="n">
        <v>46084</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30070-2023</t>
        </is>
      </c>
      <c r="B474" s="1" t="n">
        <v>45110.4275</v>
      </c>
      <c r="C474" s="1" t="n">
        <v>46084</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34628-2025</t>
        </is>
      </c>
      <c r="B475" s="1" t="n">
        <v>45847.91280092593</v>
      </c>
      <c r="C475" s="1" t="n">
        <v>46084</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31209-2024</t>
        </is>
      </c>
      <c r="B476" s="1" t="n">
        <v>45503.5658912037</v>
      </c>
      <c r="C476" s="1" t="n">
        <v>46084</v>
      </c>
      <c r="D476" t="inlineStr">
        <is>
          <t>KALMAR LÄN</t>
        </is>
      </c>
      <c r="E476" t="inlineStr">
        <is>
          <t>VIMMERBY</t>
        </is>
      </c>
      <c r="G476" t="n">
        <v>1.7</v>
      </c>
      <c r="H476" t="n">
        <v>0</v>
      </c>
      <c r="I476" t="n">
        <v>0</v>
      </c>
      <c r="J476" t="n">
        <v>0</v>
      </c>
      <c r="K476" t="n">
        <v>0</v>
      </c>
      <c r="L476" t="n">
        <v>0</v>
      </c>
      <c r="M476" t="n">
        <v>0</v>
      </c>
      <c r="N476" t="n">
        <v>0</v>
      </c>
      <c r="O476" t="n">
        <v>0</v>
      </c>
      <c r="P476" t="n">
        <v>0</v>
      </c>
      <c r="Q476" t="n">
        <v>0</v>
      </c>
      <c r="R476" s="2" t="inlineStr"/>
    </row>
    <row r="477" ht="15" customHeight="1">
      <c r="A477" t="inlineStr">
        <is>
          <t>A 49871-2025</t>
        </is>
      </c>
      <c r="B477" s="1" t="n">
        <v>45940.54104166666</v>
      </c>
      <c r="C477" s="1" t="n">
        <v>46084</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4527-2023</t>
        </is>
      </c>
      <c r="B478" s="1" t="n">
        <v>44956</v>
      </c>
      <c r="C478" s="1" t="n">
        <v>46084</v>
      </c>
      <c r="D478" t="inlineStr">
        <is>
          <t>KALMAR LÄN</t>
        </is>
      </c>
      <c r="E478" t="inlineStr">
        <is>
          <t>VIMMERBY</t>
        </is>
      </c>
      <c r="F478" t="inlineStr">
        <is>
          <t>Kommuner</t>
        </is>
      </c>
      <c r="G478" t="n">
        <v>8.5</v>
      </c>
      <c r="H478" t="n">
        <v>0</v>
      </c>
      <c r="I478" t="n">
        <v>0</v>
      </c>
      <c r="J478" t="n">
        <v>0</v>
      </c>
      <c r="K478" t="n">
        <v>0</v>
      </c>
      <c r="L478" t="n">
        <v>0</v>
      </c>
      <c r="M478" t="n">
        <v>0</v>
      </c>
      <c r="N478" t="n">
        <v>0</v>
      </c>
      <c r="O478" t="n">
        <v>0</v>
      </c>
      <c r="P478" t="n">
        <v>0</v>
      </c>
      <c r="Q478" t="n">
        <v>0</v>
      </c>
      <c r="R478" s="2" t="inlineStr"/>
    </row>
    <row r="479" ht="15" customHeight="1">
      <c r="A479" t="inlineStr">
        <is>
          <t>A 17988-2025</t>
        </is>
      </c>
      <c r="B479" s="1" t="n">
        <v>45761.39600694444</v>
      </c>
      <c r="C479" s="1" t="n">
        <v>46084</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12586-2021</t>
        </is>
      </c>
      <c r="B480" s="1" t="n">
        <v>44270.38002314815</v>
      </c>
      <c r="C480" s="1" t="n">
        <v>46084</v>
      </c>
      <c r="D480" t="inlineStr">
        <is>
          <t>KALMAR LÄN</t>
        </is>
      </c>
      <c r="E480" t="inlineStr">
        <is>
          <t>VIMMERBY</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5864-2022</t>
        </is>
      </c>
      <c r="B481" s="1" t="n">
        <v>44596</v>
      </c>
      <c r="C481" s="1" t="n">
        <v>46084</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23341-2022</t>
        </is>
      </c>
      <c r="B482" s="1" t="n">
        <v>44720.53898148148</v>
      </c>
      <c r="C482" s="1" t="n">
        <v>46084</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50544-2025</t>
        </is>
      </c>
      <c r="B483" s="1" t="n">
        <v>45945.50736111111</v>
      </c>
      <c r="C483" s="1" t="n">
        <v>46084</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30912-2023</t>
        </is>
      </c>
      <c r="B484" s="1" t="n">
        <v>45113.41633101852</v>
      </c>
      <c r="C484" s="1" t="n">
        <v>46084</v>
      </c>
      <c r="D484" t="inlineStr">
        <is>
          <t>KALMAR LÄN</t>
        </is>
      </c>
      <c r="E484" t="inlineStr">
        <is>
          <t>VIMMERBY</t>
        </is>
      </c>
      <c r="G484" t="n">
        <v>5</v>
      </c>
      <c r="H484" t="n">
        <v>0</v>
      </c>
      <c r="I484" t="n">
        <v>0</v>
      </c>
      <c r="J484" t="n">
        <v>0</v>
      </c>
      <c r="K484" t="n">
        <v>0</v>
      </c>
      <c r="L484" t="n">
        <v>0</v>
      </c>
      <c r="M484" t="n">
        <v>0</v>
      </c>
      <c r="N484" t="n">
        <v>0</v>
      </c>
      <c r="O484" t="n">
        <v>0</v>
      </c>
      <c r="P484" t="n">
        <v>0</v>
      </c>
      <c r="Q484" t="n">
        <v>0</v>
      </c>
      <c r="R484" s="2" t="inlineStr"/>
    </row>
    <row r="485" ht="15" customHeight="1">
      <c r="A485" t="inlineStr">
        <is>
          <t>A 1146-2025</t>
        </is>
      </c>
      <c r="B485" s="1" t="n">
        <v>45666</v>
      </c>
      <c r="C485" s="1" t="n">
        <v>46084</v>
      </c>
      <c r="D485" t="inlineStr">
        <is>
          <t>KALMAR LÄN</t>
        </is>
      </c>
      <c r="E485" t="inlineStr">
        <is>
          <t>VIMMERBY</t>
        </is>
      </c>
      <c r="G485" t="n">
        <v>4</v>
      </c>
      <c r="H485" t="n">
        <v>0</v>
      </c>
      <c r="I485" t="n">
        <v>0</v>
      </c>
      <c r="J485" t="n">
        <v>0</v>
      </c>
      <c r="K485" t="n">
        <v>0</v>
      </c>
      <c r="L485" t="n">
        <v>0</v>
      </c>
      <c r="M485" t="n">
        <v>0</v>
      </c>
      <c r="N485" t="n">
        <v>0</v>
      </c>
      <c r="O485" t="n">
        <v>0</v>
      </c>
      <c r="P485" t="n">
        <v>0</v>
      </c>
      <c r="Q485" t="n">
        <v>0</v>
      </c>
      <c r="R485" s="2" t="inlineStr"/>
    </row>
    <row r="486" ht="15" customHeight="1">
      <c r="A486" t="inlineStr">
        <is>
          <t>A 37028-2024</t>
        </is>
      </c>
      <c r="B486" s="1" t="n">
        <v>45539.38744212963</v>
      </c>
      <c r="C486" s="1" t="n">
        <v>46084</v>
      </c>
      <c r="D486" t="inlineStr">
        <is>
          <t>KALMAR LÄN</t>
        </is>
      </c>
      <c r="E486" t="inlineStr">
        <is>
          <t>VIMMERBY</t>
        </is>
      </c>
      <c r="G486" t="n">
        <v>5.2</v>
      </c>
      <c r="H486" t="n">
        <v>0</v>
      </c>
      <c r="I486" t="n">
        <v>0</v>
      </c>
      <c r="J486" t="n">
        <v>0</v>
      </c>
      <c r="K486" t="n">
        <v>0</v>
      </c>
      <c r="L486" t="n">
        <v>0</v>
      </c>
      <c r="M486" t="n">
        <v>0</v>
      </c>
      <c r="N486" t="n">
        <v>0</v>
      </c>
      <c r="O486" t="n">
        <v>0</v>
      </c>
      <c r="P486" t="n">
        <v>0</v>
      </c>
      <c r="Q486" t="n">
        <v>0</v>
      </c>
      <c r="R486" s="2" t="inlineStr"/>
    </row>
    <row r="487" ht="15" customHeight="1">
      <c r="A487" t="inlineStr">
        <is>
          <t>A 50324-2025</t>
        </is>
      </c>
      <c r="B487" s="1" t="n">
        <v>45944.45962962963</v>
      </c>
      <c r="C487" s="1" t="n">
        <v>46084</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35270-2025</t>
        </is>
      </c>
      <c r="B488" s="1" t="n">
        <v>45853.87112268519</v>
      </c>
      <c r="C488" s="1" t="n">
        <v>46084</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62023-2022</t>
        </is>
      </c>
      <c r="B489" s="1" t="n">
        <v>44918.50106481482</v>
      </c>
      <c r="C489" s="1" t="n">
        <v>46084</v>
      </c>
      <c r="D489" t="inlineStr">
        <is>
          <t>KALMAR LÄN</t>
        </is>
      </c>
      <c r="E489" t="inlineStr">
        <is>
          <t>VIMMERBY</t>
        </is>
      </c>
      <c r="G489" t="n">
        <v>0.3</v>
      </c>
      <c r="H489" t="n">
        <v>0</v>
      </c>
      <c r="I489" t="n">
        <v>0</v>
      </c>
      <c r="J489" t="n">
        <v>0</v>
      </c>
      <c r="K489" t="n">
        <v>0</v>
      </c>
      <c r="L489" t="n">
        <v>0</v>
      </c>
      <c r="M489" t="n">
        <v>0</v>
      </c>
      <c r="N489" t="n">
        <v>0</v>
      </c>
      <c r="O489" t="n">
        <v>0</v>
      </c>
      <c r="P489" t="n">
        <v>0</v>
      </c>
      <c r="Q489" t="n">
        <v>0</v>
      </c>
      <c r="R489" s="2" t="inlineStr"/>
    </row>
    <row r="490" ht="15" customHeight="1">
      <c r="A490" t="inlineStr">
        <is>
          <t>A 35271-2025</t>
        </is>
      </c>
      <c r="B490" s="1" t="n">
        <v>45853.87599537037</v>
      </c>
      <c r="C490" s="1" t="n">
        <v>46084</v>
      </c>
      <c r="D490" t="inlineStr">
        <is>
          <t>KALMAR LÄN</t>
        </is>
      </c>
      <c r="E490" t="inlineStr">
        <is>
          <t>VIMMERBY</t>
        </is>
      </c>
      <c r="G490" t="n">
        <v>0.4</v>
      </c>
      <c r="H490" t="n">
        <v>0</v>
      </c>
      <c r="I490" t="n">
        <v>0</v>
      </c>
      <c r="J490" t="n">
        <v>0</v>
      </c>
      <c r="K490" t="n">
        <v>0</v>
      </c>
      <c r="L490" t="n">
        <v>0</v>
      </c>
      <c r="M490" t="n">
        <v>0</v>
      </c>
      <c r="N490" t="n">
        <v>0</v>
      </c>
      <c r="O490" t="n">
        <v>0</v>
      </c>
      <c r="P490" t="n">
        <v>0</v>
      </c>
      <c r="Q490" t="n">
        <v>0</v>
      </c>
      <c r="R490" s="2" t="inlineStr"/>
    </row>
    <row r="491" ht="15" customHeight="1">
      <c r="A491" t="inlineStr">
        <is>
          <t>A 35272-2025</t>
        </is>
      </c>
      <c r="B491" s="1" t="n">
        <v>45853.88070601852</v>
      </c>
      <c r="C491" s="1" t="n">
        <v>46084</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16953-2025</t>
        </is>
      </c>
      <c r="B492" s="1" t="n">
        <v>45755.44333333334</v>
      </c>
      <c r="C492" s="1" t="n">
        <v>46084</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35596-2025</t>
        </is>
      </c>
      <c r="B493" s="1" t="n">
        <v>45858.60641203704</v>
      </c>
      <c r="C493" s="1" t="n">
        <v>46084</v>
      </c>
      <c r="D493" t="inlineStr">
        <is>
          <t>KALMAR LÄN</t>
        </is>
      </c>
      <c r="E493" t="inlineStr">
        <is>
          <t>VIMMERBY</t>
        </is>
      </c>
      <c r="G493" t="n">
        <v>2.8</v>
      </c>
      <c r="H493" t="n">
        <v>0</v>
      </c>
      <c r="I493" t="n">
        <v>0</v>
      </c>
      <c r="J493" t="n">
        <v>0</v>
      </c>
      <c r="K493" t="n">
        <v>0</v>
      </c>
      <c r="L493" t="n">
        <v>0</v>
      </c>
      <c r="M493" t="n">
        <v>0</v>
      </c>
      <c r="N493" t="n">
        <v>0</v>
      </c>
      <c r="O493" t="n">
        <v>0</v>
      </c>
      <c r="P493" t="n">
        <v>0</v>
      </c>
      <c r="Q493" t="n">
        <v>0</v>
      </c>
      <c r="R493" s="2" t="inlineStr"/>
    </row>
    <row r="494" ht="15" customHeight="1">
      <c r="A494" t="inlineStr">
        <is>
          <t>A 16119-2023</t>
        </is>
      </c>
      <c r="B494" s="1" t="n">
        <v>45027.59450231482</v>
      </c>
      <c r="C494" s="1" t="n">
        <v>46084</v>
      </c>
      <c r="D494" t="inlineStr">
        <is>
          <t>KALMAR LÄN</t>
        </is>
      </c>
      <c r="E494" t="inlineStr">
        <is>
          <t>VIMMERBY</t>
        </is>
      </c>
      <c r="F494" t="inlineStr">
        <is>
          <t>Kommuner</t>
        </is>
      </c>
      <c r="G494" t="n">
        <v>4.4</v>
      </c>
      <c r="H494" t="n">
        <v>0</v>
      </c>
      <c r="I494" t="n">
        <v>0</v>
      </c>
      <c r="J494" t="n">
        <v>0</v>
      </c>
      <c r="K494" t="n">
        <v>0</v>
      </c>
      <c r="L494" t="n">
        <v>0</v>
      </c>
      <c r="M494" t="n">
        <v>0</v>
      </c>
      <c r="N494" t="n">
        <v>0</v>
      </c>
      <c r="O494" t="n">
        <v>0</v>
      </c>
      <c r="P494" t="n">
        <v>0</v>
      </c>
      <c r="Q494" t="n">
        <v>0</v>
      </c>
      <c r="R494" s="2" t="inlineStr"/>
    </row>
    <row r="495" ht="15" customHeight="1">
      <c r="A495" t="inlineStr">
        <is>
          <t>A 35597-2025</t>
        </is>
      </c>
      <c r="B495" s="1" t="n">
        <v>45858.66019675926</v>
      </c>
      <c r="C495" s="1" t="n">
        <v>46084</v>
      </c>
      <c r="D495" t="inlineStr">
        <is>
          <t>KALMAR LÄN</t>
        </is>
      </c>
      <c r="E495" t="inlineStr">
        <is>
          <t>VIMMERBY</t>
        </is>
      </c>
      <c r="G495" t="n">
        <v>6.4</v>
      </c>
      <c r="H495" t="n">
        <v>0</v>
      </c>
      <c r="I495" t="n">
        <v>0</v>
      </c>
      <c r="J495" t="n">
        <v>0</v>
      </c>
      <c r="K495" t="n">
        <v>0</v>
      </c>
      <c r="L495" t="n">
        <v>0</v>
      </c>
      <c r="M495" t="n">
        <v>0</v>
      </c>
      <c r="N495" t="n">
        <v>0</v>
      </c>
      <c r="O495" t="n">
        <v>0</v>
      </c>
      <c r="P495" t="n">
        <v>0</v>
      </c>
      <c r="Q495" t="n">
        <v>0</v>
      </c>
      <c r="R495" s="2" t="inlineStr"/>
    </row>
    <row r="496" ht="15" customHeight="1">
      <c r="A496" t="inlineStr">
        <is>
          <t>A 52327-2023</t>
        </is>
      </c>
      <c r="B496" s="1" t="n">
        <v>45224.6515162037</v>
      </c>
      <c r="C496" s="1" t="n">
        <v>46084</v>
      </c>
      <c r="D496" t="inlineStr">
        <is>
          <t>KALMAR LÄN</t>
        </is>
      </c>
      <c r="E496" t="inlineStr">
        <is>
          <t>VIMMERBY</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51062-2025</t>
        </is>
      </c>
      <c r="B497" s="1" t="n">
        <v>45947.44685185186</v>
      </c>
      <c r="C497" s="1" t="n">
        <v>46084</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12075-2024</t>
        </is>
      </c>
      <c r="B498" s="1" t="n">
        <v>45377</v>
      </c>
      <c r="C498" s="1" t="n">
        <v>46084</v>
      </c>
      <c r="D498" t="inlineStr">
        <is>
          <t>KALMAR LÄN</t>
        </is>
      </c>
      <c r="E498" t="inlineStr">
        <is>
          <t>VIMMERBY</t>
        </is>
      </c>
      <c r="G498" t="n">
        <v>3.7</v>
      </c>
      <c r="H498" t="n">
        <v>0</v>
      </c>
      <c r="I498" t="n">
        <v>0</v>
      </c>
      <c r="J498" t="n">
        <v>0</v>
      </c>
      <c r="K498" t="n">
        <v>0</v>
      </c>
      <c r="L498" t="n">
        <v>0</v>
      </c>
      <c r="M498" t="n">
        <v>0</v>
      </c>
      <c r="N498" t="n">
        <v>0</v>
      </c>
      <c r="O498" t="n">
        <v>0</v>
      </c>
      <c r="P498" t="n">
        <v>0</v>
      </c>
      <c r="Q498" t="n">
        <v>0</v>
      </c>
      <c r="R498" s="2" t="inlineStr"/>
    </row>
    <row r="499" ht="15" customHeight="1">
      <c r="A499" t="inlineStr">
        <is>
          <t>A 29348-2023</t>
        </is>
      </c>
      <c r="B499" s="1" t="n">
        <v>45106.25025462963</v>
      </c>
      <c r="C499" s="1" t="n">
        <v>46084</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6668-2023</t>
        </is>
      </c>
      <c r="B500" s="1" t="n">
        <v>44966</v>
      </c>
      <c r="C500" s="1" t="n">
        <v>46084</v>
      </c>
      <c r="D500" t="inlineStr">
        <is>
          <t>KALMAR LÄN</t>
        </is>
      </c>
      <c r="E500" t="inlineStr">
        <is>
          <t>VIMMERBY</t>
        </is>
      </c>
      <c r="G500" t="n">
        <v>0.9</v>
      </c>
      <c r="H500" t="n">
        <v>0</v>
      </c>
      <c r="I500" t="n">
        <v>0</v>
      </c>
      <c r="J500" t="n">
        <v>0</v>
      </c>
      <c r="K500" t="n">
        <v>0</v>
      </c>
      <c r="L500" t="n">
        <v>0</v>
      </c>
      <c r="M500" t="n">
        <v>0</v>
      </c>
      <c r="N500" t="n">
        <v>0</v>
      </c>
      <c r="O500" t="n">
        <v>0</v>
      </c>
      <c r="P500" t="n">
        <v>0</v>
      </c>
      <c r="Q500" t="n">
        <v>0</v>
      </c>
      <c r="R500" s="2" t="inlineStr"/>
    </row>
    <row r="501" ht="15" customHeight="1">
      <c r="A501" t="inlineStr">
        <is>
          <t>A 31340-2023</t>
        </is>
      </c>
      <c r="B501" s="1" t="n">
        <v>45114.47895833333</v>
      </c>
      <c r="C501" s="1" t="n">
        <v>46084</v>
      </c>
      <c r="D501" t="inlineStr">
        <is>
          <t>KALMAR LÄN</t>
        </is>
      </c>
      <c r="E501" t="inlineStr">
        <is>
          <t>VIMMERBY</t>
        </is>
      </c>
      <c r="G501" t="n">
        <v>1.8</v>
      </c>
      <c r="H501" t="n">
        <v>0</v>
      </c>
      <c r="I501" t="n">
        <v>0</v>
      </c>
      <c r="J501" t="n">
        <v>0</v>
      </c>
      <c r="K501" t="n">
        <v>0</v>
      </c>
      <c r="L501" t="n">
        <v>0</v>
      </c>
      <c r="M501" t="n">
        <v>0</v>
      </c>
      <c r="N501" t="n">
        <v>0</v>
      </c>
      <c r="O501" t="n">
        <v>0</v>
      </c>
      <c r="P501" t="n">
        <v>0</v>
      </c>
      <c r="Q501" t="n">
        <v>0</v>
      </c>
      <c r="R501" s="2" t="inlineStr"/>
    </row>
    <row r="502" ht="15" customHeight="1">
      <c r="A502" t="inlineStr">
        <is>
          <t>A 29168-2024</t>
        </is>
      </c>
      <c r="B502" s="1" t="n">
        <v>45482.49870370371</v>
      </c>
      <c r="C502" s="1" t="n">
        <v>46084</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55236-2023</t>
        </is>
      </c>
      <c r="B503" s="1" t="n">
        <v>45237.63225694445</v>
      </c>
      <c r="C503" s="1" t="n">
        <v>46084</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55245-2023</t>
        </is>
      </c>
      <c r="B504" s="1" t="n">
        <v>45237.64408564815</v>
      </c>
      <c r="C504" s="1" t="n">
        <v>46084</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36055-2024</t>
        </is>
      </c>
      <c r="B505" s="1" t="n">
        <v>45533.63056712963</v>
      </c>
      <c r="C505" s="1" t="n">
        <v>46084</v>
      </c>
      <c r="D505" t="inlineStr">
        <is>
          <t>KALMAR LÄN</t>
        </is>
      </c>
      <c r="E505" t="inlineStr">
        <is>
          <t>VIMMERBY</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36226-2025</t>
        </is>
      </c>
      <c r="B506" s="1" t="n">
        <v>45867.51630787037</v>
      </c>
      <c r="C506" s="1" t="n">
        <v>46084</v>
      </c>
      <c r="D506" t="inlineStr">
        <is>
          <t>KALMAR LÄN</t>
        </is>
      </c>
      <c r="E506" t="inlineStr">
        <is>
          <t>VIMMERBY</t>
        </is>
      </c>
      <c r="G506" t="n">
        <v>3.1</v>
      </c>
      <c r="H506" t="n">
        <v>0</v>
      </c>
      <c r="I506" t="n">
        <v>0</v>
      </c>
      <c r="J506" t="n">
        <v>0</v>
      </c>
      <c r="K506" t="n">
        <v>0</v>
      </c>
      <c r="L506" t="n">
        <v>0</v>
      </c>
      <c r="M506" t="n">
        <v>0</v>
      </c>
      <c r="N506" t="n">
        <v>0</v>
      </c>
      <c r="O506" t="n">
        <v>0</v>
      </c>
      <c r="P506" t="n">
        <v>0</v>
      </c>
      <c r="Q506" t="n">
        <v>0</v>
      </c>
      <c r="R506" s="2" t="inlineStr"/>
    </row>
    <row r="507" ht="15" customHeight="1">
      <c r="A507" t="inlineStr">
        <is>
          <t>A 36273-2025</t>
        </is>
      </c>
      <c r="B507" s="1" t="n">
        <v>45867.63094907408</v>
      </c>
      <c r="C507" s="1" t="n">
        <v>46084</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36282-2025</t>
        </is>
      </c>
      <c r="B508" s="1" t="n">
        <v>45867.64663194444</v>
      </c>
      <c r="C508" s="1" t="n">
        <v>46084</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36246-2025</t>
        </is>
      </c>
      <c r="B509" s="1" t="n">
        <v>45867.56320601852</v>
      </c>
      <c r="C509" s="1" t="n">
        <v>46084</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36297-2025</t>
        </is>
      </c>
      <c r="B510" s="1" t="n">
        <v>45867.68625</v>
      </c>
      <c r="C510" s="1" t="n">
        <v>46084</v>
      </c>
      <c r="D510" t="inlineStr">
        <is>
          <t>KALMAR LÄN</t>
        </is>
      </c>
      <c r="E510" t="inlineStr">
        <is>
          <t>VIMMERBY</t>
        </is>
      </c>
      <c r="G510" t="n">
        <v>4.9</v>
      </c>
      <c r="H510" t="n">
        <v>0</v>
      </c>
      <c r="I510" t="n">
        <v>0</v>
      </c>
      <c r="J510" t="n">
        <v>0</v>
      </c>
      <c r="K510" t="n">
        <v>0</v>
      </c>
      <c r="L510" t="n">
        <v>0</v>
      </c>
      <c r="M510" t="n">
        <v>0</v>
      </c>
      <c r="N510" t="n">
        <v>0</v>
      </c>
      <c r="O510" t="n">
        <v>0</v>
      </c>
      <c r="P510" t="n">
        <v>0</v>
      </c>
      <c r="Q510" t="n">
        <v>0</v>
      </c>
      <c r="R510" s="2" t="inlineStr"/>
    </row>
    <row r="511" ht="15" customHeight="1">
      <c r="A511" t="inlineStr">
        <is>
          <t>A 7758-2024</t>
        </is>
      </c>
      <c r="B511" s="1" t="n">
        <v>45349.54434027777</v>
      </c>
      <c r="C511" s="1" t="n">
        <v>46084</v>
      </c>
      <c r="D511" t="inlineStr">
        <is>
          <t>KALMAR LÄN</t>
        </is>
      </c>
      <c r="E511" t="inlineStr">
        <is>
          <t>VIMMERBY</t>
        </is>
      </c>
      <c r="G511" t="n">
        <v>3.5</v>
      </c>
      <c r="H511" t="n">
        <v>0</v>
      </c>
      <c r="I511" t="n">
        <v>0</v>
      </c>
      <c r="J511" t="n">
        <v>0</v>
      </c>
      <c r="K511" t="n">
        <v>0</v>
      </c>
      <c r="L511" t="n">
        <v>0</v>
      </c>
      <c r="M511" t="n">
        <v>0</v>
      </c>
      <c r="N511" t="n">
        <v>0</v>
      </c>
      <c r="O511" t="n">
        <v>0</v>
      </c>
      <c r="P511" t="n">
        <v>0</v>
      </c>
      <c r="Q511" t="n">
        <v>0</v>
      </c>
      <c r="R511" s="2" t="inlineStr"/>
    </row>
    <row r="512" ht="15" customHeight="1">
      <c r="A512" t="inlineStr">
        <is>
          <t>A 36221-2025</t>
        </is>
      </c>
      <c r="B512" s="1" t="n">
        <v>45867.50792824074</v>
      </c>
      <c r="C512" s="1" t="n">
        <v>46084</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5701-2024</t>
        </is>
      </c>
      <c r="B513" s="1" t="n">
        <v>45334.78826388889</v>
      </c>
      <c r="C513" s="1" t="n">
        <v>46084</v>
      </c>
      <c r="D513" t="inlineStr">
        <is>
          <t>KALMAR LÄN</t>
        </is>
      </c>
      <c r="E513" t="inlineStr">
        <is>
          <t>VIMMERBY</t>
        </is>
      </c>
      <c r="G513" t="n">
        <v>2.3</v>
      </c>
      <c r="H513" t="n">
        <v>0</v>
      </c>
      <c r="I513" t="n">
        <v>0</v>
      </c>
      <c r="J513" t="n">
        <v>0</v>
      </c>
      <c r="K513" t="n">
        <v>0</v>
      </c>
      <c r="L513" t="n">
        <v>0</v>
      </c>
      <c r="M513" t="n">
        <v>0</v>
      </c>
      <c r="N513" t="n">
        <v>0</v>
      </c>
      <c r="O513" t="n">
        <v>0</v>
      </c>
      <c r="P513" t="n">
        <v>0</v>
      </c>
      <c r="Q513" t="n">
        <v>0</v>
      </c>
      <c r="R513" s="2" t="inlineStr"/>
    </row>
    <row r="514" ht="15" customHeight="1">
      <c r="A514" t="inlineStr">
        <is>
          <t>A 19502-2025</t>
        </is>
      </c>
      <c r="B514" s="1" t="n">
        <v>45769</v>
      </c>
      <c r="C514" s="1" t="n">
        <v>46084</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31405-2023</t>
        </is>
      </c>
      <c r="B515" s="1" t="n">
        <v>45114.58148148148</v>
      </c>
      <c r="C515" s="1" t="n">
        <v>46084</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27443-2023</t>
        </is>
      </c>
      <c r="B516" s="1" t="n">
        <v>45097.40524305555</v>
      </c>
      <c r="C516" s="1" t="n">
        <v>46084</v>
      </c>
      <c r="D516" t="inlineStr">
        <is>
          <t>KALMAR LÄN</t>
        </is>
      </c>
      <c r="E516" t="inlineStr">
        <is>
          <t>VIMMERBY</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6355-2022</t>
        </is>
      </c>
      <c r="B517" s="1" t="n">
        <v>44600</v>
      </c>
      <c r="C517" s="1" t="n">
        <v>46084</v>
      </c>
      <c r="D517" t="inlineStr">
        <is>
          <t>KALMAR LÄN</t>
        </is>
      </c>
      <c r="E517" t="inlineStr">
        <is>
          <t>VIMMERBY</t>
        </is>
      </c>
      <c r="G517" t="n">
        <v>4.9</v>
      </c>
      <c r="H517" t="n">
        <v>0</v>
      </c>
      <c r="I517" t="n">
        <v>0</v>
      </c>
      <c r="J517" t="n">
        <v>0</v>
      </c>
      <c r="K517" t="n">
        <v>0</v>
      </c>
      <c r="L517" t="n">
        <v>0</v>
      </c>
      <c r="M517" t="n">
        <v>0</v>
      </c>
      <c r="N517" t="n">
        <v>0</v>
      </c>
      <c r="O517" t="n">
        <v>0</v>
      </c>
      <c r="P517" t="n">
        <v>0</v>
      </c>
      <c r="Q517" t="n">
        <v>0</v>
      </c>
      <c r="R517" s="2" t="inlineStr"/>
    </row>
    <row r="518" ht="15" customHeight="1">
      <c r="A518" t="inlineStr">
        <is>
          <t>A 36299-2025</t>
        </is>
      </c>
      <c r="B518" s="1" t="n">
        <v>45867.69346064814</v>
      </c>
      <c r="C518" s="1" t="n">
        <v>46084</v>
      </c>
      <c r="D518" t="inlineStr">
        <is>
          <t>KALMAR LÄN</t>
        </is>
      </c>
      <c r="E518" t="inlineStr">
        <is>
          <t>VIMMERBY</t>
        </is>
      </c>
      <c r="G518" t="n">
        <v>7.6</v>
      </c>
      <c r="H518" t="n">
        <v>0</v>
      </c>
      <c r="I518" t="n">
        <v>0</v>
      </c>
      <c r="J518" t="n">
        <v>0</v>
      </c>
      <c r="K518" t="n">
        <v>0</v>
      </c>
      <c r="L518" t="n">
        <v>0</v>
      </c>
      <c r="M518" t="n">
        <v>0</v>
      </c>
      <c r="N518" t="n">
        <v>0</v>
      </c>
      <c r="O518" t="n">
        <v>0</v>
      </c>
      <c r="P518" t="n">
        <v>0</v>
      </c>
      <c r="Q518" t="n">
        <v>0</v>
      </c>
      <c r="R518" s="2" t="inlineStr"/>
    </row>
    <row r="519" ht="15" customHeight="1">
      <c r="A519" t="inlineStr">
        <is>
          <t>A 845-2023</t>
        </is>
      </c>
      <c r="B519" s="1" t="n">
        <v>44931</v>
      </c>
      <c r="C519" s="1" t="n">
        <v>46084</v>
      </c>
      <c r="D519" t="inlineStr">
        <is>
          <t>KALMAR LÄN</t>
        </is>
      </c>
      <c r="E519" t="inlineStr">
        <is>
          <t>VIMMERBY</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46225-2024</t>
        </is>
      </c>
      <c r="B520" s="1" t="n">
        <v>45581.57333333333</v>
      </c>
      <c r="C520" s="1" t="n">
        <v>46084</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51990-2025</t>
        </is>
      </c>
      <c r="B521" s="1" t="n">
        <v>45952.58061342593</v>
      </c>
      <c r="C521" s="1" t="n">
        <v>46084</v>
      </c>
      <c r="D521" t="inlineStr">
        <is>
          <t>KALMAR LÄN</t>
        </is>
      </c>
      <c r="E521" t="inlineStr">
        <is>
          <t>VIMMERBY</t>
        </is>
      </c>
      <c r="G521" t="n">
        <v>2.4</v>
      </c>
      <c r="H521" t="n">
        <v>0</v>
      </c>
      <c r="I521" t="n">
        <v>0</v>
      </c>
      <c r="J521" t="n">
        <v>0</v>
      </c>
      <c r="K521" t="n">
        <v>0</v>
      </c>
      <c r="L521" t="n">
        <v>0</v>
      </c>
      <c r="M521" t="n">
        <v>0</v>
      </c>
      <c r="N521" t="n">
        <v>0</v>
      </c>
      <c r="O521" t="n">
        <v>0</v>
      </c>
      <c r="P521" t="n">
        <v>0</v>
      </c>
      <c r="Q521" t="n">
        <v>0</v>
      </c>
      <c r="R521" s="2" t="inlineStr"/>
    </row>
    <row r="522" ht="15" customHeight="1">
      <c r="A522" t="inlineStr">
        <is>
          <t>A 9418-2024</t>
        </is>
      </c>
      <c r="B522" s="1" t="n">
        <v>45359.45038194444</v>
      </c>
      <c r="C522" s="1" t="n">
        <v>46084</v>
      </c>
      <c r="D522" t="inlineStr">
        <is>
          <t>KALMAR LÄN</t>
        </is>
      </c>
      <c r="E522" t="inlineStr">
        <is>
          <t>VIMMERBY</t>
        </is>
      </c>
      <c r="G522" t="n">
        <v>1.9</v>
      </c>
      <c r="H522" t="n">
        <v>0</v>
      </c>
      <c r="I522" t="n">
        <v>0</v>
      </c>
      <c r="J522" t="n">
        <v>0</v>
      </c>
      <c r="K522" t="n">
        <v>0</v>
      </c>
      <c r="L522" t="n">
        <v>0</v>
      </c>
      <c r="M522" t="n">
        <v>0</v>
      </c>
      <c r="N522" t="n">
        <v>0</v>
      </c>
      <c r="O522" t="n">
        <v>0</v>
      </c>
      <c r="P522" t="n">
        <v>0</v>
      </c>
      <c r="Q522" t="n">
        <v>0</v>
      </c>
      <c r="R522" s="2" t="inlineStr"/>
    </row>
    <row r="523" ht="15" customHeight="1">
      <c r="A523" t="inlineStr">
        <is>
          <t>A 36538-2025</t>
        </is>
      </c>
      <c r="B523" s="1" t="n">
        <v>45869.62276620371</v>
      </c>
      <c r="C523" s="1" t="n">
        <v>46084</v>
      </c>
      <c r="D523" t="inlineStr">
        <is>
          <t>KALMAR LÄN</t>
        </is>
      </c>
      <c r="E523" t="inlineStr">
        <is>
          <t>VIMMERBY</t>
        </is>
      </c>
      <c r="G523" t="n">
        <v>2.6</v>
      </c>
      <c r="H523" t="n">
        <v>0</v>
      </c>
      <c r="I523" t="n">
        <v>0</v>
      </c>
      <c r="J523" t="n">
        <v>0</v>
      </c>
      <c r="K523" t="n">
        <v>0</v>
      </c>
      <c r="L523" t="n">
        <v>0</v>
      </c>
      <c r="M523" t="n">
        <v>0</v>
      </c>
      <c r="N523" t="n">
        <v>0</v>
      </c>
      <c r="O523" t="n">
        <v>0</v>
      </c>
      <c r="P523" t="n">
        <v>0</v>
      </c>
      <c r="Q523" t="n">
        <v>0</v>
      </c>
      <c r="R523" s="2" t="inlineStr"/>
    </row>
    <row r="524" ht="15" customHeight="1">
      <c r="A524" t="inlineStr">
        <is>
          <t>A 57091-2022</t>
        </is>
      </c>
      <c r="B524" s="1" t="n">
        <v>44895.46524305556</v>
      </c>
      <c r="C524" s="1" t="n">
        <v>46084</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3816-2022</t>
        </is>
      </c>
      <c r="B525" s="1" t="n">
        <v>44587</v>
      </c>
      <c r="C525" s="1" t="n">
        <v>46084</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43606-2024</t>
        </is>
      </c>
      <c r="B526" s="1" t="n">
        <v>45569.45017361111</v>
      </c>
      <c r="C526" s="1" t="n">
        <v>46084</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43617-2024</t>
        </is>
      </c>
      <c r="B527" s="1" t="n">
        <v>45569.47494212963</v>
      </c>
      <c r="C527" s="1" t="n">
        <v>46084</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51993-2025</t>
        </is>
      </c>
      <c r="B528" s="1" t="n">
        <v>45952.58194444444</v>
      </c>
      <c r="C528" s="1" t="n">
        <v>46084</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47859-2024</t>
        </is>
      </c>
      <c r="B529" s="1" t="n">
        <v>45588.67070601852</v>
      </c>
      <c r="C529" s="1" t="n">
        <v>46084</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52465-2025</t>
        </is>
      </c>
      <c r="B530" s="1" t="n">
        <v>45954.44543981482</v>
      </c>
      <c r="C530" s="1" t="n">
        <v>46084</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8540-2024</t>
        </is>
      </c>
      <c r="B531" s="1" t="n">
        <v>45355.54138888889</v>
      </c>
      <c r="C531" s="1" t="n">
        <v>46084</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36598-2025</t>
        </is>
      </c>
      <c r="B532" s="1" t="n">
        <v>45870.51708333333</v>
      </c>
      <c r="C532" s="1" t="n">
        <v>46084</v>
      </c>
      <c r="D532" t="inlineStr">
        <is>
          <t>KALMAR LÄN</t>
        </is>
      </c>
      <c r="E532" t="inlineStr">
        <is>
          <t>VIMMERBY</t>
        </is>
      </c>
      <c r="G532" t="n">
        <v>3.7</v>
      </c>
      <c r="H532" t="n">
        <v>0</v>
      </c>
      <c r="I532" t="n">
        <v>0</v>
      </c>
      <c r="J532" t="n">
        <v>0</v>
      </c>
      <c r="K532" t="n">
        <v>0</v>
      </c>
      <c r="L532" t="n">
        <v>0</v>
      </c>
      <c r="M532" t="n">
        <v>0</v>
      </c>
      <c r="N532" t="n">
        <v>0</v>
      </c>
      <c r="O532" t="n">
        <v>0</v>
      </c>
      <c r="P532" t="n">
        <v>0</v>
      </c>
      <c r="Q532" t="n">
        <v>0</v>
      </c>
      <c r="R532" s="2" t="inlineStr"/>
    </row>
    <row r="533" ht="15" customHeight="1">
      <c r="A533" t="inlineStr">
        <is>
          <t>A 36602-2025</t>
        </is>
      </c>
      <c r="B533" s="1" t="n">
        <v>45870.52111111111</v>
      </c>
      <c r="C533" s="1" t="n">
        <v>46084</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3331-2023</t>
        </is>
      </c>
      <c r="B534" s="1" t="n">
        <v>44949</v>
      </c>
      <c r="C534" s="1" t="n">
        <v>46084</v>
      </c>
      <c r="D534" t="inlineStr">
        <is>
          <t>KALMAR LÄN</t>
        </is>
      </c>
      <c r="E534" t="inlineStr">
        <is>
          <t>VIMMERBY</t>
        </is>
      </c>
      <c r="G534" t="n">
        <v>6.2</v>
      </c>
      <c r="H534" t="n">
        <v>0</v>
      </c>
      <c r="I534" t="n">
        <v>0</v>
      </c>
      <c r="J534" t="n">
        <v>0</v>
      </c>
      <c r="K534" t="n">
        <v>0</v>
      </c>
      <c r="L534" t="n">
        <v>0</v>
      </c>
      <c r="M534" t="n">
        <v>0</v>
      </c>
      <c r="N534" t="n">
        <v>0</v>
      </c>
      <c r="O534" t="n">
        <v>0</v>
      </c>
      <c r="P534" t="n">
        <v>0</v>
      </c>
      <c r="Q534" t="n">
        <v>0</v>
      </c>
      <c r="R534" s="2" t="inlineStr"/>
    </row>
    <row r="535" ht="15" customHeight="1">
      <c r="A535" t="inlineStr">
        <is>
          <t>A 598-2025</t>
        </is>
      </c>
      <c r="B535" s="1" t="n">
        <v>45660</v>
      </c>
      <c r="C535" s="1" t="n">
        <v>46084</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52451-2025</t>
        </is>
      </c>
      <c r="B536" s="1" t="n">
        <v>45954.42326388889</v>
      </c>
      <c r="C536" s="1" t="n">
        <v>46084</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25799-2023</t>
        </is>
      </c>
      <c r="B537" s="1" t="n">
        <v>45090</v>
      </c>
      <c r="C537" s="1" t="n">
        <v>46084</v>
      </c>
      <c r="D537" t="inlineStr">
        <is>
          <t>KALMAR LÄN</t>
        </is>
      </c>
      <c r="E537" t="inlineStr">
        <is>
          <t>VIMMERBY</t>
        </is>
      </c>
      <c r="G537" t="n">
        <v>7.7</v>
      </c>
      <c r="H537" t="n">
        <v>0</v>
      </c>
      <c r="I537" t="n">
        <v>0</v>
      </c>
      <c r="J537" t="n">
        <v>0</v>
      </c>
      <c r="K537" t="n">
        <v>0</v>
      </c>
      <c r="L537" t="n">
        <v>0</v>
      </c>
      <c r="M537" t="n">
        <v>0</v>
      </c>
      <c r="N537" t="n">
        <v>0</v>
      </c>
      <c r="O537" t="n">
        <v>0</v>
      </c>
      <c r="P537" t="n">
        <v>0</v>
      </c>
      <c r="Q537" t="n">
        <v>0</v>
      </c>
      <c r="R537" s="2" t="inlineStr"/>
    </row>
    <row r="538" ht="15" customHeight="1">
      <c r="A538" t="inlineStr">
        <is>
          <t>A 53083-2021</t>
        </is>
      </c>
      <c r="B538" s="1" t="n">
        <v>44467.83386574074</v>
      </c>
      <c r="C538" s="1" t="n">
        <v>46084</v>
      </c>
      <c r="D538" t="inlineStr">
        <is>
          <t>KALMAR LÄN</t>
        </is>
      </c>
      <c r="E538" t="inlineStr">
        <is>
          <t>VIMMERBY</t>
        </is>
      </c>
      <c r="G538" t="n">
        <v>6.8</v>
      </c>
      <c r="H538" t="n">
        <v>0</v>
      </c>
      <c r="I538" t="n">
        <v>0</v>
      </c>
      <c r="J538" t="n">
        <v>0</v>
      </c>
      <c r="K538" t="n">
        <v>0</v>
      </c>
      <c r="L538" t="n">
        <v>0</v>
      </c>
      <c r="M538" t="n">
        <v>0</v>
      </c>
      <c r="N538" t="n">
        <v>0</v>
      </c>
      <c r="O538" t="n">
        <v>0</v>
      </c>
      <c r="P538" t="n">
        <v>0</v>
      </c>
      <c r="Q538" t="n">
        <v>0</v>
      </c>
      <c r="R538" s="2" t="inlineStr"/>
    </row>
    <row r="539" ht="15" customHeight="1">
      <c r="A539" t="inlineStr">
        <is>
          <t>A 52516-2025</t>
        </is>
      </c>
      <c r="B539" s="1" t="n">
        <v>45954.51412037037</v>
      </c>
      <c r="C539" s="1" t="n">
        <v>46084</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24655-2021</t>
        </is>
      </c>
      <c r="B540" s="1" t="n">
        <v>44340</v>
      </c>
      <c r="C540" s="1" t="n">
        <v>46084</v>
      </c>
      <c r="D540" t="inlineStr">
        <is>
          <t>KALMAR LÄN</t>
        </is>
      </c>
      <c r="E540" t="inlineStr">
        <is>
          <t>VIMMERBY</t>
        </is>
      </c>
      <c r="G540" t="n">
        <v>14.9</v>
      </c>
      <c r="H540" t="n">
        <v>0</v>
      </c>
      <c r="I540" t="n">
        <v>0</v>
      </c>
      <c r="J540" t="n">
        <v>0</v>
      </c>
      <c r="K540" t="n">
        <v>0</v>
      </c>
      <c r="L540" t="n">
        <v>0</v>
      </c>
      <c r="M540" t="n">
        <v>0</v>
      </c>
      <c r="N540" t="n">
        <v>0</v>
      </c>
      <c r="O540" t="n">
        <v>0</v>
      </c>
      <c r="P540" t="n">
        <v>0</v>
      </c>
      <c r="Q540" t="n">
        <v>0</v>
      </c>
      <c r="R540" s="2" t="inlineStr"/>
    </row>
    <row r="541" ht="15" customHeight="1">
      <c r="A541" t="inlineStr">
        <is>
          <t>A 52466-2025</t>
        </is>
      </c>
      <c r="B541" s="1" t="n">
        <v>45954.44707175926</v>
      </c>
      <c r="C541" s="1" t="n">
        <v>46084</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52473-2025</t>
        </is>
      </c>
      <c r="B542" s="1" t="n">
        <v>45954.45947916667</v>
      </c>
      <c r="C542" s="1" t="n">
        <v>46084</v>
      </c>
      <c r="D542" t="inlineStr">
        <is>
          <t>KALMAR LÄN</t>
        </is>
      </c>
      <c r="E542" t="inlineStr">
        <is>
          <t>VIMMERBY</t>
        </is>
      </c>
      <c r="G542" t="n">
        <v>2.4</v>
      </c>
      <c r="H542" t="n">
        <v>0</v>
      </c>
      <c r="I542" t="n">
        <v>0</v>
      </c>
      <c r="J542" t="n">
        <v>0</v>
      </c>
      <c r="K542" t="n">
        <v>0</v>
      </c>
      <c r="L542" t="n">
        <v>0</v>
      </c>
      <c r="M542" t="n">
        <v>0</v>
      </c>
      <c r="N542" t="n">
        <v>0</v>
      </c>
      <c r="O542" t="n">
        <v>0</v>
      </c>
      <c r="P542" t="n">
        <v>0</v>
      </c>
      <c r="Q542" t="n">
        <v>0</v>
      </c>
      <c r="R542" s="2" t="inlineStr"/>
    </row>
    <row r="543" ht="15" customHeight="1">
      <c r="A543" t="inlineStr">
        <is>
          <t>A 52480-2025</t>
        </is>
      </c>
      <c r="B543" s="1" t="n">
        <v>45954.47172453703</v>
      </c>
      <c r="C543" s="1" t="n">
        <v>46084</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52475-2025</t>
        </is>
      </c>
      <c r="B544" s="1" t="n">
        <v>45954.468125</v>
      </c>
      <c r="C544" s="1" t="n">
        <v>46084</v>
      </c>
      <c r="D544" t="inlineStr">
        <is>
          <t>KALMAR LÄN</t>
        </is>
      </c>
      <c r="E544" t="inlineStr">
        <is>
          <t>VIMMERBY</t>
        </is>
      </c>
      <c r="G544" t="n">
        <v>1.5</v>
      </c>
      <c r="H544" t="n">
        <v>0</v>
      </c>
      <c r="I544" t="n">
        <v>0</v>
      </c>
      <c r="J544" t="n">
        <v>0</v>
      </c>
      <c r="K544" t="n">
        <v>0</v>
      </c>
      <c r="L544" t="n">
        <v>0</v>
      </c>
      <c r="M544" t="n">
        <v>0</v>
      </c>
      <c r="N544" t="n">
        <v>0</v>
      </c>
      <c r="O544" t="n">
        <v>0</v>
      </c>
      <c r="P544" t="n">
        <v>0</v>
      </c>
      <c r="Q544" t="n">
        <v>0</v>
      </c>
      <c r="R544" s="2" t="inlineStr"/>
    </row>
    <row r="545" ht="15" customHeight="1">
      <c r="A545" t="inlineStr">
        <is>
          <t>A 36603-2025</t>
        </is>
      </c>
      <c r="B545" s="1" t="n">
        <v>45870.52142361111</v>
      </c>
      <c r="C545" s="1" t="n">
        <v>46084</v>
      </c>
      <c r="D545" t="inlineStr">
        <is>
          <t>KALMAR LÄN</t>
        </is>
      </c>
      <c r="E545" t="inlineStr">
        <is>
          <t>VIMMERBY</t>
        </is>
      </c>
      <c r="G545" t="n">
        <v>1.6</v>
      </c>
      <c r="H545" t="n">
        <v>0</v>
      </c>
      <c r="I545" t="n">
        <v>0</v>
      </c>
      <c r="J545" t="n">
        <v>0</v>
      </c>
      <c r="K545" t="n">
        <v>0</v>
      </c>
      <c r="L545" t="n">
        <v>0</v>
      </c>
      <c r="M545" t="n">
        <v>0</v>
      </c>
      <c r="N545" t="n">
        <v>0</v>
      </c>
      <c r="O545" t="n">
        <v>0</v>
      </c>
      <c r="P545" t="n">
        <v>0</v>
      </c>
      <c r="Q545" t="n">
        <v>0</v>
      </c>
      <c r="R545" s="2" t="inlineStr"/>
    </row>
    <row r="546" ht="15" customHeight="1">
      <c r="A546" t="inlineStr">
        <is>
          <t>A 53396-2025</t>
        </is>
      </c>
      <c r="B546" s="1" t="n">
        <v>45959.55577546296</v>
      </c>
      <c r="C546" s="1" t="n">
        <v>46084</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53416-2025</t>
        </is>
      </c>
      <c r="B547" s="1" t="n">
        <v>45959.58387731481</v>
      </c>
      <c r="C547" s="1" t="n">
        <v>46084</v>
      </c>
      <c r="D547" t="inlineStr">
        <is>
          <t>KALMAR LÄN</t>
        </is>
      </c>
      <c r="E547" t="inlineStr">
        <is>
          <t>VIMMERBY</t>
        </is>
      </c>
      <c r="G547" t="n">
        <v>4.4</v>
      </c>
      <c r="H547" t="n">
        <v>0</v>
      </c>
      <c r="I547" t="n">
        <v>0</v>
      </c>
      <c r="J547" t="n">
        <v>0</v>
      </c>
      <c r="K547" t="n">
        <v>0</v>
      </c>
      <c r="L547" t="n">
        <v>0</v>
      </c>
      <c r="M547" t="n">
        <v>0</v>
      </c>
      <c r="N547" t="n">
        <v>0</v>
      </c>
      <c r="O547" t="n">
        <v>0</v>
      </c>
      <c r="P547" t="n">
        <v>0</v>
      </c>
      <c r="Q547" t="n">
        <v>0</v>
      </c>
      <c r="R547" s="2" t="inlineStr"/>
    </row>
    <row r="548" ht="15" customHeight="1">
      <c r="A548" t="inlineStr">
        <is>
          <t>A 53398-2025</t>
        </is>
      </c>
      <c r="B548" s="1" t="n">
        <v>45959.56247685185</v>
      </c>
      <c r="C548" s="1" t="n">
        <v>46084</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33838-2022</t>
        </is>
      </c>
      <c r="B549" s="1" t="n">
        <v>44790.49040509259</v>
      </c>
      <c r="C549" s="1" t="n">
        <v>46084</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53397-2025</t>
        </is>
      </c>
      <c r="B550" s="1" t="n">
        <v>45959.55918981481</v>
      </c>
      <c r="C550" s="1" t="n">
        <v>46084</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36600-2025</t>
        </is>
      </c>
      <c r="B551" s="1" t="n">
        <v>45870.51958333333</v>
      </c>
      <c r="C551" s="1" t="n">
        <v>46084</v>
      </c>
      <c r="D551" t="inlineStr">
        <is>
          <t>KALMAR LÄN</t>
        </is>
      </c>
      <c r="E551" t="inlineStr">
        <is>
          <t>VIMMERBY</t>
        </is>
      </c>
      <c r="G551" t="n">
        <v>2</v>
      </c>
      <c r="H551" t="n">
        <v>0</v>
      </c>
      <c r="I551" t="n">
        <v>0</v>
      </c>
      <c r="J551" t="n">
        <v>0</v>
      </c>
      <c r="K551" t="n">
        <v>0</v>
      </c>
      <c r="L551" t="n">
        <v>0</v>
      </c>
      <c r="M551" t="n">
        <v>0</v>
      </c>
      <c r="N551" t="n">
        <v>0</v>
      </c>
      <c r="O551" t="n">
        <v>0</v>
      </c>
      <c r="P551" t="n">
        <v>0</v>
      </c>
      <c r="Q551" t="n">
        <v>0</v>
      </c>
      <c r="R551" s="2" t="inlineStr"/>
    </row>
    <row r="552" ht="15" customHeight="1">
      <c r="A552" t="inlineStr">
        <is>
          <t>A 36601-2025</t>
        </is>
      </c>
      <c r="B552" s="1" t="n">
        <v>45870.52005787037</v>
      </c>
      <c r="C552" s="1" t="n">
        <v>46084</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53220-2025</t>
        </is>
      </c>
      <c r="B553" s="1" t="n">
        <v>45958.60146990741</v>
      </c>
      <c r="C553" s="1" t="n">
        <v>46084</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32835-2022</t>
        </is>
      </c>
      <c r="B554" s="1" t="n">
        <v>44784.42528935185</v>
      </c>
      <c r="C554" s="1" t="n">
        <v>46084</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53393-2025</t>
        </is>
      </c>
      <c r="B555" s="1" t="n">
        <v>45959.55284722222</v>
      </c>
      <c r="C555" s="1" t="n">
        <v>46084</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1081-2023</t>
        </is>
      </c>
      <c r="B556" s="1" t="n">
        <v>44935</v>
      </c>
      <c r="C556" s="1" t="n">
        <v>46084</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53413-2025</t>
        </is>
      </c>
      <c r="B557" s="1" t="n">
        <v>45959.5787037037</v>
      </c>
      <c r="C557" s="1" t="n">
        <v>46084</v>
      </c>
      <c r="D557" t="inlineStr">
        <is>
          <t>KALMAR LÄN</t>
        </is>
      </c>
      <c r="E557" t="inlineStr">
        <is>
          <t>VIMMERBY</t>
        </is>
      </c>
      <c r="G557" t="n">
        <v>4.3</v>
      </c>
      <c r="H557" t="n">
        <v>0</v>
      </c>
      <c r="I557" t="n">
        <v>0</v>
      </c>
      <c r="J557" t="n">
        <v>0</v>
      </c>
      <c r="K557" t="n">
        <v>0</v>
      </c>
      <c r="L557" t="n">
        <v>0</v>
      </c>
      <c r="M557" t="n">
        <v>0</v>
      </c>
      <c r="N557" t="n">
        <v>0</v>
      </c>
      <c r="O557" t="n">
        <v>0</v>
      </c>
      <c r="P557" t="n">
        <v>0</v>
      </c>
      <c r="Q557" t="n">
        <v>0</v>
      </c>
      <c r="R557" s="2" t="inlineStr"/>
    </row>
    <row r="558" ht="15" customHeight="1">
      <c r="A558" t="inlineStr">
        <is>
          <t>A 47063-2022</t>
        </is>
      </c>
      <c r="B558" s="1" t="n">
        <v>44852</v>
      </c>
      <c r="C558" s="1" t="n">
        <v>46084</v>
      </c>
      <c r="D558" t="inlineStr">
        <is>
          <t>KALMAR LÄN</t>
        </is>
      </c>
      <c r="E558" t="inlineStr">
        <is>
          <t>VIMMERBY</t>
        </is>
      </c>
      <c r="G558" t="n">
        <v>2.5</v>
      </c>
      <c r="H558" t="n">
        <v>0</v>
      </c>
      <c r="I558" t="n">
        <v>0</v>
      </c>
      <c r="J558" t="n">
        <v>0</v>
      </c>
      <c r="K558" t="n">
        <v>0</v>
      </c>
      <c r="L558" t="n">
        <v>0</v>
      </c>
      <c r="M558" t="n">
        <v>0</v>
      </c>
      <c r="N558" t="n">
        <v>0</v>
      </c>
      <c r="O558" t="n">
        <v>0</v>
      </c>
      <c r="P558" t="n">
        <v>0</v>
      </c>
      <c r="Q558" t="n">
        <v>0</v>
      </c>
      <c r="R558" s="2" t="inlineStr"/>
    </row>
    <row r="559" ht="15" customHeight="1">
      <c r="A559" t="inlineStr">
        <is>
          <t>A 53903-2025</t>
        </is>
      </c>
      <c r="B559" s="1" t="n">
        <v>45961.43738425926</v>
      </c>
      <c r="C559" s="1" t="n">
        <v>46084</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28403-2023</t>
        </is>
      </c>
      <c r="B560" s="1" t="n">
        <v>45100.85270833333</v>
      </c>
      <c r="C560" s="1" t="n">
        <v>46084</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37088-2025</t>
        </is>
      </c>
      <c r="B561" s="1" t="n">
        <v>45875.45716435185</v>
      </c>
      <c r="C561" s="1" t="n">
        <v>46084</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37102-2025</t>
        </is>
      </c>
      <c r="B562" s="1" t="n">
        <v>45875.47454861111</v>
      </c>
      <c r="C562" s="1" t="n">
        <v>46084</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53920-2025</t>
        </is>
      </c>
      <c r="B563" s="1" t="n">
        <v>45961.44951388889</v>
      </c>
      <c r="C563" s="1" t="n">
        <v>46084</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53927-2025</t>
        </is>
      </c>
      <c r="B564" s="1" t="n">
        <v>45961.46740740741</v>
      </c>
      <c r="C564" s="1" t="n">
        <v>46084</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33103-2024</t>
        </is>
      </c>
      <c r="B565" s="1" t="n">
        <v>45517.8162037037</v>
      </c>
      <c r="C565" s="1" t="n">
        <v>46084</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53789-2025</t>
        </is>
      </c>
      <c r="B566" s="1" t="n">
        <v>45960</v>
      </c>
      <c r="C566" s="1" t="n">
        <v>46084</v>
      </c>
      <c r="D566" t="inlineStr">
        <is>
          <t>KALMAR LÄN</t>
        </is>
      </c>
      <c r="E566" t="inlineStr">
        <is>
          <t>VIMMERBY</t>
        </is>
      </c>
      <c r="F566" t="inlineStr">
        <is>
          <t>Övriga statliga verk och myndigheter</t>
        </is>
      </c>
      <c r="G566" t="n">
        <v>1.6</v>
      </c>
      <c r="H566" t="n">
        <v>0</v>
      </c>
      <c r="I566" t="n">
        <v>0</v>
      </c>
      <c r="J566" t="n">
        <v>0</v>
      </c>
      <c r="K566" t="n">
        <v>0</v>
      </c>
      <c r="L566" t="n">
        <v>0</v>
      </c>
      <c r="M566" t="n">
        <v>0</v>
      </c>
      <c r="N566" t="n">
        <v>0</v>
      </c>
      <c r="O566" t="n">
        <v>0</v>
      </c>
      <c r="P566" t="n">
        <v>0</v>
      </c>
      <c r="Q566" t="n">
        <v>0</v>
      </c>
      <c r="R566" s="2" t="inlineStr"/>
    </row>
    <row r="567" ht="15" customHeight="1">
      <c r="A567" t="inlineStr">
        <is>
          <t>A 53923-2025</t>
        </is>
      </c>
      <c r="B567" s="1" t="n">
        <v>45961.4569212963</v>
      </c>
      <c r="C567" s="1" t="n">
        <v>46084</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37079-2025</t>
        </is>
      </c>
      <c r="B568" s="1" t="n">
        <v>45875.42716435185</v>
      </c>
      <c r="C568" s="1" t="n">
        <v>46084</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53933-2025</t>
        </is>
      </c>
      <c r="B569" s="1" t="n">
        <v>45961.47650462963</v>
      </c>
      <c r="C569" s="1" t="n">
        <v>46084</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44578.62943287037</v>
      </c>
      <c r="C570" s="1" t="n">
        <v>46084</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36934-2025</t>
        </is>
      </c>
      <c r="B571" s="1" t="n">
        <v>45874.57109953704</v>
      </c>
      <c r="C571" s="1" t="n">
        <v>46084</v>
      </c>
      <c r="D571" t="inlineStr">
        <is>
          <t>KALMAR LÄN</t>
        </is>
      </c>
      <c r="E571" t="inlineStr">
        <is>
          <t>VIMMERBY</t>
        </is>
      </c>
      <c r="G571" t="n">
        <v>4.2</v>
      </c>
      <c r="H571" t="n">
        <v>0</v>
      </c>
      <c r="I571" t="n">
        <v>0</v>
      </c>
      <c r="J571" t="n">
        <v>0</v>
      </c>
      <c r="K571" t="n">
        <v>0</v>
      </c>
      <c r="L571" t="n">
        <v>0</v>
      </c>
      <c r="M571" t="n">
        <v>0</v>
      </c>
      <c r="N571" t="n">
        <v>0</v>
      </c>
      <c r="O571" t="n">
        <v>0</v>
      </c>
      <c r="P571" t="n">
        <v>0</v>
      </c>
      <c r="Q571" t="n">
        <v>0</v>
      </c>
      <c r="R571" s="2" t="inlineStr"/>
    </row>
    <row r="572" ht="15" customHeight="1">
      <c r="A572" t="inlineStr">
        <is>
          <t>A 11661-2023</t>
        </is>
      </c>
      <c r="B572" s="1" t="n">
        <v>44994.46908564815</v>
      </c>
      <c r="C572" s="1" t="n">
        <v>46084</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58046-2022</t>
        </is>
      </c>
      <c r="B573" s="1" t="n">
        <v>44900.57393518519</v>
      </c>
      <c r="C573" s="1" t="n">
        <v>46084</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53788-2025</t>
        </is>
      </c>
      <c r="B574" s="1" t="n">
        <v>45960</v>
      </c>
      <c r="C574" s="1" t="n">
        <v>46084</v>
      </c>
      <c r="D574" t="inlineStr">
        <is>
          <t>KALMAR LÄN</t>
        </is>
      </c>
      <c r="E574" t="inlineStr">
        <is>
          <t>VIMMERBY</t>
        </is>
      </c>
      <c r="F574" t="inlineStr">
        <is>
          <t>Övriga statliga verk och myndigheter</t>
        </is>
      </c>
      <c r="G574" t="n">
        <v>6.3</v>
      </c>
      <c r="H574" t="n">
        <v>0</v>
      </c>
      <c r="I574" t="n">
        <v>0</v>
      </c>
      <c r="J574" t="n">
        <v>0</v>
      </c>
      <c r="K574" t="n">
        <v>0</v>
      </c>
      <c r="L574" t="n">
        <v>0</v>
      </c>
      <c r="M574" t="n">
        <v>0</v>
      </c>
      <c r="N574" t="n">
        <v>0</v>
      </c>
      <c r="O574" t="n">
        <v>0</v>
      </c>
      <c r="P574" t="n">
        <v>0</v>
      </c>
      <c r="Q574" t="n">
        <v>0</v>
      </c>
      <c r="R574" s="2" t="inlineStr"/>
    </row>
    <row r="575" ht="15" customHeight="1">
      <c r="A575" t="inlineStr">
        <is>
          <t>A 45528-2021</t>
        </is>
      </c>
      <c r="B575" s="1" t="n">
        <v>44440.60415509259</v>
      </c>
      <c r="C575" s="1" t="n">
        <v>46084</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6321-2023</t>
        </is>
      </c>
      <c r="B576" s="1" t="n">
        <v>44965.4815162037</v>
      </c>
      <c r="C576" s="1" t="n">
        <v>46084</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4624-2024</t>
        </is>
      </c>
      <c r="B577" s="1" t="n">
        <v>45328.38755787037</v>
      </c>
      <c r="C577" s="1" t="n">
        <v>46084</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46979-2023</t>
        </is>
      </c>
      <c r="B578" s="1" t="n">
        <v>45201</v>
      </c>
      <c r="C578" s="1" t="n">
        <v>46084</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54236-2025</t>
        </is>
      </c>
      <c r="B579" s="1" t="n">
        <v>45964.62671296296</v>
      </c>
      <c r="C579" s="1" t="n">
        <v>46084</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6574-2023</t>
        </is>
      </c>
      <c r="B580" s="1" t="n">
        <v>44966</v>
      </c>
      <c r="C580" s="1" t="n">
        <v>46084</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4058-2024</t>
        </is>
      </c>
      <c r="B581" s="1" t="n">
        <v>45323.53744212963</v>
      </c>
      <c r="C581" s="1" t="n">
        <v>46084</v>
      </c>
      <c r="D581" t="inlineStr">
        <is>
          <t>KALMAR LÄN</t>
        </is>
      </c>
      <c r="E581" t="inlineStr">
        <is>
          <t>VIMMERBY</t>
        </is>
      </c>
      <c r="G581" t="n">
        <v>6.5</v>
      </c>
      <c r="H581" t="n">
        <v>0</v>
      </c>
      <c r="I581" t="n">
        <v>0</v>
      </c>
      <c r="J581" t="n">
        <v>0</v>
      </c>
      <c r="K581" t="n">
        <v>0</v>
      </c>
      <c r="L581" t="n">
        <v>0</v>
      </c>
      <c r="M581" t="n">
        <v>0</v>
      </c>
      <c r="N581" t="n">
        <v>0</v>
      </c>
      <c r="O581" t="n">
        <v>0</v>
      </c>
      <c r="P581" t="n">
        <v>0</v>
      </c>
      <c r="Q581" t="n">
        <v>0</v>
      </c>
      <c r="R581" s="2" t="inlineStr"/>
    </row>
    <row r="582" ht="15" customHeight="1">
      <c r="A582" t="inlineStr">
        <is>
          <t>A 54234-2025</t>
        </is>
      </c>
      <c r="B582" s="1" t="n">
        <v>45964.62486111111</v>
      </c>
      <c r="C582" s="1" t="n">
        <v>46084</v>
      </c>
      <c r="D582" t="inlineStr">
        <is>
          <t>KALMAR LÄN</t>
        </is>
      </c>
      <c r="E582" t="inlineStr">
        <is>
          <t>VIMMERBY</t>
        </is>
      </c>
      <c r="G582" t="n">
        <v>4.1</v>
      </c>
      <c r="H582" t="n">
        <v>0</v>
      </c>
      <c r="I582" t="n">
        <v>0</v>
      </c>
      <c r="J582" t="n">
        <v>0</v>
      </c>
      <c r="K582" t="n">
        <v>0</v>
      </c>
      <c r="L582" t="n">
        <v>0</v>
      </c>
      <c r="M582" t="n">
        <v>0</v>
      </c>
      <c r="N582" t="n">
        <v>0</v>
      </c>
      <c r="O582" t="n">
        <v>0</v>
      </c>
      <c r="P582" t="n">
        <v>0</v>
      </c>
      <c r="Q582" t="n">
        <v>0</v>
      </c>
      <c r="R582" s="2" t="inlineStr"/>
    </row>
    <row r="583" ht="15" customHeight="1">
      <c r="A583" t="inlineStr">
        <is>
          <t>A 37578-2025</t>
        </is>
      </c>
      <c r="B583" s="1" t="n">
        <v>45880.38380787037</v>
      </c>
      <c r="C583" s="1" t="n">
        <v>46084</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40730-2024</t>
        </is>
      </c>
      <c r="B584" s="1" t="n">
        <v>45558.44914351852</v>
      </c>
      <c r="C584" s="1" t="n">
        <v>46084</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1978-2024</t>
        </is>
      </c>
      <c r="B585" s="1" t="n">
        <v>45308.59001157407</v>
      </c>
      <c r="C585" s="1" t="n">
        <v>46084</v>
      </c>
      <c r="D585" t="inlineStr">
        <is>
          <t>KALMAR LÄN</t>
        </is>
      </c>
      <c r="E585" t="inlineStr">
        <is>
          <t>VIMMERBY</t>
        </is>
      </c>
      <c r="G585" t="n">
        <v>0.9</v>
      </c>
      <c r="H585" t="n">
        <v>0</v>
      </c>
      <c r="I585" t="n">
        <v>0</v>
      </c>
      <c r="J585" t="n">
        <v>0</v>
      </c>
      <c r="K585" t="n">
        <v>0</v>
      </c>
      <c r="L585" t="n">
        <v>0</v>
      </c>
      <c r="M585" t="n">
        <v>0</v>
      </c>
      <c r="N585" t="n">
        <v>0</v>
      </c>
      <c r="O585" t="n">
        <v>0</v>
      </c>
      <c r="P585" t="n">
        <v>0</v>
      </c>
      <c r="Q585" t="n">
        <v>0</v>
      </c>
      <c r="R585" s="2" t="inlineStr"/>
    </row>
    <row r="586" ht="15" customHeight="1">
      <c r="A586" t="inlineStr">
        <is>
          <t>A 30318-2023</t>
        </is>
      </c>
      <c r="B586" s="1" t="n">
        <v>45111.30824074074</v>
      </c>
      <c r="C586" s="1" t="n">
        <v>46084</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2157-2024</t>
        </is>
      </c>
      <c r="B587" s="1" t="n">
        <v>45309.59487268519</v>
      </c>
      <c r="C587" s="1" t="n">
        <v>46084</v>
      </c>
      <c r="D587" t="inlineStr">
        <is>
          <t>KALMAR LÄN</t>
        </is>
      </c>
      <c r="E587" t="inlineStr">
        <is>
          <t>VIMMERBY</t>
        </is>
      </c>
      <c r="G587" t="n">
        <v>0.7</v>
      </c>
      <c r="H587" t="n">
        <v>0</v>
      </c>
      <c r="I587" t="n">
        <v>0</v>
      </c>
      <c r="J587" t="n">
        <v>0</v>
      </c>
      <c r="K587" t="n">
        <v>0</v>
      </c>
      <c r="L587" t="n">
        <v>0</v>
      </c>
      <c r="M587" t="n">
        <v>0</v>
      </c>
      <c r="N587" t="n">
        <v>0</v>
      </c>
      <c r="O587" t="n">
        <v>0</v>
      </c>
      <c r="P587" t="n">
        <v>0</v>
      </c>
      <c r="Q587" t="n">
        <v>0</v>
      </c>
      <c r="R587" s="2" t="inlineStr"/>
    </row>
    <row r="588" ht="15" customHeight="1">
      <c r="A588" t="inlineStr">
        <is>
          <t>A 54737-2025</t>
        </is>
      </c>
      <c r="B588" s="1" t="n">
        <v>45966.56826388889</v>
      </c>
      <c r="C588" s="1" t="n">
        <v>46084</v>
      </c>
      <c r="D588" t="inlineStr">
        <is>
          <t>KALMAR LÄN</t>
        </is>
      </c>
      <c r="E588" t="inlineStr">
        <is>
          <t>VIMMERBY</t>
        </is>
      </c>
      <c r="G588" t="n">
        <v>2.1</v>
      </c>
      <c r="H588" t="n">
        <v>0</v>
      </c>
      <c r="I588" t="n">
        <v>0</v>
      </c>
      <c r="J588" t="n">
        <v>0</v>
      </c>
      <c r="K588" t="n">
        <v>0</v>
      </c>
      <c r="L588" t="n">
        <v>0</v>
      </c>
      <c r="M588" t="n">
        <v>0</v>
      </c>
      <c r="N588" t="n">
        <v>0</v>
      </c>
      <c r="O588" t="n">
        <v>0</v>
      </c>
      <c r="P588" t="n">
        <v>0</v>
      </c>
      <c r="Q588" t="n">
        <v>0</v>
      </c>
      <c r="R588" s="2" t="inlineStr"/>
    </row>
    <row r="589" ht="15" customHeight="1">
      <c r="A589" t="inlineStr">
        <is>
          <t>A 25234-2023</t>
        </is>
      </c>
      <c r="B589" s="1" t="n">
        <v>45086.63194444445</v>
      </c>
      <c r="C589" s="1" t="n">
        <v>46084</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46078-2023</t>
        </is>
      </c>
      <c r="B590" s="1" t="n">
        <v>45196</v>
      </c>
      <c r="C590" s="1" t="n">
        <v>46084</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37668-2025</t>
        </is>
      </c>
      <c r="B591" s="1" t="n">
        <v>45880.51550925926</v>
      </c>
      <c r="C591" s="1" t="n">
        <v>46084</v>
      </c>
      <c r="D591" t="inlineStr">
        <is>
          <t>KALMAR LÄN</t>
        </is>
      </c>
      <c r="E591" t="inlineStr">
        <is>
          <t>VIMMERBY</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54813-2025</t>
        </is>
      </c>
      <c r="B592" s="1" t="n">
        <v>45966.64881944445</v>
      </c>
      <c r="C592" s="1" t="n">
        <v>46084</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49461-2022</t>
        </is>
      </c>
      <c r="B593" s="1" t="n">
        <v>44861</v>
      </c>
      <c r="C593" s="1" t="n">
        <v>46084</v>
      </c>
      <c r="D593" t="inlineStr">
        <is>
          <t>KALMAR LÄN</t>
        </is>
      </c>
      <c r="E593" t="inlineStr">
        <is>
          <t>VIMMERBY</t>
        </is>
      </c>
      <c r="G593" t="n">
        <v>3.2</v>
      </c>
      <c r="H593" t="n">
        <v>0</v>
      </c>
      <c r="I593" t="n">
        <v>0</v>
      </c>
      <c r="J593" t="n">
        <v>0</v>
      </c>
      <c r="K593" t="n">
        <v>0</v>
      </c>
      <c r="L593" t="n">
        <v>0</v>
      </c>
      <c r="M593" t="n">
        <v>0</v>
      </c>
      <c r="N593" t="n">
        <v>0</v>
      </c>
      <c r="O593" t="n">
        <v>0</v>
      </c>
      <c r="P593" t="n">
        <v>0</v>
      </c>
      <c r="Q593" t="n">
        <v>0</v>
      </c>
      <c r="R593" s="2" t="inlineStr"/>
    </row>
    <row r="594" ht="15" customHeight="1">
      <c r="A594" t="inlineStr">
        <is>
          <t>A 37939-2025</t>
        </is>
      </c>
      <c r="B594" s="1" t="n">
        <v>45881.59877314815</v>
      </c>
      <c r="C594" s="1" t="n">
        <v>46084</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55602-2025</t>
        </is>
      </c>
      <c r="B595" s="1" t="n">
        <v>45971</v>
      </c>
      <c r="C595" s="1" t="n">
        <v>46084</v>
      </c>
      <c r="D595" t="inlineStr">
        <is>
          <t>KALMAR LÄN</t>
        </is>
      </c>
      <c r="E595" t="inlineStr">
        <is>
          <t>VIMMERBY</t>
        </is>
      </c>
      <c r="G595" t="n">
        <v>2.7</v>
      </c>
      <c r="H595" t="n">
        <v>0</v>
      </c>
      <c r="I595" t="n">
        <v>0</v>
      </c>
      <c r="J595" t="n">
        <v>0</v>
      </c>
      <c r="K595" t="n">
        <v>0</v>
      </c>
      <c r="L595" t="n">
        <v>0</v>
      </c>
      <c r="M595" t="n">
        <v>0</v>
      </c>
      <c r="N595" t="n">
        <v>0</v>
      </c>
      <c r="O595" t="n">
        <v>0</v>
      </c>
      <c r="P595" t="n">
        <v>0</v>
      </c>
      <c r="Q595" t="n">
        <v>0</v>
      </c>
      <c r="R595" s="2" t="inlineStr"/>
    </row>
    <row r="596" ht="15" customHeight="1">
      <c r="A596" t="inlineStr">
        <is>
          <t>A 37866-2025</t>
        </is>
      </c>
      <c r="B596" s="1" t="n">
        <v>45881</v>
      </c>
      <c r="C596" s="1" t="n">
        <v>46084</v>
      </c>
      <c r="D596" t="inlineStr">
        <is>
          <t>KALMAR LÄN</t>
        </is>
      </c>
      <c r="E596" t="inlineStr">
        <is>
          <t>VIMMERBY</t>
        </is>
      </c>
      <c r="G596" t="n">
        <v>3.4</v>
      </c>
      <c r="H596" t="n">
        <v>0</v>
      </c>
      <c r="I596" t="n">
        <v>0</v>
      </c>
      <c r="J596" t="n">
        <v>0</v>
      </c>
      <c r="K596" t="n">
        <v>0</v>
      </c>
      <c r="L596" t="n">
        <v>0</v>
      </c>
      <c r="M596" t="n">
        <v>0</v>
      </c>
      <c r="N596" t="n">
        <v>0</v>
      </c>
      <c r="O596" t="n">
        <v>0</v>
      </c>
      <c r="P596" t="n">
        <v>0</v>
      </c>
      <c r="Q596" t="n">
        <v>0</v>
      </c>
      <c r="R596" s="2" t="inlineStr"/>
    </row>
    <row r="597" ht="15" customHeight="1">
      <c r="A597" t="inlineStr">
        <is>
          <t>A 694-2024</t>
        </is>
      </c>
      <c r="B597" s="1" t="n">
        <v>45300.3794212963</v>
      </c>
      <c r="C597" s="1" t="n">
        <v>46084</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55603-2025</t>
        </is>
      </c>
      <c r="B598" s="1" t="n">
        <v>45971</v>
      </c>
      <c r="C598" s="1" t="n">
        <v>46084</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55605-2025</t>
        </is>
      </c>
      <c r="B599" s="1" t="n">
        <v>45971</v>
      </c>
      <c r="C599" s="1" t="n">
        <v>46084</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3609-2024</t>
        </is>
      </c>
      <c r="B600" s="1" t="n">
        <v>45320.89128472222</v>
      </c>
      <c r="C600" s="1" t="n">
        <v>46084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55385-2025</t>
        </is>
      </c>
      <c r="B601" s="1" t="n">
        <v>45971.43350694444</v>
      </c>
      <c r="C601" s="1" t="n">
        <v>46084</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10424-2023</t>
        </is>
      </c>
      <c r="B602" s="1" t="n">
        <v>44987.54104166666</v>
      </c>
      <c r="C602" s="1" t="n">
        <v>46084</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59598-2023</t>
        </is>
      </c>
      <c r="B603" s="1" t="n">
        <v>45254.62489583333</v>
      </c>
      <c r="C603" s="1" t="n">
        <v>46084</v>
      </c>
      <c r="D603" t="inlineStr">
        <is>
          <t>KALMAR LÄN</t>
        </is>
      </c>
      <c r="E603" t="inlineStr">
        <is>
          <t>VIMMERBY</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7944-2024</t>
        </is>
      </c>
      <c r="B604" s="1" t="n">
        <v>45350.53306712963</v>
      </c>
      <c r="C604" s="1" t="n">
        <v>46084</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21496-2023</t>
        </is>
      </c>
      <c r="B605" s="1" t="n">
        <v>45063.49936342592</v>
      </c>
      <c r="C605" s="1" t="n">
        <v>46084</v>
      </c>
      <c r="D605" t="inlineStr">
        <is>
          <t>KALMAR LÄN</t>
        </is>
      </c>
      <c r="E605" t="inlineStr">
        <is>
          <t>VIMMERBY</t>
        </is>
      </c>
      <c r="G605" t="n">
        <v>1.1</v>
      </c>
      <c r="H605" t="n">
        <v>0</v>
      </c>
      <c r="I605" t="n">
        <v>0</v>
      </c>
      <c r="J605" t="n">
        <v>0</v>
      </c>
      <c r="K605" t="n">
        <v>0</v>
      </c>
      <c r="L605" t="n">
        <v>0</v>
      </c>
      <c r="M605" t="n">
        <v>0</v>
      </c>
      <c r="N605" t="n">
        <v>0</v>
      </c>
      <c r="O605" t="n">
        <v>0</v>
      </c>
      <c r="P605" t="n">
        <v>0</v>
      </c>
      <c r="Q605" t="n">
        <v>0</v>
      </c>
      <c r="R605" s="2" t="inlineStr"/>
    </row>
    <row r="606" ht="15" customHeight="1">
      <c r="A606" t="inlineStr">
        <is>
          <t>A 38964-2025</t>
        </is>
      </c>
      <c r="B606" s="1" t="n">
        <v>45887.68759259259</v>
      </c>
      <c r="C606" s="1" t="n">
        <v>46084</v>
      </c>
      <c r="D606" t="inlineStr">
        <is>
          <t>KALMAR LÄN</t>
        </is>
      </c>
      <c r="E606" t="inlineStr">
        <is>
          <t>VIMMERBY</t>
        </is>
      </c>
      <c r="G606" t="n">
        <v>7.5</v>
      </c>
      <c r="H606" t="n">
        <v>0</v>
      </c>
      <c r="I606" t="n">
        <v>0</v>
      </c>
      <c r="J606" t="n">
        <v>0</v>
      </c>
      <c r="K606" t="n">
        <v>0</v>
      </c>
      <c r="L606" t="n">
        <v>0</v>
      </c>
      <c r="M606" t="n">
        <v>0</v>
      </c>
      <c r="N606" t="n">
        <v>0</v>
      </c>
      <c r="O606" t="n">
        <v>0</v>
      </c>
      <c r="P606" t="n">
        <v>0</v>
      </c>
      <c r="Q606" t="n">
        <v>0</v>
      </c>
      <c r="R606" s="2" t="inlineStr"/>
    </row>
    <row r="607" ht="15" customHeight="1">
      <c r="A607" t="inlineStr">
        <is>
          <t>A 49382-2023</t>
        </is>
      </c>
      <c r="B607" s="1" t="n">
        <v>45208</v>
      </c>
      <c r="C607" s="1" t="n">
        <v>46084</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12810-2023</t>
        </is>
      </c>
      <c r="B608" s="1" t="n">
        <v>45001.43854166667</v>
      </c>
      <c r="C608" s="1" t="n">
        <v>46084</v>
      </c>
      <c r="D608" t="inlineStr">
        <is>
          <t>KALMAR LÄN</t>
        </is>
      </c>
      <c r="E608" t="inlineStr">
        <is>
          <t>VIMMERBY</t>
        </is>
      </c>
      <c r="G608" t="n">
        <v>1.5</v>
      </c>
      <c r="H608" t="n">
        <v>0</v>
      </c>
      <c r="I608" t="n">
        <v>0</v>
      </c>
      <c r="J608" t="n">
        <v>0</v>
      </c>
      <c r="K608" t="n">
        <v>0</v>
      </c>
      <c r="L608" t="n">
        <v>0</v>
      </c>
      <c r="M608" t="n">
        <v>0</v>
      </c>
      <c r="N608" t="n">
        <v>0</v>
      </c>
      <c r="O608" t="n">
        <v>0</v>
      </c>
      <c r="P608" t="n">
        <v>0</v>
      </c>
      <c r="Q608" t="n">
        <v>0</v>
      </c>
      <c r="R608" s="2" t="inlineStr"/>
    </row>
    <row r="609" ht="15" customHeight="1">
      <c r="A609" t="inlineStr">
        <is>
          <t>A 3425-2022</t>
        </is>
      </c>
      <c r="B609" s="1" t="n">
        <v>44585.51060185185</v>
      </c>
      <c r="C609" s="1" t="n">
        <v>46084</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60675-2023</t>
        </is>
      </c>
      <c r="B610" s="1" t="n">
        <v>45260.4716550926</v>
      </c>
      <c r="C610" s="1" t="n">
        <v>46084</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2536-2023</t>
        </is>
      </c>
      <c r="B611" s="1" t="n">
        <v>44943.62954861111</v>
      </c>
      <c r="C611" s="1" t="n">
        <v>46084</v>
      </c>
      <c r="D611" t="inlineStr">
        <is>
          <t>KALMAR LÄN</t>
        </is>
      </c>
      <c r="E611" t="inlineStr">
        <is>
          <t>VIMMERBY</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11111-2024</t>
        </is>
      </c>
      <c r="B612" s="1" t="n">
        <v>45371.36359953704</v>
      </c>
      <c r="C612" s="1" t="n">
        <v>46084</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1687-2023</t>
        </is>
      </c>
      <c r="B613" s="1" t="n">
        <v>44938</v>
      </c>
      <c r="C613" s="1" t="n">
        <v>46084</v>
      </c>
      <c r="D613" t="inlineStr">
        <is>
          <t>KALMAR LÄN</t>
        </is>
      </c>
      <c r="E613" t="inlineStr">
        <is>
          <t>VIMMERBY</t>
        </is>
      </c>
      <c r="F613" t="inlineStr">
        <is>
          <t>Kommuner</t>
        </is>
      </c>
      <c r="G613" t="n">
        <v>2.5</v>
      </c>
      <c r="H613" t="n">
        <v>0</v>
      </c>
      <c r="I613" t="n">
        <v>0</v>
      </c>
      <c r="J613" t="n">
        <v>0</v>
      </c>
      <c r="K613" t="n">
        <v>0</v>
      </c>
      <c r="L613" t="n">
        <v>0</v>
      </c>
      <c r="M613" t="n">
        <v>0</v>
      </c>
      <c r="N613" t="n">
        <v>0</v>
      </c>
      <c r="O613" t="n">
        <v>0</v>
      </c>
      <c r="P613" t="n">
        <v>0</v>
      </c>
      <c r="Q613" t="n">
        <v>0</v>
      </c>
      <c r="R613" s="2" t="inlineStr"/>
    </row>
    <row r="614" ht="15" customHeight="1">
      <c r="A614" t="inlineStr">
        <is>
          <t>A 29783-2024</t>
        </is>
      </c>
      <c r="B614" s="1" t="n">
        <v>45485.45778935185</v>
      </c>
      <c r="C614" s="1" t="n">
        <v>46084</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3494-2023</t>
        </is>
      </c>
      <c r="B615" s="1" t="n">
        <v>44949</v>
      </c>
      <c r="C615" s="1" t="n">
        <v>46084</v>
      </c>
      <c r="D615" t="inlineStr">
        <is>
          <t>KALMAR LÄN</t>
        </is>
      </c>
      <c r="E615" t="inlineStr">
        <is>
          <t>VIMMERBY</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15449-2023</t>
        </is>
      </c>
      <c r="B616" s="1" t="n">
        <v>45020</v>
      </c>
      <c r="C616" s="1" t="n">
        <v>46084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43242-2024</t>
        </is>
      </c>
      <c r="B617" s="1" t="n">
        <v>45568.30189814815</v>
      </c>
      <c r="C617" s="1" t="n">
        <v>46084</v>
      </c>
      <c r="D617" t="inlineStr">
        <is>
          <t>KALMAR LÄN</t>
        </is>
      </c>
      <c r="E617" t="inlineStr">
        <is>
          <t>VIMMERBY</t>
        </is>
      </c>
      <c r="G617" t="n">
        <v>2.6</v>
      </c>
      <c r="H617" t="n">
        <v>0</v>
      </c>
      <c r="I617" t="n">
        <v>0</v>
      </c>
      <c r="J617" t="n">
        <v>0</v>
      </c>
      <c r="K617" t="n">
        <v>0</v>
      </c>
      <c r="L617" t="n">
        <v>0</v>
      </c>
      <c r="M617" t="n">
        <v>0</v>
      </c>
      <c r="N617" t="n">
        <v>0</v>
      </c>
      <c r="O617" t="n">
        <v>0</v>
      </c>
      <c r="P617" t="n">
        <v>0</v>
      </c>
      <c r="Q617" t="n">
        <v>0</v>
      </c>
      <c r="R617" s="2" t="inlineStr"/>
    </row>
    <row r="618" ht="15" customHeight="1">
      <c r="A618" t="inlineStr">
        <is>
          <t>A 8696-2026</t>
        </is>
      </c>
      <c r="B618" s="1" t="n">
        <v>46066.45273148148</v>
      </c>
      <c r="C618" s="1" t="n">
        <v>46084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8595-2026</t>
        </is>
      </c>
      <c r="B619" s="1" t="n">
        <v>46065.7372337963</v>
      </c>
      <c r="C619" s="1" t="n">
        <v>46084</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56853-2022</t>
        </is>
      </c>
      <c r="B620" s="1" t="n">
        <v>44894.49538194444</v>
      </c>
      <c r="C620" s="1" t="n">
        <v>46084</v>
      </c>
      <c r="D620" t="inlineStr">
        <is>
          <t>KALMAR LÄN</t>
        </is>
      </c>
      <c r="E620" t="inlineStr">
        <is>
          <t>VIMMERBY</t>
        </is>
      </c>
      <c r="G620" t="n">
        <v>4.3</v>
      </c>
      <c r="H620" t="n">
        <v>0</v>
      </c>
      <c r="I620" t="n">
        <v>0</v>
      </c>
      <c r="J620" t="n">
        <v>0</v>
      </c>
      <c r="K620" t="n">
        <v>0</v>
      </c>
      <c r="L620" t="n">
        <v>0</v>
      </c>
      <c r="M620" t="n">
        <v>0</v>
      </c>
      <c r="N620" t="n">
        <v>0</v>
      </c>
      <c r="O620" t="n">
        <v>0</v>
      </c>
      <c r="P620" t="n">
        <v>0</v>
      </c>
      <c r="Q620" t="n">
        <v>0</v>
      </c>
      <c r="R620" s="2" t="inlineStr"/>
    </row>
    <row r="621" ht="15" customHeight="1">
      <c r="A621" t="inlineStr">
        <is>
          <t>A 35198-2023</t>
        </is>
      </c>
      <c r="B621" s="1" t="n">
        <v>45145</v>
      </c>
      <c r="C621" s="1" t="n">
        <v>46084</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57728-2025</t>
        </is>
      </c>
      <c r="B622" s="1" t="n">
        <v>45981</v>
      </c>
      <c r="C622" s="1" t="n">
        <v>46084</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579-2026</t>
        </is>
      </c>
      <c r="B623" s="1" t="n">
        <v>46029.47912037037</v>
      </c>
      <c r="C623" s="1" t="n">
        <v>46084</v>
      </c>
      <c r="D623" t="inlineStr">
        <is>
          <t>KALMAR LÄN</t>
        </is>
      </c>
      <c r="E623" t="inlineStr">
        <is>
          <t>VIMMERBY</t>
        </is>
      </c>
      <c r="G623" t="n">
        <v>3</v>
      </c>
      <c r="H623" t="n">
        <v>0</v>
      </c>
      <c r="I623" t="n">
        <v>0</v>
      </c>
      <c r="J623" t="n">
        <v>0</v>
      </c>
      <c r="K623" t="n">
        <v>0</v>
      </c>
      <c r="L623" t="n">
        <v>0</v>
      </c>
      <c r="M623" t="n">
        <v>0</v>
      </c>
      <c r="N623" t="n">
        <v>0</v>
      </c>
      <c r="O623" t="n">
        <v>0</v>
      </c>
      <c r="P623" t="n">
        <v>0</v>
      </c>
      <c r="Q623" t="n">
        <v>0</v>
      </c>
      <c r="R623" s="2" t="inlineStr"/>
    </row>
    <row r="624" ht="15" customHeight="1">
      <c r="A624" t="inlineStr">
        <is>
          <t>A 58503-2025</t>
        </is>
      </c>
      <c r="B624" s="1" t="n">
        <v>45985.69509259259</v>
      </c>
      <c r="C624" s="1" t="n">
        <v>46084</v>
      </c>
      <c r="D624" t="inlineStr">
        <is>
          <t>KALMAR LÄN</t>
        </is>
      </c>
      <c r="E624" t="inlineStr">
        <is>
          <t>VIMMERBY</t>
        </is>
      </c>
      <c r="G624" t="n">
        <v>1.6</v>
      </c>
      <c r="H624" t="n">
        <v>0</v>
      </c>
      <c r="I624" t="n">
        <v>0</v>
      </c>
      <c r="J624" t="n">
        <v>0</v>
      </c>
      <c r="K624" t="n">
        <v>0</v>
      </c>
      <c r="L624" t="n">
        <v>0</v>
      </c>
      <c r="M624" t="n">
        <v>0</v>
      </c>
      <c r="N624" t="n">
        <v>0</v>
      </c>
      <c r="O624" t="n">
        <v>0</v>
      </c>
      <c r="P624" t="n">
        <v>0</v>
      </c>
      <c r="Q624" t="n">
        <v>0</v>
      </c>
      <c r="R624" s="2" t="inlineStr"/>
    </row>
    <row r="625" ht="15" customHeight="1">
      <c r="A625" t="inlineStr">
        <is>
          <t>A 33815-2022</t>
        </is>
      </c>
      <c r="B625" s="1" t="n">
        <v>44790.45876157407</v>
      </c>
      <c r="C625" s="1" t="n">
        <v>46084</v>
      </c>
      <c r="D625" t="inlineStr">
        <is>
          <t>KALMAR LÄN</t>
        </is>
      </c>
      <c r="E625" t="inlineStr">
        <is>
          <t>VIMMERBY</t>
        </is>
      </c>
      <c r="G625" t="n">
        <v>0.9</v>
      </c>
      <c r="H625" t="n">
        <v>0</v>
      </c>
      <c r="I625" t="n">
        <v>0</v>
      </c>
      <c r="J625" t="n">
        <v>0</v>
      </c>
      <c r="K625" t="n">
        <v>0</v>
      </c>
      <c r="L625" t="n">
        <v>0</v>
      </c>
      <c r="M625" t="n">
        <v>0</v>
      </c>
      <c r="N625" t="n">
        <v>0</v>
      </c>
      <c r="O625" t="n">
        <v>0</v>
      </c>
      <c r="P625" t="n">
        <v>0</v>
      </c>
      <c r="Q625" t="n">
        <v>0</v>
      </c>
      <c r="R625" s="2" t="inlineStr"/>
    </row>
    <row r="626" ht="15" customHeight="1">
      <c r="A626" t="inlineStr">
        <is>
          <t>A 33842-2022</t>
        </is>
      </c>
      <c r="B626" s="1" t="n">
        <v>44790.49523148148</v>
      </c>
      <c r="C626" s="1" t="n">
        <v>46084</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58498-2025</t>
        </is>
      </c>
      <c r="B627" s="1" t="n">
        <v>45985.68671296296</v>
      </c>
      <c r="C627" s="1" t="n">
        <v>46084</v>
      </c>
      <c r="D627" t="inlineStr">
        <is>
          <t>KALMAR LÄN</t>
        </is>
      </c>
      <c r="E627" t="inlineStr">
        <is>
          <t>VIMMERBY</t>
        </is>
      </c>
      <c r="G627" t="n">
        <v>2.1</v>
      </c>
      <c r="H627" t="n">
        <v>0</v>
      </c>
      <c r="I627" t="n">
        <v>0</v>
      </c>
      <c r="J627" t="n">
        <v>0</v>
      </c>
      <c r="K627" t="n">
        <v>0</v>
      </c>
      <c r="L627" t="n">
        <v>0</v>
      </c>
      <c r="M627" t="n">
        <v>0</v>
      </c>
      <c r="N627" t="n">
        <v>0</v>
      </c>
      <c r="O627" t="n">
        <v>0</v>
      </c>
      <c r="P627" t="n">
        <v>0</v>
      </c>
      <c r="Q627" t="n">
        <v>0</v>
      </c>
      <c r="R627" s="2" t="inlineStr"/>
    </row>
    <row r="628" ht="15" customHeight="1">
      <c r="A628" t="inlineStr">
        <is>
          <t>A 58501-2025</t>
        </is>
      </c>
      <c r="B628" s="1" t="n">
        <v>45985.69153935185</v>
      </c>
      <c r="C628" s="1" t="n">
        <v>46084</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58514-2025</t>
        </is>
      </c>
      <c r="B629" s="1" t="n">
        <v>45985.70513888889</v>
      </c>
      <c r="C629" s="1" t="n">
        <v>46084</v>
      </c>
      <c r="D629" t="inlineStr">
        <is>
          <t>KALMAR LÄN</t>
        </is>
      </c>
      <c r="E629" t="inlineStr">
        <is>
          <t>VIMMERBY</t>
        </is>
      </c>
      <c r="G629" t="n">
        <v>3.7</v>
      </c>
      <c r="H629" t="n">
        <v>0</v>
      </c>
      <c r="I629" t="n">
        <v>0</v>
      </c>
      <c r="J629" t="n">
        <v>0</v>
      </c>
      <c r="K629" t="n">
        <v>0</v>
      </c>
      <c r="L629" t="n">
        <v>0</v>
      </c>
      <c r="M629" t="n">
        <v>0</v>
      </c>
      <c r="N629" t="n">
        <v>0</v>
      </c>
      <c r="O629" t="n">
        <v>0</v>
      </c>
      <c r="P629" t="n">
        <v>0</v>
      </c>
      <c r="Q629" t="n">
        <v>0</v>
      </c>
      <c r="R629" s="2" t="inlineStr"/>
    </row>
    <row r="630" ht="15" customHeight="1">
      <c r="A630" t="inlineStr">
        <is>
          <t>A 58442-2025</t>
        </is>
      </c>
      <c r="B630" s="1" t="n">
        <v>45985.61635416667</v>
      </c>
      <c r="C630" s="1" t="n">
        <v>46084</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58435-2025</t>
        </is>
      </c>
      <c r="B631" s="1" t="n">
        <v>45985.61501157407</v>
      </c>
      <c r="C631" s="1" t="n">
        <v>46084</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58446-2025</t>
        </is>
      </c>
      <c r="B632" s="1" t="n">
        <v>45985.62168981481</v>
      </c>
      <c r="C632" s="1" t="n">
        <v>46084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43853-2023</t>
        </is>
      </c>
      <c r="B633" s="1" t="n">
        <v>45187.60813657408</v>
      </c>
      <c r="C633" s="1" t="n">
        <v>46084</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58500-2025</t>
        </is>
      </c>
      <c r="B634" s="1" t="n">
        <v>45985.69008101852</v>
      </c>
      <c r="C634" s="1" t="n">
        <v>46084</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409-2026</t>
        </is>
      </c>
      <c r="B635" s="1" t="n">
        <v>46028.69432870371</v>
      </c>
      <c r="C635" s="1" t="n">
        <v>46084</v>
      </c>
      <c r="D635" t="inlineStr">
        <is>
          <t>KALMAR LÄN</t>
        </is>
      </c>
      <c r="E635" t="inlineStr">
        <is>
          <t>VIMMERBY</t>
        </is>
      </c>
      <c r="G635" t="n">
        <v>2.2</v>
      </c>
      <c r="H635" t="n">
        <v>0</v>
      </c>
      <c r="I635" t="n">
        <v>0</v>
      </c>
      <c r="J635" t="n">
        <v>0</v>
      </c>
      <c r="K635" t="n">
        <v>0</v>
      </c>
      <c r="L635" t="n">
        <v>0</v>
      </c>
      <c r="M635" t="n">
        <v>0</v>
      </c>
      <c r="N635" t="n">
        <v>0</v>
      </c>
      <c r="O635" t="n">
        <v>0</v>
      </c>
      <c r="P635" t="n">
        <v>0</v>
      </c>
      <c r="Q635" t="n">
        <v>0</v>
      </c>
      <c r="R635" s="2" t="inlineStr"/>
    </row>
    <row r="636" ht="15" customHeight="1">
      <c r="A636" t="inlineStr">
        <is>
          <t>A 406-2026</t>
        </is>
      </c>
      <c r="B636" s="1" t="n">
        <v>46028.68663194445</v>
      </c>
      <c r="C636" s="1" t="n">
        <v>46084</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58841-2025</t>
        </is>
      </c>
      <c r="B637" s="1" t="n">
        <v>45987.36275462963</v>
      </c>
      <c r="C637" s="1" t="n">
        <v>46084</v>
      </c>
      <c r="D637" t="inlineStr">
        <is>
          <t>KALMAR LÄN</t>
        </is>
      </c>
      <c r="E637" t="inlineStr">
        <is>
          <t>VIMMERBY</t>
        </is>
      </c>
      <c r="G637" t="n">
        <v>3.5</v>
      </c>
      <c r="H637" t="n">
        <v>0</v>
      </c>
      <c r="I637" t="n">
        <v>0</v>
      </c>
      <c r="J637" t="n">
        <v>0</v>
      </c>
      <c r="K637" t="n">
        <v>0</v>
      </c>
      <c r="L637" t="n">
        <v>0</v>
      </c>
      <c r="M637" t="n">
        <v>0</v>
      </c>
      <c r="N637" t="n">
        <v>0</v>
      </c>
      <c r="O637" t="n">
        <v>0</v>
      </c>
      <c r="P637" t="n">
        <v>0</v>
      </c>
      <c r="Q637" t="n">
        <v>0</v>
      </c>
      <c r="R637" s="2" t="inlineStr"/>
    </row>
    <row r="638" ht="15" customHeight="1">
      <c r="A638" t="inlineStr">
        <is>
          <t>A 49408-2023</t>
        </is>
      </c>
      <c r="B638" s="1" t="n">
        <v>45211.43555555555</v>
      </c>
      <c r="C638" s="1" t="n">
        <v>46084</v>
      </c>
      <c r="D638" t="inlineStr">
        <is>
          <t>KALMAR LÄN</t>
        </is>
      </c>
      <c r="E638" t="inlineStr">
        <is>
          <t>VIMMERBY</t>
        </is>
      </c>
      <c r="G638" t="n">
        <v>13.1</v>
      </c>
      <c r="H638" t="n">
        <v>0</v>
      </c>
      <c r="I638" t="n">
        <v>0</v>
      </c>
      <c r="J638" t="n">
        <v>0</v>
      </c>
      <c r="K638" t="n">
        <v>0</v>
      </c>
      <c r="L638" t="n">
        <v>0</v>
      </c>
      <c r="M638" t="n">
        <v>0</v>
      </c>
      <c r="N638" t="n">
        <v>0</v>
      </c>
      <c r="O638" t="n">
        <v>0</v>
      </c>
      <c r="P638" t="n">
        <v>0</v>
      </c>
      <c r="Q638" t="n">
        <v>0</v>
      </c>
      <c r="R638" s="2" t="inlineStr"/>
    </row>
    <row r="639" ht="15" customHeight="1">
      <c r="A639" t="inlineStr">
        <is>
          <t>A 56536-2022</t>
        </is>
      </c>
      <c r="B639" s="1" t="n">
        <v>44893</v>
      </c>
      <c r="C639" s="1" t="n">
        <v>46084</v>
      </c>
      <c r="D639" t="inlineStr">
        <is>
          <t>KALMAR LÄN</t>
        </is>
      </c>
      <c r="E639" t="inlineStr">
        <is>
          <t>VIMMERBY</t>
        </is>
      </c>
      <c r="G639" t="n">
        <v>3.2</v>
      </c>
      <c r="H639" t="n">
        <v>0</v>
      </c>
      <c r="I639" t="n">
        <v>0</v>
      </c>
      <c r="J639" t="n">
        <v>0</v>
      </c>
      <c r="K639" t="n">
        <v>0</v>
      </c>
      <c r="L639" t="n">
        <v>0</v>
      </c>
      <c r="M639" t="n">
        <v>0</v>
      </c>
      <c r="N639" t="n">
        <v>0</v>
      </c>
      <c r="O639" t="n">
        <v>0</v>
      </c>
      <c r="P639" t="n">
        <v>0</v>
      </c>
      <c r="Q639" t="n">
        <v>0</v>
      </c>
      <c r="R639" s="2" t="inlineStr"/>
    </row>
    <row r="640" ht="15" customHeight="1">
      <c r="A640" t="inlineStr">
        <is>
          <t>A 41199-2023</t>
        </is>
      </c>
      <c r="B640" s="1" t="n">
        <v>45174.40454861111</v>
      </c>
      <c r="C640" s="1" t="n">
        <v>46084</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58858-2025</t>
        </is>
      </c>
      <c r="B641" s="1" t="n">
        <v>45987.4243287037</v>
      </c>
      <c r="C641" s="1" t="n">
        <v>46084</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9511-2023</t>
        </is>
      </c>
      <c r="B642" s="1" t="n">
        <v>44981.64725694444</v>
      </c>
      <c r="C642" s="1" t="n">
        <v>46084</v>
      </c>
      <c r="D642" t="inlineStr">
        <is>
          <t>KALMAR LÄN</t>
        </is>
      </c>
      <c r="E642" t="inlineStr">
        <is>
          <t>VIMMERBY</t>
        </is>
      </c>
      <c r="G642" t="n">
        <v>3.5</v>
      </c>
      <c r="H642" t="n">
        <v>0</v>
      </c>
      <c r="I642" t="n">
        <v>0</v>
      </c>
      <c r="J642" t="n">
        <v>0</v>
      </c>
      <c r="K642" t="n">
        <v>0</v>
      </c>
      <c r="L642" t="n">
        <v>0</v>
      </c>
      <c r="M642" t="n">
        <v>0</v>
      </c>
      <c r="N642" t="n">
        <v>0</v>
      </c>
      <c r="O642" t="n">
        <v>0</v>
      </c>
      <c r="P642" t="n">
        <v>0</v>
      </c>
      <c r="Q642" t="n">
        <v>0</v>
      </c>
      <c r="R642" s="2" t="inlineStr"/>
    </row>
    <row r="643" ht="15" customHeight="1">
      <c r="A643" t="inlineStr">
        <is>
          <t>A 8945-2025</t>
        </is>
      </c>
      <c r="B643" s="1" t="n">
        <v>45713.45311342592</v>
      </c>
      <c r="C643" s="1" t="n">
        <v>46084</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38757-2023</t>
        </is>
      </c>
      <c r="B644" s="1" t="n">
        <v>45163.41376157408</v>
      </c>
      <c r="C644" s="1" t="n">
        <v>46084</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11619-2023</t>
        </is>
      </c>
      <c r="B645" s="1" t="n">
        <v>44994.42113425926</v>
      </c>
      <c r="C645" s="1" t="n">
        <v>46084</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29973-2023</t>
        </is>
      </c>
      <c r="B646" s="1" t="n">
        <v>45108.703125</v>
      </c>
      <c r="C646" s="1" t="n">
        <v>46084</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41896-2023</t>
        </is>
      </c>
      <c r="B647" s="1" t="n">
        <v>45176.72427083334</v>
      </c>
      <c r="C647" s="1" t="n">
        <v>46084</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64143-2021</t>
        </is>
      </c>
      <c r="B648" s="1" t="n">
        <v>44510.52157407408</v>
      </c>
      <c r="C648" s="1" t="n">
        <v>46084</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842-2026</t>
        </is>
      </c>
      <c r="B649" s="1" t="n">
        <v>46030.380625</v>
      </c>
      <c r="C649" s="1" t="n">
        <v>46084</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73938-2021</t>
        </is>
      </c>
      <c r="B650" s="1" t="n">
        <v>44553</v>
      </c>
      <c r="C650" s="1" t="n">
        <v>46084</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59039-2025</t>
        </is>
      </c>
      <c r="B651" s="1" t="n">
        <v>45988.36790509259</v>
      </c>
      <c r="C651" s="1" t="n">
        <v>46084</v>
      </c>
      <c r="D651" t="inlineStr">
        <is>
          <t>KALMAR LÄN</t>
        </is>
      </c>
      <c r="E651" t="inlineStr">
        <is>
          <t>VIMMERBY</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59034-2025</t>
        </is>
      </c>
      <c r="B652" s="1" t="n">
        <v>45988.36243055556</v>
      </c>
      <c r="C652" s="1" t="n">
        <v>46084</v>
      </c>
      <c r="D652" t="inlineStr">
        <is>
          <t>KALMAR LÄN</t>
        </is>
      </c>
      <c r="E652" t="inlineStr">
        <is>
          <t>VIMMERBY</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17926-2025</t>
        </is>
      </c>
      <c r="B653" s="1" t="n">
        <v>45759.38987268518</v>
      </c>
      <c r="C653" s="1" t="n">
        <v>46084</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59037-2025</t>
        </is>
      </c>
      <c r="B654" s="1" t="n">
        <v>45988.36508101852</v>
      </c>
      <c r="C654" s="1" t="n">
        <v>46084</v>
      </c>
      <c r="D654" t="inlineStr">
        <is>
          <t>KALMAR LÄN</t>
        </is>
      </c>
      <c r="E654" t="inlineStr">
        <is>
          <t>VIMMERBY</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59068-2025</t>
        </is>
      </c>
      <c r="B655" s="1" t="n">
        <v>45988.41725694444</v>
      </c>
      <c r="C655" s="1" t="n">
        <v>46084</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21028-2023</t>
        </is>
      </c>
      <c r="B656" s="1" t="n">
        <v>45061</v>
      </c>
      <c r="C656" s="1" t="n">
        <v>46084</v>
      </c>
      <c r="D656" t="inlineStr">
        <is>
          <t>KALMAR LÄN</t>
        </is>
      </c>
      <c r="E656" t="inlineStr">
        <is>
          <t>VIMMERBY</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59579-2025</t>
        </is>
      </c>
      <c r="B657" s="1" t="n">
        <v>45992.30569444445</v>
      </c>
      <c r="C657" s="1" t="n">
        <v>46084</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1069-2026</t>
        </is>
      </c>
      <c r="B658" s="1" t="n">
        <v>46030</v>
      </c>
      <c r="C658" s="1" t="n">
        <v>46084</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40076-2021</t>
        </is>
      </c>
      <c r="B659" s="1" t="n">
        <v>44418</v>
      </c>
      <c r="C659" s="1" t="n">
        <v>46084</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19445-2021</t>
        </is>
      </c>
      <c r="B660" s="1" t="n">
        <v>44310</v>
      </c>
      <c r="C660" s="1" t="n">
        <v>46084</v>
      </c>
      <c r="D660" t="inlineStr">
        <is>
          <t>KALMAR LÄN</t>
        </is>
      </c>
      <c r="E660" t="inlineStr">
        <is>
          <t>VIMMERBY</t>
        </is>
      </c>
      <c r="G660" t="n">
        <v>6.8</v>
      </c>
      <c r="H660" t="n">
        <v>0</v>
      </c>
      <c r="I660" t="n">
        <v>0</v>
      </c>
      <c r="J660" t="n">
        <v>0</v>
      </c>
      <c r="K660" t="n">
        <v>0</v>
      </c>
      <c r="L660" t="n">
        <v>0</v>
      </c>
      <c r="M660" t="n">
        <v>0</v>
      </c>
      <c r="N660" t="n">
        <v>0</v>
      </c>
      <c r="O660" t="n">
        <v>0</v>
      </c>
      <c r="P660" t="n">
        <v>0</v>
      </c>
      <c r="Q660" t="n">
        <v>0</v>
      </c>
      <c r="R660" s="2" t="inlineStr"/>
    </row>
    <row r="661" ht="15" customHeight="1">
      <c r="A661" t="inlineStr">
        <is>
          <t>A 27122-2023</t>
        </is>
      </c>
      <c r="B661" s="1" t="n">
        <v>45096.45247685185</v>
      </c>
      <c r="C661" s="1" t="n">
        <v>46084</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1734-2026</t>
        </is>
      </c>
      <c r="B662" s="1" t="n">
        <v>46034</v>
      </c>
      <c r="C662" s="1" t="n">
        <v>46084</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1743-2026</t>
        </is>
      </c>
      <c r="B663" s="1" t="n">
        <v>46034</v>
      </c>
      <c r="C663" s="1" t="n">
        <v>46084</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13813-2024</t>
        </is>
      </c>
      <c r="B664" s="1" t="n">
        <v>45391.41310185185</v>
      </c>
      <c r="C664" s="1" t="n">
        <v>46084</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38969-2023</t>
        </is>
      </c>
      <c r="B665" s="1" t="n">
        <v>45163.63621527778</v>
      </c>
      <c r="C665" s="1" t="n">
        <v>46084</v>
      </c>
      <c r="D665" t="inlineStr">
        <is>
          <t>KALMAR LÄN</t>
        </is>
      </c>
      <c r="E665" t="inlineStr">
        <is>
          <t>VIMMERBY</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50648-2023</t>
        </is>
      </c>
      <c r="B666" s="1" t="n">
        <v>45217.47834490741</v>
      </c>
      <c r="C666" s="1" t="n">
        <v>46084</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26937-2023</t>
        </is>
      </c>
      <c r="B667" s="1" t="n">
        <v>45093.62777777778</v>
      </c>
      <c r="C667" s="1" t="n">
        <v>46084</v>
      </c>
      <c r="D667" t="inlineStr">
        <is>
          <t>KALMAR LÄN</t>
        </is>
      </c>
      <c r="E667" t="inlineStr">
        <is>
          <t>VIMMERBY</t>
        </is>
      </c>
      <c r="F667" t="inlineStr">
        <is>
          <t>Sveaskog</t>
        </is>
      </c>
      <c r="G667" t="n">
        <v>14.5</v>
      </c>
      <c r="H667" t="n">
        <v>0</v>
      </c>
      <c r="I667" t="n">
        <v>0</v>
      </c>
      <c r="J667" t="n">
        <v>0</v>
      </c>
      <c r="K667" t="n">
        <v>0</v>
      </c>
      <c r="L667" t="n">
        <v>0</v>
      </c>
      <c r="M667" t="n">
        <v>0</v>
      </c>
      <c r="N667" t="n">
        <v>0</v>
      </c>
      <c r="O667" t="n">
        <v>0</v>
      </c>
      <c r="P667" t="n">
        <v>0</v>
      </c>
      <c r="Q667" t="n">
        <v>0</v>
      </c>
      <c r="R667" s="2" t="inlineStr"/>
    </row>
    <row r="668" ht="15" customHeight="1">
      <c r="A668" t="inlineStr">
        <is>
          <t>A 57486-2024</t>
        </is>
      </c>
      <c r="B668" s="1" t="n">
        <v>45630.35827546296</v>
      </c>
      <c r="C668" s="1" t="n">
        <v>46084</v>
      </c>
      <c r="D668" t="inlineStr">
        <is>
          <t>KALMAR LÄN</t>
        </is>
      </c>
      <c r="E668" t="inlineStr">
        <is>
          <t>VIMMERBY</t>
        </is>
      </c>
      <c r="G668" t="n">
        <v>0.4</v>
      </c>
      <c r="H668" t="n">
        <v>0</v>
      </c>
      <c r="I668" t="n">
        <v>0</v>
      </c>
      <c r="J668" t="n">
        <v>0</v>
      </c>
      <c r="K668" t="n">
        <v>0</v>
      </c>
      <c r="L668" t="n">
        <v>0</v>
      </c>
      <c r="M668" t="n">
        <v>0</v>
      </c>
      <c r="N668" t="n">
        <v>0</v>
      </c>
      <c r="O668" t="n">
        <v>0</v>
      </c>
      <c r="P668" t="n">
        <v>0</v>
      </c>
      <c r="Q668" t="n">
        <v>0</v>
      </c>
      <c r="R668" s="2" t="inlineStr"/>
    </row>
    <row r="669" ht="15" customHeight="1">
      <c r="A669" t="inlineStr">
        <is>
          <t>A 43186-2021</t>
        </is>
      </c>
      <c r="B669" s="1" t="n">
        <v>44431.84840277778</v>
      </c>
      <c r="C669" s="1" t="n">
        <v>46084</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1799-2025</t>
        </is>
      </c>
      <c r="B670" s="1" t="n">
        <v>45671.46746527778</v>
      </c>
      <c r="C670" s="1" t="n">
        <v>46084</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529-2022</t>
        </is>
      </c>
      <c r="B671" s="1" t="n">
        <v>44566</v>
      </c>
      <c r="C671" s="1" t="n">
        <v>46084</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30063-2023</t>
        </is>
      </c>
      <c r="B672" s="1" t="n">
        <v>45110.4184375</v>
      </c>
      <c r="C672" s="1" t="n">
        <v>46084</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58318-2021</t>
        </is>
      </c>
      <c r="B673" s="1" t="n">
        <v>44488.35878472222</v>
      </c>
      <c r="C673" s="1" t="n">
        <v>46084</v>
      </c>
      <c r="D673" t="inlineStr">
        <is>
          <t>KALMAR LÄN</t>
        </is>
      </c>
      <c r="E673" t="inlineStr">
        <is>
          <t>VIMMERBY</t>
        </is>
      </c>
      <c r="G673" t="n">
        <v>4</v>
      </c>
      <c r="H673" t="n">
        <v>0</v>
      </c>
      <c r="I673" t="n">
        <v>0</v>
      </c>
      <c r="J673" t="n">
        <v>0</v>
      </c>
      <c r="K673" t="n">
        <v>0</v>
      </c>
      <c r="L673" t="n">
        <v>0</v>
      </c>
      <c r="M673" t="n">
        <v>0</v>
      </c>
      <c r="N673" t="n">
        <v>0</v>
      </c>
      <c r="O673" t="n">
        <v>0</v>
      </c>
      <c r="P673" t="n">
        <v>0</v>
      </c>
      <c r="Q673" t="n">
        <v>0</v>
      </c>
      <c r="R673" s="2" t="inlineStr"/>
    </row>
    <row r="674" ht="15" customHeight="1">
      <c r="A674" t="inlineStr">
        <is>
          <t>A 89-2023</t>
        </is>
      </c>
      <c r="B674" s="1" t="n">
        <v>44918</v>
      </c>
      <c r="C674" s="1" t="n">
        <v>46084</v>
      </c>
      <c r="D674" t="inlineStr">
        <is>
          <t>KALMAR LÄN</t>
        </is>
      </c>
      <c r="E674" t="inlineStr">
        <is>
          <t>VIMMERBY</t>
        </is>
      </c>
      <c r="G674" t="n">
        <v>16.1</v>
      </c>
      <c r="H674" t="n">
        <v>0</v>
      </c>
      <c r="I674" t="n">
        <v>0</v>
      </c>
      <c r="J674" t="n">
        <v>0</v>
      </c>
      <c r="K674" t="n">
        <v>0</v>
      </c>
      <c r="L674" t="n">
        <v>0</v>
      </c>
      <c r="M674" t="n">
        <v>0</v>
      </c>
      <c r="N674" t="n">
        <v>0</v>
      </c>
      <c r="O674" t="n">
        <v>0</v>
      </c>
      <c r="P674" t="n">
        <v>0</v>
      </c>
      <c r="Q674" t="n">
        <v>0</v>
      </c>
      <c r="R674" s="2" t="inlineStr"/>
    </row>
    <row r="675" ht="15" customHeight="1">
      <c r="A675" t="inlineStr">
        <is>
          <t>A 60180-2025</t>
        </is>
      </c>
      <c r="B675" s="1" t="n">
        <v>45994.46428240741</v>
      </c>
      <c r="C675" s="1" t="n">
        <v>46084</v>
      </c>
      <c r="D675" t="inlineStr">
        <is>
          <t>KALMAR LÄN</t>
        </is>
      </c>
      <c r="E675" t="inlineStr">
        <is>
          <t>VIMMERBY</t>
        </is>
      </c>
      <c r="G675" t="n">
        <v>6.8</v>
      </c>
      <c r="H675" t="n">
        <v>0</v>
      </c>
      <c r="I675" t="n">
        <v>0</v>
      </c>
      <c r="J675" t="n">
        <v>0</v>
      </c>
      <c r="K675" t="n">
        <v>0</v>
      </c>
      <c r="L675" t="n">
        <v>0</v>
      </c>
      <c r="M675" t="n">
        <v>0</v>
      </c>
      <c r="N675" t="n">
        <v>0</v>
      </c>
      <c r="O675" t="n">
        <v>0</v>
      </c>
      <c r="P675" t="n">
        <v>0</v>
      </c>
      <c r="Q675" t="n">
        <v>0</v>
      </c>
      <c r="R675" s="2" t="inlineStr"/>
    </row>
    <row r="676" ht="15" customHeight="1">
      <c r="A676" t="inlineStr">
        <is>
          <t>A 1748-2026</t>
        </is>
      </c>
      <c r="B676" s="1" t="n">
        <v>46034.65589120371</v>
      </c>
      <c r="C676" s="1" t="n">
        <v>46084</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43068-2023</t>
        </is>
      </c>
      <c r="B677" s="1" t="n">
        <v>45182.78834490741</v>
      </c>
      <c r="C677" s="1" t="n">
        <v>46084</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23088-2024</t>
        </is>
      </c>
      <c r="B678" s="1" t="n">
        <v>45450.51092592593</v>
      </c>
      <c r="C678" s="1" t="n">
        <v>46084</v>
      </c>
      <c r="D678" t="inlineStr">
        <is>
          <t>KALMAR LÄN</t>
        </is>
      </c>
      <c r="E678" t="inlineStr">
        <is>
          <t>VIMMERBY</t>
        </is>
      </c>
      <c r="G678" t="n">
        <v>1.9</v>
      </c>
      <c r="H678" t="n">
        <v>0</v>
      </c>
      <c r="I678" t="n">
        <v>0</v>
      </c>
      <c r="J678" t="n">
        <v>0</v>
      </c>
      <c r="K678" t="n">
        <v>0</v>
      </c>
      <c r="L678" t="n">
        <v>0</v>
      </c>
      <c r="M678" t="n">
        <v>0</v>
      </c>
      <c r="N678" t="n">
        <v>0</v>
      </c>
      <c r="O678" t="n">
        <v>0</v>
      </c>
      <c r="P678" t="n">
        <v>0</v>
      </c>
      <c r="Q678" t="n">
        <v>0</v>
      </c>
      <c r="R678" s="2" t="inlineStr"/>
    </row>
    <row r="679" ht="15" customHeight="1">
      <c r="A679" t="inlineStr">
        <is>
          <t>A 60297-2025</t>
        </is>
      </c>
      <c r="B679" s="1" t="n">
        <v>45994</v>
      </c>
      <c r="C679" s="1" t="n">
        <v>46084</v>
      </c>
      <c r="D679" t="inlineStr">
        <is>
          <t>KALMAR LÄN</t>
        </is>
      </c>
      <c r="E679" t="inlineStr">
        <is>
          <t>VIMMERBY</t>
        </is>
      </c>
      <c r="G679" t="n">
        <v>4.2</v>
      </c>
      <c r="H679" t="n">
        <v>0</v>
      </c>
      <c r="I679" t="n">
        <v>0</v>
      </c>
      <c r="J679" t="n">
        <v>0</v>
      </c>
      <c r="K679" t="n">
        <v>0</v>
      </c>
      <c r="L679" t="n">
        <v>0</v>
      </c>
      <c r="M679" t="n">
        <v>0</v>
      </c>
      <c r="N679" t="n">
        <v>0</v>
      </c>
      <c r="O679" t="n">
        <v>0</v>
      </c>
      <c r="P679" t="n">
        <v>0</v>
      </c>
      <c r="Q679" t="n">
        <v>0</v>
      </c>
      <c r="R679" s="2" t="inlineStr"/>
    </row>
    <row r="680" ht="15" customHeight="1">
      <c r="A680" t="inlineStr">
        <is>
          <t>A 1862-2026</t>
        </is>
      </c>
      <c r="B680" s="1" t="n">
        <v>46035.44689814815</v>
      </c>
      <c r="C680" s="1" t="n">
        <v>46084</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18020-2025</t>
        </is>
      </c>
      <c r="B681" s="1" t="n">
        <v>45761.4437962963</v>
      </c>
      <c r="C681" s="1" t="n">
        <v>46084</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33424-2023</t>
        </is>
      </c>
      <c r="B682" s="1" t="n">
        <v>45128.9325</v>
      </c>
      <c r="C682" s="1" t="n">
        <v>46084</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33425-2023</t>
        </is>
      </c>
      <c r="B683" s="1" t="n">
        <v>45128.93540509259</v>
      </c>
      <c r="C683" s="1" t="n">
        <v>46084</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12327-2023</t>
        </is>
      </c>
      <c r="B684" s="1" t="n">
        <v>44999.36081018519</v>
      </c>
      <c r="C684" s="1" t="n">
        <v>46084</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43092-2024</t>
        </is>
      </c>
      <c r="B685" s="1" t="n">
        <v>45567</v>
      </c>
      <c r="C685" s="1" t="n">
        <v>46084</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38851-2023</t>
        </is>
      </c>
      <c r="B686" s="1" t="n">
        <v>45163</v>
      </c>
      <c r="C686" s="1" t="n">
        <v>46084</v>
      </c>
      <c r="D686" t="inlineStr">
        <is>
          <t>KALMAR LÄN</t>
        </is>
      </c>
      <c r="E686" t="inlineStr">
        <is>
          <t>VIMMERBY</t>
        </is>
      </c>
      <c r="G686" t="n">
        <v>4.3</v>
      </c>
      <c r="H686" t="n">
        <v>0</v>
      </c>
      <c r="I686" t="n">
        <v>0</v>
      </c>
      <c r="J686" t="n">
        <v>0</v>
      </c>
      <c r="K686" t="n">
        <v>0</v>
      </c>
      <c r="L686" t="n">
        <v>0</v>
      </c>
      <c r="M686" t="n">
        <v>0</v>
      </c>
      <c r="N686" t="n">
        <v>0</v>
      </c>
      <c r="O686" t="n">
        <v>0</v>
      </c>
      <c r="P686" t="n">
        <v>0</v>
      </c>
      <c r="Q686" t="n">
        <v>0</v>
      </c>
      <c r="R686" s="2" t="inlineStr"/>
    </row>
    <row r="687" ht="15" customHeight="1">
      <c r="A687" t="inlineStr">
        <is>
          <t>A 52435-2021</t>
        </is>
      </c>
      <c r="B687" s="1" t="n">
        <v>44466.34962962963</v>
      </c>
      <c r="C687" s="1" t="n">
        <v>46084</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10759-2023</t>
        </is>
      </c>
      <c r="B688" s="1" t="n">
        <v>44988</v>
      </c>
      <c r="C688" s="1" t="n">
        <v>46084</v>
      </c>
      <c r="D688" t="inlineStr">
        <is>
          <t>KALMAR LÄN</t>
        </is>
      </c>
      <c r="E688" t="inlineStr">
        <is>
          <t>VIMMERBY</t>
        </is>
      </c>
      <c r="G688" t="n">
        <v>0.4</v>
      </c>
      <c r="H688" t="n">
        <v>0</v>
      </c>
      <c r="I688" t="n">
        <v>0</v>
      </c>
      <c r="J688" t="n">
        <v>0</v>
      </c>
      <c r="K688" t="n">
        <v>0</v>
      </c>
      <c r="L688" t="n">
        <v>0</v>
      </c>
      <c r="M688" t="n">
        <v>0</v>
      </c>
      <c r="N688" t="n">
        <v>0</v>
      </c>
      <c r="O688" t="n">
        <v>0</v>
      </c>
      <c r="P688" t="n">
        <v>0</v>
      </c>
      <c r="Q688" t="n">
        <v>0</v>
      </c>
      <c r="R688" s="2" t="inlineStr"/>
    </row>
    <row r="689" ht="15" customHeight="1">
      <c r="A689" t="inlineStr">
        <is>
          <t>A 2518-2026</t>
        </is>
      </c>
      <c r="B689" s="1" t="n">
        <v>46037.42511574074</v>
      </c>
      <c r="C689" s="1" t="n">
        <v>46084</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63583-2023</t>
        </is>
      </c>
      <c r="B690" s="1" t="n">
        <v>45275.41833333333</v>
      </c>
      <c r="C690" s="1" t="n">
        <v>46084</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40079-2023</t>
        </is>
      </c>
      <c r="B691" s="1" t="n">
        <v>45168.89298611111</v>
      </c>
      <c r="C691" s="1" t="n">
        <v>46084</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43774-2023</t>
        </is>
      </c>
      <c r="B692" s="1" t="n">
        <v>45187</v>
      </c>
      <c r="C692" s="1" t="n">
        <v>46084</v>
      </c>
      <c r="D692" t="inlineStr">
        <is>
          <t>KALMAR LÄN</t>
        </is>
      </c>
      <c r="E692" t="inlineStr">
        <is>
          <t>VIMMERBY</t>
        </is>
      </c>
      <c r="G692" t="n">
        <v>3.4</v>
      </c>
      <c r="H692" t="n">
        <v>0</v>
      </c>
      <c r="I692" t="n">
        <v>0</v>
      </c>
      <c r="J692" t="n">
        <v>0</v>
      </c>
      <c r="K692" t="n">
        <v>0</v>
      </c>
      <c r="L692" t="n">
        <v>0</v>
      </c>
      <c r="M692" t="n">
        <v>0</v>
      </c>
      <c r="N692" t="n">
        <v>0</v>
      </c>
      <c r="O692" t="n">
        <v>0</v>
      </c>
      <c r="P692" t="n">
        <v>0</v>
      </c>
      <c r="Q692" t="n">
        <v>0</v>
      </c>
      <c r="R692" s="2" t="inlineStr"/>
    </row>
    <row r="693" ht="15" customHeight="1">
      <c r="A693" t="inlineStr">
        <is>
          <t>A 35127-2024</t>
        </is>
      </c>
      <c r="B693" s="1" t="n">
        <v>45530.33202546297</v>
      </c>
      <c r="C693" s="1" t="n">
        <v>46084</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29616-2022</t>
        </is>
      </c>
      <c r="B694" s="1" t="n">
        <v>44754</v>
      </c>
      <c r="C694" s="1" t="n">
        <v>46084</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3868-2026</t>
        </is>
      </c>
      <c r="B695" s="1" t="n">
        <v>46043.6360300926</v>
      </c>
      <c r="C695" s="1" t="n">
        <v>46084</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3869-2026</t>
        </is>
      </c>
      <c r="B696" s="1" t="n">
        <v>46043.63940972222</v>
      </c>
      <c r="C696" s="1" t="n">
        <v>46084</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60215-2022</t>
        </is>
      </c>
      <c r="B697" s="1" t="n">
        <v>44910.41346064815</v>
      </c>
      <c r="C697" s="1" t="n">
        <v>46084</v>
      </c>
      <c r="D697" t="inlineStr">
        <is>
          <t>KALMAR LÄN</t>
        </is>
      </c>
      <c r="E697" t="inlineStr">
        <is>
          <t>VIMMERBY</t>
        </is>
      </c>
      <c r="G697" t="n">
        <v>1.1</v>
      </c>
      <c r="H697" t="n">
        <v>0</v>
      </c>
      <c r="I697" t="n">
        <v>0</v>
      </c>
      <c r="J697" t="n">
        <v>0</v>
      </c>
      <c r="K697" t="n">
        <v>0</v>
      </c>
      <c r="L697" t="n">
        <v>0</v>
      </c>
      <c r="M697" t="n">
        <v>0</v>
      </c>
      <c r="N697" t="n">
        <v>0</v>
      </c>
      <c r="O697" t="n">
        <v>0</v>
      </c>
      <c r="P697" t="n">
        <v>0</v>
      </c>
      <c r="Q697" t="n">
        <v>0</v>
      </c>
      <c r="R697" s="2" t="inlineStr"/>
    </row>
    <row r="698" ht="15" customHeight="1">
      <c r="A698" t="inlineStr">
        <is>
          <t>A 10965-2026</t>
        </is>
      </c>
      <c r="B698" s="1" t="n">
        <v>46079.43295138889</v>
      </c>
      <c r="C698" s="1" t="n">
        <v>46084</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29441-2024</t>
        </is>
      </c>
      <c r="B699" s="1" t="n">
        <v>45483.82834490741</v>
      </c>
      <c r="C699" s="1" t="n">
        <v>46084</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2514-2026</t>
        </is>
      </c>
      <c r="B700" s="1" t="n">
        <v>46037.42219907408</v>
      </c>
      <c r="C700" s="1" t="n">
        <v>46084</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6216-2025</t>
        </is>
      </c>
      <c r="B701" s="1" t="n">
        <v>45698.52806712963</v>
      </c>
      <c r="C701" s="1" t="n">
        <v>46084</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62779-2023</t>
        </is>
      </c>
      <c r="B702" s="1" t="n">
        <v>45271.66576388889</v>
      </c>
      <c r="C702" s="1" t="n">
        <v>46084</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52294-2023</t>
        </is>
      </c>
      <c r="B703" s="1" t="n">
        <v>45224.60075231481</v>
      </c>
      <c r="C703" s="1" t="n">
        <v>46084</v>
      </c>
      <c r="D703" t="inlineStr">
        <is>
          <t>KALMAR LÄN</t>
        </is>
      </c>
      <c r="E703" t="inlineStr">
        <is>
          <t>VIMMERBY</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39578-2024</t>
        </is>
      </c>
      <c r="B704" s="1" t="n">
        <v>45552.36484953704</v>
      </c>
      <c r="C704" s="1" t="n">
        <v>46084</v>
      </c>
      <c r="D704" t="inlineStr">
        <is>
          <t>KALMAR LÄN</t>
        </is>
      </c>
      <c r="E704" t="inlineStr">
        <is>
          <t>VIMMERBY</t>
        </is>
      </c>
      <c r="G704" t="n">
        <v>1.5</v>
      </c>
      <c r="H704" t="n">
        <v>0</v>
      </c>
      <c r="I704" t="n">
        <v>0</v>
      </c>
      <c r="J704" t="n">
        <v>0</v>
      </c>
      <c r="K704" t="n">
        <v>0</v>
      </c>
      <c r="L704" t="n">
        <v>0</v>
      </c>
      <c r="M704" t="n">
        <v>0</v>
      </c>
      <c r="N704" t="n">
        <v>0</v>
      </c>
      <c r="O704" t="n">
        <v>0</v>
      </c>
      <c r="P704" t="n">
        <v>0</v>
      </c>
      <c r="Q704" t="n">
        <v>0</v>
      </c>
      <c r="R704" s="2" t="inlineStr"/>
    </row>
    <row r="705" ht="15" customHeight="1">
      <c r="A705" t="inlineStr">
        <is>
          <t>A 24707-2024</t>
        </is>
      </c>
      <c r="B705" s="1" t="n">
        <v>45460.62172453704</v>
      </c>
      <c r="C705" s="1" t="n">
        <v>46084</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31013-2023</t>
        </is>
      </c>
      <c r="B706" s="1" t="n">
        <v>45113.56574074074</v>
      </c>
      <c r="C706" s="1" t="n">
        <v>46084</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72067-2021</t>
        </is>
      </c>
      <c r="B707" s="1" t="n">
        <v>44540</v>
      </c>
      <c r="C707" s="1" t="n">
        <v>46084</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3965-2026</t>
        </is>
      </c>
      <c r="B708" s="1" t="n">
        <v>46044.34563657407</v>
      </c>
      <c r="C708" s="1" t="n">
        <v>46084</v>
      </c>
      <c r="D708" t="inlineStr">
        <is>
          <t>KALMAR LÄN</t>
        </is>
      </c>
      <c r="E708" t="inlineStr">
        <is>
          <t>VIMMERBY</t>
        </is>
      </c>
      <c r="G708" t="n">
        <v>2.6</v>
      </c>
      <c r="H708" t="n">
        <v>0</v>
      </c>
      <c r="I708" t="n">
        <v>0</v>
      </c>
      <c r="J708" t="n">
        <v>0</v>
      </c>
      <c r="K708" t="n">
        <v>0</v>
      </c>
      <c r="L708" t="n">
        <v>0</v>
      </c>
      <c r="M708" t="n">
        <v>0</v>
      </c>
      <c r="N708" t="n">
        <v>0</v>
      </c>
      <c r="O708" t="n">
        <v>0</v>
      </c>
      <c r="P708" t="n">
        <v>0</v>
      </c>
      <c r="Q708" t="n">
        <v>0</v>
      </c>
      <c r="R708" s="2" t="inlineStr"/>
    </row>
    <row r="709" ht="15" customHeight="1">
      <c r="A709" t="inlineStr">
        <is>
          <t>A 61538-2022</t>
        </is>
      </c>
      <c r="B709" s="1" t="n">
        <v>44916.55414351852</v>
      </c>
      <c r="C709" s="1" t="n">
        <v>46084</v>
      </c>
      <c r="D709" t="inlineStr">
        <is>
          <t>KALMAR LÄN</t>
        </is>
      </c>
      <c r="E709" t="inlineStr">
        <is>
          <t>VIMMERBY</t>
        </is>
      </c>
      <c r="G709" t="n">
        <v>1.5</v>
      </c>
      <c r="H709" t="n">
        <v>0</v>
      </c>
      <c r="I709" t="n">
        <v>0</v>
      </c>
      <c r="J709" t="n">
        <v>0</v>
      </c>
      <c r="K709" t="n">
        <v>0</v>
      </c>
      <c r="L709" t="n">
        <v>0</v>
      </c>
      <c r="M709" t="n">
        <v>0</v>
      </c>
      <c r="N709" t="n">
        <v>0</v>
      </c>
      <c r="O709" t="n">
        <v>0</v>
      </c>
      <c r="P709" t="n">
        <v>0</v>
      </c>
      <c r="Q709" t="n">
        <v>0</v>
      </c>
      <c r="R709" s="2" t="inlineStr"/>
    </row>
    <row r="710" ht="15" customHeight="1">
      <c r="A710" t="inlineStr">
        <is>
          <t>A 61725-2025</t>
        </is>
      </c>
      <c r="B710" s="1" t="n">
        <v>46002.58680555555</v>
      </c>
      <c r="C710" s="1" t="n">
        <v>46084</v>
      </c>
      <c r="D710" t="inlineStr">
        <is>
          <t>KALMAR LÄN</t>
        </is>
      </c>
      <c r="E710" t="inlineStr">
        <is>
          <t>VIMMERBY</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61790-2025</t>
        </is>
      </c>
      <c r="B711" s="1" t="n">
        <v>46002.68768518518</v>
      </c>
      <c r="C711" s="1" t="n">
        <v>46084</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36155-2023</t>
        </is>
      </c>
      <c r="B712" s="1" t="n">
        <v>45149.60917824074</v>
      </c>
      <c r="C712" s="1" t="n">
        <v>46084</v>
      </c>
      <c r="D712" t="inlineStr">
        <is>
          <t>KALMAR LÄN</t>
        </is>
      </c>
      <c r="E712" t="inlineStr">
        <is>
          <t>VIMMERBY</t>
        </is>
      </c>
      <c r="G712" t="n">
        <v>5</v>
      </c>
      <c r="H712" t="n">
        <v>0</v>
      </c>
      <c r="I712" t="n">
        <v>0</v>
      </c>
      <c r="J712" t="n">
        <v>0</v>
      </c>
      <c r="K712" t="n">
        <v>0</v>
      </c>
      <c r="L712" t="n">
        <v>0</v>
      </c>
      <c r="M712" t="n">
        <v>0</v>
      </c>
      <c r="N712" t="n">
        <v>0</v>
      </c>
      <c r="O712" t="n">
        <v>0</v>
      </c>
      <c r="P712" t="n">
        <v>0</v>
      </c>
      <c r="Q712" t="n">
        <v>0</v>
      </c>
      <c r="R712" s="2" t="inlineStr"/>
    </row>
    <row r="713" ht="15" customHeight="1">
      <c r="A713" t="inlineStr">
        <is>
          <t>A 29173-2024</t>
        </is>
      </c>
      <c r="B713" s="1" t="n">
        <v>45482.52887731481</v>
      </c>
      <c r="C713" s="1" t="n">
        <v>46084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44879.62173611111</v>
      </c>
      <c r="C714" s="1" t="n">
        <v>46084</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2523-2026</t>
        </is>
      </c>
      <c r="B715" s="1" t="n">
        <v>46037.42825231481</v>
      </c>
      <c r="C715" s="1" t="n">
        <v>46084</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3266-2026</t>
        </is>
      </c>
      <c r="B716" s="1" t="n">
        <v>46041</v>
      </c>
      <c r="C716" s="1" t="n">
        <v>46084</v>
      </c>
      <c r="D716" t="inlineStr">
        <is>
          <t>KALMAR LÄN</t>
        </is>
      </c>
      <c r="E716" t="inlineStr">
        <is>
          <t>VIMMERBY</t>
        </is>
      </c>
      <c r="G716" t="n">
        <v>1.2</v>
      </c>
      <c r="H716" t="n">
        <v>0</v>
      </c>
      <c r="I716" t="n">
        <v>0</v>
      </c>
      <c r="J716" t="n">
        <v>0</v>
      </c>
      <c r="K716" t="n">
        <v>0</v>
      </c>
      <c r="L716" t="n">
        <v>0</v>
      </c>
      <c r="M716" t="n">
        <v>0</v>
      </c>
      <c r="N716" t="n">
        <v>0</v>
      </c>
      <c r="O716" t="n">
        <v>0</v>
      </c>
      <c r="P716" t="n">
        <v>0</v>
      </c>
      <c r="Q716" t="n">
        <v>0</v>
      </c>
      <c r="R716" s="2" t="inlineStr"/>
    </row>
    <row r="717" ht="15" customHeight="1">
      <c r="A717" t="inlineStr">
        <is>
          <t>A 61726-2025</t>
        </is>
      </c>
      <c r="B717" s="1" t="n">
        <v>46002.58822916666</v>
      </c>
      <c r="C717" s="1" t="n">
        <v>46084</v>
      </c>
      <c r="D717" t="inlineStr">
        <is>
          <t>KALMAR LÄN</t>
        </is>
      </c>
      <c r="E717" t="inlineStr">
        <is>
          <t>VIMMERBY</t>
        </is>
      </c>
      <c r="F717" t="inlineStr">
        <is>
          <t>Sveaskog</t>
        </is>
      </c>
      <c r="G717" t="n">
        <v>0.2</v>
      </c>
      <c r="H717" t="n">
        <v>0</v>
      </c>
      <c r="I717" t="n">
        <v>0</v>
      </c>
      <c r="J717" t="n">
        <v>0</v>
      </c>
      <c r="K717" t="n">
        <v>0</v>
      </c>
      <c r="L717" t="n">
        <v>0</v>
      </c>
      <c r="M717" t="n">
        <v>0</v>
      </c>
      <c r="N717" t="n">
        <v>0</v>
      </c>
      <c r="O717" t="n">
        <v>0</v>
      </c>
      <c r="P717" t="n">
        <v>0</v>
      </c>
      <c r="Q717" t="n">
        <v>0</v>
      </c>
      <c r="R717" s="2" t="inlineStr"/>
    </row>
    <row r="718" ht="15" customHeight="1">
      <c r="A718" t="inlineStr">
        <is>
          <t>A 6807-2025</t>
        </is>
      </c>
      <c r="B718" s="1" t="n">
        <v>45700.68672453704</v>
      </c>
      <c r="C718" s="1" t="n">
        <v>46084</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7047-2022</t>
        </is>
      </c>
      <c r="B719" s="1" t="n">
        <v>44603</v>
      </c>
      <c r="C719" s="1" t="n">
        <v>46084</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35711-2023</t>
        </is>
      </c>
      <c r="B720" s="1" t="n">
        <v>45147.67172453704</v>
      </c>
      <c r="C720" s="1" t="n">
        <v>46084</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5382-2023</t>
        </is>
      </c>
      <c r="B721" s="1" t="n">
        <v>44959.66407407408</v>
      </c>
      <c r="C721" s="1" t="n">
        <v>46084</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3292-2026</t>
        </is>
      </c>
      <c r="B722" s="1" t="n">
        <v>46041</v>
      </c>
      <c r="C722" s="1" t="n">
        <v>46084</v>
      </c>
      <c r="D722" t="inlineStr">
        <is>
          <t>KALMAR LÄN</t>
        </is>
      </c>
      <c r="E722" t="inlineStr">
        <is>
          <t>VIMMERBY</t>
        </is>
      </c>
      <c r="G722" t="n">
        <v>3.9</v>
      </c>
      <c r="H722" t="n">
        <v>0</v>
      </c>
      <c r="I722" t="n">
        <v>0</v>
      </c>
      <c r="J722" t="n">
        <v>0</v>
      </c>
      <c r="K722" t="n">
        <v>0</v>
      </c>
      <c r="L722" t="n">
        <v>0</v>
      </c>
      <c r="M722" t="n">
        <v>0</v>
      </c>
      <c r="N722" t="n">
        <v>0</v>
      </c>
      <c r="O722" t="n">
        <v>0</v>
      </c>
      <c r="P722" t="n">
        <v>0</v>
      </c>
      <c r="Q722" t="n">
        <v>0</v>
      </c>
      <c r="R722" s="2" t="inlineStr"/>
    </row>
    <row r="723" ht="15" customHeight="1">
      <c r="A723" t="inlineStr">
        <is>
          <t>A 31056-2022</t>
        </is>
      </c>
      <c r="B723" s="1" t="n">
        <v>44769.45805555556</v>
      </c>
      <c r="C723" s="1" t="n">
        <v>46084</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40823-2023</t>
        </is>
      </c>
      <c r="B724" s="1" t="n">
        <v>45171.77335648148</v>
      </c>
      <c r="C724" s="1" t="n">
        <v>46084</v>
      </c>
      <c r="D724" t="inlineStr">
        <is>
          <t>KALMAR LÄN</t>
        </is>
      </c>
      <c r="E724" t="inlineStr">
        <is>
          <t>VIMMERBY</t>
        </is>
      </c>
      <c r="G724" t="n">
        <v>2.7</v>
      </c>
      <c r="H724" t="n">
        <v>0</v>
      </c>
      <c r="I724" t="n">
        <v>0</v>
      </c>
      <c r="J724" t="n">
        <v>0</v>
      </c>
      <c r="K724" t="n">
        <v>0</v>
      </c>
      <c r="L724" t="n">
        <v>0</v>
      </c>
      <c r="M724" t="n">
        <v>0</v>
      </c>
      <c r="N724" t="n">
        <v>0</v>
      </c>
      <c r="O724" t="n">
        <v>0</v>
      </c>
      <c r="P724" t="n">
        <v>0</v>
      </c>
      <c r="Q724" t="n">
        <v>0</v>
      </c>
      <c r="R724" s="2" t="inlineStr"/>
    </row>
    <row r="725" ht="15" customHeight="1">
      <c r="A725" t="inlineStr">
        <is>
          <t>A 6218-2025</t>
        </is>
      </c>
      <c r="B725" s="1" t="n">
        <v>45698.53336805556</v>
      </c>
      <c r="C725" s="1" t="n">
        <v>46084</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33383-2023</t>
        </is>
      </c>
      <c r="B726" s="1" t="n">
        <v>45128.58414351852</v>
      </c>
      <c r="C726" s="1" t="n">
        <v>46084</v>
      </c>
      <c r="D726" t="inlineStr">
        <is>
          <t>KALMAR LÄN</t>
        </is>
      </c>
      <c r="E726" t="inlineStr">
        <is>
          <t>VIMMERBY</t>
        </is>
      </c>
      <c r="G726" t="n">
        <v>2.3</v>
      </c>
      <c r="H726" t="n">
        <v>0</v>
      </c>
      <c r="I726" t="n">
        <v>0</v>
      </c>
      <c r="J726" t="n">
        <v>0</v>
      </c>
      <c r="K726" t="n">
        <v>0</v>
      </c>
      <c r="L726" t="n">
        <v>0</v>
      </c>
      <c r="M726" t="n">
        <v>0</v>
      </c>
      <c r="N726" t="n">
        <v>0</v>
      </c>
      <c r="O726" t="n">
        <v>0</v>
      </c>
      <c r="P726" t="n">
        <v>0</v>
      </c>
      <c r="Q726" t="n">
        <v>0</v>
      </c>
      <c r="R726" s="2" t="inlineStr"/>
    </row>
    <row r="727" ht="15" customHeight="1">
      <c r="A727" t="inlineStr">
        <is>
          <t>A 30920-2023</t>
        </is>
      </c>
      <c r="B727" s="1" t="n">
        <v>45113.43921296296</v>
      </c>
      <c r="C727" s="1" t="n">
        <v>46084</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6857-2023</t>
        </is>
      </c>
      <c r="B728" s="1" t="n">
        <v>44967.45122685185</v>
      </c>
      <c r="C728" s="1" t="n">
        <v>46084</v>
      </c>
      <c r="D728" t="inlineStr">
        <is>
          <t>KALMAR LÄN</t>
        </is>
      </c>
      <c r="E728" t="inlineStr">
        <is>
          <t>VIMMERBY</t>
        </is>
      </c>
      <c r="G728" t="n">
        <v>2.1</v>
      </c>
      <c r="H728" t="n">
        <v>0</v>
      </c>
      <c r="I728" t="n">
        <v>0</v>
      </c>
      <c r="J728" t="n">
        <v>0</v>
      </c>
      <c r="K728" t="n">
        <v>0</v>
      </c>
      <c r="L728" t="n">
        <v>0</v>
      </c>
      <c r="M728" t="n">
        <v>0</v>
      </c>
      <c r="N728" t="n">
        <v>0</v>
      </c>
      <c r="O728" t="n">
        <v>0</v>
      </c>
      <c r="P728" t="n">
        <v>0</v>
      </c>
      <c r="Q728" t="n">
        <v>0</v>
      </c>
      <c r="R728" s="2" t="inlineStr"/>
    </row>
    <row r="729" ht="15" customHeight="1">
      <c r="A729" t="inlineStr">
        <is>
          <t>A 40828-2023</t>
        </is>
      </c>
      <c r="B729" s="1" t="n">
        <v>45171.96248842592</v>
      </c>
      <c r="C729" s="1" t="n">
        <v>46084</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11273-2026</t>
        </is>
      </c>
      <c r="B730" s="1" t="n">
        <v>46080.57634259259</v>
      </c>
      <c r="C730" s="1" t="n">
        <v>46084</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61861-2024</t>
        </is>
      </c>
      <c r="B731" s="1" t="n">
        <v>45650.37370370371</v>
      </c>
      <c r="C731" s="1" t="n">
        <v>46084</v>
      </c>
      <c r="D731" t="inlineStr">
        <is>
          <t>KALMAR LÄN</t>
        </is>
      </c>
      <c r="E731" t="inlineStr">
        <is>
          <t>VIMMERBY</t>
        </is>
      </c>
      <c r="G731" t="n">
        <v>1</v>
      </c>
      <c r="H731" t="n">
        <v>0</v>
      </c>
      <c r="I731" t="n">
        <v>0</v>
      </c>
      <c r="J731" t="n">
        <v>0</v>
      </c>
      <c r="K731" t="n">
        <v>0</v>
      </c>
      <c r="L731" t="n">
        <v>0</v>
      </c>
      <c r="M731" t="n">
        <v>0</v>
      </c>
      <c r="N731" t="n">
        <v>0</v>
      </c>
      <c r="O731" t="n">
        <v>0</v>
      </c>
      <c r="P731" t="n">
        <v>0</v>
      </c>
      <c r="Q731" t="n">
        <v>0</v>
      </c>
      <c r="R731" s="2" t="inlineStr"/>
    </row>
    <row r="732" ht="15" customHeight="1">
      <c r="A732" t="inlineStr">
        <is>
          <t>A 5792-2023</t>
        </is>
      </c>
      <c r="B732" s="1" t="n">
        <v>44963.44769675926</v>
      </c>
      <c r="C732" s="1" t="n">
        <v>46084</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10303-2025</t>
        </is>
      </c>
      <c r="B733" s="1" t="n">
        <v>45720.44217592593</v>
      </c>
      <c r="C733" s="1" t="n">
        <v>46084</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46084</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8650-2022</t>
        </is>
      </c>
      <c r="B735" s="1" t="n">
        <v>44613</v>
      </c>
      <c r="C735" s="1" t="n">
        <v>46084</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15394-2025</t>
        </is>
      </c>
      <c r="B736" s="1" t="n">
        <v>45747.43196759259</v>
      </c>
      <c r="C736" s="1" t="n">
        <v>46084</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33340-2023</t>
        </is>
      </c>
      <c r="B737" s="1" t="n">
        <v>45128.37305555555</v>
      </c>
      <c r="C737" s="1" t="n">
        <v>46084</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15388-2025</t>
        </is>
      </c>
      <c r="B738" s="1" t="n">
        <v>45747.42633101852</v>
      </c>
      <c r="C738" s="1" t="n">
        <v>46084</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15391-2025</t>
        </is>
      </c>
      <c r="B739" s="1" t="n">
        <v>45747.42958333333</v>
      </c>
      <c r="C739" s="1" t="n">
        <v>46084</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44423-2023</t>
        </is>
      </c>
      <c r="B740" s="1" t="n">
        <v>45189</v>
      </c>
      <c r="C740" s="1" t="n">
        <v>46084</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6474-2025</t>
        </is>
      </c>
      <c r="B741" s="1" t="n">
        <v>45699.60055555555</v>
      </c>
      <c r="C741" s="1" t="n">
        <v>46084</v>
      </c>
      <c r="D741" t="inlineStr">
        <is>
          <t>KALMAR LÄN</t>
        </is>
      </c>
      <c r="E741" t="inlineStr">
        <is>
          <t>VIMMERBY</t>
        </is>
      </c>
      <c r="G741" t="n">
        <v>1.6</v>
      </c>
      <c r="H741" t="n">
        <v>0</v>
      </c>
      <c r="I741" t="n">
        <v>0</v>
      </c>
      <c r="J741" t="n">
        <v>0</v>
      </c>
      <c r="K741" t="n">
        <v>0</v>
      </c>
      <c r="L741" t="n">
        <v>0</v>
      </c>
      <c r="M741" t="n">
        <v>0</v>
      </c>
      <c r="N741" t="n">
        <v>0</v>
      </c>
      <c r="O741" t="n">
        <v>0</v>
      </c>
      <c r="P741" t="n">
        <v>0</v>
      </c>
      <c r="Q741" t="n">
        <v>0</v>
      </c>
      <c r="R741" s="2" t="inlineStr"/>
    </row>
    <row r="742" ht="15" customHeight="1">
      <c r="A742" t="inlineStr">
        <is>
          <t>A 32919-2022</t>
        </is>
      </c>
      <c r="B742" s="1" t="n">
        <v>44784.62724537037</v>
      </c>
      <c r="C742" s="1" t="n">
        <v>46084</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37323-2024</t>
        </is>
      </c>
      <c r="B743" s="1" t="n">
        <v>45540.50098379629</v>
      </c>
      <c r="C743" s="1" t="n">
        <v>46084</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56659-2023</t>
        </is>
      </c>
      <c r="B744" s="1" t="n">
        <v>45243.84869212963</v>
      </c>
      <c r="C744" s="1" t="n">
        <v>46084</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13015-2022</t>
        </is>
      </c>
      <c r="B745" s="1" t="n">
        <v>44643</v>
      </c>
      <c r="C745" s="1" t="n">
        <v>46084</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17968-2025</t>
        </is>
      </c>
      <c r="B746" s="1" t="n">
        <v>45761.35990740741</v>
      </c>
      <c r="C746" s="1" t="n">
        <v>46084</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6028-2023</t>
        </is>
      </c>
      <c r="B747" s="1" t="n">
        <v>44964.44356481481</v>
      </c>
      <c r="C747" s="1" t="n">
        <v>46084</v>
      </c>
      <c r="D747" t="inlineStr">
        <is>
          <t>KALMAR LÄN</t>
        </is>
      </c>
      <c r="E747" t="inlineStr">
        <is>
          <t>VIMMERBY</t>
        </is>
      </c>
      <c r="G747" t="n">
        <v>2.5</v>
      </c>
      <c r="H747" t="n">
        <v>0</v>
      </c>
      <c r="I747" t="n">
        <v>0</v>
      </c>
      <c r="J747" t="n">
        <v>0</v>
      </c>
      <c r="K747" t="n">
        <v>0</v>
      </c>
      <c r="L747" t="n">
        <v>0</v>
      </c>
      <c r="M747" t="n">
        <v>0</v>
      </c>
      <c r="N747" t="n">
        <v>0</v>
      </c>
      <c r="O747" t="n">
        <v>0</v>
      </c>
      <c r="P747" t="n">
        <v>0</v>
      </c>
      <c r="Q747" t="n">
        <v>0</v>
      </c>
      <c r="R747" s="2" t="inlineStr"/>
    </row>
    <row r="748" ht="15" customHeight="1">
      <c r="A748" t="inlineStr">
        <is>
          <t>A 55436-2023</t>
        </is>
      </c>
      <c r="B748" s="1" t="n">
        <v>45238.4328587963</v>
      </c>
      <c r="C748" s="1" t="n">
        <v>46084</v>
      </c>
      <c r="D748" t="inlineStr">
        <is>
          <t>KALMAR LÄN</t>
        </is>
      </c>
      <c r="E748" t="inlineStr">
        <is>
          <t>VIMMERBY</t>
        </is>
      </c>
      <c r="G748" t="n">
        <v>5.6</v>
      </c>
      <c r="H748" t="n">
        <v>0</v>
      </c>
      <c r="I748" t="n">
        <v>0</v>
      </c>
      <c r="J748" t="n">
        <v>0</v>
      </c>
      <c r="K748" t="n">
        <v>0</v>
      </c>
      <c r="L748" t="n">
        <v>0</v>
      </c>
      <c r="M748" t="n">
        <v>0</v>
      </c>
      <c r="N748" t="n">
        <v>0</v>
      </c>
      <c r="O748" t="n">
        <v>0</v>
      </c>
      <c r="P748" t="n">
        <v>0</v>
      </c>
      <c r="Q748" t="n">
        <v>0</v>
      </c>
      <c r="R748" s="2" t="inlineStr"/>
    </row>
    <row r="749" ht="15" customHeight="1">
      <c r="A749" t="inlineStr">
        <is>
          <t>A 18501-2024</t>
        </is>
      </c>
      <c r="B749" s="1" t="n">
        <v>45425.57538194444</v>
      </c>
      <c r="C749" s="1" t="n">
        <v>46084</v>
      </c>
      <c r="D749" t="inlineStr">
        <is>
          <t>KALMAR LÄN</t>
        </is>
      </c>
      <c r="E749" t="inlineStr">
        <is>
          <t>VIMMERBY</t>
        </is>
      </c>
      <c r="G749" t="n">
        <v>2</v>
      </c>
      <c r="H749" t="n">
        <v>0</v>
      </c>
      <c r="I749" t="n">
        <v>0</v>
      </c>
      <c r="J749" t="n">
        <v>0</v>
      </c>
      <c r="K749" t="n">
        <v>0</v>
      </c>
      <c r="L749" t="n">
        <v>0</v>
      </c>
      <c r="M749" t="n">
        <v>0</v>
      </c>
      <c r="N749" t="n">
        <v>0</v>
      </c>
      <c r="O749" t="n">
        <v>0</v>
      </c>
      <c r="P749" t="n">
        <v>0</v>
      </c>
      <c r="Q749" t="n">
        <v>0</v>
      </c>
      <c r="R749" s="2" t="inlineStr"/>
    </row>
    <row r="750" ht="15" customHeight="1">
      <c r="A750" t="inlineStr">
        <is>
          <t>A 56582-2022</t>
        </is>
      </c>
      <c r="B750" s="1" t="n">
        <v>44893</v>
      </c>
      <c r="C750" s="1" t="n">
        <v>46084</v>
      </c>
      <c r="D750" t="inlineStr">
        <is>
          <t>KALMAR LÄN</t>
        </is>
      </c>
      <c r="E750" t="inlineStr">
        <is>
          <t>VIMMERBY</t>
        </is>
      </c>
      <c r="G750" t="n">
        <v>2.2</v>
      </c>
      <c r="H750" t="n">
        <v>0</v>
      </c>
      <c r="I750" t="n">
        <v>0</v>
      </c>
      <c r="J750" t="n">
        <v>0</v>
      </c>
      <c r="K750" t="n">
        <v>0</v>
      </c>
      <c r="L750" t="n">
        <v>0</v>
      </c>
      <c r="M750" t="n">
        <v>0</v>
      </c>
      <c r="N750" t="n">
        <v>0</v>
      </c>
      <c r="O750" t="n">
        <v>0</v>
      </c>
      <c r="P750" t="n">
        <v>0</v>
      </c>
      <c r="Q750" t="n">
        <v>0</v>
      </c>
      <c r="R750" s="2" t="inlineStr"/>
    </row>
    <row r="751" ht="15" customHeight="1">
      <c r="A751" t="inlineStr">
        <is>
          <t>A 20-2025</t>
        </is>
      </c>
      <c r="B751" s="1" t="n">
        <v>45658.80232638889</v>
      </c>
      <c r="C751" s="1" t="n">
        <v>46084</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23-2025</t>
        </is>
      </c>
      <c r="B752" s="1" t="n">
        <v>45658.80827546296</v>
      </c>
      <c r="C752" s="1" t="n">
        <v>46084</v>
      </c>
      <c r="D752" t="inlineStr">
        <is>
          <t>KALMAR LÄN</t>
        </is>
      </c>
      <c r="E752" t="inlineStr">
        <is>
          <t>VIMMERBY</t>
        </is>
      </c>
      <c r="G752" t="n">
        <v>1.8</v>
      </c>
      <c r="H752" t="n">
        <v>0</v>
      </c>
      <c r="I752" t="n">
        <v>0</v>
      </c>
      <c r="J752" t="n">
        <v>0</v>
      </c>
      <c r="K752" t="n">
        <v>0</v>
      </c>
      <c r="L752" t="n">
        <v>0</v>
      </c>
      <c r="M752" t="n">
        <v>0</v>
      </c>
      <c r="N752" t="n">
        <v>0</v>
      </c>
      <c r="O752" t="n">
        <v>0</v>
      </c>
      <c r="P752" t="n">
        <v>0</v>
      </c>
      <c r="Q752" t="n">
        <v>0</v>
      </c>
      <c r="R752" s="2" t="inlineStr"/>
    </row>
    <row r="753" ht="15" customHeight="1">
      <c r="A753" t="inlineStr">
        <is>
          <t>A 43962-2024</t>
        </is>
      </c>
      <c r="B753" s="1" t="n">
        <v>45572.48293981481</v>
      </c>
      <c r="C753" s="1" t="n">
        <v>46084</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35713-2023</t>
        </is>
      </c>
      <c r="B754" s="1" t="n">
        <v>45147</v>
      </c>
      <c r="C754" s="1" t="n">
        <v>46084</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27758-2024</t>
        </is>
      </c>
      <c r="B755" s="1" t="n">
        <v>45475.48303240741</v>
      </c>
      <c r="C755" s="1" t="n">
        <v>46084</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13307-2025</t>
        </is>
      </c>
      <c r="B756" s="1" t="n">
        <v>45735.58024305556</v>
      </c>
      <c r="C756" s="1" t="n">
        <v>46084</v>
      </c>
      <c r="D756" t="inlineStr">
        <is>
          <t>KALMAR LÄN</t>
        </is>
      </c>
      <c r="E756" t="inlineStr">
        <is>
          <t>VIMMERBY</t>
        </is>
      </c>
      <c r="G756" t="n">
        <v>0.8</v>
      </c>
      <c r="H756" t="n">
        <v>0</v>
      </c>
      <c r="I756" t="n">
        <v>0</v>
      </c>
      <c r="J756" t="n">
        <v>0</v>
      </c>
      <c r="K756" t="n">
        <v>0</v>
      </c>
      <c r="L756" t="n">
        <v>0</v>
      </c>
      <c r="M756" t="n">
        <v>0</v>
      </c>
      <c r="N756" t="n">
        <v>0</v>
      </c>
      <c r="O756" t="n">
        <v>0</v>
      </c>
      <c r="P756" t="n">
        <v>0</v>
      </c>
      <c r="Q756" t="n">
        <v>0</v>
      </c>
      <c r="R756" s="2" t="inlineStr"/>
    </row>
    <row r="757" ht="15" customHeight="1">
      <c r="A757" t="inlineStr">
        <is>
          <t>A 40147-2023</t>
        </is>
      </c>
      <c r="B757" s="1" t="n">
        <v>45169</v>
      </c>
      <c r="C757" s="1" t="n">
        <v>46084</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50995-2022</t>
        </is>
      </c>
      <c r="B758" s="1" t="n">
        <v>44867</v>
      </c>
      <c r="C758" s="1" t="n">
        <v>46084</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55716-2023</t>
        </is>
      </c>
      <c r="B759" s="1" t="n">
        <v>45232</v>
      </c>
      <c r="C759" s="1" t="n">
        <v>46084</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6817-2026</t>
        </is>
      </c>
      <c r="B760" s="1" t="n">
        <v>46057.38412037037</v>
      </c>
      <c r="C760" s="1" t="n">
        <v>46084</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27993-2022</t>
        </is>
      </c>
      <c r="B761" s="1" t="n">
        <v>44745.84396990741</v>
      </c>
      <c r="C761" s="1" t="n">
        <v>46084</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63711-2025</t>
        </is>
      </c>
      <c r="B762" s="1" t="n">
        <v>46014.62724537037</v>
      </c>
      <c r="C762" s="1" t="n">
        <v>46084</v>
      </c>
      <c r="D762" t="inlineStr">
        <is>
          <t>KALMAR LÄN</t>
        </is>
      </c>
      <c r="E762" t="inlineStr">
        <is>
          <t>VIMMERBY</t>
        </is>
      </c>
      <c r="G762" t="n">
        <v>2.1</v>
      </c>
      <c r="H762" t="n">
        <v>0</v>
      </c>
      <c r="I762" t="n">
        <v>0</v>
      </c>
      <c r="J762" t="n">
        <v>0</v>
      </c>
      <c r="K762" t="n">
        <v>0</v>
      </c>
      <c r="L762" t="n">
        <v>0</v>
      </c>
      <c r="M762" t="n">
        <v>0</v>
      </c>
      <c r="N762" t="n">
        <v>0</v>
      </c>
      <c r="O762" t="n">
        <v>0</v>
      </c>
      <c r="P762" t="n">
        <v>0</v>
      </c>
      <c r="Q762" t="n">
        <v>0</v>
      </c>
      <c r="R762" s="2" t="inlineStr"/>
    </row>
    <row r="763" ht="15" customHeight="1">
      <c r="A763" t="inlineStr">
        <is>
          <t>A 57555-2024</t>
        </is>
      </c>
      <c r="B763" s="1" t="n">
        <v>45630.45069444444</v>
      </c>
      <c r="C763" s="1" t="n">
        <v>46084</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18329-2023</t>
        </is>
      </c>
      <c r="B764" s="1" t="n">
        <v>45041.63380787037</v>
      </c>
      <c r="C764" s="1" t="n">
        <v>46084</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7040-2026</t>
        </is>
      </c>
      <c r="B765" s="1" t="n">
        <v>46057.69520833333</v>
      </c>
      <c r="C765" s="1" t="n">
        <v>46084</v>
      </c>
      <c r="D765" t="inlineStr">
        <is>
          <t>KALMAR LÄN</t>
        </is>
      </c>
      <c r="E765" t="inlineStr">
        <is>
          <t>VIMMERBY</t>
        </is>
      </c>
      <c r="G765" t="n">
        <v>2.7</v>
      </c>
      <c r="H765" t="n">
        <v>0</v>
      </c>
      <c r="I765" t="n">
        <v>0</v>
      </c>
      <c r="J765" t="n">
        <v>0</v>
      </c>
      <c r="K765" t="n">
        <v>0</v>
      </c>
      <c r="L765" t="n">
        <v>0</v>
      </c>
      <c r="M765" t="n">
        <v>0</v>
      </c>
      <c r="N765" t="n">
        <v>0</v>
      </c>
      <c r="O765" t="n">
        <v>0</v>
      </c>
      <c r="P765" t="n">
        <v>0</v>
      </c>
      <c r="Q765" t="n">
        <v>0</v>
      </c>
      <c r="R765" s="2" t="inlineStr"/>
    </row>
    <row r="766" ht="15" customHeight="1">
      <c r="A766" t="inlineStr">
        <is>
          <t>A 61937-2025</t>
        </is>
      </c>
      <c r="B766" s="1" t="n">
        <v>46003</v>
      </c>
      <c r="C766" s="1" t="n">
        <v>46084</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36014-2024</t>
        </is>
      </c>
      <c r="B767" s="1" t="n">
        <v>45533.56108796296</v>
      </c>
      <c r="C767" s="1" t="n">
        <v>46084</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36030-2024</t>
        </is>
      </c>
      <c r="B768" s="1" t="n">
        <v>45533.58302083334</v>
      </c>
      <c r="C768" s="1" t="n">
        <v>46084</v>
      </c>
      <c r="D768" t="inlineStr">
        <is>
          <t>KALMAR LÄN</t>
        </is>
      </c>
      <c r="E768" t="inlineStr">
        <is>
          <t>VIMMERBY</t>
        </is>
      </c>
      <c r="F768" t="inlineStr">
        <is>
          <t>Kommuner</t>
        </is>
      </c>
      <c r="G768" t="n">
        <v>4</v>
      </c>
      <c r="H768" t="n">
        <v>0</v>
      </c>
      <c r="I768" t="n">
        <v>0</v>
      </c>
      <c r="J768" t="n">
        <v>0</v>
      </c>
      <c r="K768" t="n">
        <v>0</v>
      </c>
      <c r="L768" t="n">
        <v>0</v>
      </c>
      <c r="M768" t="n">
        <v>0</v>
      </c>
      <c r="N768" t="n">
        <v>0</v>
      </c>
      <c r="O768" t="n">
        <v>0</v>
      </c>
      <c r="P768" t="n">
        <v>0</v>
      </c>
      <c r="Q768" t="n">
        <v>0</v>
      </c>
      <c r="R768" s="2" t="inlineStr"/>
    </row>
    <row r="769" ht="15" customHeight="1">
      <c r="A769" t="inlineStr">
        <is>
          <t>A 32865-2023</t>
        </is>
      </c>
      <c r="B769" s="1" t="n">
        <v>45124</v>
      </c>
      <c r="C769" s="1" t="n">
        <v>46084</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13015-2023</t>
        </is>
      </c>
      <c r="B770" s="1" t="n">
        <v>45002</v>
      </c>
      <c r="C770" s="1" t="n">
        <v>46084</v>
      </c>
      <c r="D770" t="inlineStr">
        <is>
          <t>KALMAR LÄN</t>
        </is>
      </c>
      <c r="E770" t="inlineStr">
        <is>
          <t>VIMMERBY</t>
        </is>
      </c>
      <c r="G770" t="n">
        <v>3.2</v>
      </c>
      <c r="H770" t="n">
        <v>0</v>
      </c>
      <c r="I770" t="n">
        <v>0</v>
      </c>
      <c r="J770" t="n">
        <v>0</v>
      </c>
      <c r="K770" t="n">
        <v>0</v>
      </c>
      <c r="L770" t="n">
        <v>0</v>
      </c>
      <c r="M770" t="n">
        <v>0</v>
      </c>
      <c r="N770" t="n">
        <v>0</v>
      </c>
      <c r="O770" t="n">
        <v>0</v>
      </c>
      <c r="P770" t="n">
        <v>0</v>
      </c>
      <c r="Q770" t="n">
        <v>0</v>
      </c>
      <c r="R770" s="2" t="inlineStr"/>
    </row>
    <row r="771" ht="15" customHeight="1">
      <c r="A771" t="inlineStr">
        <is>
          <t>A 29186-2024</t>
        </is>
      </c>
      <c r="B771" s="1" t="n">
        <v>45482.54844907407</v>
      </c>
      <c r="C771" s="1" t="n">
        <v>46084</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50993-2022</t>
        </is>
      </c>
      <c r="B772" s="1" t="n">
        <v>44867</v>
      </c>
      <c r="C772" s="1" t="n">
        <v>46084</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54787-2023</t>
        </is>
      </c>
      <c r="B773" s="1" t="n">
        <v>45236</v>
      </c>
      <c r="C773" s="1" t="n">
        <v>46084</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32614-2023</t>
        </is>
      </c>
      <c r="B774" s="1" t="n">
        <v>45121</v>
      </c>
      <c r="C774" s="1" t="n">
        <v>46084</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63762-2025</t>
        </is>
      </c>
      <c r="B775" s="1" t="n">
        <v>46018.67197916667</v>
      </c>
      <c r="C775" s="1" t="n">
        <v>46084</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63758-2025</t>
        </is>
      </c>
      <c r="B776" s="1" t="n">
        <v>46018.46483796297</v>
      </c>
      <c r="C776" s="1" t="n">
        <v>46084</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44967.44255787037</v>
      </c>
      <c r="C777" s="1" t="n">
        <v>46084</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63845-2025</t>
        </is>
      </c>
      <c r="B778" s="1" t="n">
        <v>46020.43715277778</v>
      </c>
      <c r="C778" s="1" t="n">
        <v>46084</v>
      </c>
      <c r="D778" t="inlineStr">
        <is>
          <t>KALMAR LÄN</t>
        </is>
      </c>
      <c r="E778" t="inlineStr">
        <is>
          <t>VIMMERBY</t>
        </is>
      </c>
      <c r="G778" t="n">
        <v>3.8</v>
      </c>
      <c r="H778" t="n">
        <v>0</v>
      </c>
      <c r="I778" t="n">
        <v>0</v>
      </c>
      <c r="J778" t="n">
        <v>0</v>
      </c>
      <c r="K778" t="n">
        <v>0</v>
      </c>
      <c r="L778" t="n">
        <v>0</v>
      </c>
      <c r="M778" t="n">
        <v>0</v>
      </c>
      <c r="N778" t="n">
        <v>0</v>
      </c>
      <c r="O778" t="n">
        <v>0</v>
      </c>
      <c r="P778" t="n">
        <v>0</v>
      </c>
      <c r="Q778" t="n">
        <v>0</v>
      </c>
      <c r="R778" s="2" t="inlineStr"/>
    </row>
    <row r="779" ht="15" customHeight="1">
      <c r="A779" t="inlineStr">
        <is>
          <t>A 58750-2022</t>
        </is>
      </c>
      <c r="B779" s="1" t="n">
        <v>44903.33363425926</v>
      </c>
      <c r="C779" s="1" t="n">
        <v>46084</v>
      </c>
      <c r="D779" t="inlineStr">
        <is>
          <t>KALMAR LÄN</t>
        </is>
      </c>
      <c r="E779" t="inlineStr">
        <is>
          <t>VIMMERBY</t>
        </is>
      </c>
      <c r="G779" t="n">
        <v>3.3</v>
      </c>
      <c r="H779" t="n">
        <v>0</v>
      </c>
      <c r="I779" t="n">
        <v>0</v>
      </c>
      <c r="J779" t="n">
        <v>0</v>
      </c>
      <c r="K779" t="n">
        <v>0</v>
      </c>
      <c r="L779" t="n">
        <v>0</v>
      </c>
      <c r="M779" t="n">
        <v>0</v>
      </c>
      <c r="N779" t="n">
        <v>0</v>
      </c>
      <c r="O779" t="n">
        <v>0</v>
      </c>
      <c r="P779" t="n">
        <v>0</v>
      </c>
      <c r="Q779" t="n">
        <v>0</v>
      </c>
      <c r="R779" s="2" t="inlineStr"/>
    </row>
    <row r="780" ht="15" customHeight="1">
      <c r="A780" t="inlineStr">
        <is>
          <t>A 63848-2025</t>
        </is>
      </c>
      <c r="B780" s="1" t="n">
        <v>46020.44902777778</v>
      </c>
      <c r="C780" s="1" t="n">
        <v>46084</v>
      </c>
      <c r="D780" t="inlineStr">
        <is>
          <t>KALMAR LÄN</t>
        </is>
      </c>
      <c r="E780" t="inlineStr">
        <is>
          <t>VIMMERBY</t>
        </is>
      </c>
      <c r="G780" t="n">
        <v>3.4</v>
      </c>
      <c r="H780" t="n">
        <v>0</v>
      </c>
      <c r="I780" t="n">
        <v>0</v>
      </c>
      <c r="J780" t="n">
        <v>0</v>
      </c>
      <c r="K780" t="n">
        <v>0</v>
      </c>
      <c r="L780" t="n">
        <v>0</v>
      </c>
      <c r="M780" t="n">
        <v>0</v>
      </c>
      <c r="N780" t="n">
        <v>0</v>
      </c>
      <c r="O780" t="n">
        <v>0</v>
      </c>
      <c r="P780" t="n">
        <v>0</v>
      </c>
      <c r="Q780" t="n">
        <v>0</v>
      </c>
      <c r="R780" s="2" t="inlineStr"/>
    </row>
    <row r="781" ht="15" customHeight="1">
      <c r="A781" t="inlineStr">
        <is>
          <t>A 41158-2023</t>
        </is>
      </c>
      <c r="B781" s="1" t="n">
        <v>45174.31395833333</v>
      </c>
      <c r="C781" s="1" t="n">
        <v>46084</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2510-2023</t>
        </is>
      </c>
      <c r="B782" s="1" t="n">
        <v>44943.57309027778</v>
      </c>
      <c r="C782" s="1" t="n">
        <v>46084</v>
      </c>
      <c r="D782" t="inlineStr">
        <is>
          <t>KALMAR LÄN</t>
        </is>
      </c>
      <c r="E782" t="inlineStr">
        <is>
          <t>VIMMERBY</t>
        </is>
      </c>
      <c r="G782" t="n">
        <v>8.6</v>
      </c>
      <c r="H782" t="n">
        <v>0</v>
      </c>
      <c r="I782" t="n">
        <v>0</v>
      </c>
      <c r="J782" t="n">
        <v>0</v>
      </c>
      <c r="K782" t="n">
        <v>0</v>
      </c>
      <c r="L782" t="n">
        <v>0</v>
      </c>
      <c r="M782" t="n">
        <v>0</v>
      </c>
      <c r="N782" t="n">
        <v>0</v>
      </c>
      <c r="O782" t="n">
        <v>0</v>
      </c>
      <c r="P782" t="n">
        <v>0</v>
      </c>
      <c r="Q782" t="n">
        <v>0</v>
      </c>
      <c r="R782" s="2" t="inlineStr"/>
    </row>
    <row r="783" ht="15" customHeight="1">
      <c r="A783" t="inlineStr">
        <is>
          <t>A 63839-2025</t>
        </is>
      </c>
      <c r="B783" s="1" t="n">
        <v>46020.41998842593</v>
      </c>
      <c r="C783" s="1" t="n">
        <v>46084</v>
      </c>
      <c r="D783" t="inlineStr">
        <is>
          <t>KALMAR LÄN</t>
        </is>
      </c>
      <c r="E783" t="inlineStr">
        <is>
          <t>VIMMERBY</t>
        </is>
      </c>
      <c r="G783" t="n">
        <v>2.9</v>
      </c>
      <c r="H783" t="n">
        <v>0</v>
      </c>
      <c r="I783" t="n">
        <v>0</v>
      </c>
      <c r="J783" t="n">
        <v>0</v>
      </c>
      <c r="K783" t="n">
        <v>0</v>
      </c>
      <c r="L783" t="n">
        <v>0</v>
      </c>
      <c r="M783" t="n">
        <v>0</v>
      </c>
      <c r="N783" t="n">
        <v>0</v>
      </c>
      <c r="O783" t="n">
        <v>0</v>
      </c>
      <c r="P783" t="n">
        <v>0</v>
      </c>
      <c r="Q783" t="n">
        <v>0</v>
      </c>
      <c r="R783" s="2" t="inlineStr"/>
    </row>
    <row r="784" ht="15" customHeight="1">
      <c r="A784" t="inlineStr">
        <is>
          <t>A 3269-2024</t>
        </is>
      </c>
      <c r="B784" s="1" t="n">
        <v>45317.40372685185</v>
      </c>
      <c r="C784" s="1" t="n">
        <v>46084</v>
      </c>
      <c r="D784" t="inlineStr">
        <is>
          <t>KALMAR LÄN</t>
        </is>
      </c>
      <c r="E784" t="inlineStr">
        <is>
          <t>VIMMERBY</t>
        </is>
      </c>
      <c r="F784" t="inlineStr">
        <is>
          <t>Övriga Aktiebolag</t>
        </is>
      </c>
      <c r="G784" t="n">
        <v>1.7</v>
      </c>
      <c r="H784" t="n">
        <v>0</v>
      </c>
      <c r="I784" t="n">
        <v>0</v>
      </c>
      <c r="J784" t="n">
        <v>0</v>
      </c>
      <c r="K784" t="n">
        <v>0</v>
      </c>
      <c r="L784" t="n">
        <v>0</v>
      </c>
      <c r="M784" t="n">
        <v>0</v>
      </c>
      <c r="N784" t="n">
        <v>0</v>
      </c>
      <c r="O784" t="n">
        <v>0</v>
      </c>
      <c r="P784" t="n">
        <v>0</v>
      </c>
      <c r="Q784" t="n">
        <v>0</v>
      </c>
      <c r="R784" s="2" t="inlineStr"/>
    </row>
    <row r="785" ht="15" customHeight="1">
      <c r="A785" t="inlineStr">
        <is>
          <t>A 48120-2022</t>
        </is>
      </c>
      <c r="B785" s="1" t="n">
        <v>44857.65989583333</v>
      </c>
      <c r="C785" s="1" t="n">
        <v>46084</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46084</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9416-2024</t>
        </is>
      </c>
      <c r="B787" s="1" t="n">
        <v>45359.44837962963</v>
      </c>
      <c r="C787" s="1" t="n">
        <v>46084</v>
      </c>
      <c r="D787" t="inlineStr">
        <is>
          <t>KALMAR LÄN</t>
        </is>
      </c>
      <c r="E787" t="inlineStr">
        <is>
          <t>VIMMERBY</t>
        </is>
      </c>
      <c r="G787" t="n">
        <v>3.2</v>
      </c>
      <c r="H787" t="n">
        <v>0</v>
      </c>
      <c r="I787" t="n">
        <v>0</v>
      </c>
      <c r="J787" t="n">
        <v>0</v>
      </c>
      <c r="K787" t="n">
        <v>0</v>
      </c>
      <c r="L787" t="n">
        <v>0</v>
      </c>
      <c r="M787" t="n">
        <v>0</v>
      </c>
      <c r="N787" t="n">
        <v>0</v>
      </c>
      <c r="O787" t="n">
        <v>0</v>
      </c>
      <c r="P787" t="n">
        <v>0</v>
      </c>
      <c r="Q787" t="n">
        <v>0</v>
      </c>
      <c r="R787" s="2" t="inlineStr"/>
    </row>
    <row r="788" ht="15" customHeight="1">
      <c r="A788" t="inlineStr">
        <is>
          <t>A 2797-2023</t>
        </is>
      </c>
      <c r="B788" s="1" t="n">
        <v>44944.71386574074</v>
      </c>
      <c r="C788" s="1" t="n">
        <v>46084</v>
      </c>
      <c r="D788" t="inlineStr">
        <is>
          <t>KALMAR LÄN</t>
        </is>
      </c>
      <c r="E788" t="inlineStr">
        <is>
          <t>VIMMERBY</t>
        </is>
      </c>
      <c r="G788" t="n">
        <v>3.4</v>
      </c>
      <c r="H788" t="n">
        <v>0</v>
      </c>
      <c r="I788" t="n">
        <v>0</v>
      </c>
      <c r="J788" t="n">
        <v>0</v>
      </c>
      <c r="K788" t="n">
        <v>0</v>
      </c>
      <c r="L788" t="n">
        <v>0</v>
      </c>
      <c r="M788" t="n">
        <v>0</v>
      </c>
      <c r="N788" t="n">
        <v>0</v>
      </c>
      <c r="O788" t="n">
        <v>0</v>
      </c>
      <c r="P788" t="n">
        <v>0</v>
      </c>
      <c r="Q788" t="n">
        <v>0</v>
      </c>
      <c r="R788" s="2" t="inlineStr"/>
    </row>
    <row r="789" ht="15" customHeight="1">
      <c r="A789" t="inlineStr">
        <is>
          <t>A 2799-2023</t>
        </is>
      </c>
      <c r="B789" s="1" t="n">
        <v>44944.72100694444</v>
      </c>
      <c r="C789" s="1" t="n">
        <v>46084</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25987-2024</t>
        </is>
      </c>
      <c r="B790" s="1" t="n">
        <v>45467.74417824074</v>
      </c>
      <c r="C790" s="1" t="n">
        <v>46084</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22194-2024</t>
        </is>
      </c>
      <c r="B791" s="1" t="n">
        <v>45446.36482638889</v>
      </c>
      <c r="C791" s="1" t="n">
        <v>46084</v>
      </c>
      <c r="D791" t="inlineStr">
        <is>
          <t>KALMAR LÄN</t>
        </is>
      </c>
      <c r="E791" t="inlineStr">
        <is>
          <t>VIMMERBY</t>
        </is>
      </c>
      <c r="F791" t="inlineStr">
        <is>
          <t>Sveaskog</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19865-2021</t>
        </is>
      </c>
      <c r="B792" s="1" t="n">
        <v>44312</v>
      </c>
      <c r="C792" s="1" t="n">
        <v>46084</v>
      </c>
      <c r="D792" t="inlineStr">
        <is>
          <t>KALMAR LÄN</t>
        </is>
      </c>
      <c r="E792" t="inlineStr">
        <is>
          <t>VIMMERBY</t>
        </is>
      </c>
      <c r="G792" t="n">
        <v>8.6</v>
      </c>
      <c r="H792" t="n">
        <v>0</v>
      </c>
      <c r="I792" t="n">
        <v>0</v>
      </c>
      <c r="J792" t="n">
        <v>0</v>
      </c>
      <c r="K792" t="n">
        <v>0</v>
      </c>
      <c r="L792" t="n">
        <v>0</v>
      </c>
      <c r="M792" t="n">
        <v>0</v>
      </c>
      <c r="N792" t="n">
        <v>0</v>
      </c>
      <c r="O792" t="n">
        <v>0</v>
      </c>
      <c r="P792" t="n">
        <v>0</v>
      </c>
      <c r="Q792" t="n">
        <v>0</v>
      </c>
      <c r="R792" s="2" t="inlineStr"/>
    </row>
    <row r="793" ht="15" customHeight="1">
      <c r="A793" t="inlineStr">
        <is>
          <t>A 12630-2023</t>
        </is>
      </c>
      <c r="B793" s="1" t="n">
        <v>45000.47998842593</v>
      </c>
      <c r="C793" s="1" t="n">
        <v>46084</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21109-2024</t>
        </is>
      </c>
      <c r="B794" s="1" t="n">
        <v>45440.28329861111</v>
      </c>
      <c r="C794" s="1" t="n">
        <v>46084</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30634-2024</t>
        </is>
      </c>
      <c r="B795" s="1" t="n">
        <v>45495</v>
      </c>
      <c r="C795" s="1" t="n">
        <v>46084</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40260-2024</t>
        </is>
      </c>
      <c r="B796" s="1" t="n">
        <v>45554.63225694445</v>
      </c>
      <c r="C796" s="1" t="n">
        <v>46084</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59943-2023</t>
        </is>
      </c>
      <c r="B797" s="1" t="n">
        <v>45257.67958333333</v>
      </c>
      <c r="C797" s="1" t="n">
        <v>46084</v>
      </c>
      <c r="D797" t="inlineStr">
        <is>
          <t>KALMAR LÄN</t>
        </is>
      </c>
      <c r="E797" t="inlineStr">
        <is>
          <t>VIMMERBY</t>
        </is>
      </c>
      <c r="G797" t="n">
        <v>6.4</v>
      </c>
      <c r="H797" t="n">
        <v>0</v>
      </c>
      <c r="I797" t="n">
        <v>0</v>
      </c>
      <c r="J797" t="n">
        <v>0</v>
      </c>
      <c r="K797" t="n">
        <v>0</v>
      </c>
      <c r="L797" t="n">
        <v>0</v>
      </c>
      <c r="M797" t="n">
        <v>0</v>
      </c>
      <c r="N797" t="n">
        <v>0</v>
      </c>
      <c r="O797" t="n">
        <v>0</v>
      </c>
      <c r="P797" t="n">
        <v>0</v>
      </c>
      <c r="Q797" t="n">
        <v>0</v>
      </c>
      <c r="R797" s="2" t="inlineStr"/>
    </row>
    <row r="798" ht="15" customHeight="1">
      <c r="A798" t="inlineStr">
        <is>
          <t>A 5527-2022</t>
        </is>
      </c>
      <c r="B798" s="1" t="n">
        <v>44595.583125</v>
      </c>
      <c r="C798" s="1" t="n">
        <v>46084</v>
      </c>
      <c r="D798" t="inlineStr">
        <is>
          <t>KALMAR LÄN</t>
        </is>
      </c>
      <c r="E798" t="inlineStr">
        <is>
          <t>VIMMERBY</t>
        </is>
      </c>
      <c r="G798" t="n">
        <v>3.6</v>
      </c>
      <c r="H798" t="n">
        <v>0</v>
      </c>
      <c r="I798" t="n">
        <v>0</v>
      </c>
      <c r="J798" t="n">
        <v>0</v>
      </c>
      <c r="K798" t="n">
        <v>0</v>
      </c>
      <c r="L798" t="n">
        <v>0</v>
      </c>
      <c r="M798" t="n">
        <v>0</v>
      </c>
      <c r="N798" t="n">
        <v>0</v>
      </c>
      <c r="O798" t="n">
        <v>0</v>
      </c>
      <c r="P798" t="n">
        <v>0</v>
      </c>
      <c r="Q798" t="n">
        <v>0</v>
      </c>
      <c r="R798" s="2" t="inlineStr"/>
    </row>
    <row r="799" ht="15" customHeight="1">
      <c r="A799" t="inlineStr">
        <is>
          <t>A 12325-2023</t>
        </is>
      </c>
      <c r="B799" s="1" t="n">
        <v>44999.35858796296</v>
      </c>
      <c r="C799" s="1" t="n">
        <v>46084</v>
      </c>
      <c r="D799" t="inlineStr">
        <is>
          <t>KALMAR LÄN</t>
        </is>
      </c>
      <c r="E799" t="inlineStr">
        <is>
          <t>VIMMERBY</t>
        </is>
      </c>
      <c r="G799" t="n">
        <v>3.4</v>
      </c>
      <c r="H799" t="n">
        <v>0</v>
      </c>
      <c r="I799" t="n">
        <v>0</v>
      </c>
      <c r="J799" t="n">
        <v>0</v>
      </c>
      <c r="K799" t="n">
        <v>0</v>
      </c>
      <c r="L799" t="n">
        <v>0</v>
      </c>
      <c r="M799" t="n">
        <v>0</v>
      </c>
      <c r="N799" t="n">
        <v>0</v>
      </c>
      <c r="O799" t="n">
        <v>0</v>
      </c>
      <c r="P799" t="n">
        <v>0</v>
      </c>
      <c r="Q799" t="n">
        <v>0</v>
      </c>
      <c r="R799" s="2" t="inlineStr"/>
    </row>
    <row r="800" ht="15" customHeight="1">
      <c r="A800" t="inlineStr">
        <is>
          <t>A 1016-2024</t>
        </is>
      </c>
      <c r="B800" s="1" t="n">
        <v>45301</v>
      </c>
      <c r="C800" s="1" t="n">
        <v>46084</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33681-2022</t>
        </is>
      </c>
      <c r="B801" s="1" t="n">
        <v>44789</v>
      </c>
      <c r="C801" s="1" t="n">
        <v>46084</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5074-2023</t>
        </is>
      </c>
      <c r="B802" s="1" t="n">
        <v>44958.61047453704</v>
      </c>
      <c r="C802" s="1" t="n">
        <v>46084</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51187-2023</t>
        </is>
      </c>
      <c r="B803" s="1" t="n">
        <v>45219.40528935185</v>
      </c>
      <c r="C803" s="1" t="n">
        <v>46084</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15715-2022</t>
        </is>
      </c>
      <c r="B804" s="1" t="n">
        <v>44663</v>
      </c>
      <c r="C804" s="1" t="n">
        <v>46084</v>
      </c>
      <c r="D804" t="inlineStr">
        <is>
          <t>KALMAR LÄN</t>
        </is>
      </c>
      <c r="E804" t="inlineStr">
        <is>
          <t>VIMMERBY</t>
        </is>
      </c>
      <c r="G804" t="n">
        <v>2.3</v>
      </c>
      <c r="H804" t="n">
        <v>0</v>
      </c>
      <c r="I804" t="n">
        <v>0</v>
      </c>
      <c r="J804" t="n">
        <v>0</v>
      </c>
      <c r="K804" t="n">
        <v>0</v>
      </c>
      <c r="L804" t="n">
        <v>0</v>
      </c>
      <c r="M804" t="n">
        <v>0</v>
      </c>
      <c r="N804" t="n">
        <v>0</v>
      </c>
      <c r="O804" t="n">
        <v>0</v>
      </c>
      <c r="P804" t="n">
        <v>0</v>
      </c>
      <c r="Q804" t="n">
        <v>0</v>
      </c>
      <c r="R804" s="2" t="inlineStr"/>
    </row>
    <row r="805" ht="15" customHeight="1">
      <c r="A805" t="inlineStr">
        <is>
          <t>A 43093-2024</t>
        </is>
      </c>
      <c r="B805" s="1" t="n">
        <v>45567</v>
      </c>
      <c r="C805" s="1" t="n">
        <v>46084</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56022-2024</t>
        </is>
      </c>
      <c r="B806" s="1" t="n">
        <v>45623.95947916667</v>
      </c>
      <c r="C806" s="1" t="n">
        <v>46084</v>
      </c>
      <c r="D806" t="inlineStr">
        <is>
          <t>KALMAR LÄN</t>
        </is>
      </c>
      <c r="E806" t="inlineStr">
        <is>
          <t>VIMMERBY</t>
        </is>
      </c>
      <c r="G806" t="n">
        <v>0.3</v>
      </c>
      <c r="H806" t="n">
        <v>0</v>
      </c>
      <c r="I806" t="n">
        <v>0</v>
      </c>
      <c r="J806" t="n">
        <v>0</v>
      </c>
      <c r="K806" t="n">
        <v>0</v>
      </c>
      <c r="L806" t="n">
        <v>0</v>
      </c>
      <c r="M806" t="n">
        <v>0</v>
      </c>
      <c r="N806" t="n">
        <v>0</v>
      </c>
      <c r="O806" t="n">
        <v>0</v>
      </c>
      <c r="P806" t="n">
        <v>0</v>
      </c>
      <c r="Q806" t="n">
        <v>0</v>
      </c>
      <c r="R806" s="2" t="inlineStr"/>
    </row>
    <row r="807" ht="15" customHeight="1">
      <c r="A807" t="inlineStr">
        <is>
          <t>A 18330-2023</t>
        </is>
      </c>
      <c r="B807" s="1" t="n">
        <v>45041</v>
      </c>
      <c r="C807" s="1" t="n">
        <v>46084</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20126-2024</t>
        </is>
      </c>
      <c r="B808" s="1" t="n">
        <v>45434.55471064815</v>
      </c>
      <c r="C808" s="1" t="n">
        <v>46084</v>
      </c>
      <c r="D808" t="inlineStr">
        <is>
          <t>KALMAR LÄN</t>
        </is>
      </c>
      <c r="E808" t="inlineStr">
        <is>
          <t>VIMMERBY</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20136-2024</t>
        </is>
      </c>
      <c r="B809" s="1" t="n">
        <v>45434.56291666667</v>
      </c>
      <c r="C809" s="1" t="n">
        <v>46084</v>
      </c>
      <c r="D809" t="inlineStr">
        <is>
          <t>KALMAR LÄN</t>
        </is>
      </c>
      <c r="E809" t="inlineStr">
        <is>
          <t>VIMMERBY</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46921-2023</t>
        </is>
      </c>
      <c r="B810" s="1" t="n">
        <v>45201.39996527778</v>
      </c>
      <c r="C810" s="1" t="n">
        <v>46084</v>
      </c>
      <c r="D810" t="inlineStr">
        <is>
          <t>KALMAR LÄN</t>
        </is>
      </c>
      <c r="E810" t="inlineStr">
        <is>
          <t>VIMMERBY</t>
        </is>
      </c>
      <c r="G810" t="n">
        <v>2.6</v>
      </c>
      <c r="H810" t="n">
        <v>0</v>
      </c>
      <c r="I810" t="n">
        <v>0</v>
      </c>
      <c r="J810" t="n">
        <v>0</v>
      </c>
      <c r="K810" t="n">
        <v>0</v>
      </c>
      <c r="L810" t="n">
        <v>0</v>
      </c>
      <c r="M810" t="n">
        <v>0</v>
      </c>
      <c r="N810" t="n">
        <v>0</v>
      </c>
      <c r="O810" t="n">
        <v>0</v>
      </c>
      <c r="P810" t="n">
        <v>0</v>
      </c>
      <c r="Q810" t="n">
        <v>0</v>
      </c>
      <c r="R810" s="2" t="inlineStr"/>
    </row>
    <row r="811" ht="15" customHeight="1">
      <c r="A811" t="inlineStr">
        <is>
          <t>A 25236-2023</t>
        </is>
      </c>
      <c r="B811" s="1" t="n">
        <v>45086.63334490741</v>
      </c>
      <c r="C811" s="1" t="n">
        <v>46084</v>
      </c>
      <c r="D811" t="inlineStr">
        <is>
          <t>KALMAR LÄN</t>
        </is>
      </c>
      <c r="E811" t="inlineStr">
        <is>
          <t>VIMMERBY</t>
        </is>
      </c>
      <c r="G811" t="n">
        <v>0.9</v>
      </c>
      <c r="H811" t="n">
        <v>0</v>
      </c>
      <c r="I811" t="n">
        <v>0</v>
      </c>
      <c r="J811" t="n">
        <v>0</v>
      </c>
      <c r="K811" t="n">
        <v>0</v>
      </c>
      <c r="L811" t="n">
        <v>0</v>
      </c>
      <c r="M811" t="n">
        <v>0</v>
      </c>
      <c r="N811" t="n">
        <v>0</v>
      </c>
      <c r="O811" t="n">
        <v>0</v>
      </c>
      <c r="P811" t="n">
        <v>0</v>
      </c>
      <c r="Q811" t="n">
        <v>0</v>
      </c>
      <c r="R811" s="2" t="inlineStr"/>
    </row>
    <row r="812" ht="15" customHeight="1">
      <c r="A812" t="inlineStr">
        <is>
          <t>A 6082-2022</t>
        </is>
      </c>
      <c r="B812" s="1" t="n">
        <v>44599</v>
      </c>
      <c r="C812" s="1" t="n">
        <v>46084</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2801-2023</t>
        </is>
      </c>
      <c r="B813" s="1" t="n">
        <v>44944.73487268519</v>
      </c>
      <c r="C813" s="1" t="n">
        <v>46084</v>
      </c>
      <c r="D813" t="inlineStr">
        <is>
          <t>KALMAR LÄN</t>
        </is>
      </c>
      <c r="E813" t="inlineStr">
        <is>
          <t>VIMMERBY</t>
        </is>
      </c>
      <c r="G813" t="n">
        <v>0.6</v>
      </c>
      <c r="H813" t="n">
        <v>0</v>
      </c>
      <c r="I813" t="n">
        <v>0</v>
      </c>
      <c r="J813" t="n">
        <v>0</v>
      </c>
      <c r="K813" t="n">
        <v>0</v>
      </c>
      <c r="L813" t="n">
        <v>0</v>
      </c>
      <c r="M813" t="n">
        <v>0</v>
      </c>
      <c r="N813" t="n">
        <v>0</v>
      </c>
      <c r="O813" t="n">
        <v>0</v>
      </c>
      <c r="P813" t="n">
        <v>0</v>
      </c>
      <c r="Q813" t="n">
        <v>0</v>
      </c>
      <c r="R813" s="2" t="inlineStr"/>
    </row>
    <row r="814" ht="15" customHeight="1">
      <c r="A814" t="inlineStr">
        <is>
          <t>A 5146-2024</t>
        </is>
      </c>
      <c r="B814" s="1" t="n">
        <v>45330</v>
      </c>
      <c r="C814" s="1" t="n">
        <v>46084</v>
      </c>
      <c r="D814" t="inlineStr">
        <is>
          <t>KALMAR LÄN</t>
        </is>
      </c>
      <c r="E814" t="inlineStr">
        <is>
          <t>VIMMERBY</t>
        </is>
      </c>
      <c r="G814" t="n">
        <v>5.3</v>
      </c>
      <c r="H814" t="n">
        <v>0</v>
      </c>
      <c r="I814" t="n">
        <v>0</v>
      </c>
      <c r="J814" t="n">
        <v>0</v>
      </c>
      <c r="K814" t="n">
        <v>0</v>
      </c>
      <c r="L814" t="n">
        <v>0</v>
      </c>
      <c r="M814" t="n">
        <v>0</v>
      </c>
      <c r="N814" t="n">
        <v>0</v>
      </c>
      <c r="O814" t="n">
        <v>0</v>
      </c>
      <c r="P814" t="n">
        <v>0</v>
      </c>
      <c r="Q814" t="n">
        <v>0</v>
      </c>
      <c r="R814" s="2" t="inlineStr"/>
    </row>
    <row r="815" ht="15" customHeight="1">
      <c r="A815" t="inlineStr">
        <is>
          <t>A 5148-2024</t>
        </is>
      </c>
      <c r="B815" s="1" t="n">
        <v>45330</v>
      </c>
      <c r="C815" s="1" t="n">
        <v>46084</v>
      </c>
      <c r="D815" t="inlineStr">
        <is>
          <t>KALMAR LÄN</t>
        </is>
      </c>
      <c r="E815" t="inlineStr">
        <is>
          <t>VIMMERBY</t>
        </is>
      </c>
      <c r="G815" t="n">
        <v>5.6</v>
      </c>
      <c r="H815" t="n">
        <v>0</v>
      </c>
      <c r="I815" t="n">
        <v>0</v>
      </c>
      <c r="J815" t="n">
        <v>0</v>
      </c>
      <c r="K815" t="n">
        <v>0</v>
      </c>
      <c r="L815" t="n">
        <v>0</v>
      </c>
      <c r="M815" t="n">
        <v>0</v>
      </c>
      <c r="N815" t="n">
        <v>0</v>
      </c>
      <c r="O815" t="n">
        <v>0</v>
      </c>
      <c r="P815" t="n">
        <v>0</v>
      </c>
      <c r="Q815" t="n">
        <v>0</v>
      </c>
      <c r="R815" s="2" t="inlineStr"/>
    </row>
    <row r="816" ht="15" customHeight="1">
      <c r="A816" t="inlineStr">
        <is>
          <t>A 58278-2023</t>
        </is>
      </c>
      <c r="B816" s="1" t="n">
        <v>45250.5278587963</v>
      </c>
      <c r="C816" s="1" t="n">
        <v>46084</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22266-2023</t>
        </is>
      </c>
      <c r="B817" s="1" t="n">
        <v>45070</v>
      </c>
      <c r="C817" s="1" t="n">
        <v>46084</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52588-2023</t>
        </is>
      </c>
      <c r="B818" s="1" t="n">
        <v>45225.60192129629</v>
      </c>
      <c r="C818" s="1" t="n">
        <v>46084</v>
      </c>
      <c r="D818" t="inlineStr">
        <is>
          <t>KALMAR LÄN</t>
        </is>
      </c>
      <c r="E818" t="inlineStr">
        <is>
          <t>VIMMERBY</t>
        </is>
      </c>
      <c r="G818" t="n">
        <v>2.9</v>
      </c>
      <c r="H818" t="n">
        <v>0</v>
      </c>
      <c r="I818" t="n">
        <v>0</v>
      </c>
      <c r="J818" t="n">
        <v>0</v>
      </c>
      <c r="K818" t="n">
        <v>0</v>
      </c>
      <c r="L818" t="n">
        <v>0</v>
      </c>
      <c r="M818" t="n">
        <v>0</v>
      </c>
      <c r="N818" t="n">
        <v>0</v>
      </c>
      <c r="O818" t="n">
        <v>0</v>
      </c>
      <c r="P818" t="n">
        <v>0</v>
      </c>
      <c r="Q818" t="n">
        <v>0</v>
      </c>
      <c r="R818" s="2" t="inlineStr"/>
    </row>
    <row r="819" ht="15" customHeight="1">
      <c r="A819" t="inlineStr">
        <is>
          <t>A 6802-2025</t>
        </is>
      </c>
      <c r="B819" s="1" t="n">
        <v>45700.68289351852</v>
      </c>
      <c r="C819" s="1" t="n">
        <v>46084</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71793-2021</t>
        </is>
      </c>
      <c r="B820" s="1" t="n">
        <v>44539</v>
      </c>
      <c r="C820" s="1" t="n">
        <v>46084</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527-2024</t>
        </is>
      </c>
      <c r="B821" s="1" t="n">
        <v>45299.47513888889</v>
      </c>
      <c r="C821" s="1" t="n">
        <v>46084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60230-2022</t>
        </is>
      </c>
      <c r="B822" s="1" t="n">
        <v>44910</v>
      </c>
      <c r="C822" s="1" t="n">
        <v>46084</v>
      </c>
      <c r="D822" t="inlineStr">
        <is>
          <t>KALMAR LÄN</t>
        </is>
      </c>
      <c r="E822" t="inlineStr">
        <is>
          <t>VIMMERBY</t>
        </is>
      </c>
      <c r="G822" t="n">
        <v>11.3</v>
      </c>
      <c r="H822" t="n">
        <v>0</v>
      </c>
      <c r="I822" t="n">
        <v>0</v>
      </c>
      <c r="J822" t="n">
        <v>0</v>
      </c>
      <c r="K822" t="n">
        <v>0</v>
      </c>
      <c r="L822" t="n">
        <v>0</v>
      </c>
      <c r="M822" t="n">
        <v>0</v>
      </c>
      <c r="N822" t="n">
        <v>0</v>
      </c>
      <c r="O822" t="n">
        <v>0</v>
      </c>
      <c r="P822" t="n">
        <v>0</v>
      </c>
      <c r="Q822" t="n">
        <v>0</v>
      </c>
      <c r="R822" s="2" t="inlineStr"/>
    </row>
    <row r="823" ht="15" customHeight="1">
      <c r="A823" t="inlineStr">
        <is>
          <t>A 5925-2022</t>
        </is>
      </c>
      <c r="B823" s="1" t="n">
        <v>44598.7384837963</v>
      </c>
      <c r="C823" s="1" t="n">
        <v>46084</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46522-2022</t>
        </is>
      </c>
      <c r="B824" s="1" t="n">
        <v>44848.59133101852</v>
      </c>
      <c r="C824" s="1" t="n">
        <v>46084</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41066-2024</t>
        </is>
      </c>
      <c r="B825" s="1" t="n">
        <v>45559.38876157408</v>
      </c>
      <c r="C825" s="1" t="n">
        <v>46084</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52279-2023</t>
        </is>
      </c>
      <c r="B826" s="1" t="n">
        <v>45224</v>
      </c>
      <c r="C826" s="1" t="n">
        <v>46084</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17486-2024</t>
        </is>
      </c>
      <c r="B827" s="1" t="n">
        <v>45415.48979166667</v>
      </c>
      <c r="C827" s="1" t="n">
        <v>46084</v>
      </c>
      <c r="D827" t="inlineStr">
        <is>
          <t>KALMAR LÄN</t>
        </is>
      </c>
      <c r="E827" t="inlineStr">
        <is>
          <t>VIMMERBY</t>
        </is>
      </c>
      <c r="G827" t="n">
        <v>2.6</v>
      </c>
      <c r="H827" t="n">
        <v>0</v>
      </c>
      <c r="I827" t="n">
        <v>0</v>
      </c>
      <c r="J827" t="n">
        <v>0</v>
      </c>
      <c r="K827" t="n">
        <v>0</v>
      </c>
      <c r="L827" t="n">
        <v>0</v>
      </c>
      <c r="M827" t="n">
        <v>0</v>
      </c>
      <c r="N827" t="n">
        <v>0</v>
      </c>
      <c r="O827" t="n">
        <v>0</v>
      </c>
      <c r="P827" t="n">
        <v>0</v>
      </c>
      <c r="Q827" t="n">
        <v>0</v>
      </c>
      <c r="R827" s="2" t="inlineStr"/>
    </row>
    <row r="828" ht="15" customHeight="1">
      <c r="A828" t="inlineStr">
        <is>
          <t>A 71631-2021</t>
        </is>
      </c>
      <c r="B828" s="1" t="n">
        <v>44542.90072916666</v>
      </c>
      <c r="C828" s="1" t="n">
        <v>46084</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16015-2025</t>
        </is>
      </c>
      <c r="B829" s="1" t="n">
        <v>45749.60487268519</v>
      </c>
      <c r="C829" s="1" t="n">
        <v>46084</v>
      </c>
      <c r="D829" t="inlineStr">
        <is>
          <t>KALMAR LÄN</t>
        </is>
      </c>
      <c r="E829" t="inlineStr">
        <is>
          <t>VIMMERBY</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9694-2023</t>
        </is>
      </c>
      <c r="B830" s="1" t="n">
        <v>44984.45895833334</v>
      </c>
      <c r="C830" s="1" t="n">
        <v>46084</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22198-2024</t>
        </is>
      </c>
      <c r="B831" s="1" t="n">
        <v>45446.36865740741</v>
      </c>
      <c r="C831" s="1" t="n">
        <v>46084</v>
      </c>
      <c r="D831" t="inlineStr">
        <is>
          <t>KALMAR LÄN</t>
        </is>
      </c>
      <c r="E831" t="inlineStr">
        <is>
          <t>VIMMERBY</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57311-2023</t>
        </is>
      </c>
      <c r="B832" s="1" t="n">
        <v>45245.63574074074</v>
      </c>
      <c r="C832" s="1" t="n">
        <v>46084</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12588-2025</t>
        </is>
      </c>
      <c r="B833" s="1" t="n">
        <v>45732.76936342593</v>
      </c>
      <c r="C833" s="1" t="n">
        <v>46084</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7932-2025</t>
        </is>
      </c>
      <c r="B834" s="1" t="n">
        <v>45707.3793287037</v>
      </c>
      <c r="C834" s="1" t="n">
        <v>46084</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2121-2022</t>
        </is>
      </c>
      <c r="B835" s="1" t="n">
        <v>44578.32717592592</v>
      </c>
      <c r="C835" s="1" t="n">
        <v>46084</v>
      </c>
      <c r="D835" t="inlineStr">
        <is>
          <t>KALMAR LÄN</t>
        </is>
      </c>
      <c r="E835" t="inlineStr">
        <is>
          <t>VIMMERBY</t>
        </is>
      </c>
      <c r="G835" t="n">
        <v>2</v>
      </c>
      <c r="H835" t="n">
        <v>0</v>
      </c>
      <c r="I835" t="n">
        <v>0</v>
      </c>
      <c r="J835" t="n">
        <v>0</v>
      </c>
      <c r="K835" t="n">
        <v>0</v>
      </c>
      <c r="L835" t="n">
        <v>0</v>
      </c>
      <c r="M835" t="n">
        <v>0</v>
      </c>
      <c r="N835" t="n">
        <v>0</v>
      </c>
      <c r="O835" t="n">
        <v>0</v>
      </c>
      <c r="P835" t="n">
        <v>0</v>
      </c>
      <c r="Q835" t="n">
        <v>0</v>
      </c>
      <c r="R835" s="2" t="inlineStr"/>
    </row>
    <row r="836" ht="15" customHeight="1">
      <c r="A836" t="inlineStr">
        <is>
          <t>A 34386-2024</t>
        </is>
      </c>
      <c r="B836" s="1" t="n">
        <v>45525.41762731481</v>
      </c>
      <c r="C836" s="1" t="n">
        <v>46084</v>
      </c>
      <c r="D836" t="inlineStr">
        <is>
          <t>KALMAR LÄN</t>
        </is>
      </c>
      <c r="E836" t="inlineStr">
        <is>
          <t>VIMMERBY</t>
        </is>
      </c>
      <c r="G836" t="n">
        <v>0.3</v>
      </c>
      <c r="H836" t="n">
        <v>0</v>
      </c>
      <c r="I836" t="n">
        <v>0</v>
      </c>
      <c r="J836" t="n">
        <v>0</v>
      </c>
      <c r="K836" t="n">
        <v>0</v>
      </c>
      <c r="L836" t="n">
        <v>0</v>
      </c>
      <c r="M836" t="n">
        <v>0</v>
      </c>
      <c r="N836" t="n">
        <v>0</v>
      </c>
      <c r="O836" t="n">
        <v>0</v>
      </c>
      <c r="P836" t="n">
        <v>0</v>
      </c>
      <c r="Q836" t="n">
        <v>0</v>
      </c>
      <c r="R836" s="2" t="inlineStr"/>
    </row>
    <row r="837" ht="15" customHeight="1">
      <c r="A837" t="inlineStr">
        <is>
          <t>A 6069-2023</t>
        </is>
      </c>
      <c r="B837" s="1" t="n">
        <v>44964.5115162037</v>
      </c>
      <c r="C837" s="1" t="n">
        <v>46084</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32633-2023</t>
        </is>
      </c>
      <c r="B838" s="1" t="n">
        <v>45121.58699074074</v>
      </c>
      <c r="C838" s="1" t="n">
        <v>46084</v>
      </c>
      <c r="D838" t="inlineStr">
        <is>
          <t>KALMAR LÄN</t>
        </is>
      </c>
      <c r="E838" t="inlineStr">
        <is>
          <t>VIMMERBY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49461-2023</t>
        </is>
      </c>
      <c r="B839" s="1" t="n">
        <v>45211.52642361111</v>
      </c>
      <c r="C839" s="1" t="n">
        <v>46084</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23095-2023</t>
        </is>
      </c>
      <c r="B840" s="1" t="n">
        <v>45075.43059027778</v>
      </c>
      <c r="C840" s="1" t="n">
        <v>46084</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11429-2022</t>
        </is>
      </c>
      <c r="B841" s="1" t="n">
        <v>44630</v>
      </c>
      <c r="C841" s="1" t="n">
        <v>46084</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11141-2024</t>
        </is>
      </c>
      <c r="B842" s="1" t="n">
        <v>45371.45865740741</v>
      </c>
      <c r="C842" s="1" t="n">
        <v>46084</v>
      </c>
      <c r="D842" t="inlineStr">
        <is>
          <t>KALMAR LÄN</t>
        </is>
      </c>
      <c r="E842" t="inlineStr">
        <is>
          <t>VIMMERBY</t>
        </is>
      </c>
      <c r="G842" t="n">
        <v>0.7</v>
      </c>
      <c r="H842" t="n">
        <v>0</v>
      </c>
      <c r="I842" t="n">
        <v>0</v>
      </c>
      <c r="J842" t="n">
        <v>0</v>
      </c>
      <c r="K842" t="n">
        <v>0</v>
      </c>
      <c r="L842" t="n">
        <v>0</v>
      </c>
      <c r="M842" t="n">
        <v>0</v>
      </c>
      <c r="N842" t="n">
        <v>0</v>
      </c>
      <c r="O842" t="n">
        <v>0</v>
      </c>
      <c r="P842" t="n">
        <v>0</v>
      </c>
      <c r="Q842" t="n">
        <v>0</v>
      </c>
      <c r="R842" s="2" t="inlineStr"/>
    </row>
    <row r="843" ht="15" customHeight="1">
      <c r="A843" t="inlineStr">
        <is>
          <t>A 28395-2023</t>
        </is>
      </c>
      <c r="B843" s="1" t="n">
        <v>45100.4062962963</v>
      </c>
      <c r="C843" s="1" t="n">
        <v>46084</v>
      </c>
      <c r="D843" t="inlineStr">
        <is>
          <t>KALMAR LÄN</t>
        </is>
      </c>
      <c r="E843" t="inlineStr">
        <is>
          <t>VIMMERBY</t>
        </is>
      </c>
      <c r="G843" t="n">
        <v>1.4</v>
      </c>
      <c r="H843" t="n">
        <v>0</v>
      </c>
      <c r="I843" t="n">
        <v>0</v>
      </c>
      <c r="J843" t="n">
        <v>0</v>
      </c>
      <c r="K843" t="n">
        <v>0</v>
      </c>
      <c r="L843" t="n">
        <v>0</v>
      </c>
      <c r="M843" t="n">
        <v>0</v>
      </c>
      <c r="N843" t="n">
        <v>0</v>
      </c>
      <c r="O843" t="n">
        <v>0</v>
      </c>
      <c r="P843" t="n">
        <v>0</v>
      </c>
      <c r="Q843" t="n">
        <v>0</v>
      </c>
      <c r="R843" s="2" t="inlineStr"/>
    </row>
    <row r="844" ht="15" customHeight="1">
      <c r="A844" t="inlineStr">
        <is>
          <t>A 34597-2022</t>
        </is>
      </c>
      <c r="B844" s="1" t="n">
        <v>44795</v>
      </c>
      <c r="C844" s="1" t="n">
        <v>46084</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64428-2023</t>
        </is>
      </c>
      <c r="B845" s="1" t="n">
        <v>45280.66769675926</v>
      </c>
      <c r="C845" s="1" t="n">
        <v>46084</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30588-2023</t>
        </is>
      </c>
      <c r="B846" s="1" t="n">
        <v>45112.33599537037</v>
      </c>
      <c r="C846" s="1" t="n">
        <v>46084</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30503-2023</t>
        </is>
      </c>
      <c r="B847" s="1" t="n">
        <v>45111</v>
      </c>
      <c r="C847" s="1" t="n">
        <v>46084</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47263-2023</t>
        </is>
      </c>
      <c r="B848" s="1" t="n">
        <v>45202.4209837963</v>
      </c>
      <c r="C848" s="1" t="n">
        <v>46084</v>
      </c>
      <c r="D848" t="inlineStr">
        <is>
          <t>KALMAR LÄN</t>
        </is>
      </c>
      <c r="E848" t="inlineStr">
        <is>
          <t>VIMMERBY</t>
        </is>
      </c>
      <c r="G848" t="n">
        <v>1.8</v>
      </c>
      <c r="H848" t="n">
        <v>0</v>
      </c>
      <c r="I848" t="n">
        <v>0</v>
      </c>
      <c r="J848" t="n">
        <v>0</v>
      </c>
      <c r="K848" t="n">
        <v>0</v>
      </c>
      <c r="L848" t="n">
        <v>0</v>
      </c>
      <c r="M848" t="n">
        <v>0</v>
      </c>
      <c r="N848" t="n">
        <v>0</v>
      </c>
      <c r="O848" t="n">
        <v>0</v>
      </c>
      <c r="P848" t="n">
        <v>0</v>
      </c>
      <c r="Q848" t="n">
        <v>0</v>
      </c>
      <c r="R848" s="2" t="inlineStr"/>
    </row>
    <row r="849" ht="15" customHeight="1">
      <c r="A849" t="inlineStr">
        <is>
          <t>A 58100-2024</t>
        </is>
      </c>
      <c r="B849" s="1" t="n">
        <v>45632.36706018518</v>
      </c>
      <c r="C849" s="1" t="n">
        <v>46084</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58159-2024</t>
        </is>
      </c>
      <c r="B850" s="1" t="n">
        <v>45632.44886574074</v>
      </c>
      <c r="C850" s="1" t="n">
        <v>46084</v>
      </c>
      <c r="D850" t="inlineStr">
        <is>
          <t>KALMAR LÄN</t>
        </is>
      </c>
      <c r="E850" t="inlineStr">
        <is>
          <t>VIMMERBY</t>
        </is>
      </c>
      <c r="G850" t="n">
        <v>7.5</v>
      </c>
      <c r="H850" t="n">
        <v>0</v>
      </c>
      <c r="I850" t="n">
        <v>0</v>
      </c>
      <c r="J850" t="n">
        <v>0</v>
      </c>
      <c r="K850" t="n">
        <v>0</v>
      </c>
      <c r="L850" t="n">
        <v>0</v>
      </c>
      <c r="M850" t="n">
        <v>0</v>
      </c>
      <c r="N850" t="n">
        <v>0</v>
      </c>
      <c r="O850" t="n">
        <v>0</v>
      </c>
      <c r="P850" t="n">
        <v>0</v>
      </c>
      <c r="Q850" t="n">
        <v>0</v>
      </c>
      <c r="R850" s="2" t="inlineStr"/>
    </row>
    <row r="851" ht="15" customHeight="1">
      <c r="A851" t="inlineStr">
        <is>
          <t>A 57114-2023</t>
        </is>
      </c>
      <c r="B851" s="1" t="n">
        <v>45245.36174768519</v>
      </c>
      <c r="C851" s="1" t="n">
        <v>46084</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3423-2022</t>
        </is>
      </c>
      <c r="B852" s="1" t="n">
        <v>44585.50431712963</v>
      </c>
      <c r="C852" s="1" t="n">
        <v>46084</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40665-2023</t>
        </is>
      </c>
      <c r="B853" s="1" t="n">
        <v>45170</v>
      </c>
      <c r="C853" s="1" t="n">
        <v>46084</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50860-2022</t>
        </is>
      </c>
      <c r="B854" s="1" t="n">
        <v>44867</v>
      </c>
      <c r="C854" s="1" t="n">
        <v>46084</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25370-2022</t>
        </is>
      </c>
      <c r="B855" s="1" t="n">
        <v>44732.3659837963</v>
      </c>
      <c r="C855" s="1" t="n">
        <v>46084</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58577-2024</t>
        </is>
      </c>
      <c r="B856" s="1" t="n">
        <v>45635.4874537037</v>
      </c>
      <c r="C856" s="1" t="n">
        <v>46084</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29440-2024</t>
        </is>
      </c>
      <c r="B857" s="1" t="n">
        <v>45483.82479166667</v>
      </c>
      <c r="C857" s="1" t="n">
        <v>46084</v>
      </c>
      <c r="D857" t="inlineStr">
        <is>
          <t>KALMAR LÄN</t>
        </is>
      </c>
      <c r="E857" t="inlineStr">
        <is>
          <t>VIMMERBY</t>
        </is>
      </c>
      <c r="G857" t="n">
        <v>4.5</v>
      </c>
      <c r="H857" t="n">
        <v>0</v>
      </c>
      <c r="I857" t="n">
        <v>0</v>
      </c>
      <c r="J857" t="n">
        <v>0</v>
      </c>
      <c r="K857" t="n">
        <v>0</v>
      </c>
      <c r="L857" t="n">
        <v>0</v>
      </c>
      <c r="M857" t="n">
        <v>0</v>
      </c>
      <c r="N857" t="n">
        <v>0</v>
      </c>
      <c r="O857" t="n">
        <v>0</v>
      </c>
      <c r="P857" t="n">
        <v>0</v>
      </c>
      <c r="Q857" t="n">
        <v>0</v>
      </c>
      <c r="R857" s="2" t="inlineStr"/>
    </row>
    <row r="858" ht="15" customHeight="1">
      <c r="A858" t="inlineStr">
        <is>
          <t>A 9129-2025</t>
        </is>
      </c>
      <c r="B858" s="1" t="n">
        <v>45713.92412037037</v>
      </c>
      <c r="C858" s="1" t="n">
        <v>46084</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22197-2024</t>
        </is>
      </c>
      <c r="B859" s="1" t="n">
        <v>45446.36774305555</v>
      </c>
      <c r="C859" s="1" t="n">
        <v>46084</v>
      </c>
      <c r="D859" t="inlineStr">
        <is>
          <t>KALMAR LÄN</t>
        </is>
      </c>
      <c r="E859" t="inlineStr">
        <is>
          <t>VIMMERBY</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53752-2024</t>
        </is>
      </c>
      <c r="B860" s="1" t="n">
        <v>45615.48927083334</v>
      </c>
      <c r="C860" s="1" t="n">
        <v>46084</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12121-2025</t>
        </is>
      </c>
      <c r="B861" s="1" t="n">
        <v>45729.36868055556</v>
      </c>
      <c r="C861" s="1" t="n">
        <v>46084</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9710-2023</t>
        </is>
      </c>
      <c r="B862" s="1" t="n">
        <v>44984</v>
      </c>
      <c r="C862" s="1" t="n">
        <v>46084</v>
      </c>
      <c r="D862" t="inlineStr">
        <is>
          <t>KALMAR LÄN</t>
        </is>
      </c>
      <c r="E862" t="inlineStr">
        <is>
          <t>VIMMERBY</t>
        </is>
      </c>
      <c r="G862" t="n">
        <v>3.7</v>
      </c>
      <c r="H862" t="n">
        <v>0</v>
      </c>
      <c r="I862" t="n">
        <v>0</v>
      </c>
      <c r="J862" t="n">
        <v>0</v>
      </c>
      <c r="K862" t="n">
        <v>0</v>
      </c>
      <c r="L862" t="n">
        <v>0</v>
      </c>
      <c r="M862" t="n">
        <v>0</v>
      </c>
      <c r="N862" t="n">
        <v>0</v>
      </c>
      <c r="O862" t="n">
        <v>0</v>
      </c>
      <c r="P862" t="n">
        <v>0</v>
      </c>
      <c r="Q862" t="n">
        <v>0</v>
      </c>
      <c r="R862" s="2" t="inlineStr"/>
    </row>
    <row r="863" ht="15" customHeight="1">
      <c r="A863" t="inlineStr">
        <is>
          <t>A 9720-2023</t>
        </is>
      </c>
      <c r="B863" s="1" t="n">
        <v>44984</v>
      </c>
      <c r="C863" s="1" t="n">
        <v>46084</v>
      </c>
      <c r="D863" t="inlineStr">
        <is>
          <t>KALMAR LÄN</t>
        </is>
      </c>
      <c r="E863" t="inlineStr">
        <is>
          <t>VIMMERBY</t>
        </is>
      </c>
      <c r="G863" t="n">
        <v>4.4</v>
      </c>
      <c r="H863" t="n">
        <v>0</v>
      </c>
      <c r="I863" t="n">
        <v>0</v>
      </c>
      <c r="J863" t="n">
        <v>0</v>
      </c>
      <c r="K863" t="n">
        <v>0</v>
      </c>
      <c r="L863" t="n">
        <v>0</v>
      </c>
      <c r="M863" t="n">
        <v>0</v>
      </c>
      <c r="N863" t="n">
        <v>0</v>
      </c>
      <c r="O863" t="n">
        <v>0</v>
      </c>
      <c r="P863" t="n">
        <v>0</v>
      </c>
      <c r="Q863" t="n">
        <v>0</v>
      </c>
      <c r="R863" s="2" t="inlineStr"/>
    </row>
    <row r="864" ht="15" customHeight="1">
      <c r="A864" t="inlineStr">
        <is>
          <t>A 15493-2023</t>
        </is>
      </c>
      <c r="B864" s="1" t="n">
        <v>45018</v>
      </c>
      <c r="C864" s="1" t="n">
        <v>46084</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29093-2023</t>
        </is>
      </c>
      <c r="B865" s="1" t="n">
        <v>45105</v>
      </c>
      <c r="C865" s="1" t="n">
        <v>46084</v>
      </c>
      <c r="D865" t="inlineStr">
        <is>
          <t>KALMAR LÄN</t>
        </is>
      </c>
      <c r="E865" t="inlineStr">
        <is>
          <t>VIMMERBY</t>
        </is>
      </c>
      <c r="G865" t="n">
        <v>2.9</v>
      </c>
      <c r="H865" t="n">
        <v>0</v>
      </c>
      <c r="I865" t="n">
        <v>0</v>
      </c>
      <c r="J865" t="n">
        <v>0</v>
      </c>
      <c r="K865" t="n">
        <v>0</v>
      </c>
      <c r="L865" t="n">
        <v>0</v>
      </c>
      <c r="M865" t="n">
        <v>0</v>
      </c>
      <c r="N865" t="n">
        <v>0</v>
      </c>
      <c r="O865" t="n">
        <v>0</v>
      </c>
      <c r="P865" t="n">
        <v>0</v>
      </c>
      <c r="Q865" t="n">
        <v>0</v>
      </c>
      <c r="R865" s="2" t="inlineStr"/>
    </row>
    <row r="866" ht="15" customHeight="1">
      <c r="A866" t="inlineStr">
        <is>
          <t>A 33352-2022</t>
        </is>
      </c>
      <c r="B866" s="1" t="n">
        <v>44788</v>
      </c>
      <c r="C866" s="1" t="n">
        <v>46084</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10674-2021</t>
        </is>
      </c>
      <c r="B867" s="1" t="n">
        <v>44258</v>
      </c>
      <c r="C867" s="1" t="n">
        <v>46084</v>
      </c>
      <c r="D867" t="inlineStr">
        <is>
          <t>KALMAR LÄN</t>
        </is>
      </c>
      <c r="E867" t="inlineStr">
        <is>
          <t>VIMMERBY</t>
        </is>
      </c>
      <c r="G867" t="n">
        <v>8.4</v>
      </c>
      <c r="H867" t="n">
        <v>0</v>
      </c>
      <c r="I867" t="n">
        <v>0</v>
      </c>
      <c r="J867" t="n">
        <v>0</v>
      </c>
      <c r="K867" t="n">
        <v>0</v>
      </c>
      <c r="L867" t="n">
        <v>0</v>
      </c>
      <c r="M867" t="n">
        <v>0</v>
      </c>
      <c r="N867" t="n">
        <v>0</v>
      </c>
      <c r="O867" t="n">
        <v>0</v>
      </c>
      <c r="P867" t="n">
        <v>0</v>
      </c>
      <c r="Q867" t="n">
        <v>0</v>
      </c>
      <c r="R867" s="2" t="inlineStr"/>
    </row>
    <row r="868" ht="15" customHeight="1">
      <c r="A868" t="inlineStr">
        <is>
          <t>A 22264-2023</t>
        </is>
      </c>
      <c r="B868" s="1" t="n">
        <v>45070.3665625</v>
      </c>
      <c r="C868" s="1" t="n">
        <v>46084</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16676-2023</t>
        </is>
      </c>
      <c r="B869" s="1" t="n">
        <v>45028</v>
      </c>
      <c r="C869" s="1" t="n">
        <v>46084</v>
      </c>
      <c r="D869" t="inlineStr">
        <is>
          <t>KALMAR LÄN</t>
        </is>
      </c>
      <c r="E869" t="inlineStr">
        <is>
          <t>VIMMERBY</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6220-2025</t>
        </is>
      </c>
      <c r="B870" s="1" t="n">
        <v>45698.53725694444</v>
      </c>
      <c r="C870" s="1" t="n">
        <v>46084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24096-2024</t>
        </is>
      </c>
      <c r="B871" s="1" t="n">
        <v>45456.59289351852</v>
      </c>
      <c r="C871" s="1" t="n">
        <v>46084</v>
      </c>
      <c r="D871" t="inlineStr">
        <is>
          <t>KALMAR LÄN</t>
        </is>
      </c>
      <c r="E871" t="inlineStr">
        <is>
          <t>VIMMERBY</t>
        </is>
      </c>
      <c r="G871" t="n">
        <v>2.3</v>
      </c>
      <c r="H871" t="n">
        <v>0</v>
      </c>
      <c r="I871" t="n">
        <v>0</v>
      </c>
      <c r="J871" t="n">
        <v>0</v>
      </c>
      <c r="K871" t="n">
        <v>0</v>
      </c>
      <c r="L871" t="n">
        <v>0</v>
      </c>
      <c r="M871" t="n">
        <v>0</v>
      </c>
      <c r="N871" t="n">
        <v>0</v>
      </c>
      <c r="O871" t="n">
        <v>0</v>
      </c>
      <c r="P871" t="n">
        <v>0</v>
      </c>
      <c r="Q871" t="n">
        <v>0</v>
      </c>
      <c r="R871" s="2" t="inlineStr"/>
    </row>
    <row r="872" ht="15" customHeight="1">
      <c r="A872" t="inlineStr">
        <is>
          <t>A 29013-2024</t>
        </is>
      </c>
      <c r="B872" s="1" t="n">
        <v>45481.55984953704</v>
      </c>
      <c r="C872" s="1" t="n">
        <v>46084</v>
      </c>
      <c r="D872" t="inlineStr">
        <is>
          <t>KALMAR LÄN</t>
        </is>
      </c>
      <c r="E872" t="inlineStr">
        <is>
          <t>VIMMERBY</t>
        </is>
      </c>
      <c r="G872" t="n">
        <v>3.4</v>
      </c>
      <c r="H872" t="n">
        <v>0</v>
      </c>
      <c r="I872" t="n">
        <v>0</v>
      </c>
      <c r="J872" t="n">
        <v>0</v>
      </c>
      <c r="K872" t="n">
        <v>0</v>
      </c>
      <c r="L872" t="n">
        <v>0</v>
      </c>
      <c r="M872" t="n">
        <v>0</v>
      </c>
      <c r="N872" t="n">
        <v>0</v>
      </c>
      <c r="O872" t="n">
        <v>0</v>
      </c>
      <c r="P872" t="n">
        <v>0</v>
      </c>
      <c r="Q872" t="n">
        <v>0</v>
      </c>
      <c r="R872" s="2" t="inlineStr"/>
    </row>
    <row r="873" ht="15" customHeight="1">
      <c r="A873" t="inlineStr">
        <is>
          <t>A 6066-2023</t>
        </is>
      </c>
      <c r="B873" s="1" t="n">
        <v>44964.50894675926</v>
      </c>
      <c r="C873" s="1" t="n">
        <v>46084</v>
      </c>
      <c r="D873" t="inlineStr">
        <is>
          <t>KALMAR LÄN</t>
        </is>
      </c>
      <c r="E873" t="inlineStr">
        <is>
          <t>VIMMERBY</t>
        </is>
      </c>
      <c r="G873" t="n">
        <v>2.8</v>
      </c>
      <c r="H873" t="n">
        <v>0</v>
      </c>
      <c r="I873" t="n">
        <v>0</v>
      </c>
      <c r="J873" t="n">
        <v>0</v>
      </c>
      <c r="K873" t="n">
        <v>0</v>
      </c>
      <c r="L873" t="n">
        <v>0</v>
      </c>
      <c r="M873" t="n">
        <v>0</v>
      </c>
      <c r="N873" t="n">
        <v>0</v>
      </c>
      <c r="O873" t="n">
        <v>0</v>
      </c>
      <c r="P873" t="n">
        <v>0</v>
      </c>
      <c r="Q873" t="n">
        <v>0</v>
      </c>
      <c r="R873" s="2" t="inlineStr"/>
    </row>
    <row r="874" ht="15" customHeight="1">
      <c r="A874" t="inlineStr">
        <is>
          <t>A 59955-2023</t>
        </is>
      </c>
      <c r="B874" s="1" t="n">
        <v>45257.70313657408</v>
      </c>
      <c r="C874" s="1" t="n">
        <v>46084</v>
      </c>
      <c r="D874" t="inlineStr">
        <is>
          <t>KALMAR LÄN</t>
        </is>
      </c>
      <c r="E874" t="inlineStr">
        <is>
          <t>VIMMERBY</t>
        </is>
      </c>
      <c r="G874" t="n">
        <v>13.8</v>
      </c>
      <c r="H874" t="n">
        <v>0</v>
      </c>
      <c r="I874" t="n">
        <v>0</v>
      </c>
      <c r="J874" t="n">
        <v>0</v>
      </c>
      <c r="K874" t="n">
        <v>0</v>
      </c>
      <c r="L874" t="n">
        <v>0</v>
      </c>
      <c r="M874" t="n">
        <v>0</v>
      </c>
      <c r="N874" t="n">
        <v>0</v>
      </c>
      <c r="O874" t="n">
        <v>0</v>
      </c>
      <c r="P874" t="n">
        <v>0</v>
      </c>
      <c r="Q874" t="n">
        <v>0</v>
      </c>
      <c r="R874" s="2" t="inlineStr"/>
    </row>
    <row r="875" ht="15" customHeight="1">
      <c r="A875" t="inlineStr">
        <is>
          <t>A 36040-2024</t>
        </is>
      </c>
      <c r="B875" s="1" t="n">
        <v>45533.60232638889</v>
      </c>
      <c r="C875" s="1" t="n">
        <v>46084</v>
      </c>
      <c r="D875" t="inlineStr">
        <is>
          <t>KALMAR LÄN</t>
        </is>
      </c>
      <c r="E875" t="inlineStr">
        <is>
          <t>VIMMERBY</t>
        </is>
      </c>
      <c r="F875" t="inlineStr">
        <is>
          <t>Kommuner</t>
        </is>
      </c>
      <c r="G875" t="n">
        <v>3.6</v>
      </c>
      <c r="H875" t="n">
        <v>0</v>
      </c>
      <c r="I875" t="n">
        <v>0</v>
      </c>
      <c r="J875" t="n">
        <v>0</v>
      </c>
      <c r="K875" t="n">
        <v>0</v>
      </c>
      <c r="L875" t="n">
        <v>0</v>
      </c>
      <c r="M875" t="n">
        <v>0</v>
      </c>
      <c r="N875" t="n">
        <v>0</v>
      </c>
      <c r="O875" t="n">
        <v>0</v>
      </c>
      <c r="P875" t="n">
        <v>0</v>
      </c>
      <c r="Q875" t="n">
        <v>0</v>
      </c>
      <c r="R875" s="2" t="inlineStr"/>
    </row>
    <row r="876" ht="15" customHeight="1">
      <c r="A876" t="inlineStr">
        <is>
          <t>A 36043-2024</t>
        </is>
      </c>
      <c r="B876" s="1" t="n">
        <v>45533.60770833334</v>
      </c>
      <c r="C876" s="1" t="n">
        <v>46084</v>
      </c>
      <c r="D876" t="inlineStr">
        <is>
          <t>KALMAR LÄN</t>
        </is>
      </c>
      <c r="E876" t="inlineStr">
        <is>
          <t>VIMMERBY</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12890-2023</t>
        </is>
      </c>
      <c r="B877" s="1" t="n">
        <v>45001.59209490741</v>
      </c>
      <c r="C877" s="1" t="n">
        <v>46084</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43594-2024</t>
        </is>
      </c>
      <c r="B878" s="1" t="n">
        <v>45569.44295138889</v>
      </c>
      <c r="C878" s="1" t="n">
        <v>46084</v>
      </c>
      <c r="D878" t="inlineStr">
        <is>
          <t>KALMAR LÄN</t>
        </is>
      </c>
      <c r="E878" t="inlineStr">
        <is>
          <t>VIMMERBY</t>
        </is>
      </c>
      <c r="G878" t="n">
        <v>3.9</v>
      </c>
      <c r="H878" t="n">
        <v>0</v>
      </c>
      <c r="I878" t="n">
        <v>0</v>
      </c>
      <c r="J878" t="n">
        <v>0</v>
      </c>
      <c r="K878" t="n">
        <v>0</v>
      </c>
      <c r="L878" t="n">
        <v>0</v>
      </c>
      <c r="M878" t="n">
        <v>0</v>
      </c>
      <c r="N878" t="n">
        <v>0</v>
      </c>
      <c r="O878" t="n">
        <v>0</v>
      </c>
      <c r="P878" t="n">
        <v>0</v>
      </c>
      <c r="Q878" t="n">
        <v>0</v>
      </c>
      <c r="R878" s="2" t="inlineStr"/>
    </row>
    <row r="879" ht="15" customHeight="1">
      <c r="A879" t="inlineStr">
        <is>
          <t>A 53482-2022</t>
        </is>
      </c>
      <c r="B879" s="1" t="n">
        <v>44879</v>
      </c>
      <c r="C879" s="1" t="n">
        <v>46084</v>
      </c>
      <c r="D879" t="inlineStr">
        <is>
          <t>KALMAR LÄN</t>
        </is>
      </c>
      <c r="E879" t="inlineStr">
        <is>
          <t>VIMMERBY</t>
        </is>
      </c>
      <c r="G879" t="n">
        <v>10.1</v>
      </c>
      <c r="H879" t="n">
        <v>0</v>
      </c>
      <c r="I879" t="n">
        <v>0</v>
      </c>
      <c r="J879" t="n">
        <v>0</v>
      </c>
      <c r="K879" t="n">
        <v>0</v>
      </c>
      <c r="L879" t="n">
        <v>0</v>
      </c>
      <c r="M879" t="n">
        <v>0</v>
      </c>
      <c r="N879" t="n">
        <v>0</v>
      </c>
      <c r="O879" t="n">
        <v>0</v>
      </c>
      <c r="P879" t="n">
        <v>0</v>
      </c>
      <c r="Q879" t="n">
        <v>0</v>
      </c>
      <c r="R879" s="2" t="inlineStr"/>
    </row>
    <row r="880" ht="15" customHeight="1">
      <c r="A880" t="inlineStr">
        <is>
          <t>A 27761-2024</t>
        </is>
      </c>
      <c r="B880" s="1" t="n">
        <v>45475.49018518518</v>
      </c>
      <c r="C880" s="1" t="n">
        <v>46084</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64203-2021</t>
        </is>
      </c>
      <c r="B881" s="1" t="n">
        <v>44510.60921296296</v>
      </c>
      <c r="C881" s="1" t="n">
        <v>46084</v>
      </c>
      <c r="D881" t="inlineStr">
        <is>
          <t>KALMAR LÄN</t>
        </is>
      </c>
      <c r="E881" t="inlineStr">
        <is>
          <t>VIMMERBY</t>
        </is>
      </c>
      <c r="F881" t="inlineStr">
        <is>
          <t>Övriga Aktiebolag</t>
        </is>
      </c>
      <c r="G881" t="n">
        <v>5.4</v>
      </c>
      <c r="H881" t="n">
        <v>0</v>
      </c>
      <c r="I881" t="n">
        <v>0</v>
      </c>
      <c r="J881" t="n">
        <v>0</v>
      </c>
      <c r="K881" t="n">
        <v>0</v>
      </c>
      <c r="L881" t="n">
        <v>0</v>
      </c>
      <c r="M881" t="n">
        <v>0</v>
      </c>
      <c r="N881" t="n">
        <v>0</v>
      </c>
      <c r="O881" t="n">
        <v>0</v>
      </c>
      <c r="P881" t="n">
        <v>0</v>
      </c>
      <c r="Q881" t="n">
        <v>0</v>
      </c>
      <c r="R881" s="2" t="inlineStr"/>
    </row>
    <row r="882" ht="15" customHeight="1">
      <c r="A882" t="inlineStr">
        <is>
          <t>A 5720-2023</t>
        </is>
      </c>
      <c r="B882" s="1" t="n">
        <v>44961</v>
      </c>
      <c r="C882" s="1" t="n">
        <v>46084</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9643-2023</t>
        </is>
      </c>
      <c r="B883" s="1" t="n">
        <v>44984</v>
      </c>
      <c r="C883" s="1" t="n">
        <v>46084</v>
      </c>
      <c r="D883" t="inlineStr">
        <is>
          <t>KALMAR LÄN</t>
        </is>
      </c>
      <c r="E883" t="inlineStr">
        <is>
          <t>VIMMERBY</t>
        </is>
      </c>
      <c r="G883" t="n">
        <v>2</v>
      </c>
      <c r="H883" t="n">
        <v>0</v>
      </c>
      <c r="I883" t="n">
        <v>0</v>
      </c>
      <c r="J883" t="n">
        <v>0</v>
      </c>
      <c r="K883" t="n">
        <v>0</v>
      </c>
      <c r="L883" t="n">
        <v>0</v>
      </c>
      <c r="M883" t="n">
        <v>0</v>
      </c>
      <c r="N883" t="n">
        <v>0</v>
      </c>
      <c r="O883" t="n">
        <v>0</v>
      </c>
      <c r="P883" t="n">
        <v>0</v>
      </c>
      <c r="Q883" t="n">
        <v>0</v>
      </c>
      <c r="R883" s="2" t="inlineStr"/>
    </row>
    <row r="884" ht="15" customHeight="1">
      <c r="A884" t="inlineStr">
        <is>
          <t>A 25728-2023</t>
        </is>
      </c>
      <c r="B884" s="1" t="n">
        <v>45090.38012731481</v>
      </c>
      <c r="C884" s="1" t="n">
        <v>46084</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41311-2023</t>
        </is>
      </c>
      <c r="B885" s="1" t="n">
        <v>45174</v>
      </c>
      <c r="C885" s="1" t="n">
        <v>46084</v>
      </c>
      <c r="D885" t="inlineStr">
        <is>
          <t>KALMAR LÄN</t>
        </is>
      </c>
      <c r="E885" t="inlineStr">
        <is>
          <t>VIMMERBY</t>
        </is>
      </c>
      <c r="G885" t="n">
        <v>0.7</v>
      </c>
      <c r="H885" t="n">
        <v>0</v>
      </c>
      <c r="I885" t="n">
        <v>0</v>
      </c>
      <c r="J885" t="n">
        <v>0</v>
      </c>
      <c r="K885" t="n">
        <v>0</v>
      </c>
      <c r="L885" t="n">
        <v>0</v>
      </c>
      <c r="M885" t="n">
        <v>0</v>
      </c>
      <c r="N885" t="n">
        <v>0</v>
      </c>
      <c r="O885" t="n">
        <v>0</v>
      </c>
      <c r="P885" t="n">
        <v>0</v>
      </c>
      <c r="Q885" t="n">
        <v>0</v>
      </c>
      <c r="R885" s="2" t="inlineStr"/>
    </row>
    <row r="886" ht="15" customHeight="1">
      <c r="A886" t="inlineStr">
        <is>
          <t>A 26318-2023</t>
        </is>
      </c>
      <c r="B886" s="1" t="n">
        <v>45091.67936342592</v>
      </c>
      <c r="C886" s="1" t="n">
        <v>46084</v>
      </c>
      <c r="D886" t="inlineStr">
        <is>
          <t>KALMAR LÄN</t>
        </is>
      </c>
      <c r="E886" t="inlineStr">
        <is>
          <t>VIMMERBY</t>
        </is>
      </c>
      <c r="G886" t="n">
        <v>3.8</v>
      </c>
      <c r="H886" t="n">
        <v>0</v>
      </c>
      <c r="I886" t="n">
        <v>0</v>
      </c>
      <c r="J886" t="n">
        <v>0</v>
      </c>
      <c r="K886" t="n">
        <v>0</v>
      </c>
      <c r="L886" t="n">
        <v>0</v>
      </c>
      <c r="M886" t="n">
        <v>0</v>
      </c>
      <c r="N886" t="n">
        <v>0</v>
      </c>
      <c r="O886" t="n">
        <v>0</v>
      </c>
      <c r="P886" t="n">
        <v>0</v>
      </c>
      <c r="Q886" t="n">
        <v>0</v>
      </c>
      <c r="R886" s="2" t="inlineStr"/>
    </row>
    <row r="887" ht="15" customHeight="1">
      <c r="A887" t="inlineStr">
        <is>
          <t>A 61355-2024</t>
        </is>
      </c>
      <c r="B887" s="1" t="n">
        <v>45646.38200231481</v>
      </c>
      <c r="C887" s="1" t="n">
        <v>46084</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36802-2021</t>
        </is>
      </c>
      <c r="B888" s="1" t="n">
        <v>44392</v>
      </c>
      <c r="C888" s="1" t="n">
        <v>46084</v>
      </c>
      <c r="D888" t="inlineStr">
        <is>
          <t>KALMAR LÄN</t>
        </is>
      </c>
      <c r="E888" t="inlineStr">
        <is>
          <t>VIMMERBY</t>
        </is>
      </c>
      <c r="F888" t="inlineStr">
        <is>
          <t>Sveaskog</t>
        </is>
      </c>
      <c r="G888" t="n">
        <v>4.6</v>
      </c>
      <c r="H888" t="n">
        <v>0</v>
      </c>
      <c r="I888" t="n">
        <v>0</v>
      </c>
      <c r="J888" t="n">
        <v>0</v>
      </c>
      <c r="K888" t="n">
        <v>0</v>
      </c>
      <c r="L888" t="n">
        <v>0</v>
      </c>
      <c r="M888" t="n">
        <v>0</v>
      </c>
      <c r="N888" t="n">
        <v>0</v>
      </c>
      <c r="O888" t="n">
        <v>0</v>
      </c>
      <c r="P888" t="n">
        <v>0</v>
      </c>
      <c r="Q888" t="n">
        <v>0</v>
      </c>
      <c r="R888" s="2" t="inlineStr"/>
    </row>
    <row r="889" ht="15" customHeight="1">
      <c r="A889" t="inlineStr">
        <is>
          <t>A 38198-2024</t>
        </is>
      </c>
      <c r="B889" s="1" t="n">
        <v>45545.49508101852</v>
      </c>
      <c r="C889" s="1" t="n">
        <v>46084</v>
      </c>
      <c r="D889" t="inlineStr">
        <is>
          <t>KALMAR LÄN</t>
        </is>
      </c>
      <c r="E889" t="inlineStr">
        <is>
          <t>VIMMERBY</t>
        </is>
      </c>
      <c r="G889" t="n">
        <v>7.9</v>
      </c>
      <c r="H889" t="n">
        <v>0</v>
      </c>
      <c r="I889" t="n">
        <v>0</v>
      </c>
      <c r="J889" t="n">
        <v>0</v>
      </c>
      <c r="K889" t="n">
        <v>0</v>
      </c>
      <c r="L889" t="n">
        <v>0</v>
      </c>
      <c r="M889" t="n">
        <v>0</v>
      </c>
      <c r="N889" t="n">
        <v>0</v>
      </c>
      <c r="O889" t="n">
        <v>0</v>
      </c>
      <c r="P889" t="n">
        <v>0</v>
      </c>
      <c r="Q889" t="n">
        <v>0</v>
      </c>
      <c r="R889" s="2" t="inlineStr"/>
    </row>
    <row r="890" ht="15" customHeight="1">
      <c r="A890" t="inlineStr">
        <is>
          <t>A 9623-2024</t>
        </is>
      </c>
      <c r="B890" s="1" t="n">
        <v>45361.87975694444</v>
      </c>
      <c r="C890" s="1" t="n">
        <v>46084</v>
      </c>
      <c r="D890" t="inlineStr">
        <is>
          <t>KALMAR LÄN</t>
        </is>
      </c>
      <c r="E890" t="inlineStr">
        <is>
          <t>VIMMERBY</t>
        </is>
      </c>
      <c r="G890" t="n">
        <v>1.6</v>
      </c>
      <c r="H890" t="n">
        <v>0</v>
      </c>
      <c r="I890" t="n">
        <v>0</v>
      </c>
      <c r="J890" t="n">
        <v>0</v>
      </c>
      <c r="K890" t="n">
        <v>0</v>
      </c>
      <c r="L890" t="n">
        <v>0</v>
      </c>
      <c r="M890" t="n">
        <v>0</v>
      </c>
      <c r="N890" t="n">
        <v>0</v>
      </c>
      <c r="O890" t="n">
        <v>0</v>
      </c>
      <c r="P890" t="n">
        <v>0</v>
      </c>
      <c r="Q890" t="n">
        <v>0</v>
      </c>
      <c r="R890" s="2" t="inlineStr"/>
    </row>
    <row r="891" ht="15" customHeight="1">
      <c r="A891" t="inlineStr">
        <is>
          <t>A 58967-2022</t>
        </is>
      </c>
      <c r="B891" s="1" t="n">
        <v>44896</v>
      </c>
      <c r="C891" s="1" t="n">
        <v>46084</v>
      </c>
      <c r="D891" t="inlineStr">
        <is>
          <t>KALMAR LÄN</t>
        </is>
      </c>
      <c r="E891" t="inlineStr">
        <is>
          <t>VIMMERBY</t>
        </is>
      </c>
      <c r="G891" t="n">
        <v>5</v>
      </c>
      <c r="H891" t="n">
        <v>0</v>
      </c>
      <c r="I891" t="n">
        <v>0</v>
      </c>
      <c r="J891" t="n">
        <v>0</v>
      </c>
      <c r="K891" t="n">
        <v>0</v>
      </c>
      <c r="L891" t="n">
        <v>0</v>
      </c>
      <c r="M891" t="n">
        <v>0</v>
      </c>
      <c r="N891" t="n">
        <v>0</v>
      </c>
      <c r="O891" t="n">
        <v>0</v>
      </c>
      <c r="P891" t="n">
        <v>0</v>
      </c>
      <c r="Q891" t="n">
        <v>0</v>
      </c>
      <c r="R891" s="2" t="inlineStr"/>
    </row>
    <row r="892" ht="15" customHeight="1">
      <c r="A892" t="inlineStr">
        <is>
          <t>A 6399-2025</t>
        </is>
      </c>
      <c r="B892" s="1" t="n">
        <v>45699.44291666667</v>
      </c>
      <c r="C892" s="1" t="n">
        <v>46084</v>
      </c>
      <c r="D892" t="inlineStr">
        <is>
          <t>KALMAR LÄN</t>
        </is>
      </c>
      <c r="E892" t="inlineStr">
        <is>
          <t>VIMMERBY</t>
        </is>
      </c>
      <c r="G892" t="n">
        <v>3.1</v>
      </c>
      <c r="H892" t="n">
        <v>0</v>
      </c>
      <c r="I892" t="n">
        <v>0</v>
      </c>
      <c r="J892" t="n">
        <v>0</v>
      </c>
      <c r="K892" t="n">
        <v>0</v>
      </c>
      <c r="L892" t="n">
        <v>0</v>
      </c>
      <c r="M892" t="n">
        <v>0</v>
      </c>
      <c r="N892" t="n">
        <v>0</v>
      </c>
      <c r="O892" t="n">
        <v>0</v>
      </c>
      <c r="P892" t="n">
        <v>0</v>
      </c>
      <c r="Q892" t="n">
        <v>0</v>
      </c>
      <c r="R892" s="2" t="inlineStr"/>
    </row>
    <row r="893" ht="15" customHeight="1">
      <c r="A893" t="inlineStr">
        <is>
          <t>A 31355-2023</t>
        </is>
      </c>
      <c r="B893" s="1" t="n">
        <v>45114.49505787037</v>
      </c>
      <c r="C893" s="1" t="n">
        <v>46084</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30400-2023</t>
        </is>
      </c>
      <c r="B894" s="1" t="n">
        <v>45111.48225694444</v>
      </c>
      <c r="C894" s="1" t="n">
        <v>46084</v>
      </c>
      <c r="D894" t="inlineStr">
        <is>
          <t>KALMAR LÄN</t>
        </is>
      </c>
      <c r="E894" t="inlineStr">
        <is>
          <t>VIMMERBY</t>
        </is>
      </c>
      <c r="G894" t="n">
        <v>2.7</v>
      </c>
      <c r="H894" t="n">
        <v>0</v>
      </c>
      <c r="I894" t="n">
        <v>0</v>
      </c>
      <c r="J894" t="n">
        <v>0</v>
      </c>
      <c r="K894" t="n">
        <v>0</v>
      </c>
      <c r="L894" t="n">
        <v>0</v>
      </c>
      <c r="M894" t="n">
        <v>0</v>
      </c>
      <c r="N894" t="n">
        <v>0</v>
      </c>
      <c r="O894" t="n">
        <v>0</v>
      </c>
      <c r="P894" t="n">
        <v>0</v>
      </c>
      <c r="Q894" t="n">
        <v>0</v>
      </c>
      <c r="R894" s="2" t="inlineStr"/>
    </row>
    <row r="895" ht="15" customHeight="1">
      <c r="A895" t="inlineStr">
        <is>
          <t>A 30404-2023</t>
        </is>
      </c>
      <c r="B895" s="1" t="n">
        <v>45111.48636574074</v>
      </c>
      <c r="C895" s="1" t="n">
        <v>46084</v>
      </c>
      <c r="D895" t="inlineStr">
        <is>
          <t>KALMAR LÄN</t>
        </is>
      </c>
      <c r="E895" t="inlineStr">
        <is>
          <t>VIMMERBY</t>
        </is>
      </c>
      <c r="G895" t="n">
        <v>0.6</v>
      </c>
      <c r="H895" t="n">
        <v>0</v>
      </c>
      <c r="I895" t="n">
        <v>0</v>
      </c>
      <c r="J895" t="n">
        <v>0</v>
      </c>
      <c r="K895" t="n">
        <v>0</v>
      </c>
      <c r="L895" t="n">
        <v>0</v>
      </c>
      <c r="M895" t="n">
        <v>0</v>
      </c>
      <c r="N895" t="n">
        <v>0</v>
      </c>
      <c r="O895" t="n">
        <v>0</v>
      </c>
      <c r="P895" t="n">
        <v>0</v>
      </c>
      <c r="Q895" t="n">
        <v>0</v>
      </c>
      <c r="R895" s="2" t="inlineStr"/>
    </row>
    <row r="896" ht="15" customHeight="1">
      <c r="A896" t="inlineStr">
        <is>
          <t>A 27705-2023</t>
        </is>
      </c>
      <c r="B896" s="1" t="n">
        <v>45098.30535879629</v>
      </c>
      <c r="C896" s="1" t="n">
        <v>46084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36843-2023</t>
        </is>
      </c>
      <c r="B897" s="1" t="n">
        <v>45154.49831018518</v>
      </c>
      <c r="C897" s="1" t="n">
        <v>46084</v>
      </c>
      <c r="D897" t="inlineStr">
        <is>
          <t>KALMAR LÄN</t>
        </is>
      </c>
      <c r="E897" t="inlineStr">
        <is>
          <t>VIMMERBY</t>
        </is>
      </c>
      <c r="G897" t="n">
        <v>2</v>
      </c>
      <c r="H897" t="n">
        <v>0</v>
      </c>
      <c r="I897" t="n">
        <v>0</v>
      </c>
      <c r="J897" t="n">
        <v>0</v>
      </c>
      <c r="K897" t="n">
        <v>0</v>
      </c>
      <c r="L897" t="n">
        <v>0</v>
      </c>
      <c r="M897" t="n">
        <v>0</v>
      </c>
      <c r="N897" t="n">
        <v>0</v>
      </c>
      <c r="O897" t="n">
        <v>0</v>
      </c>
      <c r="P897" t="n">
        <v>0</v>
      </c>
      <c r="Q897" t="n">
        <v>0</v>
      </c>
      <c r="R897" s="2" t="inlineStr"/>
    </row>
    <row r="898" ht="15" customHeight="1">
      <c r="A898" t="inlineStr">
        <is>
          <t>A 10785-2025</t>
        </is>
      </c>
      <c r="B898" s="1" t="n">
        <v>45722.48634259259</v>
      </c>
      <c r="C898" s="1" t="n">
        <v>46084</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29017-2024</t>
        </is>
      </c>
      <c r="B899" s="1" t="n">
        <v>45481.56722222222</v>
      </c>
      <c r="C899" s="1" t="n">
        <v>46084</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23263-2024</t>
        </is>
      </c>
      <c r="B900" s="1" t="n">
        <v>45453.36854166666</v>
      </c>
      <c r="C900" s="1" t="n">
        <v>46084</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11074-2023</t>
        </is>
      </c>
      <c r="B901" s="1" t="n">
        <v>44992.34151620371</v>
      </c>
      <c r="C901" s="1" t="n">
        <v>46084</v>
      </c>
      <c r="D901" t="inlineStr">
        <is>
          <t>KALMAR LÄN</t>
        </is>
      </c>
      <c r="E901" t="inlineStr">
        <is>
          <t>VIMMERBY</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61939-2021</t>
        </is>
      </c>
      <c r="B902" s="1" t="n">
        <v>44502</v>
      </c>
      <c r="C902" s="1" t="n">
        <v>46084</v>
      </c>
      <c r="D902" t="inlineStr">
        <is>
          <t>KALMAR LÄN</t>
        </is>
      </c>
      <c r="E902" t="inlineStr">
        <is>
          <t>VIMMERBY</t>
        </is>
      </c>
      <c r="G902" t="n">
        <v>2.7</v>
      </c>
      <c r="H902" t="n">
        <v>0</v>
      </c>
      <c r="I902" t="n">
        <v>0</v>
      </c>
      <c r="J902" t="n">
        <v>0</v>
      </c>
      <c r="K902" t="n">
        <v>0</v>
      </c>
      <c r="L902" t="n">
        <v>0</v>
      </c>
      <c r="M902" t="n">
        <v>0</v>
      </c>
      <c r="N902" t="n">
        <v>0</v>
      </c>
      <c r="O902" t="n">
        <v>0</v>
      </c>
      <c r="P902" t="n">
        <v>0</v>
      </c>
      <c r="Q902" t="n">
        <v>0</v>
      </c>
      <c r="R902" s="2" t="inlineStr"/>
    </row>
    <row r="903" ht="15" customHeight="1">
      <c r="A903" t="inlineStr">
        <is>
          <t>A 12215-2024</t>
        </is>
      </c>
      <c r="B903" s="1" t="n">
        <v>45378.32185185186</v>
      </c>
      <c r="C903" s="1" t="n">
        <v>46084</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11303-2025</t>
        </is>
      </c>
      <c r="B904" s="1" t="n">
        <v>45726.44471064815</v>
      </c>
      <c r="C904" s="1" t="n">
        <v>46084</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12033-2024</t>
        </is>
      </c>
      <c r="B905" s="1" t="n">
        <v>45377.40043981482</v>
      </c>
      <c r="C905" s="1" t="n">
        <v>46084</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51408-2023</t>
        </is>
      </c>
      <c r="B906" s="1" t="n">
        <v>45219.69356481481</v>
      </c>
      <c r="C906" s="1" t="n">
        <v>46084</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49488-2023</t>
        </is>
      </c>
      <c r="B907" s="1" t="n">
        <v>45211.55472222222</v>
      </c>
      <c r="C907" s="1" t="n">
        <v>46084</v>
      </c>
      <c r="D907" t="inlineStr">
        <is>
          <t>KALMAR LÄN</t>
        </is>
      </c>
      <c r="E907" t="inlineStr">
        <is>
          <t>VIMMERBY</t>
        </is>
      </c>
      <c r="F907" t="inlineStr">
        <is>
          <t>Sveaskog</t>
        </is>
      </c>
      <c r="G907" t="n">
        <v>6.2</v>
      </c>
      <c r="H907" t="n">
        <v>0</v>
      </c>
      <c r="I907" t="n">
        <v>0</v>
      </c>
      <c r="J907" t="n">
        <v>0</v>
      </c>
      <c r="K907" t="n">
        <v>0</v>
      </c>
      <c r="L907" t="n">
        <v>0</v>
      </c>
      <c r="M907" t="n">
        <v>0</v>
      </c>
      <c r="N907" t="n">
        <v>0</v>
      </c>
      <c r="O907" t="n">
        <v>0</v>
      </c>
      <c r="P907" t="n">
        <v>0</v>
      </c>
      <c r="Q907" t="n">
        <v>0</v>
      </c>
      <c r="R907" s="2" t="inlineStr"/>
    </row>
    <row r="908" ht="15" customHeight="1">
      <c r="A908" t="inlineStr">
        <is>
          <t>A 8410-2023</t>
        </is>
      </c>
      <c r="B908" s="1" t="n">
        <v>44977</v>
      </c>
      <c r="C908" s="1" t="n">
        <v>46084</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30920-2024</t>
        </is>
      </c>
      <c r="B909" s="1" t="n">
        <v>45498.673125</v>
      </c>
      <c r="C909" s="1" t="n">
        <v>46084</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40929-2022</t>
        </is>
      </c>
      <c r="B910" s="1" t="n">
        <v>44825.4336574074</v>
      </c>
      <c r="C910" s="1" t="n">
        <v>46084</v>
      </c>
      <c r="D910" t="inlineStr">
        <is>
          <t>KALMAR LÄN</t>
        </is>
      </c>
      <c r="E910" t="inlineStr">
        <is>
          <t>VIMMERBY</t>
        </is>
      </c>
      <c r="G910" t="n">
        <v>2.5</v>
      </c>
      <c r="H910" t="n">
        <v>0</v>
      </c>
      <c r="I910" t="n">
        <v>0</v>
      </c>
      <c r="J910" t="n">
        <v>0</v>
      </c>
      <c r="K910" t="n">
        <v>0</v>
      </c>
      <c r="L910" t="n">
        <v>0</v>
      </c>
      <c r="M910" t="n">
        <v>0</v>
      </c>
      <c r="N910" t="n">
        <v>0</v>
      </c>
      <c r="O910" t="n">
        <v>0</v>
      </c>
      <c r="P910" t="n">
        <v>0</v>
      </c>
      <c r="Q910" t="n">
        <v>0</v>
      </c>
      <c r="R910" s="2" t="inlineStr"/>
    </row>
    <row r="911" ht="15" customHeight="1">
      <c r="A911" t="inlineStr">
        <is>
          <t>A 50091-2023</t>
        </is>
      </c>
      <c r="B911" s="1" t="n">
        <v>45215.60199074074</v>
      </c>
      <c r="C911" s="1" t="n">
        <v>46084</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36008-2024</t>
        </is>
      </c>
      <c r="B912" s="1" t="n">
        <v>45533.55362268518</v>
      </c>
      <c r="C912" s="1" t="n">
        <v>46084</v>
      </c>
      <c r="D912" t="inlineStr">
        <is>
          <t>KALMAR LÄN</t>
        </is>
      </c>
      <c r="E912" t="inlineStr">
        <is>
          <t>VIMMERBY</t>
        </is>
      </c>
      <c r="G912" t="n">
        <v>3.7</v>
      </c>
      <c r="H912" t="n">
        <v>0</v>
      </c>
      <c r="I912" t="n">
        <v>0</v>
      </c>
      <c r="J912" t="n">
        <v>0</v>
      </c>
      <c r="K912" t="n">
        <v>0</v>
      </c>
      <c r="L912" t="n">
        <v>0</v>
      </c>
      <c r="M912" t="n">
        <v>0</v>
      </c>
      <c r="N912" t="n">
        <v>0</v>
      </c>
      <c r="O912" t="n">
        <v>0</v>
      </c>
      <c r="P912" t="n">
        <v>0</v>
      </c>
      <c r="Q912" t="n">
        <v>0</v>
      </c>
      <c r="R912" s="2" t="inlineStr"/>
    </row>
    <row r="913" ht="15" customHeight="1">
      <c r="A913" t="inlineStr">
        <is>
          <t>A 16622-2025</t>
        </is>
      </c>
      <c r="B913" s="1" t="n">
        <v>45754.33641203704</v>
      </c>
      <c r="C913" s="1" t="n">
        <v>46084</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17511-2024</t>
        </is>
      </c>
      <c r="B914" s="1" t="n">
        <v>45415.57682870371</v>
      </c>
      <c r="C914" s="1" t="n">
        <v>46084</v>
      </c>
      <c r="D914" t="inlineStr">
        <is>
          <t>KALMAR LÄN</t>
        </is>
      </c>
      <c r="E914" t="inlineStr">
        <is>
          <t>VIMMERBY</t>
        </is>
      </c>
      <c r="G914" t="n">
        <v>5.3</v>
      </c>
      <c r="H914" t="n">
        <v>0</v>
      </c>
      <c r="I914" t="n">
        <v>0</v>
      </c>
      <c r="J914" t="n">
        <v>0</v>
      </c>
      <c r="K914" t="n">
        <v>0</v>
      </c>
      <c r="L914" t="n">
        <v>0</v>
      </c>
      <c r="M914" t="n">
        <v>0</v>
      </c>
      <c r="N914" t="n">
        <v>0</v>
      </c>
      <c r="O914" t="n">
        <v>0</v>
      </c>
      <c r="P914" t="n">
        <v>0</v>
      </c>
      <c r="Q914" t="n">
        <v>0</v>
      </c>
      <c r="R914" s="2" t="inlineStr"/>
    </row>
    <row r="915">
      <c r="A915" t="inlineStr">
        <is>
          <t>A 43705-2023</t>
        </is>
      </c>
      <c r="B915" s="1" t="n">
        <v>45187.42854166667</v>
      </c>
      <c r="C915" s="1" t="n">
        <v>46084</v>
      </c>
      <c r="D915" t="inlineStr">
        <is>
          <t>KALMAR LÄN</t>
        </is>
      </c>
      <c r="E915" t="inlineStr">
        <is>
          <t>VIMMERBY</t>
        </is>
      </c>
      <c r="G915" t="n">
        <v>1.2</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2026-03-03T11:10:21Z</dcterms:created>
  <dcterms:modified xmlns:dcterms="http://purl.org/dc/terms/" xmlns:xsi="http://www.w3.org/2001/XMLSchema-instance" xsi:type="dcterms:W3CDTF">2026-03-03T11:10:22Z</dcterms:modified>
</cp:coreProperties>
</file>