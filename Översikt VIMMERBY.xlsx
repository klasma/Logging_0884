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45363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45363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45363</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45363</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45363</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37889-2022</t>
        </is>
      </c>
      <c r="B7" s="1" t="n">
        <v>44811</v>
      </c>
      <c r="C7" s="1" t="n">
        <v>45363</v>
      </c>
      <c r="D7" t="inlineStr">
        <is>
          <t>KALMAR LÄN</t>
        </is>
      </c>
      <c r="E7" t="inlineStr">
        <is>
          <t>VIMMERBY</t>
        </is>
      </c>
      <c r="G7" t="n">
        <v>0.9</v>
      </c>
      <c r="H7" t="n">
        <v>1</v>
      </c>
      <c r="I7" t="n">
        <v>4</v>
      </c>
      <c r="J7" t="n">
        <v>7</v>
      </c>
      <c r="K7" t="n">
        <v>1</v>
      </c>
      <c r="L7" t="n">
        <v>0</v>
      </c>
      <c r="M7" t="n">
        <v>0</v>
      </c>
      <c r="N7" t="n">
        <v>0</v>
      </c>
      <c r="O7" t="n">
        <v>8</v>
      </c>
      <c r="P7" t="n">
        <v>1</v>
      </c>
      <c r="Q7" t="n">
        <v>12</v>
      </c>
      <c r="R7" s="2" t="inlineStr">
        <is>
          <t>Läderbagge
Blekticka
Gammelekslav
Hjälmbrosklav
Rosa skärelav
Skuggorangelav
Tallticka
Vedskivlav
Brun nållav
Gulpudrad spiklav
Kornig nållav
Mindre märgborre</t>
        </is>
      </c>
      <c r="S7">
        <f>HYPERLINK("https://klasma.github.io/Logging_0884/artfynd/A 37889-2022 artfynd.xlsx", "A 37889-2022")</f>
        <v/>
      </c>
      <c r="T7">
        <f>HYPERLINK("https://klasma.github.io/Logging_0884/kartor/A 37889-2022 karta.png", "A 37889-2022")</f>
        <v/>
      </c>
      <c r="V7">
        <f>HYPERLINK("https://klasma.github.io/Logging_0884/klagomål/A 37889-2022 FSC-klagomål.docx", "A 37889-2022")</f>
        <v/>
      </c>
      <c r="W7">
        <f>HYPERLINK("https://klasma.github.io/Logging_0884/klagomålsmail/A 37889-2022 FSC-klagomål mail.docx", "A 37889-2022")</f>
        <v/>
      </c>
      <c r="X7">
        <f>HYPERLINK("https://klasma.github.io/Logging_0884/tillsyn/A 37889-2022 tillsynsbegäran.docx", "A 37889-2022")</f>
        <v/>
      </c>
      <c r="Y7">
        <f>HYPERLINK("https://klasma.github.io/Logging_0884/tillsynsmail/A 37889-2022 tillsynsbegäran mail.docx", "A 37889-2022")</f>
        <v/>
      </c>
    </row>
    <row r="8" ht="15" customHeight="1">
      <c r="A8" t="inlineStr">
        <is>
          <t>A 37906-2022</t>
        </is>
      </c>
      <c r="B8" s="1" t="n">
        <v>44811</v>
      </c>
      <c r="C8" s="1" t="n">
        <v>45363</v>
      </c>
      <c r="D8" t="inlineStr">
        <is>
          <t>KALMAR LÄN</t>
        </is>
      </c>
      <c r="E8" t="inlineStr">
        <is>
          <t>VIMMERBY</t>
        </is>
      </c>
      <c r="G8" t="n">
        <v>3.5</v>
      </c>
      <c r="H8" t="n">
        <v>2</v>
      </c>
      <c r="I8" t="n">
        <v>4</v>
      </c>
      <c r="J8" t="n">
        <v>5</v>
      </c>
      <c r="K8" t="n">
        <v>2</v>
      </c>
      <c r="L8" t="n">
        <v>0</v>
      </c>
      <c r="M8" t="n">
        <v>0</v>
      </c>
      <c r="N8" t="n">
        <v>0</v>
      </c>
      <c r="O8" t="n">
        <v>7</v>
      </c>
      <c r="P8" t="n">
        <v>2</v>
      </c>
      <c r="Q8" t="n">
        <v>11</v>
      </c>
      <c r="R8" s="2" t="inlineStr">
        <is>
          <t>Knärot
Rynkskinn
Dvärgbägarlav
Grön aspvedbock
Spillkråka
Ullticka
Vedskivlav
Barkticka
Dropptaggsvamp
Fällmossa
Granbarkgnagare</t>
        </is>
      </c>
      <c r="S8">
        <f>HYPERLINK("https://klasma.github.io/Logging_0884/artfynd/A 37906-2022 artfynd.xlsx", "A 37906-2022")</f>
        <v/>
      </c>
      <c r="T8">
        <f>HYPERLINK("https://klasma.github.io/Logging_0884/kartor/A 37906-2022 karta.png", "A 37906-2022")</f>
        <v/>
      </c>
      <c r="U8">
        <f>HYPERLINK("https://klasma.github.io/Logging_0884/knärot/A 37906-2022 karta knärot.png", "A 37906-2022")</f>
        <v/>
      </c>
      <c r="V8">
        <f>HYPERLINK("https://klasma.github.io/Logging_0884/klagomål/A 37906-2022 FSC-klagomål.docx", "A 37906-2022")</f>
        <v/>
      </c>
      <c r="W8">
        <f>HYPERLINK("https://klasma.github.io/Logging_0884/klagomålsmail/A 37906-2022 FSC-klagomål mail.docx", "A 37906-2022")</f>
        <v/>
      </c>
      <c r="X8">
        <f>HYPERLINK("https://klasma.github.io/Logging_0884/tillsyn/A 37906-2022 tillsynsbegäran.docx", "A 37906-2022")</f>
        <v/>
      </c>
      <c r="Y8">
        <f>HYPERLINK("https://klasma.github.io/Logging_0884/tillsynsmail/A 37906-2022 tillsynsbegäran mail.docx", "A 37906-2022")</f>
        <v/>
      </c>
      <c r="Z8">
        <f>HYPERLINK("https://klasma.github.io/Logging_0884/fåglar/A 37906-2022 prioriterade fågelarter.docx", "A 37906-2022")</f>
        <v/>
      </c>
    </row>
    <row r="9" ht="15" customHeight="1">
      <c r="A9" t="inlineStr">
        <is>
          <t>A 2837-2024</t>
        </is>
      </c>
      <c r="B9" s="1" t="n">
        <v>45314</v>
      </c>
      <c r="C9" s="1" t="n">
        <v>45363</v>
      </c>
      <c r="D9" t="inlineStr">
        <is>
          <t>KALMAR LÄN</t>
        </is>
      </c>
      <c r="E9" t="inlineStr">
        <is>
          <t>VIMMERBY</t>
        </is>
      </c>
      <c r="G9" t="n">
        <v>14.6</v>
      </c>
      <c r="H9" t="n">
        <v>5</v>
      </c>
      <c r="I9" t="n">
        <v>3</v>
      </c>
      <c r="J9" t="n">
        <v>3</v>
      </c>
      <c r="K9" t="n">
        <v>1</v>
      </c>
      <c r="L9" t="n">
        <v>0</v>
      </c>
      <c r="M9" t="n">
        <v>0</v>
      </c>
      <c r="N9" t="n">
        <v>0</v>
      </c>
      <c r="O9" t="n">
        <v>4</v>
      </c>
      <c r="P9" t="n">
        <v>1</v>
      </c>
      <c r="Q9" t="n">
        <v>9</v>
      </c>
      <c r="R9" s="2" t="inlineStr">
        <is>
          <t>Knärot
Spillkråka
Tallticka
Talltita
Blåmossa
Dropptaggsvamp
Grovticka
Kungsfågel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62797-2019</t>
        </is>
      </c>
      <c r="B10" s="1" t="n">
        <v>43790</v>
      </c>
      <c r="C10" s="1" t="n">
        <v>45363</v>
      </c>
      <c r="D10" t="inlineStr">
        <is>
          <t>KALMAR LÄN</t>
        </is>
      </c>
      <c r="E10" t="inlineStr">
        <is>
          <t>VIMMERBY</t>
        </is>
      </c>
      <c r="G10" t="n">
        <v>1.5</v>
      </c>
      <c r="H10" t="n">
        <v>3</v>
      </c>
      <c r="I10" t="n">
        <v>2</v>
      </c>
      <c r="J10" t="n">
        <v>1</v>
      </c>
      <c r="K10" t="n">
        <v>1</v>
      </c>
      <c r="L10" t="n">
        <v>0</v>
      </c>
      <c r="M10" t="n">
        <v>0</v>
      </c>
      <c r="N10" t="n">
        <v>0</v>
      </c>
      <c r="O10" t="n">
        <v>2</v>
      </c>
      <c r="P10" t="n">
        <v>1</v>
      </c>
      <c r="Q10" t="n">
        <v>7</v>
      </c>
      <c r="R10" s="2" t="inlineStr">
        <is>
          <t>Vågticka
Gransotdyna
Bårdlav
Vätteros
Gröngöling
Sparvuggla
Blåsippa</t>
        </is>
      </c>
      <c r="S10">
        <f>HYPERLINK("https://klasma.github.io/Logging_0884/artfynd/A 62797-2019 artfynd.xlsx", "A 62797-2019")</f>
        <v/>
      </c>
      <c r="T10">
        <f>HYPERLINK("https://klasma.github.io/Logging_0884/kartor/A 62797-2019 karta.png", "A 62797-2019")</f>
        <v/>
      </c>
      <c r="V10">
        <f>HYPERLINK("https://klasma.github.io/Logging_0884/klagomål/A 62797-2019 FSC-klagomål.docx", "A 62797-2019")</f>
        <v/>
      </c>
      <c r="W10">
        <f>HYPERLINK("https://klasma.github.io/Logging_0884/klagomålsmail/A 62797-2019 FSC-klagomål mail.docx", "A 62797-2019")</f>
        <v/>
      </c>
      <c r="X10">
        <f>HYPERLINK("https://klasma.github.io/Logging_0884/tillsyn/A 62797-2019 tillsynsbegäran.docx", "A 62797-2019")</f>
        <v/>
      </c>
      <c r="Y10">
        <f>HYPERLINK("https://klasma.github.io/Logging_0884/tillsynsmail/A 62797-2019 tillsynsbegäran mail.docx", "A 62797-2019")</f>
        <v/>
      </c>
      <c r="Z10">
        <f>HYPERLINK("https://klasma.github.io/Logging_0884/fåglar/A 62797-2019 prioriterade fågelarter.docx", "A 62797-2019")</f>
        <v/>
      </c>
    </row>
    <row r="11" ht="15" customHeight="1">
      <c r="A11" t="inlineStr">
        <is>
          <t>A 1960-2023</t>
        </is>
      </c>
      <c r="B11" s="1" t="n">
        <v>44939</v>
      </c>
      <c r="C11" s="1" t="n">
        <v>45363</v>
      </c>
      <c r="D11" t="inlineStr">
        <is>
          <t>KALMAR LÄN</t>
        </is>
      </c>
      <c r="E11" t="inlineStr">
        <is>
          <t>VIMMERBY</t>
        </is>
      </c>
      <c r="G11" t="n">
        <v>4.2</v>
      </c>
      <c r="H11" t="n">
        <v>1</v>
      </c>
      <c r="I11" t="n">
        <v>2</v>
      </c>
      <c r="J11" t="n">
        <v>3</v>
      </c>
      <c r="K11" t="n">
        <v>0</v>
      </c>
      <c r="L11" t="n">
        <v>0</v>
      </c>
      <c r="M11" t="n">
        <v>0</v>
      </c>
      <c r="N11" t="n">
        <v>0</v>
      </c>
      <c r="O11" t="n">
        <v>3</v>
      </c>
      <c r="P11" t="n">
        <v>0</v>
      </c>
      <c r="Q11" t="n">
        <v>6</v>
      </c>
      <c r="R11" s="2" t="inlineStr">
        <is>
          <t>Tallticka
Ullticka
Vedskivlav
Dropptaggsvamp
Guldlockmossa
Blåsippa</t>
        </is>
      </c>
      <c r="S11">
        <f>HYPERLINK("https://klasma.github.io/Logging_0884/artfynd/A 1960-2023 artfynd.xlsx", "A 1960-2023")</f>
        <v/>
      </c>
      <c r="T11">
        <f>HYPERLINK("https://klasma.github.io/Logging_0884/kartor/A 1960-2023 karta.png", "A 1960-2023")</f>
        <v/>
      </c>
      <c r="V11">
        <f>HYPERLINK("https://klasma.github.io/Logging_0884/klagomål/A 1960-2023 FSC-klagomål.docx", "A 1960-2023")</f>
        <v/>
      </c>
      <c r="W11">
        <f>HYPERLINK("https://klasma.github.io/Logging_0884/klagomålsmail/A 1960-2023 FSC-klagomål mail.docx", "A 1960-2023")</f>
        <v/>
      </c>
      <c r="X11">
        <f>HYPERLINK("https://klasma.github.io/Logging_0884/tillsyn/A 1960-2023 tillsynsbegäran.docx", "A 1960-2023")</f>
        <v/>
      </c>
      <c r="Y11">
        <f>HYPERLINK("https://klasma.github.io/Logging_0884/tillsynsmail/A 1960-2023 tillsynsbegäran mail.docx", "A 1960-2023")</f>
        <v/>
      </c>
    </row>
    <row r="12" ht="15" customHeight="1">
      <c r="A12" t="inlineStr">
        <is>
          <t>A 1817-2024</t>
        </is>
      </c>
      <c r="B12" s="1" t="n">
        <v>45307</v>
      </c>
      <c r="C12" s="1" t="n">
        <v>45363</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19978-2019</t>
        </is>
      </c>
      <c r="B13" s="1" t="n">
        <v>43566</v>
      </c>
      <c r="C13" s="1" t="n">
        <v>45363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45363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45363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45363</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45363</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45363</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45363</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45363</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45363</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45363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45363</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45363</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45363</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45363</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45363</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45363</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45363</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45363</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45363</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45363</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45363</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45363</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45363</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45363</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45363</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45363</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45363</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45363</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45363</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45363</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45363</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45363</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45363</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45363</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45363</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45363</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45363</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45363</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45363</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45363</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45363</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45363</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45363</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45363</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45363</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45363</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45363</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45363</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45363</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45363</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45363</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45363</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45363</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45363</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45363</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45363</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45363</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45363</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45363</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45363</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45363</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45363</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45363</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45363</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45363</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45363</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45363</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45363</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45363</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45363</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45363</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45363</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45363</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45363</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45363</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45363</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45363</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45363</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45363</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45363</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45363</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45363</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45363</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45363</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45363</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45363</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45363</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45363</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45363</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45363</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45363</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45363</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45363</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45363</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45363</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45363</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45363</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45363</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45363</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45363</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45363</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45363</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45363</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45363</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45363</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45363</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45363</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45363</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45363</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45363</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45363</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45363</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45363</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45363</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45363</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45363</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45363</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45363</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45363</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45363</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45363</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45363</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45363</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45363</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45363</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45363</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45363</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45363</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45363</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45363</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45363</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45363</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45363</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45363</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45363</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45363</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45363</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45363</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45363</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45363</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45363</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45363</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45363</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45363</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45363</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45363</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45363</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45363</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45363</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45363</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45363</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45363</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45363</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45363</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45363</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45363</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45363</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45363</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45363</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45363</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45363</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45363</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45363</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45363</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45363</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45363</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45363</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45363</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45363</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45363</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45363</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45363</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45363</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45363</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45363</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45363</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45363</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45363</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45363</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45363</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45363</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45363</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45363</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45363</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45363</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45363</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45363</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45363</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45363</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45363</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45363</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45363</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45363</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45363</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45363</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45363</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45363</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45363</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45363</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45363</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45363</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45363</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45363</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45363</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45363</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45363</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45363</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45363</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45363</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45363</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45363</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45363</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45363</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45363</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45363</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45363</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45363</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45363</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45363</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45363</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45363</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45363</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45363</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45363</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45363</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45363</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45363</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45363</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45363</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45363</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45363</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45363</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45363</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45363</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45363</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45363</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45363</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45363</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45363</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45363</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45363</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45363</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45363</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45363</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45363</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45363</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45363</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45363</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45363</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45363</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45363</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45363</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45363</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45363</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45363</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45363</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45363</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45363</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45363</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45363</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45363</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45363</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45363</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45363</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45363</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45363</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45363</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45363</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45363</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45363</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45363</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45363</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45363</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45363</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45363</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45363</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45363</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45363</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45363</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45363</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45363</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45363</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45363</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45363</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45363</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45363</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45363</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45363</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45363</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45363</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45363</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45363</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45363</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45363</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45363</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45363</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45363</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45363</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45363</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45363</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45363</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45363</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45363</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45363</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45363</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45363</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45363</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45363</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45363</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45363</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45363</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45363</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45363</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45363</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45363</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45363</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45363</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45363</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45363</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45363</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45363</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45363</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45363</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45363</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45363</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45363</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45363</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45363</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45363</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45363</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45363</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45363</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45363</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45363</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45363</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45363</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45363</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45363</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45363</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45363</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45363</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45363</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45363</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45363</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45363</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45363</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45363</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45363</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45363</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45363</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45363</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45363</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45363</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45363</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45363</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45363</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45363</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45363</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45363</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45363</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45363</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45363</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45363</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45363</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45363</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45363</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45363</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45363</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45363</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45363</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45363</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45363</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45363</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45363</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45363</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45363</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45363</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45363</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45363</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45363</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45363</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45363</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45363</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45363</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45363</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45363</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45363</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45363</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45363</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45363</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45363</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45363</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45363</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45363</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45363</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45363</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45363</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45363</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45363</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45363</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45363</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45363</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45363</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45363</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45363</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45363</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45363</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45363</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45363</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45363</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45363</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45363</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45363</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45363</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45363</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45363</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45363</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45363</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45363</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45363</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45363</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45363</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45363</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45363</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45363</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45363</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45363</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45363</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45363</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45363</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45363</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45363</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45363</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45363</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45363</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45363</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45363</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45363</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45363</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45363</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45363</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45363</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45363</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45363</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45363</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45363</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45363</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45363</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45363</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45363</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45363</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45363</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45363</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45363</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45363</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45363</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45363</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45363</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45363</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45363</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45363</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45363</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45363</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45363</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45363</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45363</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45363</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45363</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45363</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45363</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45363</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45363</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45363</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45363</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45363</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45363</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45363</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45363</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45363</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45363</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45363</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45363</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45363</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45363</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45363</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45363</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45363</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45363</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45363</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45363</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45363</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45363</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45363</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45363</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45363</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45363</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45363</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45363</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45363</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45363</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45363</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45363</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45363</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45363</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45363</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45363</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45363</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45363</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45363</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45363</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45363</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45363</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45363</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45363</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45363</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45363</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45363</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45363</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45363</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45363</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45363</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45363</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45363</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45363</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45363</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45363</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45363</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45363</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45363</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45363</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45363</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45363</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45363</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45363</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45363</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45363</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45363</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45363</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45363</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45363</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45363</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45363</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45363</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45363</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45363</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45363</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45363</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45363</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45363</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45363</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45363</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45363</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45363</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45363</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45363</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45363</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45363</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45363</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45363</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45363</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45363</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45363</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45363</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45363</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45363</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45363</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45363</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45363</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45363</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45363</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45363</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45363</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45363</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45363</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45363</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45363</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45363</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45363</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45363</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45363</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45363</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45363</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45363</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45363</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45363</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45363</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45363</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45363</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45363</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45363</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45363</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45363</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45363</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45363</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45363</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45363</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45363</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45363</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45363</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45363</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45363</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45363</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45363</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45363</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45363</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45363</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45363</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45363</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45363</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45363</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45363</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45363</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45363</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45363</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45363</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45363</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45363</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45363</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45363</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45363</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45363</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45363</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45363</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45363</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45363</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45363</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45363</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45363</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45363</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45363</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45363</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45363</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45363</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45363</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45363</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45363</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45363</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45363</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45363</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45363</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45363</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45363</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45363</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45363</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45363</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45363</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45363</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45363</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45363</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45363</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45363</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45363</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45363</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45363</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45363</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45363</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45363</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45363</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45363</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45363</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45363</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45363</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45363</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45363</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45363</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45363</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45363</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45363</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45363</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45363</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45363</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45363</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45363</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45363</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45363</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45363</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45363</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45363</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45363</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45363</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45363</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45363</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45363</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45363</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45363</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45363</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45363</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45363</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45363</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45363</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45363</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45363</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45363</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45363</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45363</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45363</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45363</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45363</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45363</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45363</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45363</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45363</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45363</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45363</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45363</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45363</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45363</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45363</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45363</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45363</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45363</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45363</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45363</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45363</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45363</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45363</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45363</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45363</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45363</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45363</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45363</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45363</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45363</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45363</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45363</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45363</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45363</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45363</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45363</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45363</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45363</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45363</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45363</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45363</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45363</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45363</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45363</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45363</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45363</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45363</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45363</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45363</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45363</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45363</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45363</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45363</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45363</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45363</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45363</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45363</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45363</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45363</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45363</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45363</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45363</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45363</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45363</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45363</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45363</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45363</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45363</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45363</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45363</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45363</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45363</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45363</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45363</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45363</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45363</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45363</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45363</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45363</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45363</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45363</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45363</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45363</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45363</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45363</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45363</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45363</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45363</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45363</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45363</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45363</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45363</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45363</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45363</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45363</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45363</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45363</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45363</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45363</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45363</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45363</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45363</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45363</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45363</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45363</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45363</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45363</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45363</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45363</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45363</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45363</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45363</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45363</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45363</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45363</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45363</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45363</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45363</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45363</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45363</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45363</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45363</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45363</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45363</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45363</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45363</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45363</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45363</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45363</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45363</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45363</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45363</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45363</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45363</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45363</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45363</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45363</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45363</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45363</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45363</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45363</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45363</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45363</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45363</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45363</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45363</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45363</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45363</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45363</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45363</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45363</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45363</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45363</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45363</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45363</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45363</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45363</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45363</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45363</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45363</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45363</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45363</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45363</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45363</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45363</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45363</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45363</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45363</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45363</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45363</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45363</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45363</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45363</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45363</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45363</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45363</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45363</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45363</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45363</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45363</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45363</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45363</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45363</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45363</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45363</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45363</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45363</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45363</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45363</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45363</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45363</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45363</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45363</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45363</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45363</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45363</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45363</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45363</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45363</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45363</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45363</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45363</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45363</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45363</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45363</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45363</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45363</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45363</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45363</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45363</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45363</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45363</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45363</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45363</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45363</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45363</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45363</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45363</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45363</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45363</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45363</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45363</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45363</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45363</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45363</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45363</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45363</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45363</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45363</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45363</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45363</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45363</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45363</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45363</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45363</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45363</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45363</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45363</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45363</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45363</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45363</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45363</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45363</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45363</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45363</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45363</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45363</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45363</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45363</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45363</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45363</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45363</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45363</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45363</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45363</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45363</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45363</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45363</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45363</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45363</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45363</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45363</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45363</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45363</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45363</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45363</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45363</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45363</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45363</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45363</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45363</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45363</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45363</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45363</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45363</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45363</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45363</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45363</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45363</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45363</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45363</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45363</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45363</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45363</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45363</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45363</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45363</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45363</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45363</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45363</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45363</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45363</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45363</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45363</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45363</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45363</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45363</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45363</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45363</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45363</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45363</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45363</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45363</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c r="U1008">
        <f>HYPERLINK("https://klasma.github.io/Logging_0884/knärot/A 22423-2023 karta knärot.png", "A 22423-2023")</f>
        <v/>
      </c>
      <c r="V1008">
        <f>HYPERLINK("https://klasma.github.io/Logging_0884/klagomål/A 22423-2023 FSC-klagomål.docx", "A 22423-2023")</f>
        <v/>
      </c>
      <c r="W1008">
        <f>HYPERLINK("https://klasma.github.io/Logging_0884/klagomålsmail/A 22423-2023 FSC-klagomål mail.docx", "A 22423-2023")</f>
        <v/>
      </c>
      <c r="X1008">
        <f>HYPERLINK("https://klasma.github.io/Logging_0884/tillsyn/A 22423-2023 tillsynsbegäran.docx", "A 22423-2023")</f>
        <v/>
      </c>
      <c r="Y1008">
        <f>HYPERLINK("https://klasma.github.io/Logging_0884/tillsynsmail/A 22423-2023 tillsynsbegäran mail.docx", "A 22423-2023")</f>
        <v/>
      </c>
    </row>
    <row r="1009" ht="15" customHeight="1">
      <c r="A1009" t="inlineStr">
        <is>
          <t>A 22643-2023</t>
        </is>
      </c>
      <c r="B1009" s="1" t="n">
        <v>45071</v>
      </c>
      <c r="C1009" s="1" t="n">
        <v>45363</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45363</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45363</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45363</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45363</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45363</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45363</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45363</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45363</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45363</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45363</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45363</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45363</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45363</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45363</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45363</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45363</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45363</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45363</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45363</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45363</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45363</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45363</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45363</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45363</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45363</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45363</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45363</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45363</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45363</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45363</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45363</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45363</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45363</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45363</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45363</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45363</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45363</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45363</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45363</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45363</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45363</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45363</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45363</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45363</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45363</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45363</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45363</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45363</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45363</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45363</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45363</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45363</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45363</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45363</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45363</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45363</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45363</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45363</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45363</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45363</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45363</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45363</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45363</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45363</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45363</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45363</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45363</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45363</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45363</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45363</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45363</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45363</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45363</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45363</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45363</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45363</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45363</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45363</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45363</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45363</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45363</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45363</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45363</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45363</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45363</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45363</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45363</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45363</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45363</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45363</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45363</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45363</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45363</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45363</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45363</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45363</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45363</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45363</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45363</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45363</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45363</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45363</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45363</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45363</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45363</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45363</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45363</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45363</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45363</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45363</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45363</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45363</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45363</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45363</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45363</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45363</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45363</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45363</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45363</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45363</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45363</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45363</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45363</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45363</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45363</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45363</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45363</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45363</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45363</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45363</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45363</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45363</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45363</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45363</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45363</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45363</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45363</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45363</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45363</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45363</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45363</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45363</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45363</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45363</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45363</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45363</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45363</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45363</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45363</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45363</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45363</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45363</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45363</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45363</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45363</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45363</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45363</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45363</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45363</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45363</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45363</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45363</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45363</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45363</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45363</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45363</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45363</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45363</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45363</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45363</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45363</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45363</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45363</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45363</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45363</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45363</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45363</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45363</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45363</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45363</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45363</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45363</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45363</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45363</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45363</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45363</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45363</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45363</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45363</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45363</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45363</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45363</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45363</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45363</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45363</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45363</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45363</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45363</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45363</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45363</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45363</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45363</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45363</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45363</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45363</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45363</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45363</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45363</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45363</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45363</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45363</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45363</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45363</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45363</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45363</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45363</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45363</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45363</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45363</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45363</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45363</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45363</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45363</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45363</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45363</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45363</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45363</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45363</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45363</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45363</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45363</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45363</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45363</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45363</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45363</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45363</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45363</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45363</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45363</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45363</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45363</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45363</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45363</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45363</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45363</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45363</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45363</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45363</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45363</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45363</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45363</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45363</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45363</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45363</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45363</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45363</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45363</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45363</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45363</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45363</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45363</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45363</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45363</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45363</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45363</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45363</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45363</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45363</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45363</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45363</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45363</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45363</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45363</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45363</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45363</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45363</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45363</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45363</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45363</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45363</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45363</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45363</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45363</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45363</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45363</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45363</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45363</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45363</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45363</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45363</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45363</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45363</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45363</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45363</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45363</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45363</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45363</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45363</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45363</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45363</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45363</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45363</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4622-2024</t>
        </is>
      </c>
      <c r="B1312" s="1" t="n">
        <v>45328</v>
      </c>
      <c r="C1312" s="1" t="n">
        <v>45363</v>
      </c>
      <c r="D1312" t="inlineStr">
        <is>
          <t>KALMAR LÄN</t>
        </is>
      </c>
      <c r="E1312" t="inlineStr">
        <is>
          <t>VIMMERBY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4624-2024</t>
        </is>
      </c>
      <c r="B1313" s="1" t="n">
        <v>45328</v>
      </c>
      <c r="C1313" s="1" t="n">
        <v>45363</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4861-2024</t>
        </is>
      </c>
      <c r="B1314" s="1" t="n">
        <v>45329</v>
      </c>
      <c r="C1314" s="1" t="n">
        <v>45363</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4899-2024</t>
        </is>
      </c>
      <c r="B1315" s="1" t="n">
        <v>45329</v>
      </c>
      <c r="C1315" s="1" t="n">
        <v>45363</v>
      </c>
      <c r="D1315" t="inlineStr">
        <is>
          <t>KALMAR LÄN</t>
        </is>
      </c>
      <c r="E1315" t="inlineStr">
        <is>
          <t>VIMMERBY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4867-2024</t>
        </is>
      </c>
      <c r="B1316" s="1" t="n">
        <v>45329</v>
      </c>
      <c r="C1316" s="1" t="n">
        <v>45363</v>
      </c>
      <c r="D1316" t="inlineStr">
        <is>
          <t>KALMAR LÄN</t>
        </is>
      </c>
      <c r="E1316" t="inlineStr">
        <is>
          <t>VIMMERBY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45363</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5206-2024</t>
        </is>
      </c>
      <c r="B1318" s="1" t="n">
        <v>45330</v>
      </c>
      <c r="C1318" s="1" t="n">
        <v>45363</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45363</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5200-2024</t>
        </is>
      </c>
      <c r="B1320" s="1" t="n">
        <v>45330</v>
      </c>
      <c r="C1320" s="1" t="n">
        <v>45363</v>
      </c>
      <c r="D1320" t="inlineStr">
        <is>
          <t>KALMAR LÄN</t>
        </is>
      </c>
      <c r="E1320" t="inlineStr">
        <is>
          <t>VIMMERBY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5701-2024</t>
        </is>
      </c>
      <c r="B1321" s="1" t="n">
        <v>45334</v>
      </c>
      <c r="C1321" s="1" t="n">
        <v>45363</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5704-2024</t>
        </is>
      </c>
      <c r="B1322" s="1" t="n">
        <v>45334</v>
      </c>
      <c r="C1322" s="1" t="n">
        <v>45363</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5708-2024</t>
        </is>
      </c>
      <c r="B1323" s="1" t="n">
        <v>45334</v>
      </c>
      <c r="C1323" s="1" t="n">
        <v>45363</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5703-2024</t>
        </is>
      </c>
      <c r="B1324" s="1" t="n">
        <v>45334</v>
      </c>
      <c r="C1324" s="1" t="n">
        <v>45363</v>
      </c>
      <c r="D1324" t="inlineStr">
        <is>
          <t>KALMAR LÄN</t>
        </is>
      </c>
      <c r="E1324" t="inlineStr">
        <is>
          <t>VIMMERBY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45363</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45363</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45363</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45363</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7070-2024</t>
        </is>
      </c>
      <c r="B1329" s="1" t="n">
        <v>45343</v>
      </c>
      <c r="C1329" s="1" t="n">
        <v>45363</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7068-2024</t>
        </is>
      </c>
      <c r="B1330" s="1" t="n">
        <v>45343</v>
      </c>
      <c r="C1330" s="1" t="n">
        <v>45363</v>
      </c>
      <c r="D1330" t="inlineStr">
        <is>
          <t>KALMAR LÄN</t>
        </is>
      </c>
      <c r="E1330" t="inlineStr">
        <is>
          <t>VIMMERBY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7456-2024</t>
        </is>
      </c>
      <c r="B1331" s="1" t="n">
        <v>45345</v>
      </c>
      <c r="C1331" s="1" t="n">
        <v>45363</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7450-2024</t>
        </is>
      </c>
      <c r="B1332" s="1" t="n">
        <v>45345</v>
      </c>
      <c r="C1332" s="1" t="n">
        <v>45363</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45363</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7830-2024</t>
        </is>
      </c>
      <c r="B1334" s="1" t="n">
        <v>45349</v>
      </c>
      <c r="C1334" s="1" t="n">
        <v>45363</v>
      </c>
      <c r="D1334" t="inlineStr">
        <is>
          <t>KALMAR LÄN</t>
        </is>
      </c>
      <c r="E1334" t="inlineStr">
        <is>
          <t>VIMMERBY</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7759-2024</t>
        </is>
      </c>
      <c r="B1335" s="1" t="n">
        <v>45349</v>
      </c>
      <c r="C1335" s="1" t="n">
        <v>45363</v>
      </c>
      <c r="D1335" t="inlineStr">
        <is>
          <t>KALMAR LÄN</t>
        </is>
      </c>
      <c r="E1335" t="inlineStr">
        <is>
          <t>VIMMERBY</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7829-2024</t>
        </is>
      </c>
      <c r="B1336" s="1" t="n">
        <v>45349</v>
      </c>
      <c r="C1336" s="1" t="n">
        <v>45363</v>
      </c>
      <c r="D1336" t="inlineStr">
        <is>
          <t>KALMAR LÄN</t>
        </is>
      </c>
      <c r="E1336" t="inlineStr">
        <is>
          <t>VIMMERBY</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7758-2024</t>
        </is>
      </c>
      <c r="B1337" s="1" t="n">
        <v>45349</v>
      </c>
      <c r="C1337" s="1" t="n">
        <v>45363</v>
      </c>
      <c r="D1337" t="inlineStr">
        <is>
          <t>KALMAR LÄN</t>
        </is>
      </c>
      <c r="E1337" t="inlineStr">
        <is>
          <t>VIMMERBY</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7944-2024</t>
        </is>
      </c>
      <c r="B1338" s="1" t="n">
        <v>45350</v>
      </c>
      <c r="C1338" s="1" t="n">
        <v>45363</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8167-2024</t>
        </is>
      </c>
      <c r="B1339" s="1" t="n">
        <v>45351</v>
      </c>
      <c r="C1339" s="1" t="n">
        <v>45363</v>
      </c>
      <c r="D1339" t="inlineStr">
        <is>
          <t>KALMAR LÄN</t>
        </is>
      </c>
      <c r="E1339" t="inlineStr">
        <is>
          <t>VIMMERBY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8214-2024</t>
        </is>
      </c>
      <c r="B1340" s="1" t="n">
        <v>45351</v>
      </c>
      <c r="C1340" s="1" t="n">
        <v>45363</v>
      </c>
      <c r="D1340" t="inlineStr">
        <is>
          <t>KALMAR LÄN</t>
        </is>
      </c>
      <c r="E1340" t="inlineStr">
        <is>
          <t>VIMMERBY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8213-2024</t>
        </is>
      </c>
      <c r="B1341" s="1" t="n">
        <v>45351</v>
      </c>
      <c r="C1341" s="1" t="n">
        <v>45363</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8043-2024</t>
        </is>
      </c>
      <c r="B1342" s="1" t="n">
        <v>45351</v>
      </c>
      <c r="C1342" s="1" t="n">
        <v>45363</v>
      </c>
      <c r="D1342" t="inlineStr">
        <is>
          <t>KALMAR LÄN</t>
        </is>
      </c>
      <c r="E1342" t="inlineStr">
        <is>
          <t>VIMMERBY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8540-2024</t>
        </is>
      </c>
      <c r="B1343" s="1" t="n">
        <v>45355</v>
      </c>
      <c r="C1343" s="1" t="n">
        <v>45363</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8770-2024</t>
        </is>
      </c>
      <c r="B1344" s="1" t="n">
        <v>45356</v>
      </c>
      <c r="C1344" s="1" t="n">
        <v>45363</v>
      </c>
      <c r="D1344" t="inlineStr">
        <is>
          <t>KALMAR LÄN</t>
        </is>
      </c>
      <c r="E1344" t="inlineStr">
        <is>
          <t>VIMMERBY</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9418-2024</t>
        </is>
      </c>
      <c r="B1345" s="1" t="n">
        <v>45359</v>
      </c>
      <c r="C1345" s="1" t="n">
        <v>45363</v>
      </c>
      <c r="D1345" t="inlineStr">
        <is>
          <t>KALMAR LÄN</t>
        </is>
      </c>
      <c r="E1345" t="inlineStr">
        <is>
          <t>VIMMERBY</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9416-2024</t>
        </is>
      </c>
      <c r="B1346" s="1" t="n">
        <v>45359</v>
      </c>
      <c r="C1346" s="1" t="n">
        <v>45363</v>
      </c>
      <c r="D1346" t="inlineStr">
        <is>
          <t>KALMAR LÄN</t>
        </is>
      </c>
      <c r="E1346" t="inlineStr">
        <is>
          <t>VIMMERBY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9623-2024</t>
        </is>
      </c>
      <c r="B1347" s="1" t="n">
        <v>45361</v>
      </c>
      <c r="C1347" s="1" t="n">
        <v>45363</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9624-2024</t>
        </is>
      </c>
      <c r="B1348" s="1" t="n">
        <v>45361</v>
      </c>
      <c r="C1348" s="1" t="n">
        <v>45363</v>
      </c>
      <c r="D1348" t="inlineStr">
        <is>
          <t>KALMAR LÄN</t>
        </is>
      </c>
      <c r="E1348" t="inlineStr">
        <is>
          <t>VIMMERBY</t>
        </is>
      </c>
      <c r="G1348" t="n">
        <v>3.8</v>
      </c>
      <c r="H1348" t="n">
        <v>0</v>
      </c>
      <c r="I1348" t="n">
        <v>0</v>
      </c>
      <c r="J1348" t="n">
        <v>0</v>
      </c>
      <c r="K1348" t="n">
        <v>0</v>
      </c>
      <c r="L1348" t="n">
        <v>0</v>
      </c>
      <c r="M1348" t="n">
        <v>0</v>
      </c>
      <c r="N1348" t="n">
        <v>0</v>
      </c>
      <c r="O1348" t="n">
        <v>0</v>
      </c>
      <c r="P1348" t="n">
        <v>0</v>
      </c>
      <c r="Q1348" t="n">
        <v>0</v>
      </c>
      <c r="R1348" s="2" t="inlineStr"/>
    </row>
    <row r="1349">
      <c r="A1349" t="inlineStr">
        <is>
          <t>A 9657-2024</t>
        </is>
      </c>
      <c r="B1349" s="1" t="n">
        <v>45362</v>
      </c>
      <c r="C1349" s="1" t="n">
        <v>45363</v>
      </c>
      <c r="D1349" t="inlineStr">
        <is>
          <t>KALMAR LÄN</t>
        </is>
      </c>
      <c r="E1349" t="inlineStr">
        <is>
          <t>VIMMERBY</t>
        </is>
      </c>
      <c r="G1349" t="n">
        <v>2.1</v>
      </c>
      <c r="H1349" t="n">
        <v>0</v>
      </c>
      <c r="I1349" t="n">
        <v>0</v>
      </c>
      <c r="J1349" t="n">
        <v>0</v>
      </c>
      <c r="K1349" t="n">
        <v>0</v>
      </c>
      <c r="L1349" t="n">
        <v>0</v>
      </c>
      <c r="M1349" t="n">
        <v>0</v>
      </c>
      <c r="N1349" t="n">
        <v>0</v>
      </c>
      <c r="O1349" t="n">
        <v>0</v>
      </c>
      <c r="P1349" t="n">
        <v>0</v>
      </c>
      <c r="Q1349" t="n">
        <v>0</v>
      </c>
      <c r="R13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2024-03-12T13:55:35Z</dcterms:created>
  <dcterms:modified xmlns:dcterms="http://purl.org/dc/terms/" xmlns:xsi="http://www.w3.org/2001/XMLSchema-instance" xsi:type="dcterms:W3CDTF">2024-03-12T13:55:36Z</dcterms:modified>
</cp:coreProperties>
</file>