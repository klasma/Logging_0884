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45893</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45893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45893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15808-2025</t>
        </is>
      </c>
      <c r="B11" s="1" t="n">
        <v>45748</v>
      </c>
      <c r="C11" s="1" t="n">
        <v>45893</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45893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45893</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45893</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8411-2021</t>
        </is>
      </c>
      <c r="B15" s="1" t="n">
        <v>44245</v>
      </c>
      <c r="C15" s="1" t="n">
        <v>45893</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45893</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56985-2024</t>
        </is>
      </c>
      <c r="B17" s="1" t="n">
        <v>45628</v>
      </c>
      <c r="C17" s="1" t="n">
        <v>45893</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15427-2023</t>
        </is>
      </c>
      <c r="B18" s="1" t="n">
        <v>45020</v>
      </c>
      <c r="C18" s="1" t="n">
        <v>45893</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14584-2025</t>
        </is>
      </c>
      <c r="B19" s="1" t="n">
        <v>45742</v>
      </c>
      <c r="C19" s="1" t="n">
        <v>45893</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45893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45893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45893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17935-2025</t>
        </is>
      </c>
      <c r="B23" s="1" t="n">
        <v>45760.34877314815</v>
      </c>
      <c r="C23" s="1" t="n">
        <v>45893</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19158-2023</t>
        </is>
      </c>
      <c r="B24" s="1" t="n">
        <v>45048</v>
      </c>
      <c r="C24" s="1" t="n">
        <v>45893</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45893</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22396-2025</t>
        </is>
      </c>
      <c r="B26" s="1" t="n">
        <v>45786.52827546297</v>
      </c>
      <c r="C26" s="1" t="n">
        <v>45893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45893</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45893</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32396-2021</t>
        </is>
      </c>
      <c r="B29" s="1" t="n">
        <v>44371</v>
      </c>
      <c r="C29" s="1" t="n">
        <v>45893</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45893</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15122-2024</t>
        </is>
      </c>
      <c r="B31" s="1" t="n">
        <v>45399.71412037037</v>
      </c>
      <c r="C31" s="1" t="n">
        <v>45893</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44306-2020</t>
        </is>
      </c>
      <c r="B32" s="1" t="n">
        <v>44082</v>
      </c>
      <c r="C32" s="1" t="n">
        <v>45893</v>
      </c>
      <c r="D32" t="inlineStr">
        <is>
          <t>KALMAR LÄN</t>
        </is>
      </c>
      <c r="E32" t="inlineStr">
        <is>
          <t>VIMMERBY</t>
        </is>
      </c>
      <c r="G32" t="n">
        <v>16.4</v>
      </c>
      <c r="H32" t="n">
        <v>1</v>
      </c>
      <c r="I32" t="n">
        <v>1</v>
      </c>
      <c r="J32" t="n">
        <v>0</v>
      </c>
      <c r="K32" t="n">
        <v>0</v>
      </c>
      <c r="L32" t="n">
        <v>0</v>
      </c>
      <c r="M32" t="n">
        <v>0</v>
      </c>
      <c r="N32" t="n">
        <v>0</v>
      </c>
      <c r="O32" t="n">
        <v>0</v>
      </c>
      <c r="P32" t="n">
        <v>0</v>
      </c>
      <c r="Q32" t="n">
        <v>1</v>
      </c>
      <c r="R32" s="2" t="inlineStr">
        <is>
          <t>Plattlummer</t>
        </is>
      </c>
      <c r="S32">
        <f>HYPERLINK("https://klasma.github.io/Logging_0884/artfynd/A 44306-2020 artfynd.xlsx", "A 44306-2020")</f>
        <v/>
      </c>
      <c r="T32">
        <f>HYPERLINK("https://klasma.github.io/Logging_0884/kartor/A 44306-2020 karta.png", "A 44306-2020")</f>
        <v/>
      </c>
      <c r="V32">
        <f>HYPERLINK("https://klasma.github.io/Logging_0884/klagomål/A 44306-2020 FSC-klagomål.docx", "A 44306-2020")</f>
        <v/>
      </c>
      <c r="W32">
        <f>HYPERLINK("https://klasma.github.io/Logging_0884/klagomålsmail/A 44306-2020 FSC-klagomål mail.docx", "A 44306-2020")</f>
        <v/>
      </c>
      <c r="X32">
        <f>HYPERLINK("https://klasma.github.io/Logging_0884/tillsyn/A 44306-2020 tillsynsbegäran.docx", "A 44306-2020")</f>
        <v/>
      </c>
      <c r="Y32">
        <f>HYPERLINK("https://klasma.github.io/Logging_0884/tillsynsmail/A 44306-2020 tillsynsbegäran mail.docx", "A 44306-2020")</f>
        <v/>
      </c>
    </row>
    <row r="33" ht="15" customHeight="1">
      <c r="A33" t="inlineStr">
        <is>
          <t>A 6841-2021</t>
        </is>
      </c>
      <c r="B33" s="1" t="n">
        <v>44236</v>
      </c>
      <c r="C33" s="1" t="n">
        <v>45893</v>
      </c>
      <c r="D33" t="inlineStr">
        <is>
          <t>KALMAR LÄN</t>
        </is>
      </c>
      <c r="E33" t="inlineStr">
        <is>
          <t>VIMMERBY</t>
        </is>
      </c>
      <c r="G33" t="n">
        <v>25</v>
      </c>
      <c r="H33" t="n">
        <v>0</v>
      </c>
      <c r="I33" t="n">
        <v>0</v>
      </c>
      <c r="J33" t="n">
        <v>1</v>
      </c>
      <c r="K33" t="n">
        <v>0</v>
      </c>
      <c r="L33" t="n">
        <v>0</v>
      </c>
      <c r="M33" t="n">
        <v>0</v>
      </c>
      <c r="N33" t="n">
        <v>0</v>
      </c>
      <c r="O33" t="n">
        <v>1</v>
      </c>
      <c r="P33" t="n">
        <v>0</v>
      </c>
      <c r="Q33" t="n">
        <v>1</v>
      </c>
      <c r="R33" s="2" t="inlineStr">
        <is>
          <t>Bredbrämad bastardsvärmare</t>
        </is>
      </c>
      <c r="S33">
        <f>HYPERLINK("https://klasma.github.io/Logging_0884/artfynd/A 6841-2021 artfynd.xlsx", "A 6841-2021")</f>
        <v/>
      </c>
      <c r="T33">
        <f>HYPERLINK("https://klasma.github.io/Logging_0884/kartor/A 6841-2021 karta.png", "A 6841-2021")</f>
        <v/>
      </c>
      <c r="V33">
        <f>HYPERLINK("https://klasma.github.io/Logging_0884/klagomål/A 6841-2021 FSC-klagomål.docx", "A 6841-2021")</f>
        <v/>
      </c>
      <c r="W33">
        <f>HYPERLINK("https://klasma.github.io/Logging_0884/klagomålsmail/A 6841-2021 FSC-klagomål mail.docx", "A 6841-2021")</f>
        <v/>
      </c>
      <c r="X33">
        <f>HYPERLINK("https://klasma.github.io/Logging_0884/tillsyn/A 6841-2021 tillsynsbegäran.docx", "A 6841-2021")</f>
        <v/>
      </c>
      <c r="Y33">
        <f>HYPERLINK("https://klasma.github.io/Logging_0884/tillsynsmail/A 6841-2021 tillsynsbegäran mail.docx", "A 6841-2021")</f>
        <v/>
      </c>
    </row>
    <row r="34" ht="15" customHeight="1">
      <c r="A34" t="inlineStr">
        <is>
          <t>A 28852-2023</t>
        </is>
      </c>
      <c r="B34" s="1" t="n">
        <v>45104</v>
      </c>
      <c r="C34" s="1" t="n">
        <v>45893</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42097-2020</t>
        </is>
      </c>
      <c r="B35" s="1" t="n">
        <v>44075</v>
      </c>
      <c r="C35" s="1" t="n">
        <v>45893</v>
      </c>
      <c r="D35" t="inlineStr">
        <is>
          <t>KALMAR LÄN</t>
        </is>
      </c>
      <c r="E35" t="inlineStr">
        <is>
          <t>VIMMERBY</t>
        </is>
      </c>
      <c r="G35" t="n">
        <v>5.5</v>
      </c>
      <c r="H35" t="n">
        <v>0</v>
      </c>
      <c r="I35" t="n">
        <v>0</v>
      </c>
      <c r="J35" t="n">
        <v>1</v>
      </c>
      <c r="K35" t="n">
        <v>0</v>
      </c>
      <c r="L35" t="n">
        <v>0</v>
      </c>
      <c r="M35" t="n">
        <v>0</v>
      </c>
      <c r="N35" t="n">
        <v>0</v>
      </c>
      <c r="O35" t="n">
        <v>1</v>
      </c>
      <c r="P35" t="n">
        <v>0</v>
      </c>
      <c r="Q35" t="n">
        <v>1</v>
      </c>
      <c r="R35" s="2" t="inlineStr">
        <is>
          <t>Mjukdån</t>
        </is>
      </c>
      <c r="S35">
        <f>HYPERLINK("https://klasma.github.io/Logging_0884/artfynd/A 42097-2020 artfynd.xlsx", "A 42097-2020")</f>
        <v/>
      </c>
      <c r="T35">
        <f>HYPERLINK("https://klasma.github.io/Logging_0884/kartor/A 42097-2020 karta.png", "A 42097-2020")</f>
        <v/>
      </c>
      <c r="V35">
        <f>HYPERLINK("https://klasma.github.io/Logging_0884/klagomål/A 42097-2020 FSC-klagomål.docx", "A 42097-2020")</f>
        <v/>
      </c>
      <c r="W35">
        <f>HYPERLINK("https://klasma.github.io/Logging_0884/klagomålsmail/A 42097-2020 FSC-klagomål mail.docx", "A 42097-2020")</f>
        <v/>
      </c>
      <c r="X35">
        <f>HYPERLINK("https://klasma.github.io/Logging_0884/tillsyn/A 42097-2020 tillsynsbegäran.docx", "A 42097-2020")</f>
        <v/>
      </c>
      <c r="Y35">
        <f>HYPERLINK("https://klasma.github.io/Logging_0884/tillsynsmail/A 42097-2020 tillsynsbegäran mail.docx", "A 42097-2020")</f>
        <v/>
      </c>
    </row>
    <row r="36" ht="15" customHeight="1">
      <c r="A36" t="inlineStr">
        <is>
          <t>A 52301-2023</t>
        </is>
      </c>
      <c r="B36" s="1" t="n">
        <v>45224</v>
      </c>
      <c r="C36" s="1" t="n">
        <v>45893</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40083-2023</t>
        </is>
      </c>
      <c r="B37" s="1" t="n">
        <v>45168</v>
      </c>
      <c r="C37" s="1" t="n">
        <v>45893</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45893</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1201-2025</t>
        </is>
      </c>
      <c r="B39" s="1" t="n">
        <v>45667</v>
      </c>
      <c r="C39" s="1" t="n">
        <v>45893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37930-2021</t>
        </is>
      </c>
      <c r="B40" s="1" t="n">
        <v>44403</v>
      </c>
      <c r="C40" s="1" t="n">
        <v>45893</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45893</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29183-2025</t>
        </is>
      </c>
      <c r="B42" s="1" t="n">
        <v>45821</v>
      </c>
      <c r="C42" s="1" t="n">
        <v>45893</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61860-2024</t>
        </is>
      </c>
      <c r="B43" s="1" t="n">
        <v>45649</v>
      </c>
      <c r="C43" s="1" t="n">
        <v>45893</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29736-2025</t>
        </is>
      </c>
      <c r="B44" s="1" t="n">
        <v>45825.58484953704</v>
      </c>
      <c r="C44" s="1" t="n">
        <v>45893</v>
      </c>
      <c r="D44" t="inlineStr">
        <is>
          <t>KALMAR LÄN</t>
        </is>
      </c>
      <c r="E44" t="inlineStr">
        <is>
          <t>VIMMERBY</t>
        </is>
      </c>
      <c r="G44" t="n">
        <v>7.3</v>
      </c>
      <c r="H44" t="n">
        <v>1</v>
      </c>
      <c r="I44" t="n">
        <v>0</v>
      </c>
      <c r="J44" t="n">
        <v>1</v>
      </c>
      <c r="K44" t="n">
        <v>0</v>
      </c>
      <c r="L44" t="n">
        <v>0</v>
      </c>
      <c r="M44" t="n">
        <v>0</v>
      </c>
      <c r="N44" t="n">
        <v>0</v>
      </c>
      <c r="O44" t="n">
        <v>1</v>
      </c>
      <c r="P44" t="n">
        <v>0</v>
      </c>
      <c r="Q44" t="n">
        <v>1</v>
      </c>
      <c r="R44" s="2" t="inlineStr">
        <is>
          <t>Spillkråka</t>
        </is>
      </c>
      <c r="S44">
        <f>HYPERLINK("https://klasma.github.io/Logging_0884/artfynd/A 29736-2025 artfynd.xlsx", "A 29736-2025")</f>
        <v/>
      </c>
      <c r="T44">
        <f>HYPERLINK("https://klasma.github.io/Logging_0884/kartor/A 29736-2025 karta.png", "A 29736-2025")</f>
        <v/>
      </c>
      <c r="V44">
        <f>HYPERLINK("https://klasma.github.io/Logging_0884/klagomål/A 29736-2025 FSC-klagomål.docx", "A 29736-2025")</f>
        <v/>
      </c>
      <c r="W44">
        <f>HYPERLINK("https://klasma.github.io/Logging_0884/klagomålsmail/A 29736-2025 FSC-klagomål mail.docx", "A 29736-2025")</f>
        <v/>
      </c>
      <c r="X44">
        <f>HYPERLINK("https://klasma.github.io/Logging_0884/tillsyn/A 29736-2025 tillsynsbegäran.docx", "A 29736-2025")</f>
        <v/>
      </c>
      <c r="Y44">
        <f>HYPERLINK("https://klasma.github.io/Logging_0884/tillsynsmail/A 29736-2025 tillsynsbegäran mail.docx", "A 29736-2025")</f>
        <v/>
      </c>
      <c r="Z44">
        <f>HYPERLINK("https://klasma.github.io/Logging_0884/fåglar/A 29736-2025 prioriterade fågelarter.docx", "A 29736-2025")</f>
        <v/>
      </c>
    </row>
    <row r="45" ht="15" customHeight="1">
      <c r="A45" t="inlineStr">
        <is>
          <t>A 23602-2023</t>
        </is>
      </c>
      <c r="B45" s="1" t="n">
        <v>45077</v>
      </c>
      <c r="C45" s="1" t="n">
        <v>45893</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44515-2024</t>
        </is>
      </c>
      <c r="B46" s="1" t="n">
        <v>45574.42767361111</v>
      </c>
      <c r="C46" s="1" t="n">
        <v>45893</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32985-2023</t>
        </is>
      </c>
      <c r="B47" s="1" t="n">
        <v>45125</v>
      </c>
      <c r="C47" s="1" t="n">
        <v>45893</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40239-2020</t>
        </is>
      </c>
      <c r="B48" s="1" t="n">
        <v>44068</v>
      </c>
      <c r="C48" s="1" t="n">
        <v>45893</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44000-2020</t>
        </is>
      </c>
      <c r="B49" s="1" t="n">
        <v>44083</v>
      </c>
      <c r="C49" s="1" t="n">
        <v>45893</v>
      </c>
      <c r="D49" t="inlineStr">
        <is>
          <t>KALMAR LÄN</t>
        </is>
      </c>
      <c r="E49" t="inlineStr">
        <is>
          <t>VIMMERBY</t>
        </is>
      </c>
      <c r="G49" t="n">
        <v>0.8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45893</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49059-2020</t>
        </is>
      </c>
      <c r="B51" s="1" t="n">
        <v>44102</v>
      </c>
      <c r="C51" s="1" t="n">
        <v>45893</v>
      </c>
      <c r="D51" t="inlineStr">
        <is>
          <t>KALMAR LÄN</t>
        </is>
      </c>
      <c r="E51" t="inlineStr">
        <is>
          <t>VIMMERBY</t>
        </is>
      </c>
      <c r="G51" t="n">
        <v>5.8</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45893</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45893</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45893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45893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45893</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45893</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45893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45893</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45893</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45893</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45893</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40808-2020</t>
        </is>
      </c>
      <c r="B63" s="1" t="n">
        <v>44070.39203703704</v>
      </c>
      <c r="C63" s="1" t="n">
        <v>45893</v>
      </c>
      <c r="D63" t="inlineStr">
        <is>
          <t>KALMAR LÄN</t>
        </is>
      </c>
      <c r="E63" t="inlineStr">
        <is>
          <t>VIMMERBY</t>
        </is>
      </c>
      <c r="G63" t="n">
        <v>2.8</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45893</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45893</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45893</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45893</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49186-2020</t>
        </is>
      </c>
      <c r="B68" s="1" t="n">
        <v>44105</v>
      </c>
      <c r="C68" s="1" t="n">
        <v>45893</v>
      </c>
      <c r="D68" t="inlineStr">
        <is>
          <t>KALMAR LÄN</t>
        </is>
      </c>
      <c r="E68" t="inlineStr">
        <is>
          <t>VIMMERBY</t>
        </is>
      </c>
      <c r="F68" t="inlineStr">
        <is>
          <t>Sveaskog</t>
        </is>
      </c>
      <c r="G68" t="n">
        <v>3.8</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45893</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40812-2020</t>
        </is>
      </c>
      <c r="B70" s="1" t="n">
        <v>44070</v>
      </c>
      <c r="C70" s="1" t="n">
        <v>45893</v>
      </c>
      <c r="D70" t="inlineStr">
        <is>
          <t>KALMAR LÄN</t>
        </is>
      </c>
      <c r="E70" t="inlineStr">
        <is>
          <t>VIMMERBY</t>
        </is>
      </c>
      <c r="G70" t="n">
        <v>4.9</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45893</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45893</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45893</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45893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45893</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45893</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45893</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45893</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45893</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45893</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45893</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45893</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45893</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45893</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45893</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41438-2022</t>
        </is>
      </c>
      <c r="B86" s="1" t="n">
        <v>44826.68010416667</v>
      </c>
      <c r="C86" s="1" t="n">
        <v>45893</v>
      </c>
      <c r="D86" t="inlineStr">
        <is>
          <t>KALMAR LÄN</t>
        </is>
      </c>
      <c r="E86" t="inlineStr">
        <is>
          <t>VIMMERBY</t>
        </is>
      </c>
      <c r="G86" t="n">
        <v>3.1</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45893</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45893</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38086-2021</t>
        </is>
      </c>
      <c r="B89" s="1" t="n">
        <v>44404.87505787037</v>
      </c>
      <c r="C89" s="1" t="n">
        <v>45893</v>
      </c>
      <c r="D89" t="inlineStr">
        <is>
          <t>KALMAR LÄN</t>
        </is>
      </c>
      <c r="E89" t="inlineStr">
        <is>
          <t>VIMMERBY</t>
        </is>
      </c>
      <c r="G89" t="n">
        <v>4.4</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45893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45893</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45893</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45678-2020</t>
        </is>
      </c>
      <c r="B93" s="1" t="n">
        <v>44090</v>
      </c>
      <c r="C93" s="1" t="n">
        <v>45893</v>
      </c>
      <c r="D93" t="inlineStr">
        <is>
          <t>KALMAR LÄN</t>
        </is>
      </c>
      <c r="E93" t="inlineStr">
        <is>
          <t>VIMMERBY</t>
        </is>
      </c>
      <c r="G93" t="n">
        <v>4.3</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45893</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33829-2022</t>
        </is>
      </c>
      <c r="B95" s="1" t="n">
        <v>44790</v>
      </c>
      <c r="C95" s="1" t="n">
        <v>45893</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11145-2021</t>
        </is>
      </c>
      <c r="B96" s="1" t="n">
        <v>44261</v>
      </c>
      <c r="C96" s="1" t="n">
        <v>45893</v>
      </c>
      <c r="D96" t="inlineStr">
        <is>
          <t>KALMAR LÄN</t>
        </is>
      </c>
      <c r="E96" t="inlineStr">
        <is>
          <t>VIMMERBY</t>
        </is>
      </c>
      <c r="G96" t="n">
        <v>3.5</v>
      </c>
      <c r="H96" t="n">
        <v>0</v>
      </c>
      <c r="I96" t="n">
        <v>0</v>
      </c>
      <c r="J96" t="n">
        <v>0</v>
      </c>
      <c r="K96" t="n">
        <v>0</v>
      </c>
      <c r="L96" t="n">
        <v>0</v>
      </c>
      <c r="M96" t="n">
        <v>0</v>
      </c>
      <c r="N96" t="n">
        <v>0</v>
      </c>
      <c r="O96" t="n">
        <v>0</v>
      </c>
      <c r="P96" t="n">
        <v>0</v>
      </c>
      <c r="Q96" t="n">
        <v>0</v>
      </c>
      <c r="R96" s="2" t="inlineStr"/>
    </row>
    <row r="97" ht="15" customHeight="1">
      <c r="A97" t="inlineStr">
        <is>
          <t>A 68840-2021</t>
        </is>
      </c>
      <c r="B97" s="1" t="n">
        <v>44530.38055555556</v>
      </c>
      <c r="C97" s="1" t="n">
        <v>45893</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4118-2022</t>
        </is>
      </c>
      <c r="B98" s="1" t="n">
        <v>44588</v>
      </c>
      <c r="C98" s="1" t="n">
        <v>45893</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4126-2022</t>
        </is>
      </c>
      <c r="B99" s="1" t="n">
        <v>44588</v>
      </c>
      <c r="C99" s="1" t="n">
        <v>45893</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33820-2022</t>
        </is>
      </c>
      <c r="B100" s="1" t="n">
        <v>44790</v>
      </c>
      <c r="C100" s="1" t="n">
        <v>45893</v>
      </c>
      <c r="D100" t="inlineStr">
        <is>
          <t>KALMAR LÄN</t>
        </is>
      </c>
      <c r="E100" t="inlineStr">
        <is>
          <t>VIMMERBY</t>
        </is>
      </c>
      <c r="G100" t="n">
        <v>3</v>
      </c>
      <c r="H100" t="n">
        <v>0</v>
      </c>
      <c r="I100" t="n">
        <v>0</v>
      </c>
      <c r="J100" t="n">
        <v>0</v>
      </c>
      <c r="K100" t="n">
        <v>0</v>
      </c>
      <c r="L100" t="n">
        <v>0</v>
      </c>
      <c r="M100" t="n">
        <v>0</v>
      </c>
      <c r="N100" t="n">
        <v>0</v>
      </c>
      <c r="O100" t="n">
        <v>0</v>
      </c>
      <c r="P100" t="n">
        <v>0</v>
      </c>
      <c r="Q100" t="n">
        <v>0</v>
      </c>
      <c r="R100" s="2" t="inlineStr"/>
    </row>
    <row r="101" ht="15" customHeight="1">
      <c r="A101" t="inlineStr">
        <is>
          <t>A 33824-2022</t>
        </is>
      </c>
      <c r="B101" s="1" t="n">
        <v>44790.47628472222</v>
      </c>
      <c r="C101" s="1" t="n">
        <v>45893</v>
      </c>
      <c r="D101" t="inlineStr">
        <is>
          <t>KALMAR LÄN</t>
        </is>
      </c>
      <c r="E101" t="inlineStr">
        <is>
          <t>VIMMERBY</t>
        </is>
      </c>
      <c r="G101" t="n">
        <v>2.3</v>
      </c>
      <c r="H101" t="n">
        <v>0</v>
      </c>
      <c r="I101" t="n">
        <v>0</v>
      </c>
      <c r="J101" t="n">
        <v>0</v>
      </c>
      <c r="K101" t="n">
        <v>0</v>
      </c>
      <c r="L101" t="n">
        <v>0</v>
      </c>
      <c r="M101" t="n">
        <v>0</v>
      </c>
      <c r="N101" t="n">
        <v>0</v>
      </c>
      <c r="O101" t="n">
        <v>0</v>
      </c>
      <c r="P101" t="n">
        <v>0</v>
      </c>
      <c r="Q101" t="n">
        <v>0</v>
      </c>
      <c r="R101" s="2" t="inlineStr"/>
    </row>
    <row r="102" ht="15" customHeight="1">
      <c r="A102" t="inlineStr">
        <is>
          <t>A 65952-2020</t>
        </is>
      </c>
      <c r="B102" s="1" t="n">
        <v>44175.3815625</v>
      </c>
      <c r="C102" s="1" t="n">
        <v>45893</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65973-2020</t>
        </is>
      </c>
      <c r="B103" s="1" t="n">
        <v>44175.40881944444</v>
      </c>
      <c r="C103" s="1" t="n">
        <v>45893</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19863-2021</t>
        </is>
      </c>
      <c r="B104" s="1" t="n">
        <v>44312</v>
      </c>
      <c r="C104" s="1" t="n">
        <v>45893</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55297-2021</t>
        </is>
      </c>
      <c r="B105" s="1" t="n">
        <v>44475</v>
      </c>
      <c r="C105" s="1" t="n">
        <v>45893</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45893</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7072-2021</t>
        </is>
      </c>
      <c r="B107" s="1" t="n">
        <v>44237.8550925926</v>
      </c>
      <c r="C107" s="1" t="n">
        <v>45893</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53711-2020</t>
        </is>
      </c>
      <c r="B108" s="1" t="n">
        <v>44124.59795138889</v>
      </c>
      <c r="C108" s="1" t="n">
        <v>45893</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38789-2021</t>
        </is>
      </c>
      <c r="B109" s="1" t="n">
        <v>44410.71038194445</v>
      </c>
      <c r="C109" s="1" t="n">
        <v>45893</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14347-2021</t>
        </is>
      </c>
      <c r="B110" s="1" t="n">
        <v>44279.33400462963</v>
      </c>
      <c r="C110" s="1" t="n">
        <v>45893</v>
      </c>
      <c r="D110" t="inlineStr">
        <is>
          <t>KALMAR LÄN</t>
        </is>
      </c>
      <c r="E110" t="inlineStr">
        <is>
          <t>VIMMERBY</t>
        </is>
      </c>
      <c r="G110" t="n">
        <v>6.4</v>
      </c>
      <c r="H110" t="n">
        <v>0</v>
      </c>
      <c r="I110" t="n">
        <v>0</v>
      </c>
      <c r="J110" t="n">
        <v>0</v>
      </c>
      <c r="K110" t="n">
        <v>0</v>
      </c>
      <c r="L110" t="n">
        <v>0</v>
      </c>
      <c r="M110" t="n">
        <v>0</v>
      </c>
      <c r="N110" t="n">
        <v>0</v>
      </c>
      <c r="O110" t="n">
        <v>0</v>
      </c>
      <c r="P110" t="n">
        <v>0</v>
      </c>
      <c r="Q110" t="n">
        <v>0</v>
      </c>
      <c r="R110" s="2" t="inlineStr"/>
    </row>
    <row r="111" ht="15" customHeight="1">
      <c r="A111" t="inlineStr">
        <is>
          <t>A 66913-2020</t>
        </is>
      </c>
      <c r="B111" s="1" t="n">
        <v>44175</v>
      </c>
      <c r="C111" s="1" t="n">
        <v>45893</v>
      </c>
      <c r="D111" t="inlineStr">
        <is>
          <t>KALMAR LÄN</t>
        </is>
      </c>
      <c r="E111" t="inlineStr">
        <is>
          <t>VIMMERBY</t>
        </is>
      </c>
      <c r="G111" t="n">
        <v>5.6</v>
      </c>
      <c r="H111" t="n">
        <v>0</v>
      </c>
      <c r="I111" t="n">
        <v>0</v>
      </c>
      <c r="J111" t="n">
        <v>0</v>
      </c>
      <c r="K111" t="n">
        <v>0</v>
      </c>
      <c r="L111" t="n">
        <v>0</v>
      </c>
      <c r="M111" t="n">
        <v>0</v>
      </c>
      <c r="N111" t="n">
        <v>0</v>
      </c>
      <c r="O111" t="n">
        <v>0</v>
      </c>
      <c r="P111" t="n">
        <v>0</v>
      </c>
      <c r="Q111" t="n">
        <v>0</v>
      </c>
      <c r="R111" s="2" t="inlineStr"/>
    </row>
    <row r="112" ht="15" customHeight="1">
      <c r="A112" t="inlineStr">
        <is>
          <t>A 16290-2022</t>
        </is>
      </c>
      <c r="B112" s="1" t="n">
        <v>44670</v>
      </c>
      <c r="C112" s="1" t="n">
        <v>45893</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30682-2021</t>
        </is>
      </c>
      <c r="B113" s="1" t="n">
        <v>44365</v>
      </c>
      <c r="C113" s="1" t="n">
        <v>45893</v>
      </c>
      <c r="D113" t="inlineStr">
        <is>
          <t>KALMAR LÄN</t>
        </is>
      </c>
      <c r="E113" t="inlineStr">
        <is>
          <t>VIMMERBY</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64707-2020</t>
        </is>
      </c>
      <c r="B114" s="1" t="n">
        <v>44169</v>
      </c>
      <c r="C114" s="1" t="n">
        <v>45893</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13492-2021</t>
        </is>
      </c>
      <c r="B115" s="1" t="n">
        <v>44273</v>
      </c>
      <c r="C115" s="1" t="n">
        <v>45893</v>
      </c>
      <c r="D115" t="inlineStr">
        <is>
          <t>KALMAR LÄN</t>
        </is>
      </c>
      <c r="E115" t="inlineStr">
        <is>
          <t>VIMMERBY</t>
        </is>
      </c>
      <c r="G115" t="n">
        <v>3.1</v>
      </c>
      <c r="H115" t="n">
        <v>0</v>
      </c>
      <c r="I115" t="n">
        <v>0</v>
      </c>
      <c r="J115" t="n">
        <v>0</v>
      </c>
      <c r="K115" t="n">
        <v>0</v>
      </c>
      <c r="L115" t="n">
        <v>0</v>
      </c>
      <c r="M115" t="n">
        <v>0</v>
      </c>
      <c r="N115" t="n">
        <v>0</v>
      </c>
      <c r="O115" t="n">
        <v>0</v>
      </c>
      <c r="P115" t="n">
        <v>0</v>
      </c>
      <c r="Q115" t="n">
        <v>0</v>
      </c>
      <c r="R115" s="2" t="inlineStr"/>
    </row>
    <row r="116" ht="15" customHeight="1">
      <c r="A116" t="inlineStr">
        <is>
          <t>A 17869-2021</t>
        </is>
      </c>
      <c r="B116" s="1" t="n">
        <v>44301.36048611111</v>
      </c>
      <c r="C116" s="1" t="n">
        <v>45893</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45893</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45893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45893</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24752-2021</t>
        </is>
      </c>
      <c r="B120" s="1" t="n">
        <v>44340</v>
      </c>
      <c r="C120" s="1" t="n">
        <v>45893</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31533-2022</t>
        </is>
      </c>
      <c r="B121" s="1" t="n">
        <v>44774</v>
      </c>
      <c r="C121" s="1" t="n">
        <v>45893</v>
      </c>
      <c r="D121" t="inlineStr">
        <is>
          <t>KALMAR LÄN</t>
        </is>
      </c>
      <c r="E121" t="inlineStr">
        <is>
          <t>VIMMERBY</t>
        </is>
      </c>
      <c r="G121" t="n">
        <v>2.5</v>
      </c>
      <c r="H121" t="n">
        <v>0</v>
      </c>
      <c r="I121" t="n">
        <v>0</v>
      </c>
      <c r="J121" t="n">
        <v>0</v>
      </c>
      <c r="K121" t="n">
        <v>0</v>
      </c>
      <c r="L121" t="n">
        <v>0</v>
      </c>
      <c r="M121" t="n">
        <v>0</v>
      </c>
      <c r="N121" t="n">
        <v>0</v>
      </c>
      <c r="O121" t="n">
        <v>0</v>
      </c>
      <c r="P121" t="n">
        <v>0</v>
      </c>
      <c r="Q121" t="n">
        <v>0</v>
      </c>
      <c r="R121" s="2" t="inlineStr"/>
    </row>
    <row r="122" ht="15" customHeight="1">
      <c r="A122" t="inlineStr">
        <is>
          <t>A 25859-2022</t>
        </is>
      </c>
      <c r="B122" s="1" t="n">
        <v>44733</v>
      </c>
      <c r="C122" s="1" t="n">
        <v>45893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25868-2022</t>
        </is>
      </c>
      <c r="B123" s="1" t="n">
        <v>44733</v>
      </c>
      <c r="C123" s="1" t="n">
        <v>45893</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60810-2020</t>
        </is>
      </c>
      <c r="B124" s="1" t="n">
        <v>44154</v>
      </c>
      <c r="C124" s="1" t="n">
        <v>45893</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32386-2021</t>
        </is>
      </c>
      <c r="B125" s="1" t="n">
        <v>44371.62743055556</v>
      </c>
      <c r="C125" s="1" t="n">
        <v>45893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35633-2021</t>
        </is>
      </c>
      <c r="B126" s="1" t="n">
        <v>44386.40783564815</v>
      </c>
      <c r="C126" s="1" t="n">
        <v>45893</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56343-2021</t>
        </is>
      </c>
      <c r="B127" s="1" t="n">
        <v>44480</v>
      </c>
      <c r="C127" s="1" t="n">
        <v>45893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8415-2021</t>
        </is>
      </c>
      <c r="B128" s="1" t="n">
        <v>44245</v>
      </c>
      <c r="C128" s="1" t="n">
        <v>45893</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40818-2020</t>
        </is>
      </c>
      <c r="B129" s="1" t="n">
        <v>44070.40998842593</v>
      </c>
      <c r="C129" s="1" t="n">
        <v>45893</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24369-2021</t>
        </is>
      </c>
      <c r="B130" s="1" t="n">
        <v>44337</v>
      </c>
      <c r="C130" s="1" t="n">
        <v>45893</v>
      </c>
      <c r="D130" t="inlineStr">
        <is>
          <t>KALMAR LÄN</t>
        </is>
      </c>
      <c r="E130" t="inlineStr">
        <is>
          <t>VIMMERBY</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48949-2020</t>
        </is>
      </c>
      <c r="B131" s="1" t="n">
        <v>44102</v>
      </c>
      <c r="C131" s="1" t="n">
        <v>45893</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51972-2021</t>
        </is>
      </c>
      <c r="B132" s="1" t="n">
        <v>44463.29439814815</v>
      </c>
      <c r="C132" s="1" t="n">
        <v>45893</v>
      </c>
      <c r="D132" t="inlineStr">
        <is>
          <t>KALMAR LÄN</t>
        </is>
      </c>
      <c r="E132" t="inlineStr">
        <is>
          <t>VIMMERBY</t>
        </is>
      </c>
      <c r="G132" t="n">
        <v>4.5</v>
      </c>
      <c r="H132" t="n">
        <v>0</v>
      </c>
      <c r="I132" t="n">
        <v>0</v>
      </c>
      <c r="J132" t="n">
        <v>0</v>
      </c>
      <c r="K132" t="n">
        <v>0</v>
      </c>
      <c r="L132" t="n">
        <v>0</v>
      </c>
      <c r="M132" t="n">
        <v>0</v>
      </c>
      <c r="N132" t="n">
        <v>0</v>
      </c>
      <c r="O132" t="n">
        <v>0</v>
      </c>
      <c r="P132" t="n">
        <v>0</v>
      </c>
      <c r="Q132" t="n">
        <v>0</v>
      </c>
      <c r="R132" s="2" t="inlineStr"/>
    </row>
    <row r="133" ht="15" customHeight="1">
      <c r="A133" t="inlineStr">
        <is>
          <t>A 4042-2022</t>
        </is>
      </c>
      <c r="B133" s="1" t="n">
        <v>44588</v>
      </c>
      <c r="C133" s="1" t="n">
        <v>45893</v>
      </c>
      <c r="D133" t="inlineStr">
        <is>
          <t>KALMAR LÄN</t>
        </is>
      </c>
      <c r="E133" t="inlineStr">
        <is>
          <t>VIMMERBY</t>
        </is>
      </c>
      <c r="G133" t="n">
        <v>4.7</v>
      </c>
      <c r="H133" t="n">
        <v>0</v>
      </c>
      <c r="I133" t="n">
        <v>0</v>
      </c>
      <c r="J133" t="n">
        <v>0</v>
      </c>
      <c r="K133" t="n">
        <v>0</v>
      </c>
      <c r="L133" t="n">
        <v>0</v>
      </c>
      <c r="M133" t="n">
        <v>0</v>
      </c>
      <c r="N133" t="n">
        <v>0</v>
      </c>
      <c r="O133" t="n">
        <v>0</v>
      </c>
      <c r="P133" t="n">
        <v>0</v>
      </c>
      <c r="Q133" t="n">
        <v>0</v>
      </c>
      <c r="R133" s="2" t="inlineStr"/>
    </row>
    <row r="134" ht="15" customHeight="1">
      <c r="A134" t="inlineStr">
        <is>
          <t>A 52073-2020</t>
        </is>
      </c>
      <c r="B134" s="1" t="n">
        <v>44117</v>
      </c>
      <c r="C134" s="1" t="n">
        <v>45893</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33690-2022</t>
        </is>
      </c>
      <c r="B135" s="1" t="n">
        <v>44789</v>
      </c>
      <c r="C135" s="1" t="n">
        <v>45893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35198-2021</t>
        </is>
      </c>
      <c r="B136" s="1" t="n">
        <v>44377</v>
      </c>
      <c r="C136" s="1" t="n">
        <v>45893</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34036-2021</t>
        </is>
      </c>
      <c r="B137" s="1" t="n">
        <v>44379</v>
      </c>
      <c r="C137" s="1" t="n">
        <v>45893</v>
      </c>
      <c r="D137" t="inlineStr">
        <is>
          <t>KALMAR LÄN</t>
        </is>
      </c>
      <c r="E137" t="inlineStr">
        <is>
          <t>VIMMERBY</t>
        </is>
      </c>
      <c r="F137" t="inlineStr">
        <is>
          <t>Sveaskog</t>
        </is>
      </c>
      <c r="G137" t="n">
        <v>7</v>
      </c>
      <c r="H137" t="n">
        <v>0</v>
      </c>
      <c r="I137" t="n">
        <v>0</v>
      </c>
      <c r="J137" t="n">
        <v>0</v>
      </c>
      <c r="K137" t="n">
        <v>0</v>
      </c>
      <c r="L137" t="n">
        <v>0</v>
      </c>
      <c r="M137" t="n">
        <v>0</v>
      </c>
      <c r="N137" t="n">
        <v>0</v>
      </c>
      <c r="O137" t="n">
        <v>0</v>
      </c>
      <c r="P137" t="n">
        <v>0</v>
      </c>
      <c r="Q137" t="n">
        <v>0</v>
      </c>
      <c r="R137" s="2" t="inlineStr"/>
    </row>
    <row r="138" ht="15" customHeight="1">
      <c r="A138" t="inlineStr">
        <is>
          <t>A 63244-2021</t>
        </is>
      </c>
      <c r="B138" s="1" t="n">
        <v>44508</v>
      </c>
      <c r="C138" s="1" t="n">
        <v>45893</v>
      </c>
      <c r="D138" t="inlineStr">
        <is>
          <t>KALMAR LÄN</t>
        </is>
      </c>
      <c r="E138" t="inlineStr">
        <is>
          <t>VIMMERBY</t>
        </is>
      </c>
      <c r="F138" t="inlineStr">
        <is>
          <t>Övriga statliga verk och myndigheter</t>
        </is>
      </c>
      <c r="G138" t="n">
        <v>0.6</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45893</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45893</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45893</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7167-2022</t>
        </is>
      </c>
      <c r="B142" s="1" t="n">
        <v>44604</v>
      </c>
      <c r="C142" s="1" t="n">
        <v>45893</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46085-2020</t>
        </is>
      </c>
      <c r="B143" s="1" t="n">
        <v>44091</v>
      </c>
      <c r="C143" s="1" t="n">
        <v>45893</v>
      </c>
      <c r="D143" t="inlineStr">
        <is>
          <t>KALMAR LÄN</t>
        </is>
      </c>
      <c r="E143" t="inlineStr">
        <is>
          <t>VIMMERBY</t>
        </is>
      </c>
      <c r="G143" t="n">
        <v>6.1</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45893</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11814-2022</t>
        </is>
      </c>
      <c r="B145" s="1" t="n">
        <v>44634.69703703704</v>
      </c>
      <c r="C145" s="1" t="n">
        <v>45893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46964-2022</t>
        </is>
      </c>
      <c r="B146" s="1" t="n">
        <v>44851.95016203704</v>
      </c>
      <c r="C146" s="1" t="n">
        <v>45893</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56385-2021</t>
        </is>
      </c>
      <c r="B147" s="1" t="n">
        <v>44480</v>
      </c>
      <c r="C147" s="1" t="n">
        <v>45893</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31053-2022</t>
        </is>
      </c>
      <c r="B148" s="1" t="n">
        <v>44769.45422453704</v>
      </c>
      <c r="C148" s="1" t="n">
        <v>45893</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45893</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44605-2020</t>
        </is>
      </c>
      <c r="B150" s="1" t="n">
        <v>44085</v>
      </c>
      <c r="C150" s="1" t="n">
        <v>45893</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57948-2020</t>
        </is>
      </c>
      <c r="B151" s="1" t="n">
        <v>44142</v>
      </c>
      <c r="C151" s="1" t="n">
        <v>45893</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46461-2020</t>
        </is>
      </c>
      <c r="B152" s="1" t="n">
        <v>44092</v>
      </c>
      <c r="C152" s="1" t="n">
        <v>45893</v>
      </c>
      <c r="D152" t="inlineStr">
        <is>
          <t>KALMAR LÄN</t>
        </is>
      </c>
      <c r="E152" t="inlineStr">
        <is>
          <t>VIMMERBY</t>
        </is>
      </c>
      <c r="G152" t="n">
        <v>2.4</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45893</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13180-2022</t>
        </is>
      </c>
      <c r="B154" s="1" t="n">
        <v>44644</v>
      </c>
      <c r="C154" s="1" t="n">
        <v>45893</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18276-2021</t>
        </is>
      </c>
      <c r="B155" s="1" t="n">
        <v>44305.40046296296</v>
      </c>
      <c r="C155" s="1" t="n">
        <v>45893</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47473-2021</t>
        </is>
      </c>
      <c r="B156" s="1" t="n">
        <v>44447</v>
      </c>
      <c r="C156" s="1" t="n">
        <v>45893</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35001-2021</t>
        </is>
      </c>
      <c r="B157" s="1" t="n">
        <v>44383</v>
      </c>
      <c r="C157" s="1" t="n">
        <v>45893</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55674-2021</t>
        </is>
      </c>
      <c r="B158" s="1" t="n">
        <v>44476</v>
      </c>
      <c r="C158" s="1" t="n">
        <v>45893</v>
      </c>
      <c r="D158" t="inlineStr">
        <is>
          <t>KALMAR LÄN</t>
        </is>
      </c>
      <c r="E158" t="inlineStr">
        <is>
          <t>VIMMERBY</t>
        </is>
      </c>
      <c r="G158" t="n">
        <v>2.1</v>
      </c>
      <c r="H158" t="n">
        <v>0</v>
      </c>
      <c r="I158" t="n">
        <v>0</v>
      </c>
      <c r="J158" t="n">
        <v>0</v>
      </c>
      <c r="K158" t="n">
        <v>0</v>
      </c>
      <c r="L158" t="n">
        <v>0</v>
      </c>
      <c r="M158" t="n">
        <v>0</v>
      </c>
      <c r="N158" t="n">
        <v>0</v>
      </c>
      <c r="O158" t="n">
        <v>0</v>
      </c>
      <c r="P158" t="n">
        <v>0</v>
      </c>
      <c r="Q158" t="n">
        <v>0</v>
      </c>
      <c r="R158" s="2" t="inlineStr"/>
    </row>
    <row r="159" ht="15" customHeight="1">
      <c r="A159" t="inlineStr">
        <is>
          <t>A 65887-2021</t>
        </is>
      </c>
      <c r="B159" s="1" t="n">
        <v>44517</v>
      </c>
      <c r="C159" s="1" t="n">
        <v>45893</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40077-2021</t>
        </is>
      </c>
      <c r="B160" s="1" t="n">
        <v>44418</v>
      </c>
      <c r="C160" s="1" t="n">
        <v>45893</v>
      </c>
      <c r="D160" t="inlineStr">
        <is>
          <t>KALMAR LÄN</t>
        </is>
      </c>
      <c r="E160" t="inlineStr">
        <is>
          <t>VIMMERBY</t>
        </is>
      </c>
      <c r="G160" t="n">
        <v>2.9</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45893</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45893</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45893</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45893</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42850-2022</t>
        </is>
      </c>
      <c r="B165" s="1" t="n">
        <v>44832.67608796297</v>
      </c>
      <c r="C165" s="1" t="n">
        <v>45893</v>
      </c>
      <c r="D165" t="inlineStr">
        <is>
          <t>KALMAR LÄN</t>
        </is>
      </c>
      <c r="E165" t="inlineStr">
        <is>
          <t>VIMMERBY</t>
        </is>
      </c>
      <c r="G165" t="n">
        <v>5.9</v>
      </c>
      <c r="H165" t="n">
        <v>0</v>
      </c>
      <c r="I165" t="n">
        <v>0</v>
      </c>
      <c r="J165" t="n">
        <v>0</v>
      </c>
      <c r="K165" t="n">
        <v>0</v>
      </c>
      <c r="L165" t="n">
        <v>0</v>
      </c>
      <c r="M165" t="n">
        <v>0</v>
      </c>
      <c r="N165" t="n">
        <v>0</v>
      </c>
      <c r="O165" t="n">
        <v>0</v>
      </c>
      <c r="P165" t="n">
        <v>0</v>
      </c>
      <c r="Q165" t="n">
        <v>0</v>
      </c>
      <c r="R165" s="2" t="inlineStr"/>
    </row>
    <row r="166" ht="15" customHeight="1">
      <c r="A166" t="inlineStr">
        <is>
          <t>A 39959-2022</t>
        </is>
      </c>
      <c r="B166" s="1" t="n">
        <v>44819</v>
      </c>
      <c r="C166" s="1" t="n">
        <v>45893</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3330-2021</t>
        </is>
      </c>
      <c r="B167" s="1" t="n">
        <v>44217.79856481482</v>
      </c>
      <c r="C167" s="1" t="n">
        <v>45893</v>
      </c>
      <c r="D167" t="inlineStr">
        <is>
          <t>KALMAR LÄN</t>
        </is>
      </c>
      <c r="E167" t="inlineStr">
        <is>
          <t>VIMMERBY</t>
        </is>
      </c>
      <c r="G167" t="n">
        <v>11.1</v>
      </c>
      <c r="H167" t="n">
        <v>0</v>
      </c>
      <c r="I167" t="n">
        <v>0</v>
      </c>
      <c r="J167" t="n">
        <v>0</v>
      </c>
      <c r="K167" t="n">
        <v>0</v>
      </c>
      <c r="L167" t="n">
        <v>0</v>
      </c>
      <c r="M167" t="n">
        <v>0</v>
      </c>
      <c r="N167" t="n">
        <v>0</v>
      </c>
      <c r="O167" t="n">
        <v>0</v>
      </c>
      <c r="P167" t="n">
        <v>0</v>
      </c>
      <c r="Q167" t="n">
        <v>0</v>
      </c>
      <c r="R167" s="2" t="inlineStr"/>
    </row>
    <row r="168" ht="15" customHeight="1">
      <c r="A168" t="inlineStr">
        <is>
          <t>A 48377-2021</t>
        </is>
      </c>
      <c r="B168" s="1" t="n">
        <v>44451.8375</v>
      </c>
      <c r="C168" s="1" t="n">
        <v>45893</v>
      </c>
      <c r="D168" t="inlineStr">
        <is>
          <t>KALMAR LÄN</t>
        </is>
      </c>
      <c r="E168" t="inlineStr">
        <is>
          <t>VIMMERBY</t>
        </is>
      </c>
      <c r="G168" t="n">
        <v>0.4</v>
      </c>
      <c r="H168" t="n">
        <v>0</v>
      </c>
      <c r="I168" t="n">
        <v>0</v>
      </c>
      <c r="J168" t="n">
        <v>0</v>
      </c>
      <c r="K168" t="n">
        <v>0</v>
      </c>
      <c r="L168" t="n">
        <v>0</v>
      </c>
      <c r="M168" t="n">
        <v>0</v>
      </c>
      <c r="N168" t="n">
        <v>0</v>
      </c>
      <c r="O168" t="n">
        <v>0</v>
      </c>
      <c r="P168" t="n">
        <v>0</v>
      </c>
      <c r="Q168" t="n">
        <v>0</v>
      </c>
      <c r="R168" s="2" t="inlineStr"/>
    </row>
    <row r="169" ht="15" customHeight="1">
      <c r="A169" t="inlineStr">
        <is>
          <t>A 40472-2022</t>
        </is>
      </c>
      <c r="B169" s="1" t="n">
        <v>44823</v>
      </c>
      <c r="C169" s="1" t="n">
        <v>45893</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10086-2022</t>
        </is>
      </c>
      <c r="B170" s="1" t="n">
        <v>44621</v>
      </c>
      <c r="C170" s="1" t="n">
        <v>45893</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65564-2020</t>
        </is>
      </c>
      <c r="B171" s="1" t="n">
        <v>44172</v>
      </c>
      <c r="C171" s="1" t="n">
        <v>45893</v>
      </c>
      <c r="D171" t="inlineStr">
        <is>
          <t>KALMAR LÄN</t>
        </is>
      </c>
      <c r="E171" t="inlineStr">
        <is>
          <t>VIMMERBY</t>
        </is>
      </c>
      <c r="G171" t="n">
        <v>4.1</v>
      </c>
      <c r="H171" t="n">
        <v>0</v>
      </c>
      <c r="I171" t="n">
        <v>0</v>
      </c>
      <c r="J171" t="n">
        <v>0</v>
      </c>
      <c r="K171" t="n">
        <v>0</v>
      </c>
      <c r="L171" t="n">
        <v>0</v>
      </c>
      <c r="M171" t="n">
        <v>0</v>
      </c>
      <c r="N171" t="n">
        <v>0</v>
      </c>
      <c r="O171" t="n">
        <v>0</v>
      </c>
      <c r="P171" t="n">
        <v>0</v>
      </c>
      <c r="Q171" t="n">
        <v>0</v>
      </c>
      <c r="R171" s="2" t="inlineStr"/>
    </row>
    <row r="172" ht="15" customHeight="1">
      <c r="A172" t="inlineStr">
        <is>
          <t>A 35316-2021</t>
        </is>
      </c>
      <c r="B172" s="1" t="n">
        <v>44384</v>
      </c>
      <c r="C172" s="1" t="n">
        <v>45893</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33831-2022</t>
        </is>
      </c>
      <c r="B173" s="1" t="n">
        <v>44790.48503472222</v>
      </c>
      <c r="C173" s="1" t="n">
        <v>45893</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47708-2022</t>
        </is>
      </c>
      <c r="B174" s="1" t="n">
        <v>44854.59157407407</v>
      </c>
      <c r="C174" s="1" t="n">
        <v>45893</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12661-2021</t>
        </is>
      </c>
      <c r="B175" s="1" t="n">
        <v>44270</v>
      </c>
      <c r="C175" s="1" t="n">
        <v>45893</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24999-2021</t>
        </is>
      </c>
      <c r="B176" s="1" t="n">
        <v>44341</v>
      </c>
      <c r="C176" s="1" t="n">
        <v>45893</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40889-2020</t>
        </is>
      </c>
      <c r="B177" s="1" t="n">
        <v>44070</v>
      </c>
      <c r="C177" s="1" t="n">
        <v>45893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7917-2022</t>
        </is>
      </c>
      <c r="B178" s="1" t="n">
        <v>44608</v>
      </c>
      <c r="C178" s="1" t="n">
        <v>45893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45893</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45893</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9918-2022</t>
        </is>
      </c>
      <c r="B181" s="1" t="n">
        <v>44620</v>
      </c>
      <c r="C181" s="1" t="n">
        <v>45893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47208-2021</t>
        </is>
      </c>
      <c r="B182" s="1" t="n">
        <v>44447.34237268518</v>
      </c>
      <c r="C182" s="1" t="n">
        <v>45893</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16705-2021</t>
        </is>
      </c>
      <c r="B183" s="1" t="n">
        <v>44294</v>
      </c>
      <c r="C183" s="1" t="n">
        <v>45893</v>
      </c>
      <c r="D183" t="inlineStr">
        <is>
          <t>KALMAR LÄN</t>
        </is>
      </c>
      <c r="E183" t="inlineStr">
        <is>
          <t>VIMMERBY</t>
        </is>
      </c>
      <c r="G183" t="n">
        <v>2.6</v>
      </c>
      <c r="H183" t="n">
        <v>0</v>
      </c>
      <c r="I183" t="n">
        <v>0</v>
      </c>
      <c r="J183" t="n">
        <v>0</v>
      </c>
      <c r="K183" t="n">
        <v>0</v>
      </c>
      <c r="L183" t="n">
        <v>0</v>
      </c>
      <c r="M183" t="n">
        <v>0</v>
      </c>
      <c r="N183" t="n">
        <v>0</v>
      </c>
      <c r="O183" t="n">
        <v>0</v>
      </c>
      <c r="P183" t="n">
        <v>0</v>
      </c>
      <c r="Q183" t="n">
        <v>0</v>
      </c>
      <c r="R183" s="2" t="inlineStr"/>
    </row>
    <row r="184" ht="15" customHeight="1">
      <c r="A184" t="inlineStr">
        <is>
          <t>A 51977-2020</t>
        </is>
      </c>
      <c r="B184" s="1" t="n">
        <v>44116</v>
      </c>
      <c r="C184" s="1" t="n">
        <v>45893</v>
      </c>
      <c r="D184" t="inlineStr">
        <is>
          <t>KALMAR LÄN</t>
        </is>
      </c>
      <c r="E184" t="inlineStr">
        <is>
          <t>VIMMERBY</t>
        </is>
      </c>
      <c r="G184" t="n">
        <v>1.5</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45893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618-2021</t>
        </is>
      </c>
      <c r="B186" s="1" t="n">
        <v>44203</v>
      </c>
      <c r="C186" s="1" t="n">
        <v>45893</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15191-2021</t>
        </is>
      </c>
      <c r="B187" s="1" t="n">
        <v>44284.42348379629</v>
      </c>
      <c r="C187" s="1" t="n">
        <v>45893</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45050-2020</t>
        </is>
      </c>
      <c r="B188" s="1" t="n">
        <v>44088</v>
      </c>
      <c r="C188" s="1" t="n">
        <v>45893</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45054-2020</t>
        </is>
      </c>
      <c r="B189" s="1" t="n">
        <v>44088</v>
      </c>
      <c r="C189" s="1" t="n">
        <v>45893</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40971-2021</t>
        </is>
      </c>
      <c r="B190" s="1" t="n">
        <v>44421</v>
      </c>
      <c r="C190" s="1" t="n">
        <v>45893</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68744-2020</t>
        </is>
      </c>
      <c r="B191" s="1" t="n">
        <v>44186</v>
      </c>
      <c r="C191" s="1" t="n">
        <v>45893</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13457-2021</t>
        </is>
      </c>
      <c r="B192" s="1" t="n">
        <v>44273</v>
      </c>
      <c r="C192" s="1" t="n">
        <v>45893</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40890-2020</t>
        </is>
      </c>
      <c r="B193" s="1" t="n">
        <v>44070</v>
      </c>
      <c r="C193" s="1" t="n">
        <v>45893</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12241-2021</t>
        </is>
      </c>
      <c r="B194" s="1" t="n">
        <v>44266.7240625</v>
      </c>
      <c r="C194" s="1" t="n">
        <v>45893</v>
      </c>
      <c r="D194" t="inlineStr">
        <is>
          <t>KALMAR LÄN</t>
        </is>
      </c>
      <c r="E194" t="inlineStr">
        <is>
          <t>VIMMERBY</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14278-2021</t>
        </is>
      </c>
      <c r="B195" s="1" t="n">
        <v>44278.63479166666</v>
      </c>
      <c r="C195" s="1" t="n">
        <v>45893</v>
      </c>
      <c r="D195" t="inlineStr">
        <is>
          <t>KALMAR LÄN</t>
        </is>
      </c>
      <c r="E195" t="inlineStr">
        <is>
          <t>VIMMERBY</t>
        </is>
      </c>
      <c r="F195" t="inlineStr">
        <is>
          <t>Övriga statliga verk och myndigheter</t>
        </is>
      </c>
      <c r="G195" t="n">
        <v>0.8</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45893</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12662-2021</t>
        </is>
      </c>
      <c r="B197" s="1" t="n">
        <v>44270.49743055556</v>
      </c>
      <c r="C197" s="1" t="n">
        <v>45893</v>
      </c>
      <c r="D197" t="inlineStr">
        <is>
          <t>KALMAR LÄN</t>
        </is>
      </c>
      <c r="E197" t="inlineStr">
        <is>
          <t>VIMMERBY</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45528-2020</t>
        </is>
      </c>
      <c r="B198" s="1" t="n">
        <v>44089.78633101852</v>
      </c>
      <c r="C198" s="1" t="n">
        <v>45893</v>
      </c>
      <c r="D198" t="inlineStr">
        <is>
          <t>KALMAR LÄN</t>
        </is>
      </c>
      <c r="E198" t="inlineStr">
        <is>
          <t>VIMMERBY</t>
        </is>
      </c>
      <c r="G198" t="n">
        <v>3.8</v>
      </c>
      <c r="H198" t="n">
        <v>0</v>
      </c>
      <c r="I198" t="n">
        <v>0</v>
      </c>
      <c r="J198" t="n">
        <v>0</v>
      </c>
      <c r="K198" t="n">
        <v>0</v>
      </c>
      <c r="L198" t="n">
        <v>0</v>
      </c>
      <c r="M198" t="n">
        <v>0</v>
      </c>
      <c r="N198" t="n">
        <v>0</v>
      </c>
      <c r="O198" t="n">
        <v>0</v>
      </c>
      <c r="P198" t="n">
        <v>0</v>
      </c>
      <c r="Q198" t="n">
        <v>0</v>
      </c>
      <c r="R198" s="2" t="inlineStr"/>
    </row>
    <row r="199" ht="15" customHeight="1">
      <c r="A199" t="inlineStr">
        <is>
          <t>A 8453-2022</t>
        </is>
      </c>
      <c r="B199" s="1" t="n">
        <v>44612.86554398148</v>
      </c>
      <c r="C199" s="1" t="n">
        <v>45893</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52433-2021</t>
        </is>
      </c>
      <c r="B200" s="1" t="n">
        <v>44466.34726851852</v>
      </c>
      <c r="C200" s="1" t="n">
        <v>45893</v>
      </c>
      <c r="D200" t="inlineStr">
        <is>
          <t>KALMAR LÄN</t>
        </is>
      </c>
      <c r="E200" t="inlineStr">
        <is>
          <t>VIMMERBY</t>
        </is>
      </c>
      <c r="G200" t="n">
        <v>3.5</v>
      </c>
      <c r="H200" t="n">
        <v>0</v>
      </c>
      <c r="I200" t="n">
        <v>0</v>
      </c>
      <c r="J200" t="n">
        <v>0</v>
      </c>
      <c r="K200" t="n">
        <v>0</v>
      </c>
      <c r="L200" t="n">
        <v>0</v>
      </c>
      <c r="M200" t="n">
        <v>0</v>
      </c>
      <c r="N200" t="n">
        <v>0</v>
      </c>
      <c r="O200" t="n">
        <v>0</v>
      </c>
      <c r="P200" t="n">
        <v>0</v>
      </c>
      <c r="Q200" t="n">
        <v>0</v>
      </c>
      <c r="R200" s="2" t="inlineStr"/>
    </row>
    <row r="201" ht="15" customHeight="1">
      <c r="A201" t="inlineStr">
        <is>
          <t>A 50621-2022</t>
        </is>
      </c>
      <c r="B201" s="1" t="n">
        <v>44866.81100694444</v>
      </c>
      <c r="C201" s="1" t="n">
        <v>45893</v>
      </c>
      <c r="D201" t="inlineStr">
        <is>
          <t>KALMAR LÄN</t>
        </is>
      </c>
      <c r="E201" t="inlineStr">
        <is>
          <t>VIMMERBY</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54065-2021</t>
        </is>
      </c>
      <c r="B202" s="1" t="n">
        <v>44470.44232638889</v>
      </c>
      <c r="C202" s="1" t="n">
        <v>45893</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32603-2021</t>
        </is>
      </c>
      <c r="B203" s="1" t="n">
        <v>44375.38789351852</v>
      </c>
      <c r="C203" s="1" t="n">
        <v>45893</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31824-2022</t>
        </is>
      </c>
      <c r="B204" s="1" t="n">
        <v>44776</v>
      </c>
      <c r="C204" s="1" t="n">
        <v>45893</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11733-2022</t>
        </is>
      </c>
      <c r="B205" s="1" t="n">
        <v>44634</v>
      </c>
      <c r="C205" s="1" t="n">
        <v>45893</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45893</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23825-2022</t>
        </is>
      </c>
      <c r="B207" s="1" t="n">
        <v>44722.48768518519</v>
      </c>
      <c r="C207" s="1" t="n">
        <v>45893</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14521-2021</t>
        </is>
      </c>
      <c r="B208" s="1" t="n">
        <v>44279.64934027778</v>
      </c>
      <c r="C208" s="1" t="n">
        <v>45893</v>
      </c>
      <c r="D208" t="inlineStr">
        <is>
          <t>KALMAR LÄN</t>
        </is>
      </c>
      <c r="E208" t="inlineStr">
        <is>
          <t>VIMMERBY</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36117-2021</t>
        </is>
      </c>
      <c r="B209" s="1" t="n">
        <v>44386</v>
      </c>
      <c r="C209" s="1" t="n">
        <v>45893</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7804-2022</t>
        </is>
      </c>
      <c r="B210" s="1" t="n">
        <v>44608.50458333334</v>
      </c>
      <c r="C210" s="1" t="n">
        <v>45893</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39042-2022</t>
        </is>
      </c>
      <c r="B211" s="1" t="n">
        <v>44817</v>
      </c>
      <c r="C211" s="1" t="n">
        <v>45893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15533-2022</t>
        </is>
      </c>
      <c r="B212" s="1" t="n">
        <v>44662</v>
      </c>
      <c r="C212" s="1" t="n">
        <v>45893</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46527-2020</t>
        </is>
      </c>
      <c r="B213" s="1" t="n">
        <v>44095</v>
      </c>
      <c r="C213" s="1" t="n">
        <v>45893</v>
      </c>
      <c r="D213" t="inlineStr">
        <is>
          <t>KALMAR LÄN</t>
        </is>
      </c>
      <c r="E213" t="inlineStr">
        <is>
          <t>VIMMERBY</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42521-2021</t>
        </is>
      </c>
      <c r="B214" s="1" t="n">
        <v>44427</v>
      </c>
      <c r="C214" s="1" t="n">
        <v>45893</v>
      </c>
      <c r="D214" t="inlineStr">
        <is>
          <t>KALMAR LÄN</t>
        </is>
      </c>
      <c r="E214" t="inlineStr">
        <is>
          <t>VIMMERBY</t>
        </is>
      </c>
      <c r="G214" t="n">
        <v>5.4</v>
      </c>
      <c r="H214" t="n">
        <v>0</v>
      </c>
      <c r="I214" t="n">
        <v>0</v>
      </c>
      <c r="J214" t="n">
        <v>0</v>
      </c>
      <c r="K214" t="n">
        <v>0</v>
      </c>
      <c r="L214" t="n">
        <v>0</v>
      </c>
      <c r="M214" t="n">
        <v>0</v>
      </c>
      <c r="N214" t="n">
        <v>0</v>
      </c>
      <c r="O214" t="n">
        <v>0</v>
      </c>
      <c r="P214" t="n">
        <v>0</v>
      </c>
      <c r="Q214" t="n">
        <v>0</v>
      </c>
      <c r="R214" s="2" t="inlineStr"/>
    </row>
    <row r="215" ht="15" customHeight="1">
      <c r="A215" t="inlineStr">
        <is>
          <t>A 16288-2021</t>
        </is>
      </c>
      <c r="B215" s="1" t="n">
        <v>44292</v>
      </c>
      <c r="C215" s="1" t="n">
        <v>45893</v>
      </c>
      <c r="D215" t="inlineStr">
        <is>
          <t>KALMAR LÄN</t>
        </is>
      </c>
      <c r="E215" t="inlineStr">
        <is>
          <t>VIMMERBY</t>
        </is>
      </c>
      <c r="F215" t="inlineStr">
        <is>
          <t>Övriga Aktiebolag</t>
        </is>
      </c>
      <c r="G215" t="n">
        <v>27.6</v>
      </c>
      <c r="H215" t="n">
        <v>0</v>
      </c>
      <c r="I215" t="n">
        <v>0</v>
      </c>
      <c r="J215" t="n">
        <v>0</v>
      </c>
      <c r="K215" t="n">
        <v>0</v>
      </c>
      <c r="L215" t="n">
        <v>0</v>
      </c>
      <c r="M215" t="n">
        <v>0</v>
      </c>
      <c r="N215" t="n">
        <v>0</v>
      </c>
      <c r="O215" t="n">
        <v>0</v>
      </c>
      <c r="P215" t="n">
        <v>0</v>
      </c>
      <c r="Q215" t="n">
        <v>0</v>
      </c>
      <c r="R215" s="2" t="inlineStr"/>
    </row>
    <row r="216" ht="15" customHeight="1">
      <c r="A216" t="inlineStr">
        <is>
          <t>A 4076-2022</t>
        </is>
      </c>
      <c r="B216" s="1" t="n">
        <v>44588.37998842593</v>
      </c>
      <c r="C216" s="1" t="n">
        <v>45893</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4122-2022</t>
        </is>
      </c>
      <c r="B217" s="1" t="n">
        <v>44588</v>
      </c>
      <c r="C217" s="1" t="n">
        <v>45893</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38198-2024</t>
        </is>
      </c>
      <c r="B218" s="1" t="n">
        <v>45545.49508101852</v>
      </c>
      <c r="C218" s="1" t="n">
        <v>45893</v>
      </c>
      <c r="D218" t="inlineStr">
        <is>
          <t>KALMAR LÄN</t>
        </is>
      </c>
      <c r="E218" t="inlineStr">
        <is>
          <t>VIMMERBY</t>
        </is>
      </c>
      <c r="G218" t="n">
        <v>7.9</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45893</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9623-2024</t>
        </is>
      </c>
      <c r="B220" s="1" t="n">
        <v>45361.87975694444</v>
      </c>
      <c r="C220" s="1" t="n">
        <v>45893</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58374-2024</t>
        </is>
      </c>
      <c r="B221" s="1" t="n">
        <v>45632.72635416667</v>
      </c>
      <c r="C221" s="1" t="n">
        <v>45893</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31013-2023</t>
        </is>
      </c>
      <c r="B222" s="1" t="n">
        <v>45113.56574074074</v>
      </c>
      <c r="C222" s="1" t="n">
        <v>45893</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58967-2022</t>
        </is>
      </c>
      <c r="B223" s="1" t="n">
        <v>44896</v>
      </c>
      <c r="C223" s="1" t="n">
        <v>45893</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72067-2021</t>
        </is>
      </c>
      <c r="B224" s="1" t="n">
        <v>44540</v>
      </c>
      <c r="C224" s="1" t="n">
        <v>45893</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61538-2022</t>
        </is>
      </c>
      <c r="B225" s="1" t="n">
        <v>44916.55414351852</v>
      </c>
      <c r="C225" s="1" t="n">
        <v>45893</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45893</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15200-2021</t>
        </is>
      </c>
      <c r="B227" s="1" t="n">
        <v>44284.44574074074</v>
      </c>
      <c r="C227" s="1" t="n">
        <v>45893</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6399-2025</t>
        </is>
      </c>
      <c r="B228" s="1" t="n">
        <v>45699.44291666667</v>
      </c>
      <c r="C228" s="1" t="n">
        <v>45893</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30402-2023</t>
        </is>
      </c>
      <c r="B229" s="1" t="n">
        <v>45111.48395833333</v>
      </c>
      <c r="C229" s="1" t="n">
        <v>45893</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31355-2023</t>
        </is>
      </c>
      <c r="B230" s="1" t="n">
        <v>45114.49505787037</v>
      </c>
      <c r="C230" s="1" t="n">
        <v>45893</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66295-2020</t>
        </is>
      </c>
      <c r="B231" s="1" t="n">
        <v>44176</v>
      </c>
      <c r="C231" s="1" t="n">
        <v>45893</v>
      </c>
      <c r="D231" t="inlineStr">
        <is>
          <t>KALMAR LÄN</t>
        </is>
      </c>
      <c r="E231" t="inlineStr">
        <is>
          <t>VIMMERBY</t>
        </is>
      </c>
      <c r="G231" t="n">
        <v>4.1</v>
      </c>
      <c r="H231" t="n">
        <v>0</v>
      </c>
      <c r="I231" t="n">
        <v>0</v>
      </c>
      <c r="J231" t="n">
        <v>0</v>
      </c>
      <c r="K231" t="n">
        <v>0</v>
      </c>
      <c r="L231" t="n">
        <v>0</v>
      </c>
      <c r="M231" t="n">
        <v>0</v>
      </c>
      <c r="N231" t="n">
        <v>0</v>
      </c>
      <c r="O231" t="n">
        <v>0</v>
      </c>
      <c r="P231" t="n">
        <v>0</v>
      </c>
      <c r="Q231" t="n">
        <v>0</v>
      </c>
      <c r="R231" s="2" t="inlineStr"/>
    </row>
    <row r="232" ht="15" customHeight="1">
      <c r="A232" t="inlineStr">
        <is>
          <t>A 30400-2023</t>
        </is>
      </c>
      <c r="B232" s="1" t="n">
        <v>45111.48225694444</v>
      </c>
      <c r="C232" s="1" t="n">
        <v>45893</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30404-2023</t>
        </is>
      </c>
      <c r="B233" s="1" t="n">
        <v>45111.48636574074</v>
      </c>
      <c r="C233" s="1" t="n">
        <v>45893</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12107-2022</t>
        </is>
      </c>
      <c r="B234" s="1" t="n">
        <v>44636</v>
      </c>
      <c r="C234" s="1" t="n">
        <v>45893</v>
      </c>
      <c r="D234" t="inlineStr">
        <is>
          <t>KALMAR LÄN</t>
        </is>
      </c>
      <c r="E234" t="inlineStr">
        <is>
          <t>VIMMERBY</t>
        </is>
      </c>
      <c r="G234" t="n">
        <v>1.8</v>
      </c>
      <c r="H234" t="n">
        <v>0</v>
      </c>
      <c r="I234" t="n">
        <v>0</v>
      </c>
      <c r="J234" t="n">
        <v>0</v>
      </c>
      <c r="K234" t="n">
        <v>0</v>
      </c>
      <c r="L234" t="n">
        <v>0</v>
      </c>
      <c r="M234" t="n">
        <v>0</v>
      </c>
      <c r="N234" t="n">
        <v>0</v>
      </c>
      <c r="O234" t="n">
        <v>0</v>
      </c>
      <c r="P234" t="n">
        <v>0</v>
      </c>
      <c r="Q234" t="n">
        <v>0</v>
      </c>
      <c r="R234" s="2" t="inlineStr"/>
    </row>
    <row r="235" ht="15" customHeight="1">
      <c r="A235" t="inlineStr">
        <is>
          <t>A 27705-2023</t>
        </is>
      </c>
      <c r="B235" s="1" t="n">
        <v>45098.30535879629</v>
      </c>
      <c r="C235" s="1" t="n">
        <v>45893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36155-2023</t>
        </is>
      </c>
      <c r="B236" s="1" t="n">
        <v>45149.60917824074</v>
      </c>
      <c r="C236" s="1" t="n">
        <v>45893</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29173-2024</t>
        </is>
      </c>
      <c r="B237" s="1" t="n">
        <v>45482.52887731481</v>
      </c>
      <c r="C237" s="1" t="n">
        <v>45893</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39225-2022</t>
        </is>
      </c>
      <c r="B238" s="1" t="n">
        <v>44817.57988425926</v>
      </c>
      <c r="C238" s="1" t="n">
        <v>45893</v>
      </c>
      <c r="D238" t="inlineStr">
        <is>
          <t>KALMAR LÄN</t>
        </is>
      </c>
      <c r="E238" t="inlineStr">
        <is>
          <t>VIMMERBY</t>
        </is>
      </c>
      <c r="G238" t="n">
        <v>2.2</v>
      </c>
      <c r="H238" t="n">
        <v>0</v>
      </c>
      <c r="I238" t="n">
        <v>0</v>
      </c>
      <c r="J238" t="n">
        <v>0</v>
      </c>
      <c r="K238" t="n">
        <v>0</v>
      </c>
      <c r="L238" t="n">
        <v>0</v>
      </c>
      <c r="M238" t="n">
        <v>0</v>
      </c>
      <c r="N238" t="n">
        <v>0</v>
      </c>
      <c r="O238" t="n">
        <v>0</v>
      </c>
      <c r="P238" t="n">
        <v>0</v>
      </c>
      <c r="Q238" t="n">
        <v>0</v>
      </c>
      <c r="R238" s="2" t="inlineStr"/>
    </row>
    <row r="239" ht="15" customHeight="1">
      <c r="A239" t="inlineStr">
        <is>
          <t>A 53542-2022</t>
        </is>
      </c>
      <c r="B239" s="1" t="n">
        <v>44879.62173611111</v>
      </c>
      <c r="C239" s="1" t="n">
        <v>45893</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11609-2023</t>
        </is>
      </c>
      <c r="B240" s="1" t="n">
        <v>44994.40635416667</v>
      </c>
      <c r="C240" s="1" t="n">
        <v>45893</v>
      </c>
      <c r="D240" t="inlineStr">
        <is>
          <t>KALMAR LÄN</t>
        </is>
      </c>
      <c r="E240" t="inlineStr">
        <is>
          <t>VIMMERBY</t>
        </is>
      </c>
      <c r="G240" t="n">
        <v>4.9</v>
      </c>
      <c r="H240" t="n">
        <v>0</v>
      </c>
      <c r="I240" t="n">
        <v>0</v>
      </c>
      <c r="J240" t="n">
        <v>0</v>
      </c>
      <c r="K240" t="n">
        <v>0</v>
      </c>
      <c r="L240" t="n">
        <v>0</v>
      </c>
      <c r="M240" t="n">
        <v>0</v>
      </c>
      <c r="N240" t="n">
        <v>0</v>
      </c>
      <c r="O240" t="n">
        <v>0</v>
      </c>
      <c r="P240" t="n">
        <v>0</v>
      </c>
      <c r="Q240" t="n">
        <v>0</v>
      </c>
      <c r="R240" s="2" t="inlineStr"/>
    </row>
    <row r="241" ht="15" customHeight="1">
      <c r="A241" t="inlineStr">
        <is>
          <t>A 65961-2020</t>
        </is>
      </c>
      <c r="B241" s="1" t="n">
        <v>44175.39748842592</v>
      </c>
      <c r="C241" s="1" t="n">
        <v>45893</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16983-2023</t>
        </is>
      </c>
      <c r="B242" s="1" t="n">
        <v>45033.76043981482</v>
      </c>
      <c r="C242" s="1" t="n">
        <v>45893</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46144-2023</t>
        </is>
      </c>
      <c r="B243" s="1" t="n">
        <v>45196.57247685185</v>
      </c>
      <c r="C243" s="1" t="n">
        <v>45893</v>
      </c>
      <c r="D243" t="inlineStr">
        <is>
          <t>KALMAR LÄN</t>
        </is>
      </c>
      <c r="E243" t="inlineStr">
        <is>
          <t>VIMMERBY</t>
        </is>
      </c>
      <c r="G243" t="n">
        <v>6.5</v>
      </c>
      <c r="H243" t="n">
        <v>0</v>
      </c>
      <c r="I243" t="n">
        <v>0</v>
      </c>
      <c r="J243" t="n">
        <v>0</v>
      </c>
      <c r="K243" t="n">
        <v>0</v>
      </c>
      <c r="L243" t="n">
        <v>0</v>
      </c>
      <c r="M243" t="n">
        <v>0</v>
      </c>
      <c r="N243" t="n">
        <v>0</v>
      </c>
      <c r="O243" t="n">
        <v>0</v>
      </c>
      <c r="P243" t="n">
        <v>0</v>
      </c>
      <c r="Q243" t="n">
        <v>0</v>
      </c>
      <c r="R243" s="2" t="inlineStr"/>
    </row>
    <row r="244" ht="15" customHeight="1">
      <c r="A244" t="inlineStr">
        <is>
          <t>A 1206-2025</t>
        </is>
      </c>
      <c r="B244" s="1" t="n">
        <v>45667.39670138889</v>
      </c>
      <c r="C244" s="1" t="n">
        <v>45893</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7627-2025</t>
        </is>
      </c>
      <c r="B245" s="1" t="n">
        <v>45705.73300925926</v>
      </c>
      <c r="C245" s="1" t="n">
        <v>45893</v>
      </c>
      <c r="D245" t="inlineStr">
        <is>
          <t>KALMAR LÄN</t>
        </is>
      </c>
      <c r="E245" t="inlineStr">
        <is>
          <t>VIMMERBY</t>
        </is>
      </c>
      <c r="G245" t="n">
        <v>2.1</v>
      </c>
      <c r="H245" t="n">
        <v>0</v>
      </c>
      <c r="I245" t="n">
        <v>0</v>
      </c>
      <c r="J245" t="n">
        <v>0</v>
      </c>
      <c r="K245" t="n">
        <v>0</v>
      </c>
      <c r="L245" t="n">
        <v>0</v>
      </c>
      <c r="M245" t="n">
        <v>0</v>
      </c>
      <c r="N245" t="n">
        <v>0</v>
      </c>
      <c r="O245" t="n">
        <v>0</v>
      </c>
      <c r="P245" t="n">
        <v>0</v>
      </c>
      <c r="Q245" t="n">
        <v>0</v>
      </c>
      <c r="R245" s="2" t="inlineStr"/>
    </row>
    <row r="246" ht="15" customHeight="1">
      <c r="A246" t="inlineStr">
        <is>
          <t>A 36843-2023</t>
        </is>
      </c>
      <c r="B246" s="1" t="n">
        <v>45154.49831018518</v>
      </c>
      <c r="C246" s="1" t="n">
        <v>45893</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45893</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10785-2025</t>
        </is>
      </c>
      <c r="B248" s="1" t="n">
        <v>45722.48634259259</v>
      </c>
      <c r="C248" s="1" t="n">
        <v>45893</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29017-2024</t>
        </is>
      </c>
      <c r="B249" s="1" t="n">
        <v>45481.56722222222</v>
      </c>
      <c r="C249" s="1" t="n">
        <v>45893</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7047-2022</t>
        </is>
      </c>
      <c r="B250" s="1" t="n">
        <v>44603</v>
      </c>
      <c r="C250" s="1" t="n">
        <v>45893</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23263-2024</t>
        </is>
      </c>
      <c r="B251" s="1" t="n">
        <v>45453.36854166666</v>
      </c>
      <c r="C251" s="1" t="n">
        <v>45893</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11074-2023</t>
        </is>
      </c>
      <c r="B252" s="1" t="n">
        <v>44992.34151620371</v>
      </c>
      <c r="C252" s="1" t="n">
        <v>45893</v>
      </c>
      <c r="D252" t="inlineStr">
        <is>
          <t>KALMAR LÄN</t>
        </is>
      </c>
      <c r="E252" t="inlineStr">
        <is>
          <t>VIMMERBY</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35711-2023</t>
        </is>
      </c>
      <c r="B253" s="1" t="n">
        <v>45147.67172453704</v>
      </c>
      <c r="C253" s="1" t="n">
        <v>45893</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61939-2021</t>
        </is>
      </c>
      <c r="B254" s="1" t="n">
        <v>44502</v>
      </c>
      <c r="C254" s="1" t="n">
        <v>45893</v>
      </c>
      <c r="D254" t="inlineStr">
        <is>
          <t>KALMAR LÄN</t>
        </is>
      </c>
      <c r="E254" t="inlineStr">
        <is>
          <t>VIMMERBY</t>
        </is>
      </c>
      <c r="G254" t="n">
        <v>2.7</v>
      </c>
      <c r="H254" t="n">
        <v>0</v>
      </c>
      <c r="I254" t="n">
        <v>0</v>
      </c>
      <c r="J254" t="n">
        <v>0</v>
      </c>
      <c r="K254" t="n">
        <v>0</v>
      </c>
      <c r="L254" t="n">
        <v>0</v>
      </c>
      <c r="M254" t="n">
        <v>0</v>
      </c>
      <c r="N254" t="n">
        <v>0</v>
      </c>
      <c r="O254" t="n">
        <v>0</v>
      </c>
      <c r="P254" t="n">
        <v>0</v>
      </c>
      <c r="Q254" t="n">
        <v>0</v>
      </c>
      <c r="R254" s="2" t="inlineStr"/>
    </row>
    <row r="255" ht="15" customHeight="1">
      <c r="A255" t="inlineStr">
        <is>
          <t>A 5382-2023</t>
        </is>
      </c>
      <c r="B255" s="1" t="n">
        <v>44959.66407407408</v>
      </c>
      <c r="C255" s="1" t="n">
        <v>45893</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45893</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11303-2025</t>
        </is>
      </c>
      <c r="B257" s="1" t="n">
        <v>45726.44471064815</v>
      </c>
      <c r="C257" s="1" t="n">
        <v>45893</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31382-2023</t>
        </is>
      </c>
      <c r="B258" s="1" t="n">
        <v>45114.55136574074</v>
      </c>
      <c r="C258" s="1" t="n">
        <v>45893</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56213-2024</t>
        </is>
      </c>
      <c r="B259" s="1" t="n">
        <v>45624.60141203704</v>
      </c>
      <c r="C259" s="1" t="n">
        <v>45893</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54409-2024</t>
        </is>
      </c>
      <c r="B260" s="1" t="n">
        <v>45617.47570601852</v>
      </c>
      <c r="C260" s="1" t="n">
        <v>45893</v>
      </c>
      <c r="D260" t="inlineStr">
        <is>
          <t>KALMAR LÄN</t>
        </is>
      </c>
      <c r="E260" t="inlineStr">
        <is>
          <t>VIMMERBY</t>
        </is>
      </c>
      <c r="G260" t="n">
        <v>4.3</v>
      </c>
      <c r="H260" t="n">
        <v>0</v>
      </c>
      <c r="I260" t="n">
        <v>0</v>
      </c>
      <c r="J260" t="n">
        <v>0</v>
      </c>
      <c r="K260" t="n">
        <v>0</v>
      </c>
      <c r="L260" t="n">
        <v>0</v>
      </c>
      <c r="M260" t="n">
        <v>0</v>
      </c>
      <c r="N260" t="n">
        <v>0</v>
      </c>
      <c r="O260" t="n">
        <v>0</v>
      </c>
      <c r="P260" t="n">
        <v>0</v>
      </c>
      <c r="Q260" t="n">
        <v>0</v>
      </c>
      <c r="R260" s="2" t="inlineStr"/>
    </row>
    <row r="261" ht="15" customHeight="1">
      <c r="A261" t="inlineStr">
        <is>
          <t>A 40823-2023</t>
        </is>
      </c>
      <c r="B261" s="1" t="n">
        <v>45171.77335648148</v>
      </c>
      <c r="C261" s="1" t="n">
        <v>45893</v>
      </c>
      <c r="D261" t="inlineStr">
        <is>
          <t>KALMAR LÄN</t>
        </is>
      </c>
      <c r="E261" t="inlineStr">
        <is>
          <t>VIMMERBY</t>
        </is>
      </c>
      <c r="G261" t="n">
        <v>2.7</v>
      </c>
      <c r="H261" t="n">
        <v>0</v>
      </c>
      <c r="I261" t="n">
        <v>0</v>
      </c>
      <c r="J261" t="n">
        <v>0</v>
      </c>
      <c r="K261" t="n">
        <v>0</v>
      </c>
      <c r="L261" t="n">
        <v>0</v>
      </c>
      <c r="M261" t="n">
        <v>0</v>
      </c>
      <c r="N261" t="n">
        <v>0</v>
      </c>
      <c r="O261" t="n">
        <v>0</v>
      </c>
      <c r="P261" t="n">
        <v>0</v>
      </c>
      <c r="Q261" t="n">
        <v>0</v>
      </c>
      <c r="R261" s="2" t="inlineStr"/>
    </row>
    <row r="262" ht="15" customHeight="1">
      <c r="A262" t="inlineStr">
        <is>
          <t>A 6218-2025</t>
        </is>
      </c>
      <c r="B262" s="1" t="n">
        <v>45698.53336805556</v>
      </c>
      <c r="C262" s="1" t="n">
        <v>45893</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12033-2024</t>
        </is>
      </c>
      <c r="B263" s="1" t="n">
        <v>45377.40043981482</v>
      </c>
      <c r="C263" s="1" t="n">
        <v>45893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51408-2023</t>
        </is>
      </c>
      <c r="B264" s="1" t="n">
        <v>45219.69356481481</v>
      </c>
      <c r="C264" s="1" t="n">
        <v>45893</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16825-2024</t>
        </is>
      </c>
      <c r="B265" s="1" t="n">
        <v>45411.47335648148</v>
      </c>
      <c r="C265" s="1" t="n">
        <v>45893</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7643-2022</t>
        </is>
      </c>
      <c r="B266" s="1" t="n">
        <v>44607</v>
      </c>
      <c r="C266" s="1" t="n">
        <v>45893</v>
      </c>
      <c r="D266" t="inlineStr">
        <is>
          <t>KALMAR LÄN</t>
        </is>
      </c>
      <c r="E266" t="inlineStr">
        <is>
          <t>VIMMERBY</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49488-2023</t>
        </is>
      </c>
      <c r="B267" s="1" t="n">
        <v>45211.55472222222</v>
      </c>
      <c r="C267" s="1" t="n">
        <v>45893</v>
      </c>
      <c r="D267" t="inlineStr">
        <is>
          <t>KALMAR LÄN</t>
        </is>
      </c>
      <c r="E267" t="inlineStr">
        <is>
          <t>VIMMERBY</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30920-2023</t>
        </is>
      </c>
      <c r="B268" s="1" t="n">
        <v>45113.43921296296</v>
      </c>
      <c r="C268" s="1" t="n">
        <v>45893</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11027-2023</t>
        </is>
      </c>
      <c r="B269" s="1" t="n">
        <v>44991.89657407408</v>
      </c>
      <c r="C269" s="1" t="n">
        <v>45893</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53483-2022</t>
        </is>
      </c>
      <c r="B270" s="1" t="n">
        <v>44879.55940972222</v>
      </c>
      <c r="C270" s="1" t="n">
        <v>45893</v>
      </c>
      <c r="D270" t="inlineStr">
        <is>
          <t>KALMAR LÄN</t>
        </is>
      </c>
      <c r="E270" t="inlineStr">
        <is>
          <t>VIMMERBY</t>
        </is>
      </c>
      <c r="G270" t="n">
        <v>1.4</v>
      </c>
      <c r="H270" t="n">
        <v>0</v>
      </c>
      <c r="I270" t="n">
        <v>0</v>
      </c>
      <c r="J270" t="n">
        <v>0</v>
      </c>
      <c r="K270" t="n">
        <v>0</v>
      </c>
      <c r="L270" t="n">
        <v>0</v>
      </c>
      <c r="M270" t="n">
        <v>0</v>
      </c>
      <c r="N270" t="n">
        <v>0</v>
      </c>
      <c r="O270" t="n">
        <v>0</v>
      </c>
      <c r="P270" t="n">
        <v>0</v>
      </c>
      <c r="Q270" t="n">
        <v>0</v>
      </c>
      <c r="R270" s="2" t="inlineStr"/>
    </row>
    <row r="271" ht="15" customHeight="1">
      <c r="A271" t="inlineStr">
        <is>
          <t>A 18899-2025</t>
        </is>
      </c>
      <c r="B271" s="1" t="n">
        <v>45764.44931712963</v>
      </c>
      <c r="C271" s="1" t="n">
        <v>45893</v>
      </c>
      <c r="D271" t="inlineStr">
        <is>
          <t>KALMAR LÄN</t>
        </is>
      </c>
      <c r="E271" t="inlineStr">
        <is>
          <t>VIMMERBY</t>
        </is>
      </c>
      <c r="F271" t="inlineStr">
        <is>
          <t>Kommuner</t>
        </is>
      </c>
      <c r="G271" t="n">
        <v>4</v>
      </c>
      <c r="H271" t="n">
        <v>0</v>
      </c>
      <c r="I271" t="n">
        <v>0</v>
      </c>
      <c r="J271" t="n">
        <v>0</v>
      </c>
      <c r="K271" t="n">
        <v>0</v>
      </c>
      <c r="L271" t="n">
        <v>0</v>
      </c>
      <c r="M271" t="n">
        <v>0</v>
      </c>
      <c r="N271" t="n">
        <v>0</v>
      </c>
      <c r="O271" t="n">
        <v>0</v>
      </c>
      <c r="P271" t="n">
        <v>0</v>
      </c>
      <c r="Q271" t="n">
        <v>0</v>
      </c>
      <c r="R271" s="2" t="inlineStr"/>
    </row>
    <row r="272" ht="15" customHeight="1">
      <c r="A272" t="inlineStr">
        <is>
          <t>A 20054-2023</t>
        </is>
      </c>
      <c r="B272" s="1" t="n">
        <v>45054.6750462963</v>
      </c>
      <c r="C272" s="1" t="n">
        <v>45893</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6857-2023</t>
        </is>
      </c>
      <c r="B273" s="1" t="n">
        <v>44967.45122685185</v>
      </c>
      <c r="C273" s="1" t="n">
        <v>45893</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58962-2022</t>
        </is>
      </c>
      <c r="B274" s="1" t="n">
        <v>44903</v>
      </c>
      <c r="C274" s="1" t="n">
        <v>45893</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8410-2023</t>
        </is>
      </c>
      <c r="B275" s="1" t="n">
        <v>44977</v>
      </c>
      <c r="C275" s="1" t="n">
        <v>45893</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10837-2023</t>
        </is>
      </c>
      <c r="B276" s="1" t="n">
        <v>44991.30547453704</v>
      </c>
      <c r="C276" s="1" t="n">
        <v>45893</v>
      </c>
      <c r="D276" t="inlineStr">
        <is>
          <t>KALMAR LÄN</t>
        </is>
      </c>
      <c r="E276" t="inlineStr">
        <is>
          <t>VIMMERBY</t>
        </is>
      </c>
      <c r="G276" t="n">
        <v>7.3</v>
      </c>
      <c r="H276" t="n">
        <v>0</v>
      </c>
      <c r="I276" t="n">
        <v>0</v>
      </c>
      <c r="J276" t="n">
        <v>0</v>
      </c>
      <c r="K276" t="n">
        <v>0</v>
      </c>
      <c r="L276" t="n">
        <v>0</v>
      </c>
      <c r="M276" t="n">
        <v>0</v>
      </c>
      <c r="N276" t="n">
        <v>0</v>
      </c>
      <c r="O276" t="n">
        <v>0</v>
      </c>
      <c r="P276" t="n">
        <v>0</v>
      </c>
      <c r="Q276" t="n">
        <v>0</v>
      </c>
      <c r="R276" s="2" t="inlineStr"/>
    </row>
    <row r="277" ht="15" customHeight="1">
      <c r="A277" t="inlineStr">
        <is>
          <t>A 10838-2023</t>
        </is>
      </c>
      <c r="B277" s="1" t="n">
        <v>44991</v>
      </c>
      <c r="C277" s="1" t="n">
        <v>45893</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30920-2024</t>
        </is>
      </c>
      <c r="B278" s="1" t="n">
        <v>45498.673125</v>
      </c>
      <c r="C278" s="1" t="n">
        <v>45893</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5792-2023</t>
        </is>
      </c>
      <c r="B279" s="1" t="n">
        <v>44963.44769675926</v>
      </c>
      <c r="C279" s="1" t="n">
        <v>45893</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10303-2025</t>
        </is>
      </c>
      <c r="B280" s="1" t="n">
        <v>45720.44217592593</v>
      </c>
      <c r="C280" s="1" t="n">
        <v>45893</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60110-2022</t>
        </is>
      </c>
      <c r="B281" s="1" t="n">
        <v>44909</v>
      </c>
      <c r="C281" s="1" t="n">
        <v>45893</v>
      </c>
      <c r="D281" t="inlineStr">
        <is>
          <t>KALMAR LÄN</t>
        </is>
      </c>
      <c r="E281" t="inlineStr">
        <is>
          <t>VIMMERBY</t>
        </is>
      </c>
      <c r="G281" t="n">
        <v>1.7</v>
      </c>
      <c r="H281" t="n">
        <v>0</v>
      </c>
      <c r="I281" t="n">
        <v>0</v>
      </c>
      <c r="J281" t="n">
        <v>0</v>
      </c>
      <c r="K281" t="n">
        <v>0</v>
      </c>
      <c r="L281" t="n">
        <v>0</v>
      </c>
      <c r="M281" t="n">
        <v>0</v>
      </c>
      <c r="N281" t="n">
        <v>0</v>
      </c>
      <c r="O281" t="n">
        <v>0</v>
      </c>
      <c r="P281" t="n">
        <v>0</v>
      </c>
      <c r="Q281" t="n">
        <v>0</v>
      </c>
      <c r="R281" s="2" t="inlineStr"/>
    </row>
    <row r="282" ht="15" customHeight="1">
      <c r="A282" t="inlineStr">
        <is>
          <t>A 40929-2022</t>
        </is>
      </c>
      <c r="B282" s="1" t="n">
        <v>44825.4336574074</v>
      </c>
      <c r="C282" s="1" t="n">
        <v>45893</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50091-2023</t>
        </is>
      </c>
      <c r="B283" s="1" t="n">
        <v>45215.60199074074</v>
      </c>
      <c r="C283" s="1" t="n">
        <v>45893</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15394-2025</t>
        </is>
      </c>
      <c r="B284" s="1" t="n">
        <v>45747.43196759259</v>
      </c>
      <c r="C284" s="1" t="n">
        <v>45893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36008-2024</t>
        </is>
      </c>
      <c r="B285" s="1" t="n">
        <v>45533.55362268518</v>
      </c>
      <c r="C285" s="1" t="n">
        <v>45893</v>
      </c>
      <c r="D285" t="inlineStr">
        <is>
          <t>KALMAR LÄN</t>
        </is>
      </c>
      <c r="E285" t="inlineStr">
        <is>
          <t>VIMMERBY</t>
        </is>
      </c>
      <c r="G285" t="n">
        <v>3.7</v>
      </c>
      <c r="H285" t="n">
        <v>0</v>
      </c>
      <c r="I285" t="n">
        <v>0</v>
      </c>
      <c r="J285" t="n">
        <v>0</v>
      </c>
      <c r="K285" t="n">
        <v>0</v>
      </c>
      <c r="L285" t="n">
        <v>0</v>
      </c>
      <c r="M285" t="n">
        <v>0</v>
      </c>
      <c r="N285" t="n">
        <v>0</v>
      </c>
      <c r="O285" t="n">
        <v>0</v>
      </c>
      <c r="P285" t="n">
        <v>0</v>
      </c>
      <c r="Q285" t="n">
        <v>0</v>
      </c>
      <c r="R285" s="2" t="inlineStr"/>
    </row>
    <row r="286" ht="15" customHeight="1">
      <c r="A286" t="inlineStr">
        <is>
          <t>A 15388-2025</t>
        </is>
      </c>
      <c r="B286" s="1" t="n">
        <v>45747.42633101852</v>
      </c>
      <c r="C286" s="1" t="n">
        <v>45893</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15391-2025</t>
        </is>
      </c>
      <c r="B287" s="1" t="n">
        <v>45747.42958333333</v>
      </c>
      <c r="C287" s="1" t="n">
        <v>45893</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6474-2025</t>
        </is>
      </c>
      <c r="B288" s="1" t="n">
        <v>45699.60055555555</v>
      </c>
      <c r="C288" s="1" t="n">
        <v>45893</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32919-2022</t>
        </is>
      </c>
      <c r="B289" s="1" t="n">
        <v>44784.62724537037</v>
      </c>
      <c r="C289" s="1" t="n">
        <v>45893</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16622-2025</t>
        </is>
      </c>
      <c r="B290" s="1" t="n">
        <v>45754.33641203704</v>
      </c>
      <c r="C290" s="1" t="n">
        <v>45893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17511-2024</t>
        </is>
      </c>
      <c r="B291" s="1" t="n">
        <v>45415.57682870371</v>
      </c>
      <c r="C291" s="1" t="n">
        <v>45893</v>
      </c>
      <c r="D291" t="inlineStr">
        <is>
          <t>KALMAR LÄN</t>
        </is>
      </c>
      <c r="E291" t="inlineStr">
        <is>
          <t>VIMMERBY</t>
        </is>
      </c>
      <c r="G291" t="n">
        <v>5.3</v>
      </c>
      <c r="H291" t="n">
        <v>0</v>
      </c>
      <c r="I291" t="n">
        <v>0</v>
      </c>
      <c r="J291" t="n">
        <v>0</v>
      </c>
      <c r="K291" t="n">
        <v>0</v>
      </c>
      <c r="L291" t="n">
        <v>0</v>
      </c>
      <c r="M291" t="n">
        <v>0</v>
      </c>
      <c r="N291" t="n">
        <v>0</v>
      </c>
      <c r="O291" t="n">
        <v>0</v>
      </c>
      <c r="P291" t="n">
        <v>0</v>
      </c>
      <c r="Q291" t="n">
        <v>0</v>
      </c>
      <c r="R291" s="2" t="inlineStr"/>
    </row>
    <row r="292" ht="15" customHeight="1">
      <c r="A292" t="inlineStr">
        <is>
          <t>A 43705-2023</t>
        </is>
      </c>
      <c r="B292" s="1" t="n">
        <v>45187.42854166667</v>
      </c>
      <c r="C292" s="1" t="n">
        <v>45893</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13290-2025</t>
        </is>
      </c>
      <c r="B293" s="1" t="n">
        <v>45735.56751157407</v>
      </c>
      <c r="C293" s="1" t="n">
        <v>45893</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19162-2023</t>
        </is>
      </c>
      <c r="B294" s="1" t="n">
        <v>45048.59699074074</v>
      </c>
      <c r="C294" s="1" t="n">
        <v>45893</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55300-2021</t>
        </is>
      </c>
      <c r="B295" s="1" t="n">
        <v>44475</v>
      </c>
      <c r="C295" s="1" t="n">
        <v>45893</v>
      </c>
      <c r="D295" t="inlineStr">
        <is>
          <t>KALMAR LÄN</t>
        </is>
      </c>
      <c r="E295" t="inlineStr">
        <is>
          <t>VIMMERBY</t>
        </is>
      </c>
      <c r="G295" t="n">
        <v>3.4</v>
      </c>
      <c r="H295" t="n">
        <v>0</v>
      </c>
      <c r="I295" t="n">
        <v>0</v>
      </c>
      <c r="J295" t="n">
        <v>0</v>
      </c>
      <c r="K295" t="n">
        <v>0</v>
      </c>
      <c r="L295" t="n">
        <v>0</v>
      </c>
      <c r="M295" t="n">
        <v>0</v>
      </c>
      <c r="N295" t="n">
        <v>0</v>
      </c>
      <c r="O295" t="n">
        <v>0</v>
      </c>
      <c r="P295" t="n">
        <v>0</v>
      </c>
      <c r="Q295" t="n">
        <v>0</v>
      </c>
      <c r="R295" s="2" t="inlineStr"/>
    </row>
    <row r="296" ht="15" customHeight="1">
      <c r="A296" t="inlineStr">
        <is>
          <t>A 9475-2023</t>
        </is>
      </c>
      <c r="B296" s="1" t="n">
        <v>44981.58834490741</v>
      </c>
      <c r="C296" s="1" t="n">
        <v>45893</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44179-2022</t>
        </is>
      </c>
      <c r="B297" s="1" t="n">
        <v>44839.4528125</v>
      </c>
      <c r="C297" s="1" t="n">
        <v>45893</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18022-2025</t>
        </is>
      </c>
      <c r="B298" s="1" t="n">
        <v>45761.44584490741</v>
      </c>
      <c r="C298" s="1" t="n">
        <v>45893</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11946-2025</t>
        </is>
      </c>
      <c r="B299" s="1" t="n">
        <v>45728.54832175926</v>
      </c>
      <c r="C299" s="1" t="n">
        <v>45893</v>
      </c>
      <c r="D299" t="inlineStr">
        <is>
          <t>KALMAR LÄN</t>
        </is>
      </c>
      <c r="E299" t="inlineStr">
        <is>
          <t>VIMMERBY</t>
        </is>
      </c>
      <c r="G299" t="n">
        <v>0.4</v>
      </c>
      <c r="H299" t="n">
        <v>0</v>
      </c>
      <c r="I299" t="n">
        <v>0</v>
      </c>
      <c r="J299" t="n">
        <v>0</v>
      </c>
      <c r="K299" t="n">
        <v>0</v>
      </c>
      <c r="L299" t="n">
        <v>0</v>
      </c>
      <c r="M299" t="n">
        <v>0</v>
      </c>
      <c r="N299" t="n">
        <v>0</v>
      </c>
      <c r="O299" t="n">
        <v>0</v>
      </c>
      <c r="P299" t="n">
        <v>0</v>
      </c>
      <c r="Q299" t="n">
        <v>0</v>
      </c>
      <c r="R299" s="2" t="inlineStr"/>
    </row>
    <row r="300" ht="15" customHeight="1">
      <c r="A300" t="inlineStr">
        <is>
          <t>A 19537-2022</t>
        </is>
      </c>
      <c r="B300" s="1" t="n">
        <v>44693.62822916666</v>
      </c>
      <c r="C300" s="1" t="n">
        <v>45893</v>
      </c>
      <c r="D300" t="inlineStr">
        <is>
          <t>KALMAR LÄN</t>
        </is>
      </c>
      <c r="E300" t="inlineStr">
        <is>
          <t>VIMMERBY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52755-2022</t>
        </is>
      </c>
      <c r="B301" s="1" t="n">
        <v>44875.27736111111</v>
      </c>
      <c r="C301" s="1" t="n">
        <v>45893</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35998-2024</t>
        </is>
      </c>
      <c r="B302" s="1" t="n">
        <v>45533.54429398148</v>
      </c>
      <c r="C302" s="1" t="n">
        <v>45893</v>
      </c>
      <c r="D302" t="inlineStr">
        <is>
          <t>KALMAR LÄN</t>
        </is>
      </c>
      <c r="E302" t="inlineStr">
        <is>
          <t>VIMMERBY</t>
        </is>
      </c>
      <c r="G302" t="n">
        <v>8.6</v>
      </c>
      <c r="H302" t="n">
        <v>0</v>
      </c>
      <c r="I302" t="n">
        <v>0</v>
      </c>
      <c r="J302" t="n">
        <v>0</v>
      </c>
      <c r="K302" t="n">
        <v>0</v>
      </c>
      <c r="L302" t="n">
        <v>0</v>
      </c>
      <c r="M302" t="n">
        <v>0</v>
      </c>
      <c r="N302" t="n">
        <v>0</v>
      </c>
      <c r="O302" t="n">
        <v>0</v>
      </c>
      <c r="P302" t="n">
        <v>0</v>
      </c>
      <c r="Q302" t="n">
        <v>0</v>
      </c>
      <c r="R302" s="2" t="inlineStr"/>
    </row>
    <row r="303" ht="15" customHeight="1">
      <c r="A303" t="inlineStr">
        <is>
          <t>A 7797-2023</t>
        </is>
      </c>
      <c r="B303" s="1" t="n">
        <v>44973.43075231482</v>
      </c>
      <c r="C303" s="1" t="n">
        <v>45893</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60951-2023</t>
        </is>
      </c>
      <c r="B304" s="1" t="n">
        <v>45261.44914351852</v>
      </c>
      <c r="C304" s="1" t="n">
        <v>45893</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60292-2022</t>
        </is>
      </c>
      <c r="B305" s="1" t="n">
        <v>44910.54231481482</v>
      </c>
      <c r="C305" s="1" t="n">
        <v>45893</v>
      </c>
      <c r="D305" t="inlineStr">
        <is>
          <t>KALMAR LÄN</t>
        </is>
      </c>
      <c r="E305" t="inlineStr">
        <is>
          <t>VIMMERBY</t>
        </is>
      </c>
      <c r="G305" t="n">
        <v>4.4</v>
      </c>
      <c r="H305" t="n">
        <v>0</v>
      </c>
      <c r="I305" t="n">
        <v>0</v>
      </c>
      <c r="J305" t="n">
        <v>0</v>
      </c>
      <c r="K305" t="n">
        <v>0</v>
      </c>
      <c r="L305" t="n">
        <v>0</v>
      </c>
      <c r="M305" t="n">
        <v>0</v>
      </c>
      <c r="N305" t="n">
        <v>0</v>
      </c>
      <c r="O305" t="n">
        <v>0</v>
      </c>
      <c r="P305" t="n">
        <v>0</v>
      </c>
      <c r="Q305" t="n">
        <v>0</v>
      </c>
      <c r="R305" s="2" t="inlineStr"/>
    </row>
    <row r="306" ht="15" customHeight="1">
      <c r="A306" t="inlineStr">
        <is>
          <t>A 29351-2023</t>
        </is>
      </c>
      <c r="B306" s="1" t="n">
        <v>45106.2610300926</v>
      </c>
      <c r="C306" s="1" t="n">
        <v>45893</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7630-2025</t>
        </is>
      </c>
      <c r="B307" s="1" t="n">
        <v>45705.74418981482</v>
      </c>
      <c r="C307" s="1" t="n">
        <v>45893</v>
      </c>
      <c r="D307" t="inlineStr">
        <is>
          <t>KALMAR LÄN</t>
        </is>
      </c>
      <c r="E307" t="inlineStr">
        <is>
          <t>VIMMERBY</t>
        </is>
      </c>
      <c r="G307" t="n">
        <v>2.5</v>
      </c>
      <c r="H307" t="n">
        <v>0</v>
      </c>
      <c r="I307" t="n">
        <v>0</v>
      </c>
      <c r="J307" t="n">
        <v>0</v>
      </c>
      <c r="K307" t="n">
        <v>0</v>
      </c>
      <c r="L307" t="n">
        <v>0</v>
      </c>
      <c r="M307" t="n">
        <v>0</v>
      </c>
      <c r="N307" t="n">
        <v>0</v>
      </c>
      <c r="O307" t="n">
        <v>0</v>
      </c>
      <c r="P307" t="n">
        <v>0</v>
      </c>
      <c r="Q307" t="n">
        <v>0</v>
      </c>
      <c r="R307" s="2" t="inlineStr"/>
    </row>
    <row r="308" ht="15" customHeight="1">
      <c r="A308" t="inlineStr">
        <is>
          <t>A 1024-2024</t>
        </is>
      </c>
      <c r="B308" s="1" t="n">
        <v>45301.68237268519</v>
      </c>
      <c r="C308" s="1" t="n">
        <v>45893</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45722.48915509259</v>
      </c>
      <c r="C309" s="1" t="n">
        <v>45893</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7485-2024</t>
        </is>
      </c>
      <c r="B310" s="1" t="n">
        <v>45346.67184027778</v>
      </c>
      <c r="C310" s="1" t="n">
        <v>45893</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12590-2025</t>
        </is>
      </c>
      <c r="B311" s="1" t="n">
        <v>45732.79925925926</v>
      </c>
      <c r="C311" s="1" t="n">
        <v>45893</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29350-2023</t>
        </is>
      </c>
      <c r="B312" s="1" t="n">
        <v>45106</v>
      </c>
      <c r="C312" s="1" t="n">
        <v>45893</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14855-2025</t>
        </is>
      </c>
      <c r="B313" s="1" t="n">
        <v>45743.41148148148</v>
      </c>
      <c r="C313" s="1" t="n">
        <v>45893</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35710-2023</t>
        </is>
      </c>
      <c r="B314" s="1" t="n">
        <v>45147.67096064815</v>
      </c>
      <c r="C314" s="1" t="n">
        <v>45893</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43601-2024</t>
        </is>
      </c>
      <c r="B315" s="1" t="n">
        <v>45569.44684027778</v>
      </c>
      <c r="C315" s="1" t="n">
        <v>45893</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52823-2024</t>
        </is>
      </c>
      <c r="B316" s="1" t="n">
        <v>45610.59094907407</v>
      </c>
      <c r="C316" s="1" t="n">
        <v>45893</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35913-2023</t>
        </is>
      </c>
      <c r="B317" s="1" t="n">
        <v>45148</v>
      </c>
      <c r="C317" s="1" t="n">
        <v>45893</v>
      </c>
      <c r="D317" t="inlineStr">
        <is>
          <t>KALMAR LÄN</t>
        </is>
      </c>
      <c r="E317" t="inlineStr">
        <is>
          <t>VIMMERBY</t>
        </is>
      </c>
      <c r="G317" t="n">
        <v>6.9</v>
      </c>
      <c r="H317" t="n">
        <v>0</v>
      </c>
      <c r="I317" t="n">
        <v>0</v>
      </c>
      <c r="J317" t="n">
        <v>0</v>
      </c>
      <c r="K317" t="n">
        <v>0</v>
      </c>
      <c r="L317" t="n">
        <v>0</v>
      </c>
      <c r="M317" t="n">
        <v>0</v>
      </c>
      <c r="N317" t="n">
        <v>0</v>
      </c>
      <c r="O317" t="n">
        <v>0</v>
      </c>
      <c r="P317" t="n">
        <v>0</v>
      </c>
      <c r="Q317" t="n">
        <v>0</v>
      </c>
      <c r="R317" s="2" t="inlineStr"/>
    </row>
    <row r="318" ht="15" customHeight="1">
      <c r="A318" t="inlineStr">
        <is>
          <t>A 9624-2024</t>
        </is>
      </c>
      <c r="B318" s="1" t="n">
        <v>45361.90282407407</v>
      </c>
      <c r="C318" s="1" t="n">
        <v>45893</v>
      </c>
      <c r="D318" t="inlineStr">
        <is>
          <t>KALMAR LÄN</t>
        </is>
      </c>
      <c r="E318" t="inlineStr">
        <is>
          <t>VIMMERBY</t>
        </is>
      </c>
      <c r="G318" t="n">
        <v>3.8</v>
      </c>
      <c r="H318" t="n">
        <v>0</v>
      </c>
      <c r="I318" t="n">
        <v>0</v>
      </c>
      <c r="J318" t="n">
        <v>0</v>
      </c>
      <c r="K318" t="n">
        <v>0</v>
      </c>
      <c r="L318" t="n">
        <v>0</v>
      </c>
      <c r="M318" t="n">
        <v>0</v>
      </c>
      <c r="N318" t="n">
        <v>0</v>
      </c>
      <c r="O318" t="n">
        <v>0</v>
      </c>
      <c r="P318" t="n">
        <v>0</v>
      </c>
      <c r="Q318" t="n">
        <v>0</v>
      </c>
      <c r="R318" s="2" t="inlineStr"/>
    </row>
    <row r="319" ht="15" customHeight="1">
      <c r="A319" t="inlineStr">
        <is>
          <t>A 3938-2023</t>
        </is>
      </c>
      <c r="B319" s="1" t="n">
        <v>44952.35775462963</v>
      </c>
      <c r="C319" s="1" t="n">
        <v>45893</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56659-2023</t>
        </is>
      </c>
      <c r="B320" s="1" t="n">
        <v>45243.84869212963</v>
      </c>
      <c r="C320" s="1" t="n">
        <v>45893</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13015-2022</t>
        </is>
      </c>
      <c r="B321" s="1" t="n">
        <v>44643</v>
      </c>
      <c r="C321" s="1" t="n">
        <v>45893</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39053-2024</t>
        </is>
      </c>
      <c r="B322" s="1" t="n">
        <v>45548</v>
      </c>
      <c r="C322" s="1" t="n">
        <v>45893</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11147-2023</t>
        </is>
      </c>
      <c r="B323" s="1" t="n">
        <v>44992</v>
      </c>
      <c r="C323" s="1" t="n">
        <v>45893</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19833-2023</t>
        </is>
      </c>
      <c r="B324" s="1" t="n">
        <v>45052</v>
      </c>
      <c r="C324" s="1" t="n">
        <v>45893</v>
      </c>
      <c r="D324" t="inlineStr">
        <is>
          <t>KALMAR LÄN</t>
        </is>
      </c>
      <c r="E324" t="inlineStr">
        <is>
          <t>VIMMERBY</t>
        </is>
      </c>
      <c r="G324" t="n">
        <v>6.7</v>
      </c>
      <c r="H324" t="n">
        <v>0</v>
      </c>
      <c r="I324" t="n">
        <v>0</v>
      </c>
      <c r="J324" t="n">
        <v>0</v>
      </c>
      <c r="K324" t="n">
        <v>0</v>
      </c>
      <c r="L324" t="n">
        <v>0</v>
      </c>
      <c r="M324" t="n">
        <v>0</v>
      </c>
      <c r="N324" t="n">
        <v>0</v>
      </c>
      <c r="O324" t="n">
        <v>0</v>
      </c>
      <c r="P324" t="n">
        <v>0</v>
      </c>
      <c r="Q324" t="n">
        <v>0</v>
      </c>
      <c r="R324" s="2" t="inlineStr"/>
    </row>
    <row r="325" ht="15" customHeight="1">
      <c r="A325" t="inlineStr">
        <is>
          <t>A 14451-2024</t>
        </is>
      </c>
      <c r="B325" s="1" t="n">
        <v>45394.50028935185</v>
      </c>
      <c r="C325" s="1" t="n">
        <v>45893</v>
      </c>
      <c r="D325" t="inlineStr">
        <is>
          <t>KALMAR LÄN</t>
        </is>
      </c>
      <c r="E325" t="inlineStr">
        <is>
          <t>VIMMERBY</t>
        </is>
      </c>
      <c r="G325" t="n">
        <v>1.9</v>
      </c>
      <c r="H325" t="n">
        <v>0</v>
      </c>
      <c r="I325" t="n">
        <v>0</v>
      </c>
      <c r="J325" t="n">
        <v>0</v>
      </c>
      <c r="K325" t="n">
        <v>0</v>
      </c>
      <c r="L325" t="n">
        <v>0</v>
      </c>
      <c r="M325" t="n">
        <v>0</v>
      </c>
      <c r="N325" t="n">
        <v>0</v>
      </c>
      <c r="O325" t="n">
        <v>0</v>
      </c>
      <c r="P325" t="n">
        <v>0</v>
      </c>
      <c r="Q325" t="n">
        <v>0</v>
      </c>
      <c r="R325" s="2" t="inlineStr"/>
    </row>
    <row r="326" ht="15" customHeight="1">
      <c r="A326" t="inlineStr">
        <is>
          <t>A 17968-2025</t>
        </is>
      </c>
      <c r="B326" s="1" t="n">
        <v>45761.35990740741</v>
      </c>
      <c r="C326" s="1" t="n">
        <v>45893</v>
      </c>
      <c r="D326" t="inlineStr">
        <is>
          <t>KALMAR LÄN</t>
        </is>
      </c>
      <c r="E326" t="inlineStr">
        <is>
          <t>VIMMERBY</t>
        </is>
      </c>
      <c r="G326" t="n">
        <v>3.3</v>
      </c>
      <c r="H326" t="n">
        <v>0</v>
      </c>
      <c r="I326" t="n">
        <v>0</v>
      </c>
      <c r="J326" t="n">
        <v>0</v>
      </c>
      <c r="K326" t="n">
        <v>0</v>
      </c>
      <c r="L326" t="n">
        <v>0</v>
      </c>
      <c r="M326" t="n">
        <v>0</v>
      </c>
      <c r="N326" t="n">
        <v>0</v>
      </c>
      <c r="O326" t="n">
        <v>0</v>
      </c>
      <c r="P326" t="n">
        <v>0</v>
      </c>
      <c r="Q326" t="n">
        <v>0</v>
      </c>
      <c r="R326" s="2" t="inlineStr"/>
    </row>
    <row r="327" ht="15" customHeight="1">
      <c r="A327" t="inlineStr">
        <is>
          <t>A 6028-2023</t>
        </is>
      </c>
      <c r="B327" s="1" t="n">
        <v>44964.44356481481</v>
      </c>
      <c r="C327" s="1" t="n">
        <v>45893</v>
      </c>
      <c r="D327" t="inlineStr">
        <is>
          <t>KALMAR LÄN</t>
        </is>
      </c>
      <c r="E327" t="inlineStr">
        <is>
          <t>VIMMERBY</t>
        </is>
      </c>
      <c r="G327" t="n">
        <v>2.5</v>
      </c>
      <c r="H327" t="n">
        <v>0</v>
      </c>
      <c r="I327" t="n">
        <v>0</v>
      </c>
      <c r="J327" t="n">
        <v>0</v>
      </c>
      <c r="K327" t="n">
        <v>0</v>
      </c>
      <c r="L327" t="n">
        <v>0</v>
      </c>
      <c r="M327" t="n">
        <v>0</v>
      </c>
      <c r="N327" t="n">
        <v>0</v>
      </c>
      <c r="O327" t="n">
        <v>0</v>
      </c>
      <c r="P327" t="n">
        <v>0</v>
      </c>
      <c r="Q327" t="n">
        <v>0</v>
      </c>
      <c r="R327" s="2" t="inlineStr"/>
    </row>
    <row r="328" ht="15" customHeight="1">
      <c r="A328" t="inlineStr">
        <is>
          <t>A 34205-2023</t>
        </is>
      </c>
      <c r="B328" s="1" t="n">
        <v>45138</v>
      </c>
      <c r="C328" s="1" t="n">
        <v>45893</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55436-2023</t>
        </is>
      </c>
      <c r="B329" s="1" t="n">
        <v>45238.4328587963</v>
      </c>
      <c r="C329" s="1" t="n">
        <v>45893</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14548-2024</t>
        </is>
      </c>
      <c r="B330" s="1" t="n">
        <v>45394.66887731481</v>
      </c>
      <c r="C330" s="1" t="n">
        <v>45893</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585-2024</t>
        </is>
      </c>
      <c r="B331" s="1" t="n">
        <v>45299.62576388889</v>
      </c>
      <c r="C331" s="1" t="n">
        <v>45893</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56582-2022</t>
        </is>
      </c>
      <c r="B332" s="1" t="n">
        <v>44893</v>
      </c>
      <c r="C332" s="1" t="n">
        <v>45893</v>
      </c>
      <c r="D332" t="inlineStr">
        <is>
          <t>KALMAR LÄN</t>
        </is>
      </c>
      <c r="E332" t="inlineStr">
        <is>
          <t>VIMMERBY</t>
        </is>
      </c>
      <c r="G332" t="n">
        <v>2.2</v>
      </c>
      <c r="H332" t="n">
        <v>0</v>
      </c>
      <c r="I332" t="n">
        <v>0</v>
      </c>
      <c r="J332" t="n">
        <v>0</v>
      </c>
      <c r="K332" t="n">
        <v>0</v>
      </c>
      <c r="L332" t="n">
        <v>0</v>
      </c>
      <c r="M332" t="n">
        <v>0</v>
      </c>
      <c r="N332" t="n">
        <v>0</v>
      </c>
      <c r="O332" t="n">
        <v>0</v>
      </c>
      <c r="P332" t="n">
        <v>0</v>
      </c>
      <c r="Q332" t="n">
        <v>0</v>
      </c>
      <c r="R332" s="2" t="inlineStr"/>
    </row>
    <row r="333" ht="15" customHeight="1">
      <c r="A333" t="inlineStr">
        <is>
          <t>A 56020-2024</t>
        </is>
      </c>
      <c r="B333" s="1" t="n">
        <v>45623.9525462963</v>
      </c>
      <c r="C333" s="1" t="n">
        <v>45893</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20-2025</t>
        </is>
      </c>
      <c r="B334" s="1" t="n">
        <v>45658.80232638889</v>
      </c>
      <c r="C334" s="1" t="n">
        <v>45893</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23-2025</t>
        </is>
      </c>
      <c r="B335" s="1" t="n">
        <v>45658.80827546296</v>
      </c>
      <c r="C335" s="1" t="n">
        <v>45893</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43962-2024</t>
        </is>
      </c>
      <c r="B336" s="1" t="n">
        <v>45572.48293981481</v>
      </c>
      <c r="C336" s="1" t="n">
        <v>45893</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35713-2023</t>
        </is>
      </c>
      <c r="B337" s="1" t="n">
        <v>45147</v>
      </c>
      <c r="C337" s="1" t="n">
        <v>45893</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23252-2024</t>
        </is>
      </c>
      <c r="B338" s="1" t="n">
        <v>45453.36067129629</v>
      </c>
      <c r="C338" s="1" t="n">
        <v>45893</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15550-2023</t>
        </is>
      </c>
      <c r="B339" s="1" t="n">
        <v>45020</v>
      </c>
      <c r="C339" s="1" t="n">
        <v>45893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3268-2024</t>
        </is>
      </c>
      <c r="B340" s="1" t="n">
        <v>45317</v>
      </c>
      <c r="C340" s="1" t="n">
        <v>45893</v>
      </c>
      <c r="D340" t="inlineStr">
        <is>
          <t>KALMAR LÄN</t>
        </is>
      </c>
      <c r="E340" t="inlineStr">
        <is>
          <t>VIMMERBY</t>
        </is>
      </c>
      <c r="F340" t="inlineStr">
        <is>
          <t>Övriga Aktiebolag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12819-2024</t>
        </is>
      </c>
      <c r="B341" s="1" t="n">
        <v>45384.66917824074</v>
      </c>
      <c r="C341" s="1" t="n">
        <v>45893</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13076-2025</t>
        </is>
      </c>
      <c r="B342" s="1" t="n">
        <v>45734.62017361111</v>
      </c>
      <c r="C342" s="1" t="n">
        <v>45893</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11219-2023</t>
        </is>
      </c>
      <c r="B343" s="1" t="n">
        <v>44992.62498842592</v>
      </c>
      <c r="C343" s="1" t="n">
        <v>45893</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18411-2021</t>
        </is>
      </c>
      <c r="B344" s="1" t="n">
        <v>44302</v>
      </c>
      <c r="C344" s="1" t="n">
        <v>45893</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47855-2024</t>
        </is>
      </c>
      <c r="B345" s="1" t="n">
        <v>45588.66457175926</v>
      </c>
      <c r="C345" s="1" t="n">
        <v>45893</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40147-2023</t>
        </is>
      </c>
      <c r="B346" s="1" t="n">
        <v>45169</v>
      </c>
      <c r="C346" s="1" t="n">
        <v>45893</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6214-2025</t>
        </is>
      </c>
      <c r="B347" s="1" t="n">
        <v>45698.51711805556</v>
      </c>
      <c r="C347" s="1" t="n">
        <v>45893</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32569-2024</t>
        </is>
      </c>
      <c r="B348" s="1" t="n">
        <v>45513.55840277778</v>
      </c>
      <c r="C348" s="1" t="n">
        <v>45893</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32575-2024</t>
        </is>
      </c>
      <c r="B349" s="1" t="n">
        <v>45513.56527777778</v>
      </c>
      <c r="C349" s="1" t="n">
        <v>45893</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50995-2022</t>
        </is>
      </c>
      <c r="B350" s="1" t="n">
        <v>44867</v>
      </c>
      <c r="C350" s="1" t="n">
        <v>45893</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172-2022</t>
        </is>
      </c>
      <c r="B351" s="1" t="n">
        <v>44564.62598379629</v>
      </c>
      <c r="C351" s="1" t="n">
        <v>45893</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39584-2024</t>
        </is>
      </c>
      <c r="B352" s="1" t="n">
        <v>45552.36759259259</v>
      </c>
      <c r="C352" s="1" t="n">
        <v>45893</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51881-2024</t>
        </is>
      </c>
      <c r="B353" s="1" t="n">
        <v>45607.56773148148</v>
      </c>
      <c r="C353" s="1" t="n">
        <v>45893</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2596-2025</t>
        </is>
      </c>
      <c r="B354" s="1" t="n">
        <v>45674.71810185185</v>
      </c>
      <c r="C354" s="1" t="n">
        <v>45893</v>
      </c>
      <c r="D354" t="inlineStr">
        <is>
          <t>KALMAR LÄN</t>
        </is>
      </c>
      <c r="E354" t="inlineStr">
        <is>
          <t>VIMMERBY</t>
        </is>
      </c>
      <c r="G354" t="n">
        <v>9</v>
      </c>
      <c r="H354" t="n">
        <v>0</v>
      </c>
      <c r="I354" t="n">
        <v>0</v>
      </c>
      <c r="J354" t="n">
        <v>0</v>
      </c>
      <c r="K354" t="n">
        <v>0</v>
      </c>
      <c r="L354" t="n">
        <v>0</v>
      </c>
      <c r="M354" t="n">
        <v>0</v>
      </c>
      <c r="N354" t="n">
        <v>0</v>
      </c>
      <c r="O354" t="n">
        <v>0</v>
      </c>
      <c r="P354" t="n">
        <v>0</v>
      </c>
      <c r="Q354" t="n">
        <v>0</v>
      </c>
      <c r="R354" s="2" t="inlineStr"/>
    </row>
    <row r="355" ht="15" customHeight="1">
      <c r="A355" t="inlineStr">
        <is>
          <t>A 50764-2020</t>
        </is>
      </c>
      <c r="B355" s="1" t="n">
        <v>44111</v>
      </c>
      <c r="C355" s="1" t="n">
        <v>45893</v>
      </c>
      <c r="D355" t="inlineStr">
        <is>
          <t>KALMAR LÄN</t>
        </is>
      </c>
      <c r="E355" t="inlineStr">
        <is>
          <t>VIMMERBY</t>
        </is>
      </c>
      <c r="G355" t="n">
        <v>2.3</v>
      </c>
      <c r="H355" t="n">
        <v>0</v>
      </c>
      <c r="I355" t="n">
        <v>0</v>
      </c>
      <c r="J355" t="n">
        <v>0</v>
      </c>
      <c r="K355" t="n">
        <v>0</v>
      </c>
      <c r="L355" t="n">
        <v>0</v>
      </c>
      <c r="M355" t="n">
        <v>0</v>
      </c>
      <c r="N355" t="n">
        <v>0</v>
      </c>
      <c r="O355" t="n">
        <v>0</v>
      </c>
      <c r="P355" t="n">
        <v>0</v>
      </c>
      <c r="Q355" t="n">
        <v>0</v>
      </c>
      <c r="R355" s="2" t="inlineStr"/>
    </row>
    <row r="356" ht="15" customHeight="1">
      <c r="A356" t="inlineStr">
        <is>
          <t>A 59300-2024</t>
        </is>
      </c>
      <c r="B356" s="1" t="n">
        <v>45637.66542824074</v>
      </c>
      <c r="C356" s="1" t="n">
        <v>45893</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27993-2022</t>
        </is>
      </c>
      <c r="B357" s="1" t="n">
        <v>44745.84396990741</v>
      </c>
      <c r="C357" s="1" t="n">
        <v>45893</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16734-2023</t>
        </is>
      </c>
      <c r="B358" s="1" t="n">
        <v>45030.71012731481</v>
      </c>
      <c r="C358" s="1" t="n">
        <v>45893</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59768-2024</t>
        </is>
      </c>
      <c r="B359" s="1" t="n">
        <v>45639.56185185185</v>
      </c>
      <c r="C359" s="1" t="n">
        <v>45893</v>
      </c>
      <c r="D359" t="inlineStr">
        <is>
          <t>KALMAR LÄN</t>
        </is>
      </c>
      <c r="E359" t="inlineStr">
        <is>
          <t>VIMMERBY</t>
        </is>
      </c>
      <c r="G359" t="n">
        <v>5.9</v>
      </c>
      <c r="H359" t="n">
        <v>0</v>
      </c>
      <c r="I359" t="n">
        <v>0</v>
      </c>
      <c r="J359" t="n">
        <v>0</v>
      </c>
      <c r="K359" t="n">
        <v>0</v>
      </c>
      <c r="L359" t="n">
        <v>0</v>
      </c>
      <c r="M359" t="n">
        <v>0</v>
      </c>
      <c r="N359" t="n">
        <v>0</v>
      </c>
      <c r="O359" t="n">
        <v>0</v>
      </c>
      <c r="P359" t="n">
        <v>0</v>
      </c>
      <c r="Q359" t="n">
        <v>0</v>
      </c>
      <c r="R359" s="2" t="inlineStr"/>
    </row>
    <row r="360" ht="15" customHeight="1">
      <c r="A360" t="inlineStr">
        <is>
          <t>A 57555-2024</t>
        </is>
      </c>
      <c r="B360" s="1" t="n">
        <v>45630.45069444444</v>
      </c>
      <c r="C360" s="1" t="n">
        <v>45893</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36526-2023</t>
        </is>
      </c>
      <c r="B361" s="1" t="n">
        <v>45153.32778935185</v>
      </c>
      <c r="C361" s="1" t="n">
        <v>45893</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58728-2024</t>
        </is>
      </c>
      <c r="B362" s="1" t="n">
        <v>45635.66695601852</v>
      </c>
      <c r="C362" s="1" t="n">
        <v>45893</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20129-2024</t>
        </is>
      </c>
      <c r="B363" s="1" t="n">
        <v>45434.55831018519</v>
      </c>
      <c r="C363" s="1" t="n">
        <v>45893</v>
      </c>
      <c r="D363" t="inlineStr">
        <is>
          <t>KALMAR LÄN</t>
        </is>
      </c>
      <c r="E363" t="inlineStr">
        <is>
          <t>VIMMERBY</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20137-2024</t>
        </is>
      </c>
      <c r="B364" s="1" t="n">
        <v>45434.56398148148</v>
      </c>
      <c r="C364" s="1" t="n">
        <v>45893</v>
      </c>
      <c r="D364" t="inlineStr">
        <is>
          <t>KALMAR LÄN</t>
        </is>
      </c>
      <c r="E364" t="inlineStr">
        <is>
          <t>VIMMERBY</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36014-2024</t>
        </is>
      </c>
      <c r="B365" s="1" t="n">
        <v>45533.56108796296</v>
      </c>
      <c r="C365" s="1" t="n">
        <v>45893</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36030-2024</t>
        </is>
      </c>
      <c r="B366" s="1" t="n">
        <v>45533.58302083334</v>
      </c>
      <c r="C366" s="1" t="n">
        <v>45893</v>
      </c>
      <c r="D366" t="inlineStr">
        <is>
          <t>KALMAR LÄN</t>
        </is>
      </c>
      <c r="E366" t="inlineStr">
        <is>
          <t>VIMMERBY</t>
        </is>
      </c>
      <c r="F366" t="inlineStr">
        <is>
          <t>Kommuner</t>
        </is>
      </c>
      <c r="G366" t="n">
        <v>4</v>
      </c>
      <c r="H366" t="n">
        <v>0</v>
      </c>
      <c r="I366" t="n">
        <v>0</v>
      </c>
      <c r="J366" t="n">
        <v>0</v>
      </c>
      <c r="K366" t="n">
        <v>0</v>
      </c>
      <c r="L366" t="n">
        <v>0</v>
      </c>
      <c r="M366" t="n">
        <v>0</v>
      </c>
      <c r="N366" t="n">
        <v>0</v>
      </c>
      <c r="O366" t="n">
        <v>0</v>
      </c>
      <c r="P366" t="n">
        <v>0</v>
      </c>
      <c r="Q366" t="n">
        <v>0</v>
      </c>
      <c r="R366" s="2" t="inlineStr"/>
    </row>
    <row r="367" ht="15" customHeight="1">
      <c r="A367" t="inlineStr">
        <is>
          <t>A 7456-2024</t>
        </is>
      </c>
      <c r="B367" s="1" t="n">
        <v>45345.83557870371</v>
      </c>
      <c r="C367" s="1" t="n">
        <v>45893</v>
      </c>
      <c r="D367" t="inlineStr">
        <is>
          <t>KALMAR LÄN</t>
        </is>
      </c>
      <c r="E367" t="inlineStr">
        <is>
          <t>VIMMERBY</t>
        </is>
      </c>
      <c r="G367" t="n">
        <v>4.1</v>
      </c>
      <c r="H367" t="n">
        <v>0</v>
      </c>
      <c r="I367" t="n">
        <v>0</v>
      </c>
      <c r="J367" t="n">
        <v>0</v>
      </c>
      <c r="K367" t="n">
        <v>0</v>
      </c>
      <c r="L367" t="n">
        <v>0</v>
      </c>
      <c r="M367" t="n">
        <v>0</v>
      </c>
      <c r="N367" t="n">
        <v>0</v>
      </c>
      <c r="O367" t="n">
        <v>0</v>
      </c>
      <c r="P367" t="n">
        <v>0</v>
      </c>
      <c r="Q367" t="n">
        <v>0</v>
      </c>
      <c r="R367" s="2" t="inlineStr"/>
    </row>
    <row r="368" ht="15" customHeight="1">
      <c r="A368" t="inlineStr">
        <is>
          <t>A 49474-2023</t>
        </is>
      </c>
      <c r="B368" s="1" t="n">
        <v>45211.541875</v>
      </c>
      <c r="C368" s="1" t="n">
        <v>45893</v>
      </c>
      <c r="D368" t="inlineStr">
        <is>
          <t>KALMAR LÄN</t>
        </is>
      </c>
      <c r="E368" t="inlineStr">
        <is>
          <t>VIMMERBY</t>
        </is>
      </c>
      <c r="G368" t="n">
        <v>3.6</v>
      </c>
      <c r="H368" t="n">
        <v>0</v>
      </c>
      <c r="I368" t="n">
        <v>0</v>
      </c>
      <c r="J368" t="n">
        <v>0</v>
      </c>
      <c r="K368" t="n">
        <v>0</v>
      </c>
      <c r="L368" t="n">
        <v>0</v>
      </c>
      <c r="M368" t="n">
        <v>0</v>
      </c>
      <c r="N368" t="n">
        <v>0</v>
      </c>
      <c r="O368" t="n">
        <v>0</v>
      </c>
      <c r="P368" t="n">
        <v>0</v>
      </c>
      <c r="Q368" t="n">
        <v>0</v>
      </c>
      <c r="R368" s="2" t="inlineStr"/>
    </row>
    <row r="369" ht="15" customHeight="1">
      <c r="A369" t="inlineStr">
        <is>
          <t>A 32865-2023</t>
        </is>
      </c>
      <c r="B369" s="1" t="n">
        <v>45124</v>
      </c>
      <c r="C369" s="1" t="n">
        <v>45893</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57682-2022</t>
        </is>
      </c>
      <c r="B370" s="1" t="n">
        <v>44890</v>
      </c>
      <c r="C370" s="1" t="n">
        <v>45893</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14220-2021</t>
        </is>
      </c>
      <c r="B371" s="1" t="n">
        <v>44278.54855324074</v>
      </c>
      <c r="C371" s="1" t="n">
        <v>45893</v>
      </c>
      <c r="D371" t="inlineStr">
        <is>
          <t>KALMAR LÄN</t>
        </is>
      </c>
      <c r="E371" t="inlineStr">
        <is>
          <t>VIMMERBY</t>
        </is>
      </c>
      <c r="G371" t="n">
        <v>0.3</v>
      </c>
      <c r="H371" t="n">
        <v>0</v>
      </c>
      <c r="I371" t="n">
        <v>0</v>
      </c>
      <c r="J371" t="n">
        <v>0</v>
      </c>
      <c r="K371" t="n">
        <v>0</v>
      </c>
      <c r="L371" t="n">
        <v>0</v>
      </c>
      <c r="M371" t="n">
        <v>0</v>
      </c>
      <c r="N371" t="n">
        <v>0</v>
      </c>
      <c r="O371" t="n">
        <v>0</v>
      </c>
      <c r="P371" t="n">
        <v>0</v>
      </c>
      <c r="Q371" t="n">
        <v>0</v>
      </c>
      <c r="R371" s="2" t="inlineStr"/>
    </row>
    <row r="372" ht="15" customHeight="1">
      <c r="A372" t="inlineStr">
        <is>
          <t>A 52324-2023</t>
        </is>
      </c>
      <c r="B372" s="1" t="n">
        <v>45224.64659722222</v>
      </c>
      <c r="C372" s="1" t="n">
        <v>45893</v>
      </c>
      <c r="D372" t="inlineStr">
        <is>
          <t>KALMAR LÄN</t>
        </is>
      </c>
      <c r="E372" t="inlineStr">
        <is>
          <t>VIMMERBY</t>
        </is>
      </c>
      <c r="F372" t="inlineStr">
        <is>
          <t>Sveaskog</t>
        </is>
      </c>
      <c r="G372" t="n">
        <v>2.9</v>
      </c>
      <c r="H372" t="n">
        <v>0</v>
      </c>
      <c r="I372" t="n">
        <v>0</v>
      </c>
      <c r="J372" t="n">
        <v>0</v>
      </c>
      <c r="K372" t="n">
        <v>0</v>
      </c>
      <c r="L372" t="n">
        <v>0</v>
      </c>
      <c r="M372" t="n">
        <v>0</v>
      </c>
      <c r="N372" t="n">
        <v>0</v>
      </c>
      <c r="O372" t="n">
        <v>0</v>
      </c>
      <c r="P372" t="n">
        <v>0</v>
      </c>
      <c r="Q372" t="n">
        <v>0</v>
      </c>
      <c r="R372" s="2" t="inlineStr"/>
    </row>
    <row r="373" ht="15" customHeight="1">
      <c r="A373" t="inlineStr">
        <is>
          <t>A 63950-2023</t>
        </is>
      </c>
      <c r="B373" s="1" t="n">
        <v>45278</v>
      </c>
      <c r="C373" s="1" t="n">
        <v>45893</v>
      </c>
      <c r="D373" t="inlineStr">
        <is>
          <t>KALMAR LÄN</t>
        </is>
      </c>
      <c r="E373" t="inlineStr">
        <is>
          <t>VIMMERBY</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17988-2025</t>
        </is>
      </c>
      <c r="B374" s="1" t="n">
        <v>45761.39600694444</v>
      </c>
      <c r="C374" s="1" t="n">
        <v>45893</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16516-2023</t>
        </is>
      </c>
      <c r="B375" s="1" t="n">
        <v>45029</v>
      </c>
      <c r="C375" s="1" t="n">
        <v>45893</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23341-2022</t>
        </is>
      </c>
      <c r="B376" s="1" t="n">
        <v>44720.53898148148</v>
      </c>
      <c r="C376" s="1" t="n">
        <v>45893</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47842-2024</t>
        </is>
      </c>
      <c r="B377" s="1" t="n">
        <v>45588.65545138889</v>
      </c>
      <c r="C377" s="1" t="n">
        <v>45893</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37028-2024</t>
        </is>
      </c>
      <c r="B378" s="1" t="n">
        <v>45539.38744212963</v>
      </c>
      <c r="C378" s="1" t="n">
        <v>45893</v>
      </c>
      <c r="D378" t="inlineStr">
        <is>
          <t>KALMAR LÄN</t>
        </is>
      </c>
      <c r="E378" t="inlineStr">
        <is>
          <t>VIMMERBY</t>
        </is>
      </c>
      <c r="G378" t="n">
        <v>5.2</v>
      </c>
      <c r="H378" t="n">
        <v>0</v>
      </c>
      <c r="I378" t="n">
        <v>0</v>
      </c>
      <c r="J378" t="n">
        <v>0</v>
      </c>
      <c r="K378" t="n">
        <v>0</v>
      </c>
      <c r="L378" t="n">
        <v>0</v>
      </c>
      <c r="M378" t="n">
        <v>0</v>
      </c>
      <c r="N378" t="n">
        <v>0</v>
      </c>
      <c r="O378" t="n">
        <v>0</v>
      </c>
      <c r="P378" t="n">
        <v>0</v>
      </c>
      <c r="Q378" t="n">
        <v>0</v>
      </c>
      <c r="R378" s="2" t="inlineStr"/>
    </row>
    <row r="379" ht="15" customHeight="1">
      <c r="A379" t="inlineStr">
        <is>
          <t>A 6408-2025</t>
        </is>
      </c>
      <c r="B379" s="1" t="n">
        <v>45699.45671296296</v>
      </c>
      <c r="C379" s="1" t="n">
        <v>45893</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25109-2023</t>
        </is>
      </c>
      <c r="B380" s="1" t="n">
        <v>45086</v>
      </c>
      <c r="C380" s="1" t="n">
        <v>45893</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33380-2023</t>
        </is>
      </c>
      <c r="B381" s="1" t="n">
        <v>45128</v>
      </c>
      <c r="C381" s="1" t="n">
        <v>45893</v>
      </c>
      <c r="D381" t="inlineStr">
        <is>
          <t>KALMAR LÄN</t>
        </is>
      </c>
      <c r="E381" t="inlineStr">
        <is>
          <t>VIMMERBY</t>
        </is>
      </c>
      <c r="G381" t="n">
        <v>5.2</v>
      </c>
      <c r="H381" t="n">
        <v>0</v>
      </c>
      <c r="I381" t="n">
        <v>0</v>
      </c>
      <c r="J381" t="n">
        <v>0</v>
      </c>
      <c r="K381" t="n">
        <v>0</v>
      </c>
      <c r="L381" t="n">
        <v>0</v>
      </c>
      <c r="M381" t="n">
        <v>0</v>
      </c>
      <c r="N381" t="n">
        <v>0</v>
      </c>
      <c r="O381" t="n">
        <v>0</v>
      </c>
      <c r="P381" t="n">
        <v>0</v>
      </c>
      <c r="Q381" t="n">
        <v>0</v>
      </c>
      <c r="R381" s="2" t="inlineStr"/>
    </row>
    <row r="382" ht="15" customHeight="1">
      <c r="A382" t="inlineStr">
        <is>
          <t>A 32639-2023</t>
        </is>
      </c>
      <c r="B382" s="1" t="n">
        <v>45121.5965162037</v>
      </c>
      <c r="C382" s="1" t="n">
        <v>45893</v>
      </c>
      <c r="D382" t="inlineStr">
        <is>
          <t>KALMAR LÄN</t>
        </is>
      </c>
      <c r="E382" t="inlineStr">
        <is>
          <t>VIMMERBY</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32642-2023</t>
        </is>
      </c>
      <c r="B383" s="1" t="n">
        <v>45121.59954861111</v>
      </c>
      <c r="C383" s="1" t="n">
        <v>45893</v>
      </c>
      <c r="D383" t="inlineStr">
        <is>
          <t>KALMAR LÄN</t>
        </is>
      </c>
      <c r="E383" t="inlineStr">
        <is>
          <t>VIMMERBY</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32651-2023</t>
        </is>
      </c>
      <c r="B384" s="1" t="n">
        <v>45121.6096875</v>
      </c>
      <c r="C384" s="1" t="n">
        <v>45893</v>
      </c>
      <c r="D384" t="inlineStr">
        <is>
          <t>KALMAR LÄN</t>
        </is>
      </c>
      <c r="E384" t="inlineStr">
        <is>
          <t>VIMMERBY</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45893</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6668-2023</t>
        </is>
      </c>
      <c r="B386" s="1" t="n">
        <v>44966</v>
      </c>
      <c r="C386" s="1" t="n">
        <v>45893</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29168-2024</t>
        </is>
      </c>
      <c r="B387" s="1" t="n">
        <v>45482.49870370371</v>
      </c>
      <c r="C387" s="1" t="n">
        <v>45893</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8086-2021</t>
        </is>
      </c>
      <c r="B388" s="1" t="n">
        <v>44243</v>
      </c>
      <c r="C388" s="1" t="n">
        <v>45893</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55236-2023</t>
        </is>
      </c>
      <c r="B389" s="1" t="n">
        <v>45237.63225694445</v>
      </c>
      <c r="C389" s="1" t="n">
        <v>45893</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55245-2023</t>
        </is>
      </c>
      <c r="B390" s="1" t="n">
        <v>45237.64408564815</v>
      </c>
      <c r="C390" s="1" t="n">
        <v>45893</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36055-2024</t>
        </is>
      </c>
      <c r="B391" s="1" t="n">
        <v>45533.63056712963</v>
      </c>
      <c r="C391" s="1" t="n">
        <v>45893</v>
      </c>
      <c r="D391" t="inlineStr">
        <is>
          <t>KALMAR LÄN</t>
        </is>
      </c>
      <c r="E391" t="inlineStr">
        <is>
          <t>VIMMERBY</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42918-2021</t>
        </is>
      </c>
      <c r="B392" s="1" t="n">
        <v>44431</v>
      </c>
      <c r="C392" s="1" t="n">
        <v>45893</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7068-2024</t>
        </is>
      </c>
      <c r="B393" s="1" t="n">
        <v>45343.68038194445</v>
      </c>
      <c r="C393" s="1" t="n">
        <v>45893</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46234-2024</t>
        </is>
      </c>
      <c r="B394" s="1" t="n">
        <v>45581.57958333333</v>
      </c>
      <c r="C394" s="1" t="n">
        <v>45893</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22643-2023</t>
        </is>
      </c>
      <c r="B395" s="1" t="n">
        <v>45071</v>
      </c>
      <c r="C395" s="1" t="n">
        <v>45893</v>
      </c>
      <c r="D395" t="inlineStr">
        <is>
          <t>KALMAR LÄN</t>
        </is>
      </c>
      <c r="E395" t="inlineStr">
        <is>
          <t>VIMMERBY</t>
        </is>
      </c>
      <c r="G395" t="n">
        <v>3.9</v>
      </c>
      <c r="H395" t="n">
        <v>0</v>
      </c>
      <c r="I395" t="n">
        <v>0</v>
      </c>
      <c r="J395" t="n">
        <v>0</v>
      </c>
      <c r="K395" t="n">
        <v>0</v>
      </c>
      <c r="L395" t="n">
        <v>0</v>
      </c>
      <c r="M395" t="n">
        <v>0</v>
      </c>
      <c r="N395" t="n">
        <v>0</v>
      </c>
      <c r="O395" t="n">
        <v>0</v>
      </c>
      <c r="P395" t="n">
        <v>0</v>
      </c>
      <c r="Q395" t="n">
        <v>0</v>
      </c>
      <c r="R395" s="2" t="inlineStr"/>
    </row>
    <row r="396" ht="15" customHeight="1">
      <c r="A396" t="inlineStr">
        <is>
          <t>A 37187-2024</t>
        </is>
      </c>
      <c r="B396" s="1" t="n">
        <v>45539.65212962963</v>
      </c>
      <c r="C396" s="1" t="n">
        <v>45893</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18669-2025</t>
        </is>
      </c>
      <c r="B397" s="1" t="n">
        <v>45763.59436342592</v>
      </c>
      <c r="C397" s="1" t="n">
        <v>45893</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38780-2021</t>
        </is>
      </c>
      <c r="B398" s="1" t="n">
        <v>44410</v>
      </c>
      <c r="C398" s="1" t="n">
        <v>45893</v>
      </c>
      <c r="D398" t="inlineStr">
        <is>
          <t>KALMAR LÄN</t>
        </is>
      </c>
      <c r="E398" t="inlineStr">
        <is>
          <t>VIMMERBY</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1018-2024</t>
        </is>
      </c>
      <c r="B399" s="1" t="n">
        <v>45301.67554398148</v>
      </c>
      <c r="C399" s="1" t="n">
        <v>45893</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1021-2024</t>
        </is>
      </c>
      <c r="B400" s="1" t="n">
        <v>45301.67736111111</v>
      </c>
      <c r="C400" s="1" t="n">
        <v>45893</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19502-2025</t>
        </is>
      </c>
      <c r="B401" s="1" t="n">
        <v>45769</v>
      </c>
      <c r="C401" s="1" t="n">
        <v>45893</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27443-2023</t>
        </is>
      </c>
      <c r="B402" s="1" t="n">
        <v>45097.40524305555</v>
      </c>
      <c r="C402" s="1" t="n">
        <v>45893</v>
      </c>
      <c r="D402" t="inlineStr">
        <is>
          <t>KALMAR LÄN</t>
        </is>
      </c>
      <c r="E402" t="inlineStr">
        <is>
          <t>VIMMERBY</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72701-2021</t>
        </is>
      </c>
      <c r="B403" s="1" t="n">
        <v>44546</v>
      </c>
      <c r="C403" s="1" t="n">
        <v>45893</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45481.58048611111</v>
      </c>
      <c r="C404" s="1" t="n">
        <v>45893</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19111-2025</t>
        </is>
      </c>
      <c r="B405" s="1" t="n">
        <v>45768.65611111111</v>
      </c>
      <c r="C405" s="1" t="n">
        <v>45893</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30406-2023</t>
        </is>
      </c>
      <c r="B406" s="1" t="n">
        <v>45111.48787037037</v>
      </c>
      <c r="C406" s="1" t="n">
        <v>45893</v>
      </c>
      <c r="D406" t="inlineStr">
        <is>
          <t>KALMAR LÄN</t>
        </is>
      </c>
      <c r="E406" t="inlineStr">
        <is>
          <t>VIMMERBY</t>
        </is>
      </c>
      <c r="G406" t="n">
        <v>2.4</v>
      </c>
      <c r="H406" t="n">
        <v>0</v>
      </c>
      <c r="I406" t="n">
        <v>0</v>
      </c>
      <c r="J406" t="n">
        <v>0</v>
      </c>
      <c r="K406" t="n">
        <v>0</v>
      </c>
      <c r="L406" t="n">
        <v>0</v>
      </c>
      <c r="M406" t="n">
        <v>0</v>
      </c>
      <c r="N406" t="n">
        <v>0</v>
      </c>
      <c r="O406" t="n">
        <v>0</v>
      </c>
      <c r="P406" t="n">
        <v>0</v>
      </c>
      <c r="Q406" t="n">
        <v>0</v>
      </c>
      <c r="R406" s="2" t="inlineStr"/>
    </row>
    <row r="407" ht="15" customHeight="1">
      <c r="A407" t="inlineStr">
        <is>
          <t>A 13817-2024</t>
        </is>
      </c>
      <c r="B407" s="1" t="n">
        <v>45391.41976851852</v>
      </c>
      <c r="C407" s="1" t="n">
        <v>45893</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845-2023</t>
        </is>
      </c>
      <c r="B408" s="1" t="n">
        <v>44931</v>
      </c>
      <c r="C408" s="1" t="n">
        <v>45893</v>
      </c>
      <c r="D408" t="inlineStr">
        <is>
          <t>KALMAR LÄN</t>
        </is>
      </c>
      <c r="E408" t="inlineStr">
        <is>
          <t>VIMMERBY</t>
        </is>
      </c>
      <c r="F408" t="inlineStr">
        <is>
          <t>Övriga Aktiebolag</t>
        </is>
      </c>
      <c r="G408" t="n">
        <v>19</v>
      </c>
      <c r="H408" t="n">
        <v>0</v>
      </c>
      <c r="I408" t="n">
        <v>0</v>
      </c>
      <c r="J408" t="n">
        <v>0</v>
      </c>
      <c r="K408" t="n">
        <v>0</v>
      </c>
      <c r="L408" t="n">
        <v>0</v>
      </c>
      <c r="M408" t="n">
        <v>0</v>
      </c>
      <c r="N408" t="n">
        <v>0</v>
      </c>
      <c r="O408" t="n">
        <v>0</v>
      </c>
      <c r="P408" t="n">
        <v>0</v>
      </c>
      <c r="Q408" t="n">
        <v>0</v>
      </c>
      <c r="R408" s="2" t="inlineStr"/>
    </row>
    <row r="409" ht="15" customHeight="1">
      <c r="A409" t="inlineStr">
        <is>
          <t>A 33374-2021</t>
        </is>
      </c>
      <c r="B409" s="1" t="n">
        <v>44377</v>
      </c>
      <c r="C409" s="1" t="n">
        <v>45893</v>
      </c>
      <c r="D409" t="inlineStr">
        <is>
          <t>KALMAR LÄN</t>
        </is>
      </c>
      <c r="E409" t="inlineStr">
        <is>
          <t>VIMMERBY</t>
        </is>
      </c>
      <c r="G409" t="n">
        <v>3.3</v>
      </c>
      <c r="H409" t="n">
        <v>0</v>
      </c>
      <c r="I409" t="n">
        <v>0</v>
      </c>
      <c r="J409" t="n">
        <v>0</v>
      </c>
      <c r="K409" t="n">
        <v>0</v>
      </c>
      <c r="L409" t="n">
        <v>0</v>
      </c>
      <c r="M409" t="n">
        <v>0</v>
      </c>
      <c r="N409" t="n">
        <v>0</v>
      </c>
      <c r="O409" t="n">
        <v>0</v>
      </c>
      <c r="P409" t="n">
        <v>0</v>
      </c>
      <c r="Q409" t="n">
        <v>0</v>
      </c>
      <c r="R409" s="2" t="inlineStr"/>
    </row>
    <row r="410" ht="15" customHeight="1">
      <c r="A410" t="inlineStr">
        <is>
          <t>A 10807-2024</t>
        </is>
      </c>
      <c r="B410" s="1" t="n">
        <v>45369.62780092593</v>
      </c>
      <c r="C410" s="1" t="n">
        <v>45893</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33359-2021</t>
        </is>
      </c>
      <c r="B411" s="1" t="n">
        <v>44377.49684027778</v>
      </c>
      <c r="C411" s="1" t="n">
        <v>45893</v>
      </c>
      <c r="D411" t="inlineStr">
        <is>
          <t>KALMAR LÄN</t>
        </is>
      </c>
      <c r="E411" t="inlineStr">
        <is>
          <t>VIMMERBY</t>
        </is>
      </c>
      <c r="F411" t="inlineStr">
        <is>
          <t>Kommuner</t>
        </is>
      </c>
      <c r="G411" t="n">
        <v>8</v>
      </c>
      <c r="H411" t="n">
        <v>0</v>
      </c>
      <c r="I411" t="n">
        <v>0</v>
      </c>
      <c r="J411" t="n">
        <v>0</v>
      </c>
      <c r="K411" t="n">
        <v>0</v>
      </c>
      <c r="L411" t="n">
        <v>0</v>
      </c>
      <c r="M411" t="n">
        <v>0</v>
      </c>
      <c r="N411" t="n">
        <v>0</v>
      </c>
      <c r="O411" t="n">
        <v>0</v>
      </c>
      <c r="P411" t="n">
        <v>0</v>
      </c>
      <c r="Q411" t="n">
        <v>0</v>
      </c>
      <c r="R411" s="2" t="inlineStr"/>
    </row>
    <row r="412" ht="15" customHeight="1">
      <c r="A412" t="inlineStr">
        <is>
          <t>A 6321-2023</t>
        </is>
      </c>
      <c r="B412" s="1" t="n">
        <v>44965.4815162037</v>
      </c>
      <c r="C412" s="1" t="n">
        <v>45893</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4624-2024</t>
        </is>
      </c>
      <c r="B413" s="1" t="n">
        <v>45328.38755787037</v>
      </c>
      <c r="C413" s="1" t="n">
        <v>45893</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40730-2024</t>
        </is>
      </c>
      <c r="B414" s="1" t="n">
        <v>45558.44914351852</v>
      </c>
      <c r="C414" s="1" t="n">
        <v>45893</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2157-2024</t>
        </is>
      </c>
      <c r="B415" s="1" t="n">
        <v>45309.59487268519</v>
      </c>
      <c r="C415" s="1" t="n">
        <v>45893</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49461-2022</t>
        </is>
      </c>
      <c r="B416" s="1" t="n">
        <v>44861</v>
      </c>
      <c r="C416" s="1" t="n">
        <v>45893</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694-2024</t>
        </is>
      </c>
      <c r="B417" s="1" t="n">
        <v>45300.3794212963</v>
      </c>
      <c r="C417" s="1" t="n">
        <v>45893</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34588-2024</t>
        </is>
      </c>
      <c r="B418" s="1" t="n">
        <v>45526.3865625</v>
      </c>
      <c r="C418" s="1" t="n">
        <v>45893</v>
      </c>
      <c r="D418" t="inlineStr">
        <is>
          <t>KALMAR LÄN</t>
        </is>
      </c>
      <c r="E418" t="inlineStr">
        <is>
          <t>VIMMERBY</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17084-2025</t>
        </is>
      </c>
      <c r="B419" s="1" t="n">
        <v>45755.64450231481</v>
      </c>
      <c r="C419" s="1" t="n">
        <v>45893</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59598-2023</t>
        </is>
      </c>
      <c r="B420" s="1" t="n">
        <v>45254.62489583333</v>
      </c>
      <c r="C420" s="1" t="n">
        <v>45893</v>
      </c>
      <c r="D420" t="inlineStr">
        <is>
          <t>KALMAR LÄN</t>
        </is>
      </c>
      <c r="E420" t="inlineStr">
        <is>
          <t>VIMMERBY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7944-2024</t>
        </is>
      </c>
      <c r="B421" s="1" t="n">
        <v>45350.53306712963</v>
      </c>
      <c r="C421" s="1" t="n">
        <v>45893</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33161-2024</t>
        </is>
      </c>
      <c r="B422" s="1" t="n">
        <v>45518.40657407408</v>
      </c>
      <c r="C422" s="1" t="n">
        <v>45893</v>
      </c>
      <c r="D422" t="inlineStr">
        <is>
          <t>KALMAR LÄN</t>
        </is>
      </c>
      <c r="E422" t="inlineStr">
        <is>
          <t>VIMMERBY</t>
        </is>
      </c>
      <c r="G422" t="n">
        <v>4.7</v>
      </c>
      <c r="H422" t="n">
        <v>0</v>
      </c>
      <c r="I422" t="n">
        <v>0</v>
      </c>
      <c r="J422" t="n">
        <v>0</v>
      </c>
      <c r="K422" t="n">
        <v>0</v>
      </c>
      <c r="L422" t="n">
        <v>0</v>
      </c>
      <c r="M422" t="n">
        <v>0</v>
      </c>
      <c r="N422" t="n">
        <v>0</v>
      </c>
      <c r="O422" t="n">
        <v>0</v>
      </c>
      <c r="P422" t="n">
        <v>0</v>
      </c>
      <c r="Q422" t="n">
        <v>0</v>
      </c>
      <c r="R422" s="2" t="inlineStr"/>
    </row>
    <row r="423" ht="15" customHeight="1">
      <c r="A423" t="inlineStr">
        <is>
          <t>A 21496-2023</t>
        </is>
      </c>
      <c r="B423" s="1" t="n">
        <v>45063.49936342592</v>
      </c>
      <c r="C423" s="1" t="n">
        <v>45893</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14359-2025</t>
        </is>
      </c>
      <c r="B424" s="1" t="n">
        <v>45741.37270833334</v>
      </c>
      <c r="C424" s="1" t="n">
        <v>45893</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22014-2025</t>
        </is>
      </c>
      <c r="B425" s="1" t="n">
        <v>45784.74996527778</v>
      </c>
      <c r="C425" s="1" t="n">
        <v>45893</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7075-2021</t>
        </is>
      </c>
      <c r="B426" s="1" t="n">
        <v>44237</v>
      </c>
      <c r="C426" s="1" t="n">
        <v>45893</v>
      </c>
      <c r="D426" t="inlineStr">
        <is>
          <t>KALMAR LÄN</t>
        </is>
      </c>
      <c r="E426" t="inlineStr">
        <is>
          <t>VIMMERBY</t>
        </is>
      </c>
      <c r="G426" t="n">
        <v>3.6</v>
      </c>
      <c r="H426" t="n">
        <v>0</v>
      </c>
      <c r="I426" t="n">
        <v>0</v>
      </c>
      <c r="J426" t="n">
        <v>0</v>
      </c>
      <c r="K426" t="n">
        <v>0</v>
      </c>
      <c r="L426" t="n">
        <v>0</v>
      </c>
      <c r="M426" t="n">
        <v>0</v>
      </c>
      <c r="N426" t="n">
        <v>0</v>
      </c>
      <c r="O426" t="n">
        <v>0</v>
      </c>
      <c r="P426" t="n">
        <v>0</v>
      </c>
      <c r="Q426" t="n">
        <v>0</v>
      </c>
      <c r="R426" s="2" t="inlineStr"/>
    </row>
    <row r="427" ht="15" customHeight="1">
      <c r="A427" t="inlineStr">
        <is>
          <t>A 55605-2024</t>
        </is>
      </c>
      <c r="B427" s="1" t="n">
        <v>45622</v>
      </c>
      <c r="C427" s="1" t="n">
        <v>45893</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44464-2024</t>
        </is>
      </c>
      <c r="B428" s="1" t="n">
        <v>45574.35809027778</v>
      </c>
      <c r="C428" s="1" t="n">
        <v>45893</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36049-2024</t>
        </is>
      </c>
      <c r="B429" s="1" t="n">
        <v>45533.61996527778</v>
      </c>
      <c r="C429" s="1" t="n">
        <v>45893</v>
      </c>
      <c r="D429" t="inlineStr">
        <is>
          <t>KALMAR LÄN</t>
        </is>
      </c>
      <c r="E429" t="inlineStr">
        <is>
          <t>VIMMERBY</t>
        </is>
      </c>
      <c r="F429" t="inlineStr">
        <is>
          <t>Kommuner</t>
        </is>
      </c>
      <c r="G429" t="n">
        <v>2.6</v>
      </c>
      <c r="H429" t="n">
        <v>0</v>
      </c>
      <c r="I429" t="n">
        <v>0</v>
      </c>
      <c r="J429" t="n">
        <v>0</v>
      </c>
      <c r="K429" t="n">
        <v>0</v>
      </c>
      <c r="L429" t="n">
        <v>0</v>
      </c>
      <c r="M429" t="n">
        <v>0</v>
      </c>
      <c r="N429" t="n">
        <v>0</v>
      </c>
      <c r="O429" t="n">
        <v>0</v>
      </c>
      <c r="P429" t="n">
        <v>0</v>
      </c>
      <c r="Q429" t="n">
        <v>0</v>
      </c>
      <c r="R429" s="2" t="inlineStr"/>
    </row>
    <row r="430" ht="15" customHeight="1">
      <c r="A430" t="inlineStr">
        <is>
          <t>A 29783-2024</t>
        </is>
      </c>
      <c r="B430" s="1" t="n">
        <v>45485.45778935185</v>
      </c>
      <c r="C430" s="1" t="n">
        <v>45893</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4297-2022</t>
        </is>
      </c>
      <c r="B431" s="1" t="n">
        <v>44588</v>
      </c>
      <c r="C431" s="1" t="n">
        <v>45893</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46399-2024</t>
        </is>
      </c>
      <c r="B432" s="1" t="n">
        <v>45582.41200231481</v>
      </c>
      <c r="C432" s="1" t="n">
        <v>45893</v>
      </c>
      <c r="D432" t="inlineStr">
        <is>
          <t>KALMAR LÄN</t>
        </is>
      </c>
      <c r="E432" t="inlineStr">
        <is>
          <t>VIMMERBY</t>
        </is>
      </c>
      <c r="G432" t="n">
        <v>4.6</v>
      </c>
      <c r="H432" t="n">
        <v>0</v>
      </c>
      <c r="I432" t="n">
        <v>0</v>
      </c>
      <c r="J432" t="n">
        <v>0</v>
      </c>
      <c r="K432" t="n">
        <v>0</v>
      </c>
      <c r="L432" t="n">
        <v>0</v>
      </c>
      <c r="M432" t="n">
        <v>0</v>
      </c>
      <c r="N432" t="n">
        <v>0</v>
      </c>
      <c r="O432" t="n">
        <v>0</v>
      </c>
      <c r="P432" t="n">
        <v>0</v>
      </c>
      <c r="Q432" t="n">
        <v>0</v>
      </c>
      <c r="R432" s="2" t="inlineStr"/>
    </row>
    <row r="433" ht="15" customHeight="1">
      <c r="A433" t="inlineStr">
        <is>
          <t>A 22398-2025</t>
        </is>
      </c>
      <c r="B433" s="1" t="n">
        <v>45786.52931712963</v>
      </c>
      <c r="C433" s="1" t="n">
        <v>45893</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22399-2025</t>
        </is>
      </c>
      <c r="B434" s="1" t="n">
        <v>45786.52996527778</v>
      </c>
      <c r="C434" s="1" t="n">
        <v>45893</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22397-2025</t>
        </is>
      </c>
      <c r="B435" s="1" t="n">
        <v>45786.52878472222</v>
      </c>
      <c r="C435" s="1" t="n">
        <v>45893</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35198-2023</t>
        </is>
      </c>
      <c r="B436" s="1" t="n">
        <v>45145</v>
      </c>
      <c r="C436" s="1" t="n">
        <v>45893</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25582-2024</t>
        </is>
      </c>
      <c r="B437" s="1" t="n">
        <v>45463</v>
      </c>
      <c r="C437" s="1" t="n">
        <v>45893</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43853-2023</t>
        </is>
      </c>
      <c r="B438" s="1" t="n">
        <v>45187.60813657408</v>
      </c>
      <c r="C438" s="1" t="n">
        <v>45893</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13532-2025</t>
        </is>
      </c>
      <c r="B439" s="1" t="n">
        <v>45736.50743055555</v>
      </c>
      <c r="C439" s="1" t="n">
        <v>45893</v>
      </c>
      <c r="D439" t="inlineStr">
        <is>
          <t>KALMAR LÄN</t>
        </is>
      </c>
      <c r="E439" t="inlineStr">
        <is>
          <t>VIMMERBY</t>
        </is>
      </c>
      <c r="G439" t="n">
        <v>3.6</v>
      </c>
      <c r="H439" t="n">
        <v>0</v>
      </c>
      <c r="I439" t="n">
        <v>0</v>
      </c>
      <c r="J439" t="n">
        <v>0</v>
      </c>
      <c r="K439" t="n">
        <v>0</v>
      </c>
      <c r="L439" t="n">
        <v>0</v>
      </c>
      <c r="M439" t="n">
        <v>0</v>
      </c>
      <c r="N439" t="n">
        <v>0</v>
      </c>
      <c r="O439" t="n">
        <v>0</v>
      </c>
      <c r="P439" t="n">
        <v>0</v>
      </c>
      <c r="Q439" t="n">
        <v>0</v>
      </c>
      <c r="R439" s="2" t="inlineStr"/>
    </row>
    <row r="440" ht="15" customHeight="1">
      <c r="A440" t="inlineStr">
        <is>
          <t>A 43038-2022</t>
        </is>
      </c>
      <c r="B440" s="1" t="n">
        <v>44833.60123842592</v>
      </c>
      <c r="C440" s="1" t="n">
        <v>45893</v>
      </c>
      <c r="D440" t="inlineStr">
        <is>
          <t>KALMAR LÄN</t>
        </is>
      </c>
      <c r="E440" t="inlineStr">
        <is>
          <t>VIMMERBY</t>
        </is>
      </c>
      <c r="G440" t="n">
        <v>4.2</v>
      </c>
      <c r="H440" t="n">
        <v>0</v>
      </c>
      <c r="I440" t="n">
        <v>0</v>
      </c>
      <c r="J440" t="n">
        <v>0</v>
      </c>
      <c r="K440" t="n">
        <v>0</v>
      </c>
      <c r="L440" t="n">
        <v>0</v>
      </c>
      <c r="M440" t="n">
        <v>0</v>
      </c>
      <c r="N440" t="n">
        <v>0</v>
      </c>
      <c r="O440" t="n">
        <v>0</v>
      </c>
      <c r="P440" t="n">
        <v>0</v>
      </c>
      <c r="Q440" t="n">
        <v>0</v>
      </c>
      <c r="R440" s="2" t="inlineStr"/>
    </row>
    <row r="441" ht="15" customHeight="1">
      <c r="A441" t="inlineStr">
        <is>
          <t>A 9511-2023</t>
        </is>
      </c>
      <c r="B441" s="1" t="n">
        <v>44981.64725694444</v>
      </c>
      <c r="C441" s="1" t="n">
        <v>45893</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44270.39765046296</v>
      </c>
      <c r="C442" s="1" t="n">
        <v>45893</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38757-2023</t>
        </is>
      </c>
      <c r="B443" s="1" t="n">
        <v>45163.41376157408</v>
      </c>
      <c r="C443" s="1" t="n">
        <v>45893</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57578-2024</t>
        </is>
      </c>
      <c r="B444" s="1" t="n">
        <v>45630.47564814815</v>
      </c>
      <c r="C444" s="1" t="n">
        <v>45893</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29973-2023</t>
        </is>
      </c>
      <c r="B445" s="1" t="n">
        <v>45108.703125</v>
      </c>
      <c r="C445" s="1" t="n">
        <v>45893</v>
      </c>
      <c r="D445" t="inlineStr">
        <is>
          <t>KALMAR LÄN</t>
        </is>
      </c>
      <c r="E445" t="inlineStr">
        <is>
          <t>VIMMERBY</t>
        </is>
      </c>
      <c r="G445" t="n">
        <v>4</v>
      </c>
      <c r="H445" t="n">
        <v>0</v>
      </c>
      <c r="I445" t="n">
        <v>0</v>
      </c>
      <c r="J445" t="n">
        <v>0</v>
      </c>
      <c r="K445" t="n">
        <v>0</v>
      </c>
      <c r="L445" t="n">
        <v>0</v>
      </c>
      <c r="M445" t="n">
        <v>0</v>
      </c>
      <c r="N445" t="n">
        <v>0</v>
      </c>
      <c r="O445" t="n">
        <v>0</v>
      </c>
      <c r="P445" t="n">
        <v>0</v>
      </c>
      <c r="Q445" t="n">
        <v>0</v>
      </c>
      <c r="R445" s="2" t="inlineStr"/>
    </row>
    <row r="446" ht="15" customHeight="1">
      <c r="A446" t="inlineStr">
        <is>
          <t>A 64143-2021</t>
        </is>
      </c>
      <c r="B446" s="1" t="n">
        <v>44510.52157407408</v>
      </c>
      <c r="C446" s="1" t="n">
        <v>45893</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73938-2021</t>
        </is>
      </c>
      <c r="B447" s="1" t="n">
        <v>44553</v>
      </c>
      <c r="C447" s="1" t="n">
        <v>45893</v>
      </c>
      <c r="D447" t="inlineStr">
        <is>
          <t>KALMAR LÄN</t>
        </is>
      </c>
      <c r="E447" t="inlineStr">
        <is>
          <t>VIMMERBY</t>
        </is>
      </c>
      <c r="G447" t="n">
        <v>3.2</v>
      </c>
      <c r="H447" t="n">
        <v>0</v>
      </c>
      <c r="I447" t="n">
        <v>0</v>
      </c>
      <c r="J447" t="n">
        <v>0</v>
      </c>
      <c r="K447" t="n">
        <v>0</v>
      </c>
      <c r="L447" t="n">
        <v>0</v>
      </c>
      <c r="M447" t="n">
        <v>0</v>
      </c>
      <c r="N447" t="n">
        <v>0</v>
      </c>
      <c r="O447" t="n">
        <v>0</v>
      </c>
      <c r="P447" t="n">
        <v>0</v>
      </c>
      <c r="Q447" t="n">
        <v>0</v>
      </c>
      <c r="R447" s="2" t="inlineStr"/>
    </row>
    <row r="448" ht="15" customHeight="1">
      <c r="A448" t="inlineStr">
        <is>
          <t>A 57799-2022</t>
        </is>
      </c>
      <c r="B448" s="1" t="n">
        <v>44897</v>
      </c>
      <c r="C448" s="1" t="n">
        <v>45893</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30921-2024</t>
        </is>
      </c>
      <c r="B449" s="1" t="n">
        <v>45498</v>
      </c>
      <c r="C449" s="1" t="n">
        <v>45893</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6307-2025</t>
        </is>
      </c>
      <c r="B450" s="1" t="n">
        <v>45698.69016203703</v>
      </c>
      <c r="C450" s="1" t="n">
        <v>45893</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11442-2025</t>
        </is>
      </c>
      <c r="B451" s="1" t="n">
        <v>45726.62721064815</v>
      </c>
      <c r="C451" s="1" t="n">
        <v>45893</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40076-2021</t>
        </is>
      </c>
      <c r="B452" s="1" t="n">
        <v>44418</v>
      </c>
      <c r="C452" s="1" t="n">
        <v>45893</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14137-2023</t>
        </is>
      </c>
      <c r="B453" s="1" t="n">
        <v>45009.4671875</v>
      </c>
      <c r="C453" s="1" t="n">
        <v>45893</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50648-2023</t>
        </is>
      </c>
      <c r="B454" s="1" t="n">
        <v>45217.47834490741</v>
      </c>
      <c r="C454" s="1" t="n">
        <v>45893</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529-2022</t>
        </is>
      </c>
      <c r="B455" s="1" t="n">
        <v>44566</v>
      </c>
      <c r="C455" s="1" t="n">
        <v>45893</v>
      </c>
      <c r="D455" t="inlineStr">
        <is>
          <t>KALMAR LÄN</t>
        </is>
      </c>
      <c r="E455" t="inlineStr">
        <is>
          <t>VIMMERBY</t>
        </is>
      </c>
      <c r="G455" t="n">
        <v>1.5</v>
      </c>
      <c r="H455" t="n">
        <v>0</v>
      </c>
      <c r="I455" t="n">
        <v>0</v>
      </c>
      <c r="J455" t="n">
        <v>0</v>
      </c>
      <c r="K455" t="n">
        <v>0</v>
      </c>
      <c r="L455" t="n">
        <v>0</v>
      </c>
      <c r="M455" t="n">
        <v>0</v>
      </c>
      <c r="N455" t="n">
        <v>0</v>
      </c>
      <c r="O455" t="n">
        <v>0</v>
      </c>
      <c r="P455" t="n">
        <v>0</v>
      </c>
      <c r="Q455" t="n">
        <v>0</v>
      </c>
      <c r="R455" s="2" t="inlineStr"/>
    </row>
    <row r="456" ht="15" customHeight="1">
      <c r="A456" t="inlineStr">
        <is>
          <t>A 58318-2021</t>
        </is>
      </c>
      <c r="B456" s="1" t="n">
        <v>44488.35878472222</v>
      </c>
      <c r="C456" s="1" t="n">
        <v>45893</v>
      </c>
      <c r="D456" t="inlineStr">
        <is>
          <t>KALMAR LÄN</t>
        </is>
      </c>
      <c r="E456" t="inlineStr">
        <is>
          <t>VIMMERBY</t>
        </is>
      </c>
      <c r="G456" t="n">
        <v>4</v>
      </c>
      <c r="H456" t="n">
        <v>0</v>
      </c>
      <c r="I456" t="n">
        <v>0</v>
      </c>
      <c r="J456" t="n">
        <v>0</v>
      </c>
      <c r="K456" t="n">
        <v>0</v>
      </c>
      <c r="L456" t="n">
        <v>0</v>
      </c>
      <c r="M456" t="n">
        <v>0</v>
      </c>
      <c r="N456" t="n">
        <v>0</v>
      </c>
      <c r="O456" t="n">
        <v>0</v>
      </c>
      <c r="P456" t="n">
        <v>0</v>
      </c>
      <c r="Q456" t="n">
        <v>0</v>
      </c>
      <c r="R456" s="2" t="inlineStr"/>
    </row>
    <row r="457" ht="15" customHeight="1">
      <c r="A457" t="inlineStr">
        <is>
          <t>A 89-2023</t>
        </is>
      </c>
      <c r="B457" s="1" t="n">
        <v>44918</v>
      </c>
      <c r="C457" s="1" t="n">
        <v>45893</v>
      </c>
      <c r="D457" t="inlineStr">
        <is>
          <t>KALMAR LÄN</t>
        </is>
      </c>
      <c r="E457" t="inlineStr">
        <is>
          <t>VIMMERBY</t>
        </is>
      </c>
      <c r="G457" t="n">
        <v>16.1</v>
      </c>
      <c r="H457" t="n">
        <v>0</v>
      </c>
      <c r="I457" t="n">
        <v>0</v>
      </c>
      <c r="J457" t="n">
        <v>0</v>
      </c>
      <c r="K457" t="n">
        <v>0</v>
      </c>
      <c r="L457" t="n">
        <v>0</v>
      </c>
      <c r="M457" t="n">
        <v>0</v>
      </c>
      <c r="N457" t="n">
        <v>0</v>
      </c>
      <c r="O457" t="n">
        <v>0</v>
      </c>
      <c r="P457" t="n">
        <v>0</v>
      </c>
      <c r="Q457" t="n">
        <v>0</v>
      </c>
      <c r="R457" s="2" t="inlineStr"/>
    </row>
    <row r="458" ht="15" customHeight="1">
      <c r="A458" t="inlineStr">
        <is>
          <t>A 11152-2023</t>
        </is>
      </c>
      <c r="B458" s="1" t="n">
        <v>44992</v>
      </c>
      <c r="C458" s="1" t="n">
        <v>45893</v>
      </c>
      <c r="D458" t="inlineStr">
        <is>
          <t>KALMAR LÄN</t>
        </is>
      </c>
      <c r="E458" t="inlineStr">
        <is>
          <t>VIMMERBY</t>
        </is>
      </c>
      <c r="G458" t="n">
        <v>10.6</v>
      </c>
      <c r="H458" t="n">
        <v>0</v>
      </c>
      <c r="I458" t="n">
        <v>0</v>
      </c>
      <c r="J458" t="n">
        <v>0</v>
      </c>
      <c r="K458" t="n">
        <v>0</v>
      </c>
      <c r="L458" t="n">
        <v>0</v>
      </c>
      <c r="M458" t="n">
        <v>0</v>
      </c>
      <c r="N458" t="n">
        <v>0</v>
      </c>
      <c r="O458" t="n">
        <v>0</v>
      </c>
      <c r="P458" t="n">
        <v>0</v>
      </c>
      <c r="Q458" t="n">
        <v>0</v>
      </c>
      <c r="R458" s="2" t="inlineStr"/>
    </row>
    <row r="459" ht="15" customHeight="1">
      <c r="A459" t="inlineStr">
        <is>
          <t>A 23088-2024</t>
        </is>
      </c>
      <c r="B459" s="1" t="n">
        <v>45450.51092592593</v>
      </c>
      <c r="C459" s="1" t="n">
        <v>45893</v>
      </c>
      <c r="D459" t="inlineStr">
        <is>
          <t>KALMAR LÄN</t>
        </is>
      </c>
      <c r="E459" t="inlineStr">
        <is>
          <t>VIMMERBY</t>
        </is>
      </c>
      <c r="G459" t="n">
        <v>1.9</v>
      </c>
      <c r="H459" t="n">
        <v>0</v>
      </c>
      <c r="I459" t="n">
        <v>0</v>
      </c>
      <c r="J459" t="n">
        <v>0</v>
      </c>
      <c r="K459" t="n">
        <v>0</v>
      </c>
      <c r="L459" t="n">
        <v>0</v>
      </c>
      <c r="M459" t="n">
        <v>0</v>
      </c>
      <c r="N459" t="n">
        <v>0</v>
      </c>
      <c r="O459" t="n">
        <v>0</v>
      </c>
      <c r="P459" t="n">
        <v>0</v>
      </c>
      <c r="Q459" t="n">
        <v>0</v>
      </c>
      <c r="R459" s="2" t="inlineStr"/>
    </row>
    <row r="460" ht="15" customHeight="1">
      <c r="A460" t="inlineStr">
        <is>
          <t>A 38851-2023</t>
        </is>
      </c>
      <c r="B460" s="1" t="n">
        <v>45163</v>
      </c>
      <c r="C460" s="1" t="n">
        <v>45893</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10759-2023</t>
        </is>
      </c>
      <c r="B461" s="1" t="n">
        <v>44988</v>
      </c>
      <c r="C461" s="1" t="n">
        <v>45893</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63583-2023</t>
        </is>
      </c>
      <c r="B462" s="1" t="n">
        <v>45275.41833333333</v>
      </c>
      <c r="C462" s="1" t="n">
        <v>45893</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40079-2023</t>
        </is>
      </c>
      <c r="B463" s="1" t="n">
        <v>45168.89298611111</v>
      </c>
      <c r="C463" s="1" t="n">
        <v>45893</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12499-2023</t>
        </is>
      </c>
      <c r="B464" s="1" t="n">
        <v>44999.86172453704</v>
      </c>
      <c r="C464" s="1" t="n">
        <v>45893</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12500-2023</t>
        </is>
      </c>
      <c r="B465" s="1" t="n">
        <v>44999.8625</v>
      </c>
      <c r="C465" s="1" t="n">
        <v>45893</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35846-2023</t>
        </is>
      </c>
      <c r="B466" s="1" t="n">
        <v>45148</v>
      </c>
      <c r="C466" s="1" t="n">
        <v>45893</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43774-2023</t>
        </is>
      </c>
      <c r="B467" s="1" t="n">
        <v>45187</v>
      </c>
      <c r="C467" s="1" t="n">
        <v>45893</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49039-2021</t>
        </is>
      </c>
      <c r="B468" s="1" t="n">
        <v>44453.56578703703</v>
      </c>
      <c r="C468" s="1" t="n">
        <v>45893</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29616-2022</t>
        </is>
      </c>
      <c r="B469" s="1" t="n">
        <v>44754</v>
      </c>
      <c r="C469" s="1" t="n">
        <v>45893</v>
      </c>
      <c r="D469" t="inlineStr">
        <is>
          <t>KALMAR LÄN</t>
        </is>
      </c>
      <c r="E469" t="inlineStr">
        <is>
          <t>VIMMERBY</t>
        </is>
      </c>
      <c r="G469" t="n">
        <v>1.1</v>
      </c>
      <c r="H469" t="n">
        <v>0</v>
      </c>
      <c r="I469" t="n">
        <v>0</v>
      </c>
      <c r="J469" t="n">
        <v>0</v>
      </c>
      <c r="K469" t="n">
        <v>0</v>
      </c>
      <c r="L469" t="n">
        <v>0</v>
      </c>
      <c r="M469" t="n">
        <v>0</v>
      </c>
      <c r="N469" t="n">
        <v>0</v>
      </c>
      <c r="O469" t="n">
        <v>0</v>
      </c>
      <c r="P469" t="n">
        <v>0</v>
      </c>
      <c r="Q469" t="n">
        <v>0</v>
      </c>
      <c r="R469" s="2" t="inlineStr"/>
    </row>
    <row r="470" ht="15" customHeight="1">
      <c r="A470" t="inlineStr">
        <is>
          <t>A 23394-2025</t>
        </is>
      </c>
      <c r="B470" s="1" t="n">
        <v>45791.89865740741</v>
      </c>
      <c r="C470" s="1" t="n">
        <v>45893</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39578-2024</t>
        </is>
      </c>
      <c r="B471" s="1" t="n">
        <v>45552.36484953704</v>
      </c>
      <c r="C471" s="1" t="n">
        <v>45893</v>
      </c>
      <c r="D471" t="inlineStr">
        <is>
          <t>KALMAR LÄN</t>
        </is>
      </c>
      <c r="E471" t="inlineStr">
        <is>
          <t>VIMMERBY</t>
        </is>
      </c>
      <c r="G471" t="n">
        <v>1.5</v>
      </c>
      <c r="H471" t="n">
        <v>0</v>
      </c>
      <c r="I471" t="n">
        <v>0</v>
      </c>
      <c r="J471" t="n">
        <v>0</v>
      </c>
      <c r="K471" t="n">
        <v>0</v>
      </c>
      <c r="L471" t="n">
        <v>0</v>
      </c>
      <c r="M471" t="n">
        <v>0</v>
      </c>
      <c r="N471" t="n">
        <v>0</v>
      </c>
      <c r="O471" t="n">
        <v>0</v>
      </c>
      <c r="P471" t="n">
        <v>0</v>
      </c>
      <c r="Q471" t="n">
        <v>0</v>
      </c>
      <c r="R471" s="2" t="inlineStr"/>
    </row>
    <row r="472" ht="15" customHeight="1">
      <c r="A472" t="inlineStr">
        <is>
          <t>A 24707-2024</t>
        </is>
      </c>
      <c r="B472" s="1" t="n">
        <v>45460.62172453704</v>
      </c>
      <c r="C472" s="1" t="n">
        <v>45893</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46224-2024</t>
        </is>
      </c>
      <c r="B473" s="1" t="n">
        <v>45581.57016203704</v>
      </c>
      <c r="C473" s="1" t="n">
        <v>45893</v>
      </c>
      <c r="D473" t="inlineStr">
        <is>
          <t>KALMAR LÄN</t>
        </is>
      </c>
      <c r="E473" t="inlineStr">
        <is>
          <t>VIMMERBY</t>
        </is>
      </c>
      <c r="G473" t="n">
        <v>3.1</v>
      </c>
      <c r="H473" t="n">
        <v>0</v>
      </c>
      <c r="I473" t="n">
        <v>0</v>
      </c>
      <c r="J473" t="n">
        <v>0</v>
      </c>
      <c r="K473" t="n">
        <v>0</v>
      </c>
      <c r="L473" t="n">
        <v>0</v>
      </c>
      <c r="M473" t="n">
        <v>0</v>
      </c>
      <c r="N473" t="n">
        <v>0</v>
      </c>
      <c r="O473" t="n">
        <v>0</v>
      </c>
      <c r="P473" t="n">
        <v>0</v>
      </c>
      <c r="Q473" t="n">
        <v>0</v>
      </c>
      <c r="R473" s="2" t="inlineStr"/>
    </row>
    <row r="474" ht="15" customHeight="1">
      <c r="A474" t="inlineStr">
        <is>
          <t>A 46238-2024</t>
        </is>
      </c>
      <c r="B474" s="1" t="n">
        <v>45581.58418981481</v>
      </c>
      <c r="C474" s="1" t="n">
        <v>45893</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30633-2024</t>
        </is>
      </c>
      <c r="B475" s="1" t="n">
        <v>45495</v>
      </c>
      <c r="C475" s="1" t="n">
        <v>45893</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54838-2024</t>
        </is>
      </c>
      <c r="B476" s="1" t="n">
        <v>45618.56787037037</v>
      </c>
      <c r="C476" s="1" t="n">
        <v>45893</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6405-2025</t>
        </is>
      </c>
      <c r="B477" s="1" t="n">
        <v>45699.45392361111</v>
      </c>
      <c r="C477" s="1" t="n">
        <v>45893</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31056-2022</t>
        </is>
      </c>
      <c r="B478" s="1" t="n">
        <v>44769.45805555556</v>
      </c>
      <c r="C478" s="1" t="n">
        <v>45893</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33383-2023</t>
        </is>
      </c>
      <c r="B479" s="1" t="n">
        <v>45128.58414351852</v>
      </c>
      <c r="C479" s="1" t="n">
        <v>45893</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54917-2020</t>
        </is>
      </c>
      <c r="B480" s="1" t="n">
        <v>44127</v>
      </c>
      <c r="C480" s="1" t="n">
        <v>45893</v>
      </c>
      <c r="D480" t="inlineStr">
        <is>
          <t>KALMAR LÄN</t>
        </is>
      </c>
      <c r="E480" t="inlineStr">
        <is>
          <t>VIMMERBY</t>
        </is>
      </c>
      <c r="G480" t="n">
        <v>9.5</v>
      </c>
      <c r="H480" t="n">
        <v>0</v>
      </c>
      <c r="I480" t="n">
        <v>0</v>
      </c>
      <c r="J480" t="n">
        <v>0</v>
      </c>
      <c r="K480" t="n">
        <v>0</v>
      </c>
      <c r="L480" t="n">
        <v>0</v>
      </c>
      <c r="M480" t="n">
        <v>0</v>
      </c>
      <c r="N480" t="n">
        <v>0</v>
      </c>
      <c r="O480" t="n">
        <v>0</v>
      </c>
      <c r="P480" t="n">
        <v>0</v>
      </c>
      <c r="Q480" t="n">
        <v>0</v>
      </c>
      <c r="R480" s="2" t="inlineStr"/>
    </row>
    <row r="481" ht="15" customHeight="1">
      <c r="A481" t="inlineStr">
        <is>
          <t>A 60437-2023</t>
        </is>
      </c>
      <c r="B481" s="1" t="n">
        <v>45259.51916666667</v>
      </c>
      <c r="C481" s="1" t="n">
        <v>45893</v>
      </c>
      <c r="D481" t="inlineStr">
        <is>
          <t>KALMAR LÄN</t>
        </is>
      </c>
      <c r="E481" t="inlineStr">
        <is>
          <t>VIMMERBY</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60438-2023</t>
        </is>
      </c>
      <c r="B482" s="1" t="n">
        <v>45259.52020833334</v>
      </c>
      <c r="C482" s="1" t="n">
        <v>45893</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45893</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42165-2024</t>
        </is>
      </c>
      <c r="B484" s="1" t="n">
        <v>45562.46342592593</v>
      </c>
      <c r="C484" s="1" t="n">
        <v>45893</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23984-2025</t>
        </is>
      </c>
      <c r="B485" s="1" t="n">
        <v>45796</v>
      </c>
      <c r="C485" s="1" t="n">
        <v>45893</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61861-2024</t>
        </is>
      </c>
      <c r="B486" s="1" t="n">
        <v>45650.37370370371</v>
      </c>
      <c r="C486" s="1" t="n">
        <v>45893</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15976-2025</t>
        </is>
      </c>
      <c r="B487" s="1" t="n">
        <v>45749.56196759259</v>
      </c>
      <c r="C487" s="1" t="n">
        <v>45893</v>
      </c>
      <c r="D487" t="inlineStr">
        <is>
          <t>KALMAR LÄN</t>
        </is>
      </c>
      <c r="E487" t="inlineStr">
        <is>
          <t>VIMMERBY</t>
        </is>
      </c>
      <c r="F487" t="inlineStr">
        <is>
          <t>Kommuner</t>
        </is>
      </c>
      <c r="G487" t="n">
        <v>2.5</v>
      </c>
      <c r="H487" t="n">
        <v>0</v>
      </c>
      <c r="I487" t="n">
        <v>0</v>
      </c>
      <c r="J487" t="n">
        <v>0</v>
      </c>
      <c r="K487" t="n">
        <v>0</v>
      </c>
      <c r="L487" t="n">
        <v>0</v>
      </c>
      <c r="M487" t="n">
        <v>0</v>
      </c>
      <c r="N487" t="n">
        <v>0</v>
      </c>
      <c r="O487" t="n">
        <v>0</v>
      </c>
      <c r="P487" t="n">
        <v>0</v>
      </c>
      <c r="Q487" t="n">
        <v>0</v>
      </c>
      <c r="R487" s="2" t="inlineStr"/>
    </row>
    <row r="488" ht="15" customHeight="1">
      <c r="A488" t="inlineStr">
        <is>
          <t>A 25244-2023</t>
        </is>
      </c>
      <c r="B488" s="1" t="n">
        <v>45086</v>
      </c>
      <c r="C488" s="1" t="n">
        <v>45893</v>
      </c>
      <c r="D488" t="inlineStr">
        <is>
          <t>KALMAR LÄN</t>
        </is>
      </c>
      <c r="E488" t="inlineStr">
        <is>
          <t>VIMMERBY</t>
        </is>
      </c>
      <c r="G488" t="n">
        <v>4.7</v>
      </c>
      <c r="H488" t="n">
        <v>0</v>
      </c>
      <c r="I488" t="n">
        <v>0</v>
      </c>
      <c r="J488" t="n">
        <v>0</v>
      </c>
      <c r="K488" t="n">
        <v>0</v>
      </c>
      <c r="L488" t="n">
        <v>0</v>
      </c>
      <c r="M488" t="n">
        <v>0</v>
      </c>
      <c r="N488" t="n">
        <v>0</v>
      </c>
      <c r="O488" t="n">
        <v>0</v>
      </c>
      <c r="P488" t="n">
        <v>0</v>
      </c>
      <c r="Q488" t="n">
        <v>0</v>
      </c>
      <c r="R488" s="2" t="inlineStr"/>
    </row>
    <row r="489" ht="15" customHeight="1">
      <c r="A489" t="inlineStr">
        <is>
          <t>A 8650-2022</t>
        </is>
      </c>
      <c r="B489" s="1" t="n">
        <v>44613</v>
      </c>
      <c r="C489" s="1" t="n">
        <v>45893</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33340-2023</t>
        </is>
      </c>
      <c r="B490" s="1" t="n">
        <v>45128.37305555555</v>
      </c>
      <c r="C490" s="1" t="n">
        <v>45893</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45893</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66022-2021</t>
        </is>
      </c>
      <c r="B492" s="1" t="n">
        <v>44517</v>
      </c>
      <c r="C492" s="1" t="n">
        <v>45893</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37323-2024</t>
        </is>
      </c>
      <c r="B493" s="1" t="n">
        <v>45540.50098379629</v>
      </c>
      <c r="C493" s="1" t="n">
        <v>45893</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35895-2024</t>
        </is>
      </c>
      <c r="B494" s="1" t="n">
        <v>45533.38870370371</v>
      </c>
      <c r="C494" s="1" t="n">
        <v>45893</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11073-2023</t>
        </is>
      </c>
      <c r="B495" s="1" t="n">
        <v>44992</v>
      </c>
      <c r="C495" s="1" t="n">
        <v>45893</v>
      </c>
      <c r="D495" t="inlineStr">
        <is>
          <t>KALMAR LÄN</t>
        </is>
      </c>
      <c r="E495" t="inlineStr">
        <is>
          <t>VIMMERBY</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17-2025</t>
        </is>
      </c>
      <c r="B496" s="1" t="n">
        <v>45658.78774305555</v>
      </c>
      <c r="C496" s="1" t="n">
        <v>45893</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32655-2023</t>
        </is>
      </c>
      <c r="B497" s="1" t="n">
        <v>45121.61318287037</v>
      </c>
      <c r="C497" s="1" t="n">
        <v>45893</v>
      </c>
      <c r="D497" t="inlineStr">
        <is>
          <t>KALMAR LÄN</t>
        </is>
      </c>
      <c r="E497" t="inlineStr">
        <is>
          <t>VIMMERBY</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63541-2023</t>
        </is>
      </c>
      <c r="B498" s="1" t="n">
        <v>45275.32266203704</v>
      </c>
      <c r="C498" s="1" t="n">
        <v>45893</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28034-2022</t>
        </is>
      </c>
      <c r="B499" s="1" t="n">
        <v>44746.38834490741</v>
      </c>
      <c r="C499" s="1" t="n">
        <v>45893</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35082-2024</t>
        </is>
      </c>
      <c r="B500" s="1" t="n">
        <v>45527.68784722222</v>
      </c>
      <c r="C500" s="1" t="n">
        <v>45893</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5938-2022</t>
        </is>
      </c>
      <c r="B501" s="1" t="n">
        <v>44598</v>
      </c>
      <c r="C501" s="1" t="n">
        <v>45893</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51278-2024</t>
        </is>
      </c>
      <c r="B502" s="1" t="n">
        <v>45603.74959490741</v>
      </c>
      <c r="C502" s="1" t="n">
        <v>45893</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24283-2023</t>
        </is>
      </c>
      <c r="B503" s="1" t="n">
        <v>45079.87827546296</v>
      </c>
      <c r="C503" s="1" t="n">
        <v>45893</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18501-2024</t>
        </is>
      </c>
      <c r="B504" s="1" t="n">
        <v>45425.57538194444</v>
      </c>
      <c r="C504" s="1" t="n">
        <v>45893</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27758-2024</t>
        </is>
      </c>
      <c r="B505" s="1" t="n">
        <v>45475.48303240741</v>
      </c>
      <c r="C505" s="1" t="n">
        <v>45893</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13307-2025</t>
        </is>
      </c>
      <c r="B506" s="1" t="n">
        <v>45735.58024305556</v>
      </c>
      <c r="C506" s="1" t="n">
        <v>45893</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2462-2022</t>
        </is>
      </c>
      <c r="B507" s="1" t="n">
        <v>44579.62225694444</v>
      </c>
      <c r="C507" s="1" t="n">
        <v>45893</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60228-2021</t>
        </is>
      </c>
      <c r="B508" s="1" t="n">
        <v>44495</v>
      </c>
      <c r="C508" s="1" t="n">
        <v>45893</v>
      </c>
      <c r="D508" t="inlineStr">
        <is>
          <t>KALMAR LÄN</t>
        </is>
      </c>
      <c r="E508" t="inlineStr">
        <is>
          <t>VIMMERBY</t>
        </is>
      </c>
      <c r="G508" t="n">
        <v>4.1</v>
      </c>
      <c r="H508" t="n">
        <v>0</v>
      </c>
      <c r="I508" t="n">
        <v>0</v>
      </c>
      <c r="J508" t="n">
        <v>0</v>
      </c>
      <c r="K508" t="n">
        <v>0</v>
      </c>
      <c r="L508" t="n">
        <v>0</v>
      </c>
      <c r="M508" t="n">
        <v>0</v>
      </c>
      <c r="N508" t="n">
        <v>0</v>
      </c>
      <c r="O508" t="n">
        <v>0</v>
      </c>
      <c r="P508" t="n">
        <v>0</v>
      </c>
      <c r="Q508" t="n">
        <v>0</v>
      </c>
      <c r="R508" s="2" t="inlineStr"/>
    </row>
    <row r="509" ht="15" customHeight="1">
      <c r="A509" t="inlineStr">
        <is>
          <t>A 25979-2023</t>
        </is>
      </c>
      <c r="B509" s="1" t="n">
        <v>45090.89653935185</v>
      </c>
      <c r="C509" s="1" t="n">
        <v>45893</v>
      </c>
      <c r="D509" t="inlineStr">
        <is>
          <t>KALMAR LÄN</t>
        </is>
      </c>
      <c r="E509" t="inlineStr">
        <is>
          <t>VIMMERBY</t>
        </is>
      </c>
      <c r="G509" t="n">
        <v>2</v>
      </c>
      <c r="H509" t="n">
        <v>0</v>
      </c>
      <c r="I509" t="n">
        <v>0</v>
      </c>
      <c r="J509" t="n">
        <v>0</v>
      </c>
      <c r="K509" t="n">
        <v>0</v>
      </c>
      <c r="L509" t="n">
        <v>0</v>
      </c>
      <c r="M509" t="n">
        <v>0</v>
      </c>
      <c r="N509" t="n">
        <v>0</v>
      </c>
      <c r="O509" t="n">
        <v>0</v>
      </c>
      <c r="P509" t="n">
        <v>0</v>
      </c>
      <c r="Q509" t="n">
        <v>0</v>
      </c>
      <c r="R509" s="2" t="inlineStr"/>
    </row>
    <row r="510" ht="15" customHeight="1">
      <c r="A510" t="inlineStr">
        <is>
          <t>A 25980-2023</t>
        </is>
      </c>
      <c r="B510" s="1" t="n">
        <v>45090.89880787037</v>
      </c>
      <c r="C510" s="1" t="n">
        <v>45893</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55716-2023</t>
        </is>
      </c>
      <c r="B511" s="1" t="n">
        <v>45232</v>
      </c>
      <c r="C511" s="1" t="n">
        <v>45893</v>
      </c>
      <c r="D511" t="inlineStr">
        <is>
          <t>KALMAR LÄN</t>
        </is>
      </c>
      <c r="E511" t="inlineStr">
        <is>
          <t>VIMMERBY</t>
        </is>
      </c>
      <c r="G511" t="n">
        <v>2.3</v>
      </c>
      <c r="H511" t="n">
        <v>0</v>
      </c>
      <c r="I511" t="n">
        <v>0</v>
      </c>
      <c r="J511" t="n">
        <v>0</v>
      </c>
      <c r="K511" t="n">
        <v>0</v>
      </c>
      <c r="L511" t="n">
        <v>0</v>
      </c>
      <c r="M511" t="n">
        <v>0</v>
      </c>
      <c r="N511" t="n">
        <v>0</v>
      </c>
      <c r="O511" t="n">
        <v>0</v>
      </c>
      <c r="P511" t="n">
        <v>0</v>
      </c>
      <c r="Q511" t="n">
        <v>0</v>
      </c>
      <c r="R511" s="2" t="inlineStr"/>
    </row>
    <row r="512" ht="15" customHeight="1">
      <c r="A512" t="inlineStr">
        <is>
          <t>A 12510-2022</t>
        </is>
      </c>
      <c r="B512" s="1" t="n">
        <v>44638.55256944444</v>
      </c>
      <c r="C512" s="1" t="n">
        <v>45893</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6358-2022</t>
        </is>
      </c>
      <c r="B513" s="1" t="n">
        <v>44600</v>
      </c>
      <c r="C513" s="1" t="n">
        <v>45893</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18329-2023</t>
        </is>
      </c>
      <c r="B514" s="1" t="n">
        <v>45041.63380787037</v>
      </c>
      <c r="C514" s="1" t="n">
        <v>45893</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45893</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9456-2025</t>
        </is>
      </c>
      <c r="B516" s="1" t="n">
        <v>45715.44159722222</v>
      </c>
      <c r="C516" s="1" t="n">
        <v>45893</v>
      </c>
      <c r="D516" t="inlineStr">
        <is>
          <t>KALMAR LÄN</t>
        </is>
      </c>
      <c r="E516" t="inlineStr">
        <is>
          <t>VIMMERBY</t>
        </is>
      </c>
      <c r="G516" t="n">
        <v>1.5</v>
      </c>
      <c r="H516" t="n">
        <v>0</v>
      </c>
      <c r="I516" t="n">
        <v>0</v>
      </c>
      <c r="J516" t="n">
        <v>0</v>
      </c>
      <c r="K516" t="n">
        <v>0</v>
      </c>
      <c r="L516" t="n">
        <v>0</v>
      </c>
      <c r="M516" t="n">
        <v>0</v>
      </c>
      <c r="N516" t="n">
        <v>0</v>
      </c>
      <c r="O516" t="n">
        <v>0</v>
      </c>
      <c r="P516" t="n">
        <v>0</v>
      </c>
      <c r="Q516" t="n">
        <v>0</v>
      </c>
      <c r="R516" s="2" t="inlineStr"/>
    </row>
    <row r="517" ht="15" customHeight="1">
      <c r="A517" t="inlineStr">
        <is>
          <t>A 11111-2023</t>
        </is>
      </c>
      <c r="B517" s="1" t="n">
        <v>44992.4255787037</v>
      </c>
      <c r="C517" s="1" t="n">
        <v>45893</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29186-2024</t>
        </is>
      </c>
      <c r="B518" s="1" t="n">
        <v>45482.54844907407</v>
      </c>
      <c r="C518" s="1" t="n">
        <v>45893</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50993-2022</t>
        </is>
      </c>
      <c r="B519" s="1" t="n">
        <v>44867</v>
      </c>
      <c r="C519" s="1" t="n">
        <v>45893</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45893</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54787-2023</t>
        </is>
      </c>
      <c r="B521" s="1" t="n">
        <v>45236</v>
      </c>
      <c r="C521" s="1" t="n">
        <v>45893</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44582-2024</t>
        </is>
      </c>
      <c r="B522" s="1" t="n">
        <v>45574.49298611111</v>
      </c>
      <c r="C522" s="1" t="n">
        <v>45893</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32614-2023</t>
        </is>
      </c>
      <c r="B523" s="1" t="n">
        <v>45121</v>
      </c>
      <c r="C523" s="1" t="n">
        <v>45893</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6850-2023</t>
        </is>
      </c>
      <c r="B524" s="1" t="n">
        <v>44967.44255787037</v>
      </c>
      <c r="C524" s="1" t="n">
        <v>45893</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58750-2022</t>
        </is>
      </c>
      <c r="B525" s="1" t="n">
        <v>44903.33363425926</v>
      </c>
      <c r="C525" s="1" t="n">
        <v>45893</v>
      </c>
      <c r="D525" t="inlineStr">
        <is>
          <t>KALMAR LÄN</t>
        </is>
      </c>
      <c r="E525" t="inlineStr">
        <is>
          <t>VIMMERBY</t>
        </is>
      </c>
      <c r="G525" t="n">
        <v>3.3</v>
      </c>
      <c r="H525" t="n">
        <v>0</v>
      </c>
      <c r="I525" t="n">
        <v>0</v>
      </c>
      <c r="J525" t="n">
        <v>0</v>
      </c>
      <c r="K525" t="n">
        <v>0</v>
      </c>
      <c r="L525" t="n">
        <v>0</v>
      </c>
      <c r="M525" t="n">
        <v>0</v>
      </c>
      <c r="N525" t="n">
        <v>0</v>
      </c>
      <c r="O525" t="n">
        <v>0</v>
      </c>
      <c r="P525" t="n">
        <v>0</v>
      </c>
      <c r="Q525" t="n">
        <v>0</v>
      </c>
      <c r="R525" s="2" t="inlineStr"/>
    </row>
    <row r="526" ht="15" customHeight="1">
      <c r="A526" t="inlineStr">
        <is>
          <t>A 15494-2024</t>
        </is>
      </c>
      <c r="B526" s="1" t="n">
        <v>45401.53033564815</v>
      </c>
      <c r="C526" s="1" t="n">
        <v>45893</v>
      </c>
      <c r="D526" t="inlineStr">
        <is>
          <t>KALMAR LÄN</t>
        </is>
      </c>
      <c r="E526" t="inlineStr">
        <is>
          <t>VIMMERBY</t>
        </is>
      </c>
      <c r="G526" t="n">
        <v>3.2</v>
      </c>
      <c r="H526" t="n">
        <v>0</v>
      </c>
      <c r="I526" t="n">
        <v>0</v>
      </c>
      <c r="J526" t="n">
        <v>0</v>
      </c>
      <c r="K526" t="n">
        <v>0</v>
      </c>
      <c r="L526" t="n">
        <v>0</v>
      </c>
      <c r="M526" t="n">
        <v>0</v>
      </c>
      <c r="N526" t="n">
        <v>0</v>
      </c>
      <c r="O526" t="n">
        <v>0</v>
      </c>
      <c r="P526" t="n">
        <v>0</v>
      </c>
      <c r="Q526" t="n">
        <v>0</v>
      </c>
      <c r="R526" s="2" t="inlineStr"/>
    </row>
    <row r="527" ht="15" customHeight="1">
      <c r="A527" t="inlineStr">
        <is>
          <t>A 57256-2023</t>
        </is>
      </c>
      <c r="B527" s="1" t="n">
        <v>45245.5735300926</v>
      </c>
      <c r="C527" s="1" t="n">
        <v>45893</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17482-2024</t>
        </is>
      </c>
      <c r="B528" s="1" t="n">
        <v>45415.47848379629</v>
      </c>
      <c r="C528" s="1" t="n">
        <v>45893</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58724-2024</t>
        </is>
      </c>
      <c r="B529" s="1" t="n">
        <v>45635.66409722222</v>
      </c>
      <c r="C529" s="1" t="n">
        <v>45893</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41158-2023</t>
        </is>
      </c>
      <c r="B530" s="1" t="n">
        <v>45174.31395833333</v>
      </c>
      <c r="C530" s="1" t="n">
        <v>45893</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55123-2024</t>
        </is>
      </c>
      <c r="B531" s="1" t="n">
        <v>45621.46103009259</v>
      </c>
      <c r="C531" s="1" t="n">
        <v>45893</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2510-2023</t>
        </is>
      </c>
      <c r="B532" s="1" t="n">
        <v>44943.57309027778</v>
      </c>
      <c r="C532" s="1" t="n">
        <v>45893</v>
      </c>
      <c r="D532" t="inlineStr">
        <is>
          <t>KALMAR LÄN</t>
        </is>
      </c>
      <c r="E532" t="inlineStr">
        <is>
          <t>VIMMERBY</t>
        </is>
      </c>
      <c r="G532" t="n">
        <v>8.6</v>
      </c>
      <c r="H532" t="n">
        <v>0</v>
      </c>
      <c r="I532" t="n">
        <v>0</v>
      </c>
      <c r="J532" t="n">
        <v>0</v>
      </c>
      <c r="K532" t="n">
        <v>0</v>
      </c>
      <c r="L532" t="n">
        <v>0</v>
      </c>
      <c r="M532" t="n">
        <v>0</v>
      </c>
      <c r="N532" t="n">
        <v>0</v>
      </c>
      <c r="O532" t="n">
        <v>0</v>
      </c>
      <c r="P532" t="n">
        <v>0</v>
      </c>
      <c r="Q532" t="n">
        <v>0</v>
      </c>
      <c r="R532" s="2" t="inlineStr"/>
    </row>
    <row r="533" ht="15" customHeight="1">
      <c r="A533" t="inlineStr">
        <is>
          <t>A 25792-2025</t>
        </is>
      </c>
      <c r="B533" s="1" t="n">
        <v>45804.39141203704</v>
      </c>
      <c r="C533" s="1" t="n">
        <v>45893</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26006-2025</t>
        </is>
      </c>
      <c r="B534" s="1" t="n">
        <v>45804.67065972222</v>
      </c>
      <c r="C534" s="1" t="n">
        <v>45893</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26039-2025</t>
        </is>
      </c>
      <c r="B535" s="1" t="n">
        <v>45804.6953587963</v>
      </c>
      <c r="C535" s="1" t="n">
        <v>45893</v>
      </c>
      <c r="D535" t="inlineStr">
        <is>
          <t>KALMAR LÄN</t>
        </is>
      </c>
      <c r="E535" t="inlineStr">
        <is>
          <t>VIMMERBY</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49313-2022</t>
        </is>
      </c>
      <c r="B536" s="1" t="n">
        <v>44861.52505787037</v>
      </c>
      <c r="C536" s="1" t="n">
        <v>45893</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1987-2024</t>
        </is>
      </c>
      <c r="B537" s="1" t="n">
        <v>45308.61152777778</v>
      </c>
      <c r="C537" s="1" t="n">
        <v>45893</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26046-2025</t>
        </is>
      </c>
      <c r="B538" s="1" t="n">
        <v>45804.708125</v>
      </c>
      <c r="C538" s="1" t="n">
        <v>45893</v>
      </c>
      <c r="D538" t="inlineStr">
        <is>
          <t>KALMAR LÄN</t>
        </is>
      </c>
      <c r="E538" t="inlineStr">
        <is>
          <t>VIMMERBY</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45893</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45893</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42494-2020</t>
        </is>
      </c>
      <c r="B541" s="1" t="n">
        <v>44077</v>
      </c>
      <c r="C541" s="1" t="n">
        <v>45893</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26124-2025</t>
        </is>
      </c>
      <c r="B542" s="1" t="n">
        <v>45805.39247685186</v>
      </c>
      <c r="C542" s="1" t="n">
        <v>45893</v>
      </c>
      <c r="D542" t="inlineStr">
        <is>
          <t>KALMAR LÄN</t>
        </is>
      </c>
      <c r="E542" t="inlineStr">
        <is>
          <t>VIMMERBY</t>
        </is>
      </c>
      <c r="G542" t="n">
        <v>6.6</v>
      </c>
      <c r="H542" t="n">
        <v>0</v>
      </c>
      <c r="I542" t="n">
        <v>0</v>
      </c>
      <c r="J542" t="n">
        <v>0</v>
      </c>
      <c r="K542" t="n">
        <v>0</v>
      </c>
      <c r="L542" t="n">
        <v>0</v>
      </c>
      <c r="M542" t="n">
        <v>0</v>
      </c>
      <c r="N542" t="n">
        <v>0</v>
      </c>
      <c r="O542" t="n">
        <v>0</v>
      </c>
      <c r="P542" t="n">
        <v>0</v>
      </c>
      <c r="Q542" t="n">
        <v>0</v>
      </c>
      <c r="R542" s="2" t="inlineStr"/>
    </row>
    <row r="543" ht="15" customHeight="1">
      <c r="A543" t="inlineStr">
        <is>
          <t>A 6368-2023</t>
        </is>
      </c>
      <c r="B543" s="1" t="n">
        <v>44965</v>
      </c>
      <c r="C543" s="1" t="n">
        <v>45893</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21507-2023</t>
        </is>
      </c>
      <c r="B544" s="1" t="n">
        <v>45063.508125</v>
      </c>
      <c r="C544" s="1" t="n">
        <v>45893</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57189-2022</t>
        </is>
      </c>
      <c r="B545" s="1" t="n">
        <v>44895.62296296296</v>
      </c>
      <c r="C545" s="1" t="n">
        <v>45893</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48673-2021</t>
        </is>
      </c>
      <c r="B546" s="1" t="n">
        <v>44452</v>
      </c>
      <c r="C546" s="1" t="n">
        <v>45893</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9416-2024</t>
        </is>
      </c>
      <c r="B547" s="1" t="n">
        <v>45359.44837962963</v>
      </c>
      <c r="C547" s="1" t="n">
        <v>45893</v>
      </c>
      <c r="D547" t="inlineStr">
        <is>
          <t>KALMAR LÄN</t>
        </is>
      </c>
      <c r="E547" t="inlineStr">
        <is>
          <t>VIMMERBY</t>
        </is>
      </c>
      <c r="G547" t="n">
        <v>3.2</v>
      </c>
      <c r="H547" t="n">
        <v>0</v>
      </c>
      <c r="I547" t="n">
        <v>0</v>
      </c>
      <c r="J547" t="n">
        <v>0</v>
      </c>
      <c r="K547" t="n">
        <v>0</v>
      </c>
      <c r="L547" t="n">
        <v>0</v>
      </c>
      <c r="M547" t="n">
        <v>0</v>
      </c>
      <c r="N547" t="n">
        <v>0</v>
      </c>
      <c r="O547" t="n">
        <v>0</v>
      </c>
      <c r="P547" t="n">
        <v>0</v>
      </c>
      <c r="Q547" t="n">
        <v>0</v>
      </c>
      <c r="R547" s="2" t="inlineStr"/>
    </row>
    <row r="548" ht="15" customHeight="1">
      <c r="A548" t="inlineStr">
        <is>
          <t>A 26207-2025</t>
        </is>
      </c>
      <c r="B548" s="1" t="n">
        <v>45805.52983796296</v>
      </c>
      <c r="C548" s="1" t="n">
        <v>45893</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14248-2023</t>
        </is>
      </c>
      <c r="B549" s="1" t="n">
        <v>45009</v>
      </c>
      <c r="C549" s="1" t="n">
        <v>45893</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12480-2024</t>
        </is>
      </c>
      <c r="B550" s="1" t="n">
        <v>45379</v>
      </c>
      <c r="C550" s="1" t="n">
        <v>45893</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25830-2025</t>
        </is>
      </c>
      <c r="B551" s="1" t="n">
        <v>45804.44519675926</v>
      </c>
      <c r="C551" s="1" t="n">
        <v>45893</v>
      </c>
      <c r="D551" t="inlineStr">
        <is>
          <t>KALMAR LÄN</t>
        </is>
      </c>
      <c r="E551" t="inlineStr">
        <is>
          <t>VIMMERBY</t>
        </is>
      </c>
      <c r="G551" t="n">
        <v>4.9</v>
      </c>
      <c r="H551" t="n">
        <v>0</v>
      </c>
      <c r="I551" t="n">
        <v>0</v>
      </c>
      <c r="J551" t="n">
        <v>0</v>
      </c>
      <c r="K551" t="n">
        <v>0</v>
      </c>
      <c r="L551" t="n">
        <v>0</v>
      </c>
      <c r="M551" t="n">
        <v>0</v>
      </c>
      <c r="N551" t="n">
        <v>0</v>
      </c>
      <c r="O551" t="n">
        <v>0</v>
      </c>
      <c r="P551" t="n">
        <v>0</v>
      </c>
      <c r="Q551" t="n">
        <v>0</v>
      </c>
      <c r="R551" s="2" t="inlineStr"/>
    </row>
    <row r="552" ht="15" customHeight="1">
      <c r="A552" t="inlineStr">
        <is>
          <t>A 26254-2025</t>
        </is>
      </c>
      <c r="B552" s="1" t="n">
        <v>45805</v>
      </c>
      <c r="C552" s="1" t="n">
        <v>45893</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10211-2025</t>
        </is>
      </c>
      <c r="B553" s="1" t="n">
        <v>45719.84378472222</v>
      </c>
      <c r="C553" s="1" t="n">
        <v>45893</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2797-2023</t>
        </is>
      </c>
      <c r="B554" s="1" t="n">
        <v>44944.71386574074</v>
      </c>
      <c r="C554" s="1" t="n">
        <v>45893</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2799-2023</t>
        </is>
      </c>
      <c r="B555" s="1" t="n">
        <v>44944.72100694444</v>
      </c>
      <c r="C555" s="1" t="n">
        <v>45893</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25987-2024</t>
        </is>
      </c>
      <c r="B556" s="1" t="n">
        <v>45467.74417824074</v>
      </c>
      <c r="C556" s="1" t="n">
        <v>45893</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22194-2024</t>
        </is>
      </c>
      <c r="B557" s="1" t="n">
        <v>45446.36482638889</v>
      </c>
      <c r="C557" s="1" t="n">
        <v>45893</v>
      </c>
      <c r="D557" t="inlineStr">
        <is>
          <t>KALMAR LÄN</t>
        </is>
      </c>
      <c r="E557" t="inlineStr">
        <is>
          <t>VIMMERBY</t>
        </is>
      </c>
      <c r="F557" t="inlineStr">
        <is>
          <t>Sveaskog</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40095-2022</t>
        </is>
      </c>
      <c r="B558" s="1" t="n">
        <v>44820</v>
      </c>
      <c r="C558" s="1" t="n">
        <v>45893</v>
      </c>
      <c r="D558" t="inlineStr">
        <is>
          <t>KALMAR LÄN</t>
        </is>
      </c>
      <c r="E558" t="inlineStr">
        <is>
          <t>VIMMERBY</t>
        </is>
      </c>
      <c r="G558" t="n">
        <v>2.4</v>
      </c>
      <c r="H558" t="n">
        <v>0</v>
      </c>
      <c r="I558" t="n">
        <v>0</v>
      </c>
      <c r="J558" t="n">
        <v>0</v>
      </c>
      <c r="K558" t="n">
        <v>0</v>
      </c>
      <c r="L558" t="n">
        <v>0</v>
      </c>
      <c r="M558" t="n">
        <v>0</v>
      </c>
      <c r="N558" t="n">
        <v>0</v>
      </c>
      <c r="O558" t="n">
        <v>0</v>
      </c>
      <c r="P558" t="n">
        <v>0</v>
      </c>
      <c r="Q558" t="n">
        <v>0</v>
      </c>
      <c r="R558" s="2" t="inlineStr"/>
    </row>
    <row r="559" ht="15" customHeight="1">
      <c r="A559" t="inlineStr">
        <is>
          <t>A 19865-2021</t>
        </is>
      </c>
      <c r="B559" s="1" t="n">
        <v>44312</v>
      </c>
      <c r="C559" s="1" t="n">
        <v>45893</v>
      </c>
      <c r="D559" t="inlineStr">
        <is>
          <t>KALMAR LÄN</t>
        </is>
      </c>
      <c r="E559" t="inlineStr">
        <is>
          <t>VIMMERBY</t>
        </is>
      </c>
      <c r="G559" t="n">
        <v>8.6</v>
      </c>
      <c r="H559" t="n">
        <v>0</v>
      </c>
      <c r="I559" t="n">
        <v>0</v>
      </c>
      <c r="J559" t="n">
        <v>0</v>
      </c>
      <c r="K559" t="n">
        <v>0</v>
      </c>
      <c r="L559" t="n">
        <v>0</v>
      </c>
      <c r="M559" t="n">
        <v>0</v>
      </c>
      <c r="N559" t="n">
        <v>0</v>
      </c>
      <c r="O559" t="n">
        <v>0</v>
      </c>
      <c r="P559" t="n">
        <v>0</v>
      </c>
      <c r="Q559" t="n">
        <v>0</v>
      </c>
      <c r="R559" s="2" t="inlineStr"/>
    </row>
    <row r="560" ht="15" customHeight="1">
      <c r="A560" t="inlineStr">
        <is>
          <t>A 35270-2025</t>
        </is>
      </c>
      <c r="B560" s="1" t="n">
        <v>45853.87112268519</v>
      </c>
      <c r="C560" s="1" t="n">
        <v>45893</v>
      </c>
      <c r="D560" t="inlineStr">
        <is>
          <t>KALMAR LÄN</t>
        </is>
      </c>
      <c r="E560" t="inlineStr">
        <is>
          <t>VIMMERBY</t>
        </is>
      </c>
      <c r="G560" t="n">
        <v>2.4</v>
      </c>
      <c r="H560" t="n">
        <v>0</v>
      </c>
      <c r="I560" t="n">
        <v>0</v>
      </c>
      <c r="J560" t="n">
        <v>0</v>
      </c>
      <c r="K560" t="n">
        <v>0</v>
      </c>
      <c r="L560" t="n">
        <v>0</v>
      </c>
      <c r="M560" t="n">
        <v>0</v>
      </c>
      <c r="N560" t="n">
        <v>0</v>
      </c>
      <c r="O560" t="n">
        <v>0</v>
      </c>
      <c r="P560" t="n">
        <v>0</v>
      </c>
      <c r="Q560" t="n">
        <v>0</v>
      </c>
      <c r="R560" s="2" t="inlineStr"/>
    </row>
    <row r="561" ht="15" customHeight="1">
      <c r="A561" t="inlineStr">
        <is>
          <t>A 50085-2023</t>
        </is>
      </c>
      <c r="B561" s="1" t="n">
        <v>45215.5959375</v>
      </c>
      <c r="C561" s="1" t="n">
        <v>45893</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50087-2023</t>
        </is>
      </c>
      <c r="B562" s="1" t="n">
        <v>45215.59743055556</v>
      </c>
      <c r="C562" s="1" t="n">
        <v>45893</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8167-2024</t>
        </is>
      </c>
      <c r="B563" s="1" t="n">
        <v>45351.6062962963</v>
      </c>
      <c r="C563" s="1" t="n">
        <v>45893</v>
      </c>
      <c r="D563" t="inlineStr">
        <is>
          <t>KALMAR LÄN</t>
        </is>
      </c>
      <c r="E563" t="inlineStr">
        <is>
          <t>VIMMERBY</t>
        </is>
      </c>
      <c r="G563" t="n">
        <v>3.8</v>
      </c>
      <c r="H563" t="n">
        <v>0</v>
      </c>
      <c r="I563" t="n">
        <v>0</v>
      </c>
      <c r="J563" t="n">
        <v>0</v>
      </c>
      <c r="K563" t="n">
        <v>0</v>
      </c>
      <c r="L563" t="n">
        <v>0</v>
      </c>
      <c r="M563" t="n">
        <v>0</v>
      </c>
      <c r="N563" t="n">
        <v>0</v>
      </c>
      <c r="O563" t="n">
        <v>0</v>
      </c>
      <c r="P563" t="n">
        <v>0</v>
      </c>
      <c r="Q563" t="n">
        <v>0</v>
      </c>
      <c r="R563" s="2" t="inlineStr"/>
    </row>
    <row r="564" ht="15" customHeight="1">
      <c r="A564" t="inlineStr">
        <is>
          <t>A 12630-2023</t>
        </is>
      </c>
      <c r="B564" s="1" t="n">
        <v>45000.47998842593</v>
      </c>
      <c r="C564" s="1" t="n">
        <v>45893</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35272-2025</t>
        </is>
      </c>
      <c r="B565" s="1" t="n">
        <v>45853.88070601852</v>
      </c>
      <c r="C565" s="1" t="n">
        <v>45893</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21109-2024</t>
        </is>
      </c>
      <c r="B566" s="1" t="n">
        <v>45440.28329861111</v>
      </c>
      <c r="C566" s="1" t="n">
        <v>45893</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30634-2024</t>
        </is>
      </c>
      <c r="B567" s="1" t="n">
        <v>45495</v>
      </c>
      <c r="C567" s="1" t="n">
        <v>45893</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40260-2024</t>
        </is>
      </c>
      <c r="B568" s="1" t="n">
        <v>45554.63225694445</v>
      </c>
      <c r="C568" s="1" t="n">
        <v>45893</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59943-2023</t>
        </is>
      </c>
      <c r="B569" s="1" t="n">
        <v>45257.67958333333</v>
      </c>
      <c r="C569" s="1" t="n">
        <v>45893</v>
      </c>
      <c r="D569" t="inlineStr">
        <is>
          <t>KALMAR LÄN</t>
        </is>
      </c>
      <c r="E569" t="inlineStr">
        <is>
          <t>VIMMERBY</t>
        </is>
      </c>
      <c r="G569" t="n">
        <v>6.4</v>
      </c>
      <c r="H569" t="n">
        <v>0</v>
      </c>
      <c r="I569" t="n">
        <v>0</v>
      </c>
      <c r="J569" t="n">
        <v>0</v>
      </c>
      <c r="K569" t="n">
        <v>0</v>
      </c>
      <c r="L569" t="n">
        <v>0</v>
      </c>
      <c r="M569" t="n">
        <v>0</v>
      </c>
      <c r="N569" t="n">
        <v>0</v>
      </c>
      <c r="O569" t="n">
        <v>0</v>
      </c>
      <c r="P569" t="n">
        <v>0</v>
      </c>
      <c r="Q569" t="n">
        <v>0</v>
      </c>
      <c r="R569" s="2" t="inlineStr"/>
    </row>
    <row r="570" ht="15" customHeight="1">
      <c r="A570" t="inlineStr">
        <is>
          <t>A 2604-2025</t>
        </is>
      </c>
      <c r="B570" s="1" t="n">
        <v>45674.74094907408</v>
      </c>
      <c r="C570" s="1" t="n">
        <v>45893</v>
      </c>
      <c r="D570" t="inlineStr">
        <is>
          <t>KALMAR LÄN</t>
        </is>
      </c>
      <c r="E570" t="inlineStr">
        <is>
          <t>VIMMERBY</t>
        </is>
      </c>
      <c r="G570" t="n">
        <v>7.6</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44595.583125</v>
      </c>
      <c r="C571" s="1" t="n">
        <v>45893</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12325-2023</t>
        </is>
      </c>
      <c r="B572" s="1" t="n">
        <v>44999.35858796296</v>
      </c>
      <c r="C572" s="1" t="n">
        <v>45893</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26609-2025</t>
        </is>
      </c>
      <c r="B573" s="1" t="n">
        <v>45810.00048611111</v>
      </c>
      <c r="C573" s="1" t="n">
        <v>45893</v>
      </c>
      <c r="D573" t="inlineStr">
        <is>
          <t>KALMAR LÄN</t>
        </is>
      </c>
      <c r="E573" t="inlineStr">
        <is>
          <t>VIMMERBY</t>
        </is>
      </c>
      <c r="G573" t="n">
        <v>3.8</v>
      </c>
      <c r="H573" t="n">
        <v>0</v>
      </c>
      <c r="I573" t="n">
        <v>0</v>
      </c>
      <c r="J573" t="n">
        <v>0</v>
      </c>
      <c r="K573" t="n">
        <v>0</v>
      </c>
      <c r="L573" t="n">
        <v>0</v>
      </c>
      <c r="M573" t="n">
        <v>0</v>
      </c>
      <c r="N573" t="n">
        <v>0</v>
      </c>
      <c r="O573" t="n">
        <v>0</v>
      </c>
      <c r="P573" t="n">
        <v>0</v>
      </c>
      <c r="Q573" t="n">
        <v>0</v>
      </c>
      <c r="R573" s="2" t="inlineStr"/>
    </row>
    <row r="574" ht="15" customHeight="1">
      <c r="A574" t="inlineStr">
        <is>
          <t>A 1016-2024</t>
        </is>
      </c>
      <c r="B574" s="1" t="n">
        <v>45301</v>
      </c>
      <c r="C574" s="1" t="n">
        <v>45893</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33681-2022</t>
        </is>
      </c>
      <c r="B575" s="1" t="n">
        <v>44789</v>
      </c>
      <c r="C575" s="1" t="n">
        <v>45893</v>
      </c>
      <c r="D575" t="inlineStr">
        <is>
          <t>KALMAR LÄN</t>
        </is>
      </c>
      <c r="E575" t="inlineStr">
        <is>
          <t>VIMMERBY</t>
        </is>
      </c>
      <c r="G575" t="n">
        <v>3.2</v>
      </c>
      <c r="H575" t="n">
        <v>0</v>
      </c>
      <c r="I575" t="n">
        <v>0</v>
      </c>
      <c r="J575" t="n">
        <v>0</v>
      </c>
      <c r="K575" t="n">
        <v>0</v>
      </c>
      <c r="L575" t="n">
        <v>0</v>
      </c>
      <c r="M575" t="n">
        <v>0</v>
      </c>
      <c r="N575" t="n">
        <v>0</v>
      </c>
      <c r="O575" t="n">
        <v>0</v>
      </c>
      <c r="P575" t="n">
        <v>0</v>
      </c>
      <c r="Q575" t="n">
        <v>0</v>
      </c>
      <c r="R575" s="2" t="inlineStr"/>
    </row>
    <row r="576" ht="15" customHeight="1">
      <c r="A576" t="inlineStr">
        <is>
          <t>A 37192-2024</t>
        </is>
      </c>
      <c r="B576" s="1" t="n">
        <v>45539.66027777778</v>
      </c>
      <c r="C576" s="1" t="n">
        <v>45893</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42429-2024</t>
        </is>
      </c>
      <c r="B577" s="1" t="n">
        <v>45565.40657407408</v>
      </c>
      <c r="C577" s="1" t="n">
        <v>45893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29180-2024</t>
        </is>
      </c>
      <c r="B578" s="1" t="n">
        <v>45482.54108796296</v>
      </c>
      <c r="C578" s="1" t="n">
        <v>45893</v>
      </c>
      <c r="D578" t="inlineStr">
        <is>
          <t>KALMAR LÄN</t>
        </is>
      </c>
      <c r="E578" t="inlineStr">
        <is>
          <t>VIMMERBY</t>
        </is>
      </c>
      <c r="G578" t="n">
        <v>3.8</v>
      </c>
      <c r="H578" t="n">
        <v>0</v>
      </c>
      <c r="I578" t="n">
        <v>0</v>
      </c>
      <c r="J578" t="n">
        <v>0</v>
      </c>
      <c r="K578" t="n">
        <v>0</v>
      </c>
      <c r="L578" t="n">
        <v>0</v>
      </c>
      <c r="M578" t="n">
        <v>0</v>
      </c>
      <c r="N578" t="n">
        <v>0</v>
      </c>
      <c r="O578" t="n">
        <v>0</v>
      </c>
      <c r="P578" t="n">
        <v>0</v>
      </c>
      <c r="Q578" t="n">
        <v>0</v>
      </c>
      <c r="R578" s="2" t="inlineStr"/>
    </row>
    <row r="579" ht="15" customHeight="1">
      <c r="A579" t="inlineStr">
        <is>
          <t>A 45846-2023</t>
        </is>
      </c>
      <c r="B579" s="1" t="n">
        <v>45195.58452546296</v>
      </c>
      <c r="C579" s="1" t="n">
        <v>45893</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16020-2023</t>
        </is>
      </c>
      <c r="B580" s="1" t="n">
        <v>45026.82216435186</v>
      </c>
      <c r="C580" s="1" t="n">
        <v>45893</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5074-2023</t>
        </is>
      </c>
      <c r="B581" s="1" t="n">
        <v>44958.61047453704</v>
      </c>
      <c r="C581" s="1" t="n">
        <v>45893</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51187-2023</t>
        </is>
      </c>
      <c r="B582" s="1" t="n">
        <v>45219.40528935185</v>
      </c>
      <c r="C582" s="1" t="n">
        <v>45893</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35271-2025</t>
        </is>
      </c>
      <c r="B583" s="1" t="n">
        <v>45853.87599537037</v>
      </c>
      <c r="C583" s="1" t="n">
        <v>45893</v>
      </c>
      <c r="D583" t="inlineStr">
        <is>
          <t>KALMAR LÄN</t>
        </is>
      </c>
      <c r="E583" t="inlineStr">
        <is>
          <t>VIMMERBY</t>
        </is>
      </c>
      <c r="G583" t="n">
        <v>0.4</v>
      </c>
      <c r="H583" t="n">
        <v>0</v>
      </c>
      <c r="I583" t="n">
        <v>0</v>
      </c>
      <c r="J583" t="n">
        <v>0</v>
      </c>
      <c r="K583" t="n">
        <v>0</v>
      </c>
      <c r="L583" t="n">
        <v>0</v>
      </c>
      <c r="M583" t="n">
        <v>0</v>
      </c>
      <c r="N583" t="n">
        <v>0</v>
      </c>
      <c r="O583" t="n">
        <v>0</v>
      </c>
      <c r="P583" t="n">
        <v>0</v>
      </c>
      <c r="Q583" t="n">
        <v>0</v>
      </c>
      <c r="R583" s="2" t="inlineStr"/>
    </row>
    <row r="584" ht="15" customHeight="1">
      <c r="A584" t="inlineStr">
        <is>
          <t>A 61820-2023</t>
        </is>
      </c>
      <c r="B584" s="1" t="n">
        <v>45266.32614583334</v>
      </c>
      <c r="C584" s="1" t="n">
        <v>45893</v>
      </c>
      <c r="D584" t="inlineStr">
        <is>
          <t>KALMAR LÄN</t>
        </is>
      </c>
      <c r="E584" t="inlineStr">
        <is>
          <t>VIMMERBY</t>
        </is>
      </c>
      <c r="G584" t="n">
        <v>0.8</v>
      </c>
      <c r="H584" t="n">
        <v>0</v>
      </c>
      <c r="I584" t="n">
        <v>0</v>
      </c>
      <c r="J584" t="n">
        <v>0</v>
      </c>
      <c r="K584" t="n">
        <v>0</v>
      </c>
      <c r="L584" t="n">
        <v>0</v>
      </c>
      <c r="M584" t="n">
        <v>0</v>
      </c>
      <c r="N584" t="n">
        <v>0</v>
      </c>
      <c r="O584" t="n">
        <v>0</v>
      </c>
      <c r="P584" t="n">
        <v>0</v>
      </c>
      <c r="Q584" t="n">
        <v>0</v>
      </c>
      <c r="R584" s="2" t="inlineStr"/>
    </row>
    <row r="585" ht="15" customHeight="1">
      <c r="A585" t="inlineStr">
        <is>
          <t>A 15715-2022</t>
        </is>
      </c>
      <c r="B585" s="1" t="n">
        <v>44663</v>
      </c>
      <c r="C585" s="1" t="n">
        <v>45893</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43093-2024</t>
        </is>
      </c>
      <c r="B586" s="1" t="n">
        <v>45567</v>
      </c>
      <c r="C586" s="1" t="n">
        <v>45893</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56022-2024</t>
        </is>
      </c>
      <c r="B587" s="1" t="n">
        <v>45623.95947916667</v>
      </c>
      <c r="C587" s="1" t="n">
        <v>45893</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18330-2023</t>
        </is>
      </c>
      <c r="B588" s="1" t="n">
        <v>45041</v>
      </c>
      <c r="C588" s="1" t="n">
        <v>45893</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45560-2021</t>
        </is>
      </c>
      <c r="B589" s="1" t="n">
        <v>44440</v>
      </c>
      <c r="C589" s="1" t="n">
        <v>45893</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20126-2024</t>
        </is>
      </c>
      <c r="B590" s="1" t="n">
        <v>45434.55471064815</v>
      </c>
      <c r="C590" s="1" t="n">
        <v>45893</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20136-2024</t>
        </is>
      </c>
      <c r="B591" s="1" t="n">
        <v>45434.56291666667</v>
      </c>
      <c r="C591" s="1" t="n">
        <v>45893</v>
      </c>
      <c r="D591" t="inlineStr">
        <is>
          <t>KALMAR LÄN</t>
        </is>
      </c>
      <c r="E591" t="inlineStr">
        <is>
          <t>VIMMERBY</t>
        </is>
      </c>
      <c r="F591" t="inlineStr">
        <is>
          <t>Sveaskog</t>
        </is>
      </c>
      <c r="G591" t="n">
        <v>8.4</v>
      </c>
      <c r="H591" t="n">
        <v>0</v>
      </c>
      <c r="I591" t="n">
        <v>0</v>
      </c>
      <c r="J591" t="n">
        <v>0</v>
      </c>
      <c r="K591" t="n">
        <v>0</v>
      </c>
      <c r="L591" t="n">
        <v>0</v>
      </c>
      <c r="M591" t="n">
        <v>0</v>
      </c>
      <c r="N591" t="n">
        <v>0</v>
      </c>
      <c r="O591" t="n">
        <v>0</v>
      </c>
      <c r="P591" t="n">
        <v>0</v>
      </c>
      <c r="Q591" t="n">
        <v>0</v>
      </c>
      <c r="R591" s="2" t="inlineStr"/>
    </row>
    <row r="592" ht="15" customHeight="1">
      <c r="A592" t="inlineStr">
        <is>
          <t>A 40256-2024</t>
        </is>
      </c>
      <c r="B592" s="1" t="n">
        <v>45554.62944444444</v>
      </c>
      <c r="C592" s="1" t="n">
        <v>45893</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43998-2020</t>
        </is>
      </c>
      <c r="B593" s="1" t="n">
        <v>44083</v>
      </c>
      <c r="C593" s="1" t="n">
        <v>45893</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58104-2024</t>
        </is>
      </c>
      <c r="B594" s="1" t="n">
        <v>45632.37459490741</v>
      </c>
      <c r="C594" s="1" t="n">
        <v>45893</v>
      </c>
      <c r="D594" t="inlineStr">
        <is>
          <t>KALMAR LÄN</t>
        </is>
      </c>
      <c r="E594" t="inlineStr">
        <is>
          <t>VIMMERBY</t>
        </is>
      </c>
      <c r="G594" t="n">
        <v>5</v>
      </c>
      <c r="H594" t="n">
        <v>0</v>
      </c>
      <c r="I594" t="n">
        <v>0</v>
      </c>
      <c r="J594" t="n">
        <v>0</v>
      </c>
      <c r="K594" t="n">
        <v>0</v>
      </c>
      <c r="L594" t="n">
        <v>0</v>
      </c>
      <c r="M594" t="n">
        <v>0</v>
      </c>
      <c r="N594" t="n">
        <v>0</v>
      </c>
      <c r="O594" t="n">
        <v>0</v>
      </c>
      <c r="P594" t="n">
        <v>0</v>
      </c>
      <c r="Q594" t="n">
        <v>0</v>
      </c>
      <c r="R594" s="2" t="inlineStr"/>
    </row>
    <row r="595" ht="15" customHeight="1">
      <c r="A595" t="inlineStr">
        <is>
          <t>A 46921-2023</t>
        </is>
      </c>
      <c r="B595" s="1" t="n">
        <v>45201.39996527778</v>
      </c>
      <c r="C595" s="1" t="n">
        <v>45893</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36259-2022</t>
        </is>
      </c>
      <c r="B596" s="1" t="n">
        <v>44803.59118055556</v>
      </c>
      <c r="C596" s="1" t="n">
        <v>45893</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43034-2024</t>
        </is>
      </c>
      <c r="B597" s="1" t="n">
        <v>45567.42011574074</v>
      </c>
      <c r="C597" s="1" t="n">
        <v>45893</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25236-2023</t>
        </is>
      </c>
      <c r="B598" s="1" t="n">
        <v>45086.63334490741</v>
      </c>
      <c r="C598" s="1" t="n">
        <v>45893</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3902-2022</t>
        </is>
      </c>
      <c r="B599" s="1" t="n">
        <v>44587.48847222222</v>
      </c>
      <c r="C599" s="1" t="n">
        <v>45893</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30070-2023</t>
        </is>
      </c>
      <c r="B600" s="1" t="n">
        <v>45110.4275</v>
      </c>
      <c r="C600" s="1" t="n">
        <v>45893</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35596-2025</t>
        </is>
      </c>
      <c r="B601" s="1" t="n">
        <v>45858.60641203704</v>
      </c>
      <c r="C601" s="1" t="n">
        <v>45893</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27718-2025</t>
        </is>
      </c>
      <c r="B602" s="1" t="n">
        <v>45814.38221064815</v>
      </c>
      <c r="C602" s="1" t="n">
        <v>45893</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31209-2024</t>
        </is>
      </c>
      <c r="B603" s="1" t="n">
        <v>45503.5658912037</v>
      </c>
      <c r="C603" s="1" t="n">
        <v>45893</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45893</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45893</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12586-2021</t>
        </is>
      </c>
      <c r="B606" s="1" t="n">
        <v>44270.38002314815</v>
      </c>
      <c r="C606" s="1" t="n">
        <v>45893</v>
      </c>
      <c r="D606" t="inlineStr">
        <is>
          <t>KALMAR LÄN</t>
        </is>
      </c>
      <c r="E606" t="inlineStr">
        <is>
          <t>VIMMERBY</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27719-2025</t>
        </is>
      </c>
      <c r="B607" s="1" t="n">
        <v>45814.3865625</v>
      </c>
      <c r="C607" s="1" t="n">
        <v>45893</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2801-2023</t>
        </is>
      </c>
      <c r="B608" s="1" t="n">
        <v>44944.73487268519</v>
      </c>
      <c r="C608" s="1" t="n">
        <v>45893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5864-2022</t>
        </is>
      </c>
      <c r="B609" s="1" t="n">
        <v>44596</v>
      </c>
      <c r="C609" s="1" t="n">
        <v>45893</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5146-2024</t>
        </is>
      </c>
      <c r="B610" s="1" t="n">
        <v>45330</v>
      </c>
      <c r="C610" s="1" t="n">
        <v>45893</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5148-2024</t>
        </is>
      </c>
      <c r="B611" s="1" t="n">
        <v>45330</v>
      </c>
      <c r="C611" s="1" t="n">
        <v>45893</v>
      </c>
      <c r="D611" t="inlineStr">
        <is>
          <t>KALMAR LÄN</t>
        </is>
      </c>
      <c r="E611" t="inlineStr">
        <is>
          <t>VIMMERBY</t>
        </is>
      </c>
      <c r="G611" t="n">
        <v>5.6</v>
      </c>
      <c r="H611" t="n">
        <v>0</v>
      </c>
      <c r="I611" t="n">
        <v>0</v>
      </c>
      <c r="J611" t="n">
        <v>0</v>
      </c>
      <c r="K611" t="n">
        <v>0</v>
      </c>
      <c r="L611" t="n">
        <v>0</v>
      </c>
      <c r="M611" t="n">
        <v>0</v>
      </c>
      <c r="N611" t="n">
        <v>0</v>
      </c>
      <c r="O611" t="n">
        <v>0</v>
      </c>
      <c r="P611" t="n">
        <v>0</v>
      </c>
      <c r="Q611" t="n">
        <v>0</v>
      </c>
      <c r="R611" s="2" t="inlineStr"/>
    </row>
    <row r="612" ht="15" customHeight="1">
      <c r="A612" t="inlineStr">
        <is>
          <t>A 35597-2025</t>
        </is>
      </c>
      <c r="B612" s="1" t="n">
        <v>45858.66019675926</v>
      </c>
      <c r="C612" s="1" t="n">
        <v>45893</v>
      </c>
      <c r="D612" t="inlineStr">
        <is>
          <t>KALMAR LÄN</t>
        </is>
      </c>
      <c r="E612" t="inlineStr">
        <is>
          <t>VIMMERBY</t>
        </is>
      </c>
      <c r="G612" t="n">
        <v>6.4</v>
      </c>
      <c r="H612" t="n">
        <v>0</v>
      </c>
      <c r="I612" t="n">
        <v>0</v>
      </c>
      <c r="J612" t="n">
        <v>0</v>
      </c>
      <c r="K612" t="n">
        <v>0</v>
      </c>
      <c r="L612" t="n">
        <v>0</v>
      </c>
      <c r="M612" t="n">
        <v>0</v>
      </c>
      <c r="N612" t="n">
        <v>0</v>
      </c>
      <c r="O612" t="n">
        <v>0</v>
      </c>
      <c r="P612" t="n">
        <v>0</v>
      </c>
      <c r="Q612" t="n">
        <v>0</v>
      </c>
      <c r="R612" s="2" t="inlineStr"/>
    </row>
    <row r="613" ht="15" customHeight="1">
      <c r="A613" t="inlineStr">
        <is>
          <t>A 28286-2025</t>
        </is>
      </c>
      <c r="B613" s="1" t="n">
        <v>45818.58993055556</v>
      </c>
      <c r="C613" s="1" t="n">
        <v>45893</v>
      </c>
      <c r="D613" t="inlineStr">
        <is>
          <t>KALMAR LÄN</t>
        </is>
      </c>
      <c r="E613" t="inlineStr">
        <is>
          <t>VIMMERBY</t>
        </is>
      </c>
      <c r="F613" t="inlineStr">
        <is>
          <t>Sveaskog</t>
        </is>
      </c>
      <c r="G613" t="n">
        <v>8</v>
      </c>
      <c r="H613" t="n">
        <v>0</v>
      </c>
      <c r="I613" t="n">
        <v>0</v>
      </c>
      <c r="J613" t="n">
        <v>0</v>
      </c>
      <c r="K613" t="n">
        <v>0</v>
      </c>
      <c r="L613" t="n">
        <v>0</v>
      </c>
      <c r="M613" t="n">
        <v>0</v>
      </c>
      <c r="N613" t="n">
        <v>0</v>
      </c>
      <c r="O613" t="n">
        <v>0</v>
      </c>
      <c r="P613" t="n">
        <v>0</v>
      </c>
      <c r="Q613" t="n">
        <v>0</v>
      </c>
      <c r="R613" s="2" t="inlineStr"/>
    </row>
    <row r="614" ht="15" customHeight="1">
      <c r="A614" t="inlineStr">
        <is>
          <t>A 30912-2023</t>
        </is>
      </c>
      <c r="B614" s="1" t="n">
        <v>45113.41633101852</v>
      </c>
      <c r="C614" s="1" t="n">
        <v>45893</v>
      </c>
      <c r="D614" t="inlineStr">
        <is>
          <t>KALMAR LÄN</t>
        </is>
      </c>
      <c r="E614" t="inlineStr">
        <is>
          <t>VIMMERBY</t>
        </is>
      </c>
      <c r="G614" t="n">
        <v>5</v>
      </c>
      <c r="H614" t="n">
        <v>0</v>
      </c>
      <c r="I614" t="n">
        <v>0</v>
      </c>
      <c r="J614" t="n">
        <v>0</v>
      </c>
      <c r="K614" t="n">
        <v>0</v>
      </c>
      <c r="L614" t="n">
        <v>0</v>
      </c>
      <c r="M614" t="n">
        <v>0</v>
      </c>
      <c r="N614" t="n">
        <v>0</v>
      </c>
      <c r="O614" t="n">
        <v>0</v>
      </c>
      <c r="P614" t="n">
        <v>0</v>
      </c>
      <c r="Q614" t="n">
        <v>0</v>
      </c>
      <c r="R614" s="2" t="inlineStr"/>
    </row>
    <row r="615" ht="15" customHeight="1">
      <c r="A615" t="inlineStr">
        <is>
          <t>A 28282-2025</t>
        </is>
      </c>
      <c r="B615" s="1" t="n">
        <v>45818.58769675926</v>
      </c>
      <c r="C615" s="1" t="n">
        <v>45893</v>
      </c>
      <c r="D615" t="inlineStr">
        <is>
          <t>KALMAR LÄN</t>
        </is>
      </c>
      <c r="E615" t="inlineStr">
        <is>
          <t>VIMMERBY</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28294-2025</t>
        </is>
      </c>
      <c r="B616" s="1" t="n">
        <v>45818.595625</v>
      </c>
      <c r="C616" s="1" t="n">
        <v>45893</v>
      </c>
      <c r="D616" t="inlineStr">
        <is>
          <t>KALMAR LÄN</t>
        </is>
      </c>
      <c r="E616" t="inlineStr">
        <is>
          <t>VIMMERBY</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28290-2025</t>
        </is>
      </c>
      <c r="B617" s="1" t="n">
        <v>45818.59261574074</v>
      </c>
      <c r="C617" s="1" t="n">
        <v>45893</v>
      </c>
      <c r="D617" t="inlineStr">
        <is>
          <t>KALMAR LÄN</t>
        </is>
      </c>
      <c r="E617" t="inlineStr">
        <is>
          <t>VIMMERBY</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1146-2025</t>
        </is>
      </c>
      <c r="B618" s="1" t="n">
        <v>45666</v>
      </c>
      <c r="C618" s="1" t="n">
        <v>45893</v>
      </c>
      <c r="D618" t="inlineStr">
        <is>
          <t>KALMAR LÄN</t>
        </is>
      </c>
      <c r="E618" t="inlineStr">
        <is>
          <t>VIMMERBY</t>
        </is>
      </c>
      <c r="G618" t="n">
        <v>4</v>
      </c>
      <c r="H618" t="n">
        <v>0</v>
      </c>
      <c r="I618" t="n">
        <v>0</v>
      </c>
      <c r="J618" t="n">
        <v>0</v>
      </c>
      <c r="K618" t="n">
        <v>0</v>
      </c>
      <c r="L618" t="n">
        <v>0</v>
      </c>
      <c r="M618" t="n">
        <v>0</v>
      </c>
      <c r="N618" t="n">
        <v>0</v>
      </c>
      <c r="O618" t="n">
        <v>0</v>
      </c>
      <c r="P618" t="n">
        <v>0</v>
      </c>
      <c r="Q618" t="n">
        <v>0</v>
      </c>
      <c r="R618" s="2" t="inlineStr"/>
    </row>
    <row r="619" ht="15" customHeight="1">
      <c r="A619" t="inlineStr">
        <is>
          <t>A 28280-2025</t>
        </is>
      </c>
      <c r="B619" s="1" t="n">
        <v>45818.5862037037</v>
      </c>
      <c r="C619" s="1" t="n">
        <v>45893</v>
      </c>
      <c r="D619" t="inlineStr">
        <is>
          <t>KALMAR LÄN</t>
        </is>
      </c>
      <c r="E619" t="inlineStr">
        <is>
          <t>VIMMERBY</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28112-2025</t>
        </is>
      </c>
      <c r="B620" s="1" t="n">
        <v>45817.88496527778</v>
      </c>
      <c r="C620" s="1" t="n">
        <v>45893</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58278-2023</t>
        </is>
      </c>
      <c r="B621" s="1" t="n">
        <v>45250.5278587963</v>
      </c>
      <c r="C621" s="1" t="n">
        <v>45893</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22266-2023</t>
        </is>
      </c>
      <c r="B622" s="1" t="n">
        <v>45070</v>
      </c>
      <c r="C622" s="1" t="n">
        <v>45893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52588-2023</t>
        </is>
      </c>
      <c r="B623" s="1" t="n">
        <v>45225.60192129629</v>
      </c>
      <c r="C623" s="1" t="n">
        <v>45893</v>
      </c>
      <c r="D623" t="inlineStr">
        <is>
          <t>KALMAR LÄN</t>
        </is>
      </c>
      <c r="E623" t="inlineStr">
        <is>
          <t>VIMMERBY</t>
        </is>
      </c>
      <c r="G623" t="n">
        <v>2.9</v>
      </c>
      <c r="H623" t="n">
        <v>0</v>
      </c>
      <c r="I623" t="n">
        <v>0</v>
      </c>
      <c r="J623" t="n">
        <v>0</v>
      </c>
      <c r="K623" t="n">
        <v>0</v>
      </c>
      <c r="L623" t="n">
        <v>0</v>
      </c>
      <c r="M623" t="n">
        <v>0</v>
      </c>
      <c r="N623" t="n">
        <v>0</v>
      </c>
      <c r="O623" t="n">
        <v>0</v>
      </c>
      <c r="P623" t="n">
        <v>0</v>
      </c>
      <c r="Q623" t="n">
        <v>0</v>
      </c>
      <c r="R623" s="2" t="inlineStr"/>
    </row>
    <row r="624" ht="15" customHeight="1">
      <c r="A624" t="inlineStr">
        <is>
          <t>A 62023-2022</t>
        </is>
      </c>
      <c r="B624" s="1" t="n">
        <v>44918.50106481482</v>
      </c>
      <c r="C624" s="1" t="n">
        <v>45893</v>
      </c>
      <c r="D624" t="inlineStr">
        <is>
          <t>KALMAR LÄN</t>
        </is>
      </c>
      <c r="E624" t="inlineStr">
        <is>
          <t>VIMMERBY</t>
        </is>
      </c>
      <c r="G624" t="n">
        <v>0.3</v>
      </c>
      <c r="H624" t="n">
        <v>0</v>
      </c>
      <c r="I624" t="n">
        <v>0</v>
      </c>
      <c r="J624" t="n">
        <v>0</v>
      </c>
      <c r="K624" t="n">
        <v>0</v>
      </c>
      <c r="L624" t="n">
        <v>0</v>
      </c>
      <c r="M624" t="n">
        <v>0</v>
      </c>
      <c r="N624" t="n">
        <v>0</v>
      </c>
      <c r="O624" t="n">
        <v>0</v>
      </c>
      <c r="P624" t="n">
        <v>0</v>
      </c>
      <c r="Q624" t="n">
        <v>0</v>
      </c>
      <c r="R624" s="2" t="inlineStr"/>
    </row>
    <row r="625" ht="15" customHeight="1">
      <c r="A625" t="inlineStr">
        <is>
          <t>A 28620-2025</t>
        </is>
      </c>
      <c r="B625" s="1" t="n">
        <v>45819.61060185185</v>
      </c>
      <c r="C625" s="1" t="n">
        <v>45893</v>
      </c>
      <c r="D625" t="inlineStr">
        <is>
          <t>KALMAR LÄN</t>
        </is>
      </c>
      <c r="E625" t="inlineStr">
        <is>
          <t>VIMMERBY</t>
        </is>
      </c>
      <c r="G625" t="n">
        <v>5.6</v>
      </c>
      <c r="H625" t="n">
        <v>0</v>
      </c>
      <c r="I625" t="n">
        <v>0</v>
      </c>
      <c r="J625" t="n">
        <v>0</v>
      </c>
      <c r="K625" t="n">
        <v>0</v>
      </c>
      <c r="L625" t="n">
        <v>0</v>
      </c>
      <c r="M625" t="n">
        <v>0</v>
      </c>
      <c r="N625" t="n">
        <v>0</v>
      </c>
      <c r="O625" t="n">
        <v>0</v>
      </c>
      <c r="P625" t="n">
        <v>0</v>
      </c>
      <c r="Q625" t="n">
        <v>0</v>
      </c>
      <c r="R625" s="2" t="inlineStr"/>
    </row>
    <row r="626" ht="15" customHeight="1">
      <c r="A626" t="inlineStr">
        <is>
          <t>A 6802-2025</t>
        </is>
      </c>
      <c r="B626" s="1" t="n">
        <v>45700.68289351852</v>
      </c>
      <c r="C626" s="1" t="n">
        <v>45893</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71793-2021</t>
        </is>
      </c>
      <c r="B627" s="1" t="n">
        <v>44539</v>
      </c>
      <c r="C627" s="1" t="n">
        <v>45893</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527-2024</t>
        </is>
      </c>
      <c r="B628" s="1" t="n">
        <v>45299.47513888889</v>
      </c>
      <c r="C628" s="1" t="n">
        <v>45893</v>
      </c>
      <c r="D628" t="inlineStr">
        <is>
          <t>KALMAR LÄN</t>
        </is>
      </c>
      <c r="E628" t="inlineStr">
        <is>
          <t>VIMMERBY</t>
        </is>
      </c>
      <c r="G628" t="n">
        <v>2.2</v>
      </c>
      <c r="H628" t="n">
        <v>0</v>
      </c>
      <c r="I628" t="n">
        <v>0</v>
      </c>
      <c r="J628" t="n">
        <v>0</v>
      </c>
      <c r="K628" t="n">
        <v>0</v>
      </c>
      <c r="L628" t="n">
        <v>0</v>
      </c>
      <c r="M628" t="n">
        <v>0</v>
      </c>
      <c r="N628" t="n">
        <v>0</v>
      </c>
      <c r="O628" t="n">
        <v>0</v>
      </c>
      <c r="P628" t="n">
        <v>0</v>
      </c>
      <c r="Q628" t="n">
        <v>0</v>
      </c>
      <c r="R628" s="2" t="inlineStr"/>
    </row>
    <row r="629" ht="15" customHeight="1">
      <c r="A629" t="inlineStr">
        <is>
          <t>A 16119-2023</t>
        </is>
      </c>
      <c r="B629" s="1" t="n">
        <v>45027.59450231482</v>
      </c>
      <c r="C629" s="1" t="n">
        <v>45893</v>
      </c>
      <c r="D629" t="inlineStr">
        <is>
          <t>KALMAR LÄN</t>
        </is>
      </c>
      <c r="E629" t="inlineStr">
        <is>
          <t>VIMMERBY</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28712-2025</t>
        </is>
      </c>
      <c r="B630" s="1" t="n">
        <v>45820.33708333333</v>
      </c>
      <c r="C630" s="1" t="n">
        <v>45893</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28714-2025</t>
        </is>
      </c>
      <c r="B631" s="1" t="n">
        <v>45820.34128472222</v>
      </c>
      <c r="C631" s="1" t="n">
        <v>45893</v>
      </c>
      <c r="D631" t="inlineStr">
        <is>
          <t>KALMAR LÄN</t>
        </is>
      </c>
      <c r="E631" t="inlineStr">
        <is>
          <t>VIMMERBY</t>
        </is>
      </c>
      <c r="G631" t="n">
        <v>1.8</v>
      </c>
      <c r="H631" t="n">
        <v>0</v>
      </c>
      <c r="I631" t="n">
        <v>0</v>
      </c>
      <c r="J631" t="n">
        <v>0</v>
      </c>
      <c r="K631" t="n">
        <v>0</v>
      </c>
      <c r="L631" t="n">
        <v>0</v>
      </c>
      <c r="M631" t="n">
        <v>0</v>
      </c>
      <c r="N631" t="n">
        <v>0</v>
      </c>
      <c r="O631" t="n">
        <v>0</v>
      </c>
      <c r="P631" t="n">
        <v>0</v>
      </c>
      <c r="Q631" t="n">
        <v>0</v>
      </c>
      <c r="R631" s="2" t="inlineStr"/>
    </row>
    <row r="632" ht="15" customHeight="1">
      <c r="A632" t="inlineStr">
        <is>
          <t>A 60230-2022</t>
        </is>
      </c>
      <c r="B632" s="1" t="n">
        <v>44910</v>
      </c>
      <c r="C632" s="1" t="n">
        <v>45893</v>
      </c>
      <c r="D632" t="inlineStr">
        <is>
          <t>KALMAR LÄN</t>
        </is>
      </c>
      <c r="E632" t="inlineStr">
        <is>
          <t>VIMMERBY</t>
        </is>
      </c>
      <c r="G632" t="n">
        <v>11.3</v>
      </c>
      <c r="H632" t="n">
        <v>0</v>
      </c>
      <c r="I632" t="n">
        <v>0</v>
      </c>
      <c r="J632" t="n">
        <v>0</v>
      </c>
      <c r="K632" t="n">
        <v>0</v>
      </c>
      <c r="L632" t="n">
        <v>0</v>
      </c>
      <c r="M632" t="n">
        <v>0</v>
      </c>
      <c r="N632" t="n">
        <v>0</v>
      </c>
      <c r="O632" t="n">
        <v>0</v>
      </c>
      <c r="P632" t="n">
        <v>0</v>
      </c>
      <c r="Q632" t="n">
        <v>0</v>
      </c>
      <c r="R632" s="2" t="inlineStr"/>
    </row>
    <row r="633" ht="15" customHeight="1">
      <c r="A633" t="inlineStr">
        <is>
          <t>A 52327-2023</t>
        </is>
      </c>
      <c r="B633" s="1" t="n">
        <v>45224.6515162037</v>
      </c>
      <c r="C633" s="1" t="n">
        <v>45893</v>
      </c>
      <c r="D633" t="inlineStr">
        <is>
          <t>KALMAR LÄN</t>
        </is>
      </c>
      <c r="E633" t="inlineStr">
        <is>
          <t>VIMMERBY</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45893</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29348-2023</t>
        </is>
      </c>
      <c r="B635" s="1" t="n">
        <v>45106.25025462963</v>
      </c>
      <c r="C635" s="1" t="n">
        <v>45893</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31340-2023</t>
        </is>
      </c>
      <c r="B636" s="1" t="n">
        <v>45114.47895833333</v>
      </c>
      <c r="C636" s="1" t="n">
        <v>45893</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28713-2025</t>
        </is>
      </c>
      <c r="B637" s="1" t="n">
        <v>45820.33930555556</v>
      </c>
      <c r="C637" s="1" t="n">
        <v>45893</v>
      </c>
      <c r="D637" t="inlineStr">
        <is>
          <t>KALMAR LÄN</t>
        </is>
      </c>
      <c r="E637" t="inlineStr">
        <is>
          <t>VIMMERBY</t>
        </is>
      </c>
      <c r="G637" t="n">
        <v>2.3</v>
      </c>
      <c r="H637" t="n">
        <v>0</v>
      </c>
      <c r="I637" t="n">
        <v>0</v>
      </c>
      <c r="J637" t="n">
        <v>0</v>
      </c>
      <c r="K637" t="n">
        <v>0</v>
      </c>
      <c r="L637" t="n">
        <v>0</v>
      </c>
      <c r="M637" t="n">
        <v>0</v>
      </c>
      <c r="N637" t="n">
        <v>0</v>
      </c>
      <c r="O637" t="n">
        <v>0</v>
      </c>
      <c r="P637" t="n">
        <v>0</v>
      </c>
      <c r="Q637" t="n">
        <v>0</v>
      </c>
      <c r="R637" s="2" t="inlineStr"/>
    </row>
    <row r="638" ht="15" customHeight="1">
      <c r="A638" t="inlineStr">
        <is>
          <t>A 5925-2022</t>
        </is>
      </c>
      <c r="B638" s="1" t="n">
        <v>44598.7384837963</v>
      </c>
      <c r="C638" s="1" t="n">
        <v>45893</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29726-2025</t>
        </is>
      </c>
      <c r="B639" s="1" t="n">
        <v>45825.57805555555</v>
      </c>
      <c r="C639" s="1" t="n">
        <v>45893</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36282-2025</t>
        </is>
      </c>
      <c r="B640" s="1" t="n">
        <v>45867.64663194444</v>
      </c>
      <c r="C640" s="1" t="n">
        <v>45893</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36299-2025</t>
        </is>
      </c>
      <c r="B641" s="1" t="n">
        <v>45867.69346064814</v>
      </c>
      <c r="C641" s="1" t="n">
        <v>45893</v>
      </c>
      <c r="D641" t="inlineStr">
        <is>
          <t>KALMAR LÄN</t>
        </is>
      </c>
      <c r="E641" t="inlineStr">
        <is>
          <t>VIMMERBY</t>
        </is>
      </c>
      <c r="G641" t="n">
        <v>7.6</v>
      </c>
      <c r="H641" t="n">
        <v>0</v>
      </c>
      <c r="I641" t="n">
        <v>0</v>
      </c>
      <c r="J641" t="n">
        <v>0</v>
      </c>
      <c r="K641" t="n">
        <v>0</v>
      </c>
      <c r="L641" t="n">
        <v>0</v>
      </c>
      <c r="M641" t="n">
        <v>0</v>
      </c>
      <c r="N641" t="n">
        <v>0</v>
      </c>
      <c r="O641" t="n">
        <v>0</v>
      </c>
      <c r="P641" t="n">
        <v>0</v>
      </c>
      <c r="Q641" t="n">
        <v>0</v>
      </c>
      <c r="R641" s="2" t="inlineStr"/>
    </row>
    <row r="642" ht="15" customHeight="1">
      <c r="A642" t="inlineStr">
        <is>
          <t>A 36221-2025</t>
        </is>
      </c>
      <c r="B642" s="1" t="n">
        <v>45867.50792824074</v>
      </c>
      <c r="C642" s="1" t="n">
        <v>45893</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46522-2022</t>
        </is>
      </c>
      <c r="B643" s="1" t="n">
        <v>44848.59133101852</v>
      </c>
      <c r="C643" s="1" t="n">
        <v>45893</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45893</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29737-2025</t>
        </is>
      </c>
      <c r="B645" s="1" t="n">
        <v>45825.58672453704</v>
      </c>
      <c r="C645" s="1" t="n">
        <v>45893</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45893</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36297-2025</t>
        </is>
      </c>
      <c r="B647" s="1" t="n">
        <v>45867.68625</v>
      </c>
      <c r="C647" s="1" t="n">
        <v>45893</v>
      </c>
      <c r="D647" t="inlineStr">
        <is>
          <t>KALMAR LÄN</t>
        </is>
      </c>
      <c r="E647" t="inlineStr">
        <is>
          <t>VIMMERBY</t>
        </is>
      </c>
      <c r="G647" t="n">
        <v>4.9</v>
      </c>
      <c r="H647" t="n">
        <v>0</v>
      </c>
      <c r="I647" t="n">
        <v>0</v>
      </c>
      <c r="J647" t="n">
        <v>0</v>
      </c>
      <c r="K647" t="n">
        <v>0</v>
      </c>
      <c r="L647" t="n">
        <v>0</v>
      </c>
      <c r="M647" t="n">
        <v>0</v>
      </c>
      <c r="N647" t="n">
        <v>0</v>
      </c>
      <c r="O647" t="n">
        <v>0</v>
      </c>
      <c r="P647" t="n">
        <v>0</v>
      </c>
      <c r="Q647" t="n">
        <v>0</v>
      </c>
      <c r="R647" s="2" t="inlineStr"/>
    </row>
    <row r="648" ht="15" customHeight="1">
      <c r="A648" t="inlineStr">
        <is>
          <t>A 29673-2025</t>
        </is>
      </c>
      <c r="B648" s="1" t="n">
        <v>45825.50280092593</v>
      </c>
      <c r="C648" s="1" t="n">
        <v>45893</v>
      </c>
      <c r="D648" t="inlineStr">
        <is>
          <t>KALMAR LÄN</t>
        </is>
      </c>
      <c r="E648" t="inlineStr">
        <is>
          <t>VIMMERBY</t>
        </is>
      </c>
      <c r="G648" t="n">
        <v>6.4</v>
      </c>
      <c r="H648" t="n">
        <v>0</v>
      </c>
      <c r="I648" t="n">
        <v>0</v>
      </c>
      <c r="J648" t="n">
        <v>0</v>
      </c>
      <c r="K648" t="n">
        <v>0</v>
      </c>
      <c r="L648" t="n">
        <v>0</v>
      </c>
      <c r="M648" t="n">
        <v>0</v>
      </c>
      <c r="N648" t="n">
        <v>0</v>
      </c>
      <c r="O648" t="n">
        <v>0</v>
      </c>
      <c r="P648" t="n">
        <v>0</v>
      </c>
      <c r="Q648" t="n">
        <v>0</v>
      </c>
      <c r="R648" s="2" t="inlineStr"/>
    </row>
    <row r="649" ht="15" customHeight="1">
      <c r="A649" t="inlineStr">
        <is>
          <t>A 29727-2025</t>
        </is>
      </c>
      <c r="B649" s="1" t="n">
        <v>45825.5796875</v>
      </c>
      <c r="C649" s="1" t="n">
        <v>45893</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41066-2024</t>
        </is>
      </c>
      <c r="B650" s="1" t="n">
        <v>45559.38876157408</v>
      </c>
      <c r="C650" s="1" t="n">
        <v>45893</v>
      </c>
      <c r="D650" t="inlineStr">
        <is>
          <t>KALMAR LÄN</t>
        </is>
      </c>
      <c r="E650" t="inlineStr">
        <is>
          <t>VIMMERBY</t>
        </is>
      </c>
      <c r="G650" t="n">
        <v>2.4</v>
      </c>
      <c r="H650" t="n">
        <v>0</v>
      </c>
      <c r="I650" t="n">
        <v>0</v>
      </c>
      <c r="J650" t="n">
        <v>0</v>
      </c>
      <c r="K650" t="n">
        <v>0</v>
      </c>
      <c r="L650" t="n">
        <v>0</v>
      </c>
      <c r="M650" t="n">
        <v>0</v>
      </c>
      <c r="N650" t="n">
        <v>0</v>
      </c>
      <c r="O650" t="n">
        <v>0</v>
      </c>
      <c r="P650" t="n">
        <v>0</v>
      </c>
      <c r="Q650" t="n">
        <v>0</v>
      </c>
      <c r="R650" s="2" t="inlineStr"/>
    </row>
    <row r="651" ht="15" customHeight="1">
      <c r="A651" t="inlineStr">
        <is>
          <t>A 52279-2023</t>
        </is>
      </c>
      <c r="B651" s="1" t="n">
        <v>45224</v>
      </c>
      <c r="C651" s="1" t="n">
        <v>45893</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7758-2024</t>
        </is>
      </c>
      <c r="B652" s="1" t="n">
        <v>45349.54434027777</v>
      </c>
      <c r="C652" s="1" t="n">
        <v>45893</v>
      </c>
      <c r="D652" t="inlineStr">
        <is>
          <t>KALMAR LÄN</t>
        </is>
      </c>
      <c r="E652" t="inlineStr">
        <is>
          <t>VIMMERBY</t>
        </is>
      </c>
      <c r="G652" t="n">
        <v>3.5</v>
      </c>
      <c r="H652" t="n">
        <v>0</v>
      </c>
      <c r="I652" t="n">
        <v>0</v>
      </c>
      <c r="J652" t="n">
        <v>0</v>
      </c>
      <c r="K652" t="n">
        <v>0</v>
      </c>
      <c r="L652" t="n">
        <v>0</v>
      </c>
      <c r="M652" t="n">
        <v>0</v>
      </c>
      <c r="N652" t="n">
        <v>0</v>
      </c>
      <c r="O652" t="n">
        <v>0</v>
      </c>
      <c r="P652" t="n">
        <v>0</v>
      </c>
      <c r="Q652" t="n">
        <v>0</v>
      </c>
      <c r="R652" s="2" t="inlineStr"/>
    </row>
    <row r="653" ht="15" customHeight="1">
      <c r="A653" t="inlineStr">
        <is>
          <t>A 36226-2025</t>
        </is>
      </c>
      <c r="B653" s="1" t="n">
        <v>45867.51630787037</v>
      </c>
      <c r="C653" s="1" t="n">
        <v>45893</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5701-2024</t>
        </is>
      </c>
      <c r="B654" s="1" t="n">
        <v>45334.78826388889</v>
      </c>
      <c r="C654" s="1" t="n">
        <v>45893</v>
      </c>
      <c r="D654" t="inlineStr">
        <is>
          <t>KALMAR LÄN</t>
        </is>
      </c>
      <c r="E654" t="inlineStr">
        <is>
          <t>VIMMERBY</t>
        </is>
      </c>
      <c r="G654" t="n">
        <v>2.3</v>
      </c>
      <c r="H654" t="n">
        <v>0</v>
      </c>
      <c r="I654" t="n">
        <v>0</v>
      </c>
      <c r="J654" t="n">
        <v>0</v>
      </c>
      <c r="K654" t="n">
        <v>0</v>
      </c>
      <c r="L654" t="n">
        <v>0</v>
      </c>
      <c r="M654" t="n">
        <v>0</v>
      </c>
      <c r="N654" t="n">
        <v>0</v>
      </c>
      <c r="O654" t="n">
        <v>0</v>
      </c>
      <c r="P654" t="n">
        <v>0</v>
      </c>
      <c r="Q654" t="n">
        <v>0</v>
      </c>
      <c r="R654" s="2" t="inlineStr"/>
    </row>
    <row r="655" ht="15" customHeight="1">
      <c r="A655" t="inlineStr">
        <is>
          <t>A 29724-2025</t>
        </is>
      </c>
      <c r="B655" s="1" t="n">
        <v>45825.57680555555</v>
      </c>
      <c r="C655" s="1" t="n">
        <v>45893</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17486-2024</t>
        </is>
      </c>
      <c r="B656" s="1" t="n">
        <v>45415.48979166667</v>
      </c>
      <c r="C656" s="1" t="n">
        <v>45893</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31405-2023</t>
        </is>
      </c>
      <c r="B657" s="1" t="n">
        <v>45114.58148148148</v>
      </c>
      <c r="C657" s="1" t="n">
        <v>45893</v>
      </c>
      <c r="D657" t="inlineStr">
        <is>
          <t>KALMAR LÄN</t>
        </is>
      </c>
      <c r="E657" t="inlineStr">
        <is>
          <t>VIMMERBY</t>
        </is>
      </c>
      <c r="G657" t="n">
        <v>2.6</v>
      </c>
      <c r="H657" t="n">
        <v>0</v>
      </c>
      <c r="I657" t="n">
        <v>0</v>
      </c>
      <c r="J657" t="n">
        <v>0</v>
      </c>
      <c r="K657" t="n">
        <v>0</v>
      </c>
      <c r="L657" t="n">
        <v>0</v>
      </c>
      <c r="M657" t="n">
        <v>0</v>
      </c>
      <c r="N657" t="n">
        <v>0</v>
      </c>
      <c r="O657" t="n">
        <v>0</v>
      </c>
      <c r="P657" t="n">
        <v>0</v>
      </c>
      <c r="Q657" t="n">
        <v>0</v>
      </c>
      <c r="R657" s="2" t="inlineStr"/>
    </row>
    <row r="658" ht="15" customHeight="1">
      <c r="A658" t="inlineStr">
        <is>
          <t>A 6355-2022</t>
        </is>
      </c>
      <c r="B658" s="1" t="n">
        <v>44600</v>
      </c>
      <c r="C658" s="1" t="n">
        <v>45893</v>
      </c>
      <c r="D658" t="inlineStr">
        <is>
          <t>KALMAR LÄN</t>
        </is>
      </c>
      <c r="E658" t="inlineStr">
        <is>
          <t>VIMMERBY</t>
        </is>
      </c>
      <c r="G658" t="n">
        <v>4.9</v>
      </c>
      <c r="H658" t="n">
        <v>0</v>
      </c>
      <c r="I658" t="n">
        <v>0</v>
      </c>
      <c r="J658" t="n">
        <v>0</v>
      </c>
      <c r="K658" t="n">
        <v>0</v>
      </c>
      <c r="L658" t="n">
        <v>0</v>
      </c>
      <c r="M658" t="n">
        <v>0</v>
      </c>
      <c r="N658" t="n">
        <v>0</v>
      </c>
      <c r="O658" t="n">
        <v>0</v>
      </c>
      <c r="P658" t="n">
        <v>0</v>
      </c>
      <c r="Q658" t="n">
        <v>0</v>
      </c>
      <c r="R658" s="2" t="inlineStr"/>
    </row>
    <row r="659" ht="15" customHeight="1">
      <c r="A659" t="inlineStr">
        <is>
          <t>A 46225-2024</t>
        </is>
      </c>
      <c r="B659" s="1" t="n">
        <v>45581.57333333333</v>
      </c>
      <c r="C659" s="1" t="n">
        <v>45893</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71631-2021</t>
        </is>
      </c>
      <c r="B660" s="1" t="n">
        <v>44542.90072916666</v>
      </c>
      <c r="C660" s="1" t="n">
        <v>45893</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9418-2024</t>
        </is>
      </c>
      <c r="B661" s="1" t="n">
        <v>45359.45038194444</v>
      </c>
      <c r="C661" s="1" t="n">
        <v>45893</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57091-2022</t>
        </is>
      </c>
      <c r="B662" s="1" t="n">
        <v>44895.46524305556</v>
      </c>
      <c r="C662" s="1" t="n">
        <v>45893</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3816-2022</t>
        </is>
      </c>
      <c r="B663" s="1" t="n">
        <v>44587</v>
      </c>
      <c r="C663" s="1" t="n">
        <v>45893</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30293-2025</t>
        </is>
      </c>
      <c r="B664" s="1" t="n">
        <v>45827</v>
      </c>
      <c r="C664" s="1" t="n">
        <v>45893</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43606-2024</t>
        </is>
      </c>
      <c r="B665" s="1" t="n">
        <v>45569.45017361111</v>
      </c>
      <c r="C665" s="1" t="n">
        <v>45893</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43617-2024</t>
        </is>
      </c>
      <c r="B666" s="1" t="n">
        <v>45569.47494212963</v>
      </c>
      <c r="C666" s="1" t="n">
        <v>45893</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30290-2025</t>
        </is>
      </c>
      <c r="B667" s="1" t="n">
        <v>45827</v>
      </c>
      <c r="C667" s="1" t="n">
        <v>45893</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47859-2024</t>
        </is>
      </c>
      <c r="B668" s="1" t="n">
        <v>45588.67070601852</v>
      </c>
      <c r="C668" s="1" t="n">
        <v>45893</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16015-2025</t>
        </is>
      </c>
      <c r="B669" s="1" t="n">
        <v>45749.60487268519</v>
      </c>
      <c r="C669" s="1" t="n">
        <v>45893</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8540-2024</t>
        </is>
      </c>
      <c r="B670" s="1" t="n">
        <v>45355.54138888889</v>
      </c>
      <c r="C670" s="1" t="n">
        <v>45893</v>
      </c>
      <c r="D670" t="inlineStr">
        <is>
          <t>KALMAR LÄN</t>
        </is>
      </c>
      <c r="E670" t="inlineStr">
        <is>
          <t>VIMMERBY</t>
        </is>
      </c>
      <c r="G670" t="n">
        <v>1.9</v>
      </c>
      <c r="H670" t="n">
        <v>0</v>
      </c>
      <c r="I670" t="n">
        <v>0</v>
      </c>
      <c r="J670" t="n">
        <v>0</v>
      </c>
      <c r="K670" t="n">
        <v>0</v>
      </c>
      <c r="L670" t="n">
        <v>0</v>
      </c>
      <c r="M670" t="n">
        <v>0</v>
      </c>
      <c r="N670" t="n">
        <v>0</v>
      </c>
      <c r="O670" t="n">
        <v>0</v>
      </c>
      <c r="P670" t="n">
        <v>0</v>
      </c>
      <c r="Q670" t="n">
        <v>0</v>
      </c>
      <c r="R670" s="2" t="inlineStr"/>
    </row>
    <row r="671" ht="15" customHeight="1">
      <c r="A671" t="inlineStr">
        <is>
          <t>A 36538-2025</t>
        </is>
      </c>
      <c r="B671" s="1" t="n">
        <v>45869.62276620371</v>
      </c>
      <c r="C671" s="1" t="n">
        <v>45893</v>
      </c>
      <c r="D671" t="inlineStr">
        <is>
          <t>KALMAR LÄN</t>
        </is>
      </c>
      <c r="E671" t="inlineStr">
        <is>
          <t>VIMMERBY</t>
        </is>
      </c>
      <c r="G671" t="n">
        <v>2.6</v>
      </c>
      <c r="H671" t="n">
        <v>0</v>
      </c>
      <c r="I671" t="n">
        <v>0</v>
      </c>
      <c r="J671" t="n">
        <v>0</v>
      </c>
      <c r="K671" t="n">
        <v>0</v>
      </c>
      <c r="L671" t="n">
        <v>0</v>
      </c>
      <c r="M671" t="n">
        <v>0</v>
      </c>
      <c r="N671" t="n">
        <v>0</v>
      </c>
      <c r="O671" t="n">
        <v>0</v>
      </c>
      <c r="P671" t="n">
        <v>0</v>
      </c>
      <c r="Q671" t="n">
        <v>0</v>
      </c>
      <c r="R671" s="2" t="inlineStr"/>
    </row>
    <row r="672" ht="15" customHeight="1">
      <c r="A672" t="inlineStr">
        <is>
          <t>A 9694-2023</t>
        </is>
      </c>
      <c r="B672" s="1" t="n">
        <v>44984.45895833334</v>
      </c>
      <c r="C672" s="1" t="n">
        <v>45893</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3331-2023</t>
        </is>
      </c>
      <c r="B673" s="1" t="n">
        <v>44949</v>
      </c>
      <c r="C673" s="1" t="n">
        <v>45893</v>
      </c>
      <c r="D673" t="inlineStr">
        <is>
          <t>KALMAR LÄN</t>
        </is>
      </c>
      <c r="E673" t="inlineStr">
        <is>
          <t>VIMMERBY</t>
        </is>
      </c>
      <c r="G673" t="n">
        <v>6.2</v>
      </c>
      <c r="H673" t="n">
        <v>0</v>
      </c>
      <c r="I673" t="n">
        <v>0</v>
      </c>
      <c r="J673" t="n">
        <v>0</v>
      </c>
      <c r="K673" t="n">
        <v>0</v>
      </c>
      <c r="L673" t="n">
        <v>0</v>
      </c>
      <c r="M673" t="n">
        <v>0</v>
      </c>
      <c r="N673" t="n">
        <v>0</v>
      </c>
      <c r="O673" t="n">
        <v>0</v>
      </c>
      <c r="P673" t="n">
        <v>0</v>
      </c>
      <c r="Q673" t="n">
        <v>0</v>
      </c>
      <c r="R673" s="2" t="inlineStr"/>
    </row>
    <row r="674" ht="15" customHeight="1">
      <c r="A674" t="inlineStr">
        <is>
          <t>A 598-2025</t>
        </is>
      </c>
      <c r="B674" s="1" t="n">
        <v>45660</v>
      </c>
      <c r="C674" s="1" t="n">
        <v>45893</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22198-2024</t>
        </is>
      </c>
      <c r="B675" s="1" t="n">
        <v>45446.36865740741</v>
      </c>
      <c r="C675" s="1" t="n">
        <v>45893</v>
      </c>
      <c r="D675" t="inlineStr">
        <is>
          <t>KALMAR LÄN</t>
        </is>
      </c>
      <c r="E675" t="inlineStr">
        <is>
          <t>VIMMERBY</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57311-2023</t>
        </is>
      </c>
      <c r="B676" s="1" t="n">
        <v>45245.63574074074</v>
      </c>
      <c r="C676" s="1" t="n">
        <v>45893</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25799-2023</t>
        </is>
      </c>
      <c r="B677" s="1" t="n">
        <v>45090</v>
      </c>
      <c r="C677" s="1" t="n">
        <v>45893</v>
      </c>
      <c r="D677" t="inlineStr">
        <is>
          <t>KALMAR LÄN</t>
        </is>
      </c>
      <c r="E677" t="inlineStr">
        <is>
          <t>VIMMERBY</t>
        </is>
      </c>
      <c r="G677" t="n">
        <v>7.7</v>
      </c>
      <c r="H677" t="n">
        <v>0</v>
      </c>
      <c r="I677" t="n">
        <v>0</v>
      </c>
      <c r="J677" t="n">
        <v>0</v>
      </c>
      <c r="K677" t="n">
        <v>0</v>
      </c>
      <c r="L677" t="n">
        <v>0</v>
      </c>
      <c r="M677" t="n">
        <v>0</v>
      </c>
      <c r="N677" t="n">
        <v>0</v>
      </c>
      <c r="O677" t="n">
        <v>0</v>
      </c>
      <c r="P677" t="n">
        <v>0</v>
      </c>
      <c r="Q677" t="n">
        <v>0</v>
      </c>
      <c r="R677" s="2" t="inlineStr"/>
    </row>
    <row r="678" ht="15" customHeight="1">
      <c r="A678" t="inlineStr">
        <is>
          <t>A 53083-2021</t>
        </is>
      </c>
      <c r="B678" s="1" t="n">
        <v>44467.83386574074</v>
      </c>
      <c r="C678" s="1" t="n">
        <v>45893</v>
      </c>
      <c r="D678" t="inlineStr">
        <is>
          <t>KALMAR LÄN</t>
        </is>
      </c>
      <c r="E678" t="inlineStr">
        <is>
          <t>VIMMERBY</t>
        </is>
      </c>
      <c r="G678" t="n">
        <v>6.8</v>
      </c>
      <c r="H678" t="n">
        <v>0</v>
      </c>
      <c r="I678" t="n">
        <v>0</v>
      </c>
      <c r="J678" t="n">
        <v>0</v>
      </c>
      <c r="K678" t="n">
        <v>0</v>
      </c>
      <c r="L678" t="n">
        <v>0</v>
      </c>
      <c r="M678" t="n">
        <v>0</v>
      </c>
      <c r="N678" t="n">
        <v>0</v>
      </c>
      <c r="O678" t="n">
        <v>0</v>
      </c>
      <c r="P678" t="n">
        <v>0</v>
      </c>
      <c r="Q678" t="n">
        <v>0</v>
      </c>
      <c r="R678" s="2" t="inlineStr"/>
    </row>
    <row r="679" ht="15" customHeight="1">
      <c r="A679" t="inlineStr">
        <is>
          <t>A 36600-2025</t>
        </is>
      </c>
      <c r="B679" s="1" t="n">
        <v>45870.51958333333</v>
      </c>
      <c r="C679" s="1" t="n">
        <v>45893</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36598-2025</t>
        </is>
      </c>
      <c r="B680" s="1" t="n">
        <v>45870.51708333333</v>
      </c>
      <c r="C680" s="1" t="n">
        <v>45893</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36601-2025</t>
        </is>
      </c>
      <c r="B681" s="1" t="n">
        <v>45870.52005787037</v>
      </c>
      <c r="C681" s="1" t="n">
        <v>45893</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36603-2025</t>
        </is>
      </c>
      <c r="B682" s="1" t="n">
        <v>45870.52142361111</v>
      </c>
      <c r="C682" s="1" t="n">
        <v>45893</v>
      </c>
      <c r="D682" t="inlineStr">
        <is>
          <t>KALMAR LÄN</t>
        </is>
      </c>
      <c r="E682" t="inlineStr">
        <is>
          <t>VIMMERBY</t>
        </is>
      </c>
      <c r="G682" t="n">
        <v>1.6</v>
      </c>
      <c r="H682" t="n">
        <v>0</v>
      </c>
      <c r="I682" t="n">
        <v>0</v>
      </c>
      <c r="J682" t="n">
        <v>0</v>
      </c>
      <c r="K682" t="n">
        <v>0</v>
      </c>
      <c r="L682" t="n">
        <v>0</v>
      </c>
      <c r="M682" t="n">
        <v>0</v>
      </c>
      <c r="N682" t="n">
        <v>0</v>
      </c>
      <c r="O682" t="n">
        <v>0</v>
      </c>
      <c r="P682" t="n">
        <v>0</v>
      </c>
      <c r="Q682" t="n">
        <v>0</v>
      </c>
      <c r="R682" s="2" t="inlineStr"/>
    </row>
    <row r="683" ht="15" customHeight="1">
      <c r="A683" t="inlineStr">
        <is>
          <t>A 30850-2025</t>
        </is>
      </c>
      <c r="B683" s="1" t="n">
        <v>45831</v>
      </c>
      <c r="C683" s="1" t="n">
        <v>45893</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12587-2025</t>
        </is>
      </c>
      <c r="B684" s="1" t="n">
        <v>45732.75637731481</v>
      </c>
      <c r="C684" s="1" t="n">
        <v>45893</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45893</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24655-2021</t>
        </is>
      </c>
      <c r="B686" s="1" t="n">
        <v>44340</v>
      </c>
      <c r="C686" s="1" t="n">
        <v>45893</v>
      </c>
      <c r="D686" t="inlineStr">
        <is>
          <t>KALMAR LÄN</t>
        </is>
      </c>
      <c r="E686" t="inlineStr">
        <is>
          <t>VIMMERBY</t>
        </is>
      </c>
      <c r="G686" t="n">
        <v>14.9</v>
      </c>
      <c r="H686" t="n">
        <v>0</v>
      </c>
      <c r="I686" t="n">
        <v>0</v>
      </c>
      <c r="J686" t="n">
        <v>0</v>
      </c>
      <c r="K686" t="n">
        <v>0</v>
      </c>
      <c r="L686" t="n">
        <v>0</v>
      </c>
      <c r="M686" t="n">
        <v>0</v>
      </c>
      <c r="N686" t="n">
        <v>0</v>
      </c>
      <c r="O686" t="n">
        <v>0</v>
      </c>
      <c r="P686" t="n">
        <v>0</v>
      </c>
      <c r="Q686" t="n">
        <v>0</v>
      </c>
      <c r="R686" s="2" t="inlineStr"/>
    </row>
    <row r="687" ht="15" customHeight="1">
      <c r="A687" t="inlineStr">
        <is>
          <t>A 7932-2025</t>
        </is>
      </c>
      <c r="B687" s="1" t="n">
        <v>45707.3793287037</v>
      </c>
      <c r="C687" s="1" t="n">
        <v>45893</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36602-2025</t>
        </is>
      </c>
      <c r="B688" s="1" t="n">
        <v>45870.52111111111</v>
      </c>
      <c r="C688" s="1" t="n">
        <v>45893</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37079-2025</t>
        </is>
      </c>
      <c r="B689" s="1" t="n">
        <v>45875.42716435185</v>
      </c>
      <c r="C689" s="1" t="n">
        <v>45893</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36934-2025</t>
        </is>
      </c>
      <c r="B690" s="1" t="n">
        <v>45874.57109953704</v>
      </c>
      <c r="C690" s="1" t="n">
        <v>45893</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33838-2022</t>
        </is>
      </c>
      <c r="B691" s="1" t="n">
        <v>44790.49040509259</v>
      </c>
      <c r="C691" s="1" t="n">
        <v>45893</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32835-2022</t>
        </is>
      </c>
      <c r="B692" s="1" t="n">
        <v>44784.42528935185</v>
      </c>
      <c r="C692" s="1" t="n">
        <v>45893</v>
      </c>
      <c r="D692" t="inlineStr">
        <is>
          <t>KALMAR LÄN</t>
        </is>
      </c>
      <c r="E692" t="inlineStr">
        <is>
          <t>VIMMERBY</t>
        </is>
      </c>
      <c r="G692" t="n">
        <v>1.6</v>
      </c>
      <c r="H692" t="n">
        <v>0</v>
      </c>
      <c r="I692" t="n">
        <v>0</v>
      </c>
      <c r="J692" t="n">
        <v>0</v>
      </c>
      <c r="K692" t="n">
        <v>0</v>
      </c>
      <c r="L692" t="n">
        <v>0</v>
      </c>
      <c r="M692" t="n">
        <v>0</v>
      </c>
      <c r="N692" t="n">
        <v>0</v>
      </c>
      <c r="O692" t="n">
        <v>0</v>
      </c>
      <c r="P692" t="n">
        <v>0</v>
      </c>
      <c r="Q692" t="n">
        <v>0</v>
      </c>
      <c r="R692" s="2" t="inlineStr"/>
    </row>
    <row r="693" ht="15" customHeight="1">
      <c r="A693" t="inlineStr">
        <is>
          <t>A 37102-2025</t>
        </is>
      </c>
      <c r="B693" s="1" t="n">
        <v>45875.47454861111</v>
      </c>
      <c r="C693" s="1" t="n">
        <v>45893</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31552-2025</t>
        </is>
      </c>
      <c r="B694" s="1" t="n">
        <v>45833.64563657407</v>
      </c>
      <c r="C694" s="1" t="n">
        <v>45893</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31555-2025</t>
        </is>
      </c>
      <c r="B695" s="1" t="n">
        <v>45833.64814814815</v>
      </c>
      <c r="C695" s="1" t="n">
        <v>45893</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30971-2025</t>
        </is>
      </c>
      <c r="B696" s="1" t="n">
        <v>45832.46146990741</v>
      </c>
      <c r="C696" s="1" t="n">
        <v>45893</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2121-2022</t>
        </is>
      </c>
      <c r="B697" s="1" t="n">
        <v>44578.32717592592</v>
      </c>
      <c r="C697" s="1" t="n">
        <v>45893</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31551-2025</t>
        </is>
      </c>
      <c r="B698" s="1" t="n">
        <v>45833.64237268519</v>
      </c>
      <c r="C698" s="1" t="n">
        <v>45893</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1081-2023</t>
        </is>
      </c>
      <c r="B699" s="1" t="n">
        <v>44935</v>
      </c>
      <c r="C699" s="1" t="n">
        <v>45893</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45893</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37088-2025</t>
        </is>
      </c>
      <c r="B701" s="1" t="n">
        <v>45875.45716435185</v>
      </c>
      <c r="C701" s="1" t="n">
        <v>45893</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28403-2023</t>
        </is>
      </c>
      <c r="B702" s="1" t="n">
        <v>45100.85270833333</v>
      </c>
      <c r="C702" s="1" t="n">
        <v>45893</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34386-2024</t>
        </is>
      </c>
      <c r="B703" s="1" t="n">
        <v>45525.41762731481</v>
      </c>
      <c r="C703" s="1" t="n">
        <v>45893</v>
      </c>
      <c r="D703" t="inlineStr">
        <is>
          <t>KALMAR LÄN</t>
        </is>
      </c>
      <c r="E703" t="inlineStr">
        <is>
          <t>VIMMERBY</t>
        </is>
      </c>
      <c r="G703" t="n">
        <v>0.3</v>
      </c>
      <c r="H703" t="n">
        <v>0</v>
      </c>
      <c r="I703" t="n">
        <v>0</v>
      </c>
      <c r="J703" t="n">
        <v>0</v>
      </c>
      <c r="K703" t="n">
        <v>0</v>
      </c>
      <c r="L703" t="n">
        <v>0</v>
      </c>
      <c r="M703" t="n">
        <v>0</v>
      </c>
      <c r="N703" t="n">
        <v>0</v>
      </c>
      <c r="O703" t="n">
        <v>0</v>
      </c>
      <c r="P703" t="n">
        <v>0</v>
      </c>
      <c r="Q703" t="n">
        <v>0</v>
      </c>
      <c r="R703" s="2" t="inlineStr"/>
    </row>
    <row r="704" ht="15" customHeight="1">
      <c r="A704" t="inlineStr">
        <is>
          <t>A 30882-2025</t>
        </is>
      </c>
      <c r="B704" s="1" t="n">
        <v>45832.34540509259</v>
      </c>
      <c r="C704" s="1" t="n">
        <v>45893</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6069-2023</t>
        </is>
      </c>
      <c r="B705" s="1" t="n">
        <v>44964.5115162037</v>
      </c>
      <c r="C705" s="1" t="n">
        <v>45893</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33103-2024</t>
        </is>
      </c>
      <c r="B706" s="1" t="n">
        <v>45517.8162037037</v>
      </c>
      <c r="C706" s="1" t="n">
        <v>45893</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31872-2025</t>
        </is>
      </c>
      <c r="B707" s="1" t="n">
        <v>45834.65040509259</v>
      </c>
      <c r="C707" s="1" t="n">
        <v>45893</v>
      </c>
      <c r="D707" t="inlineStr">
        <is>
          <t>KALMAR LÄN</t>
        </is>
      </c>
      <c r="E707" t="inlineStr">
        <is>
          <t>VIMMERBY</t>
        </is>
      </c>
      <c r="F707" t="inlineStr">
        <is>
          <t>Sveaskog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2260-2022</t>
        </is>
      </c>
      <c r="B708" s="1" t="n">
        <v>44578.62943287037</v>
      </c>
      <c r="C708" s="1" t="n">
        <v>45893</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8559-2025</t>
        </is>
      </c>
      <c r="B709" s="1" t="n">
        <v>45709.62280092593</v>
      </c>
      <c r="C709" s="1" t="n">
        <v>45893</v>
      </c>
      <c r="D709" t="inlineStr">
        <is>
          <t>KALMAR LÄN</t>
        </is>
      </c>
      <c r="E709" t="inlineStr">
        <is>
          <t>VIMMERBY</t>
        </is>
      </c>
      <c r="G709" t="n">
        <v>8.9</v>
      </c>
      <c r="H709" t="n">
        <v>0</v>
      </c>
      <c r="I709" t="n">
        <v>0</v>
      </c>
      <c r="J709" t="n">
        <v>0</v>
      </c>
      <c r="K709" t="n">
        <v>0</v>
      </c>
      <c r="L709" t="n">
        <v>0</v>
      </c>
      <c r="M709" t="n">
        <v>0</v>
      </c>
      <c r="N709" t="n">
        <v>0</v>
      </c>
      <c r="O709" t="n">
        <v>0</v>
      </c>
      <c r="P709" t="n">
        <v>0</v>
      </c>
      <c r="Q709" t="n">
        <v>0</v>
      </c>
      <c r="R709" s="2" t="inlineStr"/>
    </row>
    <row r="710" ht="15" customHeight="1">
      <c r="A710" t="inlineStr">
        <is>
          <t>A 32064-2025</t>
        </is>
      </c>
      <c r="B710" s="1" t="n">
        <v>45835.44709490741</v>
      </c>
      <c r="C710" s="1" t="n">
        <v>45893</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11661-2023</t>
        </is>
      </c>
      <c r="B711" s="1" t="n">
        <v>44994.46908564815</v>
      </c>
      <c r="C711" s="1" t="n">
        <v>45893</v>
      </c>
      <c r="D711" t="inlineStr">
        <is>
          <t>KALMAR LÄN</t>
        </is>
      </c>
      <c r="E711" t="inlineStr">
        <is>
          <t>VIMMERBY</t>
        </is>
      </c>
      <c r="G711" t="n">
        <v>2.7</v>
      </c>
      <c r="H711" t="n">
        <v>0</v>
      </c>
      <c r="I711" t="n">
        <v>0</v>
      </c>
      <c r="J711" t="n">
        <v>0</v>
      </c>
      <c r="K711" t="n">
        <v>0</v>
      </c>
      <c r="L711" t="n">
        <v>0</v>
      </c>
      <c r="M711" t="n">
        <v>0</v>
      </c>
      <c r="N711" t="n">
        <v>0</v>
      </c>
      <c r="O711" t="n">
        <v>0</v>
      </c>
      <c r="P711" t="n">
        <v>0</v>
      </c>
      <c r="Q711" t="n">
        <v>0</v>
      </c>
      <c r="R711" s="2" t="inlineStr"/>
    </row>
    <row r="712" ht="15" customHeight="1">
      <c r="A712" t="inlineStr">
        <is>
          <t>A 58046-2022</t>
        </is>
      </c>
      <c r="B712" s="1" t="n">
        <v>44900.57393518519</v>
      </c>
      <c r="C712" s="1" t="n">
        <v>45893</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32109-2025</t>
        </is>
      </c>
      <c r="B713" s="1" t="n">
        <v>45835.48267361111</v>
      </c>
      <c r="C713" s="1" t="n">
        <v>45893</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32113-2025</t>
        </is>
      </c>
      <c r="B714" s="1" t="n">
        <v>45835.48445601852</v>
      </c>
      <c r="C714" s="1" t="n">
        <v>45893</v>
      </c>
      <c r="D714" t="inlineStr">
        <is>
          <t>KALMAR LÄN</t>
        </is>
      </c>
      <c r="E714" t="inlineStr">
        <is>
          <t>VIMMERBY</t>
        </is>
      </c>
      <c r="G714" t="n">
        <v>3.5</v>
      </c>
      <c r="H714" t="n">
        <v>0</v>
      </c>
      <c r="I714" t="n">
        <v>0</v>
      </c>
      <c r="J714" t="n">
        <v>0</v>
      </c>
      <c r="K714" t="n">
        <v>0</v>
      </c>
      <c r="L714" t="n">
        <v>0</v>
      </c>
      <c r="M714" t="n">
        <v>0</v>
      </c>
      <c r="N714" t="n">
        <v>0</v>
      </c>
      <c r="O714" t="n">
        <v>0</v>
      </c>
      <c r="P714" t="n">
        <v>0</v>
      </c>
      <c r="Q714" t="n">
        <v>0</v>
      </c>
      <c r="R714" s="2" t="inlineStr"/>
    </row>
    <row r="715" ht="15" customHeight="1">
      <c r="A715" t="inlineStr">
        <is>
          <t>A 32116-2025</t>
        </is>
      </c>
      <c r="B715" s="1" t="n">
        <v>45835.48862268519</v>
      </c>
      <c r="C715" s="1" t="n">
        <v>45893</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45528-2021</t>
        </is>
      </c>
      <c r="B716" s="1" t="n">
        <v>44440.60415509259</v>
      </c>
      <c r="C716" s="1" t="n">
        <v>45893</v>
      </c>
      <c r="D716" t="inlineStr">
        <is>
          <t>KALMAR LÄN</t>
        </is>
      </c>
      <c r="E716" t="inlineStr">
        <is>
          <t>VIMMERBY</t>
        </is>
      </c>
      <c r="G716" t="n">
        <v>2.2</v>
      </c>
      <c r="H716" t="n">
        <v>0</v>
      </c>
      <c r="I716" t="n">
        <v>0</v>
      </c>
      <c r="J716" t="n">
        <v>0</v>
      </c>
      <c r="K716" t="n">
        <v>0</v>
      </c>
      <c r="L716" t="n">
        <v>0</v>
      </c>
      <c r="M716" t="n">
        <v>0</v>
      </c>
      <c r="N716" t="n">
        <v>0</v>
      </c>
      <c r="O716" t="n">
        <v>0</v>
      </c>
      <c r="P716" t="n">
        <v>0</v>
      </c>
      <c r="Q716" t="n">
        <v>0</v>
      </c>
      <c r="R716" s="2" t="inlineStr"/>
    </row>
    <row r="717" ht="15" customHeight="1">
      <c r="A717" t="inlineStr">
        <is>
          <t>A 46979-2023</t>
        </is>
      </c>
      <c r="B717" s="1" t="n">
        <v>45201</v>
      </c>
      <c r="C717" s="1" t="n">
        <v>45893</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32633-2023</t>
        </is>
      </c>
      <c r="B718" s="1" t="n">
        <v>45121.58699074074</v>
      </c>
      <c r="C718" s="1" t="n">
        <v>45893</v>
      </c>
      <c r="D718" t="inlineStr">
        <is>
          <t>KALMAR LÄN</t>
        </is>
      </c>
      <c r="E718" t="inlineStr">
        <is>
          <t>VIMMERBY</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6574-2023</t>
        </is>
      </c>
      <c r="B719" s="1" t="n">
        <v>44966</v>
      </c>
      <c r="C719" s="1" t="n">
        <v>45893</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31870-2025</t>
        </is>
      </c>
      <c r="B720" s="1" t="n">
        <v>45834.64667824074</v>
      </c>
      <c r="C720" s="1" t="n">
        <v>45893</v>
      </c>
      <c r="D720" t="inlineStr">
        <is>
          <t>KALMAR LÄN</t>
        </is>
      </c>
      <c r="E720" t="inlineStr">
        <is>
          <t>VIMMERBY</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32065-2025</t>
        </is>
      </c>
      <c r="B721" s="1" t="n">
        <v>45835.44732638889</v>
      </c>
      <c r="C721" s="1" t="n">
        <v>45893</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49461-2023</t>
        </is>
      </c>
      <c r="B722" s="1" t="n">
        <v>45211.52642361111</v>
      </c>
      <c r="C722" s="1" t="n">
        <v>45893</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4058-2024</t>
        </is>
      </c>
      <c r="B723" s="1" t="n">
        <v>45323.53744212963</v>
      </c>
      <c r="C723" s="1" t="n">
        <v>45893</v>
      </c>
      <c r="D723" t="inlineStr">
        <is>
          <t>KALMAR LÄN</t>
        </is>
      </c>
      <c r="E723" t="inlineStr">
        <is>
          <t>VIMMERBY</t>
        </is>
      </c>
      <c r="G723" t="n">
        <v>6.5</v>
      </c>
      <c r="H723" t="n">
        <v>0</v>
      </c>
      <c r="I723" t="n">
        <v>0</v>
      </c>
      <c r="J723" t="n">
        <v>0</v>
      </c>
      <c r="K723" t="n">
        <v>0</v>
      </c>
      <c r="L723" t="n">
        <v>0</v>
      </c>
      <c r="M723" t="n">
        <v>0</v>
      </c>
      <c r="N723" t="n">
        <v>0</v>
      </c>
      <c r="O723" t="n">
        <v>0</v>
      </c>
      <c r="P723" t="n">
        <v>0</v>
      </c>
      <c r="Q723" t="n">
        <v>0</v>
      </c>
      <c r="R723" s="2" t="inlineStr"/>
    </row>
    <row r="724" ht="15" customHeight="1">
      <c r="A724" t="inlineStr">
        <is>
          <t>A 23095-2023</t>
        </is>
      </c>
      <c r="B724" s="1" t="n">
        <v>45075.43059027778</v>
      </c>
      <c r="C724" s="1" t="n">
        <v>45893</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45893</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45893</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30318-2023</t>
        </is>
      </c>
      <c r="B727" s="1" t="n">
        <v>45111.30824074074</v>
      </c>
      <c r="C727" s="1" t="n">
        <v>45893</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11141-2024</t>
        </is>
      </c>
      <c r="B728" s="1" t="n">
        <v>45371.45865740741</v>
      </c>
      <c r="C728" s="1" t="n">
        <v>45893</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28395-2023</t>
        </is>
      </c>
      <c r="B729" s="1" t="n">
        <v>45100.4062962963</v>
      </c>
      <c r="C729" s="1" t="n">
        <v>45893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25234-2023</t>
        </is>
      </c>
      <c r="B730" s="1" t="n">
        <v>45086.63194444445</v>
      </c>
      <c r="C730" s="1" t="n">
        <v>45893</v>
      </c>
      <c r="D730" t="inlineStr">
        <is>
          <t>KALMAR LÄN</t>
        </is>
      </c>
      <c r="E730" t="inlineStr">
        <is>
          <t>VIMMERBY</t>
        </is>
      </c>
      <c r="G730" t="n">
        <v>2.1</v>
      </c>
      <c r="H730" t="n">
        <v>0</v>
      </c>
      <c r="I730" t="n">
        <v>0</v>
      </c>
      <c r="J730" t="n">
        <v>0</v>
      </c>
      <c r="K730" t="n">
        <v>0</v>
      </c>
      <c r="L730" t="n">
        <v>0</v>
      </c>
      <c r="M730" t="n">
        <v>0</v>
      </c>
      <c r="N730" t="n">
        <v>0</v>
      </c>
      <c r="O730" t="n">
        <v>0</v>
      </c>
      <c r="P730" t="n">
        <v>0</v>
      </c>
      <c r="Q730" t="n">
        <v>0</v>
      </c>
      <c r="R730" s="2" t="inlineStr"/>
    </row>
    <row r="731" ht="15" customHeight="1">
      <c r="A731" t="inlineStr">
        <is>
          <t>A 46078-2023</t>
        </is>
      </c>
      <c r="B731" s="1" t="n">
        <v>45196</v>
      </c>
      <c r="C731" s="1" t="n">
        <v>45893</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34597-2022</t>
        </is>
      </c>
      <c r="B732" s="1" t="n">
        <v>44795</v>
      </c>
      <c r="C732" s="1" t="n">
        <v>45893</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31987-2025</t>
        </is>
      </c>
      <c r="B733" s="1" t="n">
        <v>45835.36229166666</v>
      </c>
      <c r="C733" s="1" t="n">
        <v>45893</v>
      </c>
      <c r="D733" t="inlineStr">
        <is>
          <t>KALMAR LÄN</t>
        </is>
      </c>
      <c r="E733" t="inlineStr">
        <is>
          <t>VIMMERBY</t>
        </is>
      </c>
      <c r="F733" t="inlineStr">
        <is>
          <t>Kyrkan</t>
        </is>
      </c>
      <c r="G733" t="n">
        <v>1.2</v>
      </c>
      <c r="H733" t="n">
        <v>0</v>
      </c>
      <c r="I733" t="n">
        <v>0</v>
      </c>
      <c r="J733" t="n">
        <v>0</v>
      </c>
      <c r="K733" t="n">
        <v>0</v>
      </c>
      <c r="L733" t="n">
        <v>0</v>
      </c>
      <c r="M733" t="n">
        <v>0</v>
      </c>
      <c r="N733" t="n">
        <v>0</v>
      </c>
      <c r="O733" t="n">
        <v>0</v>
      </c>
      <c r="P733" t="n">
        <v>0</v>
      </c>
      <c r="Q733" t="n">
        <v>0</v>
      </c>
      <c r="R733" s="2" t="inlineStr"/>
    </row>
    <row r="734" ht="15" customHeight="1">
      <c r="A734" t="inlineStr">
        <is>
          <t>A 32077-2025</t>
        </is>
      </c>
      <c r="B734" s="1" t="n">
        <v>45835.45099537037</v>
      </c>
      <c r="C734" s="1" t="n">
        <v>45893</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64428-2023</t>
        </is>
      </c>
      <c r="B735" s="1" t="n">
        <v>45280.66769675926</v>
      </c>
      <c r="C735" s="1" t="n">
        <v>45893</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32120-2025</t>
        </is>
      </c>
      <c r="B736" s="1" t="n">
        <v>45835.4924537037</v>
      </c>
      <c r="C736" s="1" t="n">
        <v>45893</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45834.65197916667</v>
      </c>
      <c r="C737" s="1" t="n">
        <v>45893</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30588-2023</t>
        </is>
      </c>
      <c r="B738" s="1" t="n">
        <v>45112.33599537037</v>
      </c>
      <c r="C738" s="1" t="n">
        <v>45893</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30503-2023</t>
        </is>
      </c>
      <c r="B739" s="1" t="n">
        <v>45111</v>
      </c>
      <c r="C739" s="1" t="n">
        <v>45893</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3609-2024</t>
        </is>
      </c>
      <c r="B740" s="1" t="n">
        <v>45320.89128472222</v>
      </c>
      <c r="C740" s="1" t="n">
        <v>45893</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10424-2023</t>
        </is>
      </c>
      <c r="B741" s="1" t="n">
        <v>44987.54104166666</v>
      </c>
      <c r="C741" s="1" t="n">
        <v>45893</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47263-2023</t>
        </is>
      </c>
      <c r="B742" s="1" t="n">
        <v>45202.4209837963</v>
      </c>
      <c r="C742" s="1" t="n">
        <v>45893</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58100-2024</t>
        </is>
      </c>
      <c r="B743" s="1" t="n">
        <v>45632.36706018518</v>
      </c>
      <c r="C743" s="1" t="n">
        <v>45893</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58159-2024</t>
        </is>
      </c>
      <c r="B744" s="1" t="n">
        <v>45632.44886574074</v>
      </c>
      <c r="C744" s="1" t="n">
        <v>45893</v>
      </c>
      <c r="D744" t="inlineStr">
        <is>
          <t>KALMAR LÄN</t>
        </is>
      </c>
      <c r="E744" t="inlineStr">
        <is>
          <t>VIMMERBY</t>
        </is>
      </c>
      <c r="G744" t="n">
        <v>7.5</v>
      </c>
      <c r="H744" t="n">
        <v>0</v>
      </c>
      <c r="I744" t="n">
        <v>0</v>
      </c>
      <c r="J744" t="n">
        <v>0</v>
      </c>
      <c r="K744" t="n">
        <v>0</v>
      </c>
      <c r="L744" t="n">
        <v>0</v>
      </c>
      <c r="M744" t="n">
        <v>0</v>
      </c>
      <c r="N744" t="n">
        <v>0</v>
      </c>
      <c r="O744" t="n">
        <v>0</v>
      </c>
      <c r="P744" t="n">
        <v>0</v>
      </c>
      <c r="Q744" t="n">
        <v>0</v>
      </c>
      <c r="R744" s="2" t="inlineStr"/>
    </row>
    <row r="745" ht="15" customHeight="1">
      <c r="A745" t="inlineStr">
        <is>
          <t>A 57114-2023</t>
        </is>
      </c>
      <c r="B745" s="1" t="n">
        <v>45245.36174768519</v>
      </c>
      <c r="C745" s="1" t="n">
        <v>45893</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3423-2022</t>
        </is>
      </c>
      <c r="B746" s="1" t="n">
        <v>44585.50431712963</v>
      </c>
      <c r="C746" s="1" t="n">
        <v>45893</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49382-2023</t>
        </is>
      </c>
      <c r="B747" s="1" t="n">
        <v>45208</v>
      </c>
      <c r="C747" s="1" t="n">
        <v>45893</v>
      </c>
      <c r="D747" t="inlineStr">
        <is>
          <t>KALMAR LÄN</t>
        </is>
      </c>
      <c r="E747" t="inlineStr">
        <is>
          <t>VIMMERBY</t>
        </is>
      </c>
      <c r="G747" t="n">
        <v>2.2</v>
      </c>
      <c r="H747" t="n">
        <v>0</v>
      </c>
      <c r="I747" t="n">
        <v>0</v>
      </c>
      <c r="J747" t="n">
        <v>0</v>
      </c>
      <c r="K747" t="n">
        <v>0</v>
      </c>
      <c r="L747" t="n">
        <v>0</v>
      </c>
      <c r="M747" t="n">
        <v>0</v>
      </c>
      <c r="N747" t="n">
        <v>0</v>
      </c>
      <c r="O747" t="n">
        <v>0</v>
      </c>
      <c r="P747" t="n">
        <v>0</v>
      </c>
      <c r="Q747" t="n">
        <v>0</v>
      </c>
      <c r="R747" s="2" t="inlineStr"/>
    </row>
    <row r="748" ht="15" customHeight="1">
      <c r="A748" t="inlineStr">
        <is>
          <t>A 12810-2023</t>
        </is>
      </c>
      <c r="B748" s="1" t="n">
        <v>45001.43854166667</v>
      </c>
      <c r="C748" s="1" t="n">
        <v>45893</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3425-2022</t>
        </is>
      </c>
      <c r="B749" s="1" t="n">
        <v>44585.51060185185</v>
      </c>
      <c r="C749" s="1" t="n">
        <v>45893</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60675-2023</t>
        </is>
      </c>
      <c r="B750" s="1" t="n">
        <v>45260.4716550926</v>
      </c>
      <c r="C750" s="1" t="n">
        <v>45893</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37667-2025</t>
        </is>
      </c>
      <c r="B751" s="1" t="n">
        <v>45880.51413194444</v>
      </c>
      <c r="C751" s="1" t="n">
        <v>45893</v>
      </c>
      <c r="D751" t="inlineStr">
        <is>
          <t>KALMAR LÄN</t>
        </is>
      </c>
      <c r="E751" t="inlineStr">
        <is>
          <t>VIMMERBY</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37866-2025</t>
        </is>
      </c>
      <c r="B752" s="1" t="n">
        <v>45881</v>
      </c>
      <c r="C752" s="1" t="n">
        <v>45893</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37668-2025</t>
        </is>
      </c>
      <c r="B753" s="1" t="n">
        <v>45880.51550925926</v>
      </c>
      <c r="C753" s="1" t="n">
        <v>45893</v>
      </c>
      <c r="D753" t="inlineStr">
        <is>
          <t>KALMAR LÄN</t>
        </is>
      </c>
      <c r="E753" t="inlineStr">
        <is>
          <t>VIMMERBY</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44943.62954861111</v>
      </c>
      <c r="C754" s="1" t="n">
        <v>45893</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40665-2023</t>
        </is>
      </c>
      <c r="B755" s="1" t="n">
        <v>45170</v>
      </c>
      <c r="C755" s="1" t="n">
        <v>45893</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37939-2025</t>
        </is>
      </c>
      <c r="B756" s="1" t="n">
        <v>45881.59877314815</v>
      </c>
      <c r="C756" s="1" t="n">
        <v>45893</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32382-2025</t>
        </is>
      </c>
      <c r="B757" s="1" t="n">
        <v>45837.77916666667</v>
      </c>
      <c r="C757" s="1" t="n">
        <v>45893</v>
      </c>
      <c r="D757" t="inlineStr">
        <is>
          <t>KALMAR LÄN</t>
        </is>
      </c>
      <c r="E757" t="inlineStr">
        <is>
          <t>VIMMERBY</t>
        </is>
      </c>
      <c r="G757" t="n">
        <v>4.6</v>
      </c>
      <c r="H757" t="n">
        <v>0</v>
      </c>
      <c r="I757" t="n">
        <v>0</v>
      </c>
      <c r="J757" t="n">
        <v>0</v>
      </c>
      <c r="K757" t="n">
        <v>0</v>
      </c>
      <c r="L757" t="n">
        <v>0</v>
      </c>
      <c r="M757" t="n">
        <v>0</v>
      </c>
      <c r="N757" t="n">
        <v>0</v>
      </c>
      <c r="O757" t="n">
        <v>0</v>
      </c>
      <c r="P757" t="n">
        <v>0</v>
      </c>
      <c r="Q757" t="n">
        <v>0</v>
      </c>
      <c r="R757" s="2" t="inlineStr"/>
    </row>
    <row r="758" ht="15" customHeight="1">
      <c r="A758" t="inlineStr">
        <is>
          <t>A 11111-2024</t>
        </is>
      </c>
      <c r="B758" s="1" t="n">
        <v>45371.36359953704</v>
      </c>
      <c r="C758" s="1" t="n">
        <v>45893</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32380-2025</t>
        </is>
      </c>
      <c r="B759" s="1" t="n">
        <v>45837.77701388889</v>
      </c>
      <c r="C759" s="1" t="n">
        <v>45893</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37578-2025</t>
        </is>
      </c>
      <c r="B760" s="1" t="n">
        <v>45880.38380787037</v>
      </c>
      <c r="C760" s="1" t="n">
        <v>45893</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33186-2025</t>
        </is>
      </c>
      <c r="B761" s="1" t="n">
        <v>45840.59474537037</v>
      </c>
      <c r="C761" s="1" t="n">
        <v>45893</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33188-2025</t>
        </is>
      </c>
      <c r="B762" s="1" t="n">
        <v>45840.59853009259</v>
      </c>
      <c r="C762" s="1" t="n">
        <v>45893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33695-2025</t>
        </is>
      </c>
      <c r="B763" s="1" t="n">
        <v>45841.70569444444</v>
      </c>
      <c r="C763" s="1" t="n">
        <v>45893</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33698-2025</t>
        </is>
      </c>
      <c r="B764" s="1" t="n">
        <v>45841.70868055556</v>
      </c>
      <c r="C764" s="1" t="n">
        <v>45893</v>
      </c>
      <c r="D764" t="inlineStr">
        <is>
          <t>KALMAR LÄN</t>
        </is>
      </c>
      <c r="E764" t="inlineStr">
        <is>
          <t>VIMMERBY</t>
        </is>
      </c>
      <c r="G764" t="n">
        <v>3.7</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45893</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30977-2025</t>
        </is>
      </c>
      <c r="B766" s="1" t="n">
        <v>45832.46649305556</v>
      </c>
      <c r="C766" s="1" t="n">
        <v>45893</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3494-2023</t>
        </is>
      </c>
      <c r="B767" s="1" t="n">
        <v>44949</v>
      </c>
      <c r="C767" s="1" t="n">
        <v>45893</v>
      </c>
      <c r="D767" t="inlineStr">
        <is>
          <t>KALMAR LÄN</t>
        </is>
      </c>
      <c r="E767" t="inlineStr">
        <is>
          <t>VIMMERBY</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33696-2025</t>
        </is>
      </c>
      <c r="B768" s="1" t="n">
        <v>45841.7072337963</v>
      </c>
      <c r="C768" s="1" t="n">
        <v>45893</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50860-2022</t>
        </is>
      </c>
      <c r="B769" s="1" t="n">
        <v>44867</v>
      </c>
      <c r="C769" s="1" t="n">
        <v>45893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25370-2022</t>
        </is>
      </c>
      <c r="B770" s="1" t="n">
        <v>44732.3659837963</v>
      </c>
      <c r="C770" s="1" t="n">
        <v>45893</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58577-2024</t>
        </is>
      </c>
      <c r="B771" s="1" t="n">
        <v>45635.4874537037</v>
      </c>
      <c r="C771" s="1" t="n">
        <v>45893</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29440-2024</t>
        </is>
      </c>
      <c r="B772" s="1" t="n">
        <v>45483.82479166667</v>
      </c>
      <c r="C772" s="1" t="n">
        <v>45893</v>
      </c>
      <c r="D772" t="inlineStr">
        <is>
          <t>KALMAR LÄN</t>
        </is>
      </c>
      <c r="E772" t="inlineStr">
        <is>
          <t>VIMMERBY</t>
        </is>
      </c>
      <c r="G772" t="n">
        <v>4.5</v>
      </c>
      <c r="H772" t="n">
        <v>0</v>
      </c>
      <c r="I772" t="n">
        <v>0</v>
      </c>
      <c r="J772" t="n">
        <v>0</v>
      </c>
      <c r="K772" t="n">
        <v>0</v>
      </c>
      <c r="L772" t="n">
        <v>0</v>
      </c>
      <c r="M772" t="n">
        <v>0</v>
      </c>
      <c r="N772" t="n">
        <v>0</v>
      </c>
      <c r="O772" t="n">
        <v>0</v>
      </c>
      <c r="P772" t="n">
        <v>0</v>
      </c>
      <c r="Q772" t="n">
        <v>0</v>
      </c>
      <c r="R772" s="2" t="inlineStr"/>
    </row>
    <row r="773" ht="15" customHeight="1">
      <c r="A773" t="inlineStr">
        <is>
          <t>A 15449-2023</t>
        </is>
      </c>
      <c r="B773" s="1" t="n">
        <v>45020</v>
      </c>
      <c r="C773" s="1" t="n">
        <v>45893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43242-2024</t>
        </is>
      </c>
      <c r="B774" s="1" t="n">
        <v>45568.30189814815</v>
      </c>
      <c r="C774" s="1" t="n">
        <v>45893</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43266-2024</t>
        </is>
      </c>
      <c r="B775" s="1" t="n">
        <v>45568.36879629629</v>
      </c>
      <c r="C775" s="1" t="n">
        <v>45893</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26956-2025</t>
        </is>
      </c>
      <c r="B776" s="1" t="n">
        <v>45811.45460648148</v>
      </c>
      <c r="C776" s="1" t="n">
        <v>45893</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61878-2020</t>
        </is>
      </c>
      <c r="B777" s="1" t="n">
        <v>44159</v>
      </c>
      <c r="C777" s="1" t="n">
        <v>45893</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56853-2022</t>
        </is>
      </c>
      <c r="B778" s="1" t="n">
        <v>44894.49538194444</v>
      </c>
      <c r="C778" s="1" t="n">
        <v>45893</v>
      </c>
      <c r="D778" t="inlineStr">
        <is>
          <t>KALMAR LÄN</t>
        </is>
      </c>
      <c r="E778" t="inlineStr">
        <is>
          <t>VIMMERBY</t>
        </is>
      </c>
      <c r="G778" t="n">
        <v>4.3</v>
      </c>
      <c r="H778" t="n">
        <v>0</v>
      </c>
      <c r="I778" t="n">
        <v>0</v>
      </c>
      <c r="J778" t="n">
        <v>0</v>
      </c>
      <c r="K778" t="n">
        <v>0</v>
      </c>
      <c r="L778" t="n">
        <v>0</v>
      </c>
      <c r="M778" t="n">
        <v>0</v>
      </c>
      <c r="N778" t="n">
        <v>0</v>
      </c>
      <c r="O778" t="n">
        <v>0</v>
      </c>
      <c r="P778" t="n">
        <v>0</v>
      </c>
      <c r="Q778" t="n">
        <v>0</v>
      </c>
      <c r="R778" s="2" t="inlineStr"/>
    </row>
    <row r="779" ht="15" customHeight="1">
      <c r="A779" t="inlineStr">
        <is>
          <t>A 38602-2025</t>
        </is>
      </c>
      <c r="B779" s="1" t="n">
        <v>45884.50331018519</v>
      </c>
      <c r="C779" s="1" t="n">
        <v>45893</v>
      </c>
      <c r="D779" t="inlineStr">
        <is>
          <t>KALMAR LÄN</t>
        </is>
      </c>
      <c r="E779" t="inlineStr">
        <is>
          <t>VIMMERBY</t>
        </is>
      </c>
      <c r="F779" t="inlineStr">
        <is>
          <t>Sveaskog</t>
        </is>
      </c>
      <c r="G779" t="n">
        <v>4.9</v>
      </c>
      <c r="H779" t="n">
        <v>0</v>
      </c>
      <c r="I779" t="n">
        <v>0</v>
      </c>
      <c r="J779" t="n">
        <v>0</v>
      </c>
      <c r="K779" t="n">
        <v>0</v>
      </c>
      <c r="L779" t="n">
        <v>0</v>
      </c>
      <c r="M779" t="n">
        <v>0</v>
      </c>
      <c r="N779" t="n">
        <v>0</v>
      </c>
      <c r="O779" t="n">
        <v>0</v>
      </c>
      <c r="P779" t="n">
        <v>0</v>
      </c>
      <c r="Q779" t="n">
        <v>0</v>
      </c>
      <c r="R779" s="2" t="inlineStr"/>
    </row>
    <row r="780" ht="15" customHeight="1">
      <c r="A780" t="inlineStr">
        <is>
          <t>A 65049-2020</t>
        </is>
      </c>
      <c r="B780" s="1" t="n">
        <v>44172</v>
      </c>
      <c r="C780" s="1" t="n">
        <v>45893</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9129-2025</t>
        </is>
      </c>
      <c r="B781" s="1" t="n">
        <v>45713.92412037037</v>
      </c>
      <c r="C781" s="1" t="n">
        <v>45893</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34060-2025</t>
        </is>
      </c>
      <c r="B782" s="1" t="n">
        <v>45845.42015046296</v>
      </c>
      <c r="C782" s="1" t="n">
        <v>45893</v>
      </c>
      <c r="D782" t="inlineStr">
        <is>
          <t>KALMAR LÄN</t>
        </is>
      </c>
      <c r="E782" t="inlineStr">
        <is>
          <t>VIMMERBY</t>
        </is>
      </c>
      <c r="G782" t="n">
        <v>5.7</v>
      </c>
      <c r="H782" t="n">
        <v>0</v>
      </c>
      <c r="I782" t="n">
        <v>0</v>
      </c>
      <c r="J782" t="n">
        <v>0</v>
      </c>
      <c r="K782" t="n">
        <v>0</v>
      </c>
      <c r="L782" t="n">
        <v>0</v>
      </c>
      <c r="M782" t="n">
        <v>0</v>
      </c>
      <c r="N782" t="n">
        <v>0</v>
      </c>
      <c r="O782" t="n">
        <v>0</v>
      </c>
      <c r="P782" t="n">
        <v>0</v>
      </c>
      <c r="Q782" t="n">
        <v>0</v>
      </c>
      <c r="R782" s="2" t="inlineStr"/>
    </row>
    <row r="783" ht="15" customHeight="1">
      <c r="A783" t="inlineStr">
        <is>
          <t>A 22197-2024</t>
        </is>
      </c>
      <c r="B783" s="1" t="n">
        <v>45446.36774305555</v>
      </c>
      <c r="C783" s="1" t="n">
        <v>45893</v>
      </c>
      <c r="D783" t="inlineStr">
        <is>
          <t>KALMAR LÄN</t>
        </is>
      </c>
      <c r="E783" t="inlineStr">
        <is>
          <t>VIMMERBY</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53752-2024</t>
        </is>
      </c>
      <c r="B784" s="1" t="n">
        <v>45615.48927083334</v>
      </c>
      <c r="C784" s="1" t="n">
        <v>45893</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34071-2025</t>
        </is>
      </c>
      <c r="B785" s="1" t="n">
        <v>45845.43803240741</v>
      </c>
      <c r="C785" s="1" t="n">
        <v>45893</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34106-2025</t>
        </is>
      </c>
      <c r="B786" s="1" t="n">
        <v>45845.49414351852</v>
      </c>
      <c r="C786" s="1" t="n">
        <v>45893</v>
      </c>
      <c r="D786" t="inlineStr">
        <is>
          <t>KALMAR LÄN</t>
        </is>
      </c>
      <c r="E786" t="inlineStr">
        <is>
          <t>VIMMERBY</t>
        </is>
      </c>
      <c r="G786" t="n">
        <v>6</v>
      </c>
      <c r="H786" t="n">
        <v>0</v>
      </c>
      <c r="I786" t="n">
        <v>0</v>
      </c>
      <c r="J786" t="n">
        <v>0</v>
      </c>
      <c r="K786" t="n">
        <v>0</v>
      </c>
      <c r="L786" t="n">
        <v>0</v>
      </c>
      <c r="M786" t="n">
        <v>0</v>
      </c>
      <c r="N786" t="n">
        <v>0</v>
      </c>
      <c r="O786" t="n">
        <v>0</v>
      </c>
      <c r="P786" t="n">
        <v>0</v>
      </c>
      <c r="Q786" t="n">
        <v>0</v>
      </c>
      <c r="R786" s="2" t="inlineStr"/>
    </row>
    <row r="787" ht="15" customHeight="1">
      <c r="A787" t="inlineStr">
        <is>
          <t>A 33815-2022</t>
        </is>
      </c>
      <c r="B787" s="1" t="n">
        <v>44790.45876157407</v>
      </c>
      <c r="C787" s="1" t="n">
        <v>45893</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33842-2022</t>
        </is>
      </c>
      <c r="B788" s="1" t="n">
        <v>44790.49523148148</v>
      </c>
      <c r="C788" s="1" t="n">
        <v>45893</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28702-2025</t>
        </is>
      </c>
      <c r="B789" s="1" t="n">
        <v>45820.03976851852</v>
      </c>
      <c r="C789" s="1" t="n">
        <v>45893</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38604-2025</t>
        </is>
      </c>
      <c r="B790" s="1" t="n">
        <v>45884.50613425926</v>
      </c>
      <c r="C790" s="1" t="n">
        <v>45893</v>
      </c>
      <c r="D790" t="inlineStr">
        <is>
          <t>KALMAR LÄN</t>
        </is>
      </c>
      <c r="E790" t="inlineStr">
        <is>
          <t>VIMMERBY</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12121-2025</t>
        </is>
      </c>
      <c r="B791" s="1" t="n">
        <v>45729.36868055556</v>
      </c>
      <c r="C791" s="1" t="n">
        <v>45893</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38964-2025</t>
        </is>
      </c>
      <c r="B792" s="1" t="n">
        <v>45887.68759259259</v>
      </c>
      <c r="C792" s="1" t="n">
        <v>45893</v>
      </c>
      <c r="D792" t="inlineStr">
        <is>
          <t>KALMAR LÄN</t>
        </is>
      </c>
      <c r="E792" t="inlineStr">
        <is>
          <t>VIMMERBY</t>
        </is>
      </c>
      <c r="G792" t="n">
        <v>7.5</v>
      </c>
      <c r="H792" t="n">
        <v>0</v>
      </c>
      <c r="I792" t="n">
        <v>0</v>
      </c>
      <c r="J792" t="n">
        <v>0</v>
      </c>
      <c r="K792" t="n">
        <v>0</v>
      </c>
      <c r="L792" t="n">
        <v>0</v>
      </c>
      <c r="M792" t="n">
        <v>0</v>
      </c>
      <c r="N792" t="n">
        <v>0</v>
      </c>
      <c r="O792" t="n">
        <v>0</v>
      </c>
      <c r="P792" t="n">
        <v>0</v>
      </c>
      <c r="Q792" t="n">
        <v>0</v>
      </c>
      <c r="R792" s="2" t="inlineStr"/>
    </row>
    <row r="793" ht="15" customHeight="1">
      <c r="A793" t="inlineStr">
        <is>
          <t>A 49408-2023</t>
        </is>
      </c>
      <c r="B793" s="1" t="n">
        <v>45211.43555555555</v>
      </c>
      <c r="C793" s="1" t="n">
        <v>45893</v>
      </c>
      <c r="D793" t="inlineStr">
        <is>
          <t>KALMAR LÄN</t>
        </is>
      </c>
      <c r="E793" t="inlineStr">
        <is>
          <t>VIMMERBY</t>
        </is>
      </c>
      <c r="G793" t="n">
        <v>13.1</v>
      </c>
      <c r="H793" t="n">
        <v>0</v>
      </c>
      <c r="I793" t="n">
        <v>0</v>
      </c>
      <c r="J793" t="n">
        <v>0</v>
      </c>
      <c r="K793" t="n">
        <v>0</v>
      </c>
      <c r="L793" t="n">
        <v>0</v>
      </c>
      <c r="M793" t="n">
        <v>0</v>
      </c>
      <c r="N793" t="n">
        <v>0</v>
      </c>
      <c r="O793" t="n">
        <v>0</v>
      </c>
      <c r="P793" t="n">
        <v>0</v>
      </c>
      <c r="Q793" t="n">
        <v>0</v>
      </c>
      <c r="R793" s="2" t="inlineStr"/>
    </row>
    <row r="794" ht="15" customHeight="1">
      <c r="A794" t="inlineStr">
        <is>
          <t>A 56536-2022</t>
        </is>
      </c>
      <c r="B794" s="1" t="n">
        <v>44893</v>
      </c>
      <c r="C794" s="1" t="n">
        <v>45893</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41199-2023</t>
        </is>
      </c>
      <c r="B795" s="1" t="n">
        <v>45174.40454861111</v>
      </c>
      <c r="C795" s="1" t="n">
        <v>45893</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9710-2023</t>
        </is>
      </c>
      <c r="B796" s="1" t="n">
        <v>44984</v>
      </c>
      <c r="C796" s="1" t="n">
        <v>45893</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9720-2023</t>
        </is>
      </c>
      <c r="B797" s="1" t="n">
        <v>44984</v>
      </c>
      <c r="C797" s="1" t="n">
        <v>45893</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15493-2023</t>
        </is>
      </c>
      <c r="B798" s="1" t="n">
        <v>45018</v>
      </c>
      <c r="C798" s="1" t="n">
        <v>45893</v>
      </c>
      <c r="D798" t="inlineStr">
        <is>
          <t>KALMAR LÄN</t>
        </is>
      </c>
      <c r="E798" t="inlineStr">
        <is>
          <t>VIMMERBY</t>
        </is>
      </c>
      <c r="G798" t="n">
        <v>1</v>
      </c>
      <c r="H798" t="n">
        <v>0</v>
      </c>
      <c r="I798" t="n">
        <v>0</v>
      </c>
      <c r="J798" t="n">
        <v>0</v>
      </c>
      <c r="K798" t="n">
        <v>0</v>
      </c>
      <c r="L798" t="n">
        <v>0</v>
      </c>
      <c r="M798" t="n">
        <v>0</v>
      </c>
      <c r="N798" t="n">
        <v>0</v>
      </c>
      <c r="O798" t="n">
        <v>0</v>
      </c>
      <c r="P798" t="n">
        <v>0</v>
      </c>
      <c r="Q798" t="n">
        <v>0</v>
      </c>
      <c r="R798" s="2" t="inlineStr"/>
    </row>
    <row r="799" ht="15" customHeight="1">
      <c r="A799" t="inlineStr">
        <is>
          <t>A 8945-2025</t>
        </is>
      </c>
      <c r="B799" s="1" t="n">
        <v>45713.45311342592</v>
      </c>
      <c r="C799" s="1" t="n">
        <v>45893</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11619-2023</t>
        </is>
      </c>
      <c r="B800" s="1" t="n">
        <v>44994.42113425926</v>
      </c>
      <c r="C800" s="1" t="n">
        <v>45893</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41896-2023</t>
        </is>
      </c>
      <c r="B801" s="1" t="n">
        <v>45176.72427083334</v>
      </c>
      <c r="C801" s="1" t="n">
        <v>45893</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17926-2025</t>
        </is>
      </c>
      <c r="B802" s="1" t="n">
        <v>45759.38987268518</v>
      </c>
      <c r="C802" s="1" t="n">
        <v>45893</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29093-2023</t>
        </is>
      </c>
      <c r="B803" s="1" t="n">
        <v>45105</v>
      </c>
      <c r="C803" s="1" t="n">
        <v>45893</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33352-2022</t>
        </is>
      </c>
      <c r="B804" s="1" t="n">
        <v>44788</v>
      </c>
      <c r="C804" s="1" t="n">
        <v>45893</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34628-2025</t>
        </is>
      </c>
      <c r="B805" s="1" t="n">
        <v>45847.91280092593</v>
      </c>
      <c r="C805" s="1" t="n">
        <v>45893</v>
      </c>
      <c r="D805" t="inlineStr">
        <is>
          <t>KALMAR LÄN</t>
        </is>
      </c>
      <c r="E805" t="inlineStr">
        <is>
          <t>VIMMERBY</t>
        </is>
      </c>
      <c r="G805" t="n">
        <v>4.2</v>
      </c>
      <c r="H805" t="n">
        <v>0</v>
      </c>
      <c r="I805" t="n">
        <v>0</v>
      </c>
      <c r="J805" t="n">
        <v>0</v>
      </c>
      <c r="K805" t="n">
        <v>0</v>
      </c>
      <c r="L805" t="n">
        <v>0</v>
      </c>
      <c r="M805" t="n">
        <v>0</v>
      </c>
      <c r="N805" t="n">
        <v>0</v>
      </c>
      <c r="O805" t="n">
        <v>0</v>
      </c>
      <c r="P805" t="n">
        <v>0</v>
      </c>
      <c r="Q805" t="n">
        <v>0</v>
      </c>
      <c r="R805" s="2" t="inlineStr"/>
    </row>
    <row r="806" ht="15" customHeight="1">
      <c r="A806" t="inlineStr">
        <is>
          <t>A 39803-2025</t>
        </is>
      </c>
      <c r="B806" s="1" t="n">
        <v>45891.50525462963</v>
      </c>
      <c r="C806" s="1" t="n">
        <v>45893</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39807-2025</t>
        </is>
      </c>
      <c r="B807" s="1" t="n">
        <v>45891.50986111111</v>
      </c>
      <c r="C807" s="1" t="n">
        <v>45893</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10674-2021</t>
        </is>
      </c>
      <c r="B808" s="1" t="n">
        <v>44258</v>
      </c>
      <c r="C808" s="1" t="n">
        <v>45893</v>
      </c>
      <c r="D808" t="inlineStr">
        <is>
          <t>KALMAR LÄN</t>
        </is>
      </c>
      <c r="E808" t="inlineStr">
        <is>
          <t>VIMMERBY</t>
        </is>
      </c>
      <c r="G808" t="n">
        <v>8.4</v>
      </c>
      <c r="H808" t="n">
        <v>0</v>
      </c>
      <c r="I808" t="n">
        <v>0</v>
      </c>
      <c r="J808" t="n">
        <v>0</v>
      </c>
      <c r="K808" t="n">
        <v>0</v>
      </c>
      <c r="L808" t="n">
        <v>0</v>
      </c>
      <c r="M808" t="n">
        <v>0</v>
      </c>
      <c r="N808" t="n">
        <v>0</v>
      </c>
      <c r="O808" t="n">
        <v>0</v>
      </c>
      <c r="P808" t="n">
        <v>0</v>
      </c>
      <c r="Q808" t="n">
        <v>0</v>
      </c>
      <c r="R808" s="2" t="inlineStr"/>
    </row>
    <row r="809" ht="15" customHeight="1">
      <c r="A809" t="inlineStr">
        <is>
          <t>A 21028-2023</t>
        </is>
      </c>
      <c r="B809" s="1" t="n">
        <v>45061</v>
      </c>
      <c r="C809" s="1" t="n">
        <v>45893</v>
      </c>
      <c r="D809" t="inlineStr">
        <is>
          <t>KALMAR LÄN</t>
        </is>
      </c>
      <c r="E809" t="inlineStr">
        <is>
          <t>VIMMERBY</t>
        </is>
      </c>
      <c r="F809" t="inlineStr">
        <is>
          <t>Övriga Aktiebolag</t>
        </is>
      </c>
      <c r="G809" t="n">
        <v>0.7</v>
      </c>
      <c r="H809" t="n">
        <v>0</v>
      </c>
      <c r="I809" t="n">
        <v>0</v>
      </c>
      <c r="J809" t="n">
        <v>0</v>
      </c>
      <c r="K809" t="n">
        <v>0</v>
      </c>
      <c r="L809" t="n">
        <v>0</v>
      </c>
      <c r="M809" t="n">
        <v>0</v>
      </c>
      <c r="N809" t="n">
        <v>0</v>
      </c>
      <c r="O809" t="n">
        <v>0</v>
      </c>
      <c r="P809" t="n">
        <v>0</v>
      </c>
      <c r="Q809" t="n">
        <v>0</v>
      </c>
      <c r="R809" s="2" t="inlineStr"/>
    </row>
    <row r="810" ht="15" customHeight="1">
      <c r="A810" t="inlineStr">
        <is>
          <t>A 22264-2023</t>
        </is>
      </c>
      <c r="B810" s="1" t="n">
        <v>45070.3665625</v>
      </c>
      <c r="C810" s="1" t="n">
        <v>45893</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39889-2025</t>
        </is>
      </c>
      <c r="B811" s="1" t="n">
        <v>45891</v>
      </c>
      <c r="C811" s="1" t="n">
        <v>45893</v>
      </c>
      <c r="D811" t="inlineStr">
        <is>
          <t>KALMAR LÄN</t>
        </is>
      </c>
      <c r="E811" t="inlineStr">
        <is>
          <t>VIMMERBY</t>
        </is>
      </c>
      <c r="G811" t="n">
        <v>4.5</v>
      </c>
      <c r="H811" t="n">
        <v>0</v>
      </c>
      <c r="I811" t="n">
        <v>0</v>
      </c>
      <c r="J811" t="n">
        <v>0</v>
      </c>
      <c r="K811" t="n">
        <v>0</v>
      </c>
      <c r="L811" t="n">
        <v>0</v>
      </c>
      <c r="M811" t="n">
        <v>0</v>
      </c>
      <c r="N811" t="n">
        <v>0</v>
      </c>
      <c r="O811" t="n">
        <v>0</v>
      </c>
      <c r="P811" t="n">
        <v>0</v>
      </c>
      <c r="Q811" t="n">
        <v>0</v>
      </c>
      <c r="R811" s="2" t="inlineStr"/>
    </row>
    <row r="812" ht="15" customHeight="1">
      <c r="A812" t="inlineStr">
        <is>
          <t>A 16676-2023</t>
        </is>
      </c>
      <c r="B812" s="1" t="n">
        <v>45028</v>
      </c>
      <c r="C812" s="1" t="n">
        <v>45893</v>
      </c>
      <c r="D812" t="inlineStr">
        <is>
          <t>KALMAR LÄN</t>
        </is>
      </c>
      <c r="E812" t="inlineStr">
        <is>
          <t>VIMMERBY</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19445-2021</t>
        </is>
      </c>
      <c r="B813" s="1" t="n">
        <v>44310</v>
      </c>
      <c r="C813" s="1" t="n">
        <v>45893</v>
      </c>
      <c r="D813" t="inlineStr">
        <is>
          <t>KALMAR LÄN</t>
        </is>
      </c>
      <c r="E813" t="inlineStr">
        <is>
          <t>VIMMERBY</t>
        </is>
      </c>
      <c r="G813" t="n">
        <v>6.8</v>
      </c>
      <c r="H813" t="n">
        <v>0</v>
      </c>
      <c r="I813" t="n">
        <v>0</v>
      </c>
      <c r="J813" t="n">
        <v>0</v>
      </c>
      <c r="K813" t="n">
        <v>0</v>
      </c>
      <c r="L813" t="n">
        <v>0</v>
      </c>
      <c r="M813" t="n">
        <v>0</v>
      </c>
      <c r="N813" t="n">
        <v>0</v>
      </c>
      <c r="O813" t="n">
        <v>0</v>
      </c>
      <c r="P813" t="n">
        <v>0</v>
      </c>
      <c r="Q813" t="n">
        <v>0</v>
      </c>
      <c r="R813" s="2" t="inlineStr"/>
    </row>
    <row r="814" ht="15" customHeight="1">
      <c r="A814" t="inlineStr">
        <is>
          <t>A 27122-2023</t>
        </is>
      </c>
      <c r="B814" s="1" t="n">
        <v>45096.45247685185</v>
      </c>
      <c r="C814" s="1" t="n">
        <v>45893</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13813-2024</t>
        </is>
      </c>
      <c r="B815" s="1" t="n">
        <v>45391.41310185185</v>
      </c>
      <c r="C815" s="1" t="n">
        <v>45893</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6220-2025</t>
        </is>
      </c>
      <c r="B816" s="1" t="n">
        <v>45698.53725694444</v>
      </c>
      <c r="C816" s="1" t="n">
        <v>45893</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38969-2023</t>
        </is>
      </c>
      <c r="B817" s="1" t="n">
        <v>45163.63621527778</v>
      </c>
      <c r="C817" s="1" t="n">
        <v>45893</v>
      </c>
      <c r="D817" t="inlineStr">
        <is>
          <t>KALMAR LÄN</t>
        </is>
      </c>
      <c r="E817" t="inlineStr">
        <is>
          <t>VIMMERBY</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39736-2025</t>
        </is>
      </c>
      <c r="B818" s="1" t="n">
        <v>45891</v>
      </c>
      <c r="C818" s="1" t="n">
        <v>45893</v>
      </c>
      <c r="D818" t="inlineStr">
        <is>
          <t>KALMAR LÄN</t>
        </is>
      </c>
      <c r="E818" t="inlineStr">
        <is>
          <t>VIMMERBY</t>
        </is>
      </c>
      <c r="G818" t="n">
        <v>12.8</v>
      </c>
      <c r="H818" t="n">
        <v>0</v>
      </c>
      <c r="I818" t="n">
        <v>0</v>
      </c>
      <c r="J818" t="n">
        <v>0</v>
      </c>
      <c r="K818" t="n">
        <v>0</v>
      </c>
      <c r="L818" t="n">
        <v>0</v>
      </c>
      <c r="M818" t="n">
        <v>0</v>
      </c>
      <c r="N818" t="n">
        <v>0</v>
      </c>
      <c r="O818" t="n">
        <v>0</v>
      </c>
      <c r="P818" t="n">
        <v>0</v>
      </c>
      <c r="Q818" t="n">
        <v>0</v>
      </c>
      <c r="R818" s="2" t="inlineStr"/>
    </row>
    <row r="819" ht="15" customHeight="1">
      <c r="A819" t="inlineStr">
        <is>
          <t>A 24096-2024</t>
        </is>
      </c>
      <c r="B819" s="1" t="n">
        <v>45456.59289351852</v>
      </c>
      <c r="C819" s="1" t="n">
        <v>45893</v>
      </c>
      <c r="D819" t="inlineStr">
        <is>
          <t>KALMAR LÄN</t>
        </is>
      </c>
      <c r="E819" t="inlineStr">
        <is>
          <t>VIMMERBY</t>
        </is>
      </c>
      <c r="G819" t="n">
        <v>2.3</v>
      </c>
      <c r="H819" t="n">
        <v>0</v>
      </c>
      <c r="I819" t="n">
        <v>0</v>
      </c>
      <c r="J819" t="n">
        <v>0</v>
      </c>
      <c r="K819" t="n">
        <v>0</v>
      </c>
      <c r="L819" t="n">
        <v>0</v>
      </c>
      <c r="M819" t="n">
        <v>0</v>
      </c>
      <c r="N819" t="n">
        <v>0</v>
      </c>
      <c r="O819" t="n">
        <v>0</v>
      </c>
      <c r="P819" t="n">
        <v>0</v>
      </c>
      <c r="Q819" t="n">
        <v>0</v>
      </c>
      <c r="R819" s="2" t="inlineStr"/>
    </row>
    <row r="820" ht="15" customHeight="1">
      <c r="A820" t="inlineStr">
        <is>
          <t>A 39801-2025</t>
        </is>
      </c>
      <c r="B820" s="1" t="n">
        <v>45891.50216435185</v>
      </c>
      <c r="C820" s="1" t="n">
        <v>45893</v>
      </c>
      <c r="D820" t="inlineStr">
        <is>
          <t>KALMAR LÄN</t>
        </is>
      </c>
      <c r="E820" t="inlineStr">
        <is>
          <t>VIMMERBY</t>
        </is>
      </c>
      <c r="G820" t="n">
        <v>2</v>
      </c>
      <c r="H820" t="n">
        <v>0</v>
      </c>
      <c r="I820" t="n">
        <v>0</v>
      </c>
      <c r="J820" t="n">
        <v>0</v>
      </c>
      <c r="K820" t="n">
        <v>0</v>
      </c>
      <c r="L820" t="n">
        <v>0</v>
      </c>
      <c r="M820" t="n">
        <v>0</v>
      </c>
      <c r="N820" t="n">
        <v>0</v>
      </c>
      <c r="O820" t="n">
        <v>0</v>
      </c>
      <c r="P820" t="n">
        <v>0</v>
      </c>
      <c r="Q820" t="n">
        <v>0</v>
      </c>
      <c r="R820" s="2" t="inlineStr"/>
    </row>
    <row r="821" ht="15" customHeight="1">
      <c r="A821" t="inlineStr">
        <is>
          <t>A 29013-2024</t>
        </is>
      </c>
      <c r="B821" s="1" t="n">
        <v>45481.55984953704</v>
      </c>
      <c r="C821" s="1" t="n">
        <v>45893</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26937-2023</t>
        </is>
      </c>
      <c r="B822" s="1" t="n">
        <v>45093.62777777778</v>
      </c>
      <c r="C822" s="1" t="n">
        <v>45893</v>
      </c>
      <c r="D822" t="inlineStr">
        <is>
          <t>KALMAR LÄN</t>
        </is>
      </c>
      <c r="E822" t="inlineStr">
        <is>
          <t>VIMMERBY</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57486-2024</t>
        </is>
      </c>
      <c r="B823" s="1" t="n">
        <v>45630.35827546296</v>
      </c>
      <c r="C823" s="1" t="n">
        <v>45893</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6066-2023</t>
        </is>
      </c>
      <c r="B824" s="1" t="n">
        <v>44964.50894675926</v>
      </c>
      <c r="C824" s="1" t="n">
        <v>45893</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59955-2023</t>
        </is>
      </c>
      <c r="B825" s="1" t="n">
        <v>45257.70313657408</v>
      </c>
      <c r="C825" s="1" t="n">
        <v>45893</v>
      </c>
      <c r="D825" t="inlineStr">
        <is>
          <t>KALMAR LÄN</t>
        </is>
      </c>
      <c r="E825" t="inlineStr">
        <is>
          <t>VIMMERBY</t>
        </is>
      </c>
      <c r="G825" t="n">
        <v>13.8</v>
      </c>
      <c r="H825" t="n">
        <v>0</v>
      </c>
      <c r="I825" t="n">
        <v>0</v>
      </c>
      <c r="J825" t="n">
        <v>0</v>
      </c>
      <c r="K825" t="n">
        <v>0</v>
      </c>
      <c r="L825" t="n">
        <v>0</v>
      </c>
      <c r="M825" t="n">
        <v>0</v>
      </c>
      <c r="N825" t="n">
        <v>0</v>
      </c>
      <c r="O825" t="n">
        <v>0</v>
      </c>
      <c r="P825" t="n">
        <v>0</v>
      </c>
      <c r="Q825" t="n">
        <v>0</v>
      </c>
      <c r="R825" s="2" t="inlineStr"/>
    </row>
    <row r="826" ht="15" customHeight="1">
      <c r="A826" t="inlineStr">
        <is>
          <t>A 43186-2021</t>
        </is>
      </c>
      <c r="B826" s="1" t="n">
        <v>44431.84840277778</v>
      </c>
      <c r="C826" s="1" t="n">
        <v>45893</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1799-2025</t>
        </is>
      </c>
      <c r="B827" s="1" t="n">
        <v>45671.46746527778</v>
      </c>
      <c r="C827" s="1" t="n">
        <v>45893</v>
      </c>
      <c r="D827" t="inlineStr">
        <is>
          <t>KALMAR LÄN</t>
        </is>
      </c>
      <c r="E827" t="inlineStr">
        <is>
          <t>VIMMERBY</t>
        </is>
      </c>
      <c r="G827" t="n">
        <v>3.3</v>
      </c>
      <c r="H827" t="n">
        <v>0</v>
      </c>
      <c r="I827" t="n">
        <v>0</v>
      </c>
      <c r="J827" t="n">
        <v>0</v>
      </c>
      <c r="K827" t="n">
        <v>0</v>
      </c>
      <c r="L827" t="n">
        <v>0</v>
      </c>
      <c r="M827" t="n">
        <v>0</v>
      </c>
      <c r="N827" t="n">
        <v>0</v>
      </c>
      <c r="O827" t="n">
        <v>0</v>
      </c>
      <c r="P827" t="n">
        <v>0</v>
      </c>
      <c r="Q827" t="n">
        <v>0</v>
      </c>
      <c r="R827" s="2" t="inlineStr"/>
    </row>
    <row r="828" ht="15" customHeight="1">
      <c r="A828" t="inlineStr">
        <is>
          <t>A 16953-2025</t>
        </is>
      </c>
      <c r="B828" s="1" t="n">
        <v>45755.44333333334</v>
      </c>
      <c r="C828" s="1" t="n">
        <v>45893</v>
      </c>
      <c r="D828" t="inlineStr">
        <is>
          <t>KALMAR LÄN</t>
        </is>
      </c>
      <c r="E828" t="inlineStr">
        <is>
          <t>VIMMERBY</t>
        </is>
      </c>
      <c r="G828" t="n">
        <v>2</v>
      </c>
      <c r="H828" t="n">
        <v>0</v>
      </c>
      <c r="I828" t="n">
        <v>0</v>
      </c>
      <c r="J828" t="n">
        <v>0</v>
      </c>
      <c r="K828" t="n">
        <v>0</v>
      </c>
      <c r="L828" t="n">
        <v>0</v>
      </c>
      <c r="M828" t="n">
        <v>0</v>
      </c>
      <c r="N828" t="n">
        <v>0</v>
      </c>
      <c r="O828" t="n">
        <v>0</v>
      </c>
      <c r="P828" t="n">
        <v>0</v>
      </c>
      <c r="Q828" t="n">
        <v>0</v>
      </c>
      <c r="R828" s="2" t="inlineStr"/>
    </row>
    <row r="829" ht="15" customHeight="1">
      <c r="A829" t="inlineStr">
        <is>
          <t>A 30063-2023</t>
        </is>
      </c>
      <c r="B829" s="1" t="n">
        <v>45110.4184375</v>
      </c>
      <c r="C829" s="1" t="n">
        <v>45893</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36040-2024</t>
        </is>
      </c>
      <c r="B830" s="1" t="n">
        <v>45533.60232638889</v>
      </c>
      <c r="C830" s="1" t="n">
        <v>45893</v>
      </c>
      <c r="D830" t="inlineStr">
        <is>
          <t>KALMAR LÄN</t>
        </is>
      </c>
      <c r="E830" t="inlineStr">
        <is>
          <t>VIMMERBY</t>
        </is>
      </c>
      <c r="F830" t="inlineStr">
        <is>
          <t>Kommuner</t>
        </is>
      </c>
      <c r="G830" t="n">
        <v>3.6</v>
      </c>
      <c r="H830" t="n">
        <v>0</v>
      </c>
      <c r="I830" t="n">
        <v>0</v>
      </c>
      <c r="J830" t="n">
        <v>0</v>
      </c>
      <c r="K830" t="n">
        <v>0</v>
      </c>
      <c r="L830" t="n">
        <v>0</v>
      </c>
      <c r="M830" t="n">
        <v>0</v>
      </c>
      <c r="N830" t="n">
        <v>0</v>
      </c>
      <c r="O830" t="n">
        <v>0</v>
      </c>
      <c r="P830" t="n">
        <v>0</v>
      </c>
      <c r="Q830" t="n">
        <v>0</v>
      </c>
      <c r="R830" s="2" t="inlineStr"/>
    </row>
    <row r="831" ht="15" customHeight="1">
      <c r="A831" t="inlineStr">
        <is>
          <t>A 36043-2024</t>
        </is>
      </c>
      <c r="B831" s="1" t="n">
        <v>45533.60770833334</v>
      </c>
      <c r="C831" s="1" t="n">
        <v>45893</v>
      </c>
      <c r="D831" t="inlineStr">
        <is>
          <t>KALMAR LÄN</t>
        </is>
      </c>
      <c r="E831" t="inlineStr">
        <is>
          <t>VIMMERBY</t>
        </is>
      </c>
      <c r="F831" t="inlineStr">
        <is>
          <t>Kommuner</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45001.59209490741</v>
      </c>
      <c r="C832" s="1" t="n">
        <v>45893</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43594-2024</t>
        </is>
      </c>
      <c r="B833" s="1" t="n">
        <v>45569.44295138889</v>
      </c>
      <c r="C833" s="1" t="n">
        <v>45893</v>
      </c>
      <c r="D833" t="inlineStr">
        <is>
          <t>KALMAR LÄN</t>
        </is>
      </c>
      <c r="E833" t="inlineStr">
        <is>
          <t>VIMMERBY</t>
        </is>
      </c>
      <c r="G833" t="n">
        <v>3.9</v>
      </c>
      <c r="H833" t="n">
        <v>0</v>
      </c>
      <c r="I833" t="n">
        <v>0</v>
      </c>
      <c r="J833" t="n">
        <v>0</v>
      </c>
      <c r="K833" t="n">
        <v>0</v>
      </c>
      <c r="L833" t="n">
        <v>0</v>
      </c>
      <c r="M833" t="n">
        <v>0</v>
      </c>
      <c r="N833" t="n">
        <v>0</v>
      </c>
      <c r="O833" t="n">
        <v>0</v>
      </c>
      <c r="P833" t="n">
        <v>0</v>
      </c>
      <c r="Q833" t="n">
        <v>0</v>
      </c>
      <c r="R833" s="2" t="inlineStr"/>
    </row>
    <row r="834" ht="15" customHeight="1">
      <c r="A834" t="inlineStr">
        <is>
          <t>A 53482-2022</t>
        </is>
      </c>
      <c r="B834" s="1" t="n">
        <v>44879</v>
      </c>
      <c r="C834" s="1" t="n">
        <v>45893</v>
      </c>
      <c r="D834" t="inlineStr">
        <is>
          <t>KALMAR LÄN</t>
        </is>
      </c>
      <c r="E834" t="inlineStr">
        <is>
          <t>VIMMERBY</t>
        </is>
      </c>
      <c r="G834" t="n">
        <v>10.1</v>
      </c>
      <c r="H834" t="n">
        <v>0</v>
      </c>
      <c r="I834" t="n">
        <v>0</v>
      </c>
      <c r="J834" t="n">
        <v>0</v>
      </c>
      <c r="K834" t="n">
        <v>0</v>
      </c>
      <c r="L834" t="n">
        <v>0</v>
      </c>
      <c r="M834" t="n">
        <v>0</v>
      </c>
      <c r="N834" t="n">
        <v>0</v>
      </c>
      <c r="O834" t="n">
        <v>0</v>
      </c>
      <c r="P834" t="n">
        <v>0</v>
      </c>
      <c r="Q834" t="n">
        <v>0</v>
      </c>
      <c r="R834" s="2" t="inlineStr"/>
    </row>
    <row r="835" ht="15" customHeight="1">
      <c r="A835" t="inlineStr">
        <is>
          <t>A 43068-2023</t>
        </is>
      </c>
      <c r="B835" s="1" t="n">
        <v>45182.78834490741</v>
      </c>
      <c r="C835" s="1" t="n">
        <v>45893</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27761-2024</t>
        </is>
      </c>
      <c r="B836" s="1" t="n">
        <v>45475.49018518518</v>
      </c>
      <c r="C836" s="1" t="n">
        <v>45893</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64203-2021</t>
        </is>
      </c>
      <c r="B837" s="1" t="n">
        <v>44510.60921296296</v>
      </c>
      <c r="C837" s="1" t="n">
        <v>45893</v>
      </c>
      <c r="D837" t="inlineStr">
        <is>
          <t>KALMAR LÄN</t>
        </is>
      </c>
      <c r="E837" t="inlineStr">
        <is>
          <t>VIMMERBY</t>
        </is>
      </c>
      <c r="F837" t="inlineStr">
        <is>
          <t>Övriga Aktiebolag</t>
        </is>
      </c>
      <c r="G837" t="n">
        <v>5.4</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45893</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5720-2023</t>
        </is>
      </c>
      <c r="B839" s="1" t="n">
        <v>44961</v>
      </c>
      <c r="C839" s="1" t="n">
        <v>45893</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33424-2023</t>
        </is>
      </c>
      <c r="B840" s="1" t="n">
        <v>45128.9325</v>
      </c>
      <c r="C840" s="1" t="n">
        <v>45893</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33425-2023</t>
        </is>
      </c>
      <c r="B841" s="1" t="n">
        <v>45128.93540509259</v>
      </c>
      <c r="C841" s="1" t="n">
        <v>45893</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12327-2023</t>
        </is>
      </c>
      <c r="B842" s="1" t="n">
        <v>44999.36081018519</v>
      </c>
      <c r="C842" s="1" t="n">
        <v>45893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9643-2023</t>
        </is>
      </c>
      <c r="B843" s="1" t="n">
        <v>44984</v>
      </c>
      <c r="C843" s="1" t="n">
        <v>45893</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43092-2024</t>
        </is>
      </c>
      <c r="B844" s="1" t="n">
        <v>45567</v>
      </c>
      <c r="C844" s="1" t="n">
        <v>45893</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25728-2023</t>
        </is>
      </c>
      <c r="B845" s="1" t="n">
        <v>45090.38012731481</v>
      </c>
      <c r="C845" s="1" t="n">
        <v>45893</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52435-2021</t>
        </is>
      </c>
      <c r="B846" s="1" t="n">
        <v>44466.34962962963</v>
      </c>
      <c r="C846" s="1" t="n">
        <v>45893</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45893</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41311-2023</t>
        </is>
      </c>
      <c r="B848" s="1" t="n">
        <v>45174</v>
      </c>
      <c r="C848" s="1" t="n">
        <v>45893</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26318-2023</t>
        </is>
      </c>
      <c r="B849" s="1" t="n">
        <v>45091.67936342592</v>
      </c>
      <c r="C849" s="1" t="n">
        <v>45893</v>
      </c>
      <c r="D849" t="inlineStr">
        <is>
          <t>KALMAR LÄN</t>
        </is>
      </c>
      <c r="E849" t="inlineStr">
        <is>
          <t>VIMMERBY</t>
        </is>
      </c>
      <c r="G849" t="n">
        <v>3.8</v>
      </c>
      <c r="H849" t="n">
        <v>0</v>
      </c>
      <c r="I849" t="n">
        <v>0</v>
      </c>
      <c r="J849" t="n">
        <v>0</v>
      </c>
      <c r="K849" t="n">
        <v>0</v>
      </c>
      <c r="L849" t="n">
        <v>0</v>
      </c>
      <c r="M849" t="n">
        <v>0</v>
      </c>
      <c r="N849" t="n">
        <v>0</v>
      </c>
      <c r="O849" t="n">
        <v>0</v>
      </c>
      <c r="P849" t="n">
        <v>0</v>
      </c>
      <c r="Q849" t="n">
        <v>0</v>
      </c>
      <c r="R849" s="2" t="inlineStr"/>
    </row>
    <row r="850" ht="15" customHeight="1">
      <c r="A850" t="inlineStr">
        <is>
          <t>A 60215-2022</t>
        </is>
      </c>
      <c r="B850" s="1" t="n">
        <v>44910.41346064815</v>
      </c>
      <c r="C850" s="1" t="n">
        <v>45893</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29441-2024</t>
        </is>
      </c>
      <c r="B851" s="1" t="n">
        <v>45483.82834490741</v>
      </c>
      <c r="C851" s="1" t="n">
        <v>45893</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6216-2025</t>
        </is>
      </c>
      <c r="B852" s="1" t="n">
        <v>45698.52806712963</v>
      </c>
      <c r="C852" s="1" t="n">
        <v>45893</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62779-2023</t>
        </is>
      </c>
      <c r="B853" s="1" t="n">
        <v>45271.66576388889</v>
      </c>
      <c r="C853" s="1" t="n">
        <v>45893</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52294-2023</t>
        </is>
      </c>
      <c r="B854" s="1" t="n">
        <v>45224.60075231481</v>
      </c>
      <c r="C854" s="1" t="n">
        <v>45893</v>
      </c>
      <c r="D854" t="inlineStr">
        <is>
          <t>KALMAR LÄN</t>
        </is>
      </c>
      <c r="E854" t="inlineStr">
        <is>
          <t>VIMMERBY</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61355-2024</t>
        </is>
      </c>
      <c r="B855" s="1" t="n">
        <v>45646.38200231481</v>
      </c>
      <c r="C855" s="1" t="n">
        <v>45893</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c r="A856" t="inlineStr">
        <is>
          <t>A 36802-2021</t>
        </is>
      </c>
      <c r="B856" s="1" t="n">
        <v>44392</v>
      </c>
      <c r="C856" s="1" t="n">
        <v>45893</v>
      </c>
      <c r="D856" t="inlineStr">
        <is>
          <t>KALMAR LÄN</t>
        </is>
      </c>
      <c r="E856" t="inlineStr">
        <is>
          <t>VIMMERBY</t>
        </is>
      </c>
      <c r="F856" t="inlineStr">
        <is>
          <t>Sveaskog</t>
        </is>
      </c>
      <c r="G856" t="n">
        <v>4.6</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2025-08-24T08:31:40Z</dcterms:created>
  <dcterms:modified xmlns:dcterms="http://purl.org/dc/terms/" xmlns:xsi="http://www.w3.org/2001/XMLSchema-instance" xsi:type="dcterms:W3CDTF">2025-08-24T08:31:41Z</dcterms:modified>
</cp:coreProperties>
</file>