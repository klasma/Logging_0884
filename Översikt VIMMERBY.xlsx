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45989</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45989</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45989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45989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45989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45989</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45989</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45989</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45989</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45989</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45989</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45989</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45989</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40684-2025</t>
        </is>
      </c>
      <c r="B23" s="1" t="n">
        <v>45896.86820601852</v>
      </c>
      <c r="C23" s="1" t="n">
        <v>45989</v>
      </c>
      <c r="D23" t="inlineStr">
        <is>
          <t>KALMAR LÄN</t>
        </is>
      </c>
      <c r="E23" t="inlineStr">
        <is>
          <t>VIMMERBY</t>
        </is>
      </c>
      <c r="G23" t="n">
        <v>4.4</v>
      </c>
      <c r="H23" t="n">
        <v>2</v>
      </c>
      <c r="I23" t="n">
        <v>0</v>
      </c>
      <c r="J23" t="n">
        <v>1</v>
      </c>
      <c r="K23" t="n">
        <v>0</v>
      </c>
      <c r="L23" t="n">
        <v>0</v>
      </c>
      <c r="M23" t="n">
        <v>0</v>
      </c>
      <c r="N23" t="n">
        <v>0</v>
      </c>
      <c r="O23" t="n">
        <v>1</v>
      </c>
      <c r="P23" t="n">
        <v>0</v>
      </c>
      <c r="Q23" t="n">
        <v>2</v>
      </c>
      <c r="R23" s="2" t="inlineStr">
        <is>
          <t>Talltita
Kungsfågel</t>
        </is>
      </c>
      <c r="S23">
        <f>HYPERLINK("https://klasma.github.io/Logging_0884/artfynd/A 40684-2025 artfynd.xlsx", "A 40684-2025")</f>
        <v/>
      </c>
      <c r="T23">
        <f>HYPERLINK("https://klasma.github.io/Logging_0884/kartor/A 40684-2025 karta.png", "A 40684-2025")</f>
        <v/>
      </c>
      <c r="V23">
        <f>HYPERLINK("https://klasma.github.io/Logging_0884/klagomål/A 40684-2025 FSC-klagomål.docx", "A 40684-2025")</f>
        <v/>
      </c>
      <c r="W23">
        <f>HYPERLINK("https://klasma.github.io/Logging_0884/klagomålsmail/A 40684-2025 FSC-klagomål mail.docx", "A 40684-2025")</f>
        <v/>
      </c>
      <c r="X23">
        <f>HYPERLINK("https://klasma.github.io/Logging_0884/tillsyn/A 40684-2025 tillsynsbegäran.docx", "A 40684-2025")</f>
        <v/>
      </c>
      <c r="Y23">
        <f>HYPERLINK("https://klasma.github.io/Logging_0884/tillsynsmail/A 40684-2025 tillsynsbegäran mail.docx", "A 40684-2025")</f>
        <v/>
      </c>
      <c r="Z23">
        <f>HYPERLINK("https://klasma.github.io/Logging_0884/fåglar/A 40684-2025 prioriterade fågelarter.docx", "A 40684-2025")</f>
        <v/>
      </c>
    </row>
    <row r="24" ht="15" customHeight="1">
      <c r="A24" t="inlineStr">
        <is>
          <t>A 42802-2025</t>
        </is>
      </c>
      <c r="B24" s="1" t="n">
        <v>45908</v>
      </c>
      <c r="C24" s="1" t="n">
        <v>45989</v>
      </c>
      <c r="D24" t="inlineStr">
        <is>
          <t>KALMAR LÄN</t>
        </is>
      </c>
      <c r="E24" t="inlineStr">
        <is>
          <t>VIMMERBY</t>
        </is>
      </c>
      <c r="G24" t="n">
        <v>2.8</v>
      </c>
      <c r="H24" t="n">
        <v>1</v>
      </c>
      <c r="I24" t="n">
        <v>1</v>
      </c>
      <c r="J24" t="n">
        <v>0</v>
      </c>
      <c r="K24" t="n">
        <v>0</v>
      </c>
      <c r="L24" t="n">
        <v>0</v>
      </c>
      <c r="M24" t="n">
        <v>0</v>
      </c>
      <c r="N24" t="n">
        <v>0</v>
      </c>
      <c r="O24" t="n">
        <v>0</v>
      </c>
      <c r="P24" t="n">
        <v>0</v>
      </c>
      <c r="Q24" t="n">
        <v>2</v>
      </c>
      <c r="R24" s="2" t="inlineStr">
        <is>
          <t>Tibast
Fläcknycklar</t>
        </is>
      </c>
      <c r="S24">
        <f>HYPERLINK("https://klasma.github.io/Logging_0884/artfynd/A 42802-2025 artfynd.xlsx", "A 42802-2025")</f>
        <v/>
      </c>
      <c r="T24">
        <f>HYPERLINK("https://klasma.github.io/Logging_0884/kartor/A 42802-2025 karta.png", "A 42802-2025")</f>
        <v/>
      </c>
      <c r="V24">
        <f>HYPERLINK("https://klasma.github.io/Logging_0884/klagomål/A 42802-2025 FSC-klagomål.docx", "A 42802-2025")</f>
        <v/>
      </c>
      <c r="W24">
        <f>HYPERLINK("https://klasma.github.io/Logging_0884/klagomålsmail/A 42802-2025 FSC-klagomål mail.docx", "A 42802-2025")</f>
        <v/>
      </c>
      <c r="X24">
        <f>HYPERLINK("https://klasma.github.io/Logging_0884/tillsyn/A 42802-2025 tillsynsbegäran.docx", "A 42802-2025")</f>
        <v/>
      </c>
      <c r="Y24">
        <f>HYPERLINK("https://klasma.github.io/Logging_0884/tillsynsmail/A 42802-2025 tillsynsbegäran mail.docx", "A 42802-2025")</f>
        <v/>
      </c>
    </row>
    <row r="25" ht="15" customHeight="1">
      <c r="A25" t="inlineStr">
        <is>
          <t>A 2518-2023</t>
        </is>
      </c>
      <c r="B25" s="1" t="n">
        <v>44943</v>
      </c>
      <c r="C25" s="1" t="n">
        <v>45989</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45989</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53787-2025</t>
        </is>
      </c>
      <c r="B27" s="1" t="n">
        <v>45960</v>
      </c>
      <c r="C27" s="1" t="n">
        <v>45989</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45989</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45989</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45008.60878472222</v>
      </c>
      <c r="C30" s="1" t="n">
        <v>45989</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22396-2025</t>
        </is>
      </c>
      <c r="B31" s="1" t="n">
        <v>45786.52827546297</v>
      </c>
      <c r="C31" s="1" t="n">
        <v>45989</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32396-2021</t>
        </is>
      </c>
      <c r="B32" s="1" t="n">
        <v>44371</v>
      </c>
      <c r="C32" s="1" t="n">
        <v>45989</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45989</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45989</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1201-2025</t>
        </is>
      </c>
      <c r="B35" s="1" t="n">
        <v>45667</v>
      </c>
      <c r="C35" s="1" t="n">
        <v>45989</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61860-2024</t>
        </is>
      </c>
      <c r="B36" s="1" t="n">
        <v>45649</v>
      </c>
      <c r="C36" s="1" t="n">
        <v>45989</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29183-2025</t>
        </is>
      </c>
      <c r="B37" s="1" t="n">
        <v>45821</v>
      </c>
      <c r="C37" s="1" t="n">
        <v>45989</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45989</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45989</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53404-2025</t>
        </is>
      </c>
      <c r="B40" s="1" t="n">
        <v>45959.57126157408</v>
      </c>
      <c r="C40" s="1" t="n">
        <v>45989</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53400-2025</t>
        </is>
      </c>
      <c r="B41" s="1" t="n">
        <v>45959.56684027778</v>
      </c>
      <c r="C41" s="1" t="n">
        <v>45989</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23602-2023</t>
        </is>
      </c>
      <c r="B42" s="1" t="n">
        <v>45077</v>
      </c>
      <c r="C42" s="1" t="n">
        <v>45989</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57062-2025</t>
        </is>
      </c>
      <c r="B43" s="1" t="n">
        <v>45979.37598379629</v>
      </c>
      <c r="C43" s="1" t="n">
        <v>45989</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15122-2024</t>
        </is>
      </c>
      <c r="B44" s="1" t="n">
        <v>45399.71412037037</v>
      </c>
      <c r="C44" s="1" t="n">
        <v>45989</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45989</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45989</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45989</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9067-2025</t>
        </is>
      </c>
      <c r="B48" s="1" t="n">
        <v>45713</v>
      </c>
      <c r="C48" s="1" t="n">
        <v>45989</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52301-2023</t>
        </is>
      </c>
      <c r="B49" s="1" t="n">
        <v>45224</v>
      </c>
      <c r="C49" s="1" t="n">
        <v>45989</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45989</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15092-2021</t>
        </is>
      </c>
      <c r="B51" s="1" t="n">
        <v>44281.79269675926</v>
      </c>
      <c r="C51" s="1" t="n">
        <v>45989</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45989</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45989</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45989</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45989</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45989</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45989</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45989</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45989</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45989</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45989</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45989</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45989</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45989</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45989</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45989</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45989</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45989</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45989</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45989</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45989</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45989</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45989</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45989</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45989</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45989</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45989</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45989</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45989</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45989</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45989</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45989</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45989</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45989</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45989</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45989</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45989</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45989</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45989</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45989</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45989</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45989</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45989</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45989</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45989</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45989</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45989</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45989</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45989</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45989</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45989</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45989</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45989</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45989</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45989</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45989</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45989</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45989</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45989</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45989</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45989</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45989</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45989</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45989</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45989</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45989</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45989</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45989</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45989</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45989</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45989</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45989</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45989</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45989</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45989</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45989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45989</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45989</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45989</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45989</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45989</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45989</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45989</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45989</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45989</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45989</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45989</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45989</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45989</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45989</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45989</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45989</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45989</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45989</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45989</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45989</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45989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45989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45989</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45989</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45989</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45989</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18276-2021</t>
        </is>
      </c>
      <c r="B170" s="1" t="n">
        <v>44305.40046296296</v>
      </c>
      <c r="C170" s="1" t="n">
        <v>45989</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45989</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45989</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27455-2022</t>
        </is>
      </c>
      <c r="B174" s="1" t="n">
        <v>44742</v>
      </c>
      <c r="C174" s="1" t="n">
        <v>45989</v>
      </c>
      <c r="D174" t="inlineStr">
        <is>
          <t>KALMAR LÄN</t>
        </is>
      </c>
      <c r="E174" t="inlineStr">
        <is>
          <t>VIMMERBY</t>
        </is>
      </c>
      <c r="G174" t="n">
        <v>1.6</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45989</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45989</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45989</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42521-2021</t>
        </is>
      </c>
      <c r="B178" s="1" t="n">
        <v>44427</v>
      </c>
      <c r="C178" s="1" t="n">
        <v>45989</v>
      </c>
      <c r="D178" t="inlineStr">
        <is>
          <t>KALMAR LÄN</t>
        </is>
      </c>
      <c r="E178" t="inlineStr">
        <is>
          <t>VIMMERBY</t>
        </is>
      </c>
      <c r="G178" t="n">
        <v>5.4</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45989</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45989</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45989</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45989</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45989</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45989</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45989</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45989</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45989</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45989</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45989</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45989</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54065-2021</t>
        </is>
      </c>
      <c r="B192" s="1" t="n">
        <v>44470.44232638889</v>
      </c>
      <c r="C192" s="1" t="n">
        <v>45989</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52433-2021</t>
        </is>
      </c>
      <c r="B193" s="1" t="n">
        <v>44466.34726851852</v>
      </c>
      <c r="C193" s="1" t="n">
        <v>45989</v>
      </c>
      <c r="D193" t="inlineStr">
        <is>
          <t>KALMAR LÄN</t>
        </is>
      </c>
      <c r="E193" t="inlineStr">
        <is>
          <t>VIMMERBY</t>
        </is>
      </c>
      <c r="G193" t="n">
        <v>3.5</v>
      </c>
      <c r="H193" t="n">
        <v>0</v>
      </c>
      <c r="I193" t="n">
        <v>0</v>
      </c>
      <c r="J193" t="n">
        <v>0</v>
      </c>
      <c r="K193" t="n">
        <v>0</v>
      </c>
      <c r="L193" t="n">
        <v>0</v>
      </c>
      <c r="M193" t="n">
        <v>0</v>
      </c>
      <c r="N193" t="n">
        <v>0</v>
      </c>
      <c r="O193" t="n">
        <v>0</v>
      </c>
      <c r="P193" t="n">
        <v>0</v>
      </c>
      <c r="Q193" t="n">
        <v>0</v>
      </c>
      <c r="R193" s="2" t="inlineStr"/>
    </row>
    <row r="194" ht="15" customHeight="1">
      <c r="A194" t="inlineStr">
        <is>
          <t>A 50621-2022</t>
        </is>
      </c>
      <c r="B194" s="1" t="n">
        <v>44866.81100694444</v>
      </c>
      <c r="C194" s="1" t="n">
        <v>45989</v>
      </c>
      <c r="D194" t="inlineStr">
        <is>
          <t>KALMAR LÄN</t>
        </is>
      </c>
      <c r="E194" t="inlineStr">
        <is>
          <t>VIMMERBY</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45989</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45989</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45989</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45989</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7804-2022</t>
        </is>
      </c>
      <c r="B199" s="1" t="n">
        <v>44608.50458333334</v>
      </c>
      <c r="C199" s="1" t="n">
        <v>45989</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29441-2024</t>
        </is>
      </c>
      <c r="B200" s="1" t="n">
        <v>45483.82834490741</v>
      </c>
      <c r="C200" s="1" t="n">
        <v>45989</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33359-2021</t>
        </is>
      </c>
      <c r="B201" s="1" t="n">
        <v>44377.49684027778</v>
      </c>
      <c r="C201" s="1" t="n">
        <v>45989</v>
      </c>
      <c r="D201" t="inlineStr">
        <is>
          <t>KALMAR LÄN</t>
        </is>
      </c>
      <c r="E201" t="inlineStr">
        <is>
          <t>VIMMERBY</t>
        </is>
      </c>
      <c r="F201" t="inlineStr">
        <is>
          <t>Kommuner</t>
        </is>
      </c>
      <c r="G201" t="n">
        <v>8</v>
      </c>
      <c r="H201" t="n">
        <v>0</v>
      </c>
      <c r="I201" t="n">
        <v>0</v>
      </c>
      <c r="J201" t="n">
        <v>0</v>
      </c>
      <c r="K201" t="n">
        <v>0</v>
      </c>
      <c r="L201" t="n">
        <v>0</v>
      </c>
      <c r="M201" t="n">
        <v>0</v>
      </c>
      <c r="N201" t="n">
        <v>0</v>
      </c>
      <c r="O201" t="n">
        <v>0</v>
      </c>
      <c r="P201" t="n">
        <v>0</v>
      </c>
      <c r="Q201" t="n">
        <v>0</v>
      </c>
      <c r="R201" s="2" t="inlineStr"/>
    </row>
    <row r="202" ht="15" customHeight="1">
      <c r="A202" t="inlineStr">
        <is>
          <t>A 43038-2022</t>
        </is>
      </c>
      <c r="B202" s="1" t="n">
        <v>44833.60123842592</v>
      </c>
      <c r="C202" s="1" t="n">
        <v>45989</v>
      </c>
      <c r="D202" t="inlineStr">
        <is>
          <t>KALMAR LÄN</t>
        </is>
      </c>
      <c r="E202" t="inlineStr">
        <is>
          <t>VIMMERBY</t>
        </is>
      </c>
      <c r="G202" t="n">
        <v>4.2</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45989</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50087-2023</t>
        </is>
      </c>
      <c r="B204" s="1" t="n">
        <v>45215.59743055556</v>
      </c>
      <c r="C204" s="1" t="n">
        <v>45989</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29093-2023</t>
        </is>
      </c>
      <c r="B205" s="1" t="n">
        <v>45105</v>
      </c>
      <c r="C205" s="1" t="n">
        <v>45989</v>
      </c>
      <c r="D205" t="inlineStr">
        <is>
          <t>KALMAR LÄN</t>
        </is>
      </c>
      <c r="E205" t="inlineStr">
        <is>
          <t>VIMMERBY</t>
        </is>
      </c>
      <c r="G205" t="n">
        <v>2.9</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45989</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25728-2023</t>
        </is>
      </c>
      <c r="B207" s="1" t="n">
        <v>45090.38012731481</v>
      </c>
      <c r="C207" s="1" t="n">
        <v>45989</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14220-2021</t>
        </is>
      </c>
      <c r="B208" s="1" t="n">
        <v>44278.54855324074</v>
      </c>
      <c r="C208" s="1" t="n">
        <v>45989</v>
      </c>
      <c r="D208" t="inlineStr">
        <is>
          <t>KALMAR LÄN</t>
        </is>
      </c>
      <c r="E208" t="inlineStr">
        <is>
          <t>VIMMERBY</t>
        </is>
      </c>
      <c r="G208" t="n">
        <v>0.3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45989</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45989</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45989</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28395-2023</t>
        </is>
      </c>
      <c r="B212" s="1" t="n">
        <v>45100.4062962963</v>
      </c>
      <c r="C212" s="1" t="n">
        <v>45989</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6214-2025</t>
        </is>
      </c>
      <c r="B213" s="1" t="n">
        <v>45698.51711805556</v>
      </c>
      <c r="C213" s="1" t="n">
        <v>45989</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45989</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57256-2023</t>
        </is>
      </c>
      <c r="B215" s="1" t="n">
        <v>45245.5735300926</v>
      </c>
      <c r="C215" s="1" t="n">
        <v>45989</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25799-2023</t>
        </is>
      </c>
      <c r="B216" s="1" t="n">
        <v>45090</v>
      </c>
      <c r="C216" s="1" t="n">
        <v>45989</v>
      </c>
      <c r="D216" t="inlineStr">
        <is>
          <t>KALMAR LÄN</t>
        </is>
      </c>
      <c r="E216" t="inlineStr">
        <is>
          <t>VIMMERBY</t>
        </is>
      </c>
      <c r="G216" t="n">
        <v>7.7</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45989</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23088-2024</t>
        </is>
      </c>
      <c r="B218" s="1" t="n">
        <v>45450.51092592593</v>
      </c>
      <c r="C218" s="1" t="n">
        <v>45989</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57189-2022</t>
        </is>
      </c>
      <c r="B219" s="1" t="n">
        <v>44895.62296296296</v>
      </c>
      <c r="C219" s="1" t="n">
        <v>45989</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16015-2025</t>
        </is>
      </c>
      <c r="B220" s="1" t="n">
        <v>45749.60487268519</v>
      </c>
      <c r="C220" s="1" t="n">
        <v>45989</v>
      </c>
      <c r="D220" t="inlineStr">
        <is>
          <t>KALMAR LÄN</t>
        </is>
      </c>
      <c r="E220" t="inlineStr">
        <is>
          <t>VIMMERBY</t>
        </is>
      </c>
      <c r="F220" t="inlineStr">
        <is>
          <t>Kyrkan</t>
        </is>
      </c>
      <c r="G220" t="n">
        <v>2.7</v>
      </c>
      <c r="H220" t="n">
        <v>0</v>
      </c>
      <c r="I220" t="n">
        <v>0</v>
      </c>
      <c r="J220" t="n">
        <v>0</v>
      </c>
      <c r="K220" t="n">
        <v>0</v>
      </c>
      <c r="L220" t="n">
        <v>0</v>
      </c>
      <c r="M220" t="n">
        <v>0</v>
      </c>
      <c r="N220" t="n">
        <v>0</v>
      </c>
      <c r="O220" t="n">
        <v>0</v>
      </c>
      <c r="P220" t="n">
        <v>0</v>
      </c>
      <c r="Q220" t="n">
        <v>0</v>
      </c>
      <c r="R220" s="2" t="inlineStr"/>
    </row>
    <row r="221" ht="15" customHeight="1">
      <c r="A221" t="inlineStr">
        <is>
          <t>A 1987-2024</t>
        </is>
      </c>
      <c r="B221" s="1" t="n">
        <v>45308.61152777778</v>
      </c>
      <c r="C221" s="1" t="n">
        <v>45989</v>
      </c>
      <c r="D221" t="inlineStr">
        <is>
          <t>KALMAR LÄN</t>
        </is>
      </c>
      <c r="E221" t="inlineStr">
        <is>
          <t>VIMMERBY</t>
        </is>
      </c>
      <c r="G221" t="n">
        <v>3</v>
      </c>
      <c r="H221" t="n">
        <v>0</v>
      </c>
      <c r="I221" t="n">
        <v>0</v>
      </c>
      <c r="J221" t="n">
        <v>0</v>
      </c>
      <c r="K221" t="n">
        <v>0</v>
      </c>
      <c r="L221" t="n">
        <v>0</v>
      </c>
      <c r="M221" t="n">
        <v>0</v>
      </c>
      <c r="N221" t="n">
        <v>0</v>
      </c>
      <c r="O221" t="n">
        <v>0</v>
      </c>
      <c r="P221" t="n">
        <v>0</v>
      </c>
      <c r="Q221" t="n">
        <v>0</v>
      </c>
      <c r="R221" s="2" t="inlineStr"/>
    </row>
    <row r="222" ht="15" customHeight="1">
      <c r="A222" t="inlineStr">
        <is>
          <t>A 527-2024</t>
        </is>
      </c>
      <c r="B222" s="1" t="n">
        <v>45299.47513888889</v>
      </c>
      <c r="C222" s="1" t="n">
        <v>45989</v>
      </c>
      <c r="D222" t="inlineStr">
        <is>
          <t>KALMAR LÄN</t>
        </is>
      </c>
      <c r="E222" t="inlineStr">
        <is>
          <t>VIMMERBY</t>
        </is>
      </c>
      <c r="G222" t="n">
        <v>2.2</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45989</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45989</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37192-2024</t>
        </is>
      </c>
      <c r="B225" s="1" t="n">
        <v>45539.66027777778</v>
      </c>
      <c r="C225" s="1" t="n">
        <v>45989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31382-2023</t>
        </is>
      </c>
      <c r="B226" s="1" t="n">
        <v>45114.55136574074</v>
      </c>
      <c r="C226" s="1" t="n">
        <v>45989</v>
      </c>
      <c r="D226" t="inlineStr">
        <is>
          <t>KALMAR LÄN</t>
        </is>
      </c>
      <c r="E226" t="inlineStr">
        <is>
          <t>VIMMERBY</t>
        </is>
      </c>
      <c r="G226" t="n">
        <v>3.7</v>
      </c>
      <c r="H226" t="n">
        <v>0</v>
      </c>
      <c r="I226" t="n">
        <v>0</v>
      </c>
      <c r="J226" t="n">
        <v>0</v>
      </c>
      <c r="K226" t="n">
        <v>0</v>
      </c>
      <c r="L226" t="n">
        <v>0</v>
      </c>
      <c r="M226" t="n">
        <v>0</v>
      </c>
      <c r="N226" t="n">
        <v>0</v>
      </c>
      <c r="O226" t="n">
        <v>0</v>
      </c>
      <c r="P226" t="n">
        <v>0</v>
      </c>
      <c r="Q226" t="n">
        <v>0</v>
      </c>
      <c r="R226" s="2" t="inlineStr"/>
    </row>
    <row r="227" ht="15" customHeight="1">
      <c r="A227" t="inlineStr">
        <is>
          <t>A 11073-2023</t>
        </is>
      </c>
      <c r="B227" s="1" t="n">
        <v>44992</v>
      </c>
      <c r="C227" s="1" t="n">
        <v>45989</v>
      </c>
      <c r="D227" t="inlineStr">
        <is>
          <t>KALMAR LÄN</t>
        </is>
      </c>
      <c r="E227" t="inlineStr">
        <is>
          <t>VIMMERBY</t>
        </is>
      </c>
      <c r="F227" t="inlineStr">
        <is>
          <t>Sveaskog</t>
        </is>
      </c>
      <c r="G227" t="n">
        <v>1.2</v>
      </c>
      <c r="H227" t="n">
        <v>0</v>
      </c>
      <c r="I227" t="n">
        <v>0</v>
      </c>
      <c r="J227" t="n">
        <v>0</v>
      </c>
      <c r="K227" t="n">
        <v>0</v>
      </c>
      <c r="L227" t="n">
        <v>0</v>
      </c>
      <c r="M227" t="n">
        <v>0</v>
      </c>
      <c r="N227" t="n">
        <v>0</v>
      </c>
      <c r="O227" t="n">
        <v>0</v>
      </c>
      <c r="P227" t="n">
        <v>0</v>
      </c>
      <c r="Q227" t="n">
        <v>0</v>
      </c>
      <c r="R227" s="2" t="inlineStr"/>
    </row>
    <row r="228" ht="15" customHeight="1">
      <c r="A228" t="inlineStr">
        <is>
          <t>A 61820-2023</t>
        </is>
      </c>
      <c r="B228" s="1" t="n">
        <v>45266.32614583334</v>
      </c>
      <c r="C228" s="1" t="n">
        <v>45989</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36802-2021</t>
        </is>
      </c>
      <c r="B229" s="1" t="n">
        <v>44392</v>
      </c>
      <c r="C229" s="1" t="n">
        <v>45989</v>
      </c>
      <c r="D229" t="inlineStr">
        <is>
          <t>KALMAR LÄN</t>
        </is>
      </c>
      <c r="E229" t="inlineStr">
        <is>
          <t>VIMMERBY</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3269-2024</t>
        </is>
      </c>
      <c r="B230" s="1" t="n">
        <v>45317.40372685185</v>
      </c>
      <c r="C230" s="1" t="n">
        <v>45989</v>
      </c>
      <c r="D230" t="inlineStr">
        <is>
          <t>KALMAR LÄN</t>
        </is>
      </c>
      <c r="E230" t="inlineStr">
        <is>
          <t>VIMMERBY</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2157-2024</t>
        </is>
      </c>
      <c r="B231" s="1" t="n">
        <v>45309.59487268519</v>
      </c>
      <c r="C231" s="1" t="n">
        <v>45989</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59955-2023</t>
        </is>
      </c>
      <c r="B232" s="1" t="n">
        <v>45257.70313657408</v>
      </c>
      <c r="C232" s="1" t="n">
        <v>45989</v>
      </c>
      <c r="D232" t="inlineStr">
        <is>
          <t>KALMAR LÄN</t>
        </is>
      </c>
      <c r="E232" t="inlineStr">
        <is>
          <t>VIMMERBY</t>
        </is>
      </c>
      <c r="G232" t="n">
        <v>13.8</v>
      </c>
      <c r="H232" t="n">
        <v>0</v>
      </c>
      <c r="I232" t="n">
        <v>0</v>
      </c>
      <c r="J232" t="n">
        <v>0</v>
      </c>
      <c r="K232" t="n">
        <v>0</v>
      </c>
      <c r="L232" t="n">
        <v>0</v>
      </c>
      <c r="M232" t="n">
        <v>0</v>
      </c>
      <c r="N232" t="n">
        <v>0</v>
      </c>
      <c r="O232" t="n">
        <v>0</v>
      </c>
      <c r="P232" t="n">
        <v>0</v>
      </c>
      <c r="Q232" t="n">
        <v>0</v>
      </c>
      <c r="R232" s="2" t="inlineStr"/>
    </row>
    <row r="233" ht="15" customHeight="1">
      <c r="A233" t="inlineStr">
        <is>
          <t>A 9416-2024</t>
        </is>
      </c>
      <c r="B233" s="1" t="n">
        <v>45359.44837962963</v>
      </c>
      <c r="C233" s="1" t="n">
        <v>45989</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58318-2021</t>
        </is>
      </c>
      <c r="B234" s="1" t="n">
        <v>44488.35878472222</v>
      </c>
      <c r="C234" s="1" t="n">
        <v>45989</v>
      </c>
      <c r="D234" t="inlineStr">
        <is>
          <t>KALMAR LÄN</t>
        </is>
      </c>
      <c r="E234" t="inlineStr">
        <is>
          <t>VIMMERBY</t>
        </is>
      </c>
      <c r="G234" t="n">
        <v>4</v>
      </c>
      <c r="H234" t="n">
        <v>0</v>
      </c>
      <c r="I234" t="n">
        <v>0</v>
      </c>
      <c r="J234" t="n">
        <v>0</v>
      </c>
      <c r="K234" t="n">
        <v>0</v>
      </c>
      <c r="L234" t="n">
        <v>0</v>
      </c>
      <c r="M234" t="n">
        <v>0</v>
      </c>
      <c r="N234" t="n">
        <v>0</v>
      </c>
      <c r="O234" t="n">
        <v>0</v>
      </c>
      <c r="P234" t="n">
        <v>0</v>
      </c>
      <c r="Q234" t="n">
        <v>0</v>
      </c>
      <c r="R234" s="2" t="inlineStr"/>
    </row>
    <row r="235" ht="15" customHeight="1">
      <c r="A235" t="inlineStr">
        <is>
          <t>A 53083-2021</t>
        </is>
      </c>
      <c r="B235" s="1" t="n">
        <v>44467.83386574074</v>
      </c>
      <c r="C235" s="1" t="n">
        <v>45989</v>
      </c>
      <c r="D235" t="inlineStr">
        <is>
          <t>KALMAR LÄN</t>
        </is>
      </c>
      <c r="E235" t="inlineStr">
        <is>
          <t>VIMMERBY</t>
        </is>
      </c>
      <c r="G235" t="n">
        <v>6.8</v>
      </c>
      <c r="H235" t="n">
        <v>0</v>
      </c>
      <c r="I235" t="n">
        <v>0</v>
      </c>
      <c r="J235" t="n">
        <v>0</v>
      </c>
      <c r="K235" t="n">
        <v>0</v>
      </c>
      <c r="L235" t="n">
        <v>0</v>
      </c>
      <c r="M235" t="n">
        <v>0</v>
      </c>
      <c r="N235" t="n">
        <v>0</v>
      </c>
      <c r="O235" t="n">
        <v>0</v>
      </c>
      <c r="P235" t="n">
        <v>0</v>
      </c>
      <c r="Q235" t="n">
        <v>0</v>
      </c>
      <c r="R235" s="2" t="inlineStr"/>
    </row>
    <row r="236" ht="15" customHeight="1">
      <c r="A236" t="inlineStr">
        <is>
          <t>A 29173-2024</t>
        </is>
      </c>
      <c r="B236" s="1" t="n">
        <v>45482.52887731481</v>
      </c>
      <c r="C236" s="1" t="n">
        <v>45989</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9418-2024</t>
        </is>
      </c>
      <c r="B237" s="1" t="n">
        <v>45359.45038194444</v>
      </c>
      <c r="C237" s="1" t="n">
        <v>45989</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45989</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45989</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22197-2024</t>
        </is>
      </c>
      <c r="B240" s="1" t="n">
        <v>45446.36774305555</v>
      </c>
      <c r="C240" s="1" t="n">
        <v>45989</v>
      </c>
      <c r="D240" t="inlineStr">
        <is>
          <t>KALMAR LÄN</t>
        </is>
      </c>
      <c r="E240" t="inlineStr">
        <is>
          <t>VIMMERBY</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49313-2022</t>
        </is>
      </c>
      <c r="B241" s="1" t="n">
        <v>44861.52505787037</v>
      </c>
      <c r="C241" s="1" t="n">
        <v>45989</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35998-2024</t>
        </is>
      </c>
      <c r="B242" s="1" t="n">
        <v>45533.54429398148</v>
      </c>
      <c r="C242" s="1" t="n">
        <v>45989</v>
      </c>
      <c r="D242" t="inlineStr">
        <is>
          <t>KALMAR LÄN</t>
        </is>
      </c>
      <c r="E242" t="inlineStr">
        <is>
          <t>VIMMERBY</t>
        </is>
      </c>
      <c r="G242" t="n">
        <v>8.6</v>
      </c>
      <c r="H242" t="n">
        <v>0</v>
      </c>
      <c r="I242" t="n">
        <v>0</v>
      </c>
      <c r="J242" t="n">
        <v>0</v>
      </c>
      <c r="K242" t="n">
        <v>0</v>
      </c>
      <c r="L242" t="n">
        <v>0</v>
      </c>
      <c r="M242" t="n">
        <v>0</v>
      </c>
      <c r="N242" t="n">
        <v>0</v>
      </c>
      <c r="O242" t="n">
        <v>0</v>
      </c>
      <c r="P242" t="n">
        <v>0</v>
      </c>
      <c r="Q242" t="n">
        <v>0</v>
      </c>
      <c r="R242" s="2" t="inlineStr"/>
    </row>
    <row r="243" ht="15" customHeight="1">
      <c r="A243" t="inlineStr">
        <is>
          <t>A 36040-2024</t>
        </is>
      </c>
      <c r="B243" s="1" t="n">
        <v>45533.60232638889</v>
      </c>
      <c r="C243" s="1" t="n">
        <v>45989</v>
      </c>
      <c r="D243" t="inlineStr">
        <is>
          <t>KALMAR LÄN</t>
        </is>
      </c>
      <c r="E243" t="inlineStr">
        <is>
          <t>VIMMERBY</t>
        </is>
      </c>
      <c r="F243" t="inlineStr">
        <is>
          <t>Kommuner</t>
        </is>
      </c>
      <c r="G243" t="n">
        <v>3.6</v>
      </c>
      <c r="H243" t="n">
        <v>0</v>
      </c>
      <c r="I243" t="n">
        <v>0</v>
      </c>
      <c r="J243" t="n">
        <v>0</v>
      </c>
      <c r="K243" t="n">
        <v>0</v>
      </c>
      <c r="L243" t="n">
        <v>0</v>
      </c>
      <c r="M243" t="n">
        <v>0</v>
      </c>
      <c r="N243" t="n">
        <v>0</v>
      </c>
      <c r="O243" t="n">
        <v>0</v>
      </c>
      <c r="P243" t="n">
        <v>0</v>
      </c>
      <c r="Q243" t="n">
        <v>0</v>
      </c>
      <c r="R243" s="2" t="inlineStr"/>
    </row>
    <row r="244" ht="15" customHeight="1">
      <c r="A244" t="inlineStr">
        <is>
          <t>A 36043-2024</t>
        </is>
      </c>
      <c r="B244" s="1" t="n">
        <v>45533.60770833334</v>
      </c>
      <c r="C244" s="1" t="n">
        <v>45989</v>
      </c>
      <c r="D244" t="inlineStr">
        <is>
          <t>KALMAR LÄN</t>
        </is>
      </c>
      <c r="E244" t="inlineStr">
        <is>
          <t>VIMMERBY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35710-2023</t>
        </is>
      </c>
      <c r="B245" s="1" t="n">
        <v>45147.67096064815</v>
      </c>
      <c r="C245" s="1" t="n">
        <v>45989</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35711-2023</t>
        </is>
      </c>
      <c r="B246" s="1" t="n">
        <v>45147.67172453704</v>
      </c>
      <c r="C246" s="1" t="n">
        <v>45989</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34588-2024</t>
        </is>
      </c>
      <c r="B247" s="1" t="n">
        <v>45526.3865625</v>
      </c>
      <c r="C247" s="1" t="n">
        <v>45989</v>
      </c>
      <c r="D247" t="inlineStr">
        <is>
          <t>KALMAR LÄN</t>
        </is>
      </c>
      <c r="E247" t="inlineStr">
        <is>
          <t>VIMMERBY</t>
        </is>
      </c>
      <c r="F247" t="inlineStr">
        <is>
          <t>Övriga Aktiebolag</t>
        </is>
      </c>
      <c r="G247" t="n">
        <v>3.3</v>
      </c>
      <c r="H247" t="n">
        <v>0</v>
      </c>
      <c r="I247" t="n">
        <v>0</v>
      </c>
      <c r="J247" t="n">
        <v>0</v>
      </c>
      <c r="K247" t="n">
        <v>0</v>
      </c>
      <c r="L247" t="n">
        <v>0</v>
      </c>
      <c r="M247" t="n">
        <v>0</v>
      </c>
      <c r="N247" t="n">
        <v>0</v>
      </c>
      <c r="O247" t="n">
        <v>0</v>
      </c>
      <c r="P247" t="n">
        <v>0</v>
      </c>
      <c r="Q247" t="n">
        <v>0</v>
      </c>
      <c r="R247" s="2" t="inlineStr"/>
    </row>
    <row r="248" ht="15" customHeight="1">
      <c r="A248" t="inlineStr">
        <is>
          <t>A 56659-2023</t>
        </is>
      </c>
      <c r="B248" s="1" t="n">
        <v>45243.84869212963</v>
      </c>
      <c r="C248" s="1" t="n">
        <v>45989</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3331-2023</t>
        </is>
      </c>
      <c r="B249" s="1" t="n">
        <v>44949</v>
      </c>
      <c r="C249" s="1" t="n">
        <v>45989</v>
      </c>
      <c r="D249" t="inlineStr">
        <is>
          <t>KALMAR LÄN</t>
        </is>
      </c>
      <c r="E249" t="inlineStr">
        <is>
          <t>VIMMERBY</t>
        </is>
      </c>
      <c r="G249" t="n">
        <v>6.2</v>
      </c>
      <c r="H249" t="n">
        <v>0</v>
      </c>
      <c r="I249" t="n">
        <v>0</v>
      </c>
      <c r="J249" t="n">
        <v>0</v>
      </c>
      <c r="K249" t="n">
        <v>0</v>
      </c>
      <c r="L249" t="n">
        <v>0</v>
      </c>
      <c r="M249" t="n">
        <v>0</v>
      </c>
      <c r="N249" t="n">
        <v>0</v>
      </c>
      <c r="O249" t="n">
        <v>0</v>
      </c>
      <c r="P249" t="n">
        <v>0</v>
      </c>
      <c r="Q249" t="n">
        <v>0</v>
      </c>
      <c r="R249" s="2" t="inlineStr"/>
    </row>
    <row r="250" ht="15" customHeight="1">
      <c r="A250" t="inlineStr">
        <is>
          <t>A 40828-2023</t>
        </is>
      </c>
      <c r="B250" s="1" t="n">
        <v>45171.96248842592</v>
      </c>
      <c r="C250" s="1" t="n">
        <v>45989</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16734-2023</t>
        </is>
      </c>
      <c r="B251" s="1" t="n">
        <v>45030.71012731481</v>
      </c>
      <c r="C251" s="1" t="n">
        <v>45989</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64143-2021</t>
        </is>
      </c>
      <c r="B252" s="1" t="n">
        <v>44510.52157407408</v>
      </c>
      <c r="C252" s="1" t="n">
        <v>45989</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51278-2024</t>
        </is>
      </c>
      <c r="B253" s="1" t="n">
        <v>45603.74959490741</v>
      </c>
      <c r="C253" s="1" t="n">
        <v>45989</v>
      </c>
      <c r="D253" t="inlineStr">
        <is>
          <t>KALMAR LÄN</t>
        </is>
      </c>
      <c r="E253" t="inlineStr">
        <is>
          <t>VIMMERBY</t>
        </is>
      </c>
      <c r="G253" t="n">
        <v>3.4</v>
      </c>
      <c r="H253" t="n">
        <v>0</v>
      </c>
      <c r="I253" t="n">
        <v>0</v>
      </c>
      <c r="J253" t="n">
        <v>0</v>
      </c>
      <c r="K253" t="n">
        <v>0</v>
      </c>
      <c r="L253" t="n">
        <v>0</v>
      </c>
      <c r="M253" t="n">
        <v>0</v>
      </c>
      <c r="N253" t="n">
        <v>0</v>
      </c>
      <c r="O253" t="n">
        <v>0</v>
      </c>
      <c r="P253" t="n">
        <v>0</v>
      </c>
      <c r="Q253" t="n">
        <v>0</v>
      </c>
      <c r="R253" s="2" t="inlineStr"/>
    </row>
    <row r="254" ht="15" customHeight="1">
      <c r="A254" t="inlineStr">
        <is>
          <t>A 9720-2023</t>
        </is>
      </c>
      <c r="B254" s="1" t="n">
        <v>44984</v>
      </c>
      <c r="C254" s="1" t="n">
        <v>45989</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38604-2025</t>
        </is>
      </c>
      <c r="B255" s="1" t="n">
        <v>45884.50613425926</v>
      </c>
      <c r="C255" s="1" t="n">
        <v>45989</v>
      </c>
      <c r="D255" t="inlineStr">
        <is>
          <t>KALMAR LÄN</t>
        </is>
      </c>
      <c r="E255" t="inlineStr">
        <is>
          <t>VIMMERBY</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45989</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1687-2023</t>
        </is>
      </c>
      <c r="B257" s="1" t="n">
        <v>44938</v>
      </c>
      <c r="C257" s="1" t="n">
        <v>45989</v>
      </c>
      <c r="D257" t="inlineStr">
        <is>
          <t>KALMAR LÄN</t>
        </is>
      </c>
      <c r="E257" t="inlineStr">
        <is>
          <t>VIMMERBY</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29440-2024</t>
        </is>
      </c>
      <c r="B258" s="1" t="n">
        <v>45483.82479166667</v>
      </c>
      <c r="C258" s="1" t="n">
        <v>45989</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30921-2024</t>
        </is>
      </c>
      <c r="B259" s="1" t="n">
        <v>45498</v>
      </c>
      <c r="C259" s="1" t="n">
        <v>45989</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53482-2022</t>
        </is>
      </c>
      <c r="B260" s="1" t="n">
        <v>44879</v>
      </c>
      <c r="C260" s="1" t="n">
        <v>45989</v>
      </c>
      <c r="D260" t="inlineStr">
        <is>
          <t>KALMAR LÄN</t>
        </is>
      </c>
      <c r="E260" t="inlineStr">
        <is>
          <t>VIMMERBY</t>
        </is>
      </c>
      <c r="G260" t="n">
        <v>10.1</v>
      </c>
      <c r="H260" t="n">
        <v>0</v>
      </c>
      <c r="I260" t="n">
        <v>0</v>
      </c>
      <c r="J260" t="n">
        <v>0</v>
      </c>
      <c r="K260" t="n">
        <v>0</v>
      </c>
      <c r="L260" t="n">
        <v>0</v>
      </c>
      <c r="M260" t="n">
        <v>0</v>
      </c>
      <c r="N260" t="n">
        <v>0</v>
      </c>
      <c r="O260" t="n">
        <v>0</v>
      </c>
      <c r="P260" t="n">
        <v>0</v>
      </c>
      <c r="Q260" t="n">
        <v>0</v>
      </c>
      <c r="R260" s="2" t="inlineStr"/>
    </row>
    <row r="261" ht="15" customHeight="1">
      <c r="A261" t="inlineStr">
        <is>
          <t>A 35082-2024</t>
        </is>
      </c>
      <c r="B261" s="1" t="n">
        <v>45527.68784722222</v>
      </c>
      <c r="C261" s="1" t="n">
        <v>45989</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44582-2024</t>
        </is>
      </c>
      <c r="B262" s="1" t="n">
        <v>45574.49298611111</v>
      </c>
      <c r="C262" s="1" t="n">
        <v>45989</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45989</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11111-2023</t>
        </is>
      </c>
      <c r="B264" s="1" t="n">
        <v>44992.4255787037</v>
      </c>
      <c r="C264" s="1" t="n">
        <v>45989</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29180-2024</t>
        </is>
      </c>
      <c r="B265" s="1" t="n">
        <v>45482.54108796296</v>
      </c>
      <c r="C265" s="1" t="n">
        <v>45989</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29783-2024</t>
        </is>
      </c>
      <c r="B266" s="1" t="n">
        <v>45485.45778935185</v>
      </c>
      <c r="C266" s="1" t="n">
        <v>45989</v>
      </c>
      <c r="D266" t="inlineStr">
        <is>
          <t>KALMAR LÄN</t>
        </is>
      </c>
      <c r="E266" t="inlineStr">
        <is>
          <t>VIMMERBY</t>
        </is>
      </c>
      <c r="G266" t="n">
        <v>3.1</v>
      </c>
      <c r="H266" t="n">
        <v>0</v>
      </c>
      <c r="I266" t="n">
        <v>0</v>
      </c>
      <c r="J266" t="n">
        <v>0</v>
      </c>
      <c r="K266" t="n">
        <v>0</v>
      </c>
      <c r="L266" t="n">
        <v>0</v>
      </c>
      <c r="M266" t="n">
        <v>0</v>
      </c>
      <c r="N266" t="n">
        <v>0</v>
      </c>
      <c r="O266" t="n">
        <v>0</v>
      </c>
      <c r="P266" t="n">
        <v>0</v>
      </c>
      <c r="Q266" t="n">
        <v>0</v>
      </c>
      <c r="R266" s="2" t="inlineStr"/>
    </row>
    <row r="267" ht="15" customHeight="1">
      <c r="A267" t="inlineStr">
        <is>
          <t>A 54838-2024</t>
        </is>
      </c>
      <c r="B267" s="1" t="n">
        <v>45618.56787037037</v>
      </c>
      <c r="C267" s="1" t="n">
        <v>45989</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25987-2024</t>
        </is>
      </c>
      <c r="B268" s="1" t="n">
        <v>45467.74417824074</v>
      </c>
      <c r="C268" s="1" t="n">
        <v>45989</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25109-2023</t>
        </is>
      </c>
      <c r="B269" s="1" t="n">
        <v>45086</v>
      </c>
      <c r="C269" s="1" t="n">
        <v>45989</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62023-2022</t>
        </is>
      </c>
      <c r="B270" s="1" t="n">
        <v>44918.50106481482</v>
      </c>
      <c r="C270" s="1" t="n">
        <v>45989</v>
      </c>
      <c r="D270" t="inlineStr">
        <is>
          <t>KALMAR LÄN</t>
        </is>
      </c>
      <c r="E270" t="inlineStr">
        <is>
          <t>VIMMERBY</t>
        </is>
      </c>
      <c r="G270" t="n">
        <v>0.3</v>
      </c>
      <c r="H270" t="n">
        <v>0</v>
      </c>
      <c r="I270" t="n">
        <v>0</v>
      </c>
      <c r="J270" t="n">
        <v>0</v>
      </c>
      <c r="K270" t="n">
        <v>0</v>
      </c>
      <c r="L270" t="n">
        <v>0</v>
      </c>
      <c r="M270" t="n">
        <v>0</v>
      </c>
      <c r="N270" t="n">
        <v>0</v>
      </c>
      <c r="O270" t="n">
        <v>0</v>
      </c>
      <c r="P270" t="n">
        <v>0</v>
      </c>
      <c r="Q270" t="n">
        <v>0</v>
      </c>
      <c r="R270" s="2" t="inlineStr"/>
    </row>
    <row r="271" ht="15" customHeight="1">
      <c r="A271" t="inlineStr">
        <is>
          <t>A 58724-2024</t>
        </is>
      </c>
      <c r="B271" s="1" t="n">
        <v>45635.66409722222</v>
      </c>
      <c r="C271" s="1" t="n">
        <v>45989</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15494-2024</t>
        </is>
      </c>
      <c r="B272" s="1" t="n">
        <v>45401.53033564815</v>
      </c>
      <c r="C272" s="1" t="n">
        <v>45989</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58104-2024</t>
        </is>
      </c>
      <c r="B273" s="1" t="n">
        <v>45632.37459490741</v>
      </c>
      <c r="C273" s="1" t="n">
        <v>45989</v>
      </c>
      <c r="D273" t="inlineStr">
        <is>
          <t>KALMAR LÄN</t>
        </is>
      </c>
      <c r="E273" t="inlineStr">
        <is>
          <t>VIMMERBY</t>
        </is>
      </c>
      <c r="G273" t="n">
        <v>5</v>
      </c>
      <c r="H273" t="n">
        <v>0</v>
      </c>
      <c r="I273" t="n">
        <v>0</v>
      </c>
      <c r="J273" t="n">
        <v>0</v>
      </c>
      <c r="K273" t="n">
        <v>0</v>
      </c>
      <c r="L273" t="n">
        <v>0</v>
      </c>
      <c r="M273" t="n">
        <v>0</v>
      </c>
      <c r="N273" t="n">
        <v>0</v>
      </c>
      <c r="O273" t="n">
        <v>0</v>
      </c>
      <c r="P273" t="n">
        <v>0</v>
      </c>
      <c r="Q273" t="n">
        <v>0</v>
      </c>
      <c r="R273" s="2" t="inlineStr"/>
    </row>
    <row r="274" ht="15" customHeight="1">
      <c r="A274" t="inlineStr">
        <is>
          <t>A 12215-2024</t>
        </is>
      </c>
      <c r="B274" s="1" t="n">
        <v>45378.32185185186</v>
      </c>
      <c r="C274" s="1" t="n">
        <v>45989</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30920-2024</t>
        </is>
      </c>
      <c r="B275" s="1" t="n">
        <v>45498.673125</v>
      </c>
      <c r="C275" s="1" t="n">
        <v>45989</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26039-2025</t>
        </is>
      </c>
      <c r="B276" s="1" t="n">
        <v>45804.6953587963</v>
      </c>
      <c r="C276" s="1" t="n">
        <v>45989</v>
      </c>
      <c r="D276" t="inlineStr">
        <is>
          <t>KALMAR LÄN</t>
        </is>
      </c>
      <c r="E276" t="inlineStr">
        <is>
          <t>VIMMERBY</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26046-2025</t>
        </is>
      </c>
      <c r="B277" s="1" t="n">
        <v>45804.708125</v>
      </c>
      <c r="C277" s="1" t="n">
        <v>45989</v>
      </c>
      <c r="D277" t="inlineStr">
        <is>
          <t>KALMAR LÄN</t>
        </is>
      </c>
      <c r="E277" t="inlineStr">
        <is>
          <t>VIMMERBY</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56536-2022</t>
        </is>
      </c>
      <c r="B278" s="1" t="n">
        <v>44893</v>
      </c>
      <c r="C278" s="1" t="n">
        <v>45989</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25792-2025</t>
        </is>
      </c>
      <c r="B279" s="1" t="n">
        <v>45804.39141203704</v>
      </c>
      <c r="C279" s="1" t="n">
        <v>45989</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63541-2023</t>
        </is>
      </c>
      <c r="B280" s="1" t="n">
        <v>45275.32266203704</v>
      </c>
      <c r="C280" s="1" t="n">
        <v>45989</v>
      </c>
      <c r="D280" t="inlineStr">
        <is>
          <t>KALMAR LÄN</t>
        </is>
      </c>
      <c r="E280" t="inlineStr">
        <is>
          <t>VIMMERBY</t>
        </is>
      </c>
      <c r="G280" t="n">
        <v>1.1</v>
      </c>
      <c r="H280" t="n">
        <v>0</v>
      </c>
      <c r="I280" t="n">
        <v>0</v>
      </c>
      <c r="J280" t="n">
        <v>0</v>
      </c>
      <c r="K280" t="n">
        <v>0</v>
      </c>
      <c r="L280" t="n">
        <v>0</v>
      </c>
      <c r="M280" t="n">
        <v>0</v>
      </c>
      <c r="N280" t="n">
        <v>0</v>
      </c>
      <c r="O280" t="n">
        <v>0</v>
      </c>
      <c r="P280" t="n">
        <v>0</v>
      </c>
      <c r="Q280" t="n">
        <v>0</v>
      </c>
      <c r="R280" s="2" t="inlineStr"/>
    </row>
    <row r="281" ht="15" customHeight="1">
      <c r="A281" t="inlineStr">
        <is>
          <t>A 37323-2024</t>
        </is>
      </c>
      <c r="B281" s="1" t="n">
        <v>45540.50098379629</v>
      </c>
      <c r="C281" s="1" t="n">
        <v>45989</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25830-2025</t>
        </is>
      </c>
      <c r="B282" s="1" t="n">
        <v>45804.44519675926</v>
      </c>
      <c r="C282" s="1" t="n">
        <v>45989</v>
      </c>
      <c r="D282" t="inlineStr">
        <is>
          <t>KALMAR LÄN</t>
        </is>
      </c>
      <c r="E282" t="inlineStr">
        <is>
          <t>VIMMERBY</t>
        </is>
      </c>
      <c r="G282" t="n">
        <v>4.9</v>
      </c>
      <c r="H282" t="n">
        <v>0</v>
      </c>
      <c r="I282" t="n">
        <v>0</v>
      </c>
      <c r="J282" t="n">
        <v>0</v>
      </c>
      <c r="K282" t="n">
        <v>0</v>
      </c>
      <c r="L282" t="n">
        <v>0</v>
      </c>
      <c r="M282" t="n">
        <v>0</v>
      </c>
      <c r="N282" t="n">
        <v>0</v>
      </c>
      <c r="O282" t="n">
        <v>0</v>
      </c>
      <c r="P282" t="n">
        <v>0</v>
      </c>
      <c r="Q282" t="n">
        <v>0</v>
      </c>
      <c r="R282" s="2" t="inlineStr"/>
    </row>
    <row r="283" ht="15" customHeight="1">
      <c r="A283" t="inlineStr">
        <is>
          <t>A 29726-2025</t>
        </is>
      </c>
      <c r="B283" s="1" t="n">
        <v>45825.57805555555</v>
      </c>
      <c r="C283" s="1" t="n">
        <v>45989</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26124-2025</t>
        </is>
      </c>
      <c r="B284" s="1" t="n">
        <v>45805.39247685186</v>
      </c>
      <c r="C284" s="1" t="n">
        <v>45989</v>
      </c>
      <c r="D284" t="inlineStr">
        <is>
          <t>KALMAR LÄN</t>
        </is>
      </c>
      <c r="E284" t="inlineStr">
        <is>
          <t>VIMMERBY</t>
        </is>
      </c>
      <c r="G284" t="n">
        <v>6.6</v>
      </c>
      <c r="H284" t="n">
        <v>0</v>
      </c>
      <c r="I284" t="n">
        <v>0</v>
      </c>
      <c r="J284" t="n">
        <v>0</v>
      </c>
      <c r="K284" t="n">
        <v>0</v>
      </c>
      <c r="L284" t="n">
        <v>0</v>
      </c>
      <c r="M284" t="n">
        <v>0</v>
      </c>
      <c r="N284" t="n">
        <v>0</v>
      </c>
      <c r="O284" t="n">
        <v>0</v>
      </c>
      <c r="P284" t="n">
        <v>0</v>
      </c>
      <c r="Q284" t="n">
        <v>0</v>
      </c>
      <c r="R284" s="2" t="inlineStr"/>
    </row>
    <row r="285" ht="15" customHeight="1">
      <c r="A285" t="inlineStr">
        <is>
          <t>A 26254-2025</t>
        </is>
      </c>
      <c r="B285" s="1" t="n">
        <v>45805</v>
      </c>
      <c r="C285" s="1" t="n">
        <v>45989</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11429-2022</t>
        </is>
      </c>
      <c r="B286" s="1" t="n">
        <v>44630</v>
      </c>
      <c r="C286" s="1" t="n">
        <v>45989</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56582-2022</t>
        </is>
      </c>
      <c r="B287" s="1" t="n">
        <v>44893</v>
      </c>
      <c r="C287" s="1" t="n">
        <v>45989</v>
      </c>
      <c r="D287" t="inlineStr">
        <is>
          <t>KALMAR LÄN</t>
        </is>
      </c>
      <c r="E287" t="inlineStr">
        <is>
          <t>VIMMERBY</t>
        </is>
      </c>
      <c r="G287" t="n">
        <v>2.2</v>
      </c>
      <c r="H287" t="n">
        <v>0</v>
      </c>
      <c r="I287" t="n">
        <v>0</v>
      </c>
      <c r="J287" t="n">
        <v>0</v>
      </c>
      <c r="K287" t="n">
        <v>0</v>
      </c>
      <c r="L287" t="n">
        <v>0</v>
      </c>
      <c r="M287" t="n">
        <v>0</v>
      </c>
      <c r="N287" t="n">
        <v>0</v>
      </c>
      <c r="O287" t="n">
        <v>0</v>
      </c>
      <c r="P287" t="n">
        <v>0</v>
      </c>
      <c r="Q287" t="n">
        <v>0</v>
      </c>
      <c r="R287" s="2" t="inlineStr"/>
    </row>
    <row r="288" ht="15" customHeight="1">
      <c r="A288" t="inlineStr">
        <is>
          <t>A 38964-2025</t>
        </is>
      </c>
      <c r="B288" s="1" t="n">
        <v>45887.68759259259</v>
      </c>
      <c r="C288" s="1" t="n">
        <v>45989</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6408-2025</t>
        </is>
      </c>
      <c r="B289" s="1" t="n">
        <v>45699.45671296296</v>
      </c>
      <c r="C289" s="1" t="n">
        <v>45989</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26207-2025</t>
        </is>
      </c>
      <c r="B290" s="1" t="n">
        <v>45805.52983796296</v>
      </c>
      <c r="C290" s="1" t="n">
        <v>45989</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11609-2023</t>
        </is>
      </c>
      <c r="B291" s="1" t="n">
        <v>44994.40635416667</v>
      </c>
      <c r="C291" s="1" t="n">
        <v>45989</v>
      </c>
      <c r="D291" t="inlineStr">
        <is>
          <t>KALMAR LÄN</t>
        </is>
      </c>
      <c r="E291" t="inlineStr">
        <is>
          <t>VIMMERBY</t>
        </is>
      </c>
      <c r="G291" t="n">
        <v>4.9</v>
      </c>
      <c r="H291" t="n">
        <v>0</v>
      </c>
      <c r="I291" t="n">
        <v>0</v>
      </c>
      <c r="J291" t="n">
        <v>0</v>
      </c>
      <c r="K291" t="n">
        <v>0</v>
      </c>
      <c r="L291" t="n">
        <v>0</v>
      </c>
      <c r="M291" t="n">
        <v>0</v>
      </c>
      <c r="N291" t="n">
        <v>0</v>
      </c>
      <c r="O291" t="n">
        <v>0</v>
      </c>
      <c r="P291" t="n">
        <v>0</v>
      </c>
      <c r="Q291" t="n">
        <v>0</v>
      </c>
      <c r="R291" s="2" t="inlineStr"/>
    </row>
    <row r="292" ht="15" customHeight="1">
      <c r="A292" t="inlineStr">
        <is>
          <t>A 44464-2024</t>
        </is>
      </c>
      <c r="B292" s="1" t="n">
        <v>45574.35809027778</v>
      </c>
      <c r="C292" s="1" t="n">
        <v>45989</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41066-2024</t>
        </is>
      </c>
      <c r="B293" s="1" t="n">
        <v>45559.38876157408</v>
      </c>
      <c r="C293" s="1" t="n">
        <v>45989</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3816-2022</t>
        </is>
      </c>
      <c r="B294" s="1" t="n">
        <v>44587</v>
      </c>
      <c r="C294" s="1" t="n">
        <v>45989</v>
      </c>
      <c r="D294" t="inlineStr">
        <is>
          <t>KALMAR LÄN</t>
        </is>
      </c>
      <c r="E294" t="inlineStr">
        <is>
          <t>VIMMERBY</t>
        </is>
      </c>
      <c r="G294" t="n">
        <v>1.2</v>
      </c>
      <c r="H294" t="n">
        <v>0</v>
      </c>
      <c r="I294" t="n">
        <v>0</v>
      </c>
      <c r="J294" t="n">
        <v>0</v>
      </c>
      <c r="K294" t="n">
        <v>0</v>
      </c>
      <c r="L294" t="n">
        <v>0</v>
      </c>
      <c r="M294" t="n">
        <v>0</v>
      </c>
      <c r="N294" t="n">
        <v>0</v>
      </c>
      <c r="O294" t="n">
        <v>0</v>
      </c>
      <c r="P294" t="n">
        <v>0</v>
      </c>
      <c r="Q294" t="n">
        <v>0</v>
      </c>
      <c r="R294" s="2" t="inlineStr"/>
    </row>
    <row r="295" ht="15" customHeight="1">
      <c r="A295" t="inlineStr">
        <is>
          <t>A 39801-2025</t>
        </is>
      </c>
      <c r="B295" s="1" t="n">
        <v>45891.50216435185</v>
      </c>
      <c r="C295" s="1" t="n">
        <v>45989</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39807-2025</t>
        </is>
      </c>
      <c r="B296" s="1" t="n">
        <v>45891.50986111111</v>
      </c>
      <c r="C296" s="1" t="n">
        <v>45989</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1081-2023</t>
        </is>
      </c>
      <c r="B297" s="1" t="n">
        <v>44935</v>
      </c>
      <c r="C297" s="1" t="n">
        <v>45989</v>
      </c>
      <c r="D297" t="inlineStr">
        <is>
          <t>KALMAR LÄN</t>
        </is>
      </c>
      <c r="E297" t="inlineStr">
        <is>
          <t>VIMMERBY</t>
        </is>
      </c>
      <c r="G297" t="n">
        <v>1.3</v>
      </c>
      <c r="H297" t="n">
        <v>0</v>
      </c>
      <c r="I297" t="n">
        <v>0</v>
      </c>
      <c r="J297" t="n">
        <v>0</v>
      </c>
      <c r="K297" t="n">
        <v>0</v>
      </c>
      <c r="L297" t="n">
        <v>0</v>
      </c>
      <c r="M297" t="n">
        <v>0</v>
      </c>
      <c r="N297" t="n">
        <v>0</v>
      </c>
      <c r="O297" t="n">
        <v>0</v>
      </c>
      <c r="P297" t="n">
        <v>0</v>
      </c>
      <c r="Q297" t="n">
        <v>0</v>
      </c>
      <c r="R297" s="2" t="inlineStr"/>
    </row>
    <row r="298" ht="15" customHeight="1">
      <c r="A298" t="inlineStr">
        <is>
          <t>A 7047-2022</t>
        </is>
      </c>
      <c r="B298" s="1" t="n">
        <v>44603</v>
      </c>
      <c r="C298" s="1" t="n">
        <v>45989</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12499-2023</t>
        </is>
      </c>
      <c r="B299" s="1" t="n">
        <v>44999.86172453704</v>
      </c>
      <c r="C299" s="1" t="n">
        <v>45989</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12500-2023</t>
        </is>
      </c>
      <c r="B300" s="1" t="n">
        <v>44999.8625</v>
      </c>
      <c r="C300" s="1" t="n">
        <v>45989</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39736-2025</t>
        </is>
      </c>
      <c r="B301" s="1" t="n">
        <v>45891</v>
      </c>
      <c r="C301" s="1" t="n">
        <v>45989</v>
      </c>
      <c r="D301" t="inlineStr">
        <is>
          <t>KALMAR LÄN</t>
        </is>
      </c>
      <c r="E301" t="inlineStr">
        <is>
          <t>VIMMERBY</t>
        </is>
      </c>
      <c r="G301" t="n">
        <v>12.8</v>
      </c>
      <c r="H301" t="n">
        <v>0</v>
      </c>
      <c r="I301" t="n">
        <v>0</v>
      </c>
      <c r="J301" t="n">
        <v>0</v>
      </c>
      <c r="K301" t="n">
        <v>0</v>
      </c>
      <c r="L301" t="n">
        <v>0</v>
      </c>
      <c r="M301" t="n">
        <v>0</v>
      </c>
      <c r="N301" t="n">
        <v>0</v>
      </c>
      <c r="O301" t="n">
        <v>0</v>
      </c>
      <c r="P301" t="n">
        <v>0</v>
      </c>
      <c r="Q301" t="n">
        <v>0</v>
      </c>
      <c r="R301" s="2" t="inlineStr"/>
    </row>
    <row r="302" ht="15" customHeight="1">
      <c r="A302" t="inlineStr">
        <is>
          <t>A 39803-2025</t>
        </is>
      </c>
      <c r="B302" s="1" t="n">
        <v>45891.50525462963</v>
      </c>
      <c r="C302" s="1" t="n">
        <v>45989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6066-2023</t>
        </is>
      </c>
      <c r="B303" s="1" t="n">
        <v>44964.50894675926</v>
      </c>
      <c r="C303" s="1" t="n">
        <v>45989</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39889-2025</t>
        </is>
      </c>
      <c r="B304" s="1" t="n">
        <v>45891</v>
      </c>
      <c r="C304" s="1" t="n">
        <v>45989</v>
      </c>
      <c r="D304" t="inlineStr">
        <is>
          <t>KALMAR LÄN</t>
        </is>
      </c>
      <c r="E304" t="inlineStr">
        <is>
          <t>VIMMERBY</t>
        </is>
      </c>
      <c r="G304" t="n">
        <v>4.5</v>
      </c>
      <c r="H304" t="n">
        <v>0</v>
      </c>
      <c r="I304" t="n">
        <v>0</v>
      </c>
      <c r="J304" t="n">
        <v>0</v>
      </c>
      <c r="K304" t="n">
        <v>0</v>
      </c>
      <c r="L304" t="n">
        <v>0</v>
      </c>
      <c r="M304" t="n">
        <v>0</v>
      </c>
      <c r="N304" t="n">
        <v>0</v>
      </c>
      <c r="O304" t="n">
        <v>0</v>
      </c>
      <c r="P304" t="n">
        <v>0</v>
      </c>
      <c r="Q304" t="n">
        <v>0</v>
      </c>
      <c r="R304" s="2" t="inlineStr"/>
    </row>
    <row r="305" ht="15" customHeight="1">
      <c r="A305" t="inlineStr">
        <is>
          <t>A 33103-2024</t>
        </is>
      </c>
      <c r="B305" s="1" t="n">
        <v>45517.8162037037</v>
      </c>
      <c r="C305" s="1" t="n">
        <v>45989</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33161-2024</t>
        </is>
      </c>
      <c r="B306" s="1" t="n">
        <v>45518.40657407408</v>
      </c>
      <c r="C306" s="1" t="n">
        <v>45989</v>
      </c>
      <c r="D306" t="inlineStr">
        <is>
          <t>KALMAR LÄN</t>
        </is>
      </c>
      <c r="E306" t="inlineStr">
        <is>
          <t>VIMMERBY</t>
        </is>
      </c>
      <c r="G306" t="n">
        <v>4.7</v>
      </c>
      <c r="H306" t="n">
        <v>0</v>
      </c>
      <c r="I306" t="n">
        <v>0</v>
      </c>
      <c r="J306" t="n">
        <v>0</v>
      </c>
      <c r="K306" t="n">
        <v>0</v>
      </c>
      <c r="L306" t="n">
        <v>0</v>
      </c>
      <c r="M306" t="n">
        <v>0</v>
      </c>
      <c r="N306" t="n">
        <v>0</v>
      </c>
      <c r="O306" t="n">
        <v>0</v>
      </c>
      <c r="P306" t="n">
        <v>0</v>
      </c>
      <c r="Q306" t="n">
        <v>0</v>
      </c>
      <c r="R306" s="2" t="inlineStr"/>
    </row>
    <row r="307" ht="15" customHeight="1">
      <c r="A307" t="inlineStr">
        <is>
          <t>A 12510-2022</t>
        </is>
      </c>
      <c r="B307" s="1" t="n">
        <v>44638.55256944444</v>
      </c>
      <c r="C307" s="1" t="n">
        <v>45989</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1146-2025</t>
        </is>
      </c>
      <c r="B308" s="1" t="n">
        <v>45666</v>
      </c>
      <c r="C308" s="1" t="n">
        <v>45989</v>
      </c>
      <c r="D308" t="inlineStr">
        <is>
          <t>KALMAR LÄN</t>
        </is>
      </c>
      <c r="E308" t="inlineStr">
        <is>
          <t>VIMMERBY</t>
        </is>
      </c>
      <c r="G308" t="n">
        <v>4</v>
      </c>
      <c r="H308" t="n">
        <v>0</v>
      </c>
      <c r="I308" t="n">
        <v>0</v>
      </c>
      <c r="J308" t="n">
        <v>0</v>
      </c>
      <c r="K308" t="n">
        <v>0</v>
      </c>
      <c r="L308" t="n">
        <v>0</v>
      </c>
      <c r="M308" t="n">
        <v>0</v>
      </c>
      <c r="N308" t="n">
        <v>0</v>
      </c>
      <c r="O308" t="n">
        <v>0</v>
      </c>
      <c r="P308" t="n">
        <v>0</v>
      </c>
      <c r="Q308" t="n">
        <v>0</v>
      </c>
      <c r="R308" s="2" t="inlineStr"/>
    </row>
    <row r="309" ht="15" customHeight="1">
      <c r="A309" t="inlineStr">
        <is>
          <t>A 40970-2025</t>
        </is>
      </c>
      <c r="B309" s="1" t="n">
        <v>45897.88706018519</v>
      </c>
      <c r="C309" s="1" t="n">
        <v>45989</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40973-2025</t>
        </is>
      </c>
      <c r="B310" s="1" t="n">
        <v>45897.89737268518</v>
      </c>
      <c r="C310" s="1" t="n">
        <v>45989</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12890-2023</t>
        </is>
      </c>
      <c r="B311" s="1" t="n">
        <v>45001.59209490741</v>
      </c>
      <c r="C311" s="1" t="n">
        <v>45989</v>
      </c>
      <c r="D311" t="inlineStr">
        <is>
          <t>KALMAR LÄN</t>
        </is>
      </c>
      <c r="E311" t="inlineStr">
        <is>
          <t>VIMMERBY</t>
        </is>
      </c>
      <c r="G311" t="n">
        <v>2.8</v>
      </c>
      <c r="H311" t="n">
        <v>0</v>
      </c>
      <c r="I311" t="n">
        <v>0</v>
      </c>
      <c r="J311" t="n">
        <v>0</v>
      </c>
      <c r="K311" t="n">
        <v>0</v>
      </c>
      <c r="L311" t="n">
        <v>0</v>
      </c>
      <c r="M311" t="n">
        <v>0</v>
      </c>
      <c r="N311" t="n">
        <v>0</v>
      </c>
      <c r="O311" t="n">
        <v>0</v>
      </c>
      <c r="P311" t="n">
        <v>0</v>
      </c>
      <c r="Q311" t="n">
        <v>0</v>
      </c>
      <c r="R311" s="2" t="inlineStr"/>
    </row>
    <row r="312" ht="15" customHeight="1">
      <c r="A312" t="inlineStr">
        <is>
          <t>A 3902-2022</t>
        </is>
      </c>
      <c r="B312" s="1" t="n">
        <v>44587.48847222222</v>
      </c>
      <c r="C312" s="1" t="n">
        <v>45989</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45989</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89-2023</t>
        </is>
      </c>
      <c r="B314" s="1" t="n">
        <v>44918</v>
      </c>
      <c r="C314" s="1" t="n">
        <v>45989</v>
      </c>
      <c r="D314" t="inlineStr">
        <is>
          <t>KALMAR LÄN</t>
        </is>
      </c>
      <c r="E314" t="inlineStr">
        <is>
          <t>VIMMERBY</t>
        </is>
      </c>
      <c r="G314" t="n">
        <v>16.1</v>
      </c>
      <c r="H314" t="n">
        <v>0</v>
      </c>
      <c r="I314" t="n">
        <v>0</v>
      </c>
      <c r="J314" t="n">
        <v>0</v>
      </c>
      <c r="K314" t="n">
        <v>0</v>
      </c>
      <c r="L314" t="n">
        <v>0</v>
      </c>
      <c r="M314" t="n">
        <v>0</v>
      </c>
      <c r="N314" t="n">
        <v>0</v>
      </c>
      <c r="O314" t="n">
        <v>0</v>
      </c>
      <c r="P314" t="n">
        <v>0</v>
      </c>
      <c r="Q314" t="n">
        <v>0</v>
      </c>
      <c r="R314" s="2" t="inlineStr"/>
    </row>
    <row r="315" ht="15" customHeight="1">
      <c r="A315" t="inlineStr">
        <is>
          <t>A 28290-2025</t>
        </is>
      </c>
      <c r="B315" s="1" t="n">
        <v>45818.59261574074</v>
      </c>
      <c r="C315" s="1" t="n">
        <v>45989</v>
      </c>
      <c r="D315" t="inlineStr">
        <is>
          <t>KALMAR LÄN</t>
        </is>
      </c>
      <c r="E315" t="inlineStr">
        <is>
          <t>VIMMERBY</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5382-2023</t>
        </is>
      </c>
      <c r="B316" s="1" t="n">
        <v>44959.66407407408</v>
      </c>
      <c r="C316" s="1" t="n">
        <v>45989</v>
      </c>
      <c r="D316" t="inlineStr">
        <is>
          <t>KALMAR LÄN</t>
        </is>
      </c>
      <c r="E316" t="inlineStr">
        <is>
          <t>VIMMERBY</t>
        </is>
      </c>
      <c r="G316" t="n">
        <v>1</v>
      </c>
      <c r="H316" t="n">
        <v>0</v>
      </c>
      <c r="I316" t="n">
        <v>0</v>
      </c>
      <c r="J316" t="n">
        <v>0</v>
      </c>
      <c r="K316" t="n">
        <v>0</v>
      </c>
      <c r="L316" t="n">
        <v>0</v>
      </c>
      <c r="M316" t="n">
        <v>0</v>
      </c>
      <c r="N316" t="n">
        <v>0</v>
      </c>
      <c r="O316" t="n">
        <v>0</v>
      </c>
      <c r="P316" t="n">
        <v>0</v>
      </c>
      <c r="Q316" t="n">
        <v>0</v>
      </c>
      <c r="R316" s="2" t="inlineStr"/>
    </row>
    <row r="317" ht="15" customHeight="1">
      <c r="A317" t="inlineStr">
        <is>
          <t>A 6668-2023</t>
        </is>
      </c>
      <c r="B317" s="1" t="n">
        <v>44966</v>
      </c>
      <c r="C317" s="1" t="n">
        <v>45989</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28280-2025</t>
        </is>
      </c>
      <c r="B318" s="1" t="n">
        <v>45818.5862037037</v>
      </c>
      <c r="C318" s="1" t="n">
        <v>45989</v>
      </c>
      <c r="D318" t="inlineStr">
        <is>
          <t>KALMAR LÄN</t>
        </is>
      </c>
      <c r="E318" t="inlineStr">
        <is>
          <t>VIMMERBY</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28286-2025</t>
        </is>
      </c>
      <c r="B319" s="1" t="n">
        <v>45818.58993055556</v>
      </c>
      <c r="C319" s="1" t="n">
        <v>45989</v>
      </c>
      <c r="D319" t="inlineStr">
        <is>
          <t>KALMAR LÄN</t>
        </is>
      </c>
      <c r="E319" t="inlineStr">
        <is>
          <t>VIMMERBY</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172-2022</t>
        </is>
      </c>
      <c r="B320" s="1" t="n">
        <v>44564.62598379629</v>
      </c>
      <c r="C320" s="1" t="n">
        <v>45989</v>
      </c>
      <c r="D320" t="inlineStr">
        <is>
          <t>KALMAR LÄN</t>
        </is>
      </c>
      <c r="E320" t="inlineStr">
        <is>
          <t>VIMMERBY</t>
        </is>
      </c>
      <c r="G320" t="n">
        <v>2.1</v>
      </c>
      <c r="H320" t="n">
        <v>0</v>
      </c>
      <c r="I320" t="n">
        <v>0</v>
      </c>
      <c r="J320" t="n">
        <v>0</v>
      </c>
      <c r="K320" t="n">
        <v>0</v>
      </c>
      <c r="L320" t="n">
        <v>0</v>
      </c>
      <c r="M320" t="n">
        <v>0</v>
      </c>
      <c r="N320" t="n">
        <v>0</v>
      </c>
      <c r="O320" t="n">
        <v>0</v>
      </c>
      <c r="P320" t="n">
        <v>0</v>
      </c>
      <c r="Q320" t="n">
        <v>0</v>
      </c>
      <c r="R320" s="2" t="inlineStr"/>
    </row>
    <row r="321" ht="15" customHeight="1">
      <c r="A321" t="inlineStr">
        <is>
          <t>A 30634-2024</t>
        </is>
      </c>
      <c r="B321" s="1" t="n">
        <v>45495</v>
      </c>
      <c r="C321" s="1" t="n">
        <v>45989</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6355-2022</t>
        </is>
      </c>
      <c r="B322" s="1" t="n">
        <v>44600</v>
      </c>
      <c r="C322" s="1" t="n">
        <v>45989</v>
      </c>
      <c r="D322" t="inlineStr">
        <is>
          <t>KALMAR LÄN</t>
        </is>
      </c>
      <c r="E322" t="inlineStr">
        <is>
          <t>VIMMERBY</t>
        </is>
      </c>
      <c r="G322" t="n">
        <v>4.9</v>
      </c>
      <c r="H322" t="n">
        <v>0</v>
      </c>
      <c r="I322" t="n">
        <v>0</v>
      </c>
      <c r="J322" t="n">
        <v>0</v>
      </c>
      <c r="K322" t="n">
        <v>0</v>
      </c>
      <c r="L322" t="n">
        <v>0</v>
      </c>
      <c r="M322" t="n">
        <v>0</v>
      </c>
      <c r="N322" t="n">
        <v>0</v>
      </c>
      <c r="O322" t="n">
        <v>0</v>
      </c>
      <c r="P322" t="n">
        <v>0</v>
      </c>
      <c r="Q322" t="n">
        <v>0</v>
      </c>
      <c r="R322" s="2" t="inlineStr"/>
    </row>
    <row r="323" ht="15" customHeight="1">
      <c r="A323" t="inlineStr">
        <is>
          <t>A 40925-2025</t>
        </is>
      </c>
      <c r="B323" s="1" t="n">
        <v>45897.64208333333</v>
      </c>
      <c r="C323" s="1" t="n">
        <v>45989</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40921-2025</t>
        </is>
      </c>
      <c r="B324" s="1" t="n">
        <v>45897.63520833333</v>
      </c>
      <c r="C324" s="1" t="n">
        <v>45989</v>
      </c>
      <c r="D324" t="inlineStr">
        <is>
          <t>KALMAR LÄN</t>
        </is>
      </c>
      <c r="E324" t="inlineStr">
        <is>
          <t>VIMMERBY</t>
        </is>
      </c>
      <c r="G324" t="n">
        <v>4.2</v>
      </c>
      <c r="H324" t="n">
        <v>0</v>
      </c>
      <c r="I324" t="n">
        <v>0</v>
      </c>
      <c r="J324" t="n">
        <v>0</v>
      </c>
      <c r="K324" t="n">
        <v>0</v>
      </c>
      <c r="L324" t="n">
        <v>0</v>
      </c>
      <c r="M324" t="n">
        <v>0</v>
      </c>
      <c r="N324" t="n">
        <v>0</v>
      </c>
      <c r="O324" t="n">
        <v>0</v>
      </c>
      <c r="P324" t="n">
        <v>0</v>
      </c>
      <c r="Q324" t="n">
        <v>0</v>
      </c>
      <c r="R324" s="2" t="inlineStr"/>
    </row>
    <row r="325" ht="15" customHeight="1">
      <c r="A325" t="inlineStr">
        <is>
          <t>A 40971-2025</t>
        </is>
      </c>
      <c r="B325" s="1" t="n">
        <v>45897.88836805556</v>
      </c>
      <c r="C325" s="1" t="n">
        <v>45989</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16020-2023</t>
        </is>
      </c>
      <c r="B326" s="1" t="n">
        <v>45026.82216435186</v>
      </c>
      <c r="C326" s="1" t="n">
        <v>45989</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45989</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45989</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41591-2025</t>
        </is>
      </c>
      <c r="B329" s="1" t="n">
        <v>45901.6327662037</v>
      </c>
      <c r="C329" s="1" t="n">
        <v>45989</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60292-2022</t>
        </is>
      </c>
      <c r="B330" s="1" t="n">
        <v>44910.54231481482</v>
      </c>
      <c r="C330" s="1" t="n">
        <v>45989</v>
      </c>
      <c r="D330" t="inlineStr">
        <is>
          <t>KALMAR LÄN</t>
        </is>
      </c>
      <c r="E330" t="inlineStr">
        <is>
          <t>VIMMERBY</t>
        </is>
      </c>
      <c r="G330" t="n">
        <v>4.4</v>
      </c>
      <c r="H330" t="n">
        <v>0</v>
      </c>
      <c r="I330" t="n">
        <v>0</v>
      </c>
      <c r="J330" t="n">
        <v>0</v>
      </c>
      <c r="K330" t="n">
        <v>0</v>
      </c>
      <c r="L330" t="n">
        <v>0</v>
      </c>
      <c r="M330" t="n">
        <v>0</v>
      </c>
      <c r="N330" t="n">
        <v>0</v>
      </c>
      <c r="O330" t="n">
        <v>0</v>
      </c>
      <c r="P330" t="n">
        <v>0</v>
      </c>
      <c r="Q330" t="n">
        <v>0</v>
      </c>
      <c r="R330" s="2" t="inlineStr"/>
    </row>
    <row r="331" ht="15" customHeight="1">
      <c r="A331" t="inlineStr">
        <is>
          <t>A 41589-2025</t>
        </is>
      </c>
      <c r="B331" s="1" t="n">
        <v>45901.63219907408</v>
      </c>
      <c r="C331" s="1" t="n">
        <v>45989</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43034-2024</t>
        </is>
      </c>
      <c r="B332" s="1" t="n">
        <v>45567.42011574074</v>
      </c>
      <c r="C332" s="1" t="n">
        <v>45989</v>
      </c>
      <c r="D332" t="inlineStr">
        <is>
          <t>KALMAR LÄN</t>
        </is>
      </c>
      <c r="E332" t="inlineStr">
        <is>
          <t>VIMMERBY</t>
        </is>
      </c>
      <c r="G332" t="n">
        <v>1.8</v>
      </c>
      <c r="H332" t="n">
        <v>0</v>
      </c>
      <c r="I332" t="n">
        <v>0</v>
      </c>
      <c r="J332" t="n">
        <v>0</v>
      </c>
      <c r="K332" t="n">
        <v>0</v>
      </c>
      <c r="L332" t="n">
        <v>0</v>
      </c>
      <c r="M332" t="n">
        <v>0</v>
      </c>
      <c r="N332" t="n">
        <v>0</v>
      </c>
      <c r="O332" t="n">
        <v>0</v>
      </c>
      <c r="P332" t="n">
        <v>0</v>
      </c>
      <c r="Q332" t="n">
        <v>0</v>
      </c>
      <c r="R332" s="2" t="inlineStr"/>
    </row>
    <row r="333" ht="15" customHeight="1">
      <c r="A333" t="inlineStr">
        <is>
          <t>A 40256-2024</t>
        </is>
      </c>
      <c r="B333" s="1" t="n">
        <v>45554.62944444444</v>
      </c>
      <c r="C333" s="1" t="n">
        <v>45989</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28713-2025</t>
        </is>
      </c>
      <c r="B334" s="1" t="n">
        <v>45820.33930555556</v>
      </c>
      <c r="C334" s="1" t="n">
        <v>45989</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34090-2025</t>
        </is>
      </c>
      <c r="B335" s="1" t="n">
        <v>45845</v>
      </c>
      <c r="C335" s="1" t="n">
        <v>45989</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28712-2025</t>
        </is>
      </c>
      <c r="B336" s="1" t="n">
        <v>45820.33708333333</v>
      </c>
      <c r="C336" s="1" t="n">
        <v>45989</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28714-2025</t>
        </is>
      </c>
      <c r="B337" s="1" t="n">
        <v>45820.34128472222</v>
      </c>
      <c r="C337" s="1" t="n">
        <v>45989</v>
      </c>
      <c r="D337" t="inlineStr">
        <is>
          <t>KALMAR LÄN</t>
        </is>
      </c>
      <c r="E337" t="inlineStr">
        <is>
          <t>VIMMERBY</t>
        </is>
      </c>
      <c r="G337" t="n">
        <v>1.8</v>
      </c>
      <c r="H337" t="n">
        <v>0</v>
      </c>
      <c r="I337" t="n">
        <v>0</v>
      </c>
      <c r="J337" t="n">
        <v>0</v>
      </c>
      <c r="K337" t="n">
        <v>0</v>
      </c>
      <c r="L337" t="n">
        <v>0</v>
      </c>
      <c r="M337" t="n">
        <v>0</v>
      </c>
      <c r="N337" t="n">
        <v>0</v>
      </c>
      <c r="O337" t="n">
        <v>0</v>
      </c>
      <c r="P337" t="n">
        <v>0</v>
      </c>
      <c r="Q337" t="n">
        <v>0</v>
      </c>
      <c r="R337" s="2" t="inlineStr"/>
    </row>
    <row r="338" ht="15" customHeight="1">
      <c r="A338" t="inlineStr">
        <is>
          <t>A 28620-2025</t>
        </is>
      </c>
      <c r="B338" s="1" t="n">
        <v>45819.61060185185</v>
      </c>
      <c r="C338" s="1" t="n">
        <v>45989</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41735-2025</t>
        </is>
      </c>
      <c r="B339" s="1" t="n">
        <v>45902.47164351852</v>
      </c>
      <c r="C339" s="1" t="n">
        <v>45989</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43093-2024</t>
        </is>
      </c>
      <c r="B340" s="1" t="n">
        <v>45567</v>
      </c>
      <c r="C340" s="1" t="n">
        <v>45989</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35198-2023</t>
        </is>
      </c>
      <c r="B341" s="1" t="n">
        <v>45145</v>
      </c>
      <c r="C341" s="1" t="n">
        <v>45989</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29727-2025</t>
        </is>
      </c>
      <c r="B342" s="1" t="n">
        <v>45825.5796875</v>
      </c>
      <c r="C342" s="1" t="n">
        <v>45989</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29737-2025</t>
        </is>
      </c>
      <c r="B343" s="1" t="n">
        <v>45825.58672453704</v>
      </c>
      <c r="C343" s="1" t="n">
        <v>45989</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58374-2024</t>
        </is>
      </c>
      <c r="B344" s="1" t="n">
        <v>45632.72635416667</v>
      </c>
      <c r="C344" s="1" t="n">
        <v>45989</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55300-2021</t>
        </is>
      </c>
      <c r="B345" s="1" t="n">
        <v>44475</v>
      </c>
      <c r="C345" s="1" t="n">
        <v>45989</v>
      </c>
      <c r="D345" t="inlineStr">
        <is>
          <t>KALMAR LÄN</t>
        </is>
      </c>
      <c r="E345" t="inlineStr">
        <is>
          <t>VIMMERBY</t>
        </is>
      </c>
      <c r="G345" t="n">
        <v>3.4</v>
      </c>
      <c r="H345" t="n">
        <v>0</v>
      </c>
      <c r="I345" t="n">
        <v>0</v>
      </c>
      <c r="J345" t="n">
        <v>0</v>
      </c>
      <c r="K345" t="n">
        <v>0</v>
      </c>
      <c r="L345" t="n">
        <v>0</v>
      </c>
      <c r="M345" t="n">
        <v>0</v>
      </c>
      <c r="N345" t="n">
        <v>0</v>
      </c>
      <c r="O345" t="n">
        <v>0</v>
      </c>
      <c r="P345" t="n">
        <v>0</v>
      </c>
      <c r="Q345" t="n">
        <v>0</v>
      </c>
      <c r="R345" s="2" t="inlineStr"/>
    </row>
    <row r="346" ht="15" customHeight="1">
      <c r="A346" t="inlineStr">
        <is>
          <t>A 42828-2025</t>
        </is>
      </c>
      <c r="B346" s="1" t="n">
        <v>45908.57716435185</v>
      </c>
      <c r="C346" s="1" t="n">
        <v>45989</v>
      </c>
      <c r="D346" t="inlineStr">
        <is>
          <t>KALMAR LÄN</t>
        </is>
      </c>
      <c r="E346" t="inlineStr">
        <is>
          <t>VIMMERBY</t>
        </is>
      </c>
      <c r="G346" t="n">
        <v>5.2</v>
      </c>
      <c r="H346" t="n">
        <v>0</v>
      </c>
      <c r="I346" t="n">
        <v>0</v>
      </c>
      <c r="J346" t="n">
        <v>0</v>
      </c>
      <c r="K346" t="n">
        <v>0</v>
      </c>
      <c r="L346" t="n">
        <v>0</v>
      </c>
      <c r="M346" t="n">
        <v>0</v>
      </c>
      <c r="N346" t="n">
        <v>0</v>
      </c>
      <c r="O346" t="n">
        <v>0</v>
      </c>
      <c r="P346" t="n">
        <v>0</v>
      </c>
      <c r="Q346" t="n">
        <v>0</v>
      </c>
      <c r="R346" s="2" t="inlineStr"/>
    </row>
    <row r="347" ht="15" customHeight="1">
      <c r="A347" t="inlineStr">
        <is>
          <t>A 47263-2023</t>
        </is>
      </c>
      <c r="B347" s="1" t="n">
        <v>45202.4209837963</v>
      </c>
      <c r="C347" s="1" t="n">
        <v>45989</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30293-2025</t>
        </is>
      </c>
      <c r="B348" s="1" t="n">
        <v>45827</v>
      </c>
      <c r="C348" s="1" t="n">
        <v>45989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42794-2025</t>
        </is>
      </c>
      <c r="B349" s="1" t="n">
        <v>45908</v>
      </c>
      <c r="C349" s="1" t="n">
        <v>45989</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2536-2023</t>
        </is>
      </c>
      <c r="B350" s="1" t="n">
        <v>44943.62954861111</v>
      </c>
      <c r="C350" s="1" t="n">
        <v>45989</v>
      </c>
      <c r="D350" t="inlineStr">
        <is>
          <t>KALMAR LÄN</t>
        </is>
      </c>
      <c r="E350" t="inlineStr">
        <is>
          <t>VIMMERBY</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2801-2023</t>
        </is>
      </c>
      <c r="B351" s="1" t="n">
        <v>44944.73487268519</v>
      </c>
      <c r="C351" s="1" t="n">
        <v>45989</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30290-2025</t>
        </is>
      </c>
      <c r="B352" s="1" t="n">
        <v>45827</v>
      </c>
      <c r="C352" s="1" t="n">
        <v>45989</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51062-2025</t>
        </is>
      </c>
      <c r="B353" s="1" t="n">
        <v>45947.44685185186</v>
      </c>
      <c r="C353" s="1" t="n">
        <v>45989</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17968-2025</t>
        </is>
      </c>
      <c r="B354" s="1" t="n">
        <v>45761.35990740741</v>
      </c>
      <c r="C354" s="1" t="n">
        <v>45989</v>
      </c>
      <c r="D354" t="inlineStr">
        <is>
          <t>KALMAR LÄN</t>
        </is>
      </c>
      <c r="E354" t="inlineStr">
        <is>
          <t>VIMMERBY</t>
        </is>
      </c>
      <c r="G354" t="n">
        <v>3.3</v>
      </c>
      <c r="H354" t="n">
        <v>0</v>
      </c>
      <c r="I354" t="n">
        <v>0</v>
      </c>
      <c r="J354" t="n">
        <v>0</v>
      </c>
      <c r="K354" t="n">
        <v>0</v>
      </c>
      <c r="L354" t="n">
        <v>0</v>
      </c>
      <c r="M354" t="n">
        <v>0</v>
      </c>
      <c r="N354" t="n">
        <v>0</v>
      </c>
      <c r="O354" t="n">
        <v>0</v>
      </c>
      <c r="P354" t="n">
        <v>0</v>
      </c>
      <c r="Q354" t="n">
        <v>0</v>
      </c>
      <c r="R354" s="2" t="inlineStr"/>
    </row>
    <row r="355" ht="15" customHeight="1">
      <c r="A355" t="inlineStr">
        <is>
          <t>A 30850-2025</t>
        </is>
      </c>
      <c r="B355" s="1" t="n">
        <v>45831</v>
      </c>
      <c r="C355" s="1" t="n">
        <v>45989</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42820-2025</t>
        </is>
      </c>
      <c r="B356" s="1" t="n">
        <v>45908</v>
      </c>
      <c r="C356" s="1" t="n">
        <v>45989</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14451-2024</t>
        </is>
      </c>
      <c r="B357" s="1" t="n">
        <v>45394.50028935185</v>
      </c>
      <c r="C357" s="1" t="n">
        <v>45989</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46238-2024</t>
        </is>
      </c>
      <c r="B358" s="1" t="n">
        <v>45581.58418981481</v>
      </c>
      <c r="C358" s="1" t="n">
        <v>45989</v>
      </c>
      <c r="D358" t="inlineStr">
        <is>
          <t>KALMAR LÄN</t>
        </is>
      </c>
      <c r="E358" t="inlineStr">
        <is>
          <t>VIMMERBY</t>
        </is>
      </c>
      <c r="G358" t="n">
        <v>2.1</v>
      </c>
      <c r="H358" t="n">
        <v>0</v>
      </c>
      <c r="I358" t="n">
        <v>0</v>
      </c>
      <c r="J358" t="n">
        <v>0</v>
      </c>
      <c r="K358" t="n">
        <v>0</v>
      </c>
      <c r="L358" t="n">
        <v>0</v>
      </c>
      <c r="M358" t="n">
        <v>0</v>
      </c>
      <c r="N358" t="n">
        <v>0</v>
      </c>
      <c r="O358" t="n">
        <v>0</v>
      </c>
      <c r="P358" t="n">
        <v>0</v>
      </c>
      <c r="Q358" t="n">
        <v>0</v>
      </c>
      <c r="R358" s="2" t="inlineStr"/>
    </row>
    <row r="359" ht="15" customHeight="1">
      <c r="A359" t="inlineStr">
        <is>
          <t>A 30882-2025</t>
        </is>
      </c>
      <c r="B359" s="1" t="n">
        <v>45832.34540509259</v>
      </c>
      <c r="C359" s="1" t="n">
        <v>45989</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30971-2025</t>
        </is>
      </c>
      <c r="B360" s="1" t="n">
        <v>45832.46146990741</v>
      </c>
      <c r="C360" s="1" t="n">
        <v>45989</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50993-2022</t>
        </is>
      </c>
      <c r="B361" s="1" t="n">
        <v>44867</v>
      </c>
      <c r="C361" s="1" t="n">
        <v>45989</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46225-2024</t>
        </is>
      </c>
      <c r="B362" s="1" t="n">
        <v>45581.57333333333</v>
      </c>
      <c r="C362" s="1" t="n">
        <v>45989</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36055-2024</t>
        </is>
      </c>
      <c r="B363" s="1" t="n">
        <v>45533.63056712963</v>
      </c>
      <c r="C363" s="1" t="n">
        <v>45989</v>
      </c>
      <c r="D363" t="inlineStr">
        <is>
          <t>KALMAR LÄN</t>
        </is>
      </c>
      <c r="E363" t="inlineStr">
        <is>
          <t>VIMMERBY</t>
        </is>
      </c>
      <c r="F363" t="inlineStr">
        <is>
          <t>Kommuner</t>
        </is>
      </c>
      <c r="G363" t="n">
        <v>1.9</v>
      </c>
      <c r="H363" t="n">
        <v>0</v>
      </c>
      <c r="I363" t="n">
        <v>0</v>
      </c>
      <c r="J363" t="n">
        <v>0</v>
      </c>
      <c r="K363" t="n">
        <v>0</v>
      </c>
      <c r="L363" t="n">
        <v>0</v>
      </c>
      <c r="M363" t="n">
        <v>0</v>
      </c>
      <c r="N363" t="n">
        <v>0</v>
      </c>
      <c r="O363" t="n">
        <v>0</v>
      </c>
      <c r="P363" t="n">
        <v>0</v>
      </c>
      <c r="Q363" t="n">
        <v>0</v>
      </c>
      <c r="R363" s="2" t="inlineStr"/>
    </row>
    <row r="364" ht="15" customHeight="1">
      <c r="A364" t="inlineStr">
        <is>
          <t>A 31552-2025</t>
        </is>
      </c>
      <c r="B364" s="1" t="n">
        <v>45833.64563657407</v>
      </c>
      <c r="C364" s="1" t="n">
        <v>45989</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31555-2025</t>
        </is>
      </c>
      <c r="B365" s="1" t="n">
        <v>45833.64814814815</v>
      </c>
      <c r="C365" s="1" t="n">
        <v>45989</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34060-2025</t>
        </is>
      </c>
      <c r="B366" s="1" t="n">
        <v>45845.42015046296</v>
      </c>
      <c r="C366" s="1" t="n">
        <v>45989</v>
      </c>
      <c r="D366" t="inlineStr">
        <is>
          <t>KALMAR LÄN</t>
        </is>
      </c>
      <c r="E366" t="inlineStr">
        <is>
          <t>VIMMERBY</t>
        </is>
      </c>
      <c r="G366" t="n">
        <v>5.7</v>
      </c>
      <c r="H366" t="n">
        <v>0</v>
      </c>
      <c r="I366" t="n">
        <v>0</v>
      </c>
      <c r="J366" t="n">
        <v>0</v>
      </c>
      <c r="K366" t="n">
        <v>0</v>
      </c>
      <c r="L366" t="n">
        <v>0</v>
      </c>
      <c r="M366" t="n">
        <v>0</v>
      </c>
      <c r="N366" t="n">
        <v>0</v>
      </c>
      <c r="O366" t="n">
        <v>0</v>
      </c>
      <c r="P366" t="n">
        <v>0</v>
      </c>
      <c r="Q366" t="n">
        <v>0</v>
      </c>
      <c r="R366" s="2" t="inlineStr"/>
    </row>
    <row r="367" ht="15" customHeight="1">
      <c r="A367" t="inlineStr">
        <is>
          <t>A 47859-2024</t>
        </is>
      </c>
      <c r="B367" s="1" t="n">
        <v>45588.67070601852</v>
      </c>
      <c r="C367" s="1" t="n">
        <v>45989</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51990-2025</t>
        </is>
      </c>
      <c r="B368" s="1" t="n">
        <v>45952.58061342593</v>
      </c>
      <c r="C368" s="1" t="n">
        <v>45989</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32835-2022</t>
        </is>
      </c>
      <c r="B369" s="1" t="n">
        <v>44784.42528935185</v>
      </c>
      <c r="C369" s="1" t="n">
        <v>45989</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31870-2025</t>
        </is>
      </c>
      <c r="B370" s="1" t="n">
        <v>45834.64667824074</v>
      </c>
      <c r="C370" s="1" t="n">
        <v>45989</v>
      </c>
      <c r="D370" t="inlineStr">
        <is>
          <t>KALMAR LÄN</t>
        </is>
      </c>
      <c r="E370" t="inlineStr">
        <is>
          <t>VIMMERBY</t>
        </is>
      </c>
      <c r="F370" t="inlineStr">
        <is>
          <t>Sveaskog</t>
        </is>
      </c>
      <c r="G370" t="n">
        <v>3.5</v>
      </c>
      <c r="H370" t="n">
        <v>0</v>
      </c>
      <c r="I370" t="n">
        <v>0</v>
      </c>
      <c r="J370" t="n">
        <v>0</v>
      </c>
      <c r="K370" t="n">
        <v>0</v>
      </c>
      <c r="L370" t="n">
        <v>0</v>
      </c>
      <c r="M370" t="n">
        <v>0</v>
      </c>
      <c r="N370" t="n">
        <v>0</v>
      </c>
      <c r="O370" t="n">
        <v>0</v>
      </c>
      <c r="P370" t="n">
        <v>0</v>
      </c>
      <c r="Q370" t="n">
        <v>0</v>
      </c>
      <c r="R370" s="2" t="inlineStr"/>
    </row>
    <row r="371" ht="15" customHeight="1">
      <c r="A371" t="inlineStr">
        <is>
          <t>A 51993-2025</t>
        </is>
      </c>
      <c r="B371" s="1" t="n">
        <v>45952.58194444444</v>
      </c>
      <c r="C371" s="1" t="n">
        <v>45989</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41896-2023</t>
        </is>
      </c>
      <c r="B372" s="1" t="n">
        <v>45176.72427083334</v>
      </c>
      <c r="C372" s="1" t="n">
        <v>45989</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8559-2025</t>
        </is>
      </c>
      <c r="B373" s="1" t="n">
        <v>45709.62280092593</v>
      </c>
      <c r="C373" s="1" t="n">
        <v>45989</v>
      </c>
      <c r="D373" t="inlineStr">
        <is>
          <t>KALMAR LÄN</t>
        </is>
      </c>
      <c r="E373" t="inlineStr">
        <is>
          <t>VIMMERBY</t>
        </is>
      </c>
      <c r="G373" t="n">
        <v>8.9</v>
      </c>
      <c r="H373" t="n">
        <v>0</v>
      </c>
      <c r="I373" t="n">
        <v>0</v>
      </c>
      <c r="J373" t="n">
        <v>0</v>
      </c>
      <c r="K373" t="n">
        <v>0</v>
      </c>
      <c r="L373" t="n">
        <v>0</v>
      </c>
      <c r="M373" t="n">
        <v>0</v>
      </c>
      <c r="N373" t="n">
        <v>0</v>
      </c>
      <c r="O373" t="n">
        <v>0</v>
      </c>
      <c r="P373" t="n">
        <v>0</v>
      </c>
      <c r="Q373" t="n">
        <v>0</v>
      </c>
      <c r="R373" s="2" t="inlineStr"/>
    </row>
    <row r="374" ht="15" customHeight="1">
      <c r="A374" t="inlineStr">
        <is>
          <t>A 31872-2025</t>
        </is>
      </c>
      <c r="B374" s="1" t="n">
        <v>45834.65040509259</v>
      </c>
      <c r="C374" s="1" t="n">
        <v>45989</v>
      </c>
      <c r="D374" t="inlineStr">
        <is>
          <t>KALMAR LÄN</t>
        </is>
      </c>
      <c r="E374" t="inlineStr">
        <is>
          <t>VIMMERBY</t>
        </is>
      </c>
      <c r="F374" t="inlineStr">
        <is>
          <t>Sveaskog</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31876-2025</t>
        </is>
      </c>
      <c r="B375" s="1" t="n">
        <v>45834.65197916667</v>
      </c>
      <c r="C375" s="1" t="n">
        <v>45989</v>
      </c>
      <c r="D375" t="inlineStr">
        <is>
          <t>KALMAR LÄN</t>
        </is>
      </c>
      <c r="E375" t="inlineStr">
        <is>
          <t>VIMMERBY</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43606-2024</t>
        </is>
      </c>
      <c r="B376" s="1" t="n">
        <v>45569.45017361111</v>
      </c>
      <c r="C376" s="1" t="n">
        <v>45989</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45989</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43617-2025</t>
        </is>
      </c>
      <c r="B378" s="1" t="n">
        <v>45911.67798611111</v>
      </c>
      <c r="C378" s="1" t="n">
        <v>45989</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8945-2025</t>
        </is>
      </c>
      <c r="B379" s="1" t="n">
        <v>45713.45311342592</v>
      </c>
      <c r="C379" s="1" t="n">
        <v>45989</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31551-2025</t>
        </is>
      </c>
      <c r="B380" s="1" t="n">
        <v>45833.64237268519</v>
      </c>
      <c r="C380" s="1" t="n">
        <v>45989</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52465-2025</t>
        </is>
      </c>
      <c r="B381" s="1" t="n">
        <v>45954.44543981482</v>
      </c>
      <c r="C381" s="1" t="n">
        <v>45989</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31987-2025</t>
        </is>
      </c>
      <c r="B382" s="1" t="n">
        <v>45835.36229166666</v>
      </c>
      <c r="C382" s="1" t="n">
        <v>45989</v>
      </c>
      <c r="D382" t="inlineStr">
        <is>
          <t>KALMAR LÄN</t>
        </is>
      </c>
      <c r="E382" t="inlineStr">
        <is>
          <t>VIMMERBY</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32120-2025</t>
        </is>
      </c>
      <c r="B383" s="1" t="n">
        <v>45835.4924537037</v>
      </c>
      <c r="C383" s="1" t="n">
        <v>45989</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40665-2023</t>
        </is>
      </c>
      <c r="B384" s="1" t="n">
        <v>45170</v>
      </c>
      <c r="C384" s="1" t="n">
        <v>45989</v>
      </c>
      <c r="D384" t="inlineStr">
        <is>
          <t>KALMAR LÄN</t>
        </is>
      </c>
      <c r="E384" t="inlineStr">
        <is>
          <t>VIMMERBY</t>
        </is>
      </c>
      <c r="G384" t="n">
        <v>2.6</v>
      </c>
      <c r="H384" t="n">
        <v>0</v>
      </c>
      <c r="I384" t="n">
        <v>0</v>
      </c>
      <c r="J384" t="n">
        <v>0</v>
      </c>
      <c r="K384" t="n">
        <v>0</v>
      </c>
      <c r="L384" t="n">
        <v>0</v>
      </c>
      <c r="M384" t="n">
        <v>0</v>
      </c>
      <c r="N384" t="n">
        <v>0</v>
      </c>
      <c r="O384" t="n">
        <v>0</v>
      </c>
      <c r="P384" t="n">
        <v>0</v>
      </c>
      <c r="Q384" t="n">
        <v>0</v>
      </c>
      <c r="R384" s="2" t="inlineStr"/>
    </row>
    <row r="385" ht="15" customHeight="1">
      <c r="A385" t="inlineStr">
        <is>
          <t>A 13307-2025</t>
        </is>
      </c>
      <c r="B385" s="1" t="n">
        <v>45735.58024305556</v>
      </c>
      <c r="C385" s="1" t="n">
        <v>45989</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52451-2025</t>
        </is>
      </c>
      <c r="B386" s="1" t="n">
        <v>45954.42326388889</v>
      </c>
      <c r="C386" s="1" t="n">
        <v>45989</v>
      </c>
      <c r="D386" t="inlineStr">
        <is>
          <t>KALMAR LÄN</t>
        </is>
      </c>
      <c r="E386" t="inlineStr">
        <is>
          <t>VIMMERBY</t>
        </is>
      </c>
      <c r="G386" t="n">
        <v>2.8</v>
      </c>
      <c r="H386" t="n">
        <v>0</v>
      </c>
      <c r="I386" t="n">
        <v>0</v>
      </c>
      <c r="J386" t="n">
        <v>0</v>
      </c>
      <c r="K386" t="n">
        <v>0</v>
      </c>
      <c r="L386" t="n">
        <v>0</v>
      </c>
      <c r="M386" t="n">
        <v>0</v>
      </c>
      <c r="N386" t="n">
        <v>0</v>
      </c>
      <c r="O386" t="n">
        <v>0</v>
      </c>
      <c r="P386" t="n">
        <v>0</v>
      </c>
      <c r="Q386" t="n">
        <v>0</v>
      </c>
      <c r="R386" s="2" t="inlineStr"/>
    </row>
    <row r="387" ht="15" customHeight="1">
      <c r="A387" t="inlineStr">
        <is>
          <t>A 28034-2022</t>
        </is>
      </c>
      <c r="B387" s="1" t="n">
        <v>44746.38834490741</v>
      </c>
      <c r="C387" s="1" t="n">
        <v>45989</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32116-2025</t>
        </is>
      </c>
      <c r="B388" s="1" t="n">
        <v>45835.48862268519</v>
      </c>
      <c r="C388" s="1" t="n">
        <v>45989</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43465-2025</t>
        </is>
      </c>
      <c r="B389" s="1" t="n">
        <v>45911.47138888889</v>
      </c>
      <c r="C389" s="1" t="n">
        <v>45989</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52473-2025</t>
        </is>
      </c>
      <c r="B390" s="1" t="n">
        <v>45954.45947916667</v>
      </c>
      <c r="C390" s="1" t="n">
        <v>45989</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52480-2025</t>
        </is>
      </c>
      <c r="B391" s="1" t="n">
        <v>45954.47172453703</v>
      </c>
      <c r="C391" s="1" t="n">
        <v>45989</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52466-2025</t>
        </is>
      </c>
      <c r="B392" s="1" t="n">
        <v>45954.44707175926</v>
      </c>
      <c r="C392" s="1" t="n">
        <v>45989</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32380-2025</t>
        </is>
      </c>
      <c r="B393" s="1" t="n">
        <v>45837.77701388889</v>
      </c>
      <c r="C393" s="1" t="n">
        <v>45989</v>
      </c>
      <c r="D393" t="inlineStr">
        <is>
          <t>KALMAR LÄN</t>
        </is>
      </c>
      <c r="E393" t="inlineStr">
        <is>
          <t>VIMMERBY</t>
        </is>
      </c>
      <c r="G393" t="n">
        <v>3.1</v>
      </c>
      <c r="H393" t="n">
        <v>0</v>
      </c>
      <c r="I393" t="n">
        <v>0</v>
      </c>
      <c r="J393" t="n">
        <v>0</v>
      </c>
      <c r="K393" t="n">
        <v>0</v>
      </c>
      <c r="L393" t="n">
        <v>0</v>
      </c>
      <c r="M393" t="n">
        <v>0</v>
      </c>
      <c r="N393" t="n">
        <v>0</v>
      </c>
      <c r="O393" t="n">
        <v>0</v>
      </c>
      <c r="P393" t="n">
        <v>0</v>
      </c>
      <c r="Q393" t="n">
        <v>0</v>
      </c>
      <c r="R393" s="2" t="inlineStr"/>
    </row>
    <row r="394" ht="15" customHeight="1">
      <c r="A394" t="inlineStr">
        <is>
          <t>A 32109-2025</t>
        </is>
      </c>
      <c r="B394" s="1" t="n">
        <v>45835.48267361111</v>
      </c>
      <c r="C394" s="1" t="n">
        <v>45989</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32113-2025</t>
        </is>
      </c>
      <c r="B395" s="1" t="n">
        <v>45835.48445601852</v>
      </c>
      <c r="C395" s="1" t="n">
        <v>45989</v>
      </c>
      <c r="D395" t="inlineStr">
        <is>
          <t>KALMAR LÄN</t>
        </is>
      </c>
      <c r="E395" t="inlineStr">
        <is>
          <t>VIMMERBY</t>
        </is>
      </c>
      <c r="G395" t="n">
        <v>3.5</v>
      </c>
      <c r="H395" t="n">
        <v>0</v>
      </c>
      <c r="I395" t="n">
        <v>0</v>
      </c>
      <c r="J395" t="n">
        <v>0</v>
      </c>
      <c r="K395" t="n">
        <v>0</v>
      </c>
      <c r="L395" t="n">
        <v>0</v>
      </c>
      <c r="M395" t="n">
        <v>0</v>
      </c>
      <c r="N395" t="n">
        <v>0</v>
      </c>
      <c r="O395" t="n">
        <v>0</v>
      </c>
      <c r="P395" t="n">
        <v>0</v>
      </c>
      <c r="Q395" t="n">
        <v>0</v>
      </c>
      <c r="R395" s="2" t="inlineStr"/>
    </row>
    <row r="396" ht="15" customHeight="1">
      <c r="A396" t="inlineStr">
        <is>
          <t>A 55605-2024</t>
        </is>
      </c>
      <c r="B396" s="1" t="n">
        <v>45622</v>
      </c>
      <c r="C396" s="1" t="n">
        <v>45989</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42165-2024</t>
        </is>
      </c>
      <c r="B397" s="1" t="n">
        <v>45562.46342592593</v>
      </c>
      <c r="C397" s="1" t="n">
        <v>45989</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45989</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20129-2024</t>
        </is>
      </c>
      <c r="B399" s="1" t="n">
        <v>45434.55831018519</v>
      </c>
      <c r="C399" s="1" t="n">
        <v>45989</v>
      </c>
      <c r="D399" t="inlineStr">
        <is>
          <t>KALMAR LÄN</t>
        </is>
      </c>
      <c r="E399" t="inlineStr">
        <is>
          <t>VIMMERBY</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20137-2024</t>
        </is>
      </c>
      <c r="B400" s="1" t="n">
        <v>45434.56398148148</v>
      </c>
      <c r="C400" s="1" t="n">
        <v>45989</v>
      </c>
      <c r="D400" t="inlineStr">
        <is>
          <t>KALMAR LÄN</t>
        </is>
      </c>
      <c r="E400" t="inlineStr">
        <is>
          <t>VIMMERBY</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32064-2025</t>
        </is>
      </c>
      <c r="B401" s="1" t="n">
        <v>45835.44709490741</v>
      </c>
      <c r="C401" s="1" t="n">
        <v>45989</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32065-2025</t>
        </is>
      </c>
      <c r="B402" s="1" t="n">
        <v>45835.44732638889</v>
      </c>
      <c r="C402" s="1" t="n">
        <v>45989</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23095-2023</t>
        </is>
      </c>
      <c r="B403" s="1" t="n">
        <v>45075.43059027778</v>
      </c>
      <c r="C403" s="1" t="n">
        <v>45989</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32919-2022</t>
        </is>
      </c>
      <c r="B404" s="1" t="n">
        <v>44784.62724537037</v>
      </c>
      <c r="C404" s="1" t="n">
        <v>45989</v>
      </c>
      <c r="D404" t="inlineStr">
        <is>
          <t>KALMAR LÄN</t>
        </is>
      </c>
      <c r="E404" t="inlineStr">
        <is>
          <t>VIMMERBY</t>
        </is>
      </c>
      <c r="G404" t="n">
        <v>1.7</v>
      </c>
      <c r="H404" t="n">
        <v>0</v>
      </c>
      <c r="I404" t="n">
        <v>0</v>
      </c>
      <c r="J404" t="n">
        <v>0</v>
      </c>
      <c r="K404" t="n">
        <v>0</v>
      </c>
      <c r="L404" t="n">
        <v>0</v>
      </c>
      <c r="M404" t="n">
        <v>0</v>
      </c>
      <c r="N404" t="n">
        <v>0</v>
      </c>
      <c r="O404" t="n">
        <v>0</v>
      </c>
      <c r="P404" t="n">
        <v>0</v>
      </c>
      <c r="Q404" t="n">
        <v>0</v>
      </c>
      <c r="R404" s="2" t="inlineStr"/>
    </row>
    <row r="405" ht="15" customHeight="1">
      <c r="A405" t="inlineStr">
        <is>
          <t>A 33186-2025</t>
        </is>
      </c>
      <c r="B405" s="1" t="n">
        <v>45840.59474537037</v>
      </c>
      <c r="C405" s="1" t="n">
        <v>45989</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52475-2025</t>
        </is>
      </c>
      <c r="B406" s="1" t="n">
        <v>45954.468125</v>
      </c>
      <c r="C406" s="1" t="n">
        <v>45989</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52516-2025</t>
        </is>
      </c>
      <c r="B407" s="1" t="n">
        <v>45954.51412037037</v>
      </c>
      <c r="C407" s="1" t="n">
        <v>45989</v>
      </c>
      <c r="D407" t="inlineStr">
        <is>
          <t>KALMAR LÄN</t>
        </is>
      </c>
      <c r="E407" t="inlineStr">
        <is>
          <t>VIMMERBY</t>
        </is>
      </c>
      <c r="G407" t="n">
        <v>2.8</v>
      </c>
      <c r="H407" t="n">
        <v>0</v>
      </c>
      <c r="I407" t="n">
        <v>0</v>
      </c>
      <c r="J407" t="n">
        <v>0</v>
      </c>
      <c r="K407" t="n">
        <v>0</v>
      </c>
      <c r="L407" t="n">
        <v>0</v>
      </c>
      <c r="M407" t="n">
        <v>0</v>
      </c>
      <c r="N407" t="n">
        <v>0</v>
      </c>
      <c r="O407" t="n">
        <v>0</v>
      </c>
      <c r="P407" t="n">
        <v>0</v>
      </c>
      <c r="Q407" t="n">
        <v>0</v>
      </c>
      <c r="R407" s="2" t="inlineStr"/>
    </row>
    <row r="408" ht="15" customHeight="1">
      <c r="A408" t="inlineStr">
        <is>
          <t>A 44329-2025</t>
        </is>
      </c>
      <c r="B408" s="1" t="n">
        <v>45916.41019675926</v>
      </c>
      <c r="C408" s="1" t="n">
        <v>45989</v>
      </c>
      <c r="D408" t="inlineStr">
        <is>
          <t>KALMAR LÄN</t>
        </is>
      </c>
      <c r="E408" t="inlineStr">
        <is>
          <t>VIMMERBY</t>
        </is>
      </c>
      <c r="G408" t="n">
        <v>4.3</v>
      </c>
      <c r="H408" t="n">
        <v>0</v>
      </c>
      <c r="I408" t="n">
        <v>0</v>
      </c>
      <c r="J408" t="n">
        <v>0</v>
      </c>
      <c r="K408" t="n">
        <v>0</v>
      </c>
      <c r="L408" t="n">
        <v>0</v>
      </c>
      <c r="M408" t="n">
        <v>0</v>
      </c>
      <c r="N408" t="n">
        <v>0</v>
      </c>
      <c r="O408" t="n">
        <v>0</v>
      </c>
      <c r="P408" t="n">
        <v>0</v>
      </c>
      <c r="Q408" t="n">
        <v>0</v>
      </c>
      <c r="R408" s="2" t="inlineStr"/>
    </row>
    <row r="409" ht="15" customHeight="1">
      <c r="A409" t="inlineStr">
        <is>
          <t>A 30977-2025</t>
        </is>
      </c>
      <c r="B409" s="1" t="n">
        <v>45832.46649305556</v>
      </c>
      <c r="C409" s="1" t="n">
        <v>45989</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7068-2024</t>
        </is>
      </c>
      <c r="B410" s="1" t="n">
        <v>45343.68038194445</v>
      </c>
      <c r="C410" s="1" t="n">
        <v>45989</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12596-2021</t>
        </is>
      </c>
      <c r="B411" s="1" t="n">
        <v>44270.39765046296</v>
      </c>
      <c r="C411" s="1" t="n">
        <v>45989</v>
      </c>
      <c r="D411" t="inlineStr">
        <is>
          <t>KALMAR LÄN</t>
        </is>
      </c>
      <c r="E411" t="inlineStr">
        <is>
          <t>VIMMERBY</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33695-2025</t>
        </is>
      </c>
      <c r="B412" s="1" t="n">
        <v>45841.70569444444</v>
      </c>
      <c r="C412" s="1" t="n">
        <v>45989</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33698-2025</t>
        </is>
      </c>
      <c r="B413" s="1" t="n">
        <v>45841.70868055556</v>
      </c>
      <c r="C413" s="1" t="n">
        <v>45989</v>
      </c>
      <c r="D413" t="inlineStr">
        <is>
          <t>KALMAR LÄN</t>
        </is>
      </c>
      <c r="E413" t="inlineStr">
        <is>
          <t>VIMMERBY</t>
        </is>
      </c>
      <c r="G413" t="n">
        <v>3.7</v>
      </c>
      <c r="H413" t="n">
        <v>0</v>
      </c>
      <c r="I413" t="n">
        <v>0</v>
      </c>
      <c r="J413" t="n">
        <v>0</v>
      </c>
      <c r="K413" t="n">
        <v>0</v>
      </c>
      <c r="L413" t="n">
        <v>0</v>
      </c>
      <c r="M413" t="n">
        <v>0</v>
      </c>
      <c r="N413" t="n">
        <v>0</v>
      </c>
      <c r="O413" t="n">
        <v>0</v>
      </c>
      <c r="P413" t="n">
        <v>0</v>
      </c>
      <c r="Q413" t="n">
        <v>0</v>
      </c>
      <c r="R413" s="2" t="inlineStr"/>
    </row>
    <row r="414" ht="15" customHeight="1">
      <c r="A414" t="inlineStr">
        <is>
          <t>A 32655-2023</t>
        </is>
      </c>
      <c r="B414" s="1" t="n">
        <v>45121.61318287037</v>
      </c>
      <c r="C414" s="1" t="n">
        <v>45989</v>
      </c>
      <c r="D414" t="inlineStr">
        <is>
          <t>KALMAR LÄN</t>
        </is>
      </c>
      <c r="E414" t="inlineStr">
        <is>
          <t>VIMMERBY</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44517-2025</t>
        </is>
      </c>
      <c r="B415" s="1" t="n">
        <v>45916.7103587963</v>
      </c>
      <c r="C415" s="1" t="n">
        <v>45989</v>
      </c>
      <c r="D415" t="inlineStr">
        <is>
          <t>KALMAR LÄN</t>
        </is>
      </c>
      <c r="E415" t="inlineStr">
        <is>
          <t>VIMMERBY</t>
        </is>
      </c>
      <c r="G415" t="n">
        <v>0.9</v>
      </c>
      <c r="H415" t="n">
        <v>0</v>
      </c>
      <c r="I415" t="n">
        <v>0</v>
      </c>
      <c r="J415" t="n">
        <v>0</v>
      </c>
      <c r="K415" t="n">
        <v>0</v>
      </c>
      <c r="L415" t="n">
        <v>0</v>
      </c>
      <c r="M415" t="n">
        <v>0</v>
      </c>
      <c r="N415" t="n">
        <v>0</v>
      </c>
      <c r="O415" t="n">
        <v>0</v>
      </c>
      <c r="P415" t="n">
        <v>0</v>
      </c>
      <c r="Q415" t="n">
        <v>0</v>
      </c>
      <c r="R415" s="2" t="inlineStr"/>
    </row>
    <row r="416" ht="15" customHeight="1">
      <c r="A416" t="inlineStr">
        <is>
          <t>A 54409-2024</t>
        </is>
      </c>
      <c r="B416" s="1" t="n">
        <v>45617.47570601852</v>
      </c>
      <c r="C416" s="1" t="n">
        <v>45989</v>
      </c>
      <c r="D416" t="inlineStr">
        <is>
          <t>KALMAR LÄN</t>
        </is>
      </c>
      <c r="E416" t="inlineStr">
        <is>
          <t>VIMMERBY</t>
        </is>
      </c>
      <c r="G416" t="n">
        <v>4.3</v>
      </c>
      <c r="H416" t="n">
        <v>0</v>
      </c>
      <c r="I416" t="n">
        <v>0</v>
      </c>
      <c r="J416" t="n">
        <v>0</v>
      </c>
      <c r="K416" t="n">
        <v>0</v>
      </c>
      <c r="L416" t="n">
        <v>0</v>
      </c>
      <c r="M416" t="n">
        <v>0</v>
      </c>
      <c r="N416" t="n">
        <v>0</v>
      </c>
      <c r="O416" t="n">
        <v>0</v>
      </c>
      <c r="P416" t="n">
        <v>0</v>
      </c>
      <c r="Q416" t="n">
        <v>0</v>
      </c>
      <c r="R416" s="2" t="inlineStr"/>
    </row>
    <row r="417" ht="15" customHeight="1">
      <c r="A417" t="inlineStr">
        <is>
          <t>A 33696-2025</t>
        </is>
      </c>
      <c r="B417" s="1" t="n">
        <v>45841.7072337963</v>
      </c>
      <c r="C417" s="1" t="n">
        <v>45989</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53220-2025</t>
        </is>
      </c>
      <c r="B418" s="1" t="n">
        <v>45958.60146990741</v>
      </c>
      <c r="C418" s="1" t="n">
        <v>45989</v>
      </c>
      <c r="D418" t="inlineStr">
        <is>
          <t>KALMAR LÄN</t>
        </is>
      </c>
      <c r="E418" t="inlineStr">
        <is>
          <t>VIMMERBY</t>
        </is>
      </c>
      <c r="G418" t="n">
        <v>2.2</v>
      </c>
      <c r="H418" t="n">
        <v>0</v>
      </c>
      <c r="I418" t="n">
        <v>0</v>
      </c>
      <c r="J418" t="n">
        <v>0</v>
      </c>
      <c r="K418" t="n">
        <v>0</v>
      </c>
      <c r="L418" t="n">
        <v>0</v>
      </c>
      <c r="M418" t="n">
        <v>0</v>
      </c>
      <c r="N418" t="n">
        <v>0</v>
      </c>
      <c r="O418" t="n">
        <v>0</v>
      </c>
      <c r="P418" t="n">
        <v>0</v>
      </c>
      <c r="Q418" t="n">
        <v>0</v>
      </c>
      <c r="R418" s="2" t="inlineStr"/>
    </row>
    <row r="419" ht="15" customHeight="1">
      <c r="A419" t="inlineStr">
        <is>
          <t>A 28702-2025</t>
        </is>
      </c>
      <c r="B419" s="1" t="n">
        <v>45820.03976851852</v>
      </c>
      <c r="C419" s="1" t="n">
        <v>45989</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9475-2023</t>
        </is>
      </c>
      <c r="B420" s="1" t="n">
        <v>44981.58834490741</v>
      </c>
      <c r="C420" s="1" t="n">
        <v>45989</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44091-2025</t>
        </is>
      </c>
      <c r="B421" s="1" t="n">
        <v>45915.55950231481</v>
      </c>
      <c r="C421" s="1" t="n">
        <v>45989</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34071-2025</t>
        </is>
      </c>
      <c r="B422" s="1" t="n">
        <v>45845.43803240741</v>
      </c>
      <c r="C422" s="1" t="n">
        <v>45989</v>
      </c>
      <c r="D422" t="inlineStr">
        <is>
          <t>KALMAR LÄN</t>
        </is>
      </c>
      <c r="E422" t="inlineStr">
        <is>
          <t>VIMMERBY</t>
        </is>
      </c>
      <c r="G422" t="n">
        <v>6.8</v>
      </c>
      <c r="H422" t="n">
        <v>0</v>
      </c>
      <c r="I422" t="n">
        <v>0</v>
      </c>
      <c r="J422" t="n">
        <v>0</v>
      </c>
      <c r="K422" t="n">
        <v>0</v>
      </c>
      <c r="L422" t="n">
        <v>0</v>
      </c>
      <c r="M422" t="n">
        <v>0</v>
      </c>
      <c r="N422" t="n">
        <v>0</v>
      </c>
      <c r="O422" t="n">
        <v>0</v>
      </c>
      <c r="P422" t="n">
        <v>0</v>
      </c>
      <c r="Q422" t="n">
        <v>0</v>
      </c>
      <c r="R422" s="2" t="inlineStr"/>
    </row>
    <row r="423" ht="15" customHeight="1">
      <c r="A423" t="inlineStr">
        <is>
          <t>A 44095-2025</t>
        </is>
      </c>
      <c r="B423" s="1" t="n">
        <v>45915.56430555556</v>
      </c>
      <c r="C423" s="1" t="n">
        <v>45989</v>
      </c>
      <c r="D423" t="inlineStr">
        <is>
          <t>KALMAR LÄN</t>
        </is>
      </c>
      <c r="E423" t="inlineStr">
        <is>
          <t>VIMMERBY</t>
        </is>
      </c>
      <c r="G423" t="n">
        <v>2.4</v>
      </c>
      <c r="H423" t="n">
        <v>0</v>
      </c>
      <c r="I423" t="n">
        <v>0</v>
      </c>
      <c r="J423" t="n">
        <v>0</v>
      </c>
      <c r="K423" t="n">
        <v>0</v>
      </c>
      <c r="L423" t="n">
        <v>0</v>
      </c>
      <c r="M423" t="n">
        <v>0</v>
      </c>
      <c r="N423" t="n">
        <v>0</v>
      </c>
      <c r="O423" t="n">
        <v>0</v>
      </c>
      <c r="P423" t="n">
        <v>0</v>
      </c>
      <c r="Q423" t="n">
        <v>0</v>
      </c>
      <c r="R423" s="2" t="inlineStr"/>
    </row>
    <row r="424" ht="15" customHeight="1">
      <c r="A424" t="inlineStr">
        <is>
          <t>A 34106-2025</t>
        </is>
      </c>
      <c r="B424" s="1" t="n">
        <v>45845.49414351852</v>
      </c>
      <c r="C424" s="1" t="n">
        <v>45989</v>
      </c>
      <c r="D424" t="inlineStr">
        <is>
          <t>KALMAR LÄN</t>
        </is>
      </c>
      <c r="E424" t="inlineStr">
        <is>
          <t>VIMMERBY</t>
        </is>
      </c>
      <c r="G424" t="n">
        <v>6</v>
      </c>
      <c r="H424" t="n">
        <v>0</v>
      </c>
      <c r="I424" t="n">
        <v>0</v>
      </c>
      <c r="J424" t="n">
        <v>0</v>
      </c>
      <c r="K424" t="n">
        <v>0</v>
      </c>
      <c r="L424" t="n">
        <v>0</v>
      </c>
      <c r="M424" t="n">
        <v>0</v>
      </c>
      <c r="N424" t="n">
        <v>0</v>
      </c>
      <c r="O424" t="n">
        <v>0</v>
      </c>
      <c r="P424" t="n">
        <v>0</v>
      </c>
      <c r="Q424" t="n">
        <v>0</v>
      </c>
      <c r="R424" s="2" t="inlineStr"/>
    </row>
    <row r="425" ht="15" customHeight="1">
      <c r="A425" t="inlineStr">
        <is>
          <t>A 26956-2025</t>
        </is>
      </c>
      <c r="B425" s="1" t="n">
        <v>45811.45460648148</v>
      </c>
      <c r="C425" s="1" t="n">
        <v>45989</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43092-2024</t>
        </is>
      </c>
      <c r="B426" s="1" t="n">
        <v>45567</v>
      </c>
      <c r="C426" s="1" t="n">
        <v>45989</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11619-2023</t>
        </is>
      </c>
      <c r="B427" s="1" t="n">
        <v>44994.42113425926</v>
      </c>
      <c r="C427" s="1" t="n">
        <v>45989</v>
      </c>
      <c r="D427" t="inlineStr">
        <is>
          <t>KALMAR LÄN</t>
        </is>
      </c>
      <c r="E427" t="inlineStr">
        <is>
          <t>VIMMERBY</t>
        </is>
      </c>
      <c r="G427" t="n">
        <v>2.5</v>
      </c>
      <c r="H427" t="n">
        <v>0</v>
      </c>
      <c r="I427" t="n">
        <v>0</v>
      </c>
      <c r="J427" t="n">
        <v>0</v>
      </c>
      <c r="K427" t="n">
        <v>0</v>
      </c>
      <c r="L427" t="n">
        <v>0</v>
      </c>
      <c r="M427" t="n">
        <v>0</v>
      </c>
      <c r="N427" t="n">
        <v>0</v>
      </c>
      <c r="O427" t="n">
        <v>0</v>
      </c>
      <c r="P427" t="n">
        <v>0</v>
      </c>
      <c r="Q427" t="n">
        <v>0</v>
      </c>
      <c r="R427" s="2" t="inlineStr"/>
    </row>
    <row r="428" ht="15" customHeight="1">
      <c r="A428" t="inlineStr">
        <is>
          <t>A 5074-2023</t>
        </is>
      </c>
      <c r="B428" s="1" t="n">
        <v>44958.61047453704</v>
      </c>
      <c r="C428" s="1" t="n">
        <v>45989</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6368-2023</t>
        </is>
      </c>
      <c r="B429" s="1" t="n">
        <v>44965</v>
      </c>
      <c r="C429" s="1" t="n">
        <v>45989</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34628-2025</t>
        </is>
      </c>
      <c r="B430" s="1" t="n">
        <v>45847.91280092593</v>
      </c>
      <c r="C430" s="1" t="n">
        <v>45989</v>
      </c>
      <c r="D430" t="inlineStr">
        <is>
          <t>KALMAR LÄN</t>
        </is>
      </c>
      <c r="E430" t="inlineStr">
        <is>
          <t>VIMMERBY</t>
        </is>
      </c>
      <c r="G430" t="n">
        <v>4.2</v>
      </c>
      <c r="H430" t="n">
        <v>0</v>
      </c>
      <c r="I430" t="n">
        <v>0</v>
      </c>
      <c r="J430" t="n">
        <v>0</v>
      </c>
      <c r="K430" t="n">
        <v>0</v>
      </c>
      <c r="L430" t="n">
        <v>0</v>
      </c>
      <c r="M430" t="n">
        <v>0</v>
      </c>
      <c r="N430" t="n">
        <v>0</v>
      </c>
      <c r="O430" t="n">
        <v>0</v>
      </c>
      <c r="P430" t="n">
        <v>0</v>
      </c>
      <c r="Q430" t="n">
        <v>0</v>
      </c>
      <c r="R430" s="2" t="inlineStr"/>
    </row>
    <row r="431" ht="15" customHeight="1">
      <c r="A431" t="inlineStr">
        <is>
          <t>A 44742-2025</t>
        </is>
      </c>
      <c r="B431" s="1" t="n">
        <v>45917.67054398148</v>
      </c>
      <c r="C431" s="1" t="n">
        <v>45989</v>
      </c>
      <c r="D431" t="inlineStr">
        <is>
          <t>KALMAR LÄN</t>
        </is>
      </c>
      <c r="E431" t="inlineStr">
        <is>
          <t>VIMMERBY</t>
        </is>
      </c>
      <c r="G431" t="n">
        <v>4.7</v>
      </c>
      <c r="H431" t="n">
        <v>0</v>
      </c>
      <c r="I431" t="n">
        <v>0</v>
      </c>
      <c r="J431" t="n">
        <v>0</v>
      </c>
      <c r="K431" t="n">
        <v>0</v>
      </c>
      <c r="L431" t="n">
        <v>0</v>
      </c>
      <c r="M431" t="n">
        <v>0</v>
      </c>
      <c r="N431" t="n">
        <v>0</v>
      </c>
      <c r="O431" t="n">
        <v>0</v>
      </c>
      <c r="P431" t="n">
        <v>0</v>
      </c>
      <c r="Q431" t="n">
        <v>0</v>
      </c>
      <c r="R431" s="2" t="inlineStr"/>
    </row>
    <row r="432" ht="15" customHeight="1">
      <c r="A432" t="inlineStr">
        <is>
          <t>A 53397-2025</t>
        </is>
      </c>
      <c r="B432" s="1" t="n">
        <v>45959.55918981481</v>
      </c>
      <c r="C432" s="1" t="n">
        <v>45989</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53413-2025</t>
        </is>
      </c>
      <c r="B433" s="1" t="n">
        <v>45959.5787037037</v>
      </c>
      <c r="C433" s="1" t="n">
        <v>45989</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5701-2024</t>
        </is>
      </c>
      <c r="B434" s="1" t="n">
        <v>45334.78826388889</v>
      </c>
      <c r="C434" s="1" t="n">
        <v>45989</v>
      </c>
      <c r="D434" t="inlineStr">
        <is>
          <t>KALMAR LÄN</t>
        </is>
      </c>
      <c r="E434" t="inlineStr">
        <is>
          <t>VIMMERBY</t>
        </is>
      </c>
      <c r="G434" t="n">
        <v>2.3</v>
      </c>
      <c r="H434" t="n">
        <v>0</v>
      </c>
      <c r="I434" t="n">
        <v>0</v>
      </c>
      <c r="J434" t="n">
        <v>0</v>
      </c>
      <c r="K434" t="n">
        <v>0</v>
      </c>
      <c r="L434" t="n">
        <v>0</v>
      </c>
      <c r="M434" t="n">
        <v>0</v>
      </c>
      <c r="N434" t="n">
        <v>0</v>
      </c>
      <c r="O434" t="n">
        <v>0</v>
      </c>
      <c r="P434" t="n">
        <v>0</v>
      </c>
      <c r="Q434" t="n">
        <v>0</v>
      </c>
      <c r="R434" s="2" t="inlineStr"/>
    </row>
    <row r="435" ht="15" customHeight="1">
      <c r="A435" t="inlineStr">
        <is>
          <t>A 41896-2025</t>
        </is>
      </c>
      <c r="B435" s="1" t="n">
        <v>45903.38800925926</v>
      </c>
      <c r="C435" s="1" t="n">
        <v>45989</v>
      </c>
      <c r="D435" t="inlineStr">
        <is>
          <t>KALMAR LÄN</t>
        </is>
      </c>
      <c r="E435" t="inlineStr">
        <is>
          <t>VIMMERBY</t>
        </is>
      </c>
      <c r="G435" t="n">
        <v>2.9</v>
      </c>
      <c r="H435" t="n">
        <v>0</v>
      </c>
      <c r="I435" t="n">
        <v>0</v>
      </c>
      <c r="J435" t="n">
        <v>0</v>
      </c>
      <c r="K435" t="n">
        <v>0</v>
      </c>
      <c r="L435" t="n">
        <v>0</v>
      </c>
      <c r="M435" t="n">
        <v>0</v>
      </c>
      <c r="N435" t="n">
        <v>0</v>
      </c>
      <c r="O435" t="n">
        <v>0</v>
      </c>
      <c r="P435" t="n">
        <v>0</v>
      </c>
      <c r="Q435" t="n">
        <v>0</v>
      </c>
      <c r="R435" s="2" t="inlineStr"/>
    </row>
    <row r="436" ht="15" customHeight="1">
      <c r="A436" t="inlineStr">
        <is>
          <t>A 53396-2025</t>
        </is>
      </c>
      <c r="B436" s="1" t="n">
        <v>45959.55577546296</v>
      </c>
      <c r="C436" s="1" t="n">
        <v>45989</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53416-2025</t>
        </is>
      </c>
      <c r="B437" s="1" t="n">
        <v>45959.58387731481</v>
      </c>
      <c r="C437" s="1" t="n">
        <v>45989</v>
      </c>
      <c r="D437" t="inlineStr">
        <is>
          <t>KALMAR LÄN</t>
        </is>
      </c>
      <c r="E437" t="inlineStr">
        <is>
          <t>VIMMERBY</t>
        </is>
      </c>
      <c r="G437" t="n">
        <v>4.4</v>
      </c>
      <c r="H437" t="n">
        <v>0</v>
      </c>
      <c r="I437" t="n">
        <v>0</v>
      </c>
      <c r="J437" t="n">
        <v>0</v>
      </c>
      <c r="K437" t="n">
        <v>0</v>
      </c>
      <c r="L437" t="n">
        <v>0</v>
      </c>
      <c r="M437" t="n">
        <v>0</v>
      </c>
      <c r="N437" t="n">
        <v>0</v>
      </c>
      <c r="O437" t="n">
        <v>0</v>
      </c>
      <c r="P437" t="n">
        <v>0</v>
      </c>
      <c r="Q437" t="n">
        <v>0</v>
      </c>
      <c r="R437" s="2" t="inlineStr"/>
    </row>
    <row r="438" ht="15" customHeight="1">
      <c r="A438" t="inlineStr">
        <is>
          <t>A 7797-2023</t>
        </is>
      </c>
      <c r="B438" s="1" t="n">
        <v>44973.43075231482</v>
      </c>
      <c r="C438" s="1" t="n">
        <v>45989</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24655-2021</t>
        </is>
      </c>
      <c r="B439" s="1" t="n">
        <v>44340</v>
      </c>
      <c r="C439" s="1" t="n">
        <v>45989</v>
      </c>
      <c r="D439" t="inlineStr">
        <is>
          <t>KALMAR LÄN</t>
        </is>
      </c>
      <c r="E439" t="inlineStr">
        <is>
          <t>VIMMERBY</t>
        </is>
      </c>
      <c r="G439" t="n">
        <v>14.9</v>
      </c>
      <c r="H439" t="n">
        <v>0</v>
      </c>
      <c r="I439" t="n">
        <v>0</v>
      </c>
      <c r="J439" t="n">
        <v>0</v>
      </c>
      <c r="K439" t="n">
        <v>0</v>
      </c>
      <c r="L439" t="n">
        <v>0</v>
      </c>
      <c r="M439" t="n">
        <v>0</v>
      </c>
      <c r="N439" t="n">
        <v>0</v>
      </c>
      <c r="O439" t="n">
        <v>0</v>
      </c>
      <c r="P439" t="n">
        <v>0</v>
      </c>
      <c r="Q439" t="n">
        <v>0</v>
      </c>
      <c r="R439" s="2" t="inlineStr"/>
    </row>
    <row r="440" ht="15" customHeight="1">
      <c r="A440" t="inlineStr">
        <is>
          <t>A 35270-2025</t>
        </is>
      </c>
      <c r="B440" s="1" t="n">
        <v>45853.87112268519</v>
      </c>
      <c r="C440" s="1" t="n">
        <v>45989</v>
      </c>
      <c r="D440" t="inlineStr">
        <is>
          <t>KALMAR LÄN</t>
        </is>
      </c>
      <c r="E440" t="inlineStr">
        <is>
          <t>VIMMERBY</t>
        </is>
      </c>
      <c r="G440" t="n">
        <v>2.4</v>
      </c>
      <c r="H440" t="n">
        <v>0</v>
      </c>
      <c r="I440" t="n">
        <v>0</v>
      </c>
      <c r="J440" t="n">
        <v>0</v>
      </c>
      <c r="K440" t="n">
        <v>0</v>
      </c>
      <c r="L440" t="n">
        <v>0</v>
      </c>
      <c r="M440" t="n">
        <v>0</v>
      </c>
      <c r="N440" t="n">
        <v>0</v>
      </c>
      <c r="O440" t="n">
        <v>0</v>
      </c>
      <c r="P440" t="n">
        <v>0</v>
      </c>
      <c r="Q440" t="n">
        <v>0</v>
      </c>
      <c r="R440" s="2" t="inlineStr"/>
    </row>
    <row r="441" ht="15" customHeight="1">
      <c r="A441" t="inlineStr">
        <is>
          <t>A 35271-2025</t>
        </is>
      </c>
      <c r="B441" s="1" t="n">
        <v>45853.87599537037</v>
      </c>
      <c r="C441" s="1" t="n">
        <v>45989</v>
      </c>
      <c r="D441" t="inlineStr">
        <is>
          <t>KALMAR LÄN</t>
        </is>
      </c>
      <c r="E441" t="inlineStr">
        <is>
          <t>VIMMERBY</t>
        </is>
      </c>
      <c r="G441" t="n">
        <v>0.4</v>
      </c>
      <c r="H441" t="n">
        <v>0</v>
      </c>
      <c r="I441" t="n">
        <v>0</v>
      </c>
      <c r="J441" t="n">
        <v>0</v>
      </c>
      <c r="K441" t="n">
        <v>0</v>
      </c>
      <c r="L441" t="n">
        <v>0</v>
      </c>
      <c r="M441" t="n">
        <v>0</v>
      </c>
      <c r="N441" t="n">
        <v>0</v>
      </c>
      <c r="O441" t="n">
        <v>0</v>
      </c>
      <c r="P441" t="n">
        <v>0</v>
      </c>
      <c r="Q441" t="n">
        <v>0</v>
      </c>
      <c r="R441" s="2" t="inlineStr"/>
    </row>
    <row r="442" ht="15" customHeight="1">
      <c r="A442" t="inlineStr">
        <is>
          <t>A 35272-2025</t>
        </is>
      </c>
      <c r="B442" s="1" t="n">
        <v>45853.88070601852</v>
      </c>
      <c r="C442" s="1" t="n">
        <v>45989</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16953-2025</t>
        </is>
      </c>
      <c r="B443" s="1" t="n">
        <v>45755.44333333334</v>
      </c>
      <c r="C443" s="1" t="n">
        <v>45989</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53393-2025</t>
        </is>
      </c>
      <c r="B444" s="1" t="n">
        <v>45959.55284722222</v>
      </c>
      <c r="C444" s="1" t="n">
        <v>45989</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53398-2025</t>
        </is>
      </c>
      <c r="B445" s="1" t="n">
        <v>45959.56247685185</v>
      </c>
      <c r="C445" s="1" t="n">
        <v>45989</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8410-2023</t>
        </is>
      </c>
      <c r="B446" s="1" t="n">
        <v>44977</v>
      </c>
      <c r="C446" s="1" t="n">
        <v>45989</v>
      </c>
      <c r="D446" t="inlineStr">
        <is>
          <t>KALMAR LÄN</t>
        </is>
      </c>
      <c r="E446" t="inlineStr">
        <is>
          <t>VIMMERBY</t>
        </is>
      </c>
      <c r="G446" t="n">
        <v>0.9</v>
      </c>
      <c r="H446" t="n">
        <v>0</v>
      </c>
      <c r="I446" t="n">
        <v>0</v>
      </c>
      <c r="J446" t="n">
        <v>0</v>
      </c>
      <c r="K446" t="n">
        <v>0</v>
      </c>
      <c r="L446" t="n">
        <v>0</v>
      </c>
      <c r="M446" t="n">
        <v>0</v>
      </c>
      <c r="N446" t="n">
        <v>0</v>
      </c>
      <c r="O446" t="n">
        <v>0</v>
      </c>
      <c r="P446" t="n">
        <v>0</v>
      </c>
      <c r="Q446" t="n">
        <v>0</v>
      </c>
      <c r="R446" s="2" t="inlineStr"/>
    </row>
    <row r="447" ht="15" customHeight="1">
      <c r="A447" t="inlineStr">
        <is>
          <t>A 53903-2025</t>
        </is>
      </c>
      <c r="B447" s="1" t="n">
        <v>45961.43738425926</v>
      </c>
      <c r="C447" s="1" t="n">
        <v>45989</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53920-2025</t>
        </is>
      </c>
      <c r="B448" s="1" t="n">
        <v>45961.44951388889</v>
      </c>
      <c r="C448" s="1" t="n">
        <v>45989</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54234-2025</t>
        </is>
      </c>
      <c r="B449" s="1" t="n">
        <v>45964.62486111111</v>
      </c>
      <c r="C449" s="1" t="n">
        <v>45989</v>
      </c>
      <c r="D449" t="inlineStr">
        <is>
          <t>KALMAR LÄN</t>
        </is>
      </c>
      <c r="E449" t="inlineStr">
        <is>
          <t>VIMMERBY</t>
        </is>
      </c>
      <c r="G449" t="n">
        <v>4.1</v>
      </c>
      <c r="H449" t="n">
        <v>0</v>
      </c>
      <c r="I449" t="n">
        <v>0</v>
      </c>
      <c r="J449" t="n">
        <v>0</v>
      </c>
      <c r="K449" t="n">
        <v>0</v>
      </c>
      <c r="L449" t="n">
        <v>0</v>
      </c>
      <c r="M449" t="n">
        <v>0</v>
      </c>
      <c r="N449" t="n">
        <v>0</v>
      </c>
      <c r="O449" t="n">
        <v>0</v>
      </c>
      <c r="P449" t="n">
        <v>0</v>
      </c>
      <c r="Q449" t="n">
        <v>0</v>
      </c>
      <c r="R449" s="2" t="inlineStr"/>
    </row>
    <row r="450" ht="15" customHeight="1">
      <c r="A450" t="inlineStr">
        <is>
          <t>A 6028-2023</t>
        </is>
      </c>
      <c r="B450" s="1" t="n">
        <v>44964.44356481481</v>
      </c>
      <c r="C450" s="1" t="n">
        <v>45989</v>
      </c>
      <c r="D450" t="inlineStr">
        <is>
          <t>KALMAR LÄN</t>
        </is>
      </c>
      <c r="E450" t="inlineStr">
        <is>
          <t>VIMMERBY</t>
        </is>
      </c>
      <c r="G450" t="n">
        <v>2.5</v>
      </c>
      <c r="H450" t="n">
        <v>0</v>
      </c>
      <c r="I450" t="n">
        <v>0</v>
      </c>
      <c r="J450" t="n">
        <v>0</v>
      </c>
      <c r="K450" t="n">
        <v>0</v>
      </c>
      <c r="L450" t="n">
        <v>0</v>
      </c>
      <c r="M450" t="n">
        <v>0</v>
      </c>
      <c r="N450" t="n">
        <v>0</v>
      </c>
      <c r="O450" t="n">
        <v>0</v>
      </c>
      <c r="P450" t="n">
        <v>0</v>
      </c>
      <c r="Q450" t="n">
        <v>0</v>
      </c>
      <c r="R450" s="2" t="inlineStr"/>
    </row>
    <row r="451" ht="15" customHeight="1">
      <c r="A451" t="inlineStr">
        <is>
          <t>A 53923-2025</t>
        </is>
      </c>
      <c r="B451" s="1" t="n">
        <v>45961.4569212963</v>
      </c>
      <c r="C451" s="1" t="n">
        <v>45989</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52823-2024</t>
        </is>
      </c>
      <c r="B452" s="1" t="n">
        <v>45610.59094907407</v>
      </c>
      <c r="C452" s="1" t="n">
        <v>45989</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45319-2025</t>
        </is>
      </c>
      <c r="B453" s="1" t="n">
        <v>45921.95611111111</v>
      </c>
      <c r="C453" s="1" t="n">
        <v>45989</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45320-2025</t>
        </is>
      </c>
      <c r="B454" s="1" t="n">
        <v>45921.96395833333</v>
      </c>
      <c r="C454" s="1" t="n">
        <v>45989</v>
      </c>
      <c r="D454" t="inlineStr">
        <is>
          <t>KALMAR LÄN</t>
        </is>
      </c>
      <c r="E454" t="inlineStr">
        <is>
          <t>VIMMERBY</t>
        </is>
      </c>
      <c r="G454" t="n">
        <v>1.3</v>
      </c>
      <c r="H454" t="n">
        <v>0</v>
      </c>
      <c r="I454" t="n">
        <v>0</v>
      </c>
      <c r="J454" t="n">
        <v>0</v>
      </c>
      <c r="K454" t="n">
        <v>0</v>
      </c>
      <c r="L454" t="n">
        <v>0</v>
      </c>
      <c r="M454" t="n">
        <v>0</v>
      </c>
      <c r="N454" t="n">
        <v>0</v>
      </c>
      <c r="O454" t="n">
        <v>0</v>
      </c>
      <c r="P454" t="n">
        <v>0</v>
      </c>
      <c r="Q454" t="n">
        <v>0</v>
      </c>
      <c r="R454" s="2" t="inlineStr"/>
    </row>
    <row r="455" ht="15" customHeight="1">
      <c r="A455" t="inlineStr">
        <is>
          <t>A 35597-2025</t>
        </is>
      </c>
      <c r="B455" s="1" t="n">
        <v>45858.66019675926</v>
      </c>
      <c r="C455" s="1" t="n">
        <v>45989</v>
      </c>
      <c r="D455" t="inlineStr">
        <is>
          <t>KALMAR LÄN</t>
        </is>
      </c>
      <c r="E455" t="inlineStr">
        <is>
          <t>VIMMERBY</t>
        </is>
      </c>
      <c r="G455" t="n">
        <v>6.4</v>
      </c>
      <c r="H455" t="n">
        <v>0</v>
      </c>
      <c r="I455" t="n">
        <v>0</v>
      </c>
      <c r="J455" t="n">
        <v>0</v>
      </c>
      <c r="K455" t="n">
        <v>0</v>
      </c>
      <c r="L455" t="n">
        <v>0</v>
      </c>
      <c r="M455" t="n">
        <v>0</v>
      </c>
      <c r="N455" t="n">
        <v>0</v>
      </c>
      <c r="O455" t="n">
        <v>0</v>
      </c>
      <c r="P455" t="n">
        <v>0</v>
      </c>
      <c r="Q455" t="n">
        <v>0</v>
      </c>
      <c r="R455" s="2" t="inlineStr"/>
    </row>
    <row r="456" ht="15" customHeight="1">
      <c r="A456" t="inlineStr">
        <is>
          <t>A 54236-2025</t>
        </is>
      </c>
      <c r="B456" s="1" t="n">
        <v>45964.62671296296</v>
      </c>
      <c r="C456" s="1" t="n">
        <v>45989</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56853-2022</t>
        </is>
      </c>
      <c r="B457" s="1" t="n">
        <v>44894.49538194444</v>
      </c>
      <c r="C457" s="1" t="n">
        <v>45989</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11152-2023</t>
        </is>
      </c>
      <c r="B458" s="1" t="n">
        <v>44992</v>
      </c>
      <c r="C458" s="1" t="n">
        <v>45989</v>
      </c>
      <c r="D458" t="inlineStr">
        <is>
          <t>KALMAR LÄN</t>
        </is>
      </c>
      <c r="E458" t="inlineStr">
        <is>
          <t>VIMMERBY</t>
        </is>
      </c>
      <c r="G458" t="n">
        <v>10.6</v>
      </c>
      <c r="H458" t="n">
        <v>0</v>
      </c>
      <c r="I458" t="n">
        <v>0</v>
      </c>
      <c r="J458" t="n">
        <v>0</v>
      </c>
      <c r="K458" t="n">
        <v>0</v>
      </c>
      <c r="L458" t="n">
        <v>0</v>
      </c>
      <c r="M458" t="n">
        <v>0</v>
      </c>
      <c r="N458" t="n">
        <v>0</v>
      </c>
      <c r="O458" t="n">
        <v>0</v>
      </c>
      <c r="P458" t="n">
        <v>0</v>
      </c>
      <c r="Q458" t="n">
        <v>0</v>
      </c>
      <c r="R458" s="2" t="inlineStr"/>
    </row>
    <row r="459" ht="15" customHeight="1">
      <c r="A459" t="inlineStr">
        <is>
          <t>A 35596-2025</t>
        </is>
      </c>
      <c r="B459" s="1" t="n">
        <v>45858.60641203704</v>
      </c>
      <c r="C459" s="1" t="n">
        <v>45989</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53927-2025</t>
        </is>
      </c>
      <c r="B460" s="1" t="n">
        <v>45961.46740740741</v>
      </c>
      <c r="C460" s="1" t="n">
        <v>45989</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15550-2023</t>
        </is>
      </c>
      <c r="B461" s="1" t="n">
        <v>45020</v>
      </c>
      <c r="C461" s="1" t="n">
        <v>45989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45114-2025</t>
        </is>
      </c>
      <c r="B462" s="1" t="n">
        <v>45919.42387731482</v>
      </c>
      <c r="C462" s="1" t="n">
        <v>45989</v>
      </c>
      <c r="D462" t="inlineStr">
        <is>
          <t>KALMAR LÄN</t>
        </is>
      </c>
      <c r="E462" t="inlineStr">
        <is>
          <t>VIMMERBY</t>
        </is>
      </c>
      <c r="G462" t="n">
        <v>2.7</v>
      </c>
      <c r="H462" t="n">
        <v>0</v>
      </c>
      <c r="I462" t="n">
        <v>0</v>
      </c>
      <c r="J462" t="n">
        <v>0</v>
      </c>
      <c r="K462" t="n">
        <v>0</v>
      </c>
      <c r="L462" t="n">
        <v>0</v>
      </c>
      <c r="M462" t="n">
        <v>0</v>
      </c>
      <c r="N462" t="n">
        <v>0</v>
      </c>
      <c r="O462" t="n">
        <v>0</v>
      </c>
      <c r="P462" t="n">
        <v>0</v>
      </c>
      <c r="Q462" t="n">
        <v>0</v>
      </c>
      <c r="R462" s="2" t="inlineStr"/>
    </row>
    <row r="463" ht="15" customHeight="1">
      <c r="A463" t="inlineStr">
        <is>
          <t>A 53933-2025</t>
        </is>
      </c>
      <c r="B463" s="1" t="n">
        <v>45961.47650462963</v>
      </c>
      <c r="C463" s="1" t="n">
        <v>45989</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31355-2023</t>
        </is>
      </c>
      <c r="B464" s="1" t="n">
        <v>45114.49505787037</v>
      </c>
      <c r="C464" s="1" t="n">
        <v>45989</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18330-2023</t>
        </is>
      </c>
      <c r="B465" s="1" t="n">
        <v>45041</v>
      </c>
      <c r="C465" s="1" t="n">
        <v>45989</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19502-2025</t>
        </is>
      </c>
      <c r="B466" s="1" t="n">
        <v>45769</v>
      </c>
      <c r="C466" s="1" t="n">
        <v>45989</v>
      </c>
      <c r="D466" t="inlineStr">
        <is>
          <t>KALMAR LÄN</t>
        </is>
      </c>
      <c r="E466" t="inlineStr">
        <is>
          <t>VIMMERBY</t>
        </is>
      </c>
      <c r="G466" t="n">
        <v>1.9</v>
      </c>
      <c r="H466" t="n">
        <v>0</v>
      </c>
      <c r="I466" t="n">
        <v>0</v>
      </c>
      <c r="J466" t="n">
        <v>0</v>
      </c>
      <c r="K466" t="n">
        <v>0</v>
      </c>
      <c r="L466" t="n">
        <v>0</v>
      </c>
      <c r="M466" t="n">
        <v>0</v>
      </c>
      <c r="N466" t="n">
        <v>0</v>
      </c>
      <c r="O466" t="n">
        <v>0</v>
      </c>
      <c r="P466" t="n">
        <v>0</v>
      </c>
      <c r="Q466" t="n">
        <v>0</v>
      </c>
      <c r="R466" s="2" t="inlineStr"/>
    </row>
    <row r="467" ht="15" customHeight="1">
      <c r="A467" t="inlineStr">
        <is>
          <t>A 58100-2024</t>
        </is>
      </c>
      <c r="B467" s="1" t="n">
        <v>45632.36706018518</v>
      </c>
      <c r="C467" s="1" t="n">
        <v>45989</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46118-2025</t>
        </is>
      </c>
      <c r="B468" s="1" t="n">
        <v>45924.57697916667</v>
      </c>
      <c r="C468" s="1" t="n">
        <v>45989</v>
      </c>
      <c r="D468" t="inlineStr">
        <is>
          <t>KALMAR LÄN</t>
        </is>
      </c>
      <c r="E468" t="inlineStr">
        <is>
          <t>VIMMERBY</t>
        </is>
      </c>
      <c r="G468" t="n">
        <v>2.9</v>
      </c>
      <c r="H468" t="n">
        <v>0</v>
      </c>
      <c r="I468" t="n">
        <v>0</v>
      </c>
      <c r="J468" t="n">
        <v>0</v>
      </c>
      <c r="K468" t="n">
        <v>0</v>
      </c>
      <c r="L468" t="n">
        <v>0</v>
      </c>
      <c r="M468" t="n">
        <v>0</v>
      </c>
      <c r="N468" t="n">
        <v>0</v>
      </c>
      <c r="O468" t="n">
        <v>0</v>
      </c>
      <c r="P468" t="n">
        <v>0</v>
      </c>
      <c r="Q468" t="n">
        <v>0</v>
      </c>
      <c r="R468" s="2" t="inlineStr"/>
    </row>
    <row r="469" ht="15" customHeight="1">
      <c r="A469" t="inlineStr">
        <is>
          <t>A 27993-2022</t>
        </is>
      </c>
      <c r="B469" s="1" t="n">
        <v>44745.84396990741</v>
      </c>
      <c r="C469" s="1" t="n">
        <v>45989</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54737-2025</t>
        </is>
      </c>
      <c r="B470" s="1" t="n">
        <v>45966.56826388889</v>
      </c>
      <c r="C470" s="1" t="n">
        <v>45989</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38969-2023</t>
        </is>
      </c>
      <c r="B471" s="1" t="n">
        <v>45163.63621527778</v>
      </c>
      <c r="C471" s="1" t="n">
        <v>45989</v>
      </c>
      <c r="D471" t="inlineStr">
        <is>
          <t>KALMAR LÄN</t>
        </is>
      </c>
      <c r="E471" t="inlineStr">
        <is>
          <t>VIMMERBY</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36273-2025</t>
        </is>
      </c>
      <c r="B472" s="1" t="n">
        <v>45867.63094907408</v>
      </c>
      <c r="C472" s="1" t="n">
        <v>45989</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36299-2025</t>
        </is>
      </c>
      <c r="B473" s="1" t="n">
        <v>45867.69346064814</v>
      </c>
      <c r="C473" s="1" t="n">
        <v>45989</v>
      </c>
      <c r="D473" t="inlineStr">
        <is>
          <t>KALMAR LÄN</t>
        </is>
      </c>
      <c r="E473" t="inlineStr">
        <is>
          <t>VIMMERBY</t>
        </is>
      </c>
      <c r="G473" t="n">
        <v>7.6</v>
      </c>
      <c r="H473" t="n">
        <v>0</v>
      </c>
      <c r="I473" t="n">
        <v>0</v>
      </c>
      <c r="J473" t="n">
        <v>0</v>
      </c>
      <c r="K473" t="n">
        <v>0</v>
      </c>
      <c r="L473" t="n">
        <v>0</v>
      </c>
      <c r="M473" t="n">
        <v>0</v>
      </c>
      <c r="N473" t="n">
        <v>0</v>
      </c>
      <c r="O473" t="n">
        <v>0</v>
      </c>
      <c r="P473" t="n">
        <v>0</v>
      </c>
      <c r="Q473" t="n">
        <v>0</v>
      </c>
      <c r="R473" s="2" t="inlineStr"/>
    </row>
    <row r="474" ht="15" customHeight="1">
      <c r="A474" t="inlineStr">
        <is>
          <t>A 54813-2025</t>
        </is>
      </c>
      <c r="B474" s="1" t="n">
        <v>45966.64881944445</v>
      </c>
      <c r="C474" s="1" t="n">
        <v>45989</v>
      </c>
      <c r="D474" t="inlineStr">
        <is>
          <t>KALMAR LÄN</t>
        </is>
      </c>
      <c r="E474" t="inlineStr">
        <is>
          <t>VIMMERBY</t>
        </is>
      </c>
      <c r="G474" t="n">
        <v>1.7</v>
      </c>
      <c r="H474" t="n">
        <v>0</v>
      </c>
      <c r="I474" t="n">
        <v>0</v>
      </c>
      <c r="J474" t="n">
        <v>0</v>
      </c>
      <c r="K474" t="n">
        <v>0</v>
      </c>
      <c r="L474" t="n">
        <v>0</v>
      </c>
      <c r="M474" t="n">
        <v>0</v>
      </c>
      <c r="N474" t="n">
        <v>0</v>
      </c>
      <c r="O474" t="n">
        <v>0</v>
      </c>
      <c r="P474" t="n">
        <v>0</v>
      </c>
      <c r="Q474" t="n">
        <v>0</v>
      </c>
      <c r="R474" s="2" t="inlineStr"/>
    </row>
    <row r="475" ht="15" customHeight="1">
      <c r="A475" t="inlineStr">
        <is>
          <t>A 36221-2025</t>
        </is>
      </c>
      <c r="B475" s="1" t="n">
        <v>45867.50792824074</v>
      </c>
      <c r="C475" s="1" t="n">
        <v>45989</v>
      </c>
      <c r="D475" t="inlineStr">
        <is>
          <t>KALMAR LÄN</t>
        </is>
      </c>
      <c r="E475" t="inlineStr">
        <is>
          <t>VIMMERBY</t>
        </is>
      </c>
      <c r="G475" t="n">
        <v>2.5</v>
      </c>
      <c r="H475" t="n">
        <v>0</v>
      </c>
      <c r="I475" t="n">
        <v>0</v>
      </c>
      <c r="J475" t="n">
        <v>0</v>
      </c>
      <c r="K475" t="n">
        <v>0</v>
      </c>
      <c r="L475" t="n">
        <v>0</v>
      </c>
      <c r="M475" t="n">
        <v>0</v>
      </c>
      <c r="N475" t="n">
        <v>0</v>
      </c>
      <c r="O475" t="n">
        <v>0</v>
      </c>
      <c r="P475" t="n">
        <v>0</v>
      </c>
      <c r="Q475" t="n">
        <v>0</v>
      </c>
      <c r="R475" s="2" t="inlineStr"/>
    </row>
    <row r="476" ht="15" customHeight="1">
      <c r="A476" t="inlineStr">
        <is>
          <t>A 36226-2025</t>
        </is>
      </c>
      <c r="B476" s="1" t="n">
        <v>45867.51630787037</v>
      </c>
      <c r="C476" s="1" t="n">
        <v>45989</v>
      </c>
      <c r="D476" t="inlineStr">
        <is>
          <t>KALMAR LÄN</t>
        </is>
      </c>
      <c r="E476" t="inlineStr">
        <is>
          <t>VIMMERBY</t>
        </is>
      </c>
      <c r="G476" t="n">
        <v>3.1</v>
      </c>
      <c r="H476" t="n">
        <v>0</v>
      </c>
      <c r="I476" t="n">
        <v>0</v>
      </c>
      <c r="J476" t="n">
        <v>0</v>
      </c>
      <c r="K476" t="n">
        <v>0</v>
      </c>
      <c r="L476" t="n">
        <v>0</v>
      </c>
      <c r="M476" t="n">
        <v>0</v>
      </c>
      <c r="N476" t="n">
        <v>0</v>
      </c>
      <c r="O476" t="n">
        <v>0</v>
      </c>
      <c r="P476" t="n">
        <v>0</v>
      </c>
      <c r="Q476" t="n">
        <v>0</v>
      </c>
      <c r="R476" s="2" t="inlineStr"/>
    </row>
    <row r="477" ht="15" customHeight="1">
      <c r="A477" t="inlineStr">
        <is>
          <t>A 53752-2024</t>
        </is>
      </c>
      <c r="B477" s="1" t="n">
        <v>45615.48927083334</v>
      </c>
      <c r="C477" s="1" t="n">
        <v>45989</v>
      </c>
      <c r="D477" t="inlineStr">
        <is>
          <t>KALMAR LÄN</t>
        </is>
      </c>
      <c r="E477" t="inlineStr">
        <is>
          <t>VIMMERBY</t>
        </is>
      </c>
      <c r="G477" t="n">
        <v>2.4</v>
      </c>
      <c r="H477" t="n">
        <v>0</v>
      </c>
      <c r="I477" t="n">
        <v>0</v>
      </c>
      <c r="J477" t="n">
        <v>0</v>
      </c>
      <c r="K477" t="n">
        <v>0</v>
      </c>
      <c r="L477" t="n">
        <v>0</v>
      </c>
      <c r="M477" t="n">
        <v>0</v>
      </c>
      <c r="N477" t="n">
        <v>0</v>
      </c>
      <c r="O477" t="n">
        <v>0</v>
      </c>
      <c r="P477" t="n">
        <v>0</v>
      </c>
      <c r="Q477" t="n">
        <v>0</v>
      </c>
      <c r="R477" s="2" t="inlineStr"/>
    </row>
    <row r="478" ht="15" customHeight="1">
      <c r="A478" t="inlineStr">
        <is>
          <t>A 36297-2025</t>
        </is>
      </c>
      <c r="B478" s="1" t="n">
        <v>45867.68625</v>
      </c>
      <c r="C478" s="1" t="n">
        <v>45989</v>
      </c>
      <c r="D478" t="inlineStr">
        <is>
          <t>KALMAR LÄN</t>
        </is>
      </c>
      <c r="E478" t="inlineStr">
        <is>
          <t>VIMMERBY</t>
        </is>
      </c>
      <c r="G478" t="n">
        <v>4.9</v>
      </c>
      <c r="H478" t="n">
        <v>0</v>
      </c>
      <c r="I478" t="n">
        <v>0</v>
      </c>
      <c r="J478" t="n">
        <v>0</v>
      </c>
      <c r="K478" t="n">
        <v>0</v>
      </c>
      <c r="L478" t="n">
        <v>0</v>
      </c>
      <c r="M478" t="n">
        <v>0</v>
      </c>
      <c r="N478" t="n">
        <v>0</v>
      </c>
      <c r="O478" t="n">
        <v>0</v>
      </c>
      <c r="P478" t="n">
        <v>0</v>
      </c>
      <c r="Q478" t="n">
        <v>0</v>
      </c>
      <c r="R478" s="2" t="inlineStr"/>
    </row>
    <row r="479" ht="15" customHeight="1">
      <c r="A479" t="inlineStr">
        <is>
          <t>A 53786-2025</t>
        </is>
      </c>
      <c r="B479" s="1" t="n">
        <v>45960</v>
      </c>
      <c r="C479" s="1" t="n">
        <v>45989</v>
      </c>
      <c r="D479" t="inlineStr">
        <is>
          <t>KALMAR LÄN</t>
        </is>
      </c>
      <c r="E479" t="inlineStr">
        <is>
          <t>VIMMERBY</t>
        </is>
      </c>
      <c r="F479" t="inlineStr">
        <is>
          <t>Övriga statliga verk och myndigheter</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36246-2025</t>
        </is>
      </c>
      <c r="B480" s="1" t="n">
        <v>45867.56320601852</v>
      </c>
      <c r="C480" s="1" t="n">
        <v>45989</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36282-2025</t>
        </is>
      </c>
      <c r="B481" s="1" t="n">
        <v>45867.64663194444</v>
      </c>
      <c r="C481" s="1" t="n">
        <v>45989</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36538-2025</t>
        </is>
      </c>
      <c r="B482" s="1" t="n">
        <v>45869.62276620371</v>
      </c>
      <c r="C482" s="1" t="n">
        <v>45989</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36598-2025</t>
        </is>
      </c>
      <c r="B483" s="1" t="n">
        <v>45870.51708333333</v>
      </c>
      <c r="C483" s="1" t="n">
        <v>45989</v>
      </c>
      <c r="D483" t="inlineStr">
        <is>
          <t>KALMAR LÄN</t>
        </is>
      </c>
      <c r="E483" t="inlineStr">
        <is>
          <t>VIMMERBY</t>
        </is>
      </c>
      <c r="G483" t="n">
        <v>3.7</v>
      </c>
      <c r="H483" t="n">
        <v>0</v>
      </c>
      <c r="I483" t="n">
        <v>0</v>
      </c>
      <c r="J483" t="n">
        <v>0</v>
      </c>
      <c r="K483" t="n">
        <v>0</v>
      </c>
      <c r="L483" t="n">
        <v>0</v>
      </c>
      <c r="M483" t="n">
        <v>0</v>
      </c>
      <c r="N483" t="n">
        <v>0</v>
      </c>
      <c r="O483" t="n">
        <v>0</v>
      </c>
      <c r="P483" t="n">
        <v>0</v>
      </c>
      <c r="Q483" t="n">
        <v>0</v>
      </c>
      <c r="R483" s="2" t="inlineStr"/>
    </row>
    <row r="484" ht="15" customHeight="1">
      <c r="A484" t="inlineStr">
        <is>
          <t>A 36602-2025</t>
        </is>
      </c>
      <c r="B484" s="1" t="n">
        <v>45870.52111111111</v>
      </c>
      <c r="C484" s="1" t="n">
        <v>45989</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36600-2025</t>
        </is>
      </c>
      <c r="B485" s="1" t="n">
        <v>45870.51958333333</v>
      </c>
      <c r="C485" s="1" t="n">
        <v>45989</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36601-2025</t>
        </is>
      </c>
      <c r="B486" s="1" t="n">
        <v>45870.52005787037</v>
      </c>
      <c r="C486" s="1" t="n">
        <v>45989</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36603-2025</t>
        </is>
      </c>
      <c r="B487" s="1" t="n">
        <v>45870.52142361111</v>
      </c>
      <c r="C487" s="1" t="n">
        <v>45989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53788-2025</t>
        </is>
      </c>
      <c r="B488" s="1" t="n">
        <v>45960</v>
      </c>
      <c r="C488" s="1" t="n">
        <v>45989</v>
      </c>
      <c r="D488" t="inlineStr">
        <is>
          <t>KALMAR LÄN</t>
        </is>
      </c>
      <c r="E488" t="inlineStr">
        <is>
          <t>VIMMERBY</t>
        </is>
      </c>
      <c r="F488" t="inlineStr">
        <is>
          <t>Övriga statliga verk och myndigheter</t>
        </is>
      </c>
      <c r="G488" t="n">
        <v>6.3</v>
      </c>
      <c r="H488" t="n">
        <v>0</v>
      </c>
      <c r="I488" t="n">
        <v>0</v>
      </c>
      <c r="J488" t="n">
        <v>0</v>
      </c>
      <c r="K488" t="n">
        <v>0</v>
      </c>
      <c r="L488" t="n">
        <v>0</v>
      </c>
      <c r="M488" t="n">
        <v>0</v>
      </c>
      <c r="N488" t="n">
        <v>0</v>
      </c>
      <c r="O488" t="n">
        <v>0</v>
      </c>
      <c r="P488" t="n">
        <v>0</v>
      </c>
      <c r="Q488" t="n">
        <v>0</v>
      </c>
      <c r="R488" s="2" t="inlineStr"/>
    </row>
    <row r="489" ht="15" customHeight="1">
      <c r="A489" t="inlineStr">
        <is>
          <t>A 58728-2024</t>
        </is>
      </c>
      <c r="B489" s="1" t="n">
        <v>45635.66695601852</v>
      </c>
      <c r="C489" s="1" t="n">
        <v>45989</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43242-2024</t>
        </is>
      </c>
      <c r="B490" s="1" t="n">
        <v>45568.30189814815</v>
      </c>
      <c r="C490" s="1" t="n">
        <v>45989</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16983-2023</t>
        </is>
      </c>
      <c r="B491" s="1" t="n">
        <v>45033.76043981482</v>
      </c>
      <c r="C491" s="1" t="n">
        <v>45989</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6405-2025</t>
        </is>
      </c>
      <c r="B492" s="1" t="n">
        <v>45699.45392361111</v>
      </c>
      <c r="C492" s="1" t="n">
        <v>45989</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36843-2023</t>
        </is>
      </c>
      <c r="B493" s="1" t="n">
        <v>45154.49831018518</v>
      </c>
      <c r="C493" s="1" t="n">
        <v>45989</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57486-2024</t>
        </is>
      </c>
      <c r="B494" s="1" t="n">
        <v>45630.35827546296</v>
      </c>
      <c r="C494" s="1" t="n">
        <v>45989</v>
      </c>
      <c r="D494" t="inlineStr">
        <is>
          <t>KALMAR LÄN</t>
        </is>
      </c>
      <c r="E494" t="inlineStr">
        <is>
          <t>VIMMERBY</t>
        </is>
      </c>
      <c r="G494" t="n">
        <v>0.4</v>
      </c>
      <c r="H494" t="n">
        <v>0</v>
      </c>
      <c r="I494" t="n">
        <v>0</v>
      </c>
      <c r="J494" t="n">
        <v>0</v>
      </c>
      <c r="K494" t="n">
        <v>0</v>
      </c>
      <c r="L494" t="n">
        <v>0</v>
      </c>
      <c r="M494" t="n">
        <v>0</v>
      </c>
      <c r="N494" t="n">
        <v>0</v>
      </c>
      <c r="O494" t="n">
        <v>0</v>
      </c>
      <c r="P494" t="n">
        <v>0</v>
      </c>
      <c r="Q494" t="n">
        <v>0</v>
      </c>
      <c r="R494" s="2" t="inlineStr"/>
    </row>
    <row r="495" ht="15" customHeight="1">
      <c r="A495" t="inlineStr">
        <is>
          <t>A 45854-2025</t>
        </is>
      </c>
      <c r="B495" s="1" t="n">
        <v>45923</v>
      </c>
      <c r="C495" s="1" t="n">
        <v>45989</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45855-2025</t>
        </is>
      </c>
      <c r="B496" s="1" t="n">
        <v>45923</v>
      </c>
      <c r="C496" s="1" t="n">
        <v>45989</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66295-2020</t>
        </is>
      </c>
      <c r="B497" s="1" t="n">
        <v>44176</v>
      </c>
      <c r="C497" s="1" t="n">
        <v>45989</v>
      </c>
      <c r="D497" t="inlineStr">
        <is>
          <t>KALMAR LÄN</t>
        </is>
      </c>
      <c r="E497" t="inlineStr">
        <is>
          <t>VIMMERBY</t>
        </is>
      </c>
      <c r="G497" t="n">
        <v>4.1</v>
      </c>
      <c r="H497" t="n">
        <v>0</v>
      </c>
      <c r="I497" t="n">
        <v>0</v>
      </c>
      <c r="J497" t="n">
        <v>0</v>
      </c>
      <c r="K497" t="n">
        <v>0</v>
      </c>
      <c r="L497" t="n">
        <v>0</v>
      </c>
      <c r="M497" t="n">
        <v>0</v>
      </c>
      <c r="N497" t="n">
        <v>0</v>
      </c>
      <c r="O497" t="n">
        <v>0</v>
      </c>
      <c r="P497" t="n">
        <v>0</v>
      </c>
      <c r="Q497" t="n">
        <v>0</v>
      </c>
      <c r="R497" s="2" t="inlineStr"/>
    </row>
    <row r="498" ht="15" customHeight="1">
      <c r="A498" t="inlineStr">
        <is>
          <t>A 36934-2025</t>
        </is>
      </c>
      <c r="B498" s="1" t="n">
        <v>45874.57109953704</v>
      </c>
      <c r="C498" s="1" t="n">
        <v>45989</v>
      </c>
      <c r="D498" t="inlineStr">
        <is>
          <t>KALMAR LÄN</t>
        </is>
      </c>
      <c r="E498" t="inlineStr">
        <is>
          <t>VIMMERBY</t>
        </is>
      </c>
      <c r="G498" t="n">
        <v>4.2</v>
      </c>
      <c r="H498" t="n">
        <v>0</v>
      </c>
      <c r="I498" t="n">
        <v>0</v>
      </c>
      <c r="J498" t="n">
        <v>0</v>
      </c>
      <c r="K498" t="n">
        <v>0</v>
      </c>
      <c r="L498" t="n">
        <v>0</v>
      </c>
      <c r="M498" t="n">
        <v>0</v>
      </c>
      <c r="N498" t="n">
        <v>0</v>
      </c>
      <c r="O498" t="n">
        <v>0</v>
      </c>
      <c r="P498" t="n">
        <v>0</v>
      </c>
      <c r="Q498" t="n">
        <v>0</v>
      </c>
      <c r="R498" s="2" t="inlineStr"/>
    </row>
    <row r="499" ht="15" customHeight="1">
      <c r="A499" t="inlineStr">
        <is>
          <t>A 46361-2025</t>
        </is>
      </c>
      <c r="B499" s="1" t="n">
        <v>45925.49670138889</v>
      </c>
      <c r="C499" s="1" t="n">
        <v>45989</v>
      </c>
      <c r="D499" t="inlineStr">
        <is>
          <t>KALMAR LÄN</t>
        </is>
      </c>
      <c r="E499" t="inlineStr">
        <is>
          <t>VIMMERBY</t>
        </is>
      </c>
      <c r="G499" t="n">
        <v>4.2</v>
      </c>
      <c r="H499" t="n">
        <v>0</v>
      </c>
      <c r="I499" t="n">
        <v>0</v>
      </c>
      <c r="J499" t="n">
        <v>0</v>
      </c>
      <c r="K499" t="n">
        <v>0</v>
      </c>
      <c r="L499" t="n">
        <v>0</v>
      </c>
      <c r="M499" t="n">
        <v>0</v>
      </c>
      <c r="N499" t="n">
        <v>0</v>
      </c>
      <c r="O499" t="n">
        <v>0</v>
      </c>
      <c r="P499" t="n">
        <v>0</v>
      </c>
      <c r="Q499" t="n">
        <v>0</v>
      </c>
      <c r="R499" s="2" t="inlineStr"/>
    </row>
    <row r="500" ht="15" customHeight="1">
      <c r="A500" t="inlineStr">
        <is>
          <t>A 46365-2025</t>
        </is>
      </c>
      <c r="B500" s="1" t="n">
        <v>45925.50075231482</v>
      </c>
      <c r="C500" s="1" t="n">
        <v>45989</v>
      </c>
      <c r="D500" t="inlineStr">
        <is>
          <t>KALMAR LÄN</t>
        </is>
      </c>
      <c r="E500" t="inlineStr">
        <is>
          <t>VIMMERBY</t>
        </is>
      </c>
      <c r="G500" t="n">
        <v>5.6</v>
      </c>
      <c r="H500" t="n">
        <v>0</v>
      </c>
      <c r="I500" t="n">
        <v>0</v>
      </c>
      <c r="J500" t="n">
        <v>0</v>
      </c>
      <c r="K500" t="n">
        <v>0</v>
      </c>
      <c r="L500" t="n">
        <v>0</v>
      </c>
      <c r="M500" t="n">
        <v>0</v>
      </c>
      <c r="N500" t="n">
        <v>0</v>
      </c>
      <c r="O500" t="n">
        <v>0</v>
      </c>
      <c r="P500" t="n">
        <v>0</v>
      </c>
      <c r="Q500" t="n">
        <v>0</v>
      </c>
      <c r="R500" s="2" t="inlineStr"/>
    </row>
    <row r="501" ht="15" customHeight="1">
      <c r="A501" t="inlineStr">
        <is>
          <t>A 44423-2023</t>
        </is>
      </c>
      <c r="B501" s="1" t="n">
        <v>45189</v>
      </c>
      <c r="C501" s="1" t="n">
        <v>45989</v>
      </c>
      <c r="D501" t="inlineStr">
        <is>
          <t>KALMAR LÄN</t>
        </is>
      </c>
      <c r="E501" t="inlineStr">
        <is>
          <t>VIMMERBY</t>
        </is>
      </c>
      <c r="G501" t="n">
        <v>0.7</v>
      </c>
      <c r="H501" t="n">
        <v>0</v>
      </c>
      <c r="I501" t="n">
        <v>0</v>
      </c>
      <c r="J501" t="n">
        <v>0</v>
      </c>
      <c r="K501" t="n">
        <v>0</v>
      </c>
      <c r="L501" t="n">
        <v>0</v>
      </c>
      <c r="M501" t="n">
        <v>0</v>
      </c>
      <c r="N501" t="n">
        <v>0</v>
      </c>
      <c r="O501" t="n">
        <v>0</v>
      </c>
      <c r="P501" t="n">
        <v>0</v>
      </c>
      <c r="Q501" t="n">
        <v>0</v>
      </c>
      <c r="R501" s="2" t="inlineStr"/>
    </row>
    <row r="502" ht="15" customHeight="1">
      <c r="A502" t="inlineStr">
        <is>
          <t>A 20-2025</t>
        </is>
      </c>
      <c r="B502" s="1" t="n">
        <v>45658.80232638889</v>
      </c>
      <c r="C502" s="1" t="n">
        <v>45989</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23-2025</t>
        </is>
      </c>
      <c r="B503" s="1" t="n">
        <v>45658.80827546296</v>
      </c>
      <c r="C503" s="1" t="n">
        <v>45989</v>
      </c>
      <c r="D503" t="inlineStr">
        <is>
          <t>KALMAR LÄN</t>
        </is>
      </c>
      <c r="E503" t="inlineStr">
        <is>
          <t>VIMMERBY</t>
        </is>
      </c>
      <c r="G503" t="n">
        <v>1.8</v>
      </c>
      <c r="H503" t="n">
        <v>0</v>
      </c>
      <c r="I503" t="n">
        <v>0</v>
      </c>
      <c r="J503" t="n">
        <v>0</v>
      </c>
      <c r="K503" t="n">
        <v>0</v>
      </c>
      <c r="L503" t="n">
        <v>0</v>
      </c>
      <c r="M503" t="n">
        <v>0</v>
      </c>
      <c r="N503" t="n">
        <v>0</v>
      </c>
      <c r="O503" t="n">
        <v>0</v>
      </c>
      <c r="P503" t="n">
        <v>0</v>
      </c>
      <c r="Q503" t="n">
        <v>0</v>
      </c>
      <c r="R503" s="2" t="inlineStr"/>
    </row>
    <row r="504" ht="15" customHeight="1">
      <c r="A504" t="inlineStr">
        <is>
          <t>A 21496-2023</t>
        </is>
      </c>
      <c r="B504" s="1" t="n">
        <v>45063.49936342592</v>
      </c>
      <c r="C504" s="1" t="n">
        <v>45989</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31056-2022</t>
        </is>
      </c>
      <c r="B505" s="1" t="n">
        <v>44769.45805555556</v>
      </c>
      <c r="C505" s="1" t="n">
        <v>45989</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45856-2025</t>
        </is>
      </c>
      <c r="B506" s="1" t="n">
        <v>45923</v>
      </c>
      <c r="C506" s="1" t="n">
        <v>45989</v>
      </c>
      <c r="D506" t="inlineStr">
        <is>
          <t>KALMAR LÄN</t>
        </is>
      </c>
      <c r="E506" t="inlineStr">
        <is>
          <t>VIMMERBY</t>
        </is>
      </c>
      <c r="G506" t="n">
        <v>2.1</v>
      </c>
      <c r="H506" t="n">
        <v>0</v>
      </c>
      <c r="I506" t="n">
        <v>0</v>
      </c>
      <c r="J506" t="n">
        <v>0</v>
      </c>
      <c r="K506" t="n">
        <v>0</v>
      </c>
      <c r="L506" t="n">
        <v>0</v>
      </c>
      <c r="M506" t="n">
        <v>0</v>
      </c>
      <c r="N506" t="n">
        <v>0</v>
      </c>
      <c r="O506" t="n">
        <v>0</v>
      </c>
      <c r="P506" t="n">
        <v>0</v>
      </c>
      <c r="Q506" t="n">
        <v>0</v>
      </c>
      <c r="R506" s="2" t="inlineStr"/>
    </row>
    <row r="507" ht="15" customHeight="1">
      <c r="A507" t="inlineStr">
        <is>
          <t>A 37088-2025</t>
        </is>
      </c>
      <c r="B507" s="1" t="n">
        <v>45875.45716435185</v>
      </c>
      <c r="C507" s="1" t="n">
        <v>45989</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37102-2025</t>
        </is>
      </c>
      <c r="B508" s="1" t="n">
        <v>45875.47454861111</v>
      </c>
      <c r="C508" s="1" t="n">
        <v>45989</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72701-2021</t>
        </is>
      </c>
      <c r="B509" s="1" t="n">
        <v>44546</v>
      </c>
      <c r="C509" s="1" t="n">
        <v>45989</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52294-2023</t>
        </is>
      </c>
      <c r="B510" s="1" t="n">
        <v>45224.60075231481</v>
      </c>
      <c r="C510" s="1" t="n">
        <v>45989</v>
      </c>
      <c r="D510" t="inlineStr">
        <is>
          <t>KALMAR LÄN</t>
        </is>
      </c>
      <c r="E510" t="inlineStr">
        <is>
          <t>VIMMERBY</t>
        </is>
      </c>
      <c r="F510" t="inlineStr">
        <is>
          <t>Sveaskog</t>
        </is>
      </c>
      <c r="G510" t="n">
        <v>2.5</v>
      </c>
      <c r="H510" t="n">
        <v>0</v>
      </c>
      <c r="I510" t="n">
        <v>0</v>
      </c>
      <c r="J510" t="n">
        <v>0</v>
      </c>
      <c r="K510" t="n">
        <v>0</v>
      </c>
      <c r="L510" t="n">
        <v>0</v>
      </c>
      <c r="M510" t="n">
        <v>0</v>
      </c>
      <c r="N510" t="n">
        <v>0</v>
      </c>
      <c r="O510" t="n">
        <v>0</v>
      </c>
      <c r="P510" t="n">
        <v>0</v>
      </c>
      <c r="Q510" t="n">
        <v>0</v>
      </c>
      <c r="R510" s="2" t="inlineStr"/>
    </row>
    <row r="511" ht="15" customHeight="1">
      <c r="A511" t="inlineStr">
        <is>
          <t>A 61355-2024</t>
        </is>
      </c>
      <c r="B511" s="1" t="n">
        <v>45646.38200231481</v>
      </c>
      <c r="C511" s="1" t="n">
        <v>45989</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37079-2025</t>
        </is>
      </c>
      <c r="B512" s="1" t="n">
        <v>45875.42716435185</v>
      </c>
      <c r="C512" s="1" t="n">
        <v>45989</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37668-2025</t>
        </is>
      </c>
      <c r="B513" s="1" t="n">
        <v>45880.51550925926</v>
      </c>
      <c r="C513" s="1" t="n">
        <v>45989</v>
      </c>
      <c r="D513" t="inlineStr">
        <is>
          <t>KALMAR LÄN</t>
        </is>
      </c>
      <c r="E513" t="inlineStr">
        <is>
          <t>VIMMERBY</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46887-2025</t>
        </is>
      </c>
      <c r="B514" s="1" t="n">
        <v>45929.3672337963</v>
      </c>
      <c r="C514" s="1" t="n">
        <v>45989</v>
      </c>
      <c r="D514" t="inlineStr">
        <is>
          <t>KALMAR LÄN</t>
        </is>
      </c>
      <c r="E514" t="inlineStr">
        <is>
          <t>VIMMERBY</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33374-2021</t>
        </is>
      </c>
      <c r="B515" s="1" t="n">
        <v>44377</v>
      </c>
      <c r="C515" s="1" t="n">
        <v>45989</v>
      </c>
      <c r="D515" t="inlineStr">
        <is>
          <t>KALMAR LÄN</t>
        </is>
      </c>
      <c r="E515" t="inlineStr">
        <is>
          <t>VIMMERBY</t>
        </is>
      </c>
      <c r="G515" t="n">
        <v>3.3</v>
      </c>
      <c r="H515" t="n">
        <v>0</v>
      </c>
      <c r="I515" t="n">
        <v>0</v>
      </c>
      <c r="J515" t="n">
        <v>0</v>
      </c>
      <c r="K515" t="n">
        <v>0</v>
      </c>
      <c r="L515" t="n">
        <v>0</v>
      </c>
      <c r="M515" t="n">
        <v>0</v>
      </c>
      <c r="N515" t="n">
        <v>0</v>
      </c>
      <c r="O515" t="n">
        <v>0</v>
      </c>
      <c r="P515" t="n">
        <v>0</v>
      </c>
      <c r="Q515" t="n">
        <v>0</v>
      </c>
      <c r="R515" s="2" t="inlineStr"/>
    </row>
    <row r="516" ht="15" customHeight="1">
      <c r="A516" t="inlineStr">
        <is>
          <t>A 37578-2025</t>
        </is>
      </c>
      <c r="B516" s="1" t="n">
        <v>45880.38380787037</v>
      </c>
      <c r="C516" s="1" t="n">
        <v>45989</v>
      </c>
      <c r="D516" t="inlineStr">
        <is>
          <t>KALMAR LÄN</t>
        </is>
      </c>
      <c r="E516" t="inlineStr">
        <is>
          <t>VIMMERBY</t>
        </is>
      </c>
      <c r="G516" t="n">
        <v>0.7</v>
      </c>
      <c r="H516" t="n">
        <v>0</v>
      </c>
      <c r="I516" t="n">
        <v>0</v>
      </c>
      <c r="J516" t="n">
        <v>0</v>
      </c>
      <c r="K516" t="n">
        <v>0</v>
      </c>
      <c r="L516" t="n">
        <v>0</v>
      </c>
      <c r="M516" t="n">
        <v>0</v>
      </c>
      <c r="N516" t="n">
        <v>0</v>
      </c>
      <c r="O516" t="n">
        <v>0</v>
      </c>
      <c r="P516" t="n">
        <v>0</v>
      </c>
      <c r="Q516" t="n">
        <v>0</v>
      </c>
      <c r="R516" s="2" t="inlineStr"/>
    </row>
    <row r="517" ht="15" customHeight="1">
      <c r="A517" t="inlineStr">
        <is>
          <t>A 10759-2023</t>
        </is>
      </c>
      <c r="B517" s="1" t="n">
        <v>44988</v>
      </c>
      <c r="C517" s="1" t="n">
        <v>45989</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18899-2025</t>
        </is>
      </c>
      <c r="B518" s="1" t="n">
        <v>45764.44931712963</v>
      </c>
      <c r="C518" s="1" t="n">
        <v>45989</v>
      </c>
      <c r="D518" t="inlineStr">
        <is>
          <t>KALMAR LÄN</t>
        </is>
      </c>
      <c r="E518" t="inlineStr">
        <is>
          <t>VIMMERBY</t>
        </is>
      </c>
      <c r="F518" t="inlineStr">
        <is>
          <t>Kommuner</t>
        </is>
      </c>
      <c r="G518" t="n">
        <v>4</v>
      </c>
      <c r="H518" t="n">
        <v>0</v>
      </c>
      <c r="I518" t="n">
        <v>0</v>
      </c>
      <c r="J518" t="n">
        <v>0</v>
      </c>
      <c r="K518" t="n">
        <v>0</v>
      </c>
      <c r="L518" t="n">
        <v>0</v>
      </c>
      <c r="M518" t="n">
        <v>0</v>
      </c>
      <c r="N518" t="n">
        <v>0</v>
      </c>
      <c r="O518" t="n">
        <v>0</v>
      </c>
      <c r="P518" t="n">
        <v>0</v>
      </c>
      <c r="Q518" t="n">
        <v>0</v>
      </c>
      <c r="R518" s="2" t="inlineStr"/>
    </row>
    <row r="519" ht="15" customHeight="1">
      <c r="A519" t="inlineStr">
        <is>
          <t>A 47227-2025</t>
        </is>
      </c>
      <c r="B519" s="1" t="n">
        <v>45930.39769675926</v>
      </c>
      <c r="C519" s="1" t="n">
        <v>45989</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55384-2025</t>
        </is>
      </c>
      <c r="B520" s="1" t="n">
        <v>45971.43178240741</v>
      </c>
      <c r="C520" s="1" t="n">
        <v>45989</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55385-2025</t>
        </is>
      </c>
      <c r="B521" s="1" t="n">
        <v>45971.43350694444</v>
      </c>
      <c r="C521" s="1" t="n">
        <v>45989</v>
      </c>
      <c r="D521" t="inlineStr">
        <is>
          <t>KALMAR LÄN</t>
        </is>
      </c>
      <c r="E521" t="inlineStr">
        <is>
          <t>VIMMERBY</t>
        </is>
      </c>
      <c r="G521" t="n">
        <v>5</v>
      </c>
      <c r="H521" t="n">
        <v>0</v>
      </c>
      <c r="I521" t="n">
        <v>0</v>
      </c>
      <c r="J521" t="n">
        <v>0</v>
      </c>
      <c r="K521" t="n">
        <v>0</v>
      </c>
      <c r="L521" t="n">
        <v>0</v>
      </c>
      <c r="M521" t="n">
        <v>0</v>
      </c>
      <c r="N521" t="n">
        <v>0</v>
      </c>
      <c r="O521" t="n">
        <v>0</v>
      </c>
      <c r="P521" t="n">
        <v>0</v>
      </c>
      <c r="Q521" t="n">
        <v>0</v>
      </c>
      <c r="R521" s="2" t="inlineStr"/>
    </row>
    <row r="522" ht="15" customHeight="1">
      <c r="A522" t="inlineStr">
        <is>
          <t>A 55604-2025</t>
        </is>
      </c>
      <c r="B522" s="1" t="n">
        <v>45971</v>
      </c>
      <c r="C522" s="1" t="n">
        <v>45989</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12586-2021</t>
        </is>
      </c>
      <c r="B523" s="1" t="n">
        <v>44270.38002314815</v>
      </c>
      <c r="C523" s="1" t="n">
        <v>45989</v>
      </c>
      <c r="D523" t="inlineStr">
        <is>
          <t>KALMAR LÄN</t>
        </is>
      </c>
      <c r="E523" t="inlineStr">
        <is>
          <t>VIMMERBY</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55602-2025</t>
        </is>
      </c>
      <c r="B524" s="1" t="n">
        <v>45971</v>
      </c>
      <c r="C524" s="1" t="n">
        <v>45989</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55603-2025</t>
        </is>
      </c>
      <c r="B525" s="1" t="n">
        <v>45971</v>
      </c>
      <c r="C525" s="1" t="n">
        <v>45989</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55605-2025</t>
        </is>
      </c>
      <c r="B526" s="1" t="n">
        <v>45971</v>
      </c>
      <c r="C526" s="1" t="n">
        <v>45989</v>
      </c>
      <c r="D526" t="inlineStr">
        <is>
          <t>KALMAR LÄN</t>
        </is>
      </c>
      <c r="E526" t="inlineStr">
        <is>
          <t>VIMMERBY</t>
        </is>
      </c>
      <c r="G526" t="n">
        <v>1.4</v>
      </c>
      <c r="H526" t="n">
        <v>0</v>
      </c>
      <c r="I526" t="n">
        <v>0</v>
      </c>
      <c r="J526" t="n">
        <v>0</v>
      </c>
      <c r="K526" t="n">
        <v>0</v>
      </c>
      <c r="L526" t="n">
        <v>0</v>
      </c>
      <c r="M526" t="n">
        <v>0</v>
      </c>
      <c r="N526" t="n">
        <v>0</v>
      </c>
      <c r="O526" t="n">
        <v>0</v>
      </c>
      <c r="P526" t="n">
        <v>0</v>
      </c>
      <c r="Q526" t="n">
        <v>0</v>
      </c>
      <c r="R526" s="2" t="inlineStr"/>
    </row>
    <row r="527" ht="15" customHeight="1">
      <c r="A527" t="inlineStr">
        <is>
          <t>A 32614-2023</t>
        </is>
      </c>
      <c r="B527" s="1" t="n">
        <v>45121</v>
      </c>
      <c r="C527" s="1" t="n">
        <v>45989</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61939-2021</t>
        </is>
      </c>
      <c r="B528" s="1" t="n">
        <v>44502</v>
      </c>
      <c r="C528" s="1" t="n">
        <v>45989</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37866-2025</t>
        </is>
      </c>
      <c r="B529" s="1" t="n">
        <v>45881</v>
      </c>
      <c r="C529" s="1" t="n">
        <v>45989</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37939-2025</t>
        </is>
      </c>
      <c r="B530" s="1" t="n">
        <v>45881.59877314815</v>
      </c>
      <c r="C530" s="1" t="n">
        <v>45989</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6218-2025</t>
        </is>
      </c>
      <c r="B531" s="1" t="n">
        <v>45698.53336805556</v>
      </c>
      <c r="C531" s="1" t="n">
        <v>45989</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40076-2021</t>
        </is>
      </c>
      <c r="B532" s="1" t="n">
        <v>44418</v>
      </c>
      <c r="C532" s="1" t="n">
        <v>45989</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47965-2025</t>
        </is>
      </c>
      <c r="B533" s="1" t="n">
        <v>45932.59597222223</v>
      </c>
      <c r="C533" s="1" t="n">
        <v>45989</v>
      </c>
      <c r="D533" t="inlineStr">
        <is>
          <t>KALMAR LÄN</t>
        </is>
      </c>
      <c r="E533" t="inlineStr">
        <is>
          <t>VIMMERBY</t>
        </is>
      </c>
      <c r="G533" t="n">
        <v>2.2</v>
      </c>
      <c r="H533" t="n">
        <v>0</v>
      </c>
      <c r="I533" t="n">
        <v>0</v>
      </c>
      <c r="J533" t="n">
        <v>0</v>
      </c>
      <c r="K533" t="n">
        <v>0</v>
      </c>
      <c r="L533" t="n">
        <v>0</v>
      </c>
      <c r="M533" t="n">
        <v>0</v>
      </c>
      <c r="N533" t="n">
        <v>0</v>
      </c>
      <c r="O533" t="n">
        <v>0</v>
      </c>
      <c r="P533" t="n">
        <v>0</v>
      </c>
      <c r="Q533" t="n">
        <v>0</v>
      </c>
      <c r="R533" s="2" t="inlineStr"/>
    </row>
    <row r="534" ht="15" customHeight="1">
      <c r="A534" t="inlineStr">
        <is>
          <t>A 47955-2025</t>
        </is>
      </c>
      <c r="B534" s="1" t="n">
        <v>45932.58896990741</v>
      </c>
      <c r="C534" s="1" t="n">
        <v>45989</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12588-2025</t>
        </is>
      </c>
      <c r="B535" s="1" t="n">
        <v>45732.76936342593</v>
      </c>
      <c r="C535" s="1" t="n">
        <v>45989</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25979-2023</t>
        </is>
      </c>
      <c r="B536" s="1" t="n">
        <v>45090.89653935185</v>
      </c>
      <c r="C536" s="1" t="n">
        <v>45989</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25980-2023</t>
        </is>
      </c>
      <c r="B537" s="1" t="n">
        <v>45090.89880787037</v>
      </c>
      <c r="C537" s="1" t="n">
        <v>45989</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46921-2023</t>
        </is>
      </c>
      <c r="B538" s="1" t="n">
        <v>45201.39996527778</v>
      </c>
      <c r="C538" s="1" t="n">
        <v>45989</v>
      </c>
      <c r="D538" t="inlineStr">
        <is>
          <t>KALMAR LÄN</t>
        </is>
      </c>
      <c r="E538" t="inlineStr">
        <is>
          <t>VIMMERBY</t>
        </is>
      </c>
      <c r="G538" t="n">
        <v>2.6</v>
      </c>
      <c r="H538" t="n">
        <v>0</v>
      </c>
      <c r="I538" t="n">
        <v>0</v>
      </c>
      <c r="J538" t="n">
        <v>0</v>
      </c>
      <c r="K538" t="n">
        <v>0</v>
      </c>
      <c r="L538" t="n">
        <v>0</v>
      </c>
      <c r="M538" t="n">
        <v>0</v>
      </c>
      <c r="N538" t="n">
        <v>0</v>
      </c>
      <c r="O538" t="n">
        <v>0</v>
      </c>
      <c r="P538" t="n">
        <v>0</v>
      </c>
      <c r="Q538" t="n">
        <v>0</v>
      </c>
      <c r="R538" s="2" t="inlineStr"/>
    </row>
    <row r="539" ht="15" customHeight="1">
      <c r="A539" t="inlineStr">
        <is>
          <t>A 10837-2023</t>
        </is>
      </c>
      <c r="B539" s="1" t="n">
        <v>44991.30547453704</v>
      </c>
      <c r="C539" s="1" t="n">
        <v>45989</v>
      </c>
      <c r="D539" t="inlineStr">
        <is>
          <t>KALMAR LÄN</t>
        </is>
      </c>
      <c r="E539" t="inlineStr">
        <is>
          <t>VIMMERBY</t>
        </is>
      </c>
      <c r="G539" t="n">
        <v>7.3</v>
      </c>
      <c r="H539" t="n">
        <v>0</v>
      </c>
      <c r="I539" t="n">
        <v>0</v>
      </c>
      <c r="J539" t="n">
        <v>0</v>
      </c>
      <c r="K539" t="n">
        <v>0</v>
      </c>
      <c r="L539" t="n">
        <v>0</v>
      </c>
      <c r="M539" t="n">
        <v>0</v>
      </c>
      <c r="N539" t="n">
        <v>0</v>
      </c>
      <c r="O539" t="n">
        <v>0</v>
      </c>
      <c r="P539" t="n">
        <v>0</v>
      </c>
      <c r="Q539" t="n">
        <v>0</v>
      </c>
      <c r="R539" s="2" t="inlineStr"/>
    </row>
    <row r="540" ht="15" customHeight="1">
      <c r="A540" t="inlineStr">
        <is>
          <t>A 10838-2023</t>
        </is>
      </c>
      <c r="B540" s="1" t="n">
        <v>44991</v>
      </c>
      <c r="C540" s="1" t="n">
        <v>45989</v>
      </c>
      <c r="D540" t="inlineStr">
        <is>
          <t>KALMAR LÄN</t>
        </is>
      </c>
      <c r="E540" t="inlineStr">
        <is>
          <t>VIMMERBY</t>
        </is>
      </c>
      <c r="G540" t="n">
        <v>5.1</v>
      </c>
      <c r="H540" t="n">
        <v>0</v>
      </c>
      <c r="I540" t="n">
        <v>0</v>
      </c>
      <c r="J540" t="n">
        <v>0</v>
      </c>
      <c r="K540" t="n">
        <v>0</v>
      </c>
      <c r="L540" t="n">
        <v>0</v>
      </c>
      <c r="M540" t="n">
        <v>0</v>
      </c>
      <c r="N540" t="n">
        <v>0</v>
      </c>
      <c r="O540" t="n">
        <v>0</v>
      </c>
      <c r="P540" t="n">
        <v>0</v>
      </c>
      <c r="Q540" t="n">
        <v>0</v>
      </c>
      <c r="R540" s="2" t="inlineStr"/>
    </row>
    <row r="541" ht="15" customHeight="1">
      <c r="A541" t="inlineStr">
        <is>
          <t>A 48299-2025</t>
        </is>
      </c>
      <c r="B541" s="1" t="n">
        <v>45933.60982638889</v>
      </c>
      <c r="C541" s="1" t="n">
        <v>45989</v>
      </c>
      <c r="D541" t="inlineStr">
        <is>
          <t>KALMAR LÄN</t>
        </is>
      </c>
      <c r="E541" t="inlineStr">
        <is>
          <t>VIMMERBY</t>
        </is>
      </c>
      <c r="G541" t="n">
        <v>1.8</v>
      </c>
      <c r="H541" t="n">
        <v>0</v>
      </c>
      <c r="I541" t="n">
        <v>0</v>
      </c>
      <c r="J541" t="n">
        <v>0</v>
      </c>
      <c r="K541" t="n">
        <v>0</v>
      </c>
      <c r="L541" t="n">
        <v>0</v>
      </c>
      <c r="M541" t="n">
        <v>0</v>
      </c>
      <c r="N541" t="n">
        <v>0</v>
      </c>
      <c r="O541" t="n">
        <v>0</v>
      </c>
      <c r="P541" t="n">
        <v>0</v>
      </c>
      <c r="Q541" t="n">
        <v>0</v>
      </c>
      <c r="R541" s="2" t="inlineStr"/>
    </row>
    <row r="542" ht="15" customHeight="1">
      <c r="A542" t="inlineStr">
        <is>
          <t>A 30912-2023</t>
        </is>
      </c>
      <c r="B542" s="1" t="n">
        <v>45113.41633101852</v>
      </c>
      <c r="C542" s="1" t="n">
        <v>45989</v>
      </c>
      <c r="D542" t="inlineStr">
        <is>
          <t>KALMAR LÄN</t>
        </is>
      </c>
      <c r="E542" t="inlineStr">
        <is>
          <t>VIMMERBY</t>
        </is>
      </c>
      <c r="G542" t="n">
        <v>5</v>
      </c>
      <c r="H542" t="n">
        <v>0</v>
      </c>
      <c r="I542" t="n">
        <v>0</v>
      </c>
      <c r="J542" t="n">
        <v>0</v>
      </c>
      <c r="K542" t="n">
        <v>0</v>
      </c>
      <c r="L542" t="n">
        <v>0</v>
      </c>
      <c r="M542" t="n">
        <v>0</v>
      </c>
      <c r="N542" t="n">
        <v>0</v>
      </c>
      <c r="O542" t="n">
        <v>0</v>
      </c>
      <c r="P542" t="n">
        <v>0</v>
      </c>
      <c r="Q542" t="n">
        <v>0</v>
      </c>
      <c r="R542" s="2" t="inlineStr"/>
    </row>
    <row r="543" ht="15" customHeight="1">
      <c r="A543" t="inlineStr">
        <is>
          <t>A 55436-2023</t>
        </is>
      </c>
      <c r="B543" s="1" t="n">
        <v>45238.4328587963</v>
      </c>
      <c r="C543" s="1" t="n">
        <v>45989</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21507-2023</t>
        </is>
      </c>
      <c r="B544" s="1" t="n">
        <v>45063.508125</v>
      </c>
      <c r="C544" s="1" t="n">
        <v>45989</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51187-2023</t>
        </is>
      </c>
      <c r="B545" s="1" t="n">
        <v>45219.40528935185</v>
      </c>
      <c r="C545" s="1" t="n">
        <v>45989</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13290-2025</t>
        </is>
      </c>
      <c r="B546" s="1" t="n">
        <v>45735.56751157407</v>
      </c>
      <c r="C546" s="1" t="n">
        <v>45989</v>
      </c>
      <c r="D546" t="inlineStr">
        <is>
          <t>KALMAR LÄN</t>
        </is>
      </c>
      <c r="E546" t="inlineStr">
        <is>
          <t>VIMMERBY</t>
        </is>
      </c>
      <c r="G546" t="n">
        <v>0.8</v>
      </c>
      <c r="H546" t="n">
        <v>0</v>
      </c>
      <c r="I546" t="n">
        <v>0</v>
      </c>
      <c r="J546" t="n">
        <v>0</v>
      </c>
      <c r="K546" t="n">
        <v>0</v>
      </c>
      <c r="L546" t="n">
        <v>0</v>
      </c>
      <c r="M546" t="n">
        <v>0</v>
      </c>
      <c r="N546" t="n">
        <v>0</v>
      </c>
      <c r="O546" t="n">
        <v>0</v>
      </c>
      <c r="P546" t="n">
        <v>0</v>
      </c>
      <c r="Q546" t="n">
        <v>0</v>
      </c>
      <c r="R546" s="2" t="inlineStr"/>
    </row>
    <row r="547" ht="15" customHeight="1">
      <c r="A547" t="inlineStr">
        <is>
          <t>A 45560-2021</t>
        </is>
      </c>
      <c r="B547" s="1" t="n">
        <v>44440</v>
      </c>
      <c r="C547" s="1" t="n">
        <v>45989</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48723-2025</t>
        </is>
      </c>
      <c r="B548" s="1" t="n">
        <v>45936.65121527778</v>
      </c>
      <c r="C548" s="1" t="n">
        <v>45989</v>
      </c>
      <c r="D548" t="inlineStr">
        <is>
          <t>KALMAR LÄN</t>
        </is>
      </c>
      <c r="E548" t="inlineStr">
        <is>
          <t>VIMMERBY</t>
        </is>
      </c>
      <c r="G548" t="n">
        <v>3</v>
      </c>
      <c r="H548" t="n">
        <v>0</v>
      </c>
      <c r="I548" t="n">
        <v>0</v>
      </c>
      <c r="J548" t="n">
        <v>0</v>
      </c>
      <c r="K548" t="n">
        <v>0</v>
      </c>
      <c r="L548" t="n">
        <v>0</v>
      </c>
      <c r="M548" t="n">
        <v>0</v>
      </c>
      <c r="N548" t="n">
        <v>0</v>
      </c>
      <c r="O548" t="n">
        <v>0</v>
      </c>
      <c r="P548" t="n">
        <v>0</v>
      </c>
      <c r="Q548" t="n">
        <v>0</v>
      </c>
      <c r="R548" s="2" t="inlineStr"/>
    </row>
    <row r="549" ht="15" customHeight="1">
      <c r="A549" t="inlineStr">
        <is>
          <t>A 16622-2025</t>
        </is>
      </c>
      <c r="B549" s="1" t="n">
        <v>45754.33641203704</v>
      </c>
      <c r="C549" s="1" t="n">
        <v>45989</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48600-2025</t>
        </is>
      </c>
      <c r="B550" s="1" t="n">
        <v>45935</v>
      </c>
      <c r="C550" s="1" t="n">
        <v>45989</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31340-2023</t>
        </is>
      </c>
      <c r="B551" s="1" t="n">
        <v>45114.47895833333</v>
      </c>
      <c r="C551" s="1" t="n">
        <v>45989</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29168-2024</t>
        </is>
      </c>
      <c r="B552" s="1" t="n">
        <v>45482.49870370371</v>
      </c>
      <c r="C552" s="1" t="n">
        <v>45989</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29186-2024</t>
        </is>
      </c>
      <c r="B553" s="1" t="n">
        <v>45482.54844907407</v>
      </c>
      <c r="C553" s="1" t="n">
        <v>45989</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35895-2024</t>
        </is>
      </c>
      <c r="B554" s="1" t="n">
        <v>45533.38870370371</v>
      </c>
      <c r="C554" s="1" t="n">
        <v>45989</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48408-2025</t>
        </is>
      </c>
      <c r="B555" s="1" t="n">
        <v>45934.40527777778</v>
      </c>
      <c r="C555" s="1" t="n">
        <v>45989</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48409-2025</t>
        </is>
      </c>
      <c r="B556" s="1" t="n">
        <v>45934.41387731482</v>
      </c>
      <c r="C556" s="1" t="n">
        <v>45989</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12590-2025</t>
        </is>
      </c>
      <c r="B557" s="1" t="n">
        <v>45732.79925925926</v>
      </c>
      <c r="C557" s="1" t="n">
        <v>45989</v>
      </c>
      <c r="D557" t="inlineStr">
        <is>
          <t>KALMAR LÄN</t>
        </is>
      </c>
      <c r="E557" t="inlineStr">
        <is>
          <t>VIMMERBY</t>
        </is>
      </c>
      <c r="G557" t="n">
        <v>0.8</v>
      </c>
      <c r="H557" t="n">
        <v>0</v>
      </c>
      <c r="I557" t="n">
        <v>0</v>
      </c>
      <c r="J557" t="n">
        <v>0</v>
      </c>
      <c r="K557" t="n">
        <v>0</v>
      </c>
      <c r="L557" t="n">
        <v>0</v>
      </c>
      <c r="M557" t="n">
        <v>0</v>
      </c>
      <c r="N557" t="n">
        <v>0</v>
      </c>
      <c r="O557" t="n">
        <v>0</v>
      </c>
      <c r="P557" t="n">
        <v>0</v>
      </c>
      <c r="Q557" t="n">
        <v>0</v>
      </c>
      <c r="R557" s="2" t="inlineStr"/>
    </row>
    <row r="558" ht="15" customHeight="1">
      <c r="A558" t="inlineStr">
        <is>
          <t>A 30318-2023</t>
        </is>
      </c>
      <c r="B558" s="1" t="n">
        <v>45111.30824074074</v>
      </c>
      <c r="C558" s="1" t="n">
        <v>45989</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48712-2025</t>
        </is>
      </c>
      <c r="B559" s="1" t="n">
        <v>45936.63373842592</v>
      </c>
      <c r="C559" s="1" t="n">
        <v>45989</v>
      </c>
      <c r="D559" t="inlineStr">
        <is>
          <t>KALMAR LÄN</t>
        </is>
      </c>
      <c r="E559" t="inlineStr">
        <is>
          <t>VIMMERBY</t>
        </is>
      </c>
      <c r="G559" t="n">
        <v>3</v>
      </c>
      <c r="H559" t="n">
        <v>0</v>
      </c>
      <c r="I559" t="n">
        <v>0</v>
      </c>
      <c r="J559" t="n">
        <v>0</v>
      </c>
      <c r="K559" t="n">
        <v>0</v>
      </c>
      <c r="L559" t="n">
        <v>0</v>
      </c>
      <c r="M559" t="n">
        <v>0</v>
      </c>
      <c r="N559" t="n">
        <v>0</v>
      </c>
      <c r="O559" t="n">
        <v>0</v>
      </c>
      <c r="P559" t="n">
        <v>0</v>
      </c>
      <c r="Q559" t="n">
        <v>0</v>
      </c>
      <c r="R559" s="2" t="inlineStr"/>
    </row>
    <row r="560" ht="15" customHeight="1">
      <c r="A560" t="inlineStr">
        <is>
          <t>A 43186-2021</t>
        </is>
      </c>
      <c r="B560" s="1" t="n">
        <v>44431.84840277778</v>
      </c>
      <c r="C560" s="1" t="n">
        <v>45989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60215-2022</t>
        </is>
      </c>
      <c r="B561" s="1" t="n">
        <v>44910.41346064815</v>
      </c>
      <c r="C561" s="1" t="n">
        <v>45989</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60230-2022</t>
        </is>
      </c>
      <c r="B562" s="1" t="n">
        <v>44910</v>
      </c>
      <c r="C562" s="1" t="n">
        <v>45989</v>
      </c>
      <c r="D562" t="inlineStr">
        <is>
          <t>KALMAR LÄN</t>
        </is>
      </c>
      <c r="E562" t="inlineStr">
        <is>
          <t>VIMMERBY</t>
        </is>
      </c>
      <c r="G562" t="n">
        <v>11.3</v>
      </c>
      <c r="H562" t="n">
        <v>0</v>
      </c>
      <c r="I562" t="n">
        <v>0</v>
      </c>
      <c r="J562" t="n">
        <v>0</v>
      </c>
      <c r="K562" t="n">
        <v>0</v>
      </c>
      <c r="L562" t="n">
        <v>0</v>
      </c>
      <c r="M562" t="n">
        <v>0</v>
      </c>
      <c r="N562" t="n">
        <v>0</v>
      </c>
      <c r="O562" t="n">
        <v>0</v>
      </c>
      <c r="P562" t="n">
        <v>0</v>
      </c>
      <c r="Q562" t="n">
        <v>0</v>
      </c>
      <c r="R562" s="2" t="inlineStr"/>
    </row>
    <row r="563" ht="15" customHeight="1">
      <c r="A563" t="inlineStr">
        <is>
          <t>A 5925-2022</t>
        </is>
      </c>
      <c r="B563" s="1" t="n">
        <v>44598.7384837963</v>
      </c>
      <c r="C563" s="1" t="n">
        <v>45989</v>
      </c>
      <c r="D563" t="inlineStr">
        <is>
          <t>KALMAR LÄN</t>
        </is>
      </c>
      <c r="E563" t="inlineStr">
        <is>
          <t>VIMMERBY</t>
        </is>
      </c>
      <c r="G563" t="n">
        <v>2.1</v>
      </c>
      <c r="H563" t="n">
        <v>0</v>
      </c>
      <c r="I563" t="n">
        <v>0</v>
      </c>
      <c r="J563" t="n">
        <v>0</v>
      </c>
      <c r="K563" t="n">
        <v>0</v>
      </c>
      <c r="L563" t="n">
        <v>0</v>
      </c>
      <c r="M563" t="n">
        <v>0</v>
      </c>
      <c r="N563" t="n">
        <v>0</v>
      </c>
      <c r="O563" t="n">
        <v>0</v>
      </c>
      <c r="P563" t="n">
        <v>0</v>
      </c>
      <c r="Q563" t="n">
        <v>0</v>
      </c>
      <c r="R563" s="2" t="inlineStr"/>
    </row>
    <row r="564" ht="15" customHeight="1">
      <c r="A564" t="inlineStr">
        <is>
          <t>A 845-2023</t>
        </is>
      </c>
      <c r="B564" s="1" t="n">
        <v>44931</v>
      </c>
      <c r="C564" s="1" t="n">
        <v>45989</v>
      </c>
      <c r="D564" t="inlineStr">
        <is>
          <t>KALMAR LÄN</t>
        </is>
      </c>
      <c r="E564" t="inlineStr">
        <is>
          <t>VIMMERBY</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16119-2023</t>
        </is>
      </c>
      <c r="B565" s="1" t="n">
        <v>45027.59450231482</v>
      </c>
      <c r="C565" s="1" t="n">
        <v>45989</v>
      </c>
      <c r="D565" t="inlineStr">
        <is>
          <t>KALMAR LÄN</t>
        </is>
      </c>
      <c r="E565" t="inlineStr">
        <is>
          <t>VIMMERBY</t>
        </is>
      </c>
      <c r="F565" t="inlineStr">
        <is>
          <t>Kommuner</t>
        </is>
      </c>
      <c r="G565" t="n">
        <v>4.4</v>
      </c>
      <c r="H565" t="n">
        <v>0</v>
      </c>
      <c r="I565" t="n">
        <v>0</v>
      </c>
      <c r="J565" t="n">
        <v>0</v>
      </c>
      <c r="K565" t="n">
        <v>0</v>
      </c>
      <c r="L565" t="n">
        <v>0</v>
      </c>
      <c r="M565" t="n">
        <v>0</v>
      </c>
      <c r="N565" t="n">
        <v>0</v>
      </c>
      <c r="O565" t="n">
        <v>0</v>
      </c>
      <c r="P565" t="n">
        <v>0</v>
      </c>
      <c r="Q565" t="n">
        <v>0</v>
      </c>
      <c r="R565" s="2" t="inlineStr"/>
    </row>
    <row r="566" ht="15" customHeight="1">
      <c r="A566" t="inlineStr">
        <is>
          <t>A 30588-2023</t>
        </is>
      </c>
      <c r="B566" s="1" t="n">
        <v>45112.33599537037</v>
      </c>
      <c r="C566" s="1" t="n">
        <v>45989</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45528-2021</t>
        </is>
      </c>
      <c r="B567" s="1" t="n">
        <v>44440.60415509259</v>
      </c>
      <c r="C567" s="1" t="n">
        <v>45989</v>
      </c>
      <c r="D567" t="inlineStr">
        <is>
          <t>KALMAR LÄN</t>
        </is>
      </c>
      <c r="E567" t="inlineStr">
        <is>
          <t>VIMMERBY</t>
        </is>
      </c>
      <c r="G567" t="n">
        <v>2.2</v>
      </c>
      <c r="H567" t="n">
        <v>0</v>
      </c>
      <c r="I567" t="n">
        <v>0</v>
      </c>
      <c r="J567" t="n">
        <v>0</v>
      </c>
      <c r="K567" t="n">
        <v>0</v>
      </c>
      <c r="L567" t="n">
        <v>0</v>
      </c>
      <c r="M567" t="n">
        <v>0</v>
      </c>
      <c r="N567" t="n">
        <v>0</v>
      </c>
      <c r="O567" t="n">
        <v>0</v>
      </c>
      <c r="P567" t="n">
        <v>0</v>
      </c>
      <c r="Q567" t="n">
        <v>0</v>
      </c>
      <c r="R567" s="2" t="inlineStr"/>
    </row>
    <row r="568" ht="15" customHeight="1">
      <c r="A568" t="inlineStr">
        <is>
          <t>A 16516-2023</t>
        </is>
      </c>
      <c r="B568" s="1" t="n">
        <v>45029</v>
      </c>
      <c r="C568" s="1" t="n">
        <v>45989</v>
      </c>
      <c r="D568" t="inlineStr">
        <is>
          <t>KALMAR LÄN</t>
        </is>
      </c>
      <c r="E568" t="inlineStr">
        <is>
          <t>VIMMERBY</t>
        </is>
      </c>
      <c r="G568" t="n">
        <v>4.3</v>
      </c>
      <c r="H568" t="n">
        <v>0</v>
      </c>
      <c r="I568" t="n">
        <v>0</v>
      </c>
      <c r="J568" t="n">
        <v>0</v>
      </c>
      <c r="K568" t="n">
        <v>0</v>
      </c>
      <c r="L568" t="n">
        <v>0</v>
      </c>
      <c r="M568" t="n">
        <v>0</v>
      </c>
      <c r="N568" t="n">
        <v>0</v>
      </c>
      <c r="O568" t="n">
        <v>0</v>
      </c>
      <c r="P568" t="n">
        <v>0</v>
      </c>
      <c r="Q568" t="n">
        <v>0</v>
      </c>
      <c r="R568" s="2" t="inlineStr"/>
    </row>
    <row r="569" ht="15" customHeight="1">
      <c r="A569" t="inlineStr">
        <is>
          <t>A 2510-2023</t>
        </is>
      </c>
      <c r="B569" s="1" t="n">
        <v>44943.57309027778</v>
      </c>
      <c r="C569" s="1" t="n">
        <v>45989</v>
      </c>
      <c r="D569" t="inlineStr">
        <is>
          <t>KALMAR LÄN</t>
        </is>
      </c>
      <c r="E569" t="inlineStr">
        <is>
          <t>VIMMERBY</t>
        </is>
      </c>
      <c r="G569" t="n">
        <v>8.6</v>
      </c>
      <c r="H569" t="n">
        <v>0</v>
      </c>
      <c r="I569" t="n">
        <v>0</v>
      </c>
      <c r="J569" t="n">
        <v>0</v>
      </c>
      <c r="K569" t="n">
        <v>0</v>
      </c>
      <c r="L569" t="n">
        <v>0</v>
      </c>
      <c r="M569" t="n">
        <v>0</v>
      </c>
      <c r="N569" t="n">
        <v>0</v>
      </c>
      <c r="O569" t="n">
        <v>0</v>
      </c>
      <c r="P569" t="n">
        <v>0</v>
      </c>
      <c r="Q569" t="n">
        <v>0</v>
      </c>
      <c r="R569" s="2" t="inlineStr"/>
    </row>
    <row r="570" ht="15" customHeight="1">
      <c r="A570" t="inlineStr">
        <is>
          <t>A 48373-2021</t>
        </is>
      </c>
      <c r="B570" s="1" t="n">
        <v>44451</v>
      </c>
      <c r="C570" s="1" t="n">
        <v>45989</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7485-2024</t>
        </is>
      </c>
      <c r="B571" s="1" t="n">
        <v>45346.67184027778</v>
      </c>
      <c r="C571" s="1" t="n">
        <v>45989</v>
      </c>
      <c r="D571" t="inlineStr">
        <is>
          <t>KALMAR LÄN</t>
        </is>
      </c>
      <c r="E571" t="inlineStr">
        <is>
          <t>VIMMERBY</t>
        </is>
      </c>
      <c r="G571" t="n">
        <v>1.9</v>
      </c>
      <c r="H571" t="n">
        <v>0</v>
      </c>
      <c r="I571" t="n">
        <v>0</v>
      </c>
      <c r="J571" t="n">
        <v>0</v>
      </c>
      <c r="K571" t="n">
        <v>0</v>
      </c>
      <c r="L571" t="n">
        <v>0</v>
      </c>
      <c r="M571" t="n">
        <v>0</v>
      </c>
      <c r="N571" t="n">
        <v>0</v>
      </c>
      <c r="O571" t="n">
        <v>0</v>
      </c>
      <c r="P571" t="n">
        <v>0</v>
      </c>
      <c r="Q571" t="n">
        <v>0</v>
      </c>
      <c r="R571" s="2" t="inlineStr"/>
    </row>
    <row r="572" ht="15" customHeight="1">
      <c r="A572" t="inlineStr">
        <is>
          <t>A 53789-2025</t>
        </is>
      </c>
      <c r="B572" s="1" t="n">
        <v>45960</v>
      </c>
      <c r="C572" s="1" t="n">
        <v>45989</v>
      </c>
      <c r="D572" t="inlineStr">
        <is>
          <t>KALMAR LÄN</t>
        </is>
      </c>
      <c r="E572" t="inlineStr">
        <is>
          <t>VIMMERBY</t>
        </is>
      </c>
      <c r="F572" t="inlineStr">
        <is>
          <t>Övriga statliga verk och myndigheter</t>
        </is>
      </c>
      <c r="G572" t="n">
        <v>1.6</v>
      </c>
      <c r="H572" t="n">
        <v>0</v>
      </c>
      <c r="I572" t="n">
        <v>0</v>
      </c>
      <c r="J572" t="n">
        <v>0</v>
      </c>
      <c r="K572" t="n">
        <v>0</v>
      </c>
      <c r="L572" t="n">
        <v>0</v>
      </c>
      <c r="M572" t="n">
        <v>0</v>
      </c>
      <c r="N572" t="n">
        <v>0</v>
      </c>
      <c r="O572" t="n">
        <v>0</v>
      </c>
      <c r="P572" t="n">
        <v>0</v>
      </c>
      <c r="Q572" t="n">
        <v>0</v>
      </c>
      <c r="R572" s="2" t="inlineStr"/>
    </row>
    <row r="573" ht="15" customHeight="1">
      <c r="A573" t="inlineStr">
        <is>
          <t>A 6574-2023</t>
        </is>
      </c>
      <c r="B573" s="1" t="n">
        <v>44966</v>
      </c>
      <c r="C573" s="1" t="n">
        <v>45989</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20054-2023</t>
        </is>
      </c>
      <c r="B574" s="1" t="n">
        <v>45054.6750462963</v>
      </c>
      <c r="C574" s="1" t="n">
        <v>45989</v>
      </c>
      <c r="D574" t="inlineStr">
        <is>
          <t>KALMAR LÄN</t>
        </is>
      </c>
      <c r="E574" t="inlineStr">
        <is>
          <t>VIMMERBY</t>
        </is>
      </c>
      <c r="G574" t="n">
        <v>2.4</v>
      </c>
      <c r="H574" t="n">
        <v>0</v>
      </c>
      <c r="I574" t="n">
        <v>0</v>
      </c>
      <c r="J574" t="n">
        <v>0</v>
      </c>
      <c r="K574" t="n">
        <v>0</v>
      </c>
      <c r="L574" t="n">
        <v>0</v>
      </c>
      <c r="M574" t="n">
        <v>0</v>
      </c>
      <c r="N574" t="n">
        <v>0</v>
      </c>
      <c r="O574" t="n">
        <v>0</v>
      </c>
      <c r="P574" t="n">
        <v>0</v>
      </c>
      <c r="Q574" t="n">
        <v>0</v>
      </c>
      <c r="R574" s="2" t="inlineStr"/>
    </row>
    <row r="575" ht="15" customHeight="1">
      <c r="A575" t="inlineStr">
        <is>
          <t>A 58750-2022</t>
        </is>
      </c>
      <c r="B575" s="1" t="n">
        <v>44903.33363425926</v>
      </c>
      <c r="C575" s="1" t="n">
        <v>45989</v>
      </c>
      <c r="D575" t="inlineStr">
        <is>
          <t>KALMAR LÄN</t>
        </is>
      </c>
      <c r="E575" t="inlineStr">
        <is>
          <t>VIMMERBY</t>
        </is>
      </c>
      <c r="G575" t="n">
        <v>3.3</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44578.62943287037</v>
      </c>
      <c r="C576" s="1" t="n">
        <v>45989</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50860-2022</t>
        </is>
      </c>
      <c r="B577" s="1" t="n">
        <v>44867</v>
      </c>
      <c r="C577" s="1" t="n">
        <v>45989</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53483-2022</t>
        </is>
      </c>
      <c r="B578" s="1" t="n">
        <v>44879.55940972222</v>
      </c>
      <c r="C578" s="1" t="n">
        <v>45989</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49871-2025</t>
        </is>
      </c>
      <c r="B579" s="1" t="n">
        <v>45940.54104166666</v>
      </c>
      <c r="C579" s="1" t="n">
        <v>45989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58962-2022</t>
        </is>
      </c>
      <c r="B580" s="1" t="n">
        <v>44903</v>
      </c>
      <c r="C580" s="1" t="n">
        <v>45989</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58967-2022</t>
        </is>
      </c>
      <c r="B581" s="1" t="n">
        <v>44896</v>
      </c>
      <c r="C581" s="1" t="n">
        <v>45989</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57682-2022</t>
        </is>
      </c>
      <c r="B582" s="1" t="n">
        <v>44890</v>
      </c>
      <c r="C582" s="1" t="n">
        <v>45989</v>
      </c>
      <c r="D582" t="inlineStr">
        <is>
          <t>KALMAR LÄN</t>
        </is>
      </c>
      <c r="E582" t="inlineStr">
        <is>
          <t>VIMMERBY</t>
        </is>
      </c>
      <c r="G582" t="n">
        <v>1.5</v>
      </c>
      <c r="H582" t="n">
        <v>0</v>
      </c>
      <c r="I582" t="n">
        <v>0</v>
      </c>
      <c r="J582" t="n">
        <v>0</v>
      </c>
      <c r="K582" t="n">
        <v>0</v>
      </c>
      <c r="L582" t="n">
        <v>0</v>
      </c>
      <c r="M582" t="n">
        <v>0</v>
      </c>
      <c r="N582" t="n">
        <v>0</v>
      </c>
      <c r="O582" t="n">
        <v>0</v>
      </c>
      <c r="P582" t="n">
        <v>0</v>
      </c>
      <c r="Q582" t="n">
        <v>0</v>
      </c>
      <c r="R582" s="2" t="inlineStr"/>
    </row>
    <row r="583" ht="15" customHeight="1">
      <c r="A583" t="inlineStr">
        <is>
          <t>A 58435-2025</t>
        </is>
      </c>
      <c r="B583" s="1" t="n">
        <v>45985.61501157407</v>
      </c>
      <c r="C583" s="1" t="n">
        <v>45989</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44588.37998842593</v>
      </c>
      <c r="C584" s="1" t="n">
        <v>45989</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45989</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57728-2025</t>
        </is>
      </c>
      <c r="B586" s="1" t="n">
        <v>45981</v>
      </c>
      <c r="C586" s="1" t="n">
        <v>45989</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58498-2025</t>
        </is>
      </c>
      <c r="B587" s="1" t="n">
        <v>45985.68671296296</v>
      </c>
      <c r="C587" s="1" t="n">
        <v>45989</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58501-2025</t>
        </is>
      </c>
      <c r="B588" s="1" t="n">
        <v>45985.69153935185</v>
      </c>
      <c r="C588" s="1" t="n">
        <v>45989</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65961-2020</t>
        </is>
      </c>
      <c r="B589" s="1" t="n">
        <v>44175.39748842592</v>
      </c>
      <c r="C589" s="1" t="n">
        <v>45989</v>
      </c>
      <c r="D589" t="inlineStr">
        <is>
          <t>KALMAR LÄN</t>
        </is>
      </c>
      <c r="E589" t="inlineStr">
        <is>
          <t>VIMMERBY</t>
        </is>
      </c>
      <c r="G589" t="n">
        <v>2.6</v>
      </c>
      <c r="H589" t="n">
        <v>0</v>
      </c>
      <c r="I589" t="n">
        <v>0</v>
      </c>
      <c r="J589" t="n">
        <v>0</v>
      </c>
      <c r="K589" t="n">
        <v>0</v>
      </c>
      <c r="L589" t="n">
        <v>0</v>
      </c>
      <c r="M589" t="n">
        <v>0</v>
      </c>
      <c r="N589" t="n">
        <v>0</v>
      </c>
      <c r="O589" t="n">
        <v>0</v>
      </c>
      <c r="P589" t="n">
        <v>0</v>
      </c>
      <c r="Q589" t="n">
        <v>0</v>
      </c>
      <c r="R589" s="2" t="inlineStr"/>
    </row>
    <row r="590" ht="15" customHeight="1">
      <c r="A590" t="inlineStr">
        <is>
          <t>A 58500-2025</t>
        </is>
      </c>
      <c r="B590" s="1" t="n">
        <v>45985.69008101852</v>
      </c>
      <c r="C590" s="1" t="n">
        <v>45989</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58503-2025</t>
        </is>
      </c>
      <c r="B591" s="1" t="n">
        <v>45985.69509259259</v>
      </c>
      <c r="C591" s="1" t="n">
        <v>45989</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9624-2024</t>
        </is>
      </c>
      <c r="B592" s="1" t="n">
        <v>45361.90282407407</v>
      </c>
      <c r="C592" s="1" t="n">
        <v>45989</v>
      </c>
      <c r="D592" t="inlineStr">
        <is>
          <t>KALMAR LÄN</t>
        </is>
      </c>
      <c r="E592" t="inlineStr">
        <is>
          <t>VIMMERBY</t>
        </is>
      </c>
      <c r="G592" t="n">
        <v>3.8</v>
      </c>
      <c r="H592" t="n">
        <v>0</v>
      </c>
      <c r="I592" t="n">
        <v>0</v>
      </c>
      <c r="J592" t="n">
        <v>0</v>
      </c>
      <c r="K592" t="n">
        <v>0</v>
      </c>
      <c r="L592" t="n">
        <v>0</v>
      </c>
      <c r="M592" t="n">
        <v>0</v>
      </c>
      <c r="N592" t="n">
        <v>0</v>
      </c>
      <c r="O592" t="n">
        <v>0</v>
      </c>
      <c r="P592" t="n">
        <v>0</v>
      </c>
      <c r="Q592" t="n">
        <v>0</v>
      </c>
      <c r="R592" s="2" t="inlineStr"/>
    </row>
    <row r="593" ht="15" customHeight="1">
      <c r="A593" t="inlineStr">
        <is>
          <t>A 52327-2023</t>
        </is>
      </c>
      <c r="B593" s="1" t="n">
        <v>45224.6515162037</v>
      </c>
      <c r="C593" s="1" t="n">
        <v>45989</v>
      </c>
      <c r="D593" t="inlineStr">
        <is>
          <t>KALMAR LÄN</t>
        </is>
      </c>
      <c r="E593" t="inlineStr">
        <is>
          <t>VIMMERBY</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29616-2022</t>
        </is>
      </c>
      <c r="B594" s="1" t="n">
        <v>44754</v>
      </c>
      <c r="C594" s="1" t="n">
        <v>45989</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29348-2023</t>
        </is>
      </c>
      <c r="B595" s="1" t="n">
        <v>45106.25025462963</v>
      </c>
      <c r="C595" s="1" t="n">
        <v>45989</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28403-2023</t>
        </is>
      </c>
      <c r="B596" s="1" t="n">
        <v>45100.85270833333</v>
      </c>
      <c r="C596" s="1" t="n">
        <v>45989</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17511-2024</t>
        </is>
      </c>
      <c r="B597" s="1" t="n">
        <v>45415.57682870371</v>
      </c>
      <c r="C597" s="1" t="n">
        <v>45989</v>
      </c>
      <c r="D597" t="inlineStr">
        <is>
          <t>KALMAR LÄN</t>
        </is>
      </c>
      <c r="E597" t="inlineStr">
        <is>
          <t>VIMMERBY</t>
        </is>
      </c>
      <c r="G597" t="n">
        <v>5.3</v>
      </c>
      <c r="H597" t="n">
        <v>0</v>
      </c>
      <c r="I597" t="n">
        <v>0</v>
      </c>
      <c r="J597" t="n">
        <v>0</v>
      </c>
      <c r="K597" t="n">
        <v>0</v>
      </c>
      <c r="L597" t="n">
        <v>0</v>
      </c>
      <c r="M597" t="n">
        <v>0</v>
      </c>
      <c r="N597" t="n">
        <v>0</v>
      </c>
      <c r="O597" t="n">
        <v>0</v>
      </c>
      <c r="P597" t="n">
        <v>0</v>
      </c>
      <c r="Q597" t="n">
        <v>0</v>
      </c>
      <c r="R597" s="2" t="inlineStr"/>
    </row>
    <row r="598" ht="15" customHeight="1">
      <c r="A598" t="inlineStr">
        <is>
          <t>A 58446-2025</t>
        </is>
      </c>
      <c r="B598" s="1" t="n">
        <v>45985.62168981481</v>
      </c>
      <c r="C598" s="1" t="n">
        <v>45989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66022-2021</t>
        </is>
      </c>
      <c r="B599" s="1" t="n">
        <v>44517</v>
      </c>
      <c r="C599" s="1" t="n">
        <v>45989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58514-2025</t>
        </is>
      </c>
      <c r="B600" s="1" t="n">
        <v>45985.70513888889</v>
      </c>
      <c r="C600" s="1" t="n">
        <v>45989</v>
      </c>
      <c r="D600" t="inlineStr">
        <is>
          <t>KALMAR LÄN</t>
        </is>
      </c>
      <c r="E600" t="inlineStr">
        <is>
          <t>VIMMERBY</t>
        </is>
      </c>
      <c r="G600" t="n">
        <v>3.7</v>
      </c>
      <c r="H600" t="n">
        <v>0</v>
      </c>
      <c r="I600" t="n">
        <v>0</v>
      </c>
      <c r="J600" t="n">
        <v>0</v>
      </c>
      <c r="K600" t="n">
        <v>0</v>
      </c>
      <c r="L600" t="n">
        <v>0</v>
      </c>
      <c r="M600" t="n">
        <v>0</v>
      </c>
      <c r="N600" t="n">
        <v>0</v>
      </c>
      <c r="O600" t="n">
        <v>0</v>
      </c>
      <c r="P600" t="n">
        <v>0</v>
      </c>
      <c r="Q600" t="n">
        <v>0</v>
      </c>
      <c r="R600" s="2" t="inlineStr"/>
    </row>
    <row r="601" ht="15" customHeight="1">
      <c r="A601" t="inlineStr">
        <is>
          <t>A 29973-2023</t>
        </is>
      </c>
      <c r="B601" s="1" t="n">
        <v>45108.703125</v>
      </c>
      <c r="C601" s="1" t="n">
        <v>45989</v>
      </c>
      <c r="D601" t="inlineStr">
        <is>
          <t>KALMAR LÄN</t>
        </is>
      </c>
      <c r="E601" t="inlineStr">
        <is>
          <t>VIMMERBY</t>
        </is>
      </c>
      <c r="G601" t="n">
        <v>4</v>
      </c>
      <c r="H601" t="n">
        <v>0</v>
      </c>
      <c r="I601" t="n">
        <v>0</v>
      </c>
      <c r="J601" t="n">
        <v>0</v>
      </c>
      <c r="K601" t="n">
        <v>0</v>
      </c>
      <c r="L601" t="n">
        <v>0</v>
      </c>
      <c r="M601" t="n">
        <v>0</v>
      </c>
      <c r="N601" t="n">
        <v>0</v>
      </c>
      <c r="O601" t="n">
        <v>0</v>
      </c>
      <c r="P601" t="n">
        <v>0</v>
      </c>
      <c r="Q601" t="n">
        <v>0</v>
      </c>
      <c r="R601" s="2" t="inlineStr"/>
    </row>
    <row r="602" ht="15" customHeight="1">
      <c r="A602" t="inlineStr">
        <is>
          <t>A 50324-2025</t>
        </is>
      </c>
      <c r="B602" s="1" t="n">
        <v>45944.45962962963</v>
      </c>
      <c r="C602" s="1" t="n">
        <v>45989</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30070-2023</t>
        </is>
      </c>
      <c r="B603" s="1" t="n">
        <v>45110.4275</v>
      </c>
      <c r="C603" s="1" t="n">
        <v>45989</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53586-2025</t>
        </is>
      </c>
      <c r="B604" s="1" t="n">
        <v>45960</v>
      </c>
      <c r="C604" s="1" t="n">
        <v>45989</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58442-2025</t>
        </is>
      </c>
      <c r="B605" s="1" t="n">
        <v>45985.61635416667</v>
      </c>
      <c r="C605" s="1" t="n">
        <v>45989</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46078-2023</t>
        </is>
      </c>
      <c r="B606" s="1" t="n">
        <v>45196</v>
      </c>
      <c r="C606" s="1" t="n">
        <v>45989</v>
      </c>
      <c r="D606" t="inlineStr">
        <is>
          <t>KALMAR LÄN</t>
        </is>
      </c>
      <c r="E606" t="inlineStr">
        <is>
          <t>VIMMERBY</t>
        </is>
      </c>
      <c r="G606" t="n">
        <v>0.7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45989</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3494-2023</t>
        </is>
      </c>
      <c r="B608" s="1" t="n">
        <v>44949</v>
      </c>
      <c r="C608" s="1" t="n">
        <v>45989</v>
      </c>
      <c r="D608" t="inlineStr">
        <is>
          <t>KALMAR LÄN</t>
        </is>
      </c>
      <c r="E608" t="inlineStr">
        <is>
          <t>VIMMERBY</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58841-2025</t>
        </is>
      </c>
      <c r="B609" s="1" t="n">
        <v>45987.36275462963</v>
      </c>
      <c r="C609" s="1" t="n">
        <v>45989</v>
      </c>
      <c r="D609" t="inlineStr">
        <is>
          <t>KALMAR LÄN</t>
        </is>
      </c>
      <c r="E609" t="inlineStr">
        <is>
          <t>VIMMERBY</t>
        </is>
      </c>
      <c r="G609" t="n">
        <v>3.5</v>
      </c>
      <c r="H609" t="n">
        <v>0</v>
      </c>
      <c r="I609" t="n">
        <v>0</v>
      </c>
      <c r="J609" t="n">
        <v>0</v>
      </c>
      <c r="K609" t="n">
        <v>0</v>
      </c>
      <c r="L609" t="n">
        <v>0</v>
      </c>
      <c r="M609" t="n">
        <v>0</v>
      </c>
      <c r="N609" t="n">
        <v>0</v>
      </c>
      <c r="O609" t="n">
        <v>0</v>
      </c>
      <c r="P609" t="n">
        <v>0</v>
      </c>
      <c r="Q609" t="n">
        <v>0</v>
      </c>
      <c r="R609" s="2" t="inlineStr"/>
    </row>
    <row r="610" ht="15" customHeight="1">
      <c r="A610" t="inlineStr">
        <is>
          <t>A 32633-2023</t>
        </is>
      </c>
      <c r="B610" s="1" t="n">
        <v>45121.58699074074</v>
      </c>
      <c r="C610" s="1" t="n">
        <v>45989</v>
      </c>
      <c r="D610" t="inlineStr">
        <is>
          <t>KALMAR LÄN</t>
        </is>
      </c>
      <c r="E610" t="inlineStr">
        <is>
          <t>VIMMERBY</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43601-2024</t>
        </is>
      </c>
      <c r="B611" s="1" t="n">
        <v>45569.44684027778</v>
      </c>
      <c r="C611" s="1" t="n">
        <v>45989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59039-2025</t>
        </is>
      </c>
      <c r="B612" s="1" t="n">
        <v>45988.36790509259</v>
      </c>
      <c r="C612" s="1" t="n">
        <v>45989</v>
      </c>
      <c r="D612" t="inlineStr">
        <is>
          <t>KALMAR LÄN</t>
        </is>
      </c>
      <c r="E612" t="inlineStr">
        <is>
          <t>VIMMERBY</t>
        </is>
      </c>
      <c r="F612" t="inlineStr">
        <is>
          <t>Sveaskog</t>
        </is>
      </c>
      <c r="G612" t="n">
        <v>3.2</v>
      </c>
      <c r="H612" t="n">
        <v>0</v>
      </c>
      <c r="I612" t="n">
        <v>0</v>
      </c>
      <c r="J612" t="n">
        <v>0</v>
      </c>
      <c r="K612" t="n">
        <v>0</v>
      </c>
      <c r="L612" t="n">
        <v>0</v>
      </c>
      <c r="M612" t="n">
        <v>0</v>
      </c>
      <c r="N612" t="n">
        <v>0</v>
      </c>
      <c r="O612" t="n">
        <v>0</v>
      </c>
      <c r="P612" t="n">
        <v>0</v>
      </c>
      <c r="Q612" t="n">
        <v>0</v>
      </c>
      <c r="R612" s="2" t="inlineStr"/>
    </row>
    <row r="613" ht="15" customHeight="1">
      <c r="A613" t="inlineStr">
        <is>
          <t>A 13813-2024</t>
        </is>
      </c>
      <c r="B613" s="1" t="n">
        <v>45391.41310185185</v>
      </c>
      <c r="C613" s="1" t="n">
        <v>45989</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58858-2025</t>
        </is>
      </c>
      <c r="B614" s="1" t="n">
        <v>45987.4243287037</v>
      </c>
      <c r="C614" s="1" t="n">
        <v>45989</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25234-2023</t>
        </is>
      </c>
      <c r="B615" s="1" t="n">
        <v>45086.63194444445</v>
      </c>
      <c r="C615" s="1" t="n">
        <v>45989</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25236-2023</t>
        </is>
      </c>
      <c r="B616" s="1" t="n">
        <v>45086.63334490741</v>
      </c>
      <c r="C616" s="1" t="n">
        <v>45989</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58997-2025</t>
        </is>
      </c>
      <c r="B617" s="1" t="n">
        <v>45987</v>
      </c>
      <c r="C617" s="1" t="n">
        <v>45989</v>
      </c>
      <c r="D617" t="inlineStr">
        <is>
          <t>KALMAR LÄN</t>
        </is>
      </c>
      <c r="E617" t="inlineStr">
        <is>
          <t>VIMMERBY</t>
        </is>
      </c>
      <c r="G617" t="n">
        <v>7.9</v>
      </c>
      <c r="H617" t="n">
        <v>0</v>
      </c>
      <c r="I617" t="n">
        <v>0</v>
      </c>
      <c r="J617" t="n">
        <v>0</v>
      </c>
      <c r="K617" t="n">
        <v>0</v>
      </c>
      <c r="L617" t="n">
        <v>0</v>
      </c>
      <c r="M617" t="n">
        <v>0</v>
      </c>
      <c r="N617" t="n">
        <v>0</v>
      </c>
      <c r="O617" t="n">
        <v>0</v>
      </c>
      <c r="P617" t="n">
        <v>0</v>
      </c>
      <c r="Q617" t="n">
        <v>0</v>
      </c>
      <c r="R617" s="2" t="inlineStr"/>
    </row>
    <row r="618" ht="15" customHeight="1">
      <c r="A618" t="inlineStr">
        <is>
          <t>A 25244-2023</t>
        </is>
      </c>
      <c r="B618" s="1" t="n">
        <v>45086</v>
      </c>
      <c r="C618" s="1" t="n">
        <v>45989</v>
      </c>
      <c r="D618" t="inlineStr">
        <is>
          <t>KALMAR LÄN</t>
        </is>
      </c>
      <c r="E618" t="inlineStr">
        <is>
          <t>VIMMERBY</t>
        </is>
      </c>
      <c r="G618" t="n">
        <v>4.7</v>
      </c>
      <c r="H618" t="n">
        <v>0</v>
      </c>
      <c r="I618" t="n">
        <v>0</v>
      </c>
      <c r="J618" t="n">
        <v>0</v>
      </c>
      <c r="K618" t="n">
        <v>0</v>
      </c>
      <c r="L618" t="n">
        <v>0</v>
      </c>
      <c r="M618" t="n">
        <v>0</v>
      </c>
      <c r="N618" t="n">
        <v>0</v>
      </c>
      <c r="O618" t="n">
        <v>0</v>
      </c>
      <c r="P618" t="n">
        <v>0</v>
      </c>
      <c r="Q618" t="n">
        <v>0</v>
      </c>
      <c r="R618" s="2" t="inlineStr"/>
    </row>
    <row r="619" ht="15" customHeight="1">
      <c r="A619" t="inlineStr">
        <is>
          <t>A 59037-2025</t>
        </is>
      </c>
      <c r="B619" s="1" t="n">
        <v>45988.36508101852</v>
      </c>
      <c r="C619" s="1" t="n">
        <v>45989</v>
      </c>
      <c r="D619" t="inlineStr">
        <is>
          <t>KALMAR LÄN</t>
        </is>
      </c>
      <c r="E619" t="inlineStr">
        <is>
          <t>VIMMERBY</t>
        </is>
      </c>
      <c r="F619" t="inlineStr">
        <is>
          <t>Sveaskog</t>
        </is>
      </c>
      <c r="G619" t="n">
        <v>4</v>
      </c>
      <c r="H619" t="n">
        <v>0</v>
      </c>
      <c r="I619" t="n">
        <v>0</v>
      </c>
      <c r="J619" t="n">
        <v>0</v>
      </c>
      <c r="K619" t="n">
        <v>0</v>
      </c>
      <c r="L619" t="n">
        <v>0</v>
      </c>
      <c r="M619" t="n">
        <v>0</v>
      </c>
      <c r="N619" t="n">
        <v>0</v>
      </c>
      <c r="O619" t="n">
        <v>0</v>
      </c>
      <c r="P619" t="n">
        <v>0</v>
      </c>
      <c r="Q619" t="n">
        <v>0</v>
      </c>
      <c r="R619" s="2" t="inlineStr"/>
    </row>
    <row r="620" ht="15" customHeight="1">
      <c r="A620" t="inlineStr">
        <is>
          <t>A 23341-2022</t>
        </is>
      </c>
      <c r="B620" s="1" t="n">
        <v>44720.53898148148</v>
      </c>
      <c r="C620" s="1" t="n">
        <v>45989</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59068-2025</t>
        </is>
      </c>
      <c r="B621" s="1" t="n">
        <v>45988.41725694444</v>
      </c>
      <c r="C621" s="1" t="n">
        <v>45989</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8086-2021</t>
        </is>
      </c>
      <c r="B622" s="1" t="n">
        <v>44243</v>
      </c>
      <c r="C622" s="1" t="n">
        <v>45989</v>
      </c>
      <c r="D622" t="inlineStr">
        <is>
          <t>KALMAR LÄN</t>
        </is>
      </c>
      <c r="E622" t="inlineStr">
        <is>
          <t>VIMMERBY</t>
        </is>
      </c>
      <c r="G622" t="n">
        <v>4.1</v>
      </c>
      <c r="H622" t="n">
        <v>0</v>
      </c>
      <c r="I622" t="n">
        <v>0</v>
      </c>
      <c r="J622" t="n">
        <v>0</v>
      </c>
      <c r="K622" t="n">
        <v>0</v>
      </c>
      <c r="L622" t="n">
        <v>0</v>
      </c>
      <c r="M622" t="n">
        <v>0</v>
      </c>
      <c r="N622" t="n">
        <v>0</v>
      </c>
      <c r="O622" t="n">
        <v>0</v>
      </c>
      <c r="P622" t="n">
        <v>0</v>
      </c>
      <c r="Q622" t="n">
        <v>0</v>
      </c>
      <c r="R622" s="2" t="inlineStr"/>
    </row>
    <row r="623" ht="15" customHeight="1">
      <c r="A623" t="inlineStr">
        <is>
          <t>A 50544-2025</t>
        </is>
      </c>
      <c r="B623" s="1" t="n">
        <v>45945.50736111111</v>
      </c>
      <c r="C623" s="1" t="n">
        <v>45989</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71793-2021</t>
        </is>
      </c>
      <c r="B624" s="1" t="n">
        <v>44539</v>
      </c>
      <c r="C624" s="1" t="n">
        <v>45989</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73938-2021</t>
        </is>
      </c>
      <c r="B625" s="1" t="n">
        <v>44553</v>
      </c>
      <c r="C625" s="1" t="n">
        <v>45989</v>
      </c>
      <c r="D625" t="inlineStr">
        <is>
          <t>KALMAR LÄN</t>
        </is>
      </c>
      <c r="E625" t="inlineStr">
        <is>
          <t>VIMMERBY</t>
        </is>
      </c>
      <c r="G625" t="n">
        <v>3.2</v>
      </c>
      <c r="H625" t="n">
        <v>0</v>
      </c>
      <c r="I625" t="n">
        <v>0</v>
      </c>
      <c r="J625" t="n">
        <v>0</v>
      </c>
      <c r="K625" t="n">
        <v>0</v>
      </c>
      <c r="L625" t="n">
        <v>0</v>
      </c>
      <c r="M625" t="n">
        <v>0</v>
      </c>
      <c r="N625" t="n">
        <v>0</v>
      </c>
      <c r="O625" t="n">
        <v>0</v>
      </c>
      <c r="P625" t="n">
        <v>0</v>
      </c>
      <c r="Q625" t="n">
        <v>0</v>
      </c>
      <c r="R625" s="2" t="inlineStr"/>
    </row>
    <row r="626" ht="15" customHeight="1">
      <c r="A626" t="inlineStr">
        <is>
          <t>A 59034-2025</t>
        </is>
      </c>
      <c r="B626" s="1" t="n">
        <v>45988.36243055556</v>
      </c>
      <c r="C626" s="1" t="n">
        <v>45989</v>
      </c>
      <c r="D626" t="inlineStr">
        <is>
          <t>KALMAR LÄN</t>
        </is>
      </c>
      <c r="E626" t="inlineStr">
        <is>
          <t>VIMMERBY</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6069-2023</t>
        </is>
      </c>
      <c r="B627" s="1" t="n">
        <v>44964.5115162037</v>
      </c>
      <c r="C627" s="1" t="n">
        <v>45989</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50995-2022</t>
        </is>
      </c>
      <c r="B628" s="1" t="n">
        <v>44867</v>
      </c>
      <c r="C628" s="1" t="n">
        <v>45989</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27122-2023</t>
        </is>
      </c>
      <c r="B629" s="1" t="n">
        <v>45096.45247685185</v>
      </c>
      <c r="C629" s="1" t="n">
        <v>45989</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30402-2023</t>
        </is>
      </c>
      <c r="B630" s="1" t="n">
        <v>45111.48395833333</v>
      </c>
      <c r="C630" s="1" t="n">
        <v>45989</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47842-2024</t>
        </is>
      </c>
      <c r="B631" s="1" t="n">
        <v>45588.65545138889</v>
      </c>
      <c r="C631" s="1" t="n">
        <v>45989</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6857-2023</t>
        </is>
      </c>
      <c r="B632" s="1" t="n">
        <v>44967.45122685185</v>
      </c>
      <c r="C632" s="1" t="n">
        <v>45989</v>
      </c>
      <c r="D632" t="inlineStr">
        <is>
          <t>KALMAR LÄN</t>
        </is>
      </c>
      <c r="E632" t="inlineStr">
        <is>
          <t>VIMMERBY</t>
        </is>
      </c>
      <c r="G632" t="n">
        <v>2.1</v>
      </c>
      <c r="H632" t="n">
        <v>0</v>
      </c>
      <c r="I632" t="n">
        <v>0</v>
      </c>
      <c r="J632" t="n">
        <v>0</v>
      </c>
      <c r="K632" t="n">
        <v>0</v>
      </c>
      <c r="L632" t="n">
        <v>0</v>
      </c>
      <c r="M632" t="n">
        <v>0</v>
      </c>
      <c r="N632" t="n">
        <v>0</v>
      </c>
      <c r="O632" t="n">
        <v>0</v>
      </c>
      <c r="P632" t="n">
        <v>0</v>
      </c>
      <c r="Q632" t="n">
        <v>0</v>
      </c>
      <c r="R632" s="2" t="inlineStr"/>
    </row>
    <row r="633" ht="15" customHeight="1">
      <c r="A633" t="inlineStr">
        <is>
          <t>A 46224-2024</t>
        </is>
      </c>
      <c r="B633" s="1" t="n">
        <v>45581.57016203704</v>
      </c>
      <c r="C633" s="1" t="n">
        <v>45989</v>
      </c>
      <c r="D633" t="inlineStr">
        <is>
          <t>KALMAR LÄN</t>
        </is>
      </c>
      <c r="E633" t="inlineStr">
        <is>
          <t>VIMMERBY</t>
        </is>
      </c>
      <c r="G633" t="n">
        <v>3.1</v>
      </c>
      <c r="H633" t="n">
        <v>0</v>
      </c>
      <c r="I633" t="n">
        <v>0</v>
      </c>
      <c r="J633" t="n">
        <v>0</v>
      </c>
      <c r="K633" t="n">
        <v>0</v>
      </c>
      <c r="L633" t="n">
        <v>0</v>
      </c>
      <c r="M633" t="n">
        <v>0</v>
      </c>
      <c r="N633" t="n">
        <v>0</v>
      </c>
      <c r="O633" t="n">
        <v>0</v>
      </c>
      <c r="P633" t="n">
        <v>0</v>
      </c>
      <c r="Q633" t="n">
        <v>0</v>
      </c>
      <c r="R633" s="2" t="inlineStr"/>
    </row>
    <row r="634" ht="15" customHeight="1">
      <c r="A634" t="inlineStr">
        <is>
          <t>A 29013-2024</t>
        </is>
      </c>
      <c r="B634" s="1" t="n">
        <v>45481.55984953704</v>
      </c>
      <c r="C634" s="1" t="n">
        <v>45989</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37028-2024</t>
        </is>
      </c>
      <c r="B635" s="1" t="n">
        <v>45539.38744212963</v>
      </c>
      <c r="C635" s="1" t="n">
        <v>45989</v>
      </c>
      <c r="D635" t="inlineStr">
        <is>
          <t>KALMAR LÄN</t>
        </is>
      </c>
      <c r="E635" t="inlineStr">
        <is>
          <t>VIMMERBY</t>
        </is>
      </c>
      <c r="G635" t="n">
        <v>5.2</v>
      </c>
      <c r="H635" t="n">
        <v>0</v>
      </c>
      <c r="I635" t="n">
        <v>0</v>
      </c>
      <c r="J635" t="n">
        <v>0</v>
      </c>
      <c r="K635" t="n">
        <v>0</v>
      </c>
      <c r="L635" t="n">
        <v>0</v>
      </c>
      <c r="M635" t="n">
        <v>0</v>
      </c>
      <c r="N635" t="n">
        <v>0</v>
      </c>
      <c r="O635" t="n">
        <v>0</v>
      </c>
      <c r="P635" t="n">
        <v>0</v>
      </c>
      <c r="Q635" t="n">
        <v>0</v>
      </c>
      <c r="R635" s="2" t="inlineStr"/>
    </row>
    <row r="636" ht="15" customHeight="1">
      <c r="A636" t="inlineStr">
        <is>
          <t>A 37187-2024</t>
        </is>
      </c>
      <c r="B636" s="1" t="n">
        <v>45539.65212962963</v>
      </c>
      <c r="C636" s="1" t="n">
        <v>45989</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12630-2023</t>
        </is>
      </c>
      <c r="B637" s="1" t="n">
        <v>45000.47998842593</v>
      </c>
      <c r="C637" s="1" t="n">
        <v>45989</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39584-2024</t>
        </is>
      </c>
      <c r="B638" s="1" t="n">
        <v>45552.36759259259</v>
      </c>
      <c r="C638" s="1" t="n">
        <v>45989</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27705-2023</t>
        </is>
      </c>
      <c r="B639" s="1" t="n">
        <v>45098.30535879629</v>
      </c>
      <c r="C639" s="1" t="n">
        <v>45989</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31013-2023</t>
        </is>
      </c>
      <c r="B640" s="1" t="n">
        <v>45113.56574074074</v>
      </c>
      <c r="C640" s="1" t="n">
        <v>45989</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15388-2025</t>
        </is>
      </c>
      <c r="B641" s="1" t="n">
        <v>45747.42633101852</v>
      </c>
      <c r="C641" s="1" t="n">
        <v>45989</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15391-2025</t>
        </is>
      </c>
      <c r="B642" s="1" t="n">
        <v>45747.42958333333</v>
      </c>
      <c r="C642" s="1" t="n">
        <v>45989</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11303-2025</t>
        </is>
      </c>
      <c r="B643" s="1" t="n">
        <v>45726.44471064815</v>
      </c>
      <c r="C643" s="1" t="n">
        <v>45989</v>
      </c>
      <c r="D643" t="inlineStr">
        <is>
          <t>KALMAR LÄN</t>
        </is>
      </c>
      <c r="E643" t="inlineStr">
        <is>
          <t>VIMMERBY</t>
        </is>
      </c>
      <c r="G643" t="n">
        <v>2.1</v>
      </c>
      <c r="H643" t="n">
        <v>0</v>
      </c>
      <c r="I643" t="n">
        <v>0</v>
      </c>
      <c r="J643" t="n">
        <v>0</v>
      </c>
      <c r="K643" t="n">
        <v>0</v>
      </c>
      <c r="L643" t="n">
        <v>0</v>
      </c>
      <c r="M643" t="n">
        <v>0</v>
      </c>
      <c r="N643" t="n">
        <v>0</v>
      </c>
      <c r="O643" t="n">
        <v>0</v>
      </c>
      <c r="P643" t="n">
        <v>0</v>
      </c>
      <c r="Q643" t="n">
        <v>0</v>
      </c>
      <c r="R643" s="2" t="inlineStr"/>
    </row>
    <row r="644" ht="15" customHeight="1">
      <c r="A644" t="inlineStr">
        <is>
          <t>A 33352-2022</t>
        </is>
      </c>
      <c r="B644" s="1" t="n">
        <v>44788</v>
      </c>
      <c r="C644" s="1" t="n">
        <v>45989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46234-2024</t>
        </is>
      </c>
      <c r="B645" s="1" t="n">
        <v>45581.57958333333</v>
      </c>
      <c r="C645" s="1" t="n">
        <v>45989</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39053-2024</t>
        </is>
      </c>
      <c r="B646" s="1" t="n">
        <v>45548</v>
      </c>
      <c r="C646" s="1" t="n">
        <v>45989</v>
      </c>
      <c r="D646" t="inlineStr">
        <is>
          <t>KALMAR LÄN</t>
        </is>
      </c>
      <c r="E646" t="inlineStr">
        <is>
          <t>VIMMERBY</t>
        </is>
      </c>
      <c r="G646" t="n">
        <v>5</v>
      </c>
      <c r="H646" t="n">
        <v>0</v>
      </c>
      <c r="I646" t="n">
        <v>0</v>
      </c>
      <c r="J646" t="n">
        <v>0</v>
      </c>
      <c r="K646" t="n">
        <v>0</v>
      </c>
      <c r="L646" t="n">
        <v>0</v>
      </c>
      <c r="M646" t="n">
        <v>0</v>
      </c>
      <c r="N646" t="n">
        <v>0</v>
      </c>
      <c r="O646" t="n">
        <v>0</v>
      </c>
      <c r="P646" t="n">
        <v>0</v>
      </c>
      <c r="Q646" t="n">
        <v>0</v>
      </c>
      <c r="R646" s="2" t="inlineStr"/>
    </row>
    <row r="647" ht="15" customHeight="1">
      <c r="A647" t="inlineStr">
        <is>
          <t>A 15449-2023</t>
        </is>
      </c>
      <c r="B647" s="1" t="n">
        <v>45020</v>
      </c>
      <c r="C647" s="1" t="n">
        <v>45989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43594-2024</t>
        </is>
      </c>
      <c r="B648" s="1" t="n">
        <v>45569.44295138889</v>
      </c>
      <c r="C648" s="1" t="n">
        <v>45989</v>
      </c>
      <c r="D648" t="inlineStr">
        <is>
          <t>KALMAR LÄN</t>
        </is>
      </c>
      <c r="E648" t="inlineStr">
        <is>
          <t>VIMMERBY</t>
        </is>
      </c>
      <c r="G648" t="n">
        <v>3.9</v>
      </c>
      <c r="H648" t="n">
        <v>0</v>
      </c>
      <c r="I648" t="n">
        <v>0</v>
      </c>
      <c r="J648" t="n">
        <v>0</v>
      </c>
      <c r="K648" t="n">
        <v>0</v>
      </c>
      <c r="L648" t="n">
        <v>0</v>
      </c>
      <c r="M648" t="n">
        <v>0</v>
      </c>
      <c r="N648" t="n">
        <v>0</v>
      </c>
      <c r="O648" t="n">
        <v>0</v>
      </c>
      <c r="P648" t="n">
        <v>0</v>
      </c>
      <c r="Q648" t="n">
        <v>0</v>
      </c>
      <c r="R648" s="2" t="inlineStr"/>
    </row>
    <row r="649" ht="15" customHeight="1">
      <c r="A649" t="inlineStr">
        <is>
          <t>A 17486-2024</t>
        </is>
      </c>
      <c r="B649" s="1" t="n">
        <v>45415.48979166667</v>
      </c>
      <c r="C649" s="1" t="n">
        <v>45989</v>
      </c>
      <c r="D649" t="inlineStr">
        <is>
          <t>KALMAR LÄN</t>
        </is>
      </c>
      <c r="E649" t="inlineStr">
        <is>
          <t>VIMMERBY</t>
        </is>
      </c>
      <c r="G649" t="n">
        <v>2.6</v>
      </c>
      <c r="H649" t="n">
        <v>0</v>
      </c>
      <c r="I649" t="n">
        <v>0</v>
      </c>
      <c r="J649" t="n">
        <v>0</v>
      </c>
      <c r="K649" t="n">
        <v>0</v>
      </c>
      <c r="L649" t="n">
        <v>0</v>
      </c>
      <c r="M649" t="n">
        <v>0</v>
      </c>
      <c r="N649" t="n">
        <v>0</v>
      </c>
      <c r="O649" t="n">
        <v>0</v>
      </c>
      <c r="P649" t="n">
        <v>0</v>
      </c>
      <c r="Q649" t="n">
        <v>0</v>
      </c>
      <c r="R649" s="2" t="inlineStr"/>
    </row>
    <row r="650" ht="15" customHeight="1">
      <c r="A650" t="inlineStr">
        <is>
          <t>A 14248-2023</t>
        </is>
      </c>
      <c r="B650" s="1" t="n">
        <v>45009</v>
      </c>
      <c r="C650" s="1" t="n">
        <v>45989</v>
      </c>
      <c r="D650" t="inlineStr">
        <is>
          <t>KALMAR LÄN</t>
        </is>
      </c>
      <c r="E650" t="inlineStr">
        <is>
          <t>VIMMERBY</t>
        </is>
      </c>
      <c r="G650" t="n">
        <v>2.6</v>
      </c>
      <c r="H650" t="n">
        <v>0</v>
      </c>
      <c r="I650" t="n">
        <v>0</v>
      </c>
      <c r="J650" t="n">
        <v>0</v>
      </c>
      <c r="K650" t="n">
        <v>0</v>
      </c>
      <c r="L650" t="n">
        <v>0</v>
      </c>
      <c r="M650" t="n">
        <v>0</v>
      </c>
      <c r="N650" t="n">
        <v>0</v>
      </c>
      <c r="O650" t="n">
        <v>0</v>
      </c>
      <c r="P650" t="n">
        <v>0</v>
      </c>
      <c r="Q650" t="n">
        <v>0</v>
      </c>
      <c r="R650" s="2" t="inlineStr"/>
    </row>
    <row r="651" ht="15" customHeight="1">
      <c r="A651" t="inlineStr">
        <is>
          <t>A 30400-2023</t>
        </is>
      </c>
      <c r="B651" s="1" t="n">
        <v>45111.48225694444</v>
      </c>
      <c r="C651" s="1" t="n">
        <v>45989</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30404-2023</t>
        </is>
      </c>
      <c r="B652" s="1" t="n">
        <v>45111.48636574074</v>
      </c>
      <c r="C652" s="1" t="n">
        <v>45989</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55123-2024</t>
        </is>
      </c>
      <c r="B653" s="1" t="n">
        <v>45621.46103009259</v>
      </c>
      <c r="C653" s="1" t="n">
        <v>45989</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31405-2023</t>
        </is>
      </c>
      <c r="B654" s="1" t="n">
        <v>45114.58148148148</v>
      </c>
      <c r="C654" s="1" t="n">
        <v>45989</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24707-2024</t>
        </is>
      </c>
      <c r="B655" s="1" t="n">
        <v>45460.62172453704</v>
      </c>
      <c r="C655" s="1" t="n">
        <v>45989</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36049-2024</t>
        </is>
      </c>
      <c r="B656" s="1" t="n">
        <v>45533.61996527778</v>
      </c>
      <c r="C656" s="1" t="n">
        <v>45989</v>
      </c>
      <c r="D656" t="inlineStr">
        <is>
          <t>KALMAR LÄN</t>
        </is>
      </c>
      <c r="E656" t="inlineStr">
        <is>
          <t>VIMMERBY</t>
        </is>
      </c>
      <c r="F656" t="inlineStr">
        <is>
          <t>Kommuner</t>
        </is>
      </c>
      <c r="G656" t="n">
        <v>2.6</v>
      </c>
      <c r="H656" t="n">
        <v>0</v>
      </c>
      <c r="I656" t="n">
        <v>0</v>
      </c>
      <c r="J656" t="n">
        <v>0</v>
      </c>
      <c r="K656" t="n">
        <v>0</v>
      </c>
      <c r="L656" t="n">
        <v>0</v>
      </c>
      <c r="M656" t="n">
        <v>0</v>
      </c>
      <c r="N656" t="n">
        <v>0</v>
      </c>
      <c r="O656" t="n">
        <v>0</v>
      </c>
      <c r="P656" t="n">
        <v>0</v>
      </c>
      <c r="Q656" t="n">
        <v>0</v>
      </c>
      <c r="R656" s="2" t="inlineStr"/>
    </row>
    <row r="657" ht="15" customHeight="1">
      <c r="A657" t="inlineStr">
        <is>
          <t>A 58159-2024</t>
        </is>
      </c>
      <c r="B657" s="1" t="n">
        <v>45632.44886574074</v>
      </c>
      <c r="C657" s="1" t="n">
        <v>45989</v>
      </c>
      <c r="D657" t="inlineStr">
        <is>
          <t>KALMAR LÄN</t>
        </is>
      </c>
      <c r="E657" t="inlineStr">
        <is>
          <t>VIMMERBY</t>
        </is>
      </c>
      <c r="G657" t="n">
        <v>7.5</v>
      </c>
      <c r="H657" t="n">
        <v>0</v>
      </c>
      <c r="I657" t="n">
        <v>0</v>
      </c>
      <c r="J657" t="n">
        <v>0</v>
      </c>
      <c r="K657" t="n">
        <v>0</v>
      </c>
      <c r="L657" t="n">
        <v>0</v>
      </c>
      <c r="M657" t="n">
        <v>0</v>
      </c>
      <c r="N657" t="n">
        <v>0</v>
      </c>
      <c r="O657" t="n">
        <v>0</v>
      </c>
      <c r="P657" t="n">
        <v>0</v>
      </c>
      <c r="Q657" t="n">
        <v>0</v>
      </c>
      <c r="R657" s="2" t="inlineStr"/>
    </row>
    <row r="658" ht="15" customHeight="1">
      <c r="A658" t="inlineStr">
        <is>
          <t>A 14359-2025</t>
        </is>
      </c>
      <c r="B658" s="1" t="n">
        <v>45741.37270833334</v>
      </c>
      <c r="C658" s="1" t="n">
        <v>45989</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39578-2024</t>
        </is>
      </c>
      <c r="B659" s="1" t="n">
        <v>45552.36484953704</v>
      </c>
      <c r="C659" s="1" t="n">
        <v>45989</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62779-2023</t>
        </is>
      </c>
      <c r="B660" s="1" t="n">
        <v>45271.66576388889</v>
      </c>
      <c r="C660" s="1" t="n">
        <v>45989</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46399-2024</t>
        </is>
      </c>
      <c r="B661" s="1" t="n">
        <v>45582.41200231481</v>
      </c>
      <c r="C661" s="1" t="n">
        <v>45989</v>
      </c>
      <c r="D661" t="inlineStr">
        <is>
          <t>KALMAR LÄN</t>
        </is>
      </c>
      <c r="E661" t="inlineStr">
        <is>
          <t>VIMMERBY</t>
        </is>
      </c>
      <c r="G661" t="n">
        <v>4.6</v>
      </c>
      <c r="H661" t="n">
        <v>0</v>
      </c>
      <c r="I661" t="n">
        <v>0</v>
      </c>
      <c r="J661" t="n">
        <v>0</v>
      </c>
      <c r="K661" t="n">
        <v>0</v>
      </c>
      <c r="L661" t="n">
        <v>0</v>
      </c>
      <c r="M661" t="n">
        <v>0</v>
      </c>
      <c r="N661" t="n">
        <v>0</v>
      </c>
      <c r="O661" t="n">
        <v>0</v>
      </c>
      <c r="P661" t="n">
        <v>0</v>
      </c>
      <c r="Q661" t="n">
        <v>0</v>
      </c>
      <c r="R661" s="2" t="inlineStr"/>
    </row>
    <row r="662" ht="15" customHeight="1">
      <c r="A662" t="inlineStr">
        <is>
          <t>A 3425-2022</t>
        </is>
      </c>
      <c r="B662" s="1" t="n">
        <v>44585.51060185185</v>
      </c>
      <c r="C662" s="1" t="n">
        <v>45989</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43962-2024</t>
        </is>
      </c>
      <c r="B663" s="1" t="n">
        <v>45572.48293981481</v>
      </c>
      <c r="C663" s="1" t="n">
        <v>45989</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12810-2023</t>
        </is>
      </c>
      <c r="B664" s="1" t="n">
        <v>45001.43854166667</v>
      </c>
      <c r="C664" s="1" t="n">
        <v>45989</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43068-2023</t>
        </is>
      </c>
      <c r="B665" s="1" t="n">
        <v>45182.78834490741</v>
      </c>
      <c r="C665" s="1" t="n">
        <v>45989</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12075-2024</t>
        </is>
      </c>
      <c r="B666" s="1" t="n">
        <v>45377</v>
      </c>
      <c r="C666" s="1" t="n">
        <v>45989</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1799-2025</t>
        </is>
      </c>
      <c r="B667" s="1" t="n">
        <v>45671.46746527778</v>
      </c>
      <c r="C667" s="1" t="n">
        <v>45989</v>
      </c>
      <c r="D667" t="inlineStr">
        <is>
          <t>KALMAR LÄN</t>
        </is>
      </c>
      <c r="E667" t="inlineStr">
        <is>
          <t>VIMMERBY</t>
        </is>
      </c>
      <c r="G667" t="n">
        <v>3.3</v>
      </c>
      <c r="H667" t="n">
        <v>0</v>
      </c>
      <c r="I667" t="n">
        <v>0</v>
      </c>
      <c r="J667" t="n">
        <v>0</v>
      </c>
      <c r="K667" t="n">
        <v>0</v>
      </c>
      <c r="L667" t="n">
        <v>0</v>
      </c>
      <c r="M667" t="n">
        <v>0</v>
      </c>
      <c r="N667" t="n">
        <v>0</v>
      </c>
      <c r="O667" t="n">
        <v>0</v>
      </c>
      <c r="P667" t="n">
        <v>0</v>
      </c>
      <c r="Q667" t="n">
        <v>0</v>
      </c>
      <c r="R667" s="2" t="inlineStr"/>
    </row>
    <row r="668" ht="15" customHeight="1">
      <c r="A668" t="inlineStr">
        <is>
          <t>A 2462-2022</t>
        </is>
      </c>
      <c r="B668" s="1" t="n">
        <v>44579.62225694444</v>
      </c>
      <c r="C668" s="1" t="n">
        <v>45989</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13015-2022</t>
        </is>
      </c>
      <c r="B669" s="1" t="n">
        <v>44643</v>
      </c>
      <c r="C669" s="1" t="n">
        <v>45989</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4624-2024</t>
        </is>
      </c>
      <c r="B670" s="1" t="n">
        <v>45328.38755787037</v>
      </c>
      <c r="C670" s="1" t="n">
        <v>45989</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9129-2025</t>
        </is>
      </c>
      <c r="B671" s="1" t="n">
        <v>45713.92412037037</v>
      </c>
      <c r="C671" s="1" t="n">
        <v>45989</v>
      </c>
      <c r="D671" t="inlineStr">
        <is>
          <t>KALMAR LÄN</t>
        </is>
      </c>
      <c r="E671" t="inlineStr">
        <is>
          <t>VIMMERBY</t>
        </is>
      </c>
      <c r="G671" t="n">
        <v>2.8</v>
      </c>
      <c r="H671" t="n">
        <v>0</v>
      </c>
      <c r="I671" t="n">
        <v>0</v>
      </c>
      <c r="J671" t="n">
        <v>0</v>
      </c>
      <c r="K671" t="n">
        <v>0</v>
      </c>
      <c r="L671" t="n">
        <v>0</v>
      </c>
      <c r="M671" t="n">
        <v>0</v>
      </c>
      <c r="N671" t="n">
        <v>0</v>
      </c>
      <c r="O671" t="n">
        <v>0</v>
      </c>
      <c r="P671" t="n">
        <v>0</v>
      </c>
      <c r="Q671" t="n">
        <v>0</v>
      </c>
      <c r="R671" s="2" t="inlineStr"/>
    </row>
    <row r="672" ht="15" customHeight="1">
      <c r="A672" t="inlineStr">
        <is>
          <t>A 22643-2023</t>
        </is>
      </c>
      <c r="B672" s="1" t="n">
        <v>45071</v>
      </c>
      <c r="C672" s="1" t="n">
        <v>45989</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34597-2022</t>
        </is>
      </c>
      <c r="B673" s="1" t="n">
        <v>44795</v>
      </c>
      <c r="C673" s="1" t="n">
        <v>45989</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40079-2023</t>
        </is>
      </c>
      <c r="B674" s="1" t="n">
        <v>45168.89298611111</v>
      </c>
      <c r="C674" s="1" t="n">
        <v>45989</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19833-2023</t>
        </is>
      </c>
      <c r="B675" s="1" t="n">
        <v>45052</v>
      </c>
      <c r="C675" s="1" t="n">
        <v>45989</v>
      </c>
      <c r="D675" t="inlineStr">
        <is>
          <t>KALMAR LÄN</t>
        </is>
      </c>
      <c r="E675" t="inlineStr">
        <is>
          <t>VIMMERBY</t>
        </is>
      </c>
      <c r="G675" t="n">
        <v>6.7</v>
      </c>
      <c r="H675" t="n">
        <v>0</v>
      </c>
      <c r="I675" t="n">
        <v>0</v>
      </c>
      <c r="J675" t="n">
        <v>0</v>
      </c>
      <c r="K675" t="n">
        <v>0</v>
      </c>
      <c r="L675" t="n">
        <v>0</v>
      </c>
      <c r="M675" t="n">
        <v>0</v>
      </c>
      <c r="N675" t="n">
        <v>0</v>
      </c>
      <c r="O675" t="n">
        <v>0</v>
      </c>
      <c r="P675" t="n">
        <v>0</v>
      </c>
      <c r="Q675" t="n">
        <v>0</v>
      </c>
      <c r="R675" s="2" t="inlineStr"/>
    </row>
    <row r="676" ht="15" customHeight="1">
      <c r="A676" t="inlineStr">
        <is>
          <t>A 17084-2025</t>
        </is>
      </c>
      <c r="B676" s="1" t="n">
        <v>45755.64450231481</v>
      </c>
      <c r="C676" s="1" t="n">
        <v>45989</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56022-2024</t>
        </is>
      </c>
      <c r="B677" s="1" t="n">
        <v>45623.95947916667</v>
      </c>
      <c r="C677" s="1" t="n">
        <v>45989</v>
      </c>
      <c r="D677" t="inlineStr">
        <is>
          <t>KALMAR LÄN</t>
        </is>
      </c>
      <c r="E677" t="inlineStr">
        <is>
          <t>VIMMERBY</t>
        </is>
      </c>
      <c r="G677" t="n">
        <v>0.3</v>
      </c>
      <c r="H677" t="n">
        <v>0</v>
      </c>
      <c r="I677" t="n">
        <v>0</v>
      </c>
      <c r="J677" t="n">
        <v>0</v>
      </c>
      <c r="K677" t="n">
        <v>0</v>
      </c>
      <c r="L677" t="n">
        <v>0</v>
      </c>
      <c r="M677" t="n">
        <v>0</v>
      </c>
      <c r="N677" t="n">
        <v>0</v>
      </c>
      <c r="O677" t="n">
        <v>0</v>
      </c>
      <c r="P677" t="n">
        <v>0</v>
      </c>
      <c r="Q677" t="n">
        <v>0</v>
      </c>
      <c r="R677" s="2" t="inlineStr"/>
    </row>
    <row r="678" ht="15" customHeight="1">
      <c r="A678" t="inlineStr">
        <is>
          <t>A 11928-2022</t>
        </is>
      </c>
      <c r="B678" s="1" t="n">
        <v>44635</v>
      </c>
      <c r="C678" s="1" t="n">
        <v>45989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5527-2022</t>
        </is>
      </c>
      <c r="B679" s="1" t="n">
        <v>44595.583125</v>
      </c>
      <c r="C679" s="1" t="n">
        <v>45989</v>
      </c>
      <c r="D679" t="inlineStr">
        <is>
          <t>KALMAR LÄN</t>
        </is>
      </c>
      <c r="E679" t="inlineStr">
        <is>
          <t>VIMMERBY</t>
        </is>
      </c>
      <c r="G679" t="n">
        <v>3.6</v>
      </c>
      <c r="H679" t="n">
        <v>0</v>
      </c>
      <c r="I679" t="n">
        <v>0</v>
      </c>
      <c r="J679" t="n">
        <v>0</v>
      </c>
      <c r="K679" t="n">
        <v>0</v>
      </c>
      <c r="L679" t="n">
        <v>0</v>
      </c>
      <c r="M679" t="n">
        <v>0</v>
      </c>
      <c r="N679" t="n">
        <v>0</v>
      </c>
      <c r="O679" t="n">
        <v>0</v>
      </c>
      <c r="P679" t="n">
        <v>0</v>
      </c>
      <c r="Q679" t="n">
        <v>0</v>
      </c>
      <c r="R679" s="2" t="inlineStr"/>
    </row>
    <row r="680" ht="15" customHeight="1">
      <c r="A680" t="inlineStr">
        <is>
          <t>A 49461-2023</t>
        </is>
      </c>
      <c r="B680" s="1" t="n">
        <v>45211.52642361111</v>
      </c>
      <c r="C680" s="1" t="n">
        <v>45989</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49474-2023</t>
        </is>
      </c>
      <c r="B681" s="1" t="n">
        <v>45211.541875</v>
      </c>
      <c r="C681" s="1" t="n">
        <v>45989</v>
      </c>
      <c r="D681" t="inlineStr">
        <is>
          <t>KALMAR LÄN</t>
        </is>
      </c>
      <c r="E681" t="inlineStr">
        <is>
          <t>VIMMERBY</t>
        </is>
      </c>
      <c r="G681" t="n">
        <v>3.6</v>
      </c>
      <c r="H681" t="n">
        <v>0</v>
      </c>
      <c r="I681" t="n">
        <v>0</v>
      </c>
      <c r="J681" t="n">
        <v>0</v>
      </c>
      <c r="K681" t="n">
        <v>0</v>
      </c>
      <c r="L681" t="n">
        <v>0</v>
      </c>
      <c r="M681" t="n">
        <v>0</v>
      </c>
      <c r="N681" t="n">
        <v>0</v>
      </c>
      <c r="O681" t="n">
        <v>0</v>
      </c>
      <c r="P681" t="n">
        <v>0</v>
      </c>
      <c r="Q681" t="n">
        <v>0</v>
      </c>
      <c r="R681" s="2" t="inlineStr"/>
    </row>
    <row r="682" ht="15" customHeight="1">
      <c r="A682" t="inlineStr">
        <is>
          <t>A 61861-2024</t>
        </is>
      </c>
      <c r="B682" s="1" t="n">
        <v>45650.37370370371</v>
      </c>
      <c r="C682" s="1" t="n">
        <v>45989</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45846-2023</t>
        </is>
      </c>
      <c r="B683" s="1" t="n">
        <v>45195.58452546296</v>
      </c>
      <c r="C683" s="1" t="n">
        <v>45989</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8167-2024</t>
        </is>
      </c>
      <c r="B684" s="1" t="n">
        <v>45351.6062962963</v>
      </c>
      <c r="C684" s="1" t="n">
        <v>45989</v>
      </c>
      <c r="D684" t="inlineStr">
        <is>
          <t>KALMAR LÄN</t>
        </is>
      </c>
      <c r="E684" t="inlineStr">
        <is>
          <t>VIMMERBY</t>
        </is>
      </c>
      <c r="G684" t="n">
        <v>3.8</v>
      </c>
      <c r="H684" t="n">
        <v>0</v>
      </c>
      <c r="I684" t="n">
        <v>0</v>
      </c>
      <c r="J684" t="n">
        <v>0</v>
      </c>
      <c r="K684" t="n">
        <v>0</v>
      </c>
      <c r="L684" t="n">
        <v>0</v>
      </c>
      <c r="M684" t="n">
        <v>0</v>
      </c>
      <c r="N684" t="n">
        <v>0</v>
      </c>
      <c r="O684" t="n">
        <v>0</v>
      </c>
      <c r="P684" t="n">
        <v>0</v>
      </c>
      <c r="Q684" t="n">
        <v>0</v>
      </c>
      <c r="R684" s="2" t="inlineStr"/>
    </row>
    <row r="685" ht="15" customHeight="1">
      <c r="A685" t="inlineStr">
        <is>
          <t>A 49382-2023</t>
        </is>
      </c>
      <c r="B685" s="1" t="n">
        <v>45208</v>
      </c>
      <c r="C685" s="1" t="n">
        <v>45989</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12121-2025</t>
        </is>
      </c>
      <c r="B686" s="1" t="n">
        <v>45729.36868055556</v>
      </c>
      <c r="C686" s="1" t="n">
        <v>45989</v>
      </c>
      <c r="D686" t="inlineStr">
        <is>
          <t>KALMAR LÄN</t>
        </is>
      </c>
      <c r="E686" t="inlineStr">
        <is>
          <t>VIMMERBY</t>
        </is>
      </c>
      <c r="G686" t="n">
        <v>4.3</v>
      </c>
      <c r="H686" t="n">
        <v>0</v>
      </c>
      <c r="I686" t="n">
        <v>0</v>
      </c>
      <c r="J686" t="n">
        <v>0</v>
      </c>
      <c r="K686" t="n">
        <v>0</v>
      </c>
      <c r="L686" t="n">
        <v>0</v>
      </c>
      <c r="M686" t="n">
        <v>0</v>
      </c>
      <c r="N686" t="n">
        <v>0</v>
      </c>
      <c r="O686" t="n">
        <v>0</v>
      </c>
      <c r="P686" t="n">
        <v>0</v>
      </c>
      <c r="Q686" t="n">
        <v>0</v>
      </c>
      <c r="R686" s="2" t="inlineStr"/>
    </row>
    <row r="687" ht="15" customHeight="1">
      <c r="A687" t="inlineStr">
        <is>
          <t>A 35846-2023</t>
        </is>
      </c>
      <c r="B687" s="1" t="n">
        <v>45148</v>
      </c>
      <c r="C687" s="1" t="n">
        <v>45989</v>
      </c>
      <c r="D687" t="inlineStr">
        <is>
          <t>KALMAR LÄN</t>
        </is>
      </c>
      <c r="E687" t="inlineStr">
        <is>
          <t>VIMMERBY</t>
        </is>
      </c>
      <c r="G687" t="n">
        <v>1</v>
      </c>
      <c r="H687" t="n">
        <v>0</v>
      </c>
      <c r="I687" t="n">
        <v>0</v>
      </c>
      <c r="J687" t="n">
        <v>0</v>
      </c>
      <c r="K687" t="n">
        <v>0</v>
      </c>
      <c r="L687" t="n">
        <v>0</v>
      </c>
      <c r="M687" t="n">
        <v>0</v>
      </c>
      <c r="N687" t="n">
        <v>0</v>
      </c>
      <c r="O687" t="n">
        <v>0</v>
      </c>
      <c r="P687" t="n">
        <v>0</v>
      </c>
      <c r="Q687" t="n">
        <v>0</v>
      </c>
      <c r="R687" s="2" t="inlineStr"/>
    </row>
    <row r="688" ht="15" customHeight="1">
      <c r="A688" t="inlineStr">
        <is>
          <t>A 35913-2023</t>
        </is>
      </c>
      <c r="B688" s="1" t="n">
        <v>45148</v>
      </c>
      <c r="C688" s="1" t="n">
        <v>45989</v>
      </c>
      <c r="D688" t="inlineStr">
        <is>
          <t>KALMAR LÄN</t>
        </is>
      </c>
      <c r="E688" t="inlineStr">
        <is>
          <t>VIMMERBY</t>
        </is>
      </c>
      <c r="G688" t="n">
        <v>6.9</v>
      </c>
      <c r="H688" t="n">
        <v>0</v>
      </c>
      <c r="I688" t="n">
        <v>0</v>
      </c>
      <c r="J688" t="n">
        <v>0</v>
      </c>
      <c r="K688" t="n">
        <v>0</v>
      </c>
      <c r="L688" t="n">
        <v>0</v>
      </c>
      <c r="M688" t="n">
        <v>0</v>
      </c>
      <c r="N688" t="n">
        <v>0</v>
      </c>
      <c r="O688" t="n">
        <v>0</v>
      </c>
      <c r="P688" t="n">
        <v>0</v>
      </c>
      <c r="Q688" t="n">
        <v>0</v>
      </c>
      <c r="R688" s="2" t="inlineStr"/>
    </row>
    <row r="689" ht="15" customHeight="1">
      <c r="A689" t="inlineStr">
        <is>
          <t>A 38757-2023</t>
        </is>
      </c>
      <c r="B689" s="1" t="n">
        <v>45163.41376157408</v>
      </c>
      <c r="C689" s="1" t="n">
        <v>45989</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20136-2024</t>
        </is>
      </c>
      <c r="B690" s="1" t="n">
        <v>45434.56291666667</v>
      </c>
      <c r="C690" s="1" t="n">
        <v>45989</v>
      </c>
      <c r="D690" t="inlineStr">
        <is>
          <t>KALMAR LÄN</t>
        </is>
      </c>
      <c r="E690" t="inlineStr">
        <is>
          <t>VIMMERBY</t>
        </is>
      </c>
      <c r="F690" t="inlineStr">
        <is>
          <t>Sveaskog</t>
        </is>
      </c>
      <c r="G690" t="n">
        <v>8.4</v>
      </c>
      <c r="H690" t="n">
        <v>0</v>
      </c>
      <c r="I690" t="n">
        <v>0</v>
      </c>
      <c r="J690" t="n">
        <v>0</v>
      </c>
      <c r="K690" t="n">
        <v>0</v>
      </c>
      <c r="L690" t="n">
        <v>0</v>
      </c>
      <c r="M690" t="n">
        <v>0</v>
      </c>
      <c r="N690" t="n">
        <v>0</v>
      </c>
      <c r="O690" t="n">
        <v>0</v>
      </c>
      <c r="P690" t="n">
        <v>0</v>
      </c>
      <c r="Q690" t="n">
        <v>0</v>
      </c>
      <c r="R690" s="2" t="inlineStr"/>
    </row>
    <row r="691" ht="15" customHeight="1">
      <c r="A691" t="inlineStr">
        <is>
          <t>A 24283-2023</t>
        </is>
      </c>
      <c r="B691" s="1" t="n">
        <v>45079.87827546296</v>
      </c>
      <c r="C691" s="1" t="n">
        <v>45989</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59598-2023</t>
        </is>
      </c>
      <c r="B692" s="1" t="n">
        <v>45254.62489583333</v>
      </c>
      <c r="C692" s="1" t="n">
        <v>45989</v>
      </c>
      <c r="D692" t="inlineStr">
        <is>
          <t>KALMAR LÄN</t>
        </is>
      </c>
      <c r="E692" t="inlineStr">
        <is>
          <t>VIMMERBY</t>
        </is>
      </c>
      <c r="F692" t="inlineStr">
        <is>
          <t>Övriga Aktiebolag</t>
        </is>
      </c>
      <c r="G692" t="n">
        <v>4</v>
      </c>
      <c r="H692" t="n">
        <v>0</v>
      </c>
      <c r="I692" t="n">
        <v>0</v>
      </c>
      <c r="J692" t="n">
        <v>0</v>
      </c>
      <c r="K692" t="n">
        <v>0</v>
      </c>
      <c r="L692" t="n">
        <v>0</v>
      </c>
      <c r="M692" t="n">
        <v>0</v>
      </c>
      <c r="N692" t="n">
        <v>0</v>
      </c>
      <c r="O692" t="n">
        <v>0</v>
      </c>
      <c r="P692" t="n">
        <v>0</v>
      </c>
      <c r="Q692" t="n">
        <v>0</v>
      </c>
      <c r="R692" s="2" t="inlineStr"/>
    </row>
    <row r="693" ht="15" customHeight="1">
      <c r="A693" t="inlineStr">
        <is>
          <t>A 30920-2023</t>
        </is>
      </c>
      <c r="B693" s="1" t="n">
        <v>45113.43921296296</v>
      </c>
      <c r="C693" s="1" t="n">
        <v>45989</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44825.4336574074</v>
      </c>
      <c r="C694" s="1" t="n">
        <v>45989</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33380-2023</t>
        </is>
      </c>
      <c r="B695" s="1" t="n">
        <v>45128</v>
      </c>
      <c r="C695" s="1" t="n">
        <v>45989</v>
      </c>
      <c r="D695" t="inlineStr">
        <is>
          <t>KALMAR LÄN</t>
        </is>
      </c>
      <c r="E695" t="inlineStr">
        <is>
          <t>VIMMERBY</t>
        </is>
      </c>
      <c r="G695" t="n">
        <v>5.2</v>
      </c>
      <c r="H695" t="n">
        <v>0</v>
      </c>
      <c r="I695" t="n">
        <v>0</v>
      </c>
      <c r="J695" t="n">
        <v>0</v>
      </c>
      <c r="K695" t="n">
        <v>0</v>
      </c>
      <c r="L695" t="n">
        <v>0</v>
      </c>
      <c r="M695" t="n">
        <v>0</v>
      </c>
      <c r="N695" t="n">
        <v>0</v>
      </c>
      <c r="O695" t="n">
        <v>0</v>
      </c>
      <c r="P695" t="n">
        <v>0</v>
      </c>
      <c r="Q695" t="n">
        <v>0</v>
      </c>
      <c r="R695" s="2" t="inlineStr"/>
    </row>
    <row r="696" ht="15" customHeight="1">
      <c r="A696" t="inlineStr">
        <is>
          <t>A 46144-2023</t>
        </is>
      </c>
      <c r="B696" s="1" t="n">
        <v>45196.57247685185</v>
      </c>
      <c r="C696" s="1" t="n">
        <v>45989</v>
      </c>
      <c r="D696" t="inlineStr">
        <is>
          <t>KALMAR LÄN</t>
        </is>
      </c>
      <c r="E696" t="inlineStr">
        <is>
          <t>VIMMERBY</t>
        </is>
      </c>
      <c r="G696" t="n">
        <v>6.5</v>
      </c>
      <c r="H696" t="n">
        <v>0</v>
      </c>
      <c r="I696" t="n">
        <v>0</v>
      </c>
      <c r="J696" t="n">
        <v>0</v>
      </c>
      <c r="K696" t="n">
        <v>0</v>
      </c>
      <c r="L696" t="n">
        <v>0</v>
      </c>
      <c r="M696" t="n">
        <v>0</v>
      </c>
      <c r="N696" t="n">
        <v>0</v>
      </c>
      <c r="O696" t="n">
        <v>0</v>
      </c>
      <c r="P696" t="n">
        <v>0</v>
      </c>
      <c r="Q696" t="n">
        <v>0</v>
      </c>
      <c r="R696" s="2" t="inlineStr"/>
    </row>
    <row r="697" ht="15" customHeight="1">
      <c r="A697" t="inlineStr">
        <is>
          <t>A 54787-2023</t>
        </is>
      </c>
      <c r="B697" s="1" t="n">
        <v>45236</v>
      </c>
      <c r="C697" s="1" t="n">
        <v>45989</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15715-2022</t>
        </is>
      </c>
      <c r="B698" s="1" t="n">
        <v>44663</v>
      </c>
      <c r="C698" s="1" t="n">
        <v>45989</v>
      </c>
      <c r="D698" t="inlineStr">
        <is>
          <t>KALMAR LÄN</t>
        </is>
      </c>
      <c r="E698" t="inlineStr">
        <is>
          <t>VIMMERBY</t>
        </is>
      </c>
      <c r="G698" t="n">
        <v>2.3</v>
      </c>
      <c r="H698" t="n">
        <v>0</v>
      </c>
      <c r="I698" t="n">
        <v>0</v>
      </c>
      <c r="J698" t="n">
        <v>0</v>
      </c>
      <c r="K698" t="n">
        <v>0</v>
      </c>
      <c r="L698" t="n">
        <v>0</v>
      </c>
      <c r="M698" t="n">
        <v>0</v>
      </c>
      <c r="N698" t="n">
        <v>0</v>
      </c>
      <c r="O698" t="n">
        <v>0</v>
      </c>
      <c r="P698" t="n">
        <v>0</v>
      </c>
      <c r="Q698" t="n">
        <v>0</v>
      </c>
      <c r="R698" s="2" t="inlineStr"/>
    </row>
    <row r="699" ht="15" customHeight="1">
      <c r="A699" t="inlineStr">
        <is>
          <t>A 43774-2023</t>
        </is>
      </c>
      <c r="B699" s="1" t="n">
        <v>45187</v>
      </c>
      <c r="C699" s="1" t="n">
        <v>45989</v>
      </c>
      <c r="D699" t="inlineStr">
        <is>
          <t>KALMAR LÄN</t>
        </is>
      </c>
      <c r="E699" t="inlineStr">
        <is>
          <t>VIMMERBY</t>
        </is>
      </c>
      <c r="G699" t="n">
        <v>3.4</v>
      </c>
      <c r="H699" t="n">
        <v>0</v>
      </c>
      <c r="I699" t="n">
        <v>0</v>
      </c>
      <c r="J699" t="n">
        <v>0</v>
      </c>
      <c r="K699" t="n">
        <v>0</v>
      </c>
      <c r="L699" t="n">
        <v>0</v>
      </c>
      <c r="M699" t="n">
        <v>0</v>
      </c>
      <c r="N699" t="n">
        <v>0</v>
      </c>
      <c r="O699" t="n">
        <v>0</v>
      </c>
      <c r="P699" t="n">
        <v>0</v>
      </c>
      <c r="Q699" t="n">
        <v>0</v>
      </c>
      <c r="R699" s="2" t="inlineStr"/>
    </row>
    <row r="700" ht="15" customHeight="1">
      <c r="A700" t="inlineStr">
        <is>
          <t>A 43705-2023</t>
        </is>
      </c>
      <c r="B700" s="1" t="n">
        <v>45187.42854166667</v>
      </c>
      <c r="C700" s="1" t="n">
        <v>45989</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7932-2025</t>
        </is>
      </c>
      <c r="B701" s="1" t="n">
        <v>45707.3793287037</v>
      </c>
      <c r="C701" s="1" t="n">
        <v>45989</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13532-2025</t>
        </is>
      </c>
      <c r="B702" s="1" t="n">
        <v>45736.50743055555</v>
      </c>
      <c r="C702" s="1" t="n">
        <v>45989</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65049-2020</t>
        </is>
      </c>
      <c r="B703" s="1" t="n">
        <v>44172</v>
      </c>
      <c r="C703" s="1" t="n">
        <v>45989</v>
      </c>
      <c r="D703" t="inlineStr">
        <is>
          <t>KALMAR LÄN</t>
        </is>
      </c>
      <c r="E703" t="inlineStr">
        <is>
          <t>VIMMERBY</t>
        </is>
      </c>
      <c r="G703" t="n">
        <v>2.3</v>
      </c>
      <c r="H703" t="n">
        <v>0</v>
      </c>
      <c r="I703" t="n">
        <v>0</v>
      </c>
      <c r="J703" t="n">
        <v>0</v>
      </c>
      <c r="K703" t="n">
        <v>0</v>
      </c>
      <c r="L703" t="n">
        <v>0</v>
      </c>
      <c r="M703" t="n">
        <v>0</v>
      </c>
      <c r="N703" t="n">
        <v>0</v>
      </c>
      <c r="O703" t="n">
        <v>0</v>
      </c>
      <c r="P703" t="n">
        <v>0</v>
      </c>
      <c r="Q703" t="n">
        <v>0</v>
      </c>
      <c r="R703" s="2" t="inlineStr"/>
    </row>
    <row r="704" ht="15" customHeight="1">
      <c r="A704" t="inlineStr">
        <is>
          <t>A 1978-2024</t>
        </is>
      </c>
      <c r="B704" s="1" t="n">
        <v>45308.59001157407</v>
      </c>
      <c r="C704" s="1" t="n">
        <v>45989</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6399-2025</t>
        </is>
      </c>
      <c r="B705" s="1" t="n">
        <v>45699.44291666667</v>
      </c>
      <c r="C705" s="1" t="n">
        <v>45989</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41311-2023</t>
        </is>
      </c>
      <c r="B706" s="1" t="n">
        <v>45174</v>
      </c>
      <c r="C706" s="1" t="n">
        <v>45989</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10785-2025</t>
        </is>
      </c>
      <c r="B707" s="1" t="n">
        <v>45722.48634259259</v>
      </c>
      <c r="C707" s="1" t="n">
        <v>45989</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18020-2025</t>
        </is>
      </c>
      <c r="B708" s="1" t="n">
        <v>45761.4437962963</v>
      </c>
      <c r="C708" s="1" t="n">
        <v>45989</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585-2024</t>
        </is>
      </c>
      <c r="B709" s="1" t="n">
        <v>45299.62576388889</v>
      </c>
      <c r="C709" s="1" t="n">
        <v>45989</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6802-2025</t>
        </is>
      </c>
      <c r="B710" s="1" t="n">
        <v>45700.68289351852</v>
      </c>
      <c r="C710" s="1" t="n">
        <v>45989</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56020-2024</t>
        </is>
      </c>
      <c r="B711" s="1" t="n">
        <v>45623.9525462963</v>
      </c>
      <c r="C711" s="1" t="n">
        <v>45989</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33842-2022</t>
        </is>
      </c>
      <c r="B712" s="1" t="n">
        <v>44790.49523148148</v>
      </c>
      <c r="C712" s="1" t="n">
        <v>45989</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60675-2023</t>
        </is>
      </c>
      <c r="B713" s="1" t="n">
        <v>45260.4716550926</v>
      </c>
      <c r="C713" s="1" t="n">
        <v>45989</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40095-2022</t>
        </is>
      </c>
      <c r="B714" s="1" t="n">
        <v>44820</v>
      </c>
      <c r="C714" s="1" t="n">
        <v>45989</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19537-2022</t>
        </is>
      </c>
      <c r="B715" s="1" t="n">
        <v>44693.62822916666</v>
      </c>
      <c r="C715" s="1" t="n">
        <v>45989</v>
      </c>
      <c r="D715" t="inlineStr">
        <is>
          <t>KALMAR LÄN</t>
        </is>
      </c>
      <c r="E715" t="inlineStr">
        <is>
          <t>VIMMERBY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57311-2023</t>
        </is>
      </c>
      <c r="B716" s="1" t="n">
        <v>45245.63574074074</v>
      </c>
      <c r="C716" s="1" t="n">
        <v>45989</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64428-2023</t>
        </is>
      </c>
      <c r="B717" s="1" t="n">
        <v>45280.66769675926</v>
      </c>
      <c r="C717" s="1" t="n">
        <v>45989</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4527-2023</t>
        </is>
      </c>
      <c r="B718" s="1" t="n">
        <v>44956</v>
      </c>
      <c r="C718" s="1" t="n">
        <v>45989</v>
      </c>
      <c r="D718" t="inlineStr">
        <is>
          <t>KALMAR LÄN</t>
        </is>
      </c>
      <c r="E718" t="inlineStr">
        <is>
          <t>VIMMERBY</t>
        </is>
      </c>
      <c r="F718" t="inlineStr">
        <is>
          <t>Kommuner</t>
        </is>
      </c>
      <c r="G718" t="n">
        <v>8.5</v>
      </c>
      <c r="H718" t="n">
        <v>0</v>
      </c>
      <c r="I718" t="n">
        <v>0</v>
      </c>
      <c r="J718" t="n">
        <v>0</v>
      </c>
      <c r="K718" t="n">
        <v>0</v>
      </c>
      <c r="L718" t="n">
        <v>0</v>
      </c>
      <c r="M718" t="n">
        <v>0</v>
      </c>
      <c r="N718" t="n">
        <v>0</v>
      </c>
      <c r="O718" t="n">
        <v>0</v>
      </c>
      <c r="P718" t="n">
        <v>0</v>
      </c>
      <c r="Q718" t="n">
        <v>0</v>
      </c>
      <c r="R718" s="2" t="inlineStr"/>
    </row>
    <row r="719" ht="15" customHeight="1">
      <c r="A719" t="inlineStr">
        <is>
          <t>A 3268-2024</t>
        </is>
      </c>
      <c r="B719" s="1" t="n">
        <v>45317</v>
      </c>
      <c r="C719" s="1" t="n">
        <v>45989</v>
      </c>
      <c r="D719" t="inlineStr">
        <is>
          <t>KALMAR LÄN</t>
        </is>
      </c>
      <c r="E719" t="inlineStr">
        <is>
          <t>VIMMERBY</t>
        </is>
      </c>
      <c r="F719" t="inlineStr">
        <is>
          <t>Övriga Aktiebolag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51408-2023</t>
        </is>
      </c>
      <c r="B720" s="1" t="n">
        <v>45219.69356481481</v>
      </c>
      <c r="C720" s="1" t="n">
        <v>45989</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12480-2024</t>
        </is>
      </c>
      <c r="B721" s="1" t="n">
        <v>45379</v>
      </c>
      <c r="C721" s="1" t="n">
        <v>45989</v>
      </c>
      <c r="D721" t="inlineStr">
        <is>
          <t>KALMAR LÄN</t>
        </is>
      </c>
      <c r="E721" t="inlineStr">
        <is>
          <t>VIMMERBY</t>
        </is>
      </c>
      <c r="G721" t="n">
        <v>2.8</v>
      </c>
      <c r="H721" t="n">
        <v>0</v>
      </c>
      <c r="I721" t="n">
        <v>0</v>
      </c>
      <c r="J721" t="n">
        <v>0</v>
      </c>
      <c r="K721" t="n">
        <v>0</v>
      </c>
      <c r="L721" t="n">
        <v>0</v>
      </c>
      <c r="M721" t="n">
        <v>0</v>
      </c>
      <c r="N721" t="n">
        <v>0</v>
      </c>
      <c r="O721" t="n">
        <v>0</v>
      </c>
      <c r="P721" t="n">
        <v>0</v>
      </c>
      <c r="Q721" t="n">
        <v>0</v>
      </c>
      <c r="R721" s="2" t="inlineStr"/>
    </row>
    <row r="722" ht="15" customHeight="1">
      <c r="A722" t="inlineStr">
        <is>
          <t>A 52588-2023</t>
        </is>
      </c>
      <c r="B722" s="1" t="n">
        <v>45225.60192129629</v>
      </c>
      <c r="C722" s="1" t="n">
        <v>45989</v>
      </c>
      <c r="D722" t="inlineStr">
        <is>
          <t>KALMAR LÄN</t>
        </is>
      </c>
      <c r="E722" t="inlineStr">
        <is>
          <t>VIMMERBY</t>
        </is>
      </c>
      <c r="G722" t="n">
        <v>2.9</v>
      </c>
      <c r="H722" t="n">
        <v>0</v>
      </c>
      <c r="I722" t="n">
        <v>0</v>
      </c>
      <c r="J722" t="n">
        <v>0</v>
      </c>
      <c r="K722" t="n">
        <v>0</v>
      </c>
      <c r="L722" t="n">
        <v>0</v>
      </c>
      <c r="M722" t="n">
        <v>0</v>
      </c>
      <c r="N722" t="n">
        <v>0</v>
      </c>
      <c r="O722" t="n">
        <v>0</v>
      </c>
      <c r="P722" t="n">
        <v>0</v>
      </c>
      <c r="Q722" t="n">
        <v>0</v>
      </c>
      <c r="R722" s="2" t="inlineStr"/>
    </row>
    <row r="723" ht="15" customHeight="1">
      <c r="A723" t="inlineStr">
        <is>
          <t>A 55236-2023</t>
        </is>
      </c>
      <c r="B723" s="1" t="n">
        <v>45237.63225694445</v>
      </c>
      <c r="C723" s="1" t="n">
        <v>45989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55245-2023</t>
        </is>
      </c>
      <c r="B724" s="1" t="n">
        <v>45237.64408564815</v>
      </c>
      <c r="C724" s="1" t="n">
        <v>45989</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19111-2025</t>
        </is>
      </c>
      <c r="B725" s="1" t="n">
        <v>45768.65611111111</v>
      </c>
      <c r="C725" s="1" t="n">
        <v>45989</v>
      </c>
      <c r="D725" t="inlineStr">
        <is>
          <t>KALMAR LÄN</t>
        </is>
      </c>
      <c r="E725" t="inlineStr">
        <is>
          <t>VIMMERBY</t>
        </is>
      </c>
      <c r="G725" t="n">
        <v>6.2</v>
      </c>
      <c r="H725" t="n">
        <v>0</v>
      </c>
      <c r="I725" t="n">
        <v>0</v>
      </c>
      <c r="J725" t="n">
        <v>0</v>
      </c>
      <c r="K725" t="n">
        <v>0</v>
      </c>
      <c r="L725" t="n">
        <v>0</v>
      </c>
      <c r="M725" t="n">
        <v>0</v>
      </c>
      <c r="N725" t="n">
        <v>0</v>
      </c>
      <c r="O725" t="n">
        <v>0</v>
      </c>
      <c r="P725" t="n">
        <v>0</v>
      </c>
      <c r="Q725" t="n">
        <v>0</v>
      </c>
      <c r="R725" s="2" t="inlineStr"/>
    </row>
    <row r="726" ht="15" customHeight="1">
      <c r="A726" t="inlineStr">
        <is>
          <t>A 25370-2022</t>
        </is>
      </c>
      <c r="B726" s="1" t="n">
        <v>44732.3659837963</v>
      </c>
      <c r="C726" s="1" t="n">
        <v>45989</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33838-2022</t>
        </is>
      </c>
      <c r="B727" s="1" t="n">
        <v>44790.49040509259</v>
      </c>
      <c r="C727" s="1" t="n">
        <v>45989</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4058-2024</t>
        </is>
      </c>
      <c r="B728" s="1" t="n">
        <v>45323.53744212963</v>
      </c>
      <c r="C728" s="1" t="n">
        <v>45989</v>
      </c>
      <c r="D728" t="inlineStr">
        <is>
          <t>KALMAR LÄN</t>
        </is>
      </c>
      <c r="E728" t="inlineStr">
        <is>
          <t>VIMMERBY</t>
        </is>
      </c>
      <c r="G728" t="n">
        <v>6.5</v>
      </c>
      <c r="H728" t="n">
        <v>0</v>
      </c>
      <c r="I728" t="n">
        <v>0</v>
      </c>
      <c r="J728" t="n">
        <v>0</v>
      </c>
      <c r="K728" t="n">
        <v>0</v>
      </c>
      <c r="L728" t="n">
        <v>0</v>
      </c>
      <c r="M728" t="n">
        <v>0</v>
      </c>
      <c r="N728" t="n">
        <v>0</v>
      </c>
      <c r="O728" t="n">
        <v>0</v>
      </c>
      <c r="P728" t="n">
        <v>0</v>
      </c>
      <c r="Q728" t="n">
        <v>0</v>
      </c>
      <c r="R728" s="2" t="inlineStr"/>
    </row>
    <row r="729" ht="15" customHeight="1">
      <c r="A729" t="inlineStr">
        <is>
          <t>A 36008-2024</t>
        </is>
      </c>
      <c r="B729" s="1" t="n">
        <v>45533.55362268518</v>
      </c>
      <c r="C729" s="1" t="n">
        <v>45989</v>
      </c>
      <c r="D729" t="inlineStr">
        <is>
          <t>KALMAR LÄN</t>
        </is>
      </c>
      <c r="E729" t="inlineStr">
        <is>
          <t>VIMMERBY</t>
        </is>
      </c>
      <c r="G729" t="n">
        <v>3.7</v>
      </c>
      <c r="H729" t="n">
        <v>0</v>
      </c>
      <c r="I729" t="n">
        <v>0</v>
      </c>
      <c r="J729" t="n">
        <v>0</v>
      </c>
      <c r="K729" t="n">
        <v>0</v>
      </c>
      <c r="L729" t="n">
        <v>0</v>
      </c>
      <c r="M729" t="n">
        <v>0</v>
      </c>
      <c r="N729" t="n">
        <v>0</v>
      </c>
      <c r="O729" t="n">
        <v>0</v>
      </c>
      <c r="P729" t="n">
        <v>0</v>
      </c>
      <c r="Q729" t="n">
        <v>0</v>
      </c>
      <c r="R729" s="2" t="inlineStr"/>
    </row>
    <row r="730" ht="15" customHeight="1">
      <c r="A730" t="inlineStr">
        <is>
          <t>A 18669-2025</t>
        </is>
      </c>
      <c r="B730" s="1" t="n">
        <v>45763.59436342592</v>
      </c>
      <c r="C730" s="1" t="n">
        <v>45989</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8540-2024</t>
        </is>
      </c>
      <c r="B731" s="1" t="n">
        <v>45355.54138888889</v>
      </c>
      <c r="C731" s="1" t="n">
        <v>45989</v>
      </c>
      <c r="D731" t="inlineStr">
        <is>
          <t>KALMAR LÄN</t>
        </is>
      </c>
      <c r="E731" t="inlineStr">
        <is>
          <t>VIMMERBY</t>
        </is>
      </c>
      <c r="G731" t="n">
        <v>1.9</v>
      </c>
      <c r="H731" t="n">
        <v>0</v>
      </c>
      <c r="I731" t="n">
        <v>0</v>
      </c>
      <c r="J731" t="n">
        <v>0</v>
      </c>
      <c r="K731" t="n">
        <v>0</v>
      </c>
      <c r="L731" t="n">
        <v>0</v>
      </c>
      <c r="M731" t="n">
        <v>0</v>
      </c>
      <c r="N731" t="n">
        <v>0</v>
      </c>
      <c r="O731" t="n">
        <v>0</v>
      </c>
      <c r="P731" t="n">
        <v>0</v>
      </c>
      <c r="Q731" t="n">
        <v>0</v>
      </c>
      <c r="R731" s="2" t="inlineStr"/>
    </row>
    <row r="732" ht="15" customHeight="1">
      <c r="A732" t="inlineStr">
        <is>
          <t>A 9623-2024</t>
        </is>
      </c>
      <c r="B732" s="1" t="n">
        <v>45361.87975694444</v>
      </c>
      <c r="C732" s="1" t="n">
        <v>45989</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5146-2024</t>
        </is>
      </c>
      <c r="B733" s="1" t="n">
        <v>45330</v>
      </c>
      <c r="C733" s="1" t="n">
        <v>45989</v>
      </c>
      <c r="D733" t="inlineStr">
        <is>
          <t>KALMAR LÄN</t>
        </is>
      </c>
      <c r="E733" t="inlineStr">
        <is>
          <t>VIMMERBY</t>
        </is>
      </c>
      <c r="G733" t="n">
        <v>5.3</v>
      </c>
      <c r="H733" t="n">
        <v>0</v>
      </c>
      <c r="I733" t="n">
        <v>0</v>
      </c>
      <c r="J733" t="n">
        <v>0</v>
      </c>
      <c r="K733" t="n">
        <v>0</v>
      </c>
      <c r="L733" t="n">
        <v>0</v>
      </c>
      <c r="M733" t="n">
        <v>0</v>
      </c>
      <c r="N733" t="n">
        <v>0</v>
      </c>
      <c r="O733" t="n">
        <v>0</v>
      </c>
      <c r="P733" t="n">
        <v>0</v>
      </c>
      <c r="Q733" t="n">
        <v>0</v>
      </c>
      <c r="R733" s="2" t="inlineStr"/>
    </row>
    <row r="734" ht="15" customHeight="1">
      <c r="A734" t="inlineStr">
        <is>
          <t>A 5148-2024</t>
        </is>
      </c>
      <c r="B734" s="1" t="n">
        <v>45330</v>
      </c>
      <c r="C734" s="1" t="n">
        <v>45989</v>
      </c>
      <c r="D734" t="inlineStr">
        <is>
          <t>KALMAR LÄN</t>
        </is>
      </c>
      <c r="E734" t="inlineStr">
        <is>
          <t>VIMMERBY</t>
        </is>
      </c>
      <c r="G734" t="n">
        <v>5.6</v>
      </c>
      <c r="H734" t="n">
        <v>0</v>
      </c>
      <c r="I734" t="n">
        <v>0</v>
      </c>
      <c r="J734" t="n">
        <v>0</v>
      </c>
      <c r="K734" t="n">
        <v>0</v>
      </c>
      <c r="L734" t="n">
        <v>0</v>
      </c>
      <c r="M734" t="n">
        <v>0</v>
      </c>
      <c r="N734" t="n">
        <v>0</v>
      </c>
      <c r="O734" t="n">
        <v>0</v>
      </c>
      <c r="P734" t="n">
        <v>0</v>
      </c>
      <c r="Q734" t="n">
        <v>0</v>
      </c>
      <c r="R734" s="2" t="inlineStr"/>
    </row>
    <row r="735" ht="15" customHeight="1">
      <c r="A735" t="inlineStr">
        <is>
          <t>A 44179-2022</t>
        </is>
      </c>
      <c r="B735" s="1" t="n">
        <v>44839.4528125</v>
      </c>
      <c r="C735" s="1" t="n">
        <v>45989</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50648-2023</t>
        </is>
      </c>
      <c r="B736" s="1" t="n">
        <v>45217.47834490741</v>
      </c>
      <c r="C736" s="1" t="n">
        <v>45989</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2121-2022</t>
        </is>
      </c>
      <c r="B737" s="1" t="n">
        <v>44578.32717592592</v>
      </c>
      <c r="C737" s="1" t="n">
        <v>45989</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57799-2022</t>
        </is>
      </c>
      <c r="B738" s="1" t="n">
        <v>44897</v>
      </c>
      <c r="C738" s="1" t="n">
        <v>45989</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15394-2025</t>
        </is>
      </c>
      <c r="B739" s="1" t="n">
        <v>45747.43196759259</v>
      </c>
      <c r="C739" s="1" t="n">
        <v>45989</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26318-2023</t>
        </is>
      </c>
      <c r="B740" s="1" t="n">
        <v>45091.67936342592</v>
      </c>
      <c r="C740" s="1" t="n">
        <v>45989</v>
      </c>
      <c r="D740" t="inlineStr">
        <is>
          <t>KALMAR LÄN</t>
        </is>
      </c>
      <c r="E740" t="inlineStr">
        <is>
          <t>VIMMERBY</t>
        </is>
      </c>
      <c r="G740" t="n">
        <v>3.8</v>
      </c>
      <c r="H740" t="n">
        <v>0</v>
      </c>
      <c r="I740" t="n">
        <v>0</v>
      </c>
      <c r="J740" t="n">
        <v>0</v>
      </c>
      <c r="K740" t="n">
        <v>0</v>
      </c>
      <c r="L740" t="n">
        <v>0</v>
      </c>
      <c r="M740" t="n">
        <v>0</v>
      </c>
      <c r="N740" t="n">
        <v>0</v>
      </c>
      <c r="O740" t="n">
        <v>0</v>
      </c>
      <c r="P740" t="n">
        <v>0</v>
      </c>
      <c r="Q740" t="n">
        <v>0</v>
      </c>
      <c r="R740" s="2" t="inlineStr"/>
    </row>
    <row r="741" ht="15" customHeight="1">
      <c r="A741" t="inlineStr">
        <is>
          <t>A 60437-2023</t>
        </is>
      </c>
      <c r="B741" s="1" t="n">
        <v>45259.51916666667</v>
      </c>
      <c r="C741" s="1" t="n">
        <v>45989</v>
      </c>
      <c r="D741" t="inlineStr">
        <is>
          <t>KALMAR LÄN</t>
        </is>
      </c>
      <c r="E741" t="inlineStr">
        <is>
          <t>VIMMERBY</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60438-2023</t>
        </is>
      </c>
      <c r="B742" s="1" t="n">
        <v>45259.52020833334</v>
      </c>
      <c r="C742" s="1" t="n">
        <v>45989</v>
      </c>
      <c r="D742" t="inlineStr">
        <is>
          <t>KALMAR LÄN</t>
        </is>
      </c>
      <c r="E742" t="inlineStr">
        <is>
          <t>VIMMERBY</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7758-2024</t>
        </is>
      </c>
      <c r="B743" s="1" t="n">
        <v>45349.54434027777</v>
      </c>
      <c r="C743" s="1" t="n">
        <v>45989</v>
      </c>
      <c r="D743" t="inlineStr">
        <is>
          <t>KALMAR LÄN</t>
        </is>
      </c>
      <c r="E743" t="inlineStr">
        <is>
          <t>VIMMERBY</t>
        </is>
      </c>
      <c r="G743" t="n">
        <v>3.5</v>
      </c>
      <c r="H743" t="n">
        <v>0</v>
      </c>
      <c r="I743" t="n">
        <v>0</v>
      </c>
      <c r="J743" t="n">
        <v>0</v>
      </c>
      <c r="K743" t="n">
        <v>0</v>
      </c>
      <c r="L743" t="n">
        <v>0</v>
      </c>
      <c r="M743" t="n">
        <v>0</v>
      </c>
      <c r="N743" t="n">
        <v>0</v>
      </c>
      <c r="O743" t="n">
        <v>0</v>
      </c>
      <c r="P743" t="n">
        <v>0</v>
      </c>
      <c r="Q743" t="n">
        <v>0</v>
      </c>
      <c r="R743" s="2" t="inlineStr"/>
    </row>
    <row r="744" ht="15" customHeight="1">
      <c r="A744" t="inlineStr">
        <is>
          <t>A 7456-2024</t>
        </is>
      </c>
      <c r="B744" s="1" t="n">
        <v>45345.83557870371</v>
      </c>
      <c r="C744" s="1" t="n">
        <v>45989</v>
      </c>
      <c r="D744" t="inlineStr">
        <is>
          <t>KALMAR LÄN</t>
        </is>
      </c>
      <c r="E744" t="inlineStr">
        <is>
          <t>VIMMERBY</t>
        </is>
      </c>
      <c r="G744" t="n">
        <v>4.1</v>
      </c>
      <c r="H744" t="n">
        <v>0</v>
      </c>
      <c r="I744" t="n">
        <v>0</v>
      </c>
      <c r="J744" t="n">
        <v>0</v>
      </c>
      <c r="K744" t="n">
        <v>0</v>
      </c>
      <c r="L744" t="n">
        <v>0</v>
      </c>
      <c r="M744" t="n">
        <v>0</v>
      </c>
      <c r="N744" t="n">
        <v>0</v>
      </c>
      <c r="O744" t="n">
        <v>0</v>
      </c>
      <c r="P744" t="n">
        <v>0</v>
      </c>
      <c r="Q744" t="n">
        <v>0</v>
      </c>
      <c r="R744" s="2" t="inlineStr"/>
    </row>
    <row r="745" ht="15" customHeight="1">
      <c r="A745" t="inlineStr">
        <is>
          <t>A 6082-2022</t>
        </is>
      </c>
      <c r="B745" s="1" t="n">
        <v>44599</v>
      </c>
      <c r="C745" s="1" t="n">
        <v>45989</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46979-2023</t>
        </is>
      </c>
      <c r="B746" s="1" t="n">
        <v>45201</v>
      </c>
      <c r="C746" s="1" t="n">
        <v>45989</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2596-2025</t>
        </is>
      </c>
      <c r="B747" s="1" t="n">
        <v>45674.71810185185</v>
      </c>
      <c r="C747" s="1" t="n">
        <v>45989</v>
      </c>
      <c r="D747" t="inlineStr">
        <is>
          <t>KALMAR LÄN</t>
        </is>
      </c>
      <c r="E747" t="inlineStr">
        <is>
          <t>VIMMERBY</t>
        </is>
      </c>
      <c r="G747" t="n">
        <v>9</v>
      </c>
      <c r="H747" t="n">
        <v>0</v>
      </c>
      <c r="I747" t="n">
        <v>0</v>
      </c>
      <c r="J747" t="n">
        <v>0</v>
      </c>
      <c r="K747" t="n">
        <v>0</v>
      </c>
      <c r="L747" t="n">
        <v>0</v>
      </c>
      <c r="M747" t="n">
        <v>0</v>
      </c>
      <c r="N747" t="n">
        <v>0</v>
      </c>
      <c r="O747" t="n">
        <v>0</v>
      </c>
      <c r="P747" t="n">
        <v>0</v>
      </c>
      <c r="Q747" t="n">
        <v>0</v>
      </c>
      <c r="R747" s="2" t="inlineStr"/>
    </row>
    <row r="748" ht="15" customHeight="1">
      <c r="A748" t="inlineStr">
        <is>
          <t>A 47855-2024</t>
        </is>
      </c>
      <c r="B748" s="1" t="n">
        <v>45588.66457175926</v>
      </c>
      <c r="C748" s="1" t="n">
        <v>45989</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63583-2023</t>
        </is>
      </c>
      <c r="B749" s="1" t="n">
        <v>45275.41833333333</v>
      </c>
      <c r="C749" s="1" t="n">
        <v>45989</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60228-2021</t>
        </is>
      </c>
      <c r="B750" s="1" t="n">
        <v>44495</v>
      </c>
      <c r="C750" s="1" t="n">
        <v>45989</v>
      </c>
      <c r="D750" t="inlineStr">
        <is>
          <t>KALMAR LÄN</t>
        </is>
      </c>
      <c r="E750" t="inlineStr">
        <is>
          <t>VIMMERBY</t>
        </is>
      </c>
      <c r="G750" t="n">
        <v>4.1</v>
      </c>
      <c r="H750" t="n">
        <v>0</v>
      </c>
      <c r="I750" t="n">
        <v>0</v>
      </c>
      <c r="J750" t="n">
        <v>0</v>
      </c>
      <c r="K750" t="n">
        <v>0</v>
      </c>
      <c r="L750" t="n">
        <v>0</v>
      </c>
      <c r="M750" t="n">
        <v>0</v>
      </c>
      <c r="N750" t="n">
        <v>0</v>
      </c>
      <c r="O750" t="n">
        <v>0</v>
      </c>
      <c r="P750" t="n">
        <v>0</v>
      </c>
      <c r="Q750" t="n">
        <v>0</v>
      </c>
      <c r="R750" s="2" t="inlineStr"/>
    </row>
    <row r="751" ht="15" customHeight="1">
      <c r="A751" t="inlineStr">
        <is>
          <t>A 46522-2022</t>
        </is>
      </c>
      <c r="B751" s="1" t="n">
        <v>44848.59133101852</v>
      </c>
      <c r="C751" s="1" t="n">
        <v>45989</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21109-2024</t>
        </is>
      </c>
      <c r="B752" s="1" t="n">
        <v>45440.28329861111</v>
      </c>
      <c r="C752" s="1" t="n">
        <v>45989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33815-2022</t>
        </is>
      </c>
      <c r="B753" s="1" t="n">
        <v>44790.45876157407</v>
      </c>
      <c r="C753" s="1" t="n">
        <v>45989</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49461-2022</t>
        </is>
      </c>
      <c r="B754" s="1" t="n">
        <v>44861</v>
      </c>
      <c r="C754" s="1" t="n">
        <v>45989</v>
      </c>
      <c r="D754" t="inlineStr">
        <is>
          <t>KALMAR LÄN</t>
        </is>
      </c>
      <c r="E754" t="inlineStr">
        <is>
          <t>VIMMERBY</t>
        </is>
      </c>
      <c r="G754" t="n">
        <v>3.2</v>
      </c>
      <c r="H754" t="n">
        <v>0</v>
      </c>
      <c r="I754" t="n">
        <v>0</v>
      </c>
      <c r="J754" t="n">
        <v>0</v>
      </c>
      <c r="K754" t="n">
        <v>0</v>
      </c>
      <c r="L754" t="n">
        <v>0</v>
      </c>
      <c r="M754" t="n">
        <v>0</v>
      </c>
      <c r="N754" t="n">
        <v>0</v>
      </c>
      <c r="O754" t="n">
        <v>0</v>
      </c>
      <c r="P754" t="n">
        <v>0</v>
      </c>
      <c r="Q754" t="n">
        <v>0</v>
      </c>
      <c r="R754" s="2" t="inlineStr"/>
    </row>
    <row r="755" ht="15" customHeight="1">
      <c r="A755" t="inlineStr">
        <is>
          <t>A 53542-2022</t>
        </is>
      </c>
      <c r="B755" s="1" t="n">
        <v>44879.62173611111</v>
      </c>
      <c r="C755" s="1" t="n">
        <v>45989</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35713-2023</t>
        </is>
      </c>
      <c r="B756" s="1" t="n">
        <v>45147</v>
      </c>
      <c r="C756" s="1" t="n">
        <v>45989</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10424-2023</t>
        </is>
      </c>
      <c r="B757" s="1" t="n">
        <v>44987.54104166666</v>
      </c>
      <c r="C757" s="1" t="n">
        <v>45989</v>
      </c>
      <c r="D757" t="inlineStr">
        <is>
          <t>KALMAR LÄN</t>
        </is>
      </c>
      <c r="E757" t="inlineStr">
        <is>
          <t>VIMMERBY</t>
        </is>
      </c>
      <c r="G757" t="n">
        <v>0.5</v>
      </c>
      <c r="H757" t="n">
        <v>0</v>
      </c>
      <c r="I757" t="n">
        <v>0</v>
      </c>
      <c r="J757" t="n">
        <v>0</v>
      </c>
      <c r="K757" t="n">
        <v>0</v>
      </c>
      <c r="L757" t="n">
        <v>0</v>
      </c>
      <c r="M757" t="n">
        <v>0</v>
      </c>
      <c r="N757" t="n">
        <v>0</v>
      </c>
      <c r="O757" t="n">
        <v>0</v>
      </c>
      <c r="P757" t="n">
        <v>0</v>
      </c>
      <c r="Q757" t="n">
        <v>0</v>
      </c>
      <c r="R757" s="2" t="inlineStr"/>
    </row>
    <row r="758" ht="15" customHeight="1">
      <c r="A758" t="inlineStr">
        <is>
          <t>A 33340-2023</t>
        </is>
      </c>
      <c r="B758" s="1" t="n">
        <v>45128.37305555555</v>
      </c>
      <c r="C758" s="1" t="n">
        <v>45989</v>
      </c>
      <c r="D758" t="inlineStr">
        <is>
          <t>KALMAR LÄN</t>
        </is>
      </c>
      <c r="E758" t="inlineStr">
        <is>
          <t>VIMMERBY</t>
        </is>
      </c>
      <c r="G758" t="n">
        <v>1.5</v>
      </c>
      <c r="H758" t="n">
        <v>0</v>
      </c>
      <c r="I758" t="n">
        <v>0</v>
      </c>
      <c r="J758" t="n">
        <v>0</v>
      </c>
      <c r="K758" t="n">
        <v>0</v>
      </c>
      <c r="L758" t="n">
        <v>0</v>
      </c>
      <c r="M758" t="n">
        <v>0</v>
      </c>
      <c r="N758" t="n">
        <v>0</v>
      </c>
      <c r="O758" t="n">
        <v>0</v>
      </c>
      <c r="P758" t="n">
        <v>0</v>
      </c>
      <c r="Q758" t="n">
        <v>0</v>
      </c>
      <c r="R758" s="2" t="inlineStr"/>
    </row>
    <row r="759" ht="15" customHeight="1">
      <c r="A759" t="inlineStr">
        <is>
          <t>A 29017-2024</t>
        </is>
      </c>
      <c r="B759" s="1" t="n">
        <v>45481.56722222222</v>
      </c>
      <c r="C759" s="1" t="n">
        <v>45989</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58046-2022</t>
        </is>
      </c>
      <c r="B760" s="1" t="n">
        <v>44900.57393518519</v>
      </c>
      <c r="C760" s="1" t="n">
        <v>45989</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14548-2024</t>
        </is>
      </c>
      <c r="B761" s="1" t="n">
        <v>45394.66887731481</v>
      </c>
      <c r="C761" s="1" t="n">
        <v>45989</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48120-2022</t>
        </is>
      </c>
      <c r="B762" s="1" t="n">
        <v>44857.65989583333</v>
      </c>
      <c r="C762" s="1" t="n">
        <v>45989</v>
      </c>
      <c r="D762" t="inlineStr">
        <is>
          <t>KALMAR LÄN</t>
        </is>
      </c>
      <c r="E762" t="inlineStr">
        <is>
          <t>VIMMERBY</t>
        </is>
      </c>
      <c r="G762" t="n">
        <v>1.7</v>
      </c>
      <c r="H762" t="n">
        <v>0</v>
      </c>
      <c r="I762" t="n">
        <v>0</v>
      </c>
      <c r="J762" t="n">
        <v>0</v>
      </c>
      <c r="K762" t="n">
        <v>0</v>
      </c>
      <c r="L762" t="n">
        <v>0</v>
      </c>
      <c r="M762" t="n">
        <v>0</v>
      </c>
      <c r="N762" t="n">
        <v>0</v>
      </c>
      <c r="O762" t="n">
        <v>0</v>
      </c>
      <c r="P762" t="n">
        <v>0</v>
      </c>
      <c r="Q762" t="n">
        <v>0</v>
      </c>
      <c r="R762" s="2" t="inlineStr"/>
    </row>
    <row r="763" ht="15" customHeight="1">
      <c r="A763" t="inlineStr">
        <is>
          <t>A 3423-2022</t>
        </is>
      </c>
      <c r="B763" s="1" t="n">
        <v>44585.50431712963</v>
      </c>
      <c r="C763" s="1" t="n">
        <v>45989</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11074-2023</t>
        </is>
      </c>
      <c r="B764" s="1" t="n">
        <v>44992.34151620371</v>
      </c>
      <c r="C764" s="1" t="n">
        <v>45989</v>
      </c>
      <c r="D764" t="inlineStr">
        <is>
          <t>KALMAR LÄN</t>
        </is>
      </c>
      <c r="E764" t="inlineStr">
        <is>
          <t>VIMMERBY</t>
        </is>
      </c>
      <c r="F764" t="inlineStr">
        <is>
          <t>Sveaskog</t>
        </is>
      </c>
      <c r="G764" t="n">
        <v>3.1</v>
      </c>
      <c r="H764" t="n">
        <v>0</v>
      </c>
      <c r="I764" t="n">
        <v>0</v>
      </c>
      <c r="J764" t="n">
        <v>0</v>
      </c>
      <c r="K764" t="n">
        <v>0</v>
      </c>
      <c r="L764" t="n">
        <v>0</v>
      </c>
      <c r="M764" t="n">
        <v>0</v>
      </c>
      <c r="N764" t="n">
        <v>0</v>
      </c>
      <c r="O764" t="n">
        <v>0</v>
      </c>
      <c r="P764" t="n">
        <v>0</v>
      </c>
      <c r="Q764" t="n">
        <v>0</v>
      </c>
      <c r="R764" s="2" t="inlineStr"/>
    </row>
    <row r="765" ht="15" customHeight="1">
      <c r="A765" t="inlineStr">
        <is>
          <t>A 71631-2021</t>
        </is>
      </c>
      <c r="B765" s="1" t="n">
        <v>44542.90072916666</v>
      </c>
      <c r="C765" s="1" t="n">
        <v>45989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49039-2021</t>
        </is>
      </c>
      <c r="B766" s="1" t="n">
        <v>44453.56578703703</v>
      </c>
      <c r="C766" s="1" t="n">
        <v>45989</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42918-2021</t>
        </is>
      </c>
      <c r="B767" s="1" t="n">
        <v>44431</v>
      </c>
      <c r="C767" s="1" t="n">
        <v>45989</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529-2022</t>
        </is>
      </c>
      <c r="B768" s="1" t="n">
        <v>44566</v>
      </c>
      <c r="C768" s="1" t="n">
        <v>45989</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14855-2025</t>
        </is>
      </c>
      <c r="B769" s="1" t="n">
        <v>45743.41148148148</v>
      </c>
      <c r="C769" s="1" t="n">
        <v>45989</v>
      </c>
      <c r="D769" t="inlineStr">
        <is>
          <t>KALMAR LÄN</t>
        </is>
      </c>
      <c r="E769" t="inlineStr">
        <is>
          <t>VIMMERBY</t>
        </is>
      </c>
      <c r="G769" t="n">
        <v>1.2</v>
      </c>
      <c r="H769" t="n">
        <v>0</v>
      </c>
      <c r="I769" t="n">
        <v>0</v>
      </c>
      <c r="J769" t="n">
        <v>0</v>
      </c>
      <c r="K769" t="n">
        <v>0</v>
      </c>
      <c r="L769" t="n">
        <v>0</v>
      </c>
      <c r="M769" t="n">
        <v>0</v>
      </c>
      <c r="N769" t="n">
        <v>0</v>
      </c>
      <c r="O769" t="n">
        <v>0</v>
      </c>
      <c r="P769" t="n">
        <v>0</v>
      </c>
      <c r="Q769" t="n">
        <v>0</v>
      </c>
      <c r="R769" s="2" t="inlineStr"/>
    </row>
    <row r="770" ht="15" customHeight="1">
      <c r="A770" t="inlineStr">
        <is>
          <t>A 60951-2023</t>
        </is>
      </c>
      <c r="B770" s="1" t="n">
        <v>45261.44914351852</v>
      </c>
      <c r="C770" s="1" t="n">
        <v>45989</v>
      </c>
      <c r="D770" t="inlineStr">
        <is>
          <t>KALMAR LÄN</t>
        </is>
      </c>
      <c r="E770" t="inlineStr">
        <is>
          <t>VIMMERBY</t>
        </is>
      </c>
      <c r="G770" t="n">
        <v>4.3</v>
      </c>
      <c r="H770" t="n">
        <v>0</v>
      </c>
      <c r="I770" t="n">
        <v>0</v>
      </c>
      <c r="J770" t="n">
        <v>0</v>
      </c>
      <c r="K770" t="n">
        <v>0</v>
      </c>
      <c r="L770" t="n">
        <v>0</v>
      </c>
      <c r="M770" t="n">
        <v>0</v>
      </c>
      <c r="N770" t="n">
        <v>0</v>
      </c>
      <c r="O770" t="n">
        <v>0</v>
      </c>
      <c r="P770" t="n">
        <v>0</v>
      </c>
      <c r="Q770" t="n">
        <v>0</v>
      </c>
      <c r="R770" s="2" t="inlineStr"/>
    </row>
    <row r="771" ht="15" customHeight="1">
      <c r="A771" t="inlineStr">
        <is>
          <t>A 19162-2023</t>
        </is>
      </c>
      <c r="B771" s="1" t="n">
        <v>45048.59699074074</v>
      </c>
      <c r="C771" s="1" t="n">
        <v>45989</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31209-2024</t>
        </is>
      </c>
      <c r="B772" s="1" t="n">
        <v>45503.5658912037</v>
      </c>
      <c r="C772" s="1" t="n">
        <v>45989</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5864-2022</t>
        </is>
      </c>
      <c r="B773" s="1" t="n">
        <v>44596</v>
      </c>
      <c r="C773" s="1" t="n">
        <v>45989</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44952.35775462963</v>
      </c>
      <c r="C774" s="1" t="n">
        <v>45989</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26937-2023</t>
        </is>
      </c>
      <c r="B775" s="1" t="n">
        <v>45093.62777777778</v>
      </c>
      <c r="C775" s="1" t="n">
        <v>45989</v>
      </c>
      <c r="D775" t="inlineStr">
        <is>
          <t>KALMAR LÄN</t>
        </is>
      </c>
      <c r="E775" t="inlineStr">
        <is>
          <t>VIMMERBY</t>
        </is>
      </c>
      <c r="F775" t="inlineStr">
        <is>
          <t>Sveaskog</t>
        </is>
      </c>
      <c r="G775" t="n">
        <v>14.5</v>
      </c>
      <c r="H775" t="n">
        <v>0</v>
      </c>
      <c r="I775" t="n">
        <v>0</v>
      </c>
      <c r="J775" t="n">
        <v>0</v>
      </c>
      <c r="K775" t="n">
        <v>0</v>
      </c>
      <c r="L775" t="n">
        <v>0</v>
      </c>
      <c r="M775" t="n">
        <v>0</v>
      </c>
      <c r="N775" t="n">
        <v>0</v>
      </c>
      <c r="O775" t="n">
        <v>0</v>
      </c>
      <c r="P775" t="n">
        <v>0</v>
      </c>
      <c r="Q775" t="n">
        <v>0</v>
      </c>
      <c r="R775" s="2" t="inlineStr"/>
    </row>
    <row r="776" ht="15" customHeight="1">
      <c r="A776" t="inlineStr">
        <is>
          <t>A 50085-2023</t>
        </is>
      </c>
      <c r="B776" s="1" t="n">
        <v>45215.5959375</v>
      </c>
      <c r="C776" s="1" t="n">
        <v>45989</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11219-2023</t>
        </is>
      </c>
      <c r="B777" s="1" t="n">
        <v>44992.62498842592</v>
      </c>
      <c r="C777" s="1" t="n">
        <v>45989</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6850-2023</t>
        </is>
      </c>
      <c r="B778" s="1" t="n">
        <v>44967.44255787037</v>
      </c>
      <c r="C778" s="1" t="n">
        <v>45989</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6358-2022</t>
        </is>
      </c>
      <c r="B779" s="1" t="n">
        <v>44600</v>
      </c>
      <c r="C779" s="1" t="n">
        <v>45989</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43853-2023</t>
        </is>
      </c>
      <c r="B780" s="1" t="n">
        <v>45187.60813657408</v>
      </c>
      <c r="C780" s="1" t="n">
        <v>45989</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7075-2021</t>
        </is>
      </c>
      <c r="B781" s="1" t="n">
        <v>44237</v>
      </c>
      <c r="C781" s="1" t="n">
        <v>45989</v>
      </c>
      <c r="D781" t="inlineStr">
        <is>
          <t>KALMAR LÄN</t>
        </is>
      </c>
      <c r="E781" t="inlineStr">
        <is>
          <t>VIMMERBY</t>
        </is>
      </c>
      <c r="G781" t="n">
        <v>3.6</v>
      </c>
      <c r="H781" t="n">
        <v>0</v>
      </c>
      <c r="I781" t="n">
        <v>0</v>
      </c>
      <c r="J781" t="n">
        <v>0</v>
      </c>
      <c r="K781" t="n">
        <v>0</v>
      </c>
      <c r="L781" t="n">
        <v>0</v>
      </c>
      <c r="M781" t="n">
        <v>0</v>
      </c>
      <c r="N781" t="n">
        <v>0</v>
      </c>
      <c r="O781" t="n">
        <v>0</v>
      </c>
      <c r="P781" t="n">
        <v>0</v>
      </c>
      <c r="Q781" t="n">
        <v>0</v>
      </c>
      <c r="R781" s="2" t="inlineStr"/>
    </row>
    <row r="782" ht="15" customHeight="1">
      <c r="A782" t="inlineStr">
        <is>
          <t>A 48673-2021</t>
        </is>
      </c>
      <c r="B782" s="1" t="n">
        <v>44452</v>
      </c>
      <c r="C782" s="1" t="n">
        <v>45989</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14137-2023</t>
        </is>
      </c>
      <c r="B783" s="1" t="n">
        <v>45009.4671875</v>
      </c>
      <c r="C783" s="1" t="n">
        <v>45989</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7630-2025</t>
        </is>
      </c>
      <c r="B784" s="1" t="n">
        <v>45705.74418981482</v>
      </c>
      <c r="C784" s="1" t="n">
        <v>45989</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38780-2021</t>
        </is>
      </c>
      <c r="B785" s="1" t="n">
        <v>44410</v>
      </c>
      <c r="C785" s="1" t="n">
        <v>45989</v>
      </c>
      <c r="D785" t="inlineStr">
        <is>
          <t>KALMAR LÄN</t>
        </is>
      </c>
      <c r="E785" t="inlineStr">
        <is>
          <t>VIMMERBY</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30503-2023</t>
        </is>
      </c>
      <c r="B786" s="1" t="n">
        <v>45111</v>
      </c>
      <c r="C786" s="1" t="n">
        <v>45989</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60110-2022</t>
        </is>
      </c>
      <c r="B787" s="1" t="n">
        <v>44909</v>
      </c>
      <c r="C787" s="1" t="n">
        <v>45989</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59300-2024</t>
        </is>
      </c>
      <c r="B788" s="1" t="n">
        <v>45637.66542824074</v>
      </c>
      <c r="C788" s="1" t="n">
        <v>45989</v>
      </c>
      <c r="D788" t="inlineStr">
        <is>
          <t>KALMAR LÄN</t>
        </is>
      </c>
      <c r="E788" t="inlineStr">
        <is>
          <t>VIMMERBY</t>
        </is>
      </c>
      <c r="G788" t="n">
        <v>0.8</v>
      </c>
      <c r="H788" t="n">
        <v>0</v>
      </c>
      <c r="I788" t="n">
        <v>0</v>
      </c>
      <c r="J788" t="n">
        <v>0</v>
      </c>
      <c r="K788" t="n">
        <v>0</v>
      </c>
      <c r="L788" t="n">
        <v>0</v>
      </c>
      <c r="M788" t="n">
        <v>0</v>
      </c>
      <c r="N788" t="n">
        <v>0</v>
      </c>
      <c r="O788" t="n">
        <v>0</v>
      </c>
      <c r="P788" t="n">
        <v>0</v>
      </c>
      <c r="Q788" t="n">
        <v>0</v>
      </c>
      <c r="R788" s="2" t="inlineStr"/>
    </row>
    <row r="789" ht="15" customHeight="1">
      <c r="A789" t="inlineStr">
        <is>
          <t>A 19445-2021</t>
        </is>
      </c>
      <c r="B789" s="1" t="n">
        <v>44310</v>
      </c>
      <c r="C789" s="1" t="n">
        <v>45989</v>
      </c>
      <c r="D789" t="inlineStr">
        <is>
          <t>KALMAR LÄN</t>
        </is>
      </c>
      <c r="E789" t="inlineStr">
        <is>
          <t>VIMMERBY</t>
        </is>
      </c>
      <c r="G789" t="n">
        <v>6.8</v>
      </c>
      <c r="H789" t="n">
        <v>0</v>
      </c>
      <c r="I789" t="n">
        <v>0</v>
      </c>
      <c r="J789" t="n">
        <v>0</v>
      </c>
      <c r="K789" t="n">
        <v>0</v>
      </c>
      <c r="L789" t="n">
        <v>0</v>
      </c>
      <c r="M789" t="n">
        <v>0</v>
      </c>
      <c r="N789" t="n">
        <v>0</v>
      </c>
      <c r="O789" t="n">
        <v>0</v>
      </c>
      <c r="P789" t="n">
        <v>0</v>
      </c>
      <c r="Q789" t="n">
        <v>0</v>
      </c>
      <c r="R789" s="2" t="inlineStr"/>
    </row>
    <row r="790" ht="15" customHeight="1">
      <c r="A790" t="inlineStr">
        <is>
          <t>A 18329-2023</t>
        </is>
      </c>
      <c r="B790" s="1" t="n">
        <v>45041.63380787037</v>
      </c>
      <c r="C790" s="1" t="n">
        <v>45989</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5720-2023</t>
        </is>
      </c>
      <c r="B791" s="1" t="n">
        <v>44961</v>
      </c>
      <c r="C791" s="1" t="n">
        <v>45989</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61538-2022</t>
        </is>
      </c>
      <c r="B792" s="1" t="n">
        <v>44916.55414351852</v>
      </c>
      <c r="C792" s="1" t="n">
        <v>45989</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694-2024</t>
        </is>
      </c>
      <c r="B793" s="1" t="n">
        <v>45300.3794212963</v>
      </c>
      <c r="C793" s="1" t="n">
        <v>45989</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57114-2023</t>
        </is>
      </c>
      <c r="B794" s="1" t="n">
        <v>45245.36174768519</v>
      </c>
      <c r="C794" s="1" t="n">
        <v>45989</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12327-2023</t>
        </is>
      </c>
      <c r="B795" s="1" t="n">
        <v>44999.36081018519</v>
      </c>
      <c r="C795" s="1" t="n">
        <v>45989</v>
      </c>
      <c r="D795" t="inlineStr">
        <is>
          <t>KALMAR LÄN</t>
        </is>
      </c>
      <c r="E795" t="inlineStr">
        <is>
          <t>VIMMERBY</t>
        </is>
      </c>
      <c r="G795" t="n">
        <v>1.2</v>
      </c>
      <c r="H795" t="n">
        <v>0</v>
      </c>
      <c r="I795" t="n">
        <v>0</v>
      </c>
      <c r="J795" t="n">
        <v>0</v>
      </c>
      <c r="K795" t="n">
        <v>0</v>
      </c>
      <c r="L795" t="n">
        <v>0</v>
      </c>
      <c r="M795" t="n">
        <v>0</v>
      </c>
      <c r="N795" t="n">
        <v>0</v>
      </c>
      <c r="O795" t="n">
        <v>0</v>
      </c>
      <c r="P795" t="n">
        <v>0</v>
      </c>
      <c r="Q795" t="n">
        <v>0</v>
      </c>
      <c r="R795" s="2" t="inlineStr"/>
    </row>
    <row r="796" ht="15" customHeight="1">
      <c r="A796" t="inlineStr">
        <is>
          <t>A 30633-2024</t>
        </is>
      </c>
      <c r="B796" s="1" t="n">
        <v>45495</v>
      </c>
      <c r="C796" s="1" t="n">
        <v>45989</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33424-2023</t>
        </is>
      </c>
      <c r="B797" s="1" t="n">
        <v>45128.9325</v>
      </c>
      <c r="C797" s="1" t="n">
        <v>45989</v>
      </c>
      <c r="D797" t="inlineStr">
        <is>
          <t>KALMAR LÄN</t>
        </is>
      </c>
      <c r="E797" t="inlineStr">
        <is>
          <t>VIMMERBY</t>
        </is>
      </c>
      <c r="G797" t="n">
        <v>2.4</v>
      </c>
      <c r="H797" t="n">
        <v>0</v>
      </c>
      <c r="I797" t="n">
        <v>0</v>
      </c>
      <c r="J797" t="n">
        <v>0</v>
      </c>
      <c r="K797" t="n">
        <v>0</v>
      </c>
      <c r="L797" t="n">
        <v>0</v>
      </c>
      <c r="M797" t="n">
        <v>0</v>
      </c>
      <c r="N797" t="n">
        <v>0</v>
      </c>
      <c r="O797" t="n">
        <v>0</v>
      </c>
      <c r="P797" t="n">
        <v>0</v>
      </c>
      <c r="Q797" t="n">
        <v>0</v>
      </c>
      <c r="R797" s="2" t="inlineStr"/>
    </row>
    <row r="798" ht="15" customHeight="1">
      <c r="A798" t="inlineStr">
        <is>
          <t>A 33425-2023</t>
        </is>
      </c>
      <c r="B798" s="1" t="n">
        <v>45128.93540509259</v>
      </c>
      <c r="C798" s="1" t="n">
        <v>45989</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3609-2024</t>
        </is>
      </c>
      <c r="B799" s="1" t="n">
        <v>45320.89128472222</v>
      </c>
      <c r="C799" s="1" t="n">
        <v>45989</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8650-2022</t>
        </is>
      </c>
      <c r="B800" s="1" t="n">
        <v>44613</v>
      </c>
      <c r="C800" s="1" t="n">
        <v>45989</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45989</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16676-2023</t>
        </is>
      </c>
      <c r="B802" s="1" t="n">
        <v>45028</v>
      </c>
      <c r="C802" s="1" t="n">
        <v>45989</v>
      </c>
      <c r="D802" t="inlineStr">
        <is>
          <t>KALMAR LÄN</t>
        </is>
      </c>
      <c r="E802" t="inlineStr">
        <is>
          <t>VIMMERBY</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23263-2024</t>
        </is>
      </c>
      <c r="B803" s="1" t="n">
        <v>45453.36854166666</v>
      </c>
      <c r="C803" s="1" t="n">
        <v>45989</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49488-2023</t>
        </is>
      </c>
      <c r="B804" s="1" t="n">
        <v>45211.55472222222</v>
      </c>
      <c r="C804" s="1" t="n">
        <v>45989</v>
      </c>
      <c r="D804" t="inlineStr">
        <is>
          <t>KALMAR LÄN</t>
        </is>
      </c>
      <c r="E804" t="inlineStr">
        <is>
          <t>VIMMERBY</t>
        </is>
      </c>
      <c r="F804" t="inlineStr">
        <is>
          <t>Sveaskog</t>
        </is>
      </c>
      <c r="G804" t="n">
        <v>6.2</v>
      </c>
      <c r="H804" t="n">
        <v>0</v>
      </c>
      <c r="I804" t="n">
        <v>0</v>
      </c>
      <c r="J804" t="n">
        <v>0</v>
      </c>
      <c r="K804" t="n">
        <v>0</v>
      </c>
      <c r="L804" t="n">
        <v>0</v>
      </c>
      <c r="M804" t="n">
        <v>0</v>
      </c>
      <c r="N804" t="n">
        <v>0</v>
      </c>
      <c r="O804" t="n">
        <v>0</v>
      </c>
      <c r="P804" t="n">
        <v>0</v>
      </c>
      <c r="Q804" t="n">
        <v>0</v>
      </c>
      <c r="R804" s="2" t="inlineStr"/>
    </row>
    <row r="805" ht="15" customHeight="1">
      <c r="A805" t="inlineStr">
        <is>
          <t>A 59768-2024</t>
        </is>
      </c>
      <c r="B805" s="1" t="n">
        <v>45639.56185185185</v>
      </c>
      <c r="C805" s="1" t="n">
        <v>45989</v>
      </c>
      <c r="D805" t="inlineStr">
        <is>
          <t>KALMAR LÄN</t>
        </is>
      </c>
      <c r="E805" t="inlineStr">
        <is>
          <t>VIMMERBY</t>
        </is>
      </c>
      <c r="G805" t="n">
        <v>5.9</v>
      </c>
      <c r="H805" t="n">
        <v>0</v>
      </c>
      <c r="I805" t="n">
        <v>0</v>
      </c>
      <c r="J805" t="n">
        <v>0</v>
      </c>
      <c r="K805" t="n">
        <v>0</v>
      </c>
      <c r="L805" t="n">
        <v>0</v>
      </c>
      <c r="M805" t="n">
        <v>0</v>
      </c>
      <c r="N805" t="n">
        <v>0</v>
      </c>
      <c r="O805" t="n">
        <v>0</v>
      </c>
      <c r="P805" t="n">
        <v>0</v>
      </c>
      <c r="Q805" t="n">
        <v>0</v>
      </c>
      <c r="R805" s="2" t="inlineStr"/>
    </row>
    <row r="806" ht="15" customHeight="1">
      <c r="A806" t="inlineStr">
        <is>
          <t>A 72067-2021</t>
        </is>
      </c>
      <c r="B806" s="1" t="n">
        <v>44540</v>
      </c>
      <c r="C806" s="1" t="n">
        <v>45989</v>
      </c>
      <c r="D806" t="inlineStr">
        <is>
          <t>KALMAR LÄN</t>
        </is>
      </c>
      <c r="E806" t="inlineStr">
        <is>
          <t>VIMMERBY</t>
        </is>
      </c>
      <c r="G806" t="n">
        <v>1.6</v>
      </c>
      <c r="H806" t="n">
        <v>0</v>
      </c>
      <c r="I806" t="n">
        <v>0</v>
      </c>
      <c r="J806" t="n">
        <v>0</v>
      </c>
      <c r="K806" t="n">
        <v>0</v>
      </c>
      <c r="L806" t="n">
        <v>0</v>
      </c>
      <c r="M806" t="n">
        <v>0</v>
      </c>
      <c r="N806" t="n">
        <v>0</v>
      </c>
      <c r="O806" t="n">
        <v>0</v>
      </c>
      <c r="P806" t="n">
        <v>0</v>
      </c>
      <c r="Q806" t="n">
        <v>0</v>
      </c>
      <c r="R806" s="2" t="inlineStr"/>
    </row>
    <row r="807" ht="15" customHeight="1">
      <c r="A807" t="inlineStr">
        <is>
          <t>A 41158-2023</t>
        </is>
      </c>
      <c r="B807" s="1" t="n">
        <v>45174.31395833333</v>
      </c>
      <c r="C807" s="1" t="n">
        <v>45989</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22198-2024</t>
        </is>
      </c>
      <c r="B808" s="1" t="n">
        <v>45446.36865740741</v>
      </c>
      <c r="C808" s="1" t="n">
        <v>45989</v>
      </c>
      <c r="D808" t="inlineStr">
        <is>
          <t>KALMAR LÄN</t>
        </is>
      </c>
      <c r="E808" t="inlineStr">
        <is>
          <t>VIMMERBY</t>
        </is>
      </c>
      <c r="F808" t="inlineStr">
        <is>
          <t>Sveaskog</t>
        </is>
      </c>
      <c r="G808" t="n">
        <v>2.3</v>
      </c>
      <c r="H808" t="n">
        <v>0</v>
      </c>
      <c r="I808" t="n">
        <v>0</v>
      </c>
      <c r="J808" t="n">
        <v>0</v>
      </c>
      <c r="K808" t="n">
        <v>0</v>
      </c>
      <c r="L808" t="n">
        <v>0</v>
      </c>
      <c r="M808" t="n">
        <v>0</v>
      </c>
      <c r="N808" t="n">
        <v>0</v>
      </c>
      <c r="O808" t="n">
        <v>0</v>
      </c>
      <c r="P808" t="n">
        <v>0</v>
      </c>
      <c r="Q808" t="n">
        <v>0</v>
      </c>
      <c r="R808" s="2" t="inlineStr"/>
    </row>
    <row r="809" ht="15" customHeight="1">
      <c r="A809" t="inlineStr">
        <is>
          <t>A 9511-2023</t>
        </is>
      </c>
      <c r="B809" s="1" t="n">
        <v>44981.64725694444</v>
      </c>
      <c r="C809" s="1" t="n">
        <v>45989</v>
      </c>
      <c r="D809" t="inlineStr">
        <is>
          <t>KALMAR LÄN</t>
        </is>
      </c>
      <c r="E809" t="inlineStr">
        <is>
          <t>VIMMERBY</t>
        </is>
      </c>
      <c r="G809" t="n">
        <v>3.5</v>
      </c>
      <c r="H809" t="n">
        <v>0</v>
      </c>
      <c r="I809" t="n">
        <v>0</v>
      </c>
      <c r="J809" t="n">
        <v>0</v>
      </c>
      <c r="K809" t="n">
        <v>0</v>
      </c>
      <c r="L809" t="n">
        <v>0</v>
      </c>
      <c r="M809" t="n">
        <v>0</v>
      </c>
      <c r="N809" t="n">
        <v>0</v>
      </c>
      <c r="O809" t="n">
        <v>0</v>
      </c>
      <c r="P809" t="n">
        <v>0</v>
      </c>
      <c r="Q809" t="n">
        <v>0</v>
      </c>
      <c r="R809" s="2" t="inlineStr"/>
    </row>
    <row r="810" ht="15" customHeight="1">
      <c r="A810" t="inlineStr">
        <is>
          <t>A 34205-2023</t>
        </is>
      </c>
      <c r="B810" s="1" t="n">
        <v>45138</v>
      </c>
      <c r="C810" s="1" t="n">
        <v>45989</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57091-2022</t>
        </is>
      </c>
      <c r="B811" s="1" t="n">
        <v>44895.46524305556</v>
      </c>
      <c r="C811" s="1" t="n">
        <v>45989</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2604-2025</t>
        </is>
      </c>
      <c r="B812" s="1" t="n">
        <v>45674.74094907408</v>
      </c>
      <c r="C812" s="1" t="n">
        <v>45989</v>
      </c>
      <c r="D812" t="inlineStr">
        <is>
          <t>KALMAR LÄN</t>
        </is>
      </c>
      <c r="E812" t="inlineStr">
        <is>
          <t>VIMMERBY</t>
        </is>
      </c>
      <c r="G812" t="n">
        <v>7.6</v>
      </c>
      <c r="H812" t="n">
        <v>0</v>
      </c>
      <c r="I812" t="n">
        <v>0</v>
      </c>
      <c r="J812" t="n">
        <v>0</v>
      </c>
      <c r="K812" t="n">
        <v>0</v>
      </c>
      <c r="L812" t="n">
        <v>0</v>
      </c>
      <c r="M812" t="n">
        <v>0</v>
      </c>
      <c r="N812" t="n">
        <v>0</v>
      </c>
      <c r="O812" t="n">
        <v>0</v>
      </c>
      <c r="P812" t="n">
        <v>0</v>
      </c>
      <c r="Q812" t="n">
        <v>0</v>
      </c>
      <c r="R812" s="2" t="inlineStr"/>
    </row>
    <row r="813" ht="15" customHeight="1">
      <c r="A813" t="inlineStr">
        <is>
          <t>A 6807-2025</t>
        </is>
      </c>
      <c r="B813" s="1" t="n">
        <v>45700.68672453704</v>
      </c>
      <c r="C813" s="1" t="n">
        <v>45989</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38851-2023</t>
        </is>
      </c>
      <c r="B814" s="1" t="n">
        <v>45163</v>
      </c>
      <c r="C814" s="1" t="n">
        <v>45989</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23252-2024</t>
        </is>
      </c>
      <c r="B815" s="1" t="n">
        <v>45453.36067129629</v>
      </c>
      <c r="C815" s="1" t="n">
        <v>45989</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5792-2023</t>
        </is>
      </c>
      <c r="B816" s="1" t="n">
        <v>44963.44769675926</v>
      </c>
      <c r="C816" s="1" t="n">
        <v>45989</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2797-2023</t>
        </is>
      </c>
      <c r="B817" s="1" t="n">
        <v>44944.71386574074</v>
      </c>
      <c r="C817" s="1" t="n">
        <v>45989</v>
      </c>
      <c r="D817" t="inlineStr">
        <is>
          <t>KALMAR LÄN</t>
        </is>
      </c>
      <c r="E817" t="inlineStr">
        <is>
          <t>VIMMERBY</t>
        </is>
      </c>
      <c r="G817" t="n">
        <v>3.4</v>
      </c>
      <c r="H817" t="n">
        <v>0</v>
      </c>
      <c r="I817" t="n">
        <v>0</v>
      </c>
      <c r="J817" t="n">
        <v>0</v>
      </c>
      <c r="K817" t="n">
        <v>0</v>
      </c>
      <c r="L817" t="n">
        <v>0</v>
      </c>
      <c r="M817" t="n">
        <v>0</v>
      </c>
      <c r="N817" t="n">
        <v>0</v>
      </c>
      <c r="O817" t="n">
        <v>0</v>
      </c>
      <c r="P817" t="n">
        <v>0</v>
      </c>
      <c r="Q817" t="n">
        <v>0</v>
      </c>
      <c r="R817" s="2" t="inlineStr"/>
    </row>
    <row r="818" ht="15" customHeight="1">
      <c r="A818" t="inlineStr">
        <is>
          <t>A 2799-2023</t>
        </is>
      </c>
      <c r="B818" s="1" t="n">
        <v>44944.72100694444</v>
      </c>
      <c r="C818" s="1" t="n">
        <v>45989</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6220-2025</t>
        </is>
      </c>
      <c r="B819" s="1" t="n">
        <v>45698.53725694444</v>
      </c>
      <c r="C819" s="1" t="n">
        <v>45989</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58278-2023</t>
        </is>
      </c>
      <c r="B820" s="1" t="n">
        <v>45250.5278587963</v>
      </c>
      <c r="C820" s="1" t="n">
        <v>45989</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36259-2022</t>
        </is>
      </c>
      <c r="B821" s="1" t="n">
        <v>44803.59118055556</v>
      </c>
      <c r="C821" s="1" t="n">
        <v>45989</v>
      </c>
      <c r="D821" t="inlineStr">
        <is>
          <t>KALMAR LÄN</t>
        </is>
      </c>
      <c r="E821" t="inlineStr">
        <is>
          <t>VIMMERBY</t>
        </is>
      </c>
      <c r="G821" t="n">
        <v>3.9</v>
      </c>
      <c r="H821" t="n">
        <v>0</v>
      </c>
      <c r="I821" t="n">
        <v>0</v>
      </c>
      <c r="J821" t="n">
        <v>0</v>
      </c>
      <c r="K821" t="n">
        <v>0</v>
      </c>
      <c r="L821" t="n">
        <v>0</v>
      </c>
      <c r="M821" t="n">
        <v>0</v>
      </c>
      <c r="N821" t="n">
        <v>0</v>
      </c>
      <c r="O821" t="n">
        <v>0</v>
      </c>
      <c r="P821" t="n">
        <v>0</v>
      </c>
      <c r="Q821" t="n">
        <v>0</v>
      </c>
      <c r="R821" s="2" t="inlineStr"/>
    </row>
    <row r="822" ht="15" customHeight="1">
      <c r="A822" t="inlineStr">
        <is>
          <t>A 36526-2023</t>
        </is>
      </c>
      <c r="B822" s="1" t="n">
        <v>45153.32778935185</v>
      </c>
      <c r="C822" s="1" t="n">
        <v>45989</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17988-2025</t>
        </is>
      </c>
      <c r="B823" s="1" t="n">
        <v>45761.39600694444</v>
      </c>
      <c r="C823" s="1" t="n">
        <v>45989</v>
      </c>
      <c r="D823" t="inlineStr">
        <is>
          <t>KALMAR LÄN</t>
        </is>
      </c>
      <c r="E823" t="inlineStr">
        <is>
          <t>VIMMERBY</t>
        </is>
      </c>
      <c r="G823" t="n">
        <v>2.8</v>
      </c>
      <c r="H823" t="n">
        <v>0</v>
      </c>
      <c r="I823" t="n">
        <v>0</v>
      </c>
      <c r="J823" t="n">
        <v>0</v>
      </c>
      <c r="K823" t="n">
        <v>0</v>
      </c>
      <c r="L823" t="n">
        <v>0</v>
      </c>
      <c r="M823" t="n">
        <v>0</v>
      </c>
      <c r="N823" t="n">
        <v>0</v>
      </c>
      <c r="O823" t="n">
        <v>0</v>
      </c>
      <c r="P823" t="n">
        <v>0</v>
      </c>
      <c r="Q823" t="n">
        <v>0</v>
      </c>
      <c r="R823" s="2" t="inlineStr"/>
    </row>
    <row r="824" ht="15" customHeight="1">
      <c r="A824" t="inlineStr">
        <is>
          <t>A 29350-2023</t>
        </is>
      </c>
      <c r="B824" s="1" t="n">
        <v>45106</v>
      </c>
      <c r="C824" s="1" t="n">
        <v>45989</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29351-2023</t>
        </is>
      </c>
      <c r="B825" s="1" t="n">
        <v>45106.2610300926</v>
      </c>
      <c r="C825" s="1" t="n">
        <v>45989</v>
      </c>
      <c r="D825" t="inlineStr">
        <is>
          <t>KALMAR LÄN</t>
        </is>
      </c>
      <c r="E825" t="inlineStr">
        <is>
          <t>VIMMERBY</t>
        </is>
      </c>
      <c r="G825" t="n">
        <v>0.4</v>
      </c>
      <c r="H825" t="n">
        <v>0</v>
      </c>
      <c r="I825" t="n">
        <v>0</v>
      </c>
      <c r="J825" t="n">
        <v>0</v>
      </c>
      <c r="K825" t="n">
        <v>0</v>
      </c>
      <c r="L825" t="n">
        <v>0</v>
      </c>
      <c r="M825" t="n">
        <v>0</v>
      </c>
      <c r="N825" t="n">
        <v>0</v>
      </c>
      <c r="O825" t="n">
        <v>0</v>
      </c>
      <c r="P825" t="n">
        <v>0</v>
      </c>
      <c r="Q825" t="n">
        <v>0</v>
      </c>
      <c r="R825" s="2" t="inlineStr"/>
    </row>
    <row r="826" ht="15" customHeight="1">
      <c r="A826" t="inlineStr">
        <is>
          <t>A 6474-2025</t>
        </is>
      </c>
      <c r="B826" s="1" t="n">
        <v>45699.60055555555</v>
      </c>
      <c r="C826" s="1" t="n">
        <v>45989</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17-2025</t>
        </is>
      </c>
      <c r="B827" s="1" t="n">
        <v>45658.78774305555</v>
      </c>
      <c r="C827" s="1" t="n">
        <v>45989</v>
      </c>
      <c r="D827" t="inlineStr">
        <is>
          <t>KALMAR LÄN</t>
        </is>
      </c>
      <c r="E827" t="inlineStr">
        <is>
          <t>VIMMERBY</t>
        </is>
      </c>
      <c r="G827" t="n">
        <v>4.4</v>
      </c>
      <c r="H827" t="n">
        <v>0</v>
      </c>
      <c r="I827" t="n">
        <v>0</v>
      </c>
      <c r="J827" t="n">
        <v>0</v>
      </c>
      <c r="K827" t="n">
        <v>0</v>
      </c>
      <c r="L827" t="n">
        <v>0</v>
      </c>
      <c r="M827" t="n">
        <v>0</v>
      </c>
      <c r="N827" t="n">
        <v>0</v>
      </c>
      <c r="O827" t="n">
        <v>0</v>
      </c>
      <c r="P827" t="n">
        <v>0</v>
      </c>
      <c r="Q827" t="n">
        <v>0</v>
      </c>
      <c r="R827" s="2" t="inlineStr"/>
    </row>
    <row r="828" ht="15" customHeight="1">
      <c r="A828" t="inlineStr">
        <is>
          <t>A 57555-2024</t>
        </is>
      </c>
      <c r="B828" s="1" t="n">
        <v>45630.45069444444</v>
      </c>
      <c r="C828" s="1" t="n">
        <v>45989</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18411-2021</t>
        </is>
      </c>
      <c r="B829" s="1" t="n">
        <v>44302</v>
      </c>
      <c r="C829" s="1" t="n">
        <v>45989</v>
      </c>
      <c r="D829" t="inlineStr">
        <is>
          <t>KALMAR LÄN</t>
        </is>
      </c>
      <c r="E829" t="inlineStr">
        <is>
          <t>VIMMERBY</t>
        </is>
      </c>
      <c r="G829" t="n">
        <v>0.7</v>
      </c>
      <c r="H829" t="n">
        <v>0</v>
      </c>
      <c r="I829" t="n">
        <v>0</v>
      </c>
      <c r="J829" t="n">
        <v>0</v>
      </c>
      <c r="K829" t="n">
        <v>0</v>
      </c>
      <c r="L829" t="n">
        <v>0</v>
      </c>
      <c r="M829" t="n">
        <v>0</v>
      </c>
      <c r="N829" t="n">
        <v>0</v>
      </c>
      <c r="O829" t="n">
        <v>0</v>
      </c>
      <c r="P829" t="n">
        <v>0</v>
      </c>
      <c r="Q829" t="n">
        <v>0</v>
      </c>
      <c r="R829" s="2" t="inlineStr"/>
    </row>
    <row r="830" ht="15" customHeight="1">
      <c r="A830" t="inlineStr">
        <is>
          <t>A 52279-2023</t>
        </is>
      </c>
      <c r="B830" s="1" t="n">
        <v>45224</v>
      </c>
      <c r="C830" s="1" t="n">
        <v>45989</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52324-2023</t>
        </is>
      </c>
      <c r="B831" s="1" t="n">
        <v>45224.64659722222</v>
      </c>
      <c r="C831" s="1" t="n">
        <v>45989</v>
      </c>
      <c r="D831" t="inlineStr">
        <is>
          <t>KALMAR LÄN</t>
        </is>
      </c>
      <c r="E831" t="inlineStr">
        <is>
          <t>VIMMERBY</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32639-2023</t>
        </is>
      </c>
      <c r="B832" s="1" t="n">
        <v>45121.5965162037</v>
      </c>
      <c r="C832" s="1" t="n">
        <v>45989</v>
      </c>
      <c r="D832" t="inlineStr">
        <is>
          <t>KALMAR LÄN</t>
        </is>
      </c>
      <c r="E832" t="inlineStr">
        <is>
          <t>VIMMERBY</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32642-2023</t>
        </is>
      </c>
      <c r="B833" s="1" t="n">
        <v>45121.59954861111</v>
      </c>
      <c r="C833" s="1" t="n">
        <v>45989</v>
      </c>
      <c r="D833" t="inlineStr">
        <is>
          <t>KALMAR LÄN</t>
        </is>
      </c>
      <c r="E833" t="inlineStr">
        <is>
          <t>VIMMERBY</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32651-2023</t>
        </is>
      </c>
      <c r="B834" s="1" t="n">
        <v>45121.6096875</v>
      </c>
      <c r="C834" s="1" t="n">
        <v>45989</v>
      </c>
      <c r="D834" t="inlineStr">
        <is>
          <t>KALMAR LÄN</t>
        </is>
      </c>
      <c r="E834" t="inlineStr">
        <is>
          <t>VIMMERBY</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40730-2024</t>
        </is>
      </c>
      <c r="B835" s="1" t="n">
        <v>45558.44914351852</v>
      </c>
      <c r="C835" s="1" t="n">
        <v>45989</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9643-2023</t>
        </is>
      </c>
      <c r="B836" s="1" t="n">
        <v>44984</v>
      </c>
      <c r="C836" s="1" t="n">
        <v>45989</v>
      </c>
      <c r="D836" t="inlineStr">
        <is>
          <t>KALMAR LÄN</t>
        </is>
      </c>
      <c r="E836" t="inlineStr">
        <is>
          <t>VIMMERBY</t>
        </is>
      </c>
      <c r="G836" t="n">
        <v>2</v>
      </c>
      <c r="H836" t="n">
        <v>0</v>
      </c>
      <c r="I836" t="n">
        <v>0</v>
      </c>
      <c r="J836" t="n">
        <v>0</v>
      </c>
      <c r="K836" t="n">
        <v>0</v>
      </c>
      <c r="L836" t="n">
        <v>0</v>
      </c>
      <c r="M836" t="n">
        <v>0</v>
      </c>
      <c r="N836" t="n">
        <v>0</v>
      </c>
      <c r="O836" t="n">
        <v>0</v>
      </c>
      <c r="P836" t="n">
        <v>0</v>
      </c>
      <c r="Q836" t="n">
        <v>0</v>
      </c>
      <c r="R836" s="2" t="inlineStr"/>
    </row>
    <row r="837" ht="15" customHeight="1">
      <c r="A837" t="inlineStr">
        <is>
          <t>A 56213-2024</t>
        </is>
      </c>
      <c r="B837" s="1" t="n">
        <v>45624.60141203704</v>
      </c>
      <c r="C837" s="1" t="n">
        <v>45989</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20126-2024</t>
        </is>
      </c>
      <c r="B838" s="1" t="n">
        <v>45434.55471064815</v>
      </c>
      <c r="C838" s="1" t="n">
        <v>45989</v>
      </c>
      <c r="D838" t="inlineStr">
        <is>
          <t>KALMAR LÄN</t>
        </is>
      </c>
      <c r="E838" t="inlineStr">
        <is>
          <t>VIMMERBY</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19865-2021</t>
        </is>
      </c>
      <c r="B839" s="1" t="n">
        <v>44312</v>
      </c>
      <c r="C839" s="1" t="n">
        <v>45989</v>
      </c>
      <c r="D839" t="inlineStr">
        <is>
          <t>KALMAR LÄN</t>
        </is>
      </c>
      <c r="E839" t="inlineStr">
        <is>
          <t>VIMMERBY</t>
        </is>
      </c>
      <c r="G839" t="n">
        <v>8.6</v>
      </c>
      <c r="H839" t="n">
        <v>0</v>
      </c>
      <c r="I839" t="n">
        <v>0</v>
      </c>
      <c r="J839" t="n">
        <v>0</v>
      </c>
      <c r="K839" t="n">
        <v>0</v>
      </c>
      <c r="L839" t="n">
        <v>0</v>
      </c>
      <c r="M839" t="n">
        <v>0</v>
      </c>
      <c r="N839" t="n">
        <v>0</v>
      </c>
      <c r="O839" t="n">
        <v>0</v>
      </c>
      <c r="P839" t="n">
        <v>0</v>
      </c>
      <c r="Q839" t="n">
        <v>0</v>
      </c>
      <c r="R839" s="2" t="inlineStr"/>
    </row>
    <row r="840" ht="15" customHeight="1">
      <c r="A840" t="inlineStr">
        <is>
          <t>A 9694-2023</t>
        </is>
      </c>
      <c r="B840" s="1" t="n">
        <v>44984.45895833334</v>
      </c>
      <c r="C840" s="1" t="n">
        <v>45989</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9710-2023</t>
        </is>
      </c>
      <c r="B841" s="1" t="n">
        <v>44984</v>
      </c>
      <c r="C841" s="1" t="n">
        <v>45989</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6216-2025</t>
        </is>
      </c>
      <c r="B842" s="1" t="n">
        <v>45698.52806712963</v>
      </c>
      <c r="C842" s="1" t="n">
        <v>45989</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7944-2024</t>
        </is>
      </c>
      <c r="B843" s="1" t="n">
        <v>45350.53306712963</v>
      </c>
      <c r="C843" s="1" t="n">
        <v>45989</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598-2025</t>
        </is>
      </c>
      <c r="B844" s="1" t="n">
        <v>45660</v>
      </c>
      <c r="C844" s="1" t="n">
        <v>45989</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10674-2021</t>
        </is>
      </c>
      <c r="B845" s="1" t="n">
        <v>44258</v>
      </c>
      <c r="C845" s="1" t="n">
        <v>45989</v>
      </c>
      <c r="D845" t="inlineStr">
        <is>
          <t>KALMAR LÄN</t>
        </is>
      </c>
      <c r="E845" t="inlineStr">
        <is>
          <t>VIMMERBY</t>
        </is>
      </c>
      <c r="G845" t="n">
        <v>8.4</v>
      </c>
      <c r="H845" t="n">
        <v>0</v>
      </c>
      <c r="I845" t="n">
        <v>0</v>
      </c>
      <c r="J845" t="n">
        <v>0</v>
      </c>
      <c r="K845" t="n">
        <v>0</v>
      </c>
      <c r="L845" t="n">
        <v>0</v>
      </c>
      <c r="M845" t="n">
        <v>0</v>
      </c>
      <c r="N845" t="n">
        <v>0</v>
      </c>
      <c r="O845" t="n">
        <v>0</v>
      </c>
      <c r="P845" t="n">
        <v>0</v>
      </c>
      <c r="Q845" t="n">
        <v>0</v>
      </c>
      <c r="R845" s="2" t="inlineStr"/>
    </row>
    <row r="846" ht="15" customHeight="1">
      <c r="A846" t="inlineStr">
        <is>
          <t>A 10807-2024</t>
        </is>
      </c>
      <c r="B846" s="1" t="n">
        <v>45369.62780092593</v>
      </c>
      <c r="C846" s="1" t="n">
        <v>45989</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40260-2024</t>
        </is>
      </c>
      <c r="B847" s="1" t="n">
        <v>45554.63225694445</v>
      </c>
      <c r="C847" s="1" t="n">
        <v>45989</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10787-2025</t>
        </is>
      </c>
      <c r="B848" s="1" t="n">
        <v>45722.48915509259</v>
      </c>
      <c r="C848" s="1" t="n">
        <v>45989</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58577-2024</t>
        </is>
      </c>
      <c r="B849" s="1" t="n">
        <v>45635.4874537037</v>
      </c>
      <c r="C849" s="1" t="n">
        <v>45989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38198-2024</t>
        </is>
      </c>
      <c r="B850" s="1" t="n">
        <v>45545.49508101852</v>
      </c>
      <c r="C850" s="1" t="n">
        <v>45989</v>
      </c>
      <c r="D850" t="inlineStr">
        <is>
          <t>KALMAR LÄN</t>
        </is>
      </c>
      <c r="E850" t="inlineStr">
        <is>
          <t>VIMMERBY</t>
        </is>
      </c>
      <c r="G850" t="n">
        <v>7.9</v>
      </c>
      <c r="H850" t="n">
        <v>0</v>
      </c>
      <c r="I850" t="n">
        <v>0</v>
      </c>
      <c r="J850" t="n">
        <v>0</v>
      </c>
      <c r="K850" t="n">
        <v>0</v>
      </c>
      <c r="L850" t="n">
        <v>0</v>
      </c>
      <c r="M850" t="n">
        <v>0</v>
      </c>
      <c r="N850" t="n">
        <v>0</v>
      </c>
      <c r="O850" t="n">
        <v>0</v>
      </c>
      <c r="P850" t="n">
        <v>0</v>
      </c>
      <c r="Q850" t="n">
        <v>0</v>
      </c>
      <c r="R850" s="2" t="inlineStr"/>
    </row>
    <row r="851" ht="15" customHeight="1">
      <c r="A851" t="inlineStr">
        <is>
          <t>A 43617-2024</t>
        </is>
      </c>
      <c r="B851" s="1" t="n">
        <v>45569.47494212963</v>
      </c>
      <c r="C851" s="1" t="n">
        <v>45989</v>
      </c>
      <c r="D851" t="inlineStr">
        <is>
          <t>KALMAR LÄN</t>
        </is>
      </c>
      <c r="E851" t="inlineStr">
        <is>
          <t>VIMMERBY</t>
        </is>
      </c>
      <c r="G851" t="n">
        <v>2.7</v>
      </c>
      <c r="H851" t="n">
        <v>0</v>
      </c>
      <c r="I851" t="n">
        <v>0</v>
      </c>
      <c r="J851" t="n">
        <v>0</v>
      </c>
      <c r="K851" t="n">
        <v>0</v>
      </c>
      <c r="L851" t="n">
        <v>0</v>
      </c>
      <c r="M851" t="n">
        <v>0</v>
      </c>
      <c r="N851" t="n">
        <v>0</v>
      </c>
      <c r="O851" t="n">
        <v>0</v>
      </c>
      <c r="P851" t="n">
        <v>0</v>
      </c>
      <c r="Q851" t="n">
        <v>0</v>
      </c>
      <c r="R851" s="2" t="inlineStr"/>
    </row>
    <row r="852" ht="15" customHeight="1">
      <c r="A852" t="inlineStr">
        <is>
          <t>A 22264-2023</t>
        </is>
      </c>
      <c r="B852" s="1" t="n">
        <v>45070.3665625</v>
      </c>
      <c r="C852" s="1" t="n">
        <v>45989</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22266-2023</t>
        </is>
      </c>
      <c r="B853" s="1" t="n">
        <v>45070</v>
      </c>
      <c r="C853" s="1" t="n">
        <v>45989</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50091-2023</t>
        </is>
      </c>
      <c r="B854" s="1" t="n">
        <v>45215.60199074074</v>
      </c>
      <c r="C854" s="1" t="n">
        <v>45989</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10303-2025</t>
        </is>
      </c>
      <c r="B855" s="1" t="n">
        <v>45720.44217592593</v>
      </c>
      <c r="C855" s="1" t="n">
        <v>45989</v>
      </c>
      <c r="D855" t="inlineStr">
        <is>
          <t>KALMAR LÄN</t>
        </is>
      </c>
      <c r="E855" t="inlineStr">
        <is>
          <t>VIMMERBY</t>
        </is>
      </c>
      <c r="G855" t="n">
        <v>0.9</v>
      </c>
      <c r="H855" t="n">
        <v>0</v>
      </c>
      <c r="I855" t="n">
        <v>0</v>
      </c>
      <c r="J855" t="n">
        <v>0</v>
      </c>
      <c r="K855" t="n">
        <v>0</v>
      </c>
      <c r="L855" t="n">
        <v>0</v>
      </c>
      <c r="M855" t="n">
        <v>0</v>
      </c>
      <c r="N855" t="n">
        <v>0</v>
      </c>
      <c r="O855" t="n">
        <v>0</v>
      </c>
      <c r="P855" t="n">
        <v>0</v>
      </c>
      <c r="Q855" t="n">
        <v>0</v>
      </c>
      <c r="R855" s="2" t="inlineStr"/>
    </row>
    <row r="856" ht="15" customHeight="1">
      <c r="A856" t="inlineStr">
        <is>
          <t>A 11027-2023</t>
        </is>
      </c>
      <c r="B856" s="1" t="n">
        <v>44991.89657407408</v>
      </c>
      <c r="C856" s="1" t="n">
        <v>45989</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11661-2023</t>
        </is>
      </c>
      <c r="B857" s="1" t="n">
        <v>44994.46908564815</v>
      </c>
      <c r="C857" s="1" t="n">
        <v>45989</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36155-2023</t>
        </is>
      </c>
      <c r="B858" s="1" t="n">
        <v>45149.60917824074</v>
      </c>
      <c r="C858" s="1" t="n">
        <v>45989</v>
      </c>
      <c r="D858" t="inlineStr">
        <is>
          <t>KALMAR LÄN</t>
        </is>
      </c>
      <c r="E858" t="inlineStr">
        <is>
          <t>VIMMERBY</t>
        </is>
      </c>
      <c r="G858" t="n">
        <v>5</v>
      </c>
      <c r="H858" t="n">
        <v>0</v>
      </c>
      <c r="I858" t="n">
        <v>0</v>
      </c>
      <c r="J858" t="n">
        <v>0</v>
      </c>
      <c r="K858" t="n">
        <v>0</v>
      </c>
      <c r="L858" t="n">
        <v>0</v>
      </c>
      <c r="M858" t="n">
        <v>0</v>
      </c>
      <c r="N858" t="n">
        <v>0</v>
      </c>
      <c r="O858" t="n">
        <v>0</v>
      </c>
      <c r="P858" t="n">
        <v>0</v>
      </c>
      <c r="Q858" t="n">
        <v>0</v>
      </c>
      <c r="R858" s="2" t="inlineStr"/>
    </row>
    <row r="859" ht="15" customHeight="1">
      <c r="A859" t="inlineStr">
        <is>
          <t>A 40147-2023</t>
        </is>
      </c>
      <c r="B859" s="1" t="n">
        <v>45169</v>
      </c>
      <c r="C859" s="1" t="n">
        <v>45989</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63950-2023</t>
        </is>
      </c>
      <c r="B860" s="1" t="n">
        <v>45278</v>
      </c>
      <c r="C860" s="1" t="n">
        <v>45989</v>
      </c>
      <c r="D860" t="inlineStr">
        <is>
          <t>KALMAR LÄN</t>
        </is>
      </c>
      <c r="E860" t="inlineStr">
        <is>
          <t>VIMMERBY</t>
        </is>
      </c>
      <c r="F860" t="inlineStr">
        <is>
          <t>Kyrkan</t>
        </is>
      </c>
      <c r="G860" t="n">
        <v>2.7</v>
      </c>
      <c r="H860" t="n">
        <v>0</v>
      </c>
      <c r="I860" t="n">
        <v>0</v>
      </c>
      <c r="J860" t="n">
        <v>0</v>
      </c>
      <c r="K860" t="n">
        <v>0</v>
      </c>
      <c r="L860" t="n">
        <v>0</v>
      </c>
      <c r="M860" t="n">
        <v>0</v>
      </c>
      <c r="N860" t="n">
        <v>0</v>
      </c>
      <c r="O860" t="n">
        <v>0</v>
      </c>
      <c r="P860" t="n">
        <v>0</v>
      </c>
      <c r="Q860" t="n">
        <v>0</v>
      </c>
      <c r="R860" s="2" t="inlineStr"/>
    </row>
    <row r="861" ht="15" customHeight="1">
      <c r="A861" t="inlineStr">
        <is>
          <t>A 24096-2024</t>
        </is>
      </c>
      <c r="B861" s="1" t="n">
        <v>45456.59289351852</v>
      </c>
      <c r="C861" s="1" t="n">
        <v>45989</v>
      </c>
      <c r="D861" t="inlineStr">
        <is>
          <t>KALMAR LÄN</t>
        </is>
      </c>
      <c r="E861" t="inlineStr">
        <is>
          <t>VIMMERBY</t>
        </is>
      </c>
      <c r="G861" t="n">
        <v>2.3</v>
      </c>
      <c r="H861" t="n">
        <v>0</v>
      </c>
      <c r="I861" t="n">
        <v>0</v>
      </c>
      <c r="J861" t="n">
        <v>0</v>
      </c>
      <c r="K861" t="n">
        <v>0</v>
      </c>
      <c r="L861" t="n">
        <v>0</v>
      </c>
      <c r="M861" t="n">
        <v>0</v>
      </c>
      <c r="N861" t="n">
        <v>0</v>
      </c>
      <c r="O861" t="n">
        <v>0</v>
      </c>
      <c r="P861" t="n">
        <v>0</v>
      </c>
      <c r="Q861" t="n">
        <v>0</v>
      </c>
      <c r="R861" s="2" t="inlineStr"/>
    </row>
    <row r="862" ht="15" customHeight="1">
      <c r="A862" t="inlineStr">
        <is>
          <t>A 13015-2023</t>
        </is>
      </c>
      <c r="B862" s="1" t="n">
        <v>45002</v>
      </c>
      <c r="C862" s="1" t="n">
        <v>45989</v>
      </c>
      <c r="D862" t="inlineStr">
        <is>
          <t>KALMAR LÄN</t>
        </is>
      </c>
      <c r="E862" t="inlineStr">
        <is>
          <t>VIMMERBY</t>
        </is>
      </c>
      <c r="G862" t="n">
        <v>3.2</v>
      </c>
      <c r="H862" t="n">
        <v>0</v>
      </c>
      <c r="I862" t="n">
        <v>0</v>
      </c>
      <c r="J862" t="n">
        <v>0</v>
      </c>
      <c r="K862" t="n">
        <v>0</v>
      </c>
      <c r="L862" t="n">
        <v>0</v>
      </c>
      <c r="M862" t="n">
        <v>0</v>
      </c>
      <c r="N862" t="n">
        <v>0</v>
      </c>
      <c r="O862" t="n">
        <v>0</v>
      </c>
      <c r="P862" t="n">
        <v>0</v>
      </c>
      <c r="Q862" t="n">
        <v>0</v>
      </c>
      <c r="R862" s="2" t="inlineStr"/>
    </row>
    <row r="863" ht="15" customHeight="1">
      <c r="A863" t="inlineStr">
        <is>
          <t>A 41199-2023</t>
        </is>
      </c>
      <c r="B863" s="1" t="n">
        <v>45174.40454861111</v>
      </c>
      <c r="C863" s="1" t="n">
        <v>45989</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36014-2024</t>
        </is>
      </c>
      <c r="B864" s="1" t="n">
        <v>45533.56108796296</v>
      </c>
      <c r="C864" s="1" t="n">
        <v>45989</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36030-2024</t>
        </is>
      </c>
      <c r="B865" s="1" t="n">
        <v>45533.58302083334</v>
      </c>
      <c r="C865" s="1" t="n">
        <v>45989</v>
      </c>
      <c r="D865" t="inlineStr">
        <is>
          <t>KALMAR LÄN</t>
        </is>
      </c>
      <c r="E865" t="inlineStr">
        <is>
          <t>VIMMERBY</t>
        </is>
      </c>
      <c r="F865" t="inlineStr">
        <is>
          <t>Kommuner</t>
        </is>
      </c>
      <c r="G865" t="n">
        <v>4</v>
      </c>
      <c r="H865" t="n">
        <v>0</v>
      </c>
      <c r="I865" t="n">
        <v>0</v>
      </c>
      <c r="J865" t="n">
        <v>0</v>
      </c>
      <c r="K865" t="n">
        <v>0</v>
      </c>
      <c r="L865" t="n">
        <v>0</v>
      </c>
      <c r="M865" t="n">
        <v>0</v>
      </c>
      <c r="N865" t="n">
        <v>0</v>
      </c>
      <c r="O865" t="n">
        <v>0</v>
      </c>
      <c r="P865" t="n">
        <v>0</v>
      </c>
      <c r="Q865" t="n">
        <v>0</v>
      </c>
      <c r="R865" s="2" t="inlineStr"/>
    </row>
    <row r="866" ht="15" customHeight="1">
      <c r="A866" t="inlineStr">
        <is>
          <t>A 6321-2023</t>
        </is>
      </c>
      <c r="B866" s="1" t="n">
        <v>44965.4815162037</v>
      </c>
      <c r="C866" s="1" t="n">
        <v>45989</v>
      </c>
      <c r="D866" t="inlineStr">
        <is>
          <t>KALMAR LÄN</t>
        </is>
      </c>
      <c r="E866" t="inlineStr">
        <is>
          <t>VIMMERBY</t>
        </is>
      </c>
      <c r="G866" t="n">
        <v>1.8</v>
      </c>
      <c r="H866" t="n">
        <v>0</v>
      </c>
      <c r="I866" t="n">
        <v>0</v>
      </c>
      <c r="J866" t="n">
        <v>0</v>
      </c>
      <c r="K866" t="n">
        <v>0</v>
      </c>
      <c r="L866" t="n">
        <v>0</v>
      </c>
      <c r="M866" t="n">
        <v>0</v>
      </c>
      <c r="N866" t="n">
        <v>0</v>
      </c>
      <c r="O866" t="n">
        <v>0</v>
      </c>
      <c r="P866" t="n">
        <v>0</v>
      </c>
      <c r="Q866" t="n">
        <v>0</v>
      </c>
      <c r="R866" s="2" t="inlineStr"/>
    </row>
    <row r="867" ht="15" customHeight="1">
      <c r="A867" t="inlineStr">
        <is>
          <t>A 52755-2022</t>
        </is>
      </c>
      <c r="B867" s="1" t="n">
        <v>44875.27736111111</v>
      </c>
      <c r="C867" s="1" t="n">
        <v>45989</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40823-2023</t>
        </is>
      </c>
      <c r="B868" s="1" t="n">
        <v>45171.77335648148</v>
      </c>
      <c r="C868" s="1" t="n">
        <v>45989</v>
      </c>
      <c r="D868" t="inlineStr">
        <is>
          <t>KALMAR LÄN</t>
        </is>
      </c>
      <c r="E868" t="inlineStr">
        <is>
          <t>VIMMERBY</t>
        </is>
      </c>
      <c r="G868" t="n">
        <v>2.7</v>
      </c>
      <c r="H868" t="n">
        <v>0</v>
      </c>
      <c r="I868" t="n">
        <v>0</v>
      </c>
      <c r="J868" t="n">
        <v>0</v>
      </c>
      <c r="K868" t="n">
        <v>0</v>
      </c>
      <c r="L868" t="n">
        <v>0</v>
      </c>
      <c r="M868" t="n">
        <v>0</v>
      </c>
      <c r="N868" t="n">
        <v>0</v>
      </c>
      <c r="O868" t="n">
        <v>0</v>
      </c>
      <c r="P868" t="n">
        <v>0</v>
      </c>
      <c r="Q868" t="n">
        <v>0</v>
      </c>
      <c r="R868" s="2" t="inlineStr"/>
    </row>
    <row r="869" ht="15" customHeight="1">
      <c r="A869" t="inlineStr">
        <is>
          <t>A 27761-2024</t>
        </is>
      </c>
      <c r="B869" s="1" t="n">
        <v>45475.49018518518</v>
      </c>
      <c r="C869" s="1" t="n">
        <v>45989</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21028-2023</t>
        </is>
      </c>
      <c r="B870" s="1" t="n">
        <v>45061</v>
      </c>
      <c r="C870" s="1" t="n">
        <v>45989</v>
      </c>
      <c r="D870" t="inlineStr">
        <is>
          <t>KALMAR LÄN</t>
        </is>
      </c>
      <c r="E870" t="inlineStr">
        <is>
          <t>VIMMERBY</t>
        </is>
      </c>
      <c r="F870" t="inlineStr">
        <is>
          <t>Övriga Aktiebolag</t>
        </is>
      </c>
      <c r="G870" t="n">
        <v>0.7</v>
      </c>
      <c r="H870" t="n">
        <v>0</v>
      </c>
      <c r="I870" t="n">
        <v>0</v>
      </c>
      <c r="J870" t="n">
        <v>0</v>
      </c>
      <c r="K870" t="n">
        <v>0</v>
      </c>
      <c r="L870" t="n">
        <v>0</v>
      </c>
      <c r="M870" t="n">
        <v>0</v>
      </c>
      <c r="N870" t="n">
        <v>0</v>
      </c>
      <c r="O870" t="n">
        <v>0</v>
      </c>
      <c r="P870" t="n">
        <v>0</v>
      </c>
      <c r="Q870" t="n">
        <v>0</v>
      </c>
      <c r="R870" s="2" t="inlineStr"/>
    </row>
    <row r="871" ht="15" customHeight="1">
      <c r="A871" t="inlineStr">
        <is>
          <t>A 64203-2021</t>
        </is>
      </c>
      <c r="B871" s="1" t="n">
        <v>44510.60921296296</v>
      </c>
      <c r="C871" s="1" t="n">
        <v>45989</v>
      </c>
      <c r="D871" t="inlineStr">
        <is>
          <t>KALMAR LÄN</t>
        </is>
      </c>
      <c r="E871" t="inlineStr">
        <is>
          <t>VIMMERBY</t>
        </is>
      </c>
      <c r="F871" t="inlineStr">
        <is>
          <t>Övriga Aktiebolag</t>
        </is>
      </c>
      <c r="G871" t="n">
        <v>5.4</v>
      </c>
      <c r="H871" t="n">
        <v>0</v>
      </c>
      <c r="I871" t="n">
        <v>0</v>
      </c>
      <c r="J871" t="n">
        <v>0</v>
      </c>
      <c r="K871" t="n">
        <v>0</v>
      </c>
      <c r="L871" t="n">
        <v>0</v>
      </c>
      <c r="M871" t="n">
        <v>0</v>
      </c>
      <c r="N871" t="n">
        <v>0</v>
      </c>
      <c r="O871" t="n">
        <v>0</v>
      </c>
      <c r="P871" t="n">
        <v>0</v>
      </c>
      <c r="Q871" t="n">
        <v>0</v>
      </c>
      <c r="R871" s="2" t="inlineStr"/>
    </row>
    <row r="872" ht="15" customHeight="1">
      <c r="A872" t="inlineStr">
        <is>
          <t>A 1016-2024</t>
        </is>
      </c>
      <c r="B872" s="1" t="n">
        <v>45301</v>
      </c>
      <c r="C872" s="1" t="n">
        <v>45989</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1024-2024</t>
        </is>
      </c>
      <c r="B873" s="1" t="n">
        <v>45301.68237268519</v>
      </c>
      <c r="C873" s="1" t="n">
        <v>45989</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27758-2024</t>
        </is>
      </c>
      <c r="B874" s="1" t="n">
        <v>45475.48303240741</v>
      </c>
      <c r="C874" s="1" t="n">
        <v>45989</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32865-2023</t>
        </is>
      </c>
      <c r="B875" s="1" t="n">
        <v>45124</v>
      </c>
      <c r="C875" s="1" t="n">
        <v>45989</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22194-2024</t>
        </is>
      </c>
      <c r="B876" s="1" t="n">
        <v>45446.36482638889</v>
      </c>
      <c r="C876" s="1" t="n">
        <v>45989</v>
      </c>
      <c r="D876" t="inlineStr">
        <is>
          <t>KALMAR LÄN</t>
        </is>
      </c>
      <c r="E876" t="inlineStr">
        <is>
          <t>VIMMERBY</t>
        </is>
      </c>
      <c r="F876" t="inlineStr">
        <is>
          <t>Sveaskog</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17926-2025</t>
        </is>
      </c>
      <c r="B877" s="1" t="n">
        <v>45759.38987268518</v>
      </c>
      <c r="C877" s="1" t="n">
        <v>45989</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35127-2024</t>
        </is>
      </c>
      <c r="B878" s="1" t="n">
        <v>45530.33202546297</v>
      </c>
      <c r="C878" s="1" t="n">
        <v>45989</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33383-2023</t>
        </is>
      </c>
      <c r="B879" s="1" t="n">
        <v>45128.58414351852</v>
      </c>
      <c r="C879" s="1" t="n">
        <v>45989</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4297-2022</t>
        </is>
      </c>
      <c r="B880" s="1" t="n">
        <v>44588</v>
      </c>
      <c r="C880" s="1" t="n">
        <v>45989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55716-2023</t>
        </is>
      </c>
      <c r="B881" s="1" t="n">
        <v>45232</v>
      </c>
      <c r="C881" s="1" t="n">
        <v>45989</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34386-2024</t>
        </is>
      </c>
      <c r="B882" s="1" t="n">
        <v>45525.41762731481</v>
      </c>
      <c r="C882" s="1" t="n">
        <v>45989</v>
      </c>
      <c r="D882" t="inlineStr">
        <is>
          <t>KALMAR LÄN</t>
        </is>
      </c>
      <c r="E882" t="inlineStr">
        <is>
          <t>VIMMERBY</t>
        </is>
      </c>
      <c r="G882" t="n">
        <v>0.3</v>
      </c>
      <c r="H882" t="n">
        <v>0</v>
      </c>
      <c r="I882" t="n">
        <v>0</v>
      </c>
      <c r="J882" t="n">
        <v>0</v>
      </c>
      <c r="K882" t="n">
        <v>0</v>
      </c>
      <c r="L882" t="n">
        <v>0</v>
      </c>
      <c r="M882" t="n">
        <v>0</v>
      </c>
      <c r="N882" t="n">
        <v>0</v>
      </c>
      <c r="O882" t="n">
        <v>0</v>
      </c>
      <c r="P882" t="n">
        <v>0</v>
      </c>
      <c r="Q882" t="n">
        <v>0</v>
      </c>
      <c r="R882" s="2" t="inlineStr"/>
    </row>
    <row r="883" ht="15" customHeight="1">
      <c r="A883" t="inlineStr">
        <is>
          <t>A 42429-2024</t>
        </is>
      </c>
      <c r="B883" s="1" t="n">
        <v>45565.40657407408</v>
      </c>
      <c r="C883" s="1" t="n">
        <v>45989</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11946-2025</t>
        </is>
      </c>
      <c r="B884" s="1" t="n">
        <v>45728.54832175926</v>
      </c>
      <c r="C884" s="1" t="n">
        <v>45989</v>
      </c>
      <c r="D884" t="inlineStr">
        <is>
          <t>KALMAR LÄN</t>
        </is>
      </c>
      <c r="E884" t="inlineStr">
        <is>
          <t>VIMMERBY</t>
        </is>
      </c>
      <c r="G884" t="n">
        <v>0.4</v>
      </c>
      <c r="H884" t="n">
        <v>0</v>
      </c>
      <c r="I884" t="n">
        <v>0</v>
      </c>
      <c r="J884" t="n">
        <v>0</v>
      </c>
      <c r="K884" t="n">
        <v>0</v>
      </c>
      <c r="L884" t="n">
        <v>0</v>
      </c>
      <c r="M884" t="n">
        <v>0</v>
      </c>
      <c r="N884" t="n">
        <v>0</v>
      </c>
      <c r="O884" t="n">
        <v>0</v>
      </c>
      <c r="P884" t="n">
        <v>0</v>
      </c>
      <c r="Q884" t="n">
        <v>0</v>
      </c>
      <c r="R884" s="2" t="inlineStr"/>
    </row>
    <row r="885" ht="15" customHeight="1">
      <c r="A885" t="inlineStr">
        <is>
          <t>A 59943-2023</t>
        </is>
      </c>
      <c r="B885" s="1" t="n">
        <v>45257.67958333333</v>
      </c>
      <c r="C885" s="1" t="n">
        <v>45989</v>
      </c>
      <c r="D885" t="inlineStr">
        <is>
          <t>KALMAR LÄN</t>
        </is>
      </c>
      <c r="E885" t="inlineStr">
        <is>
          <t>VIMMERBY</t>
        </is>
      </c>
      <c r="G885" t="n">
        <v>6.4</v>
      </c>
      <c r="H885" t="n">
        <v>0</v>
      </c>
      <c r="I885" t="n">
        <v>0</v>
      </c>
      <c r="J885" t="n">
        <v>0</v>
      </c>
      <c r="K885" t="n">
        <v>0</v>
      </c>
      <c r="L885" t="n">
        <v>0</v>
      </c>
      <c r="M885" t="n">
        <v>0</v>
      </c>
      <c r="N885" t="n">
        <v>0</v>
      </c>
      <c r="O885" t="n">
        <v>0</v>
      </c>
      <c r="P885" t="n">
        <v>0</v>
      </c>
      <c r="Q885" t="n">
        <v>0</v>
      </c>
      <c r="R885" s="2" t="inlineStr"/>
    </row>
    <row r="886" ht="15" customHeight="1">
      <c r="A886" t="inlineStr">
        <is>
          <t>A 15493-2023</t>
        </is>
      </c>
      <c r="B886" s="1" t="n">
        <v>45018</v>
      </c>
      <c r="C886" s="1" t="n">
        <v>45989</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51881-2024</t>
        </is>
      </c>
      <c r="B887" s="1" t="n">
        <v>45607.56773148148</v>
      </c>
      <c r="C887" s="1" t="n">
        <v>45989</v>
      </c>
      <c r="D887" t="inlineStr">
        <is>
          <t>KALMAR LÄN</t>
        </is>
      </c>
      <c r="E887" t="inlineStr">
        <is>
          <t>VIMMERBY</t>
        </is>
      </c>
      <c r="G887" t="n">
        <v>3.4</v>
      </c>
      <c r="H887" t="n">
        <v>0</v>
      </c>
      <c r="I887" t="n">
        <v>0</v>
      </c>
      <c r="J887" t="n">
        <v>0</v>
      </c>
      <c r="K887" t="n">
        <v>0</v>
      </c>
      <c r="L887" t="n">
        <v>0</v>
      </c>
      <c r="M887" t="n">
        <v>0</v>
      </c>
      <c r="N887" t="n">
        <v>0</v>
      </c>
      <c r="O887" t="n">
        <v>0</v>
      </c>
      <c r="P887" t="n">
        <v>0</v>
      </c>
      <c r="Q887" t="n">
        <v>0</v>
      </c>
      <c r="R887" s="2" t="inlineStr"/>
    </row>
    <row r="888" ht="15" customHeight="1">
      <c r="A888" t="inlineStr">
        <is>
          <t>A 1021-2024</t>
        </is>
      </c>
      <c r="B888" s="1" t="n">
        <v>45301.67736111111</v>
      </c>
      <c r="C888" s="1" t="n">
        <v>45989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32569-2024</t>
        </is>
      </c>
      <c r="B889" s="1" t="n">
        <v>45513.55840277778</v>
      </c>
      <c r="C889" s="1" t="n">
        <v>45989</v>
      </c>
      <c r="D889" t="inlineStr">
        <is>
          <t>KALMAR LÄN</t>
        </is>
      </c>
      <c r="E889" t="inlineStr">
        <is>
          <t>VIMMERBY</t>
        </is>
      </c>
      <c r="G889" t="n">
        <v>3.7</v>
      </c>
      <c r="H889" t="n">
        <v>0</v>
      </c>
      <c r="I889" t="n">
        <v>0</v>
      </c>
      <c r="J889" t="n">
        <v>0</v>
      </c>
      <c r="K889" t="n">
        <v>0</v>
      </c>
      <c r="L889" t="n">
        <v>0</v>
      </c>
      <c r="M889" t="n">
        <v>0</v>
      </c>
      <c r="N889" t="n">
        <v>0</v>
      </c>
      <c r="O889" t="n">
        <v>0</v>
      </c>
      <c r="P889" t="n">
        <v>0</v>
      </c>
      <c r="Q889" t="n">
        <v>0</v>
      </c>
      <c r="R889" s="2" t="inlineStr"/>
    </row>
    <row r="890" ht="15" customHeight="1">
      <c r="A890" t="inlineStr">
        <is>
          <t>A 32575-2024</t>
        </is>
      </c>
      <c r="B890" s="1" t="n">
        <v>45513.56527777778</v>
      </c>
      <c r="C890" s="1" t="n">
        <v>45989</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30063-2023</t>
        </is>
      </c>
      <c r="B891" s="1" t="n">
        <v>45110.4184375</v>
      </c>
      <c r="C891" s="1" t="n">
        <v>45989</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17482-2024</t>
        </is>
      </c>
      <c r="B892" s="1" t="n">
        <v>45415.47848379629</v>
      </c>
      <c r="C892" s="1" t="n">
        <v>45989</v>
      </c>
      <c r="D892" t="inlineStr">
        <is>
          <t>KALMAR LÄN</t>
        </is>
      </c>
      <c r="E892" t="inlineStr">
        <is>
          <t>VIMMERBY</t>
        </is>
      </c>
      <c r="G892" t="n">
        <v>1.7</v>
      </c>
      <c r="H892" t="n">
        <v>0</v>
      </c>
      <c r="I892" t="n">
        <v>0</v>
      </c>
      <c r="J892" t="n">
        <v>0</v>
      </c>
      <c r="K892" t="n">
        <v>0</v>
      </c>
      <c r="L892" t="n">
        <v>0</v>
      </c>
      <c r="M892" t="n">
        <v>0</v>
      </c>
      <c r="N892" t="n">
        <v>0</v>
      </c>
      <c r="O892" t="n">
        <v>0</v>
      </c>
      <c r="P892" t="n">
        <v>0</v>
      </c>
      <c r="Q892" t="n">
        <v>0</v>
      </c>
      <c r="R892" s="2" t="inlineStr"/>
    </row>
    <row r="893" ht="15" customHeight="1">
      <c r="A893" t="inlineStr">
        <is>
          <t>A 13817-2024</t>
        </is>
      </c>
      <c r="B893" s="1" t="n">
        <v>45391.41976851852</v>
      </c>
      <c r="C893" s="1" t="n">
        <v>45989</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30406-2023</t>
        </is>
      </c>
      <c r="B894" s="1" t="n">
        <v>45111.48787037037</v>
      </c>
      <c r="C894" s="1" t="n">
        <v>45989</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row>
    <row r="895" ht="15" customHeight="1">
      <c r="A895" t="inlineStr">
        <is>
          <t>A 29020-2024</t>
        </is>
      </c>
      <c r="B895" s="1" t="n">
        <v>45481.58048611111</v>
      </c>
      <c r="C895" s="1" t="n">
        <v>45989</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25582-2024</t>
        </is>
      </c>
      <c r="B896" s="1" t="n">
        <v>45463</v>
      </c>
      <c r="C896" s="1" t="n">
        <v>45989</v>
      </c>
      <c r="D896" t="inlineStr">
        <is>
          <t>KALMAR LÄN</t>
        </is>
      </c>
      <c r="E896" t="inlineStr">
        <is>
          <t>VIMMERBY</t>
        </is>
      </c>
      <c r="G896" t="n">
        <v>1.4</v>
      </c>
      <c r="H896" t="n">
        <v>0</v>
      </c>
      <c r="I896" t="n">
        <v>0</v>
      </c>
      <c r="J896" t="n">
        <v>0</v>
      </c>
      <c r="K896" t="n">
        <v>0</v>
      </c>
      <c r="L896" t="n">
        <v>0</v>
      </c>
      <c r="M896" t="n">
        <v>0</v>
      </c>
      <c r="N896" t="n">
        <v>0</v>
      </c>
      <c r="O896" t="n">
        <v>0</v>
      </c>
      <c r="P896" t="n">
        <v>0</v>
      </c>
      <c r="Q896" t="n">
        <v>0</v>
      </c>
      <c r="R896" s="2" t="inlineStr"/>
    </row>
    <row r="897" ht="15" customHeight="1">
      <c r="A897" t="inlineStr">
        <is>
          <t>A 57578-2024</t>
        </is>
      </c>
      <c r="B897" s="1" t="n">
        <v>45630.47564814815</v>
      </c>
      <c r="C897" s="1" t="n">
        <v>45989</v>
      </c>
      <c r="D897" t="inlineStr">
        <is>
          <t>KALMAR LÄN</t>
        </is>
      </c>
      <c r="E897" t="inlineStr">
        <is>
          <t>VIMMERBY</t>
        </is>
      </c>
      <c r="G897" t="n">
        <v>2.6</v>
      </c>
      <c r="H897" t="n">
        <v>0</v>
      </c>
      <c r="I897" t="n">
        <v>0</v>
      </c>
      <c r="J897" t="n">
        <v>0</v>
      </c>
      <c r="K897" t="n">
        <v>0</v>
      </c>
      <c r="L897" t="n">
        <v>0</v>
      </c>
      <c r="M897" t="n">
        <v>0</v>
      </c>
      <c r="N897" t="n">
        <v>0</v>
      </c>
      <c r="O897" t="n">
        <v>0</v>
      </c>
      <c r="P897" t="n">
        <v>0</v>
      </c>
      <c r="Q897" t="n">
        <v>0</v>
      </c>
      <c r="R897" s="2" t="inlineStr"/>
    </row>
    <row r="898" ht="15" customHeight="1">
      <c r="A898" t="inlineStr">
        <is>
          <t>A 22399-2025</t>
        </is>
      </c>
      <c r="B898" s="1" t="n">
        <v>45786.52996527778</v>
      </c>
      <c r="C898" s="1" t="n">
        <v>45989</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22397-2025</t>
        </is>
      </c>
      <c r="B899" s="1" t="n">
        <v>45786.52878472222</v>
      </c>
      <c r="C899" s="1" t="n">
        <v>45989</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11442-2025</t>
        </is>
      </c>
      <c r="B900" s="1" t="n">
        <v>45726.62721064815</v>
      </c>
      <c r="C900" s="1" t="n">
        <v>45989</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6307-2025</t>
        </is>
      </c>
      <c r="B901" s="1" t="n">
        <v>45698.69016203703</v>
      </c>
      <c r="C901" s="1" t="n">
        <v>45989</v>
      </c>
      <c r="D901" t="inlineStr">
        <is>
          <t>KALMAR LÄN</t>
        </is>
      </c>
      <c r="E901" t="inlineStr">
        <is>
          <t>VIMMERBY</t>
        </is>
      </c>
      <c r="G901" t="n">
        <v>3</v>
      </c>
      <c r="H901" t="n">
        <v>0</v>
      </c>
      <c r="I901" t="n">
        <v>0</v>
      </c>
      <c r="J901" t="n">
        <v>0</v>
      </c>
      <c r="K901" t="n">
        <v>0</v>
      </c>
      <c r="L901" t="n">
        <v>0</v>
      </c>
      <c r="M901" t="n">
        <v>0</v>
      </c>
      <c r="N901" t="n">
        <v>0</v>
      </c>
      <c r="O901" t="n">
        <v>0</v>
      </c>
      <c r="P901" t="n">
        <v>0</v>
      </c>
      <c r="Q901" t="n">
        <v>0</v>
      </c>
      <c r="R901" s="2" t="inlineStr"/>
    </row>
    <row r="902" ht="15" customHeight="1">
      <c r="A902" t="inlineStr">
        <is>
          <t>A 23394-2025</t>
        </is>
      </c>
      <c r="B902" s="1" t="n">
        <v>45791.89865740741</v>
      </c>
      <c r="C902" s="1" t="n">
        <v>45989</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c r="A903" t="inlineStr">
        <is>
          <t>A 23984-2025</t>
        </is>
      </c>
      <c r="B903" s="1" t="n">
        <v>45796</v>
      </c>
      <c r="C903" s="1" t="n">
        <v>45989</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2025-11-28T10:19:49Z</dcterms:created>
  <dcterms:modified xmlns:dcterms="http://purl.org/dc/terms/" xmlns:xsi="http://www.w3.org/2001/XMLSchema-instance" xsi:type="dcterms:W3CDTF">2025-11-28T10:19:50Z</dcterms:modified>
</cp:coreProperties>
</file>