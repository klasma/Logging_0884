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45905</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45905</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45905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45905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45905</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45905</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45905</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45905</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45905</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45905</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45905</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45905</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45905</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45905</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45905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45905</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45905</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40684-2025</t>
        </is>
      </c>
      <c r="B27" s="1" t="n">
        <v>45896.86820601852</v>
      </c>
      <c r="C27" s="1" t="n">
        <v>45905</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19158-2023</t>
        </is>
      </c>
      <c r="B28" s="1" t="n">
        <v>45048</v>
      </c>
      <c r="C28" s="1" t="n">
        <v>45905</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45905</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37930-2021</t>
        </is>
      </c>
      <c r="B30" s="1" t="n">
        <v>44403</v>
      </c>
      <c r="C30" s="1" t="n">
        <v>45905</v>
      </c>
      <c r="D30" t="inlineStr">
        <is>
          <t>KALMAR LÄN</t>
        </is>
      </c>
      <c r="E30" t="inlineStr">
        <is>
          <t>VIMMERBY</t>
        </is>
      </c>
      <c r="G30" t="n">
        <v>4.4</v>
      </c>
      <c r="H30" t="n">
        <v>0</v>
      </c>
      <c r="I30" t="n">
        <v>0</v>
      </c>
      <c r="J30" t="n">
        <v>1</v>
      </c>
      <c r="K30" t="n">
        <v>0</v>
      </c>
      <c r="L30" t="n">
        <v>0</v>
      </c>
      <c r="M30" t="n">
        <v>0</v>
      </c>
      <c r="N30" t="n">
        <v>0</v>
      </c>
      <c r="O30" t="n">
        <v>1</v>
      </c>
      <c r="P30" t="n">
        <v>0</v>
      </c>
      <c r="Q30" t="n">
        <v>1</v>
      </c>
      <c r="R30" s="2" t="inlineStr">
        <is>
          <t>Spindelört</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15122-2024</t>
        </is>
      </c>
      <c r="B31" s="1" t="n">
        <v>45399.71412037037</v>
      </c>
      <c r="C31" s="1" t="n">
        <v>45905</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32985-2023</t>
        </is>
      </c>
      <c r="B32" s="1" t="n">
        <v>45125</v>
      </c>
      <c r="C32" s="1" t="n">
        <v>45905</v>
      </c>
      <c r="D32" t="inlineStr">
        <is>
          <t>KALMAR LÄN</t>
        </is>
      </c>
      <c r="E32" t="inlineStr">
        <is>
          <t>VIMMERBY</t>
        </is>
      </c>
      <c r="G32" t="n">
        <v>1.9</v>
      </c>
      <c r="H32" t="n">
        <v>0</v>
      </c>
      <c r="I32" t="n">
        <v>0</v>
      </c>
      <c r="J32" t="n">
        <v>0</v>
      </c>
      <c r="K32" t="n">
        <v>0</v>
      </c>
      <c r="L32" t="n">
        <v>1</v>
      </c>
      <c r="M32" t="n">
        <v>0</v>
      </c>
      <c r="N32" t="n">
        <v>0</v>
      </c>
      <c r="O32" t="n">
        <v>1</v>
      </c>
      <c r="P32" t="n">
        <v>1</v>
      </c>
      <c r="Q32" t="n">
        <v>1</v>
      </c>
      <c r="R32" s="2" t="inlineStr">
        <is>
          <t>Ryl</t>
        </is>
      </c>
      <c r="S32">
        <f>HYPERLINK("https://klasma.github.io/Logging_0884/artfynd/A 32985-2023 artfynd.xlsx", "A 32985-2023")</f>
        <v/>
      </c>
      <c r="T32">
        <f>HYPERLINK("https://klasma.github.io/Logging_0884/kartor/A 32985-2023 karta.png", "A 32985-2023")</f>
        <v/>
      </c>
      <c r="V32">
        <f>HYPERLINK("https://klasma.github.io/Logging_0884/klagomål/A 32985-2023 FSC-klagomål.docx", "A 32985-2023")</f>
        <v/>
      </c>
      <c r="W32">
        <f>HYPERLINK("https://klasma.github.io/Logging_0884/klagomålsmail/A 32985-2023 FSC-klagomål mail.docx", "A 32985-2023")</f>
        <v/>
      </c>
      <c r="X32">
        <f>HYPERLINK("https://klasma.github.io/Logging_0884/tillsyn/A 32985-2023 tillsynsbegäran.docx", "A 32985-2023")</f>
        <v/>
      </c>
      <c r="Y32">
        <f>HYPERLINK("https://klasma.github.io/Logging_0884/tillsynsmail/A 32985-2023 tillsynsbegäran mail.docx", "A 32985-2023")</f>
        <v/>
      </c>
    </row>
    <row r="33" ht="15" customHeight="1">
      <c r="A33" t="inlineStr">
        <is>
          <t>A 44306-2020</t>
        </is>
      </c>
      <c r="B33" s="1" t="n">
        <v>44082</v>
      </c>
      <c r="C33" s="1" t="n">
        <v>45905</v>
      </c>
      <c r="D33" t="inlineStr">
        <is>
          <t>KALMAR LÄN</t>
        </is>
      </c>
      <c r="E33" t="inlineStr">
        <is>
          <t>VIMMERBY</t>
        </is>
      </c>
      <c r="G33" t="n">
        <v>16.4</v>
      </c>
      <c r="H33" t="n">
        <v>1</v>
      </c>
      <c r="I33" t="n">
        <v>1</v>
      </c>
      <c r="J33" t="n">
        <v>0</v>
      </c>
      <c r="K33" t="n">
        <v>0</v>
      </c>
      <c r="L33" t="n">
        <v>0</v>
      </c>
      <c r="M33" t="n">
        <v>0</v>
      </c>
      <c r="N33" t="n">
        <v>0</v>
      </c>
      <c r="O33" t="n">
        <v>0</v>
      </c>
      <c r="P33" t="n">
        <v>0</v>
      </c>
      <c r="Q33" t="n">
        <v>1</v>
      </c>
      <c r="R33" s="2" t="inlineStr">
        <is>
          <t>Plattlummer</t>
        </is>
      </c>
      <c r="S33">
        <f>HYPERLINK("https://klasma.github.io/Logging_0884/artfynd/A 44306-2020 artfynd.xlsx", "A 44306-2020")</f>
        <v/>
      </c>
      <c r="T33">
        <f>HYPERLINK("https://klasma.github.io/Logging_0884/kartor/A 44306-2020 karta.png", "A 44306-2020")</f>
        <v/>
      </c>
      <c r="V33">
        <f>HYPERLINK("https://klasma.github.io/Logging_0884/klagomål/A 44306-2020 FSC-klagomål.docx", "A 44306-2020")</f>
        <v/>
      </c>
      <c r="W33">
        <f>HYPERLINK("https://klasma.github.io/Logging_0884/klagomålsmail/A 44306-2020 FSC-klagomål mail.docx", "A 44306-2020")</f>
        <v/>
      </c>
      <c r="X33">
        <f>HYPERLINK("https://klasma.github.io/Logging_0884/tillsyn/A 44306-2020 tillsynsbegäran.docx", "A 44306-2020")</f>
        <v/>
      </c>
      <c r="Y33">
        <f>HYPERLINK("https://klasma.github.io/Logging_0884/tillsynsmail/A 44306-2020 tillsynsbegäran mail.docx", "A 44306-2020")</f>
        <v/>
      </c>
    </row>
    <row r="34" ht="15" customHeight="1">
      <c r="A34" t="inlineStr">
        <is>
          <t>A 28852-2023</t>
        </is>
      </c>
      <c r="B34" s="1" t="n">
        <v>45104</v>
      </c>
      <c r="C34" s="1" t="n">
        <v>45905</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44515-2024</t>
        </is>
      </c>
      <c r="B35" s="1" t="n">
        <v>45574.42767361111</v>
      </c>
      <c r="C35" s="1" t="n">
        <v>45905</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1201-2025</t>
        </is>
      </c>
      <c r="B36" s="1" t="n">
        <v>45667</v>
      </c>
      <c r="C36" s="1" t="n">
        <v>45905</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40083-2023</t>
        </is>
      </c>
      <c r="B37" s="1" t="n">
        <v>45168</v>
      </c>
      <c r="C37" s="1" t="n">
        <v>45905</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45905</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61860-2024</t>
        </is>
      </c>
      <c r="B39" s="1" t="n">
        <v>45649</v>
      </c>
      <c r="C39" s="1" t="n">
        <v>45905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45905</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6841-2021</t>
        </is>
      </c>
      <c r="B41" s="1" t="n">
        <v>44236</v>
      </c>
      <c r="C41" s="1" t="n">
        <v>45905</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45905</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23602-2023</t>
        </is>
      </c>
      <c r="B43" s="1" t="n">
        <v>45077</v>
      </c>
      <c r="C43" s="1" t="n">
        <v>45905</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52301-2023</t>
        </is>
      </c>
      <c r="B44" s="1" t="n">
        <v>45224</v>
      </c>
      <c r="C44" s="1" t="n">
        <v>45905</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33436-2021</t>
        </is>
      </c>
      <c r="B45" s="1" t="n">
        <v>44377.61104166666</v>
      </c>
      <c r="C45" s="1" t="n">
        <v>45905</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44000-2020</t>
        </is>
      </c>
      <c r="B46" s="1" t="n">
        <v>44083</v>
      </c>
      <c r="C46" s="1" t="n">
        <v>45905</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45905</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45905</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45905</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45905</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45905</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45905</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45905</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45905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45905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45905</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45905</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45905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45905</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45905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45905</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45905</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45905</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45905</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45905</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45905</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45905</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45905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45905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45905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45905</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45905</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45905</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45905</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45905</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45905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45905</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45905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45905</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45905</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45905</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45905</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45905</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45905</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45905</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45905</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45905</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45905</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45905</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45905</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45905</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45905</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45905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45905</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45905</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45905</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45905</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45905</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45905</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45905</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45905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45905</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45905</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45905</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45905</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45905</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45905</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45905</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45905</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45905</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45905</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45905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45905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45905</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45905</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45905</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45905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45905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45905</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45905</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45905</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45905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45905</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45905</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45905</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45905</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45905</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45905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45905</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45905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45905</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45905</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45905</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45905</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45905</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45905</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45905</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57948-2020</t>
        </is>
      </c>
      <c r="B138" s="1" t="n">
        <v>44142</v>
      </c>
      <c r="C138" s="1" t="n">
        <v>45905</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45905</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44605-2020</t>
        </is>
      </c>
      <c r="B140" s="1" t="n">
        <v>44085</v>
      </c>
      <c r="C140" s="1" t="n">
        <v>45905</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46461-2020</t>
        </is>
      </c>
      <c r="B141" s="1" t="n">
        <v>44092</v>
      </c>
      <c r="C141" s="1" t="n">
        <v>45905</v>
      </c>
      <c r="D141" t="inlineStr">
        <is>
          <t>KALMAR LÄN</t>
        </is>
      </c>
      <c r="E141" t="inlineStr">
        <is>
          <t>VIMMERBY</t>
        </is>
      </c>
      <c r="G141" t="n">
        <v>2.4</v>
      </c>
      <c r="H141" t="n">
        <v>0</v>
      </c>
      <c r="I141" t="n">
        <v>0</v>
      </c>
      <c r="J141" t="n">
        <v>0</v>
      </c>
      <c r="K141" t="n">
        <v>0</v>
      </c>
      <c r="L141" t="n">
        <v>0</v>
      </c>
      <c r="M141" t="n">
        <v>0</v>
      </c>
      <c r="N141" t="n">
        <v>0</v>
      </c>
      <c r="O141" t="n">
        <v>0</v>
      </c>
      <c r="P141" t="n">
        <v>0</v>
      </c>
      <c r="Q141" t="n">
        <v>0</v>
      </c>
      <c r="R141" s="2" t="inlineStr"/>
    </row>
    <row r="142" ht="15" customHeight="1">
      <c r="A142" t="inlineStr">
        <is>
          <t>A 8454-2022</t>
        </is>
      </c>
      <c r="B142" s="1" t="n">
        <v>44612.86762731482</v>
      </c>
      <c r="C142" s="1" t="n">
        <v>45905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45905</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45905</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47473-2021</t>
        </is>
      </c>
      <c r="B145" s="1" t="n">
        <v>44447</v>
      </c>
      <c r="C145" s="1" t="n">
        <v>45905</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45905</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45905</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65887-2021</t>
        </is>
      </c>
      <c r="B148" s="1" t="n">
        <v>44517</v>
      </c>
      <c r="C148" s="1" t="n">
        <v>45905</v>
      </c>
      <c r="D148" t="inlineStr">
        <is>
          <t>KALMAR LÄN</t>
        </is>
      </c>
      <c r="E148" t="inlineStr">
        <is>
          <t>VIMMERBY</t>
        </is>
      </c>
      <c r="G148" t="n">
        <v>1.4</v>
      </c>
      <c r="H148" t="n">
        <v>0</v>
      </c>
      <c r="I148" t="n">
        <v>0</v>
      </c>
      <c r="J148" t="n">
        <v>0</v>
      </c>
      <c r="K148" t="n">
        <v>0</v>
      </c>
      <c r="L148" t="n">
        <v>0</v>
      </c>
      <c r="M148" t="n">
        <v>0</v>
      </c>
      <c r="N148" t="n">
        <v>0</v>
      </c>
      <c r="O148" t="n">
        <v>0</v>
      </c>
      <c r="P148" t="n">
        <v>0</v>
      </c>
      <c r="Q148" t="n">
        <v>0</v>
      </c>
      <c r="R148" s="2" t="inlineStr"/>
    </row>
    <row r="149" ht="15" customHeight="1">
      <c r="A149" t="inlineStr">
        <is>
          <t>A 41056-2022</t>
        </is>
      </c>
      <c r="B149" s="1" t="n">
        <v>44824</v>
      </c>
      <c r="C149" s="1" t="n">
        <v>45905</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31660-2021</t>
        </is>
      </c>
      <c r="B150" s="1" t="n">
        <v>44369</v>
      </c>
      <c r="C150" s="1" t="n">
        <v>45905</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27455-2022</t>
        </is>
      </c>
      <c r="B151" s="1" t="n">
        <v>44742</v>
      </c>
      <c r="C151" s="1" t="n">
        <v>45905</v>
      </c>
      <c r="D151" t="inlineStr">
        <is>
          <t>KALMAR LÄN</t>
        </is>
      </c>
      <c r="E151" t="inlineStr">
        <is>
          <t>VIMMERBY</t>
        </is>
      </c>
      <c r="G151" t="n">
        <v>1.6</v>
      </c>
      <c r="H151" t="n">
        <v>0</v>
      </c>
      <c r="I151" t="n">
        <v>0</v>
      </c>
      <c r="J151" t="n">
        <v>0</v>
      </c>
      <c r="K151" t="n">
        <v>0</v>
      </c>
      <c r="L151" t="n">
        <v>0</v>
      </c>
      <c r="M151" t="n">
        <v>0</v>
      </c>
      <c r="N151" t="n">
        <v>0</v>
      </c>
      <c r="O151" t="n">
        <v>0</v>
      </c>
      <c r="P151" t="n">
        <v>0</v>
      </c>
      <c r="Q151" t="n">
        <v>0</v>
      </c>
      <c r="R151" s="2" t="inlineStr"/>
    </row>
    <row r="152" ht="15" customHeight="1">
      <c r="A152" t="inlineStr">
        <is>
          <t>A 42850-2022</t>
        </is>
      </c>
      <c r="B152" s="1" t="n">
        <v>44832.67608796297</v>
      </c>
      <c r="C152" s="1" t="n">
        <v>45905</v>
      </c>
      <c r="D152" t="inlineStr">
        <is>
          <t>KALMAR LÄN</t>
        </is>
      </c>
      <c r="E152" t="inlineStr">
        <is>
          <t>VIMMERBY</t>
        </is>
      </c>
      <c r="G152" t="n">
        <v>5.9</v>
      </c>
      <c r="H152" t="n">
        <v>0</v>
      </c>
      <c r="I152" t="n">
        <v>0</v>
      </c>
      <c r="J152" t="n">
        <v>0</v>
      </c>
      <c r="K152" t="n">
        <v>0</v>
      </c>
      <c r="L152" t="n">
        <v>0</v>
      </c>
      <c r="M152" t="n">
        <v>0</v>
      </c>
      <c r="N152" t="n">
        <v>0</v>
      </c>
      <c r="O152" t="n">
        <v>0</v>
      </c>
      <c r="P152" t="n">
        <v>0</v>
      </c>
      <c r="Q152" t="n">
        <v>0</v>
      </c>
      <c r="R152" s="2" t="inlineStr"/>
    </row>
    <row r="153" ht="15" customHeight="1">
      <c r="A153" t="inlineStr">
        <is>
          <t>A 39959-2022</t>
        </is>
      </c>
      <c r="B153" s="1" t="n">
        <v>44819</v>
      </c>
      <c r="C153" s="1" t="n">
        <v>45905</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45905</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45905</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10086-2022</t>
        </is>
      </c>
      <c r="B156" s="1" t="n">
        <v>44621</v>
      </c>
      <c r="C156" s="1" t="n">
        <v>45905</v>
      </c>
      <c r="D156" t="inlineStr">
        <is>
          <t>KALMAR LÄN</t>
        </is>
      </c>
      <c r="E156" t="inlineStr">
        <is>
          <t>VIMMERBY</t>
        </is>
      </c>
      <c r="G156" t="n">
        <v>1.2</v>
      </c>
      <c r="H156" t="n">
        <v>0</v>
      </c>
      <c r="I156" t="n">
        <v>0</v>
      </c>
      <c r="J156" t="n">
        <v>0</v>
      </c>
      <c r="K156" t="n">
        <v>0</v>
      </c>
      <c r="L156" t="n">
        <v>0</v>
      </c>
      <c r="M156" t="n">
        <v>0</v>
      </c>
      <c r="N156" t="n">
        <v>0</v>
      </c>
      <c r="O156" t="n">
        <v>0</v>
      </c>
      <c r="P156" t="n">
        <v>0</v>
      </c>
      <c r="Q156" t="n">
        <v>0</v>
      </c>
      <c r="R156" s="2" t="inlineStr"/>
    </row>
    <row r="157" ht="15" customHeight="1">
      <c r="A157" t="inlineStr">
        <is>
          <t>A 3330-2021</t>
        </is>
      </c>
      <c r="B157" s="1" t="n">
        <v>44217.79856481482</v>
      </c>
      <c r="C157" s="1" t="n">
        <v>45905</v>
      </c>
      <c r="D157" t="inlineStr">
        <is>
          <t>KALMAR LÄN</t>
        </is>
      </c>
      <c r="E157" t="inlineStr">
        <is>
          <t>VIMMERBY</t>
        </is>
      </c>
      <c r="G157" t="n">
        <v>11.1</v>
      </c>
      <c r="H157" t="n">
        <v>0</v>
      </c>
      <c r="I157" t="n">
        <v>0</v>
      </c>
      <c r="J157" t="n">
        <v>0</v>
      </c>
      <c r="K157" t="n">
        <v>0</v>
      </c>
      <c r="L157" t="n">
        <v>0</v>
      </c>
      <c r="M157" t="n">
        <v>0</v>
      </c>
      <c r="N157" t="n">
        <v>0</v>
      </c>
      <c r="O157" t="n">
        <v>0</v>
      </c>
      <c r="P157" t="n">
        <v>0</v>
      </c>
      <c r="Q157" t="n">
        <v>0</v>
      </c>
      <c r="R157" s="2" t="inlineStr"/>
    </row>
    <row r="158" ht="15" customHeight="1">
      <c r="A158" t="inlineStr">
        <is>
          <t>A 65564-2020</t>
        </is>
      </c>
      <c r="B158" s="1" t="n">
        <v>44172</v>
      </c>
      <c r="C158" s="1" t="n">
        <v>45905</v>
      </c>
      <c r="D158" t="inlineStr">
        <is>
          <t>KALMAR LÄN</t>
        </is>
      </c>
      <c r="E158" t="inlineStr">
        <is>
          <t>VIMMERBY</t>
        </is>
      </c>
      <c r="G158" t="n">
        <v>4.1</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45905</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45905</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12661-2021</t>
        </is>
      </c>
      <c r="B161" s="1" t="n">
        <v>44270</v>
      </c>
      <c r="C161" s="1" t="n">
        <v>45905</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24999-2021</t>
        </is>
      </c>
      <c r="B162" s="1" t="n">
        <v>44341</v>
      </c>
      <c r="C162" s="1" t="n">
        <v>45905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45905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7917-2022</t>
        </is>
      </c>
      <c r="B164" s="1" t="n">
        <v>44608</v>
      </c>
      <c r="C164" s="1" t="n">
        <v>45905</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47208-2021</t>
        </is>
      </c>
      <c r="B165" s="1" t="n">
        <v>44447.34237268518</v>
      </c>
      <c r="C165" s="1" t="n">
        <v>45905</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53145-2022</t>
        </is>
      </c>
      <c r="B166" s="1" t="n">
        <v>44876.48346064815</v>
      </c>
      <c r="C166" s="1" t="n">
        <v>45905</v>
      </c>
      <c r="D166" t="inlineStr">
        <is>
          <t>KALMAR LÄN</t>
        </is>
      </c>
      <c r="E166" t="inlineStr">
        <is>
          <t>VIMMERBY</t>
        </is>
      </c>
      <c r="G166" t="n">
        <v>0.4</v>
      </c>
      <c r="H166" t="n">
        <v>0</v>
      </c>
      <c r="I166" t="n">
        <v>0</v>
      </c>
      <c r="J166" t="n">
        <v>0</v>
      </c>
      <c r="K166" t="n">
        <v>0</v>
      </c>
      <c r="L166" t="n">
        <v>0</v>
      </c>
      <c r="M166" t="n">
        <v>0</v>
      </c>
      <c r="N166" t="n">
        <v>0</v>
      </c>
      <c r="O166" t="n">
        <v>0</v>
      </c>
      <c r="P166" t="n">
        <v>0</v>
      </c>
      <c r="Q166" t="n">
        <v>0</v>
      </c>
      <c r="R166" s="2" t="inlineStr"/>
    </row>
    <row r="167" ht="15" customHeight="1">
      <c r="A167" t="inlineStr">
        <is>
          <t>A 25738-2022</t>
        </is>
      </c>
      <c r="B167" s="1" t="n">
        <v>44733.43092592592</v>
      </c>
      <c r="C167" s="1" t="n">
        <v>45905</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16705-2021</t>
        </is>
      </c>
      <c r="B168" s="1" t="n">
        <v>44294</v>
      </c>
      <c r="C168" s="1" t="n">
        <v>45905</v>
      </c>
      <c r="D168" t="inlineStr">
        <is>
          <t>KALMAR LÄN</t>
        </is>
      </c>
      <c r="E168" t="inlineStr">
        <is>
          <t>VIMMERBY</t>
        </is>
      </c>
      <c r="G168" t="n">
        <v>2.6</v>
      </c>
      <c r="H168" t="n">
        <v>0</v>
      </c>
      <c r="I168" t="n">
        <v>0</v>
      </c>
      <c r="J168" t="n">
        <v>0</v>
      </c>
      <c r="K168" t="n">
        <v>0</v>
      </c>
      <c r="L168" t="n">
        <v>0</v>
      </c>
      <c r="M168" t="n">
        <v>0</v>
      </c>
      <c r="N168" t="n">
        <v>0</v>
      </c>
      <c r="O168" t="n">
        <v>0</v>
      </c>
      <c r="P168" t="n">
        <v>0</v>
      </c>
      <c r="Q168" t="n">
        <v>0</v>
      </c>
      <c r="R168" s="2" t="inlineStr"/>
    </row>
    <row r="169" ht="15" customHeight="1">
      <c r="A169" t="inlineStr">
        <is>
          <t>A 9918-2022</t>
        </is>
      </c>
      <c r="B169" s="1" t="n">
        <v>44620</v>
      </c>
      <c r="C169" s="1" t="n">
        <v>45905</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51977-2020</t>
        </is>
      </c>
      <c r="B170" s="1" t="n">
        <v>44116</v>
      </c>
      <c r="C170" s="1" t="n">
        <v>45905</v>
      </c>
      <c r="D170" t="inlineStr">
        <is>
          <t>KALMAR LÄN</t>
        </is>
      </c>
      <c r="E170" t="inlineStr">
        <is>
          <t>VIMMERBY</t>
        </is>
      </c>
      <c r="G170" t="n">
        <v>1.5</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45905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56389-2021</t>
        </is>
      </c>
      <c r="B172" s="1" t="n">
        <v>44480</v>
      </c>
      <c r="C172" s="1" t="n">
        <v>45905</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45905</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45050-2020</t>
        </is>
      </c>
      <c r="B174" s="1" t="n">
        <v>44088</v>
      </c>
      <c r="C174" s="1" t="n">
        <v>45905</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45054-2020</t>
        </is>
      </c>
      <c r="B175" s="1" t="n">
        <v>44088</v>
      </c>
      <c r="C175" s="1" t="n">
        <v>45905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618-2021</t>
        </is>
      </c>
      <c r="B176" s="1" t="n">
        <v>44203</v>
      </c>
      <c r="C176" s="1" t="n">
        <v>45905</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40971-2021</t>
        </is>
      </c>
      <c r="B177" s="1" t="n">
        <v>44421</v>
      </c>
      <c r="C177" s="1" t="n">
        <v>45905</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68744-2020</t>
        </is>
      </c>
      <c r="B178" s="1" t="n">
        <v>44186</v>
      </c>
      <c r="C178" s="1" t="n">
        <v>45905</v>
      </c>
      <c r="D178" t="inlineStr">
        <is>
          <t>KALMAR LÄN</t>
        </is>
      </c>
      <c r="E178" t="inlineStr">
        <is>
          <t>VIMMERBY</t>
        </is>
      </c>
      <c r="G178" t="n">
        <v>2.5</v>
      </c>
      <c r="H178" t="n">
        <v>0</v>
      </c>
      <c r="I178" t="n">
        <v>0</v>
      </c>
      <c r="J178" t="n">
        <v>0</v>
      </c>
      <c r="K178" t="n">
        <v>0</v>
      </c>
      <c r="L178" t="n">
        <v>0</v>
      </c>
      <c r="M178" t="n">
        <v>0</v>
      </c>
      <c r="N178" t="n">
        <v>0</v>
      </c>
      <c r="O178" t="n">
        <v>0</v>
      </c>
      <c r="P178" t="n">
        <v>0</v>
      </c>
      <c r="Q178" t="n">
        <v>0</v>
      </c>
      <c r="R178" s="2" t="inlineStr"/>
    </row>
    <row r="179" ht="15" customHeight="1">
      <c r="A179" t="inlineStr">
        <is>
          <t>A 13457-2021</t>
        </is>
      </c>
      <c r="B179" s="1" t="n">
        <v>44273</v>
      </c>
      <c r="C179" s="1" t="n">
        <v>45905</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14278-2021</t>
        </is>
      </c>
      <c r="B180" s="1" t="n">
        <v>44278.63479166666</v>
      </c>
      <c r="C180" s="1" t="n">
        <v>45905</v>
      </c>
      <c r="D180" t="inlineStr">
        <is>
          <t>KALMAR LÄN</t>
        </is>
      </c>
      <c r="E180" t="inlineStr">
        <is>
          <t>VIMMERBY</t>
        </is>
      </c>
      <c r="F180" t="inlineStr">
        <is>
          <t>Övriga statliga verk och myndigheter</t>
        </is>
      </c>
      <c r="G180" t="n">
        <v>0.8</v>
      </c>
      <c r="H180" t="n">
        <v>0</v>
      </c>
      <c r="I180" t="n">
        <v>0</v>
      </c>
      <c r="J180" t="n">
        <v>0</v>
      </c>
      <c r="K180" t="n">
        <v>0</v>
      </c>
      <c r="L180" t="n">
        <v>0</v>
      </c>
      <c r="M180" t="n">
        <v>0</v>
      </c>
      <c r="N180" t="n">
        <v>0</v>
      </c>
      <c r="O180" t="n">
        <v>0</v>
      </c>
      <c r="P180" t="n">
        <v>0</v>
      </c>
      <c r="Q180" t="n">
        <v>0</v>
      </c>
      <c r="R180" s="2" t="inlineStr"/>
    </row>
    <row r="181" ht="15" customHeight="1">
      <c r="A181" t="inlineStr">
        <is>
          <t>A 12241-2021</t>
        </is>
      </c>
      <c r="B181" s="1" t="n">
        <v>44266.7240625</v>
      </c>
      <c r="C181" s="1" t="n">
        <v>45905</v>
      </c>
      <c r="D181" t="inlineStr">
        <is>
          <t>KALMAR LÄN</t>
        </is>
      </c>
      <c r="E181" t="inlineStr">
        <is>
          <t>VIMMERBY</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32603-2021</t>
        </is>
      </c>
      <c r="B182" s="1" t="n">
        <v>44375.38789351852</v>
      </c>
      <c r="C182" s="1" t="n">
        <v>45905</v>
      </c>
      <c r="D182" t="inlineStr">
        <is>
          <t>KALMAR LÄN</t>
        </is>
      </c>
      <c r="E182" t="inlineStr">
        <is>
          <t>VIMMERBY</t>
        </is>
      </c>
      <c r="G182" t="n">
        <v>0.8</v>
      </c>
      <c r="H182" t="n">
        <v>0</v>
      </c>
      <c r="I182" t="n">
        <v>0</v>
      </c>
      <c r="J182" t="n">
        <v>0</v>
      </c>
      <c r="K182" t="n">
        <v>0</v>
      </c>
      <c r="L182" t="n">
        <v>0</v>
      </c>
      <c r="M182" t="n">
        <v>0</v>
      </c>
      <c r="N182" t="n">
        <v>0</v>
      </c>
      <c r="O182" t="n">
        <v>0</v>
      </c>
      <c r="P182" t="n">
        <v>0</v>
      </c>
      <c r="Q182" t="n">
        <v>0</v>
      </c>
      <c r="R182" s="2" t="inlineStr"/>
    </row>
    <row r="183" ht="15" customHeight="1">
      <c r="A183" t="inlineStr">
        <is>
          <t>A 12662-2021</t>
        </is>
      </c>
      <c r="B183" s="1" t="n">
        <v>44270.49743055556</v>
      </c>
      <c r="C183" s="1" t="n">
        <v>45905</v>
      </c>
      <c r="D183" t="inlineStr">
        <is>
          <t>KALMAR LÄN</t>
        </is>
      </c>
      <c r="E183" t="inlineStr">
        <is>
          <t>VIMMERBY</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45528-2020</t>
        </is>
      </c>
      <c r="B184" s="1" t="n">
        <v>44089.78633101852</v>
      </c>
      <c r="C184" s="1" t="n">
        <v>45905</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8453-2022</t>
        </is>
      </c>
      <c r="B185" s="1" t="n">
        <v>44612.86554398148</v>
      </c>
      <c r="C185" s="1" t="n">
        <v>45905</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52433-2021</t>
        </is>
      </c>
      <c r="B186" s="1" t="n">
        <v>44466.34726851852</v>
      </c>
      <c r="C186" s="1" t="n">
        <v>45905</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50621-2022</t>
        </is>
      </c>
      <c r="B187" s="1" t="n">
        <v>44866.81100694444</v>
      </c>
      <c r="C187" s="1" t="n">
        <v>45905</v>
      </c>
      <c r="D187" t="inlineStr">
        <is>
          <t>KALMAR LÄN</t>
        </is>
      </c>
      <c r="E187" t="inlineStr">
        <is>
          <t>VIMMERBY</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36117-2021</t>
        </is>
      </c>
      <c r="B188" s="1" t="n">
        <v>44386</v>
      </c>
      <c r="C188" s="1" t="n">
        <v>45905</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45905</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42521-2021</t>
        </is>
      </c>
      <c r="B190" s="1" t="n">
        <v>44427</v>
      </c>
      <c r="C190" s="1" t="n">
        <v>45905</v>
      </c>
      <c r="D190" t="inlineStr">
        <is>
          <t>KALMAR LÄN</t>
        </is>
      </c>
      <c r="E190" t="inlineStr">
        <is>
          <t>VIMMERBY</t>
        </is>
      </c>
      <c r="G190" t="n">
        <v>5.4</v>
      </c>
      <c r="H190" t="n">
        <v>0</v>
      </c>
      <c r="I190" t="n">
        <v>0</v>
      </c>
      <c r="J190" t="n">
        <v>0</v>
      </c>
      <c r="K190" t="n">
        <v>0</v>
      </c>
      <c r="L190" t="n">
        <v>0</v>
      </c>
      <c r="M190" t="n">
        <v>0</v>
      </c>
      <c r="N190" t="n">
        <v>0</v>
      </c>
      <c r="O190" t="n">
        <v>0</v>
      </c>
      <c r="P190" t="n">
        <v>0</v>
      </c>
      <c r="Q190" t="n">
        <v>0</v>
      </c>
      <c r="R190" s="2" t="inlineStr"/>
    </row>
    <row r="191" ht="15" customHeight="1">
      <c r="A191" t="inlineStr">
        <is>
          <t>A 31824-2022</t>
        </is>
      </c>
      <c r="B191" s="1" t="n">
        <v>44776</v>
      </c>
      <c r="C191" s="1" t="n">
        <v>45905</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11733-2022</t>
        </is>
      </c>
      <c r="B192" s="1" t="n">
        <v>44634</v>
      </c>
      <c r="C192" s="1" t="n">
        <v>45905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67952-2021</t>
        </is>
      </c>
      <c r="B193" s="1" t="n">
        <v>44525.63913194444</v>
      </c>
      <c r="C193" s="1" t="n">
        <v>45905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23825-2022</t>
        </is>
      </c>
      <c r="B194" s="1" t="n">
        <v>44722.48768518519</v>
      </c>
      <c r="C194" s="1" t="n">
        <v>45905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14521-2021</t>
        </is>
      </c>
      <c r="B195" s="1" t="n">
        <v>44279.64934027778</v>
      </c>
      <c r="C195" s="1" t="n">
        <v>45905</v>
      </c>
      <c r="D195" t="inlineStr">
        <is>
          <t>KALMAR LÄN</t>
        </is>
      </c>
      <c r="E195" t="inlineStr">
        <is>
          <t>VIMMERBY</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15533-2022</t>
        </is>
      </c>
      <c r="B196" s="1" t="n">
        <v>44662</v>
      </c>
      <c r="C196" s="1" t="n">
        <v>45905</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7804-2022</t>
        </is>
      </c>
      <c r="B197" s="1" t="n">
        <v>44608.50458333334</v>
      </c>
      <c r="C197" s="1" t="n">
        <v>45905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46527-2020</t>
        </is>
      </c>
      <c r="B198" s="1" t="n">
        <v>44095</v>
      </c>
      <c r="C198" s="1" t="n">
        <v>45905</v>
      </c>
      <c r="D198" t="inlineStr">
        <is>
          <t>KALMAR LÄN</t>
        </is>
      </c>
      <c r="E198" t="inlineStr">
        <is>
          <t>VIMMERBY</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39042-2022</t>
        </is>
      </c>
      <c r="B199" s="1" t="n">
        <v>44817</v>
      </c>
      <c r="C199" s="1" t="n">
        <v>45905</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165-2022</t>
        </is>
      </c>
      <c r="B200" s="1" t="n">
        <v>44564</v>
      </c>
      <c r="C200" s="1" t="n">
        <v>45905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46964-2022</t>
        </is>
      </c>
      <c r="B201" s="1" t="n">
        <v>44851.95016203704</v>
      </c>
      <c r="C201" s="1" t="n">
        <v>45905</v>
      </c>
      <c r="D201" t="inlineStr">
        <is>
          <t>KALMAR LÄN</t>
        </is>
      </c>
      <c r="E201" t="inlineStr">
        <is>
          <t>VIMMERBY</t>
        </is>
      </c>
      <c r="G201" t="n">
        <v>0.2</v>
      </c>
      <c r="H201" t="n">
        <v>0</v>
      </c>
      <c r="I201" t="n">
        <v>0</v>
      </c>
      <c r="J201" t="n">
        <v>0</v>
      </c>
      <c r="K201" t="n">
        <v>0</v>
      </c>
      <c r="L201" t="n">
        <v>0</v>
      </c>
      <c r="M201" t="n">
        <v>0</v>
      </c>
      <c r="N201" t="n">
        <v>0</v>
      </c>
      <c r="O201" t="n">
        <v>0</v>
      </c>
      <c r="P201" t="n">
        <v>0</v>
      </c>
      <c r="Q201" t="n">
        <v>0</v>
      </c>
      <c r="R201" s="2" t="inlineStr"/>
    </row>
    <row r="202" ht="15" customHeight="1">
      <c r="A202" t="inlineStr">
        <is>
          <t>A 16288-2021</t>
        </is>
      </c>
      <c r="B202" s="1" t="n">
        <v>44292</v>
      </c>
      <c r="C202" s="1" t="n">
        <v>45905</v>
      </c>
      <c r="D202" t="inlineStr">
        <is>
          <t>KALMAR LÄN</t>
        </is>
      </c>
      <c r="E202" t="inlineStr">
        <is>
          <t>VIMMERBY</t>
        </is>
      </c>
      <c r="F202" t="inlineStr">
        <is>
          <t>Övriga Aktiebolag</t>
        </is>
      </c>
      <c r="G202" t="n">
        <v>27.6</v>
      </c>
      <c r="H202" t="n">
        <v>0</v>
      </c>
      <c r="I202" t="n">
        <v>0</v>
      </c>
      <c r="J202" t="n">
        <v>0</v>
      </c>
      <c r="K202" t="n">
        <v>0</v>
      </c>
      <c r="L202" t="n">
        <v>0</v>
      </c>
      <c r="M202" t="n">
        <v>0</v>
      </c>
      <c r="N202" t="n">
        <v>0</v>
      </c>
      <c r="O202" t="n">
        <v>0</v>
      </c>
      <c r="P202" t="n">
        <v>0</v>
      </c>
      <c r="Q202" t="n">
        <v>0</v>
      </c>
      <c r="R202" s="2" t="inlineStr"/>
    </row>
    <row r="203" ht="15" customHeight="1">
      <c r="A203" t="inlineStr">
        <is>
          <t>A 29441-2024</t>
        </is>
      </c>
      <c r="B203" s="1" t="n">
        <v>45483.82834490741</v>
      </c>
      <c r="C203" s="1" t="n">
        <v>45905</v>
      </c>
      <c r="D203" t="inlineStr">
        <is>
          <t>KALMAR LÄN</t>
        </is>
      </c>
      <c r="E203" t="inlineStr">
        <is>
          <t>VIMMERBY</t>
        </is>
      </c>
      <c r="G203" t="n">
        <v>1.3</v>
      </c>
      <c r="H203" t="n">
        <v>0</v>
      </c>
      <c r="I203" t="n">
        <v>0</v>
      </c>
      <c r="J203" t="n">
        <v>0</v>
      </c>
      <c r="K203" t="n">
        <v>0</v>
      </c>
      <c r="L203" t="n">
        <v>0</v>
      </c>
      <c r="M203" t="n">
        <v>0</v>
      </c>
      <c r="N203" t="n">
        <v>0</v>
      </c>
      <c r="O203" t="n">
        <v>0</v>
      </c>
      <c r="P203" t="n">
        <v>0</v>
      </c>
      <c r="Q203" t="n">
        <v>0</v>
      </c>
      <c r="R203" s="2" t="inlineStr"/>
    </row>
    <row r="204" ht="15" customHeight="1">
      <c r="A204" t="inlineStr">
        <is>
          <t>A 25728-2023</t>
        </is>
      </c>
      <c r="B204" s="1" t="n">
        <v>45090.38012731481</v>
      </c>
      <c r="C204" s="1" t="n">
        <v>45905</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13180-2022</t>
        </is>
      </c>
      <c r="B205" s="1" t="n">
        <v>44644</v>
      </c>
      <c r="C205" s="1" t="n">
        <v>45905</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34040-2021</t>
        </is>
      </c>
      <c r="B206" s="1" t="n">
        <v>44379</v>
      </c>
      <c r="C206" s="1" t="n">
        <v>45905</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15200-2021</t>
        </is>
      </c>
      <c r="B207" s="1" t="n">
        <v>44284.44574074074</v>
      </c>
      <c r="C207" s="1" t="n">
        <v>45905</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46078-2023</t>
        </is>
      </c>
      <c r="B208" s="1" t="n">
        <v>45196</v>
      </c>
      <c r="C208" s="1" t="n">
        <v>45905</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7643-2022</t>
        </is>
      </c>
      <c r="B209" s="1" t="n">
        <v>44607</v>
      </c>
      <c r="C209" s="1" t="n">
        <v>45905</v>
      </c>
      <c r="D209" t="inlineStr">
        <is>
          <t>KALMAR LÄN</t>
        </is>
      </c>
      <c r="E209" t="inlineStr">
        <is>
          <t>VIMMERBY</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3494-2023</t>
        </is>
      </c>
      <c r="B210" s="1" t="n">
        <v>44949</v>
      </c>
      <c r="C210" s="1" t="n">
        <v>45905</v>
      </c>
      <c r="D210" t="inlineStr">
        <is>
          <t>KALMAR LÄN</t>
        </is>
      </c>
      <c r="E210" t="inlineStr">
        <is>
          <t>VIMMERBY</t>
        </is>
      </c>
      <c r="F210" t="inlineStr">
        <is>
          <t>Kyrkan</t>
        </is>
      </c>
      <c r="G210" t="n">
        <v>0.8</v>
      </c>
      <c r="H210" t="n">
        <v>0</v>
      </c>
      <c r="I210" t="n">
        <v>0</v>
      </c>
      <c r="J210" t="n">
        <v>0</v>
      </c>
      <c r="K210" t="n">
        <v>0</v>
      </c>
      <c r="L210" t="n">
        <v>0</v>
      </c>
      <c r="M210" t="n">
        <v>0</v>
      </c>
      <c r="N210" t="n">
        <v>0</v>
      </c>
      <c r="O210" t="n">
        <v>0</v>
      </c>
      <c r="P210" t="n">
        <v>0</v>
      </c>
      <c r="Q210" t="n">
        <v>0</v>
      </c>
      <c r="R210" s="2" t="inlineStr"/>
    </row>
    <row r="211" ht="15" customHeight="1">
      <c r="A211" t="inlineStr">
        <is>
          <t>A 32633-2023</t>
        </is>
      </c>
      <c r="B211" s="1" t="n">
        <v>45121.58699074074</v>
      </c>
      <c r="C211" s="1" t="n">
        <v>45905</v>
      </c>
      <c r="D211" t="inlineStr">
        <is>
          <t>KALMAR LÄN</t>
        </is>
      </c>
      <c r="E211" t="inlineStr">
        <is>
          <t>VIMMERBY</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43601-2024</t>
        </is>
      </c>
      <c r="B212" s="1" t="n">
        <v>45569.44684027778</v>
      </c>
      <c r="C212" s="1" t="n">
        <v>45905</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12107-2022</t>
        </is>
      </c>
      <c r="B213" s="1" t="n">
        <v>44636</v>
      </c>
      <c r="C213" s="1" t="n">
        <v>45905</v>
      </c>
      <c r="D213" t="inlineStr">
        <is>
          <t>KALMAR LÄN</t>
        </is>
      </c>
      <c r="E213" t="inlineStr">
        <is>
          <t>VIMMERBY</t>
        </is>
      </c>
      <c r="G213" t="n">
        <v>1.8</v>
      </c>
      <c r="H213" t="n">
        <v>0</v>
      </c>
      <c r="I213" t="n">
        <v>0</v>
      </c>
      <c r="J213" t="n">
        <v>0</v>
      </c>
      <c r="K213" t="n">
        <v>0</v>
      </c>
      <c r="L213" t="n">
        <v>0</v>
      </c>
      <c r="M213" t="n">
        <v>0</v>
      </c>
      <c r="N213" t="n">
        <v>0</v>
      </c>
      <c r="O213" t="n">
        <v>0</v>
      </c>
      <c r="P213" t="n">
        <v>0</v>
      </c>
      <c r="Q213" t="n">
        <v>0</v>
      </c>
      <c r="R213" s="2" t="inlineStr"/>
    </row>
    <row r="214" ht="15" customHeight="1">
      <c r="A214" t="inlineStr">
        <is>
          <t>A 16825-2024</t>
        </is>
      </c>
      <c r="B214" s="1" t="n">
        <v>45411.47335648148</v>
      </c>
      <c r="C214" s="1" t="n">
        <v>45905</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12033-2024</t>
        </is>
      </c>
      <c r="B215" s="1" t="n">
        <v>45377.40043981482</v>
      </c>
      <c r="C215" s="1" t="n">
        <v>45905</v>
      </c>
      <c r="D215" t="inlineStr">
        <is>
          <t>KALMAR LÄN</t>
        </is>
      </c>
      <c r="E215" t="inlineStr">
        <is>
          <t>VIMMERBY</t>
        </is>
      </c>
      <c r="G215" t="n">
        <v>1.6</v>
      </c>
      <c r="H215" t="n">
        <v>0</v>
      </c>
      <c r="I215" t="n">
        <v>0</v>
      </c>
      <c r="J215" t="n">
        <v>0</v>
      </c>
      <c r="K215" t="n">
        <v>0</v>
      </c>
      <c r="L215" t="n">
        <v>0</v>
      </c>
      <c r="M215" t="n">
        <v>0</v>
      </c>
      <c r="N215" t="n">
        <v>0</v>
      </c>
      <c r="O215" t="n">
        <v>0</v>
      </c>
      <c r="P215" t="n">
        <v>0</v>
      </c>
      <c r="Q215" t="n">
        <v>0</v>
      </c>
      <c r="R215" s="2" t="inlineStr"/>
    </row>
    <row r="216" ht="15" customHeight="1">
      <c r="A216" t="inlineStr">
        <is>
          <t>A 13813-2024</t>
        </is>
      </c>
      <c r="B216" s="1" t="n">
        <v>45391.41310185185</v>
      </c>
      <c r="C216" s="1" t="n">
        <v>45905</v>
      </c>
      <c r="D216" t="inlineStr">
        <is>
          <t>KALMAR LÄN</t>
        </is>
      </c>
      <c r="E216" t="inlineStr">
        <is>
          <t>VIMMERBY</t>
        </is>
      </c>
      <c r="G216" t="n">
        <v>0.4</v>
      </c>
      <c r="H216" t="n">
        <v>0</v>
      </c>
      <c r="I216" t="n">
        <v>0</v>
      </c>
      <c r="J216" t="n">
        <v>0</v>
      </c>
      <c r="K216" t="n">
        <v>0</v>
      </c>
      <c r="L216" t="n">
        <v>0</v>
      </c>
      <c r="M216" t="n">
        <v>0</v>
      </c>
      <c r="N216" t="n">
        <v>0</v>
      </c>
      <c r="O216" t="n">
        <v>0</v>
      </c>
      <c r="P216" t="n">
        <v>0</v>
      </c>
      <c r="Q216" t="n">
        <v>0</v>
      </c>
      <c r="R216" s="2" t="inlineStr"/>
    </row>
    <row r="217" ht="15" customHeight="1">
      <c r="A217" t="inlineStr">
        <is>
          <t>A 39225-2022</t>
        </is>
      </c>
      <c r="B217" s="1" t="n">
        <v>44817.57988425926</v>
      </c>
      <c r="C217" s="1" t="n">
        <v>45905</v>
      </c>
      <c r="D217" t="inlineStr">
        <is>
          <t>KALMAR LÄN</t>
        </is>
      </c>
      <c r="E217" t="inlineStr">
        <is>
          <t>VIMMERBY</t>
        </is>
      </c>
      <c r="G217" t="n">
        <v>2.2</v>
      </c>
      <c r="H217" t="n">
        <v>0</v>
      </c>
      <c r="I217" t="n">
        <v>0</v>
      </c>
      <c r="J217" t="n">
        <v>0</v>
      </c>
      <c r="K217" t="n">
        <v>0</v>
      </c>
      <c r="L217" t="n">
        <v>0</v>
      </c>
      <c r="M217" t="n">
        <v>0</v>
      </c>
      <c r="N217" t="n">
        <v>0</v>
      </c>
      <c r="O217" t="n">
        <v>0</v>
      </c>
      <c r="P217" t="n">
        <v>0</v>
      </c>
      <c r="Q217" t="n">
        <v>0</v>
      </c>
      <c r="R217" s="2" t="inlineStr"/>
    </row>
    <row r="218" ht="15" customHeight="1">
      <c r="A218" t="inlineStr">
        <is>
          <t>A 25234-2023</t>
        </is>
      </c>
      <c r="B218" s="1" t="n">
        <v>45086.63194444445</v>
      </c>
      <c r="C218" s="1" t="n">
        <v>45905</v>
      </c>
      <c r="D218" t="inlineStr">
        <is>
          <t>KALMAR LÄN</t>
        </is>
      </c>
      <c r="E218" t="inlineStr">
        <is>
          <t>VIMMERBY</t>
        </is>
      </c>
      <c r="G218" t="n">
        <v>2.1</v>
      </c>
      <c r="H218" t="n">
        <v>0</v>
      </c>
      <c r="I218" t="n">
        <v>0</v>
      </c>
      <c r="J218" t="n">
        <v>0</v>
      </c>
      <c r="K218" t="n">
        <v>0</v>
      </c>
      <c r="L218" t="n">
        <v>0</v>
      </c>
      <c r="M218" t="n">
        <v>0</v>
      </c>
      <c r="N218" t="n">
        <v>0</v>
      </c>
      <c r="O218" t="n">
        <v>0</v>
      </c>
      <c r="P218" t="n">
        <v>0</v>
      </c>
      <c r="Q218" t="n">
        <v>0</v>
      </c>
      <c r="R218" s="2" t="inlineStr"/>
    </row>
    <row r="219" ht="15" customHeight="1">
      <c r="A219" t="inlineStr">
        <is>
          <t>A 6214-2025</t>
        </is>
      </c>
      <c r="B219" s="1" t="n">
        <v>45698.51711805556</v>
      </c>
      <c r="C219" s="1" t="n">
        <v>45905</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25236-2023</t>
        </is>
      </c>
      <c r="B220" s="1" t="n">
        <v>45086.63334490741</v>
      </c>
      <c r="C220" s="1" t="n">
        <v>45905</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49408-2023</t>
        </is>
      </c>
      <c r="B221" s="1" t="n">
        <v>45211.43555555555</v>
      </c>
      <c r="C221" s="1" t="n">
        <v>45905</v>
      </c>
      <c r="D221" t="inlineStr">
        <is>
          <t>KALMAR LÄN</t>
        </is>
      </c>
      <c r="E221" t="inlineStr">
        <is>
          <t>VIMMERBY</t>
        </is>
      </c>
      <c r="G221" t="n">
        <v>13.1</v>
      </c>
      <c r="H221" t="n">
        <v>0</v>
      </c>
      <c r="I221" t="n">
        <v>0</v>
      </c>
      <c r="J221" t="n">
        <v>0</v>
      </c>
      <c r="K221" t="n">
        <v>0</v>
      </c>
      <c r="L221" t="n">
        <v>0</v>
      </c>
      <c r="M221" t="n">
        <v>0</v>
      </c>
      <c r="N221" t="n">
        <v>0</v>
      </c>
      <c r="O221" t="n">
        <v>0</v>
      </c>
      <c r="P221" t="n">
        <v>0</v>
      </c>
      <c r="Q221" t="n">
        <v>0</v>
      </c>
      <c r="R221" s="2" t="inlineStr"/>
    </row>
    <row r="222" ht="15" customHeight="1">
      <c r="A222" t="inlineStr">
        <is>
          <t>A 27443-2023</t>
        </is>
      </c>
      <c r="B222" s="1" t="n">
        <v>45097.40524305555</v>
      </c>
      <c r="C222" s="1" t="n">
        <v>45905</v>
      </c>
      <c r="D222" t="inlineStr">
        <is>
          <t>KALMAR LÄN</t>
        </is>
      </c>
      <c r="E222" t="inlineStr">
        <is>
          <t>VIMMERBY</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16602-2021</t>
        </is>
      </c>
      <c r="B223" s="1" t="n">
        <v>44294</v>
      </c>
      <c r="C223" s="1" t="n">
        <v>45905</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16607-2021</t>
        </is>
      </c>
      <c r="B224" s="1" t="n">
        <v>44294</v>
      </c>
      <c r="C224" s="1" t="n">
        <v>45905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17029-2022</t>
        </is>
      </c>
      <c r="B225" s="1" t="n">
        <v>44676.85248842592</v>
      </c>
      <c r="C225" s="1" t="n">
        <v>45905</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28395-2023</t>
        </is>
      </c>
      <c r="B226" s="1" t="n">
        <v>45100.4062962963</v>
      </c>
      <c r="C226" s="1" t="n">
        <v>45905</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25244-2023</t>
        </is>
      </c>
      <c r="B227" s="1" t="n">
        <v>45086</v>
      </c>
      <c r="C227" s="1" t="n">
        <v>45905</v>
      </c>
      <c r="D227" t="inlineStr">
        <is>
          <t>KALMAR LÄN</t>
        </is>
      </c>
      <c r="E227" t="inlineStr">
        <is>
          <t>VIMMERBY</t>
        </is>
      </c>
      <c r="G227" t="n">
        <v>4.7</v>
      </c>
      <c r="H227" t="n">
        <v>0</v>
      </c>
      <c r="I227" t="n">
        <v>0</v>
      </c>
      <c r="J227" t="n">
        <v>0</v>
      </c>
      <c r="K227" t="n">
        <v>0</v>
      </c>
      <c r="L227" t="n">
        <v>0</v>
      </c>
      <c r="M227" t="n">
        <v>0</v>
      </c>
      <c r="N227" t="n">
        <v>0</v>
      </c>
      <c r="O227" t="n">
        <v>0</v>
      </c>
      <c r="P227" t="n">
        <v>0</v>
      </c>
      <c r="Q227" t="n">
        <v>0</v>
      </c>
      <c r="R227" s="2" t="inlineStr"/>
    </row>
    <row r="228" ht="15" customHeight="1">
      <c r="A228" t="inlineStr">
        <is>
          <t>A 7167-2022</t>
        </is>
      </c>
      <c r="B228" s="1" t="n">
        <v>44604</v>
      </c>
      <c r="C228" s="1" t="n">
        <v>45905</v>
      </c>
      <c r="D228" t="inlineStr">
        <is>
          <t>KALMAR LÄN</t>
        </is>
      </c>
      <c r="E228" t="inlineStr">
        <is>
          <t>VIMMERBY</t>
        </is>
      </c>
      <c r="G228" t="n">
        <v>1.7</v>
      </c>
      <c r="H228" t="n">
        <v>0</v>
      </c>
      <c r="I228" t="n">
        <v>0</v>
      </c>
      <c r="J228" t="n">
        <v>0</v>
      </c>
      <c r="K228" t="n">
        <v>0</v>
      </c>
      <c r="L228" t="n">
        <v>0</v>
      </c>
      <c r="M228" t="n">
        <v>0</v>
      </c>
      <c r="N228" t="n">
        <v>0</v>
      </c>
      <c r="O228" t="n">
        <v>0</v>
      </c>
      <c r="P228" t="n">
        <v>0</v>
      </c>
      <c r="Q228" t="n">
        <v>0</v>
      </c>
      <c r="R228" s="2" t="inlineStr"/>
    </row>
    <row r="229" ht="15" customHeight="1">
      <c r="A229" t="inlineStr">
        <is>
          <t>A 18501-2024</t>
        </is>
      </c>
      <c r="B229" s="1" t="n">
        <v>45425.57538194444</v>
      </c>
      <c r="C229" s="1" t="n">
        <v>45905</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23341-2022</t>
        </is>
      </c>
      <c r="B230" s="1" t="n">
        <v>44720.53898148148</v>
      </c>
      <c r="C230" s="1" t="n">
        <v>45905</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8086-2021</t>
        </is>
      </c>
      <c r="B231" s="1" t="n">
        <v>44243</v>
      </c>
      <c r="C231" s="1" t="n">
        <v>45905</v>
      </c>
      <c r="D231" t="inlineStr">
        <is>
          <t>KALMAR LÄN</t>
        </is>
      </c>
      <c r="E231" t="inlineStr">
        <is>
          <t>VIMMERBY</t>
        </is>
      </c>
      <c r="G231" t="n">
        <v>4.1</v>
      </c>
      <c r="H231" t="n">
        <v>0</v>
      </c>
      <c r="I231" t="n">
        <v>0</v>
      </c>
      <c r="J231" t="n">
        <v>0</v>
      </c>
      <c r="K231" t="n">
        <v>0</v>
      </c>
      <c r="L231" t="n">
        <v>0</v>
      </c>
      <c r="M231" t="n">
        <v>0</v>
      </c>
      <c r="N231" t="n">
        <v>0</v>
      </c>
      <c r="O231" t="n">
        <v>0</v>
      </c>
      <c r="P231" t="n">
        <v>0</v>
      </c>
      <c r="Q231" t="n">
        <v>0</v>
      </c>
      <c r="R231" s="2" t="inlineStr"/>
    </row>
    <row r="232" ht="15" customHeight="1">
      <c r="A232" t="inlineStr">
        <is>
          <t>A 52435-2021</t>
        </is>
      </c>
      <c r="B232" s="1" t="n">
        <v>44466.34962962963</v>
      </c>
      <c r="C232" s="1" t="n">
        <v>45905</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29093-2023</t>
        </is>
      </c>
      <c r="B233" s="1" t="n">
        <v>45105</v>
      </c>
      <c r="C233" s="1" t="n">
        <v>45905</v>
      </c>
      <c r="D233" t="inlineStr">
        <is>
          <t>KALMAR LÄN</t>
        </is>
      </c>
      <c r="E233" t="inlineStr">
        <is>
          <t>VIMMERBY</t>
        </is>
      </c>
      <c r="G233" t="n">
        <v>2.9</v>
      </c>
      <c r="H233" t="n">
        <v>0</v>
      </c>
      <c r="I233" t="n">
        <v>0</v>
      </c>
      <c r="J233" t="n">
        <v>0</v>
      </c>
      <c r="K233" t="n">
        <v>0</v>
      </c>
      <c r="L233" t="n">
        <v>0</v>
      </c>
      <c r="M233" t="n">
        <v>0</v>
      </c>
      <c r="N233" t="n">
        <v>0</v>
      </c>
      <c r="O233" t="n">
        <v>0</v>
      </c>
      <c r="P233" t="n">
        <v>0</v>
      </c>
      <c r="Q233" t="n">
        <v>0</v>
      </c>
      <c r="R233" s="2" t="inlineStr"/>
    </row>
    <row r="234" ht="15" customHeight="1">
      <c r="A234" t="inlineStr">
        <is>
          <t>A 25799-2023</t>
        </is>
      </c>
      <c r="B234" s="1" t="n">
        <v>45090</v>
      </c>
      <c r="C234" s="1" t="n">
        <v>45905</v>
      </c>
      <c r="D234" t="inlineStr">
        <is>
          <t>KALMAR LÄN</t>
        </is>
      </c>
      <c r="E234" t="inlineStr">
        <is>
          <t>VIMMERBY</t>
        </is>
      </c>
      <c r="G234" t="n">
        <v>7.7</v>
      </c>
      <c r="H234" t="n">
        <v>0</v>
      </c>
      <c r="I234" t="n">
        <v>0</v>
      </c>
      <c r="J234" t="n">
        <v>0</v>
      </c>
      <c r="K234" t="n">
        <v>0</v>
      </c>
      <c r="L234" t="n">
        <v>0</v>
      </c>
      <c r="M234" t="n">
        <v>0</v>
      </c>
      <c r="N234" t="n">
        <v>0</v>
      </c>
      <c r="O234" t="n">
        <v>0</v>
      </c>
      <c r="P234" t="n">
        <v>0</v>
      </c>
      <c r="Q234" t="n">
        <v>0</v>
      </c>
      <c r="R234" s="2" t="inlineStr"/>
    </row>
    <row r="235" ht="15" customHeight="1">
      <c r="A235" t="inlineStr">
        <is>
          <t>A 14220-2021</t>
        </is>
      </c>
      <c r="B235" s="1" t="n">
        <v>44278.54855324074</v>
      </c>
      <c r="C235" s="1" t="n">
        <v>45905</v>
      </c>
      <c r="D235" t="inlineStr">
        <is>
          <t>KALMAR LÄN</t>
        </is>
      </c>
      <c r="E235" t="inlineStr">
        <is>
          <t>VIMMERBY</t>
        </is>
      </c>
      <c r="G235" t="n">
        <v>0.3</v>
      </c>
      <c r="H235" t="n">
        <v>0</v>
      </c>
      <c r="I235" t="n">
        <v>0</v>
      </c>
      <c r="J235" t="n">
        <v>0</v>
      </c>
      <c r="K235" t="n">
        <v>0</v>
      </c>
      <c r="L235" t="n">
        <v>0</v>
      </c>
      <c r="M235" t="n">
        <v>0</v>
      </c>
      <c r="N235" t="n">
        <v>0</v>
      </c>
      <c r="O235" t="n">
        <v>0</v>
      </c>
      <c r="P235" t="n">
        <v>0</v>
      </c>
      <c r="Q235" t="n">
        <v>0</v>
      </c>
      <c r="R235" s="2" t="inlineStr"/>
    </row>
    <row r="236" ht="15" customHeight="1">
      <c r="A236" t="inlineStr">
        <is>
          <t>A 71793-2021</t>
        </is>
      </c>
      <c r="B236" s="1" t="n">
        <v>44539</v>
      </c>
      <c r="C236" s="1" t="n">
        <v>45905</v>
      </c>
      <c r="D236" t="inlineStr">
        <is>
          <t>KALMAR LÄN</t>
        </is>
      </c>
      <c r="E236" t="inlineStr">
        <is>
          <t>VIMMERBY</t>
        </is>
      </c>
      <c r="G236" t="n">
        <v>2.7</v>
      </c>
      <c r="H236" t="n">
        <v>0</v>
      </c>
      <c r="I236" t="n">
        <v>0</v>
      </c>
      <c r="J236" t="n">
        <v>0</v>
      </c>
      <c r="K236" t="n">
        <v>0</v>
      </c>
      <c r="L236" t="n">
        <v>0</v>
      </c>
      <c r="M236" t="n">
        <v>0</v>
      </c>
      <c r="N236" t="n">
        <v>0</v>
      </c>
      <c r="O236" t="n">
        <v>0</v>
      </c>
      <c r="P236" t="n">
        <v>0</v>
      </c>
      <c r="Q236" t="n">
        <v>0</v>
      </c>
      <c r="R236" s="2" t="inlineStr"/>
    </row>
    <row r="237" ht="15" customHeight="1">
      <c r="A237" t="inlineStr">
        <is>
          <t>A 16015-2025</t>
        </is>
      </c>
      <c r="B237" s="1" t="n">
        <v>45749.60487268519</v>
      </c>
      <c r="C237" s="1" t="n">
        <v>45905</v>
      </c>
      <c r="D237" t="inlineStr">
        <is>
          <t>KALMAR LÄN</t>
        </is>
      </c>
      <c r="E237" t="inlineStr">
        <is>
          <t>VIMMERBY</t>
        </is>
      </c>
      <c r="F237" t="inlineStr">
        <is>
          <t>Kyrkan</t>
        </is>
      </c>
      <c r="G237" t="n">
        <v>2.7</v>
      </c>
      <c r="H237" t="n">
        <v>0</v>
      </c>
      <c r="I237" t="n">
        <v>0</v>
      </c>
      <c r="J237" t="n">
        <v>0</v>
      </c>
      <c r="K237" t="n">
        <v>0</v>
      </c>
      <c r="L237" t="n">
        <v>0</v>
      </c>
      <c r="M237" t="n">
        <v>0</v>
      </c>
      <c r="N237" t="n">
        <v>0</v>
      </c>
      <c r="O237" t="n">
        <v>0</v>
      </c>
      <c r="P237" t="n">
        <v>0</v>
      </c>
      <c r="Q237" t="n">
        <v>0</v>
      </c>
      <c r="R237" s="2" t="inlineStr"/>
    </row>
    <row r="238" ht="15" customHeight="1">
      <c r="A238" t="inlineStr">
        <is>
          <t>A 18356-2021</t>
        </is>
      </c>
      <c r="B238" s="1" t="n">
        <v>44305</v>
      </c>
      <c r="C238" s="1" t="n">
        <v>45905</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57256-2023</t>
        </is>
      </c>
      <c r="B239" s="1" t="n">
        <v>45245.5735300926</v>
      </c>
      <c r="C239" s="1" t="n">
        <v>45905</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45905</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33359-2021</t>
        </is>
      </c>
      <c r="B241" s="1" t="n">
        <v>44377.49684027778</v>
      </c>
      <c r="C241" s="1" t="n">
        <v>45905</v>
      </c>
      <c r="D241" t="inlineStr">
        <is>
          <t>KALMAR LÄN</t>
        </is>
      </c>
      <c r="E241" t="inlineStr">
        <is>
          <t>VIMMERBY</t>
        </is>
      </c>
      <c r="F241" t="inlineStr">
        <is>
          <t>Kommuner</t>
        </is>
      </c>
      <c r="G241" t="n">
        <v>8</v>
      </c>
      <c r="H241" t="n">
        <v>0</v>
      </c>
      <c r="I241" t="n">
        <v>0</v>
      </c>
      <c r="J241" t="n">
        <v>0</v>
      </c>
      <c r="K241" t="n">
        <v>0</v>
      </c>
      <c r="L241" t="n">
        <v>0</v>
      </c>
      <c r="M241" t="n">
        <v>0</v>
      </c>
      <c r="N241" t="n">
        <v>0</v>
      </c>
      <c r="O241" t="n">
        <v>0</v>
      </c>
      <c r="P241" t="n">
        <v>0</v>
      </c>
      <c r="Q241" t="n">
        <v>0</v>
      </c>
      <c r="R241" s="2" t="inlineStr"/>
    </row>
    <row r="242" ht="15" customHeight="1">
      <c r="A242" t="inlineStr">
        <is>
          <t>A 43038-2022</t>
        </is>
      </c>
      <c r="B242" s="1" t="n">
        <v>44833.60123842592</v>
      </c>
      <c r="C242" s="1" t="n">
        <v>45905</v>
      </c>
      <c r="D242" t="inlineStr">
        <is>
          <t>KALMAR LÄN</t>
        </is>
      </c>
      <c r="E242" t="inlineStr">
        <is>
          <t>VIMMERBY</t>
        </is>
      </c>
      <c r="G242" t="n">
        <v>4.2</v>
      </c>
      <c r="H242" t="n">
        <v>0</v>
      </c>
      <c r="I242" t="n">
        <v>0</v>
      </c>
      <c r="J242" t="n">
        <v>0</v>
      </c>
      <c r="K242" t="n">
        <v>0</v>
      </c>
      <c r="L242" t="n">
        <v>0</v>
      </c>
      <c r="M242" t="n">
        <v>0</v>
      </c>
      <c r="N242" t="n">
        <v>0</v>
      </c>
      <c r="O242" t="n">
        <v>0</v>
      </c>
      <c r="P242" t="n">
        <v>0</v>
      </c>
      <c r="Q242" t="n">
        <v>0</v>
      </c>
      <c r="R242" s="2" t="inlineStr"/>
    </row>
    <row r="243" ht="15" customHeight="1">
      <c r="A243" t="inlineStr">
        <is>
          <t>A 50087-2023</t>
        </is>
      </c>
      <c r="B243" s="1" t="n">
        <v>45215.59743055556</v>
      </c>
      <c r="C243" s="1" t="n">
        <v>45905</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33681-2022</t>
        </is>
      </c>
      <c r="B244" s="1" t="n">
        <v>44789</v>
      </c>
      <c r="C244" s="1" t="n">
        <v>45905</v>
      </c>
      <c r="D244" t="inlineStr">
        <is>
          <t>KALMAR LÄN</t>
        </is>
      </c>
      <c r="E244" t="inlineStr">
        <is>
          <t>VIMMERBY</t>
        </is>
      </c>
      <c r="G244" t="n">
        <v>3.2</v>
      </c>
      <c r="H244" t="n">
        <v>0</v>
      </c>
      <c r="I244" t="n">
        <v>0</v>
      </c>
      <c r="J244" t="n">
        <v>0</v>
      </c>
      <c r="K244" t="n">
        <v>0</v>
      </c>
      <c r="L244" t="n">
        <v>0</v>
      </c>
      <c r="M244" t="n">
        <v>0</v>
      </c>
      <c r="N244" t="n">
        <v>0</v>
      </c>
      <c r="O244" t="n">
        <v>0</v>
      </c>
      <c r="P244" t="n">
        <v>0</v>
      </c>
      <c r="Q244" t="n">
        <v>0</v>
      </c>
      <c r="R244" s="2" t="inlineStr"/>
    </row>
    <row r="245" ht="15" customHeight="1">
      <c r="A245" t="inlineStr">
        <is>
          <t>A 73938-2021</t>
        </is>
      </c>
      <c r="B245" s="1" t="n">
        <v>44553</v>
      </c>
      <c r="C245" s="1" t="n">
        <v>45905</v>
      </c>
      <c r="D245" t="inlineStr">
        <is>
          <t>KALMAR LÄN</t>
        </is>
      </c>
      <c r="E245" t="inlineStr">
        <is>
          <t>VIMMERBY</t>
        </is>
      </c>
      <c r="G245" t="n">
        <v>3.2</v>
      </c>
      <c r="H245" t="n">
        <v>0</v>
      </c>
      <c r="I245" t="n">
        <v>0</v>
      </c>
      <c r="J245" t="n">
        <v>0</v>
      </c>
      <c r="K245" t="n">
        <v>0</v>
      </c>
      <c r="L245" t="n">
        <v>0</v>
      </c>
      <c r="M245" t="n">
        <v>0</v>
      </c>
      <c r="N245" t="n">
        <v>0</v>
      </c>
      <c r="O245" t="n">
        <v>0</v>
      </c>
      <c r="P245" t="n">
        <v>0</v>
      </c>
      <c r="Q245" t="n">
        <v>0</v>
      </c>
      <c r="R245" s="2" t="inlineStr"/>
    </row>
    <row r="246" ht="15" customHeight="1">
      <c r="A246" t="inlineStr">
        <is>
          <t>A 6069-2023</t>
        </is>
      </c>
      <c r="B246" s="1" t="n">
        <v>44964.5115162037</v>
      </c>
      <c r="C246" s="1" t="n">
        <v>45905</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57189-2022</t>
        </is>
      </c>
      <c r="B247" s="1" t="n">
        <v>44895.62296296296</v>
      </c>
      <c r="C247" s="1" t="n">
        <v>45905</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1987-2024</t>
        </is>
      </c>
      <c r="B248" s="1" t="n">
        <v>45308.61152777778</v>
      </c>
      <c r="C248" s="1" t="n">
        <v>45905</v>
      </c>
      <c r="D248" t="inlineStr">
        <is>
          <t>KALMAR LÄN</t>
        </is>
      </c>
      <c r="E248" t="inlineStr">
        <is>
          <t>VIMMERBY</t>
        </is>
      </c>
      <c r="G248" t="n">
        <v>3</v>
      </c>
      <c r="H248" t="n">
        <v>0</v>
      </c>
      <c r="I248" t="n">
        <v>0</v>
      </c>
      <c r="J248" t="n">
        <v>0</v>
      </c>
      <c r="K248" t="n">
        <v>0</v>
      </c>
      <c r="L248" t="n">
        <v>0</v>
      </c>
      <c r="M248" t="n">
        <v>0</v>
      </c>
      <c r="N248" t="n">
        <v>0</v>
      </c>
      <c r="O248" t="n">
        <v>0</v>
      </c>
      <c r="P248" t="n">
        <v>0</v>
      </c>
      <c r="Q248" t="n">
        <v>0</v>
      </c>
      <c r="R248" s="2" t="inlineStr"/>
    </row>
    <row r="249" ht="15" customHeight="1">
      <c r="A249" t="inlineStr">
        <is>
          <t>A 55716-2023</t>
        </is>
      </c>
      <c r="B249" s="1" t="n">
        <v>45232</v>
      </c>
      <c r="C249" s="1" t="n">
        <v>45905</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527-2024</t>
        </is>
      </c>
      <c r="B250" s="1" t="n">
        <v>45299.47513888889</v>
      </c>
      <c r="C250" s="1" t="n">
        <v>45905</v>
      </c>
      <c r="D250" t="inlineStr">
        <is>
          <t>KALMAR LÄN</t>
        </is>
      </c>
      <c r="E250" t="inlineStr">
        <is>
          <t>VIMMERBY</t>
        </is>
      </c>
      <c r="G250" t="n">
        <v>2.2</v>
      </c>
      <c r="H250" t="n">
        <v>0</v>
      </c>
      <c r="I250" t="n">
        <v>0</v>
      </c>
      <c r="J250" t="n">
        <v>0</v>
      </c>
      <c r="K250" t="n">
        <v>0</v>
      </c>
      <c r="L250" t="n">
        <v>0</v>
      </c>
      <c r="M250" t="n">
        <v>0</v>
      </c>
      <c r="N250" t="n">
        <v>0</v>
      </c>
      <c r="O250" t="n">
        <v>0</v>
      </c>
      <c r="P250" t="n">
        <v>0</v>
      </c>
      <c r="Q250" t="n">
        <v>0</v>
      </c>
      <c r="R250" s="2" t="inlineStr"/>
    </row>
    <row r="251" ht="15" customHeight="1">
      <c r="A251" t="inlineStr">
        <is>
          <t>A 34386-2024</t>
        </is>
      </c>
      <c r="B251" s="1" t="n">
        <v>45525.41762731481</v>
      </c>
      <c r="C251" s="1" t="n">
        <v>45905</v>
      </c>
      <c r="D251" t="inlineStr">
        <is>
          <t>KALMAR LÄN</t>
        </is>
      </c>
      <c r="E251" t="inlineStr">
        <is>
          <t>VIMMERBY</t>
        </is>
      </c>
      <c r="G251" t="n">
        <v>0.3</v>
      </c>
      <c r="H251" t="n">
        <v>0</v>
      </c>
      <c r="I251" t="n">
        <v>0</v>
      </c>
      <c r="J251" t="n">
        <v>0</v>
      </c>
      <c r="K251" t="n">
        <v>0</v>
      </c>
      <c r="L251" t="n">
        <v>0</v>
      </c>
      <c r="M251" t="n">
        <v>0</v>
      </c>
      <c r="N251" t="n">
        <v>0</v>
      </c>
      <c r="O251" t="n">
        <v>0</v>
      </c>
      <c r="P251" t="n">
        <v>0</v>
      </c>
      <c r="Q251" t="n">
        <v>0</v>
      </c>
      <c r="R251" s="2" t="inlineStr"/>
    </row>
    <row r="252" ht="15" customHeight="1">
      <c r="A252" t="inlineStr">
        <is>
          <t>A 50995-2022</t>
        </is>
      </c>
      <c r="B252" s="1" t="n">
        <v>44867</v>
      </c>
      <c r="C252" s="1" t="n">
        <v>45905</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42429-2024</t>
        </is>
      </c>
      <c r="B253" s="1" t="n">
        <v>45565.40657407408</v>
      </c>
      <c r="C253" s="1" t="n">
        <v>45905</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11946-2025</t>
        </is>
      </c>
      <c r="B254" s="1" t="n">
        <v>45728.54832175926</v>
      </c>
      <c r="C254" s="1" t="n">
        <v>45905</v>
      </c>
      <c r="D254" t="inlineStr">
        <is>
          <t>KALMAR LÄN</t>
        </is>
      </c>
      <c r="E254" t="inlineStr">
        <is>
          <t>VIMMERBY</t>
        </is>
      </c>
      <c r="G254" t="n">
        <v>0.4</v>
      </c>
      <c r="H254" t="n">
        <v>0</v>
      </c>
      <c r="I254" t="n">
        <v>0</v>
      </c>
      <c r="J254" t="n">
        <v>0</v>
      </c>
      <c r="K254" t="n">
        <v>0</v>
      </c>
      <c r="L254" t="n">
        <v>0</v>
      </c>
      <c r="M254" t="n">
        <v>0</v>
      </c>
      <c r="N254" t="n">
        <v>0</v>
      </c>
      <c r="O254" t="n">
        <v>0</v>
      </c>
      <c r="P254" t="n">
        <v>0</v>
      </c>
      <c r="Q254" t="n">
        <v>0</v>
      </c>
      <c r="R254" s="2" t="inlineStr"/>
    </row>
    <row r="255" ht="15" customHeight="1">
      <c r="A255" t="inlineStr">
        <is>
          <t>A 27122-2023</t>
        </is>
      </c>
      <c r="B255" s="1" t="n">
        <v>45096.45247685185</v>
      </c>
      <c r="C255" s="1" t="n">
        <v>45905</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37192-2024</t>
        </is>
      </c>
      <c r="B256" s="1" t="n">
        <v>45539.66027777778</v>
      </c>
      <c r="C256" s="1" t="n">
        <v>45905</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30402-2023</t>
        </is>
      </c>
      <c r="B257" s="1" t="n">
        <v>45111.48395833333</v>
      </c>
      <c r="C257" s="1" t="n">
        <v>45905</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59943-2023</t>
        </is>
      </c>
      <c r="B258" s="1" t="n">
        <v>45257.67958333333</v>
      </c>
      <c r="C258" s="1" t="n">
        <v>45905</v>
      </c>
      <c r="D258" t="inlineStr">
        <is>
          <t>KALMAR LÄN</t>
        </is>
      </c>
      <c r="E258" t="inlineStr">
        <is>
          <t>VIMMERBY</t>
        </is>
      </c>
      <c r="G258" t="n">
        <v>6.4</v>
      </c>
      <c r="H258" t="n">
        <v>0</v>
      </c>
      <c r="I258" t="n">
        <v>0</v>
      </c>
      <c r="J258" t="n">
        <v>0</v>
      </c>
      <c r="K258" t="n">
        <v>0</v>
      </c>
      <c r="L258" t="n">
        <v>0</v>
      </c>
      <c r="M258" t="n">
        <v>0</v>
      </c>
      <c r="N258" t="n">
        <v>0</v>
      </c>
      <c r="O258" t="n">
        <v>0</v>
      </c>
      <c r="P258" t="n">
        <v>0</v>
      </c>
      <c r="Q258" t="n">
        <v>0</v>
      </c>
      <c r="R258" s="2" t="inlineStr"/>
    </row>
    <row r="259" ht="15" customHeight="1">
      <c r="A259" t="inlineStr">
        <is>
          <t>A 15493-2023</t>
        </is>
      </c>
      <c r="B259" s="1" t="n">
        <v>45018</v>
      </c>
      <c r="C259" s="1" t="n">
        <v>45905</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51881-2024</t>
        </is>
      </c>
      <c r="B260" s="1" t="n">
        <v>45607.56773148148</v>
      </c>
      <c r="C260" s="1" t="n">
        <v>45905</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1021-2024</t>
        </is>
      </c>
      <c r="B261" s="1" t="n">
        <v>45301.67736111111</v>
      </c>
      <c r="C261" s="1" t="n">
        <v>45905</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32569-2024</t>
        </is>
      </c>
      <c r="B262" s="1" t="n">
        <v>45513.55840277778</v>
      </c>
      <c r="C262" s="1" t="n">
        <v>45905</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32575-2024</t>
        </is>
      </c>
      <c r="B263" s="1" t="n">
        <v>45513.56527777778</v>
      </c>
      <c r="C263" s="1" t="n">
        <v>45905</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47842-2024</t>
        </is>
      </c>
      <c r="B264" s="1" t="n">
        <v>45588.65545138889</v>
      </c>
      <c r="C264" s="1" t="n">
        <v>45905</v>
      </c>
      <c r="D264" t="inlineStr">
        <is>
          <t>KALMAR LÄN</t>
        </is>
      </c>
      <c r="E264" t="inlineStr">
        <is>
          <t>VIMMERBY</t>
        </is>
      </c>
      <c r="G264" t="n">
        <v>2.4</v>
      </c>
      <c r="H264" t="n">
        <v>0</v>
      </c>
      <c r="I264" t="n">
        <v>0</v>
      </c>
      <c r="J264" t="n">
        <v>0</v>
      </c>
      <c r="K264" t="n">
        <v>0</v>
      </c>
      <c r="L264" t="n">
        <v>0</v>
      </c>
      <c r="M264" t="n">
        <v>0</v>
      </c>
      <c r="N264" t="n">
        <v>0</v>
      </c>
      <c r="O264" t="n">
        <v>0</v>
      </c>
      <c r="P264" t="n">
        <v>0</v>
      </c>
      <c r="Q264" t="n">
        <v>0</v>
      </c>
      <c r="R264" s="2" t="inlineStr"/>
    </row>
    <row r="265" ht="15" customHeight="1">
      <c r="A265" t="inlineStr">
        <is>
          <t>A 30063-2023</t>
        </is>
      </c>
      <c r="B265" s="1" t="n">
        <v>45110.4184375</v>
      </c>
      <c r="C265" s="1" t="n">
        <v>45905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6857-2023</t>
        </is>
      </c>
      <c r="B266" s="1" t="n">
        <v>44967.45122685185</v>
      </c>
      <c r="C266" s="1" t="n">
        <v>45905</v>
      </c>
      <c r="D266" t="inlineStr">
        <is>
          <t>KALMAR LÄN</t>
        </is>
      </c>
      <c r="E266" t="inlineStr">
        <is>
          <t>VIMMERBY</t>
        </is>
      </c>
      <c r="G266" t="n">
        <v>2.1</v>
      </c>
      <c r="H266" t="n">
        <v>0</v>
      </c>
      <c r="I266" t="n">
        <v>0</v>
      </c>
      <c r="J266" t="n">
        <v>0</v>
      </c>
      <c r="K266" t="n">
        <v>0</v>
      </c>
      <c r="L266" t="n">
        <v>0</v>
      </c>
      <c r="M266" t="n">
        <v>0</v>
      </c>
      <c r="N266" t="n">
        <v>0</v>
      </c>
      <c r="O266" t="n">
        <v>0</v>
      </c>
      <c r="P266" t="n">
        <v>0</v>
      </c>
      <c r="Q266" t="n">
        <v>0</v>
      </c>
      <c r="R266" s="2" t="inlineStr"/>
    </row>
    <row r="267" ht="15" customHeight="1">
      <c r="A267" t="inlineStr">
        <is>
          <t>A 17482-2024</t>
        </is>
      </c>
      <c r="B267" s="1" t="n">
        <v>45415.47848379629</v>
      </c>
      <c r="C267" s="1" t="n">
        <v>45905</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47063-2022</t>
        </is>
      </c>
      <c r="B268" s="1" t="n">
        <v>44852</v>
      </c>
      <c r="C268" s="1" t="n">
        <v>45905</v>
      </c>
      <c r="D268" t="inlineStr">
        <is>
          <t>KALMAR LÄN</t>
        </is>
      </c>
      <c r="E268" t="inlineStr">
        <is>
          <t>VIMMERBY</t>
        </is>
      </c>
      <c r="G268" t="n">
        <v>2.5</v>
      </c>
      <c r="H268" t="n">
        <v>0</v>
      </c>
      <c r="I268" t="n">
        <v>0</v>
      </c>
      <c r="J268" t="n">
        <v>0</v>
      </c>
      <c r="K268" t="n">
        <v>0</v>
      </c>
      <c r="L268" t="n">
        <v>0</v>
      </c>
      <c r="M268" t="n">
        <v>0</v>
      </c>
      <c r="N268" t="n">
        <v>0</v>
      </c>
      <c r="O268" t="n">
        <v>0</v>
      </c>
      <c r="P268" t="n">
        <v>0</v>
      </c>
      <c r="Q268" t="n">
        <v>0</v>
      </c>
      <c r="R268" s="2" t="inlineStr"/>
    </row>
    <row r="269" ht="15" customHeight="1">
      <c r="A269" t="inlineStr">
        <is>
          <t>A 12819-2024</t>
        </is>
      </c>
      <c r="B269" s="1" t="n">
        <v>45384.66917824074</v>
      </c>
      <c r="C269" s="1" t="n">
        <v>45905</v>
      </c>
      <c r="D269" t="inlineStr">
        <is>
          <t>KALMAR LÄN</t>
        </is>
      </c>
      <c r="E269" t="inlineStr">
        <is>
          <t>VIMMERBY</t>
        </is>
      </c>
      <c r="G269" t="n">
        <v>5.1</v>
      </c>
      <c r="H269" t="n">
        <v>0</v>
      </c>
      <c r="I269" t="n">
        <v>0</v>
      </c>
      <c r="J269" t="n">
        <v>0</v>
      </c>
      <c r="K269" t="n">
        <v>0</v>
      </c>
      <c r="L269" t="n">
        <v>0</v>
      </c>
      <c r="M269" t="n">
        <v>0</v>
      </c>
      <c r="N269" t="n">
        <v>0</v>
      </c>
      <c r="O269" t="n">
        <v>0</v>
      </c>
      <c r="P269" t="n">
        <v>0</v>
      </c>
      <c r="Q269" t="n">
        <v>0</v>
      </c>
      <c r="R269" s="2" t="inlineStr"/>
    </row>
    <row r="270" ht="15" customHeight="1">
      <c r="A270" t="inlineStr">
        <is>
          <t>A 13817-2024</t>
        </is>
      </c>
      <c r="B270" s="1" t="n">
        <v>45391.41976851852</v>
      </c>
      <c r="C270" s="1" t="n">
        <v>45905</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46224-2024</t>
        </is>
      </c>
      <c r="B271" s="1" t="n">
        <v>45581.57016203704</v>
      </c>
      <c r="C271" s="1" t="n">
        <v>45905</v>
      </c>
      <c r="D271" t="inlineStr">
        <is>
          <t>KALMAR LÄN</t>
        </is>
      </c>
      <c r="E271" t="inlineStr">
        <is>
          <t>VIMMERBY</t>
        </is>
      </c>
      <c r="G271" t="n">
        <v>3.1</v>
      </c>
      <c r="H271" t="n">
        <v>0</v>
      </c>
      <c r="I271" t="n">
        <v>0</v>
      </c>
      <c r="J271" t="n">
        <v>0</v>
      </c>
      <c r="K271" t="n">
        <v>0</v>
      </c>
      <c r="L271" t="n">
        <v>0</v>
      </c>
      <c r="M271" t="n">
        <v>0</v>
      </c>
      <c r="N271" t="n">
        <v>0</v>
      </c>
      <c r="O271" t="n">
        <v>0</v>
      </c>
      <c r="P271" t="n">
        <v>0</v>
      </c>
      <c r="Q271" t="n">
        <v>0</v>
      </c>
      <c r="R271" s="2" t="inlineStr"/>
    </row>
    <row r="272" ht="15" customHeight="1">
      <c r="A272" t="inlineStr">
        <is>
          <t>A 30406-2023</t>
        </is>
      </c>
      <c r="B272" s="1" t="n">
        <v>45111.48787037037</v>
      </c>
      <c r="C272" s="1" t="n">
        <v>45905</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31382-2023</t>
        </is>
      </c>
      <c r="B273" s="1" t="n">
        <v>45114.55136574074</v>
      </c>
      <c r="C273" s="1" t="n">
        <v>45905</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11073-2023</t>
        </is>
      </c>
      <c r="B274" s="1" t="n">
        <v>44992</v>
      </c>
      <c r="C274" s="1" t="n">
        <v>45905</v>
      </c>
      <c r="D274" t="inlineStr">
        <is>
          <t>KALMAR LÄN</t>
        </is>
      </c>
      <c r="E274" t="inlineStr">
        <is>
          <t>VIMMERBY</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29013-2024</t>
        </is>
      </c>
      <c r="B275" s="1" t="n">
        <v>45481.55984953704</v>
      </c>
      <c r="C275" s="1" t="n">
        <v>45905</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29020-2024</t>
        </is>
      </c>
      <c r="B276" s="1" t="n">
        <v>45481.58048611111</v>
      </c>
      <c r="C276" s="1" t="n">
        <v>45905</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37028-2024</t>
        </is>
      </c>
      <c r="B277" s="1" t="n">
        <v>45539.38744212963</v>
      </c>
      <c r="C277" s="1" t="n">
        <v>45905</v>
      </c>
      <c r="D277" t="inlineStr">
        <is>
          <t>KALMAR LÄN</t>
        </is>
      </c>
      <c r="E277" t="inlineStr">
        <is>
          <t>VIMMERBY</t>
        </is>
      </c>
      <c r="G277" t="n">
        <v>5.2</v>
      </c>
      <c r="H277" t="n">
        <v>0</v>
      </c>
      <c r="I277" t="n">
        <v>0</v>
      </c>
      <c r="J277" t="n">
        <v>0</v>
      </c>
      <c r="K277" t="n">
        <v>0</v>
      </c>
      <c r="L277" t="n">
        <v>0</v>
      </c>
      <c r="M277" t="n">
        <v>0</v>
      </c>
      <c r="N277" t="n">
        <v>0</v>
      </c>
      <c r="O277" t="n">
        <v>0</v>
      </c>
      <c r="P277" t="n">
        <v>0</v>
      </c>
      <c r="Q277" t="n">
        <v>0</v>
      </c>
      <c r="R277" s="2" t="inlineStr"/>
    </row>
    <row r="278" ht="15" customHeight="1">
      <c r="A278" t="inlineStr">
        <is>
          <t>A 59955-2023</t>
        </is>
      </c>
      <c r="B278" s="1" t="n">
        <v>45257.70313657408</v>
      </c>
      <c r="C278" s="1" t="n">
        <v>45905</v>
      </c>
      <c r="D278" t="inlineStr">
        <is>
          <t>KALMAR LÄN</t>
        </is>
      </c>
      <c r="E278" t="inlineStr">
        <is>
          <t>VIMMERBY</t>
        </is>
      </c>
      <c r="G278" t="n">
        <v>13.8</v>
      </c>
      <c r="H278" t="n">
        <v>0</v>
      </c>
      <c r="I278" t="n">
        <v>0</v>
      </c>
      <c r="J278" t="n">
        <v>0</v>
      </c>
      <c r="K278" t="n">
        <v>0</v>
      </c>
      <c r="L278" t="n">
        <v>0</v>
      </c>
      <c r="M278" t="n">
        <v>0</v>
      </c>
      <c r="N278" t="n">
        <v>0</v>
      </c>
      <c r="O278" t="n">
        <v>0</v>
      </c>
      <c r="P278" t="n">
        <v>0</v>
      </c>
      <c r="Q278" t="n">
        <v>0</v>
      </c>
      <c r="R278" s="2" t="inlineStr"/>
    </row>
    <row r="279" ht="15" customHeight="1">
      <c r="A279" t="inlineStr">
        <is>
          <t>A 37187-2024</t>
        </is>
      </c>
      <c r="B279" s="1" t="n">
        <v>45539.65212962963</v>
      </c>
      <c r="C279" s="1" t="n">
        <v>45905</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36802-2021</t>
        </is>
      </c>
      <c r="B280" s="1" t="n">
        <v>44392</v>
      </c>
      <c r="C280" s="1" t="n">
        <v>45905</v>
      </c>
      <c r="D280" t="inlineStr">
        <is>
          <t>KALMAR LÄN</t>
        </is>
      </c>
      <c r="E280" t="inlineStr">
        <is>
          <t>VIMMERBY</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61820-2023</t>
        </is>
      </c>
      <c r="B281" s="1" t="n">
        <v>45266.32614583334</v>
      </c>
      <c r="C281" s="1" t="n">
        <v>45905</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3269-2024</t>
        </is>
      </c>
      <c r="B282" s="1" t="n">
        <v>45317.40372685185</v>
      </c>
      <c r="C282" s="1" t="n">
        <v>45905</v>
      </c>
      <c r="D282" t="inlineStr">
        <is>
          <t>KALMAR LÄN</t>
        </is>
      </c>
      <c r="E282" t="inlineStr">
        <is>
          <t>VIMMERBY</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2157-2024</t>
        </is>
      </c>
      <c r="B283" s="1" t="n">
        <v>45309.59487268519</v>
      </c>
      <c r="C283" s="1" t="n">
        <v>45905</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9416-2024</t>
        </is>
      </c>
      <c r="B284" s="1" t="n">
        <v>45359.44837962963</v>
      </c>
      <c r="C284" s="1" t="n">
        <v>45905</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58318-2021</t>
        </is>
      </c>
      <c r="B285" s="1" t="n">
        <v>44488.35878472222</v>
      </c>
      <c r="C285" s="1" t="n">
        <v>45905</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53083-2021</t>
        </is>
      </c>
      <c r="B286" s="1" t="n">
        <v>44467.83386574074</v>
      </c>
      <c r="C286" s="1" t="n">
        <v>45905</v>
      </c>
      <c r="D286" t="inlineStr">
        <is>
          <t>KALMAR LÄN</t>
        </is>
      </c>
      <c r="E286" t="inlineStr">
        <is>
          <t>VIMMERBY</t>
        </is>
      </c>
      <c r="G286" t="n">
        <v>6.8</v>
      </c>
      <c r="H286" t="n">
        <v>0</v>
      </c>
      <c r="I286" t="n">
        <v>0</v>
      </c>
      <c r="J286" t="n">
        <v>0</v>
      </c>
      <c r="K286" t="n">
        <v>0</v>
      </c>
      <c r="L286" t="n">
        <v>0</v>
      </c>
      <c r="M286" t="n">
        <v>0</v>
      </c>
      <c r="N286" t="n">
        <v>0</v>
      </c>
      <c r="O286" t="n">
        <v>0</v>
      </c>
      <c r="P286" t="n">
        <v>0</v>
      </c>
      <c r="Q286" t="n">
        <v>0</v>
      </c>
      <c r="R286" s="2" t="inlineStr"/>
    </row>
    <row r="287" ht="15" customHeight="1">
      <c r="A287" t="inlineStr">
        <is>
          <t>A 29173-2024</t>
        </is>
      </c>
      <c r="B287" s="1" t="n">
        <v>45482.52887731481</v>
      </c>
      <c r="C287" s="1" t="n">
        <v>45905</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11111-2024</t>
        </is>
      </c>
      <c r="B288" s="1" t="n">
        <v>45371.36359953704</v>
      </c>
      <c r="C288" s="1" t="n">
        <v>45905</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11141-2024</t>
        </is>
      </c>
      <c r="B289" s="1" t="n">
        <v>45371.45865740741</v>
      </c>
      <c r="C289" s="1" t="n">
        <v>45905</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9418-2024</t>
        </is>
      </c>
      <c r="B290" s="1" t="n">
        <v>45359.45038194444</v>
      </c>
      <c r="C290" s="1" t="n">
        <v>45905</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12630-2023</t>
        </is>
      </c>
      <c r="B291" s="1" t="n">
        <v>45000.47998842593</v>
      </c>
      <c r="C291" s="1" t="n">
        <v>45905</v>
      </c>
      <c r="D291" t="inlineStr">
        <is>
          <t>KALMAR LÄN</t>
        </is>
      </c>
      <c r="E291" t="inlineStr">
        <is>
          <t>VIMMERBY</t>
        </is>
      </c>
      <c r="G291" t="n">
        <v>2.1</v>
      </c>
      <c r="H291" t="n">
        <v>0</v>
      </c>
      <c r="I291" t="n">
        <v>0</v>
      </c>
      <c r="J291" t="n">
        <v>0</v>
      </c>
      <c r="K291" t="n">
        <v>0</v>
      </c>
      <c r="L291" t="n">
        <v>0</v>
      </c>
      <c r="M291" t="n">
        <v>0</v>
      </c>
      <c r="N291" t="n">
        <v>0</v>
      </c>
      <c r="O291" t="n">
        <v>0</v>
      </c>
      <c r="P291" t="n">
        <v>0</v>
      </c>
      <c r="Q291" t="n">
        <v>0</v>
      </c>
      <c r="R291" s="2" t="inlineStr"/>
    </row>
    <row r="292" ht="15" customHeight="1">
      <c r="A292" t="inlineStr">
        <is>
          <t>A 49313-2022</t>
        </is>
      </c>
      <c r="B292" s="1" t="n">
        <v>44861.52505787037</v>
      </c>
      <c r="C292" s="1" t="n">
        <v>45905</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35998-2024</t>
        </is>
      </c>
      <c r="B293" s="1" t="n">
        <v>45533.54429398148</v>
      </c>
      <c r="C293" s="1" t="n">
        <v>45905</v>
      </c>
      <c r="D293" t="inlineStr">
        <is>
          <t>KALMAR LÄN</t>
        </is>
      </c>
      <c r="E293" t="inlineStr">
        <is>
          <t>VIMMERBY</t>
        </is>
      </c>
      <c r="G293" t="n">
        <v>8.6</v>
      </c>
      <c r="H293" t="n">
        <v>0</v>
      </c>
      <c r="I293" t="n">
        <v>0</v>
      </c>
      <c r="J293" t="n">
        <v>0</v>
      </c>
      <c r="K293" t="n">
        <v>0</v>
      </c>
      <c r="L293" t="n">
        <v>0</v>
      </c>
      <c r="M293" t="n">
        <v>0</v>
      </c>
      <c r="N293" t="n">
        <v>0</v>
      </c>
      <c r="O293" t="n">
        <v>0</v>
      </c>
      <c r="P293" t="n">
        <v>0</v>
      </c>
      <c r="Q293" t="n">
        <v>0</v>
      </c>
      <c r="R293" s="2" t="inlineStr"/>
    </row>
    <row r="294" ht="15" customHeight="1">
      <c r="A294" t="inlineStr">
        <is>
          <t>A 36040-2024</t>
        </is>
      </c>
      <c r="B294" s="1" t="n">
        <v>45533.60232638889</v>
      </c>
      <c r="C294" s="1" t="n">
        <v>45905</v>
      </c>
      <c r="D294" t="inlineStr">
        <is>
          <t>KALMAR LÄN</t>
        </is>
      </c>
      <c r="E294" t="inlineStr">
        <is>
          <t>VIMMERBY</t>
        </is>
      </c>
      <c r="F294" t="inlineStr">
        <is>
          <t>Kommuner</t>
        </is>
      </c>
      <c r="G294" t="n">
        <v>3.6</v>
      </c>
      <c r="H294" t="n">
        <v>0</v>
      </c>
      <c r="I294" t="n">
        <v>0</v>
      </c>
      <c r="J294" t="n">
        <v>0</v>
      </c>
      <c r="K294" t="n">
        <v>0</v>
      </c>
      <c r="L294" t="n">
        <v>0</v>
      </c>
      <c r="M294" t="n">
        <v>0</v>
      </c>
      <c r="N294" t="n">
        <v>0</v>
      </c>
      <c r="O294" t="n">
        <v>0</v>
      </c>
      <c r="P294" t="n">
        <v>0</v>
      </c>
      <c r="Q294" t="n">
        <v>0</v>
      </c>
      <c r="R294" s="2" t="inlineStr"/>
    </row>
    <row r="295" ht="15" customHeight="1">
      <c r="A295" t="inlineStr">
        <is>
          <t>A 36043-2024</t>
        </is>
      </c>
      <c r="B295" s="1" t="n">
        <v>45533.60770833334</v>
      </c>
      <c r="C295" s="1" t="n">
        <v>45905</v>
      </c>
      <c r="D295" t="inlineStr">
        <is>
          <t>KALMAR LÄN</t>
        </is>
      </c>
      <c r="E295" t="inlineStr">
        <is>
          <t>VIMMERBY</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39584-2024</t>
        </is>
      </c>
      <c r="B296" s="1" t="n">
        <v>45552.36759259259</v>
      </c>
      <c r="C296" s="1" t="n">
        <v>45905</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27705-2023</t>
        </is>
      </c>
      <c r="B297" s="1" t="n">
        <v>45098.30535879629</v>
      </c>
      <c r="C297" s="1" t="n">
        <v>45905</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22197-2024</t>
        </is>
      </c>
      <c r="B298" s="1" t="n">
        <v>45446.36774305555</v>
      </c>
      <c r="C298" s="1" t="n">
        <v>45905</v>
      </c>
      <c r="D298" t="inlineStr">
        <is>
          <t>KALMAR LÄN</t>
        </is>
      </c>
      <c r="E298" t="inlineStr">
        <is>
          <t>VIMMERBY</t>
        </is>
      </c>
      <c r="F298" t="inlineStr">
        <is>
          <t>Sveaskog</t>
        </is>
      </c>
      <c r="G298" t="n">
        <v>3.2</v>
      </c>
      <c r="H298" t="n">
        <v>0</v>
      </c>
      <c r="I298" t="n">
        <v>0</v>
      </c>
      <c r="J298" t="n">
        <v>0</v>
      </c>
      <c r="K298" t="n">
        <v>0</v>
      </c>
      <c r="L298" t="n">
        <v>0</v>
      </c>
      <c r="M298" t="n">
        <v>0</v>
      </c>
      <c r="N298" t="n">
        <v>0</v>
      </c>
      <c r="O298" t="n">
        <v>0</v>
      </c>
      <c r="P298" t="n">
        <v>0</v>
      </c>
      <c r="Q298" t="n">
        <v>0</v>
      </c>
      <c r="R298" s="2" t="inlineStr"/>
    </row>
    <row r="299" ht="15" customHeight="1">
      <c r="A299" t="inlineStr">
        <is>
          <t>A 22014-2025</t>
        </is>
      </c>
      <c r="B299" s="1" t="n">
        <v>45784.74996527778</v>
      </c>
      <c r="C299" s="1" t="n">
        <v>45905</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35710-2023</t>
        </is>
      </c>
      <c r="B300" s="1" t="n">
        <v>45147.67096064815</v>
      </c>
      <c r="C300" s="1" t="n">
        <v>45905</v>
      </c>
      <c r="D300" t="inlineStr">
        <is>
          <t>KALMAR LÄN</t>
        </is>
      </c>
      <c r="E300" t="inlineStr">
        <is>
          <t>VIMMERBY</t>
        </is>
      </c>
      <c r="G300" t="n">
        <v>3.1</v>
      </c>
      <c r="H300" t="n">
        <v>0</v>
      </c>
      <c r="I300" t="n">
        <v>0</v>
      </c>
      <c r="J300" t="n">
        <v>0</v>
      </c>
      <c r="K300" t="n">
        <v>0</v>
      </c>
      <c r="L300" t="n">
        <v>0</v>
      </c>
      <c r="M300" t="n">
        <v>0</v>
      </c>
      <c r="N300" t="n">
        <v>0</v>
      </c>
      <c r="O300" t="n">
        <v>0</v>
      </c>
      <c r="P300" t="n">
        <v>0</v>
      </c>
      <c r="Q300" t="n">
        <v>0</v>
      </c>
      <c r="R300" s="2" t="inlineStr"/>
    </row>
    <row r="301" ht="15" customHeight="1">
      <c r="A301" t="inlineStr">
        <is>
          <t>A 35711-2023</t>
        </is>
      </c>
      <c r="B301" s="1" t="n">
        <v>45147.67172453704</v>
      </c>
      <c r="C301" s="1" t="n">
        <v>45905</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31013-2023</t>
        </is>
      </c>
      <c r="B302" s="1" t="n">
        <v>45113.56574074074</v>
      </c>
      <c r="C302" s="1" t="n">
        <v>45905</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15388-2025</t>
        </is>
      </c>
      <c r="B303" s="1" t="n">
        <v>45747.42633101852</v>
      </c>
      <c r="C303" s="1" t="n">
        <v>45905</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15391-2025</t>
        </is>
      </c>
      <c r="B304" s="1" t="n">
        <v>45747.42958333333</v>
      </c>
      <c r="C304" s="1" t="n">
        <v>45905</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11303-2025</t>
        </is>
      </c>
      <c r="B305" s="1" t="n">
        <v>45726.44471064815</v>
      </c>
      <c r="C305" s="1" t="n">
        <v>45905</v>
      </c>
      <c r="D305" t="inlineStr">
        <is>
          <t>KALMAR LÄN</t>
        </is>
      </c>
      <c r="E305" t="inlineStr">
        <is>
          <t>VIMMERBY</t>
        </is>
      </c>
      <c r="G305" t="n">
        <v>2.1</v>
      </c>
      <c r="H305" t="n">
        <v>0</v>
      </c>
      <c r="I305" t="n">
        <v>0</v>
      </c>
      <c r="J305" t="n">
        <v>0</v>
      </c>
      <c r="K305" t="n">
        <v>0</v>
      </c>
      <c r="L305" t="n">
        <v>0</v>
      </c>
      <c r="M305" t="n">
        <v>0</v>
      </c>
      <c r="N305" t="n">
        <v>0</v>
      </c>
      <c r="O305" t="n">
        <v>0</v>
      </c>
      <c r="P305" t="n">
        <v>0</v>
      </c>
      <c r="Q305" t="n">
        <v>0</v>
      </c>
      <c r="R305" s="2" t="inlineStr"/>
    </row>
    <row r="306" ht="15" customHeight="1">
      <c r="A306" t="inlineStr">
        <is>
          <t>A 25582-2024</t>
        </is>
      </c>
      <c r="B306" s="1" t="n">
        <v>45463</v>
      </c>
      <c r="C306" s="1" t="n">
        <v>45905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57578-2024</t>
        </is>
      </c>
      <c r="B307" s="1" t="n">
        <v>45630.47564814815</v>
      </c>
      <c r="C307" s="1" t="n">
        <v>45905</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33352-2022</t>
        </is>
      </c>
      <c r="B308" s="1" t="n">
        <v>44788</v>
      </c>
      <c r="C308" s="1" t="n">
        <v>45905</v>
      </c>
      <c r="D308" t="inlineStr">
        <is>
          <t>KALMAR LÄN</t>
        </is>
      </c>
      <c r="E308" t="inlineStr">
        <is>
          <t>VIMMERBY</t>
        </is>
      </c>
      <c r="G308" t="n">
        <v>0.8</v>
      </c>
      <c r="H308" t="n">
        <v>0</v>
      </c>
      <c r="I308" t="n">
        <v>0</v>
      </c>
      <c r="J308" t="n">
        <v>0</v>
      </c>
      <c r="K308" t="n">
        <v>0</v>
      </c>
      <c r="L308" t="n">
        <v>0</v>
      </c>
      <c r="M308" t="n">
        <v>0</v>
      </c>
      <c r="N308" t="n">
        <v>0</v>
      </c>
      <c r="O308" t="n">
        <v>0</v>
      </c>
      <c r="P308" t="n">
        <v>0</v>
      </c>
      <c r="Q308" t="n">
        <v>0</v>
      </c>
      <c r="R308" s="2" t="inlineStr"/>
    </row>
    <row r="309" ht="15" customHeight="1">
      <c r="A309" t="inlineStr">
        <is>
          <t>A 46234-2024</t>
        </is>
      </c>
      <c r="B309" s="1" t="n">
        <v>45581.57958333333</v>
      </c>
      <c r="C309" s="1" t="n">
        <v>45905</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39053-2024</t>
        </is>
      </c>
      <c r="B310" s="1" t="n">
        <v>45548</v>
      </c>
      <c r="C310" s="1" t="n">
        <v>45905</v>
      </c>
      <c r="D310" t="inlineStr">
        <is>
          <t>KALMAR LÄN</t>
        </is>
      </c>
      <c r="E310" t="inlineStr">
        <is>
          <t>VIMMERBY</t>
        </is>
      </c>
      <c r="G310" t="n">
        <v>5</v>
      </c>
      <c r="H310" t="n">
        <v>0</v>
      </c>
      <c r="I310" t="n">
        <v>0</v>
      </c>
      <c r="J310" t="n">
        <v>0</v>
      </c>
      <c r="K310" t="n">
        <v>0</v>
      </c>
      <c r="L310" t="n">
        <v>0</v>
      </c>
      <c r="M310" t="n">
        <v>0</v>
      </c>
      <c r="N310" t="n">
        <v>0</v>
      </c>
      <c r="O310" t="n">
        <v>0</v>
      </c>
      <c r="P310" t="n">
        <v>0</v>
      </c>
      <c r="Q310" t="n">
        <v>0</v>
      </c>
      <c r="R310" s="2" t="inlineStr"/>
    </row>
    <row r="311" ht="15" customHeight="1">
      <c r="A311" t="inlineStr">
        <is>
          <t>A 15449-2023</t>
        </is>
      </c>
      <c r="B311" s="1" t="n">
        <v>45020</v>
      </c>
      <c r="C311" s="1" t="n">
        <v>45905</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43594-2024</t>
        </is>
      </c>
      <c r="B312" s="1" t="n">
        <v>45569.44295138889</v>
      </c>
      <c r="C312" s="1" t="n">
        <v>45905</v>
      </c>
      <c r="D312" t="inlineStr">
        <is>
          <t>KALMAR LÄN</t>
        </is>
      </c>
      <c r="E312" t="inlineStr">
        <is>
          <t>VIMMERBY</t>
        </is>
      </c>
      <c r="G312" t="n">
        <v>3.9</v>
      </c>
      <c r="H312" t="n">
        <v>0</v>
      </c>
      <c r="I312" t="n">
        <v>0</v>
      </c>
      <c r="J312" t="n">
        <v>0</v>
      </c>
      <c r="K312" t="n">
        <v>0</v>
      </c>
      <c r="L312" t="n">
        <v>0</v>
      </c>
      <c r="M312" t="n">
        <v>0</v>
      </c>
      <c r="N312" t="n">
        <v>0</v>
      </c>
      <c r="O312" t="n">
        <v>0</v>
      </c>
      <c r="P312" t="n">
        <v>0</v>
      </c>
      <c r="Q312" t="n">
        <v>0</v>
      </c>
      <c r="R312" s="2" t="inlineStr"/>
    </row>
    <row r="313" ht="15" customHeight="1">
      <c r="A313" t="inlineStr">
        <is>
          <t>A 17486-2024</t>
        </is>
      </c>
      <c r="B313" s="1" t="n">
        <v>45415.48979166667</v>
      </c>
      <c r="C313" s="1" t="n">
        <v>45905</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14248-2023</t>
        </is>
      </c>
      <c r="B314" s="1" t="n">
        <v>45009</v>
      </c>
      <c r="C314" s="1" t="n">
        <v>45905</v>
      </c>
      <c r="D314" t="inlineStr">
        <is>
          <t>KALMAR LÄN</t>
        </is>
      </c>
      <c r="E314" t="inlineStr">
        <is>
          <t>VIMMERBY</t>
        </is>
      </c>
      <c r="G314" t="n">
        <v>2.6</v>
      </c>
      <c r="H314" t="n">
        <v>0</v>
      </c>
      <c r="I314" t="n">
        <v>0</v>
      </c>
      <c r="J314" t="n">
        <v>0</v>
      </c>
      <c r="K314" t="n">
        <v>0</v>
      </c>
      <c r="L314" t="n">
        <v>0</v>
      </c>
      <c r="M314" t="n">
        <v>0</v>
      </c>
      <c r="N314" t="n">
        <v>0</v>
      </c>
      <c r="O314" t="n">
        <v>0</v>
      </c>
      <c r="P314" t="n">
        <v>0</v>
      </c>
      <c r="Q314" t="n">
        <v>0</v>
      </c>
      <c r="R314" s="2" t="inlineStr"/>
    </row>
    <row r="315" ht="15" customHeight="1">
      <c r="A315" t="inlineStr">
        <is>
          <t>A 34588-2024</t>
        </is>
      </c>
      <c r="B315" s="1" t="n">
        <v>45526.3865625</v>
      </c>
      <c r="C315" s="1" t="n">
        <v>45905</v>
      </c>
      <c r="D315" t="inlineStr">
        <is>
          <t>KALMAR LÄN</t>
        </is>
      </c>
      <c r="E315" t="inlineStr">
        <is>
          <t>VIMMERBY</t>
        </is>
      </c>
      <c r="F315" t="inlineStr">
        <is>
          <t>Övriga Aktiebolag</t>
        </is>
      </c>
      <c r="G315" t="n">
        <v>3.3</v>
      </c>
      <c r="H315" t="n">
        <v>0</v>
      </c>
      <c r="I315" t="n">
        <v>0</v>
      </c>
      <c r="J315" t="n">
        <v>0</v>
      </c>
      <c r="K315" t="n">
        <v>0</v>
      </c>
      <c r="L315" t="n">
        <v>0</v>
      </c>
      <c r="M315" t="n">
        <v>0</v>
      </c>
      <c r="N315" t="n">
        <v>0</v>
      </c>
      <c r="O315" t="n">
        <v>0</v>
      </c>
      <c r="P315" t="n">
        <v>0</v>
      </c>
      <c r="Q315" t="n">
        <v>0</v>
      </c>
      <c r="R315" s="2" t="inlineStr"/>
    </row>
    <row r="316" ht="15" customHeight="1">
      <c r="A316" t="inlineStr">
        <is>
          <t>A 56659-2023</t>
        </is>
      </c>
      <c r="B316" s="1" t="n">
        <v>45243.84869212963</v>
      </c>
      <c r="C316" s="1" t="n">
        <v>45905</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30400-2023</t>
        </is>
      </c>
      <c r="B317" s="1" t="n">
        <v>45111.48225694444</v>
      </c>
      <c r="C317" s="1" t="n">
        <v>45905</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30404-2023</t>
        </is>
      </c>
      <c r="B318" s="1" t="n">
        <v>45111.48636574074</v>
      </c>
      <c r="C318" s="1" t="n">
        <v>45905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22398-2025</t>
        </is>
      </c>
      <c r="B319" s="1" t="n">
        <v>45786.52931712963</v>
      </c>
      <c r="C319" s="1" t="n">
        <v>45905</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22399-2025</t>
        </is>
      </c>
      <c r="B320" s="1" t="n">
        <v>45786.52996527778</v>
      </c>
      <c r="C320" s="1" t="n">
        <v>45905</v>
      </c>
      <c r="D320" t="inlineStr">
        <is>
          <t>KALMAR LÄN</t>
        </is>
      </c>
      <c r="E320" t="inlineStr">
        <is>
          <t>VIMMERBY</t>
        </is>
      </c>
      <c r="G320" t="n">
        <v>2.1</v>
      </c>
      <c r="H320" t="n">
        <v>0</v>
      </c>
      <c r="I320" t="n">
        <v>0</v>
      </c>
      <c r="J320" t="n">
        <v>0</v>
      </c>
      <c r="K320" t="n">
        <v>0</v>
      </c>
      <c r="L320" t="n">
        <v>0</v>
      </c>
      <c r="M320" t="n">
        <v>0</v>
      </c>
      <c r="N320" t="n">
        <v>0</v>
      </c>
      <c r="O320" t="n">
        <v>0</v>
      </c>
      <c r="P320" t="n">
        <v>0</v>
      </c>
      <c r="Q320" t="n">
        <v>0</v>
      </c>
      <c r="R320" s="2" t="inlineStr"/>
    </row>
    <row r="321" ht="15" customHeight="1">
      <c r="A321" t="inlineStr">
        <is>
          <t>A 55123-2024</t>
        </is>
      </c>
      <c r="B321" s="1" t="n">
        <v>45621.46103009259</v>
      </c>
      <c r="C321" s="1" t="n">
        <v>45905</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31405-2023</t>
        </is>
      </c>
      <c r="B322" s="1" t="n">
        <v>45114.58148148148</v>
      </c>
      <c r="C322" s="1" t="n">
        <v>45905</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45905</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43998-2020</t>
        </is>
      </c>
      <c r="B324" s="1" t="n">
        <v>44083</v>
      </c>
      <c r="C324" s="1" t="n">
        <v>45905</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3331-2023</t>
        </is>
      </c>
      <c r="B325" s="1" t="n">
        <v>44949</v>
      </c>
      <c r="C325" s="1" t="n">
        <v>45905</v>
      </c>
      <c r="D325" t="inlineStr">
        <is>
          <t>KALMAR LÄN</t>
        </is>
      </c>
      <c r="E325" t="inlineStr">
        <is>
          <t>VIMMERBY</t>
        </is>
      </c>
      <c r="G325" t="n">
        <v>6.2</v>
      </c>
      <c r="H325" t="n">
        <v>0</v>
      </c>
      <c r="I325" t="n">
        <v>0</v>
      </c>
      <c r="J325" t="n">
        <v>0</v>
      </c>
      <c r="K325" t="n">
        <v>0</v>
      </c>
      <c r="L325" t="n">
        <v>0</v>
      </c>
      <c r="M325" t="n">
        <v>0</v>
      </c>
      <c r="N325" t="n">
        <v>0</v>
      </c>
      <c r="O325" t="n">
        <v>0</v>
      </c>
      <c r="P325" t="n">
        <v>0</v>
      </c>
      <c r="Q325" t="n">
        <v>0</v>
      </c>
      <c r="R325" s="2" t="inlineStr"/>
    </row>
    <row r="326" ht="15" customHeight="1">
      <c r="A326" t="inlineStr">
        <is>
          <t>A 36049-2024</t>
        </is>
      </c>
      <c r="B326" s="1" t="n">
        <v>45533.61996527778</v>
      </c>
      <c r="C326" s="1" t="n">
        <v>45905</v>
      </c>
      <c r="D326" t="inlineStr">
        <is>
          <t>KALMAR LÄN</t>
        </is>
      </c>
      <c r="E326" t="inlineStr">
        <is>
          <t>VIMMERBY</t>
        </is>
      </c>
      <c r="F326" t="inlineStr">
        <is>
          <t>Kommuner</t>
        </is>
      </c>
      <c r="G326" t="n">
        <v>2.6</v>
      </c>
      <c r="H326" t="n">
        <v>0</v>
      </c>
      <c r="I326" t="n">
        <v>0</v>
      </c>
      <c r="J326" t="n">
        <v>0</v>
      </c>
      <c r="K326" t="n">
        <v>0</v>
      </c>
      <c r="L326" t="n">
        <v>0</v>
      </c>
      <c r="M326" t="n">
        <v>0</v>
      </c>
      <c r="N326" t="n">
        <v>0</v>
      </c>
      <c r="O326" t="n">
        <v>0</v>
      </c>
      <c r="P326" t="n">
        <v>0</v>
      </c>
      <c r="Q326" t="n">
        <v>0</v>
      </c>
      <c r="R326" s="2" t="inlineStr"/>
    </row>
    <row r="327" ht="15" customHeight="1">
      <c r="A327" t="inlineStr">
        <is>
          <t>A 22397-2025</t>
        </is>
      </c>
      <c r="B327" s="1" t="n">
        <v>45786.52878472222</v>
      </c>
      <c r="C327" s="1" t="n">
        <v>45905</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40828-2023</t>
        </is>
      </c>
      <c r="B328" s="1" t="n">
        <v>45171.96248842592</v>
      </c>
      <c r="C328" s="1" t="n">
        <v>45905</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58159-2024</t>
        </is>
      </c>
      <c r="B329" s="1" t="n">
        <v>45632.44886574074</v>
      </c>
      <c r="C329" s="1" t="n">
        <v>45905</v>
      </c>
      <c r="D329" t="inlineStr">
        <is>
          <t>KALMAR LÄN</t>
        </is>
      </c>
      <c r="E329" t="inlineStr">
        <is>
          <t>VIMMERBY</t>
        </is>
      </c>
      <c r="G329" t="n">
        <v>7.5</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45905</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14359-2025</t>
        </is>
      </c>
      <c r="B331" s="1" t="n">
        <v>45741.37270833334</v>
      </c>
      <c r="C331" s="1" t="n">
        <v>45905</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45905</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9720-2023</t>
        </is>
      </c>
      <c r="B333" s="1" t="n">
        <v>44984</v>
      </c>
      <c r="C333" s="1" t="n">
        <v>45905</v>
      </c>
      <c r="D333" t="inlineStr">
        <is>
          <t>KALMAR LÄN</t>
        </is>
      </c>
      <c r="E333" t="inlineStr">
        <is>
          <t>VIMMERBY</t>
        </is>
      </c>
      <c r="G333" t="n">
        <v>4.4</v>
      </c>
      <c r="H333" t="n">
        <v>0</v>
      </c>
      <c r="I333" t="n">
        <v>0</v>
      </c>
      <c r="J333" t="n">
        <v>0</v>
      </c>
      <c r="K333" t="n">
        <v>0</v>
      </c>
      <c r="L333" t="n">
        <v>0</v>
      </c>
      <c r="M333" t="n">
        <v>0</v>
      </c>
      <c r="N333" t="n">
        <v>0</v>
      </c>
      <c r="O333" t="n">
        <v>0</v>
      </c>
      <c r="P333" t="n">
        <v>0</v>
      </c>
      <c r="Q333" t="n">
        <v>0</v>
      </c>
      <c r="R333" s="2" t="inlineStr"/>
    </row>
    <row r="334" ht="15" customHeight="1">
      <c r="A334" t="inlineStr">
        <is>
          <t>A 5938-2022</t>
        </is>
      </c>
      <c r="B334" s="1" t="n">
        <v>44598</v>
      </c>
      <c r="C334" s="1" t="n">
        <v>45905</v>
      </c>
      <c r="D334" t="inlineStr">
        <is>
          <t>KALMAR LÄN</t>
        </is>
      </c>
      <c r="E334" t="inlineStr">
        <is>
          <t>VIMMERBY</t>
        </is>
      </c>
      <c r="G334" t="n">
        <v>2.4</v>
      </c>
      <c r="H334" t="n">
        <v>0</v>
      </c>
      <c r="I334" t="n">
        <v>0</v>
      </c>
      <c r="J334" t="n">
        <v>0</v>
      </c>
      <c r="K334" t="n">
        <v>0</v>
      </c>
      <c r="L334" t="n">
        <v>0</v>
      </c>
      <c r="M334" t="n">
        <v>0</v>
      </c>
      <c r="N334" t="n">
        <v>0</v>
      </c>
      <c r="O334" t="n">
        <v>0</v>
      </c>
      <c r="P334" t="n">
        <v>0</v>
      </c>
      <c r="Q334" t="n">
        <v>0</v>
      </c>
      <c r="R334" s="2" t="inlineStr"/>
    </row>
    <row r="335" ht="15" customHeight="1">
      <c r="A335" t="inlineStr">
        <is>
          <t>A 1687-2023</t>
        </is>
      </c>
      <c r="B335" s="1" t="n">
        <v>44938</v>
      </c>
      <c r="C335" s="1" t="n">
        <v>45905</v>
      </c>
      <c r="D335" t="inlineStr">
        <is>
          <t>KALMAR LÄN</t>
        </is>
      </c>
      <c r="E335" t="inlineStr">
        <is>
          <t>VIMMERBY</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29440-2024</t>
        </is>
      </c>
      <c r="B336" s="1" t="n">
        <v>45483.82479166667</v>
      </c>
      <c r="C336" s="1" t="n">
        <v>45905</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30921-2024</t>
        </is>
      </c>
      <c r="B337" s="1" t="n">
        <v>45498</v>
      </c>
      <c r="C337" s="1" t="n">
        <v>45905</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39578-2024</t>
        </is>
      </c>
      <c r="B338" s="1" t="n">
        <v>45552.36484953704</v>
      </c>
      <c r="C338" s="1" t="n">
        <v>45905</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53482-2022</t>
        </is>
      </c>
      <c r="B339" s="1" t="n">
        <v>44879</v>
      </c>
      <c r="C339" s="1" t="n">
        <v>45905</v>
      </c>
      <c r="D339" t="inlineStr">
        <is>
          <t>KALMAR LÄN</t>
        </is>
      </c>
      <c r="E339" t="inlineStr">
        <is>
          <t>VIMMERBY</t>
        </is>
      </c>
      <c r="G339" t="n">
        <v>10.1</v>
      </c>
      <c r="H339" t="n">
        <v>0</v>
      </c>
      <c r="I339" t="n">
        <v>0</v>
      </c>
      <c r="J339" t="n">
        <v>0</v>
      </c>
      <c r="K339" t="n">
        <v>0</v>
      </c>
      <c r="L339" t="n">
        <v>0</v>
      </c>
      <c r="M339" t="n">
        <v>0</v>
      </c>
      <c r="N339" t="n">
        <v>0</v>
      </c>
      <c r="O339" t="n">
        <v>0</v>
      </c>
      <c r="P339" t="n">
        <v>0</v>
      </c>
      <c r="Q339" t="n">
        <v>0</v>
      </c>
      <c r="R339" s="2" t="inlineStr"/>
    </row>
    <row r="340" ht="15" customHeight="1">
      <c r="A340" t="inlineStr">
        <is>
          <t>A 11442-2025</t>
        </is>
      </c>
      <c r="B340" s="1" t="n">
        <v>45726.62721064815</v>
      </c>
      <c r="C340" s="1" t="n">
        <v>45905</v>
      </c>
      <c r="D340" t="inlineStr">
        <is>
          <t>KALMAR LÄN</t>
        </is>
      </c>
      <c r="E340" t="inlineStr">
        <is>
          <t>VIMMERBY</t>
        </is>
      </c>
      <c r="G340" t="n">
        <v>2.6</v>
      </c>
      <c r="H340" t="n">
        <v>0</v>
      </c>
      <c r="I340" t="n">
        <v>0</v>
      </c>
      <c r="J340" t="n">
        <v>0</v>
      </c>
      <c r="K340" t="n">
        <v>0</v>
      </c>
      <c r="L340" t="n">
        <v>0</v>
      </c>
      <c r="M340" t="n">
        <v>0</v>
      </c>
      <c r="N340" t="n">
        <v>0</v>
      </c>
      <c r="O340" t="n">
        <v>0</v>
      </c>
      <c r="P340" t="n">
        <v>0</v>
      </c>
      <c r="Q340" t="n">
        <v>0</v>
      </c>
      <c r="R340" s="2" t="inlineStr"/>
    </row>
    <row r="341" ht="15" customHeight="1">
      <c r="A341" t="inlineStr">
        <is>
          <t>A 6307-2025</t>
        </is>
      </c>
      <c r="B341" s="1" t="n">
        <v>45698.69016203703</v>
      </c>
      <c r="C341" s="1" t="n">
        <v>45905</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62779-2023</t>
        </is>
      </c>
      <c r="B342" s="1" t="n">
        <v>45271.66576388889</v>
      </c>
      <c r="C342" s="1" t="n">
        <v>45905</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29180-2024</t>
        </is>
      </c>
      <c r="B343" s="1" t="n">
        <v>45482.54108796296</v>
      </c>
      <c r="C343" s="1" t="n">
        <v>45905</v>
      </c>
      <c r="D343" t="inlineStr">
        <is>
          <t>KALMAR LÄN</t>
        </is>
      </c>
      <c r="E343" t="inlineStr">
        <is>
          <t>VIMMERBY</t>
        </is>
      </c>
      <c r="G343" t="n">
        <v>3.8</v>
      </c>
      <c r="H343" t="n">
        <v>0</v>
      </c>
      <c r="I343" t="n">
        <v>0</v>
      </c>
      <c r="J343" t="n">
        <v>0</v>
      </c>
      <c r="K343" t="n">
        <v>0</v>
      </c>
      <c r="L343" t="n">
        <v>0</v>
      </c>
      <c r="M343" t="n">
        <v>0</v>
      </c>
      <c r="N343" t="n">
        <v>0</v>
      </c>
      <c r="O343" t="n">
        <v>0</v>
      </c>
      <c r="P343" t="n">
        <v>0</v>
      </c>
      <c r="Q343" t="n">
        <v>0</v>
      </c>
      <c r="R343" s="2" t="inlineStr"/>
    </row>
    <row r="344" ht="15" customHeight="1">
      <c r="A344" t="inlineStr">
        <is>
          <t>A 46399-2024</t>
        </is>
      </c>
      <c r="B344" s="1" t="n">
        <v>45582.41200231481</v>
      </c>
      <c r="C344" s="1" t="n">
        <v>45905</v>
      </c>
      <c r="D344" t="inlineStr">
        <is>
          <t>KALMAR LÄN</t>
        </is>
      </c>
      <c r="E344" t="inlineStr">
        <is>
          <t>VIMMERBY</t>
        </is>
      </c>
      <c r="G344" t="n">
        <v>4.6</v>
      </c>
      <c r="H344" t="n">
        <v>0</v>
      </c>
      <c r="I344" t="n">
        <v>0</v>
      </c>
      <c r="J344" t="n">
        <v>0</v>
      </c>
      <c r="K344" t="n">
        <v>0</v>
      </c>
      <c r="L344" t="n">
        <v>0</v>
      </c>
      <c r="M344" t="n">
        <v>0</v>
      </c>
      <c r="N344" t="n">
        <v>0</v>
      </c>
      <c r="O344" t="n">
        <v>0</v>
      </c>
      <c r="P344" t="n">
        <v>0</v>
      </c>
      <c r="Q344" t="n">
        <v>0</v>
      </c>
      <c r="R344" s="2" t="inlineStr"/>
    </row>
    <row r="345" ht="15" customHeight="1">
      <c r="A345" t="inlineStr">
        <is>
          <t>A 3425-2022</t>
        </is>
      </c>
      <c r="B345" s="1" t="n">
        <v>44585.51060185185</v>
      </c>
      <c r="C345" s="1" t="n">
        <v>45905</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43962-2024</t>
        </is>
      </c>
      <c r="B346" s="1" t="n">
        <v>45572.48293981481</v>
      </c>
      <c r="C346" s="1" t="n">
        <v>45905</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12810-2023</t>
        </is>
      </c>
      <c r="B347" s="1" t="n">
        <v>45001.43854166667</v>
      </c>
      <c r="C347" s="1" t="n">
        <v>45905</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43068-2023</t>
        </is>
      </c>
      <c r="B348" s="1" t="n">
        <v>45182.78834490741</v>
      </c>
      <c r="C348" s="1" t="n">
        <v>45905</v>
      </c>
      <c r="D348" t="inlineStr">
        <is>
          <t>KALMAR LÄN</t>
        </is>
      </c>
      <c r="E348" t="inlineStr">
        <is>
          <t>VIMMERBY</t>
        </is>
      </c>
      <c r="G348" t="n">
        <v>1.5</v>
      </c>
      <c r="H348" t="n">
        <v>0</v>
      </c>
      <c r="I348" t="n">
        <v>0</v>
      </c>
      <c r="J348" t="n">
        <v>0</v>
      </c>
      <c r="K348" t="n">
        <v>0</v>
      </c>
      <c r="L348" t="n">
        <v>0</v>
      </c>
      <c r="M348" t="n">
        <v>0</v>
      </c>
      <c r="N348" t="n">
        <v>0</v>
      </c>
      <c r="O348" t="n">
        <v>0</v>
      </c>
      <c r="P348" t="n">
        <v>0</v>
      </c>
      <c r="Q348" t="n">
        <v>0</v>
      </c>
      <c r="R348" s="2" t="inlineStr"/>
    </row>
    <row r="349" ht="15" customHeight="1">
      <c r="A349" t="inlineStr">
        <is>
          <t>A 23394-2025</t>
        </is>
      </c>
      <c r="B349" s="1" t="n">
        <v>45791.89865740741</v>
      </c>
      <c r="C349" s="1" t="n">
        <v>45905</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29783-2024</t>
        </is>
      </c>
      <c r="B350" s="1" t="n">
        <v>45485.45778935185</v>
      </c>
      <c r="C350" s="1" t="n">
        <v>45905</v>
      </c>
      <c r="D350" t="inlineStr">
        <is>
          <t>KALMAR LÄN</t>
        </is>
      </c>
      <c r="E350" t="inlineStr">
        <is>
          <t>VIMMERBY</t>
        </is>
      </c>
      <c r="G350" t="n">
        <v>3.1</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45905</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25987-2024</t>
        </is>
      </c>
      <c r="B352" s="1" t="n">
        <v>45467.74417824074</v>
      </c>
      <c r="C352" s="1" t="n">
        <v>45905</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25109-2023</t>
        </is>
      </c>
      <c r="B353" s="1" t="n">
        <v>45086</v>
      </c>
      <c r="C353" s="1" t="n">
        <v>45905</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61878-2020</t>
        </is>
      </c>
      <c r="B354" s="1" t="n">
        <v>44159</v>
      </c>
      <c r="C354" s="1" t="n">
        <v>45905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12075-2024</t>
        </is>
      </c>
      <c r="B355" s="1" t="n">
        <v>45377</v>
      </c>
      <c r="C355" s="1" t="n">
        <v>45905</v>
      </c>
      <c r="D355" t="inlineStr">
        <is>
          <t>KALMAR LÄN</t>
        </is>
      </c>
      <c r="E355" t="inlineStr">
        <is>
          <t>VIMMERBY</t>
        </is>
      </c>
      <c r="G355" t="n">
        <v>3.7</v>
      </c>
      <c r="H355" t="n">
        <v>0</v>
      </c>
      <c r="I355" t="n">
        <v>0</v>
      </c>
      <c r="J355" t="n">
        <v>0</v>
      </c>
      <c r="K355" t="n">
        <v>0</v>
      </c>
      <c r="L355" t="n">
        <v>0</v>
      </c>
      <c r="M355" t="n">
        <v>0</v>
      </c>
      <c r="N355" t="n">
        <v>0</v>
      </c>
      <c r="O355" t="n">
        <v>0</v>
      </c>
      <c r="P355" t="n">
        <v>0</v>
      </c>
      <c r="Q355" t="n">
        <v>0</v>
      </c>
      <c r="R355" s="2" t="inlineStr"/>
    </row>
    <row r="356" ht="15" customHeight="1">
      <c r="A356" t="inlineStr">
        <is>
          <t>A 62023-2022</t>
        </is>
      </c>
      <c r="B356" s="1" t="n">
        <v>44918.50106481482</v>
      </c>
      <c r="C356" s="1" t="n">
        <v>45905</v>
      </c>
      <c r="D356" t="inlineStr">
        <is>
          <t>KALMAR LÄN</t>
        </is>
      </c>
      <c r="E356" t="inlineStr">
        <is>
          <t>VIMMERBY</t>
        </is>
      </c>
      <c r="G356" t="n">
        <v>0.3</v>
      </c>
      <c r="H356" t="n">
        <v>0</v>
      </c>
      <c r="I356" t="n">
        <v>0</v>
      </c>
      <c r="J356" t="n">
        <v>0</v>
      </c>
      <c r="K356" t="n">
        <v>0</v>
      </c>
      <c r="L356" t="n">
        <v>0</v>
      </c>
      <c r="M356" t="n">
        <v>0</v>
      </c>
      <c r="N356" t="n">
        <v>0</v>
      </c>
      <c r="O356" t="n">
        <v>0</v>
      </c>
      <c r="P356" t="n">
        <v>0</v>
      </c>
      <c r="Q356" t="n">
        <v>0</v>
      </c>
      <c r="R356" s="2" t="inlineStr"/>
    </row>
    <row r="357" ht="15" customHeight="1">
      <c r="A357" t="inlineStr">
        <is>
          <t>A 58104-2024</t>
        </is>
      </c>
      <c r="B357" s="1" t="n">
        <v>45632.37459490741</v>
      </c>
      <c r="C357" s="1" t="n">
        <v>45905</v>
      </c>
      <c r="D357" t="inlineStr">
        <is>
          <t>KALMAR LÄN</t>
        </is>
      </c>
      <c r="E357" t="inlineStr">
        <is>
          <t>VIMMERBY</t>
        </is>
      </c>
      <c r="G357" t="n">
        <v>5</v>
      </c>
      <c r="H357" t="n">
        <v>0</v>
      </c>
      <c r="I357" t="n">
        <v>0</v>
      </c>
      <c r="J357" t="n">
        <v>0</v>
      </c>
      <c r="K357" t="n">
        <v>0</v>
      </c>
      <c r="L357" t="n">
        <v>0</v>
      </c>
      <c r="M357" t="n">
        <v>0</v>
      </c>
      <c r="N357" t="n">
        <v>0</v>
      </c>
      <c r="O357" t="n">
        <v>0</v>
      </c>
      <c r="P357" t="n">
        <v>0</v>
      </c>
      <c r="Q357" t="n">
        <v>0</v>
      </c>
      <c r="R357" s="2" t="inlineStr"/>
    </row>
    <row r="358" ht="15" customHeight="1">
      <c r="A358" t="inlineStr">
        <is>
          <t>A 12215-2024</t>
        </is>
      </c>
      <c r="B358" s="1" t="n">
        <v>45378.32185185186</v>
      </c>
      <c r="C358" s="1" t="n">
        <v>45905</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30920-2024</t>
        </is>
      </c>
      <c r="B359" s="1" t="n">
        <v>45498.673125</v>
      </c>
      <c r="C359" s="1" t="n">
        <v>45905</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56536-2022</t>
        </is>
      </c>
      <c r="B360" s="1" t="n">
        <v>44893</v>
      </c>
      <c r="C360" s="1" t="n">
        <v>45905</v>
      </c>
      <c r="D360" t="inlineStr">
        <is>
          <t>KALMAR LÄN</t>
        </is>
      </c>
      <c r="E360" t="inlineStr">
        <is>
          <t>VIMMERBY</t>
        </is>
      </c>
      <c r="G360" t="n">
        <v>3.2</v>
      </c>
      <c r="H360" t="n">
        <v>0</v>
      </c>
      <c r="I360" t="n">
        <v>0</v>
      </c>
      <c r="J360" t="n">
        <v>0</v>
      </c>
      <c r="K360" t="n">
        <v>0</v>
      </c>
      <c r="L360" t="n">
        <v>0</v>
      </c>
      <c r="M360" t="n">
        <v>0</v>
      </c>
      <c r="N360" t="n">
        <v>0</v>
      </c>
      <c r="O360" t="n">
        <v>0</v>
      </c>
      <c r="P360" t="n">
        <v>0</v>
      </c>
      <c r="Q360" t="n">
        <v>0</v>
      </c>
      <c r="R360" s="2" t="inlineStr"/>
    </row>
    <row r="361" ht="15" customHeight="1">
      <c r="A361" t="inlineStr">
        <is>
          <t>A 63541-2023</t>
        </is>
      </c>
      <c r="B361" s="1" t="n">
        <v>45275.32266203704</v>
      </c>
      <c r="C361" s="1" t="n">
        <v>45905</v>
      </c>
      <c r="D361" t="inlineStr">
        <is>
          <t>KALMAR LÄN</t>
        </is>
      </c>
      <c r="E361" t="inlineStr">
        <is>
          <t>VIMMERBY</t>
        </is>
      </c>
      <c r="G361" t="n">
        <v>1.1</v>
      </c>
      <c r="H361" t="n">
        <v>0</v>
      </c>
      <c r="I361" t="n">
        <v>0</v>
      </c>
      <c r="J361" t="n">
        <v>0</v>
      </c>
      <c r="K361" t="n">
        <v>0</v>
      </c>
      <c r="L361" t="n">
        <v>0</v>
      </c>
      <c r="M361" t="n">
        <v>0</v>
      </c>
      <c r="N361" t="n">
        <v>0</v>
      </c>
      <c r="O361" t="n">
        <v>0</v>
      </c>
      <c r="P361" t="n">
        <v>0</v>
      </c>
      <c r="Q361" t="n">
        <v>0</v>
      </c>
      <c r="R361" s="2" t="inlineStr"/>
    </row>
    <row r="362" ht="15" customHeight="1">
      <c r="A362" t="inlineStr">
        <is>
          <t>A 37323-2024</t>
        </is>
      </c>
      <c r="B362" s="1" t="n">
        <v>45540.50098379629</v>
      </c>
      <c r="C362" s="1" t="n">
        <v>45905</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23984-2025</t>
        </is>
      </c>
      <c r="B363" s="1" t="n">
        <v>45796</v>
      </c>
      <c r="C363" s="1" t="n">
        <v>45905</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54917-2020</t>
        </is>
      </c>
      <c r="B364" s="1" t="n">
        <v>44127</v>
      </c>
      <c r="C364" s="1" t="n">
        <v>45905</v>
      </c>
      <c r="D364" t="inlineStr">
        <is>
          <t>KALMAR LÄN</t>
        </is>
      </c>
      <c r="E364" t="inlineStr">
        <is>
          <t>VIMMERBY</t>
        </is>
      </c>
      <c r="G364" t="n">
        <v>9.5</v>
      </c>
      <c r="H364" t="n">
        <v>0</v>
      </c>
      <c r="I364" t="n">
        <v>0</v>
      </c>
      <c r="J364" t="n">
        <v>0</v>
      </c>
      <c r="K364" t="n">
        <v>0</v>
      </c>
      <c r="L364" t="n">
        <v>0</v>
      </c>
      <c r="M364" t="n">
        <v>0</v>
      </c>
      <c r="N364" t="n">
        <v>0</v>
      </c>
      <c r="O364" t="n">
        <v>0</v>
      </c>
      <c r="P364" t="n">
        <v>0</v>
      </c>
      <c r="Q364" t="n">
        <v>0</v>
      </c>
      <c r="R364" s="2" t="inlineStr"/>
    </row>
    <row r="365" ht="15" customHeight="1">
      <c r="A365" t="inlineStr">
        <is>
          <t>A 11429-2022</t>
        </is>
      </c>
      <c r="B365" s="1" t="n">
        <v>44630</v>
      </c>
      <c r="C365" s="1" t="n">
        <v>45905</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56582-2022</t>
        </is>
      </c>
      <c r="B366" s="1" t="n">
        <v>44893</v>
      </c>
      <c r="C366" s="1" t="n">
        <v>45905</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6408-2025</t>
        </is>
      </c>
      <c r="B367" s="1" t="n">
        <v>45699.45671296296</v>
      </c>
      <c r="C367" s="1" t="n">
        <v>45905</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11609-2023</t>
        </is>
      </c>
      <c r="B368" s="1" t="n">
        <v>44994.40635416667</v>
      </c>
      <c r="C368" s="1" t="n">
        <v>45905</v>
      </c>
      <c r="D368" t="inlineStr">
        <is>
          <t>KALMAR LÄN</t>
        </is>
      </c>
      <c r="E368" t="inlineStr">
        <is>
          <t>VIMMERBY</t>
        </is>
      </c>
      <c r="G368" t="n">
        <v>4.9</v>
      </c>
      <c r="H368" t="n">
        <v>0</v>
      </c>
      <c r="I368" t="n">
        <v>0</v>
      </c>
      <c r="J368" t="n">
        <v>0</v>
      </c>
      <c r="K368" t="n">
        <v>0</v>
      </c>
      <c r="L368" t="n">
        <v>0</v>
      </c>
      <c r="M368" t="n">
        <v>0</v>
      </c>
      <c r="N368" t="n">
        <v>0</v>
      </c>
      <c r="O368" t="n">
        <v>0</v>
      </c>
      <c r="P368" t="n">
        <v>0</v>
      </c>
      <c r="Q368" t="n">
        <v>0</v>
      </c>
      <c r="R368" s="2" t="inlineStr"/>
    </row>
    <row r="369" ht="15" customHeight="1">
      <c r="A369" t="inlineStr">
        <is>
          <t>A 1799-2025</t>
        </is>
      </c>
      <c r="B369" s="1" t="n">
        <v>45671.46746527778</v>
      </c>
      <c r="C369" s="1" t="n">
        <v>45905</v>
      </c>
      <c r="D369" t="inlineStr">
        <is>
          <t>KALMAR LÄN</t>
        </is>
      </c>
      <c r="E369" t="inlineStr">
        <is>
          <t>VIMMERBY</t>
        </is>
      </c>
      <c r="G369" t="n">
        <v>3.3</v>
      </c>
      <c r="H369" t="n">
        <v>0</v>
      </c>
      <c r="I369" t="n">
        <v>0</v>
      </c>
      <c r="J369" t="n">
        <v>0</v>
      </c>
      <c r="K369" t="n">
        <v>0</v>
      </c>
      <c r="L369" t="n">
        <v>0</v>
      </c>
      <c r="M369" t="n">
        <v>0</v>
      </c>
      <c r="N369" t="n">
        <v>0</v>
      </c>
      <c r="O369" t="n">
        <v>0</v>
      </c>
      <c r="P369" t="n">
        <v>0</v>
      </c>
      <c r="Q369" t="n">
        <v>0</v>
      </c>
      <c r="R369" s="2" t="inlineStr"/>
    </row>
    <row r="370" ht="15" customHeight="1">
      <c r="A370" t="inlineStr">
        <is>
          <t>A 44464-2024</t>
        </is>
      </c>
      <c r="B370" s="1" t="n">
        <v>45574.35809027778</v>
      </c>
      <c r="C370" s="1" t="n">
        <v>45905</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41066-2024</t>
        </is>
      </c>
      <c r="B371" s="1" t="n">
        <v>45559.38876157408</v>
      </c>
      <c r="C371" s="1" t="n">
        <v>45905</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2462-2022</t>
        </is>
      </c>
      <c r="B372" s="1" t="n">
        <v>44579.62225694444</v>
      </c>
      <c r="C372" s="1" t="n">
        <v>45905</v>
      </c>
      <c r="D372" t="inlineStr">
        <is>
          <t>KALMAR LÄN</t>
        </is>
      </c>
      <c r="E372" t="inlineStr">
        <is>
          <t>VIMMERBY</t>
        </is>
      </c>
      <c r="G372" t="n">
        <v>1.1</v>
      </c>
      <c r="H372" t="n">
        <v>0</v>
      </c>
      <c r="I372" t="n">
        <v>0</v>
      </c>
      <c r="J372" t="n">
        <v>0</v>
      </c>
      <c r="K372" t="n">
        <v>0</v>
      </c>
      <c r="L372" t="n">
        <v>0</v>
      </c>
      <c r="M372" t="n">
        <v>0</v>
      </c>
      <c r="N372" t="n">
        <v>0</v>
      </c>
      <c r="O372" t="n">
        <v>0</v>
      </c>
      <c r="P372" t="n">
        <v>0</v>
      </c>
      <c r="Q372" t="n">
        <v>0</v>
      </c>
      <c r="R372" s="2" t="inlineStr"/>
    </row>
    <row r="373" ht="15" customHeight="1">
      <c r="A373" t="inlineStr">
        <is>
          <t>A 3816-2022</t>
        </is>
      </c>
      <c r="B373" s="1" t="n">
        <v>44587</v>
      </c>
      <c r="C373" s="1" t="n">
        <v>45905</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1081-2023</t>
        </is>
      </c>
      <c r="B374" s="1" t="n">
        <v>44935</v>
      </c>
      <c r="C374" s="1" t="n">
        <v>45905</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7047-2022</t>
        </is>
      </c>
      <c r="B375" s="1" t="n">
        <v>44603</v>
      </c>
      <c r="C375" s="1" t="n">
        <v>45905</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12499-2023</t>
        </is>
      </c>
      <c r="B376" s="1" t="n">
        <v>44999.86172453704</v>
      </c>
      <c r="C376" s="1" t="n">
        <v>45905</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12500-2023</t>
        </is>
      </c>
      <c r="B377" s="1" t="n">
        <v>44999.8625</v>
      </c>
      <c r="C377" s="1" t="n">
        <v>45905</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13015-2022</t>
        </is>
      </c>
      <c r="B378" s="1" t="n">
        <v>44643</v>
      </c>
      <c r="C378" s="1" t="n">
        <v>45905</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51278-2024</t>
        </is>
      </c>
      <c r="B379" s="1" t="n">
        <v>45603.74959490741</v>
      </c>
      <c r="C379" s="1" t="n">
        <v>45905</v>
      </c>
      <c r="D379" t="inlineStr">
        <is>
          <t>KALMAR LÄN</t>
        </is>
      </c>
      <c r="E379" t="inlineStr">
        <is>
          <t>VIMMERBY</t>
        </is>
      </c>
      <c r="G379" t="n">
        <v>3.4</v>
      </c>
      <c r="H379" t="n">
        <v>0</v>
      </c>
      <c r="I379" t="n">
        <v>0</v>
      </c>
      <c r="J379" t="n">
        <v>0</v>
      </c>
      <c r="K379" t="n">
        <v>0</v>
      </c>
      <c r="L379" t="n">
        <v>0</v>
      </c>
      <c r="M379" t="n">
        <v>0</v>
      </c>
      <c r="N379" t="n">
        <v>0</v>
      </c>
      <c r="O379" t="n">
        <v>0</v>
      </c>
      <c r="P379" t="n">
        <v>0</v>
      </c>
      <c r="Q379" t="n">
        <v>0</v>
      </c>
      <c r="R379" s="2" t="inlineStr"/>
    </row>
    <row r="380" ht="15" customHeight="1">
      <c r="A380" t="inlineStr">
        <is>
          <t>A 4624-2024</t>
        </is>
      </c>
      <c r="B380" s="1" t="n">
        <v>45328.38755787037</v>
      </c>
      <c r="C380" s="1" t="n">
        <v>45905</v>
      </c>
      <c r="D380" t="inlineStr">
        <is>
          <t>KALMAR LÄN</t>
        </is>
      </c>
      <c r="E380" t="inlineStr">
        <is>
          <t>VIMMERBY</t>
        </is>
      </c>
      <c r="G380" t="n">
        <v>1.7</v>
      </c>
      <c r="H380" t="n">
        <v>0</v>
      </c>
      <c r="I380" t="n">
        <v>0</v>
      </c>
      <c r="J380" t="n">
        <v>0</v>
      </c>
      <c r="K380" t="n">
        <v>0</v>
      </c>
      <c r="L380" t="n">
        <v>0</v>
      </c>
      <c r="M380" t="n">
        <v>0</v>
      </c>
      <c r="N380" t="n">
        <v>0</v>
      </c>
      <c r="O380" t="n">
        <v>0</v>
      </c>
      <c r="P380" t="n">
        <v>0</v>
      </c>
      <c r="Q380" t="n">
        <v>0</v>
      </c>
      <c r="R380" s="2" t="inlineStr"/>
    </row>
    <row r="381" ht="15" customHeight="1">
      <c r="A381" t="inlineStr">
        <is>
          <t>A 9129-2025</t>
        </is>
      </c>
      <c r="B381" s="1" t="n">
        <v>45713.92412037037</v>
      </c>
      <c r="C381" s="1" t="n">
        <v>45905</v>
      </c>
      <c r="D381" t="inlineStr">
        <is>
          <t>KALMAR LÄN</t>
        </is>
      </c>
      <c r="E381" t="inlineStr">
        <is>
          <t>VIMMERBY</t>
        </is>
      </c>
      <c r="G381" t="n">
        <v>2.8</v>
      </c>
      <c r="H381" t="n">
        <v>0</v>
      </c>
      <c r="I381" t="n">
        <v>0</v>
      </c>
      <c r="J381" t="n">
        <v>0</v>
      </c>
      <c r="K381" t="n">
        <v>0</v>
      </c>
      <c r="L381" t="n">
        <v>0</v>
      </c>
      <c r="M381" t="n">
        <v>0</v>
      </c>
      <c r="N381" t="n">
        <v>0</v>
      </c>
      <c r="O381" t="n">
        <v>0</v>
      </c>
      <c r="P381" t="n">
        <v>0</v>
      </c>
      <c r="Q381" t="n">
        <v>0</v>
      </c>
      <c r="R381" s="2" t="inlineStr"/>
    </row>
    <row r="382" ht="15" customHeight="1">
      <c r="A382" t="inlineStr">
        <is>
          <t>A 6066-2023</t>
        </is>
      </c>
      <c r="B382" s="1" t="n">
        <v>44964.50894675926</v>
      </c>
      <c r="C382" s="1" t="n">
        <v>45905</v>
      </c>
      <c r="D382" t="inlineStr">
        <is>
          <t>KALMAR LÄN</t>
        </is>
      </c>
      <c r="E382" t="inlineStr">
        <is>
          <t>VIMMERBY</t>
        </is>
      </c>
      <c r="G382" t="n">
        <v>2.8</v>
      </c>
      <c r="H382" t="n">
        <v>0</v>
      </c>
      <c r="I382" t="n">
        <v>0</v>
      </c>
      <c r="J382" t="n">
        <v>0</v>
      </c>
      <c r="K382" t="n">
        <v>0</v>
      </c>
      <c r="L382" t="n">
        <v>0</v>
      </c>
      <c r="M382" t="n">
        <v>0</v>
      </c>
      <c r="N382" t="n">
        <v>0</v>
      </c>
      <c r="O382" t="n">
        <v>0</v>
      </c>
      <c r="P382" t="n">
        <v>0</v>
      </c>
      <c r="Q382" t="n">
        <v>0</v>
      </c>
      <c r="R382" s="2" t="inlineStr"/>
    </row>
    <row r="383" ht="15" customHeight="1">
      <c r="A383" t="inlineStr">
        <is>
          <t>A 33103-2024</t>
        </is>
      </c>
      <c r="B383" s="1" t="n">
        <v>45517.8162037037</v>
      </c>
      <c r="C383" s="1" t="n">
        <v>45905</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33161-2024</t>
        </is>
      </c>
      <c r="B384" s="1" t="n">
        <v>45518.40657407408</v>
      </c>
      <c r="C384" s="1" t="n">
        <v>45905</v>
      </c>
      <c r="D384" t="inlineStr">
        <is>
          <t>KALMAR LÄN</t>
        </is>
      </c>
      <c r="E384" t="inlineStr">
        <is>
          <t>VIMMERBY</t>
        </is>
      </c>
      <c r="G384" t="n">
        <v>4.7</v>
      </c>
      <c r="H384" t="n">
        <v>0</v>
      </c>
      <c r="I384" t="n">
        <v>0</v>
      </c>
      <c r="J384" t="n">
        <v>0</v>
      </c>
      <c r="K384" t="n">
        <v>0</v>
      </c>
      <c r="L384" t="n">
        <v>0</v>
      </c>
      <c r="M384" t="n">
        <v>0</v>
      </c>
      <c r="N384" t="n">
        <v>0</v>
      </c>
      <c r="O384" t="n">
        <v>0</v>
      </c>
      <c r="P384" t="n">
        <v>0</v>
      </c>
      <c r="Q384" t="n">
        <v>0</v>
      </c>
      <c r="R384" s="2" t="inlineStr"/>
    </row>
    <row r="385" ht="15" customHeight="1">
      <c r="A385" t="inlineStr">
        <is>
          <t>A 12510-2022</t>
        </is>
      </c>
      <c r="B385" s="1" t="n">
        <v>44638.55256944444</v>
      </c>
      <c r="C385" s="1" t="n">
        <v>45905</v>
      </c>
      <c r="D385" t="inlineStr">
        <is>
          <t>KALMAR LÄN</t>
        </is>
      </c>
      <c r="E385" t="inlineStr">
        <is>
          <t>VIMMERBY</t>
        </is>
      </c>
      <c r="G385" t="n">
        <v>2.4</v>
      </c>
      <c r="H385" t="n">
        <v>0</v>
      </c>
      <c r="I385" t="n">
        <v>0</v>
      </c>
      <c r="J385" t="n">
        <v>0</v>
      </c>
      <c r="K385" t="n">
        <v>0</v>
      </c>
      <c r="L385" t="n">
        <v>0</v>
      </c>
      <c r="M385" t="n">
        <v>0</v>
      </c>
      <c r="N385" t="n">
        <v>0</v>
      </c>
      <c r="O385" t="n">
        <v>0</v>
      </c>
      <c r="P385" t="n">
        <v>0</v>
      </c>
      <c r="Q385" t="n">
        <v>0</v>
      </c>
      <c r="R385" s="2" t="inlineStr"/>
    </row>
    <row r="386" ht="15" customHeight="1">
      <c r="A386" t="inlineStr">
        <is>
          <t>A 35082-2024</t>
        </is>
      </c>
      <c r="B386" s="1" t="n">
        <v>45527.68784722222</v>
      </c>
      <c r="C386" s="1" t="n">
        <v>45905</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44582-2024</t>
        </is>
      </c>
      <c r="B387" s="1" t="n">
        <v>45574.49298611111</v>
      </c>
      <c r="C387" s="1" t="n">
        <v>45905</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9456-2025</t>
        </is>
      </c>
      <c r="B388" s="1" t="n">
        <v>45715.44159722222</v>
      </c>
      <c r="C388" s="1" t="n">
        <v>45905</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1146-2025</t>
        </is>
      </c>
      <c r="B389" s="1" t="n">
        <v>45666</v>
      </c>
      <c r="C389" s="1" t="n">
        <v>45905</v>
      </c>
      <c r="D389" t="inlineStr">
        <is>
          <t>KALMAR LÄN</t>
        </is>
      </c>
      <c r="E389" t="inlineStr">
        <is>
          <t>VIMMERBY</t>
        </is>
      </c>
      <c r="G389" t="n">
        <v>4</v>
      </c>
      <c r="H389" t="n">
        <v>0</v>
      </c>
      <c r="I389" t="n">
        <v>0</v>
      </c>
      <c r="J389" t="n">
        <v>0</v>
      </c>
      <c r="K389" t="n">
        <v>0</v>
      </c>
      <c r="L389" t="n">
        <v>0</v>
      </c>
      <c r="M389" t="n">
        <v>0</v>
      </c>
      <c r="N389" t="n">
        <v>0</v>
      </c>
      <c r="O389" t="n">
        <v>0</v>
      </c>
      <c r="P389" t="n">
        <v>0</v>
      </c>
      <c r="Q389" t="n">
        <v>0</v>
      </c>
      <c r="R389" s="2" t="inlineStr"/>
    </row>
    <row r="390" ht="15" customHeight="1">
      <c r="A390" t="inlineStr">
        <is>
          <t>A 11111-2023</t>
        </is>
      </c>
      <c r="B390" s="1" t="n">
        <v>44992.4255787037</v>
      </c>
      <c r="C390" s="1" t="n">
        <v>45905</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22643-2023</t>
        </is>
      </c>
      <c r="B391" s="1" t="n">
        <v>45071</v>
      </c>
      <c r="C391" s="1" t="n">
        <v>45905</v>
      </c>
      <c r="D391" t="inlineStr">
        <is>
          <t>KALMAR LÄN</t>
        </is>
      </c>
      <c r="E391" t="inlineStr">
        <is>
          <t>VIMMERBY</t>
        </is>
      </c>
      <c r="G391" t="n">
        <v>3.9</v>
      </c>
      <c r="H391" t="n">
        <v>0</v>
      </c>
      <c r="I391" t="n">
        <v>0</v>
      </c>
      <c r="J391" t="n">
        <v>0</v>
      </c>
      <c r="K391" t="n">
        <v>0</v>
      </c>
      <c r="L391" t="n">
        <v>0</v>
      </c>
      <c r="M391" t="n">
        <v>0</v>
      </c>
      <c r="N391" t="n">
        <v>0</v>
      </c>
      <c r="O391" t="n">
        <v>0</v>
      </c>
      <c r="P391" t="n">
        <v>0</v>
      </c>
      <c r="Q391" t="n">
        <v>0</v>
      </c>
      <c r="R391" s="2" t="inlineStr"/>
    </row>
    <row r="392" ht="15" customHeight="1">
      <c r="A392" t="inlineStr">
        <is>
          <t>A 12890-2023</t>
        </is>
      </c>
      <c r="B392" s="1" t="n">
        <v>45001.59209490741</v>
      </c>
      <c r="C392" s="1" t="n">
        <v>45905</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3902-2022</t>
        </is>
      </c>
      <c r="B393" s="1" t="n">
        <v>44587.48847222222</v>
      </c>
      <c r="C393" s="1" t="n">
        <v>45905</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58724-2024</t>
        </is>
      </c>
      <c r="B394" s="1" t="n">
        <v>45635.66409722222</v>
      </c>
      <c r="C394" s="1" t="n">
        <v>45905</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89-2023</t>
        </is>
      </c>
      <c r="B395" s="1" t="n">
        <v>44918</v>
      </c>
      <c r="C395" s="1" t="n">
        <v>45905</v>
      </c>
      <c r="D395" t="inlineStr">
        <is>
          <t>KALMAR LÄN</t>
        </is>
      </c>
      <c r="E395" t="inlineStr">
        <is>
          <t>VIMMERBY</t>
        </is>
      </c>
      <c r="G395" t="n">
        <v>16.1</v>
      </c>
      <c r="H395" t="n">
        <v>0</v>
      </c>
      <c r="I395" t="n">
        <v>0</v>
      </c>
      <c r="J395" t="n">
        <v>0</v>
      </c>
      <c r="K395" t="n">
        <v>0</v>
      </c>
      <c r="L395" t="n">
        <v>0</v>
      </c>
      <c r="M395" t="n">
        <v>0</v>
      </c>
      <c r="N395" t="n">
        <v>0</v>
      </c>
      <c r="O395" t="n">
        <v>0</v>
      </c>
      <c r="P395" t="n">
        <v>0</v>
      </c>
      <c r="Q395" t="n">
        <v>0</v>
      </c>
      <c r="R395" s="2" t="inlineStr"/>
    </row>
    <row r="396" ht="15" customHeight="1">
      <c r="A396" t="inlineStr">
        <is>
          <t>A 15494-2024</t>
        </is>
      </c>
      <c r="B396" s="1" t="n">
        <v>45401.53033564815</v>
      </c>
      <c r="C396" s="1" t="n">
        <v>45905</v>
      </c>
      <c r="D396" t="inlineStr">
        <is>
          <t>KALMAR LÄN</t>
        </is>
      </c>
      <c r="E396" t="inlineStr">
        <is>
          <t>VIMMERBY</t>
        </is>
      </c>
      <c r="G396" t="n">
        <v>3.2</v>
      </c>
      <c r="H396" t="n">
        <v>0</v>
      </c>
      <c r="I396" t="n">
        <v>0</v>
      </c>
      <c r="J396" t="n">
        <v>0</v>
      </c>
      <c r="K396" t="n">
        <v>0</v>
      </c>
      <c r="L396" t="n">
        <v>0</v>
      </c>
      <c r="M396" t="n">
        <v>0</v>
      </c>
      <c r="N396" t="n">
        <v>0</v>
      </c>
      <c r="O396" t="n">
        <v>0</v>
      </c>
      <c r="P396" t="n">
        <v>0</v>
      </c>
      <c r="Q396" t="n">
        <v>0</v>
      </c>
      <c r="R396" s="2" t="inlineStr"/>
    </row>
    <row r="397" ht="15" customHeight="1">
      <c r="A397" t="inlineStr">
        <is>
          <t>A 5382-2023</t>
        </is>
      </c>
      <c r="B397" s="1" t="n">
        <v>44959.66407407408</v>
      </c>
      <c r="C397" s="1" t="n">
        <v>45905</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26039-2025</t>
        </is>
      </c>
      <c r="B398" s="1" t="n">
        <v>45804.6953587963</v>
      </c>
      <c r="C398" s="1" t="n">
        <v>45905</v>
      </c>
      <c r="D398" t="inlineStr">
        <is>
          <t>KALMAR LÄN</t>
        </is>
      </c>
      <c r="E398" t="inlineStr">
        <is>
          <t>VIMMERBY</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26046-2025</t>
        </is>
      </c>
      <c r="B399" s="1" t="n">
        <v>45804.708125</v>
      </c>
      <c r="C399" s="1" t="n">
        <v>45905</v>
      </c>
      <c r="D399" t="inlineStr">
        <is>
          <t>KALMAR LÄN</t>
        </is>
      </c>
      <c r="E399" t="inlineStr">
        <is>
          <t>VIMMERBY</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6668-2023</t>
        </is>
      </c>
      <c r="B400" s="1" t="n">
        <v>44966</v>
      </c>
      <c r="C400" s="1" t="n">
        <v>45905</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172-2022</t>
        </is>
      </c>
      <c r="B401" s="1" t="n">
        <v>44564.62598379629</v>
      </c>
      <c r="C401" s="1" t="n">
        <v>45905</v>
      </c>
      <c r="D401" t="inlineStr">
        <is>
          <t>KALMAR LÄN</t>
        </is>
      </c>
      <c r="E401" t="inlineStr">
        <is>
          <t>VIMMERBY</t>
        </is>
      </c>
      <c r="G401" t="n">
        <v>2.1</v>
      </c>
      <c r="H401" t="n">
        <v>0</v>
      </c>
      <c r="I401" t="n">
        <v>0</v>
      </c>
      <c r="J401" t="n">
        <v>0</v>
      </c>
      <c r="K401" t="n">
        <v>0</v>
      </c>
      <c r="L401" t="n">
        <v>0</v>
      </c>
      <c r="M401" t="n">
        <v>0</v>
      </c>
      <c r="N401" t="n">
        <v>0</v>
      </c>
      <c r="O401" t="n">
        <v>0</v>
      </c>
      <c r="P401" t="n">
        <v>0</v>
      </c>
      <c r="Q401" t="n">
        <v>0</v>
      </c>
      <c r="R401" s="2" t="inlineStr"/>
    </row>
    <row r="402" ht="15" customHeight="1">
      <c r="A402" t="inlineStr">
        <is>
          <t>A 25792-2025</t>
        </is>
      </c>
      <c r="B402" s="1" t="n">
        <v>45804.39141203704</v>
      </c>
      <c r="C402" s="1" t="n">
        <v>45905</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30634-2024</t>
        </is>
      </c>
      <c r="B403" s="1" t="n">
        <v>45495</v>
      </c>
      <c r="C403" s="1" t="n">
        <v>45905</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34597-2022</t>
        </is>
      </c>
      <c r="B404" s="1" t="n">
        <v>44795</v>
      </c>
      <c r="C404" s="1" t="n">
        <v>45905</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6355-2022</t>
        </is>
      </c>
      <c r="B405" s="1" t="n">
        <v>44600</v>
      </c>
      <c r="C405" s="1" t="n">
        <v>45905</v>
      </c>
      <c r="D405" t="inlineStr">
        <is>
          <t>KALMAR LÄN</t>
        </is>
      </c>
      <c r="E405" t="inlineStr">
        <is>
          <t>VIMMERBY</t>
        </is>
      </c>
      <c r="G405" t="n">
        <v>4.9</v>
      </c>
      <c r="H405" t="n">
        <v>0</v>
      </c>
      <c r="I405" t="n">
        <v>0</v>
      </c>
      <c r="J405" t="n">
        <v>0</v>
      </c>
      <c r="K405" t="n">
        <v>0</v>
      </c>
      <c r="L405" t="n">
        <v>0</v>
      </c>
      <c r="M405" t="n">
        <v>0</v>
      </c>
      <c r="N405" t="n">
        <v>0</v>
      </c>
      <c r="O405" t="n">
        <v>0</v>
      </c>
      <c r="P405" t="n">
        <v>0</v>
      </c>
      <c r="Q405" t="n">
        <v>0</v>
      </c>
      <c r="R405" s="2" t="inlineStr"/>
    </row>
    <row r="406" ht="15" customHeight="1">
      <c r="A406" t="inlineStr">
        <is>
          <t>A 40079-2023</t>
        </is>
      </c>
      <c r="B406" s="1" t="n">
        <v>45168.89298611111</v>
      </c>
      <c r="C406" s="1" t="n">
        <v>45905</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26006-2025</t>
        </is>
      </c>
      <c r="B407" s="1" t="n">
        <v>45804.67065972222</v>
      </c>
      <c r="C407" s="1" t="n">
        <v>45905</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25830-2025</t>
        </is>
      </c>
      <c r="B408" s="1" t="n">
        <v>45804.44519675926</v>
      </c>
      <c r="C408" s="1" t="n">
        <v>45905</v>
      </c>
      <c r="D408" t="inlineStr">
        <is>
          <t>KALMAR LÄN</t>
        </is>
      </c>
      <c r="E408" t="inlineStr">
        <is>
          <t>VIMMERBY</t>
        </is>
      </c>
      <c r="G408" t="n">
        <v>4.9</v>
      </c>
      <c r="H408" t="n">
        <v>0</v>
      </c>
      <c r="I408" t="n">
        <v>0</v>
      </c>
      <c r="J408" t="n">
        <v>0</v>
      </c>
      <c r="K408" t="n">
        <v>0</v>
      </c>
      <c r="L408" t="n">
        <v>0</v>
      </c>
      <c r="M408" t="n">
        <v>0</v>
      </c>
      <c r="N408" t="n">
        <v>0</v>
      </c>
      <c r="O408" t="n">
        <v>0</v>
      </c>
      <c r="P408" t="n">
        <v>0</v>
      </c>
      <c r="Q408" t="n">
        <v>0</v>
      </c>
      <c r="R408" s="2" t="inlineStr"/>
    </row>
    <row r="409" ht="15" customHeight="1">
      <c r="A409" t="inlineStr">
        <is>
          <t>A 16020-2023</t>
        </is>
      </c>
      <c r="B409" s="1" t="n">
        <v>45026.82216435186</v>
      </c>
      <c r="C409" s="1" t="n">
        <v>45905</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19833-2023</t>
        </is>
      </c>
      <c r="B410" s="1" t="n">
        <v>45052</v>
      </c>
      <c r="C410" s="1" t="n">
        <v>45905</v>
      </c>
      <c r="D410" t="inlineStr">
        <is>
          <t>KALMAR LÄN</t>
        </is>
      </c>
      <c r="E410" t="inlineStr">
        <is>
          <t>VIMMERBY</t>
        </is>
      </c>
      <c r="G410" t="n">
        <v>6.7</v>
      </c>
      <c r="H410" t="n">
        <v>0</v>
      </c>
      <c r="I410" t="n">
        <v>0</v>
      </c>
      <c r="J410" t="n">
        <v>0</v>
      </c>
      <c r="K410" t="n">
        <v>0</v>
      </c>
      <c r="L410" t="n">
        <v>0</v>
      </c>
      <c r="M410" t="n">
        <v>0</v>
      </c>
      <c r="N410" t="n">
        <v>0</v>
      </c>
      <c r="O410" t="n">
        <v>0</v>
      </c>
      <c r="P410" t="n">
        <v>0</v>
      </c>
      <c r="Q410" t="n">
        <v>0</v>
      </c>
      <c r="R410" s="2" t="inlineStr"/>
    </row>
    <row r="411" ht="15" customHeight="1">
      <c r="A411" t="inlineStr">
        <is>
          <t>A 60292-2022</t>
        </is>
      </c>
      <c r="B411" s="1" t="n">
        <v>44910.54231481482</v>
      </c>
      <c r="C411" s="1" t="n">
        <v>45905</v>
      </c>
      <c r="D411" t="inlineStr">
        <is>
          <t>KALMAR LÄN</t>
        </is>
      </c>
      <c r="E411" t="inlineStr">
        <is>
          <t>VIMMERBY</t>
        </is>
      </c>
      <c r="G411" t="n">
        <v>4.4</v>
      </c>
      <c r="H411" t="n">
        <v>0</v>
      </c>
      <c r="I411" t="n">
        <v>0</v>
      </c>
      <c r="J411" t="n">
        <v>0</v>
      </c>
      <c r="K411" t="n">
        <v>0</v>
      </c>
      <c r="L411" t="n">
        <v>0</v>
      </c>
      <c r="M411" t="n">
        <v>0</v>
      </c>
      <c r="N411" t="n">
        <v>0</v>
      </c>
      <c r="O411" t="n">
        <v>0</v>
      </c>
      <c r="P411" t="n">
        <v>0</v>
      </c>
      <c r="Q411" t="n">
        <v>0</v>
      </c>
      <c r="R411" s="2" t="inlineStr"/>
    </row>
    <row r="412" ht="15" customHeight="1">
      <c r="A412" t="inlineStr">
        <is>
          <t>A 26124-2025</t>
        </is>
      </c>
      <c r="B412" s="1" t="n">
        <v>45805.39247685186</v>
      </c>
      <c r="C412" s="1" t="n">
        <v>45905</v>
      </c>
      <c r="D412" t="inlineStr">
        <is>
          <t>KALMAR LÄN</t>
        </is>
      </c>
      <c r="E412" t="inlineStr">
        <is>
          <t>VIMMERBY</t>
        </is>
      </c>
      <c r="G412" t="n">
        <v>6.6</v>
      </c>
      <c r="H412" t="n">
        <v>0</v>
      </c>
      <c r="I412" t="n">
        <v>0</v>
      </c>
      <c r="J412" t="n">
        <v>0</v>
      </c>
      <c r="K412" t="n">
        <v>0</v>
      </c>
      <c r="L412" t="n">
        <v>0</v>
      </c>
      <c r="M412" t="n">
        <v>0</v>
      </c>
      <c r="N412" t="n">
        <v>0</v>
      </c>
      <c r="O412" t="n">
        <v>0</v>
      </c>
      <c r="P412" t="n">
        <v>0</v>
      </c>
      <c r="Q412" t="n">
        <v>0</v>
      </c>
      <c r="R412" s="2" t="inlineStr"/>
    </row>
    <row r="413" ht="15" customHeight="1">
      <c r="A413" t="inlineStr">
        <is>
          <t>A 43034-2024</t>
        </is>
      </c>
      <c r="B413" s="1" t="n">
        <v>45567.42011574074</v>
      </c>
      <c r="C413" s="1" t="n">
        <v>45905</v>
      </c>
      <c r="D413" t="inlineStr">
        <is>
          <t>KALMAR LÄN</t>
        </is>
      </c>
      <c r="E413" t="inlineStr">
        <is>
          <t>VIMMERBY</t>
        </is>
      </c>
      <c r="G413" t="n">
        <v>1.8</v>
      </c>
      <c r="H413" t="n">
        <v>0</v>
      </c>
      <c r="I413" t="n">
        <v>0</v>
      </c>
      <c r="J413" t="n">
        <v>0</v>
      </c>
      <c r="K413" t="n">
        <v>0</v>
      </c>
      <c r="L413" t="n">
        <v>0</v>
      </c>
      <c r="M413" t="n">
        <v>0</v>
      </c>
      <c r="N413" t="n">
        <v>0</v>
      </c>
      <c r="O413" t="n">
        <v>0</v>
      </c>
      <c r="P413" t="n">
        <v>0</v>
      </c>
      <c r="Q413" t="n">
        <v>0</v>
      </c>
      <c r="R413" s="2" t="inlineStr"/>
    </row>
    <row r="414" ht="15" customHeight="1">
      <c r="A414" t="inlineStr">
        <is>
          <t>A 40256-2024</t>
        </is>
      </c>
      <c r="B414" s="1" t="n">
        <v>45554.62944444444</v>
      </c>
      <c r="C414" s="1" t="n">
        <v>45905</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26254-2025</t>
        </is>
      </c>
      <c r="B415" s="1" t="n">
        <v>45805</v>
      </c>
      <c r="C415" s="1" t="n">
        <v>45905</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17084-2025</t>
        </is>
      </c>
      <c r="B416" s="1" t="n">
        <v>45755.64450231481</v>
      </c>
      <c r="C416" s="1" t="n">
        <v>45905</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56022-2024</t>
        </is>
      </c>
      <c r="B417" s="1" t="n">
        <v>45623.95947916667</v>
      </c>
      <c r="C417" s="1" t="n">
        <v>45905</v>
      </c>
      <c r="D417" t="inlineStr">
        <is>
          <t>KALMAR LÄN</t>
        </is>
      </c>
      <c r="E417" t="inlineStr">
        <is>
          <t>VIMMERBY</t>
        </is>
      </c>
      <c r="G417" t="n">
        <v>0.3</v>
      </c>
      <c r="H417" t="n">
        <v>0</v>
      </c>
      <c r="I417" t="n">
        <v>0</v>
      </c>
      <c r="J417" t="n">
        <v>0</v>
      </c>
      <c r="K417" t="n">
        <v>0</v>
      </c>
      <c r="L417" t="n">
        <v>0</v>
      </c>
      <c r="M417" t="n">
        <v>0</v>
      </c>
      <c r="N417" t="n">
        <v>0</v>
      </c>
      <c r="O417" t="n">
        <v>0</v>
      </c>
      <c r="P417" t="n">
        <v>0</v>
      </c>
      <c r="Q417" t="n">
        <v>0</v>
      </c>
      <c r="R417" s="2" t="inlineStr"/>
    </row>
    <row r="418" ht="15" customHeight="1">
      <c r="A418" t="inlineStr">
        <is>
          <t>A 11928-2022</t>
        </is>
      </c>
      <c r="B418" s="1" t="n">
        <v>44635</v>
      </c>
      <c r="C418" s="1" t="n">
        <v>45905</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26207-2025</t>
        </is>
      </c>
      <c r="B419" s="1" t="n">
        <v>45805.52983796296</v>
      </c>
      <c r="C419" s="1" t="n">
        <v>45905</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43093-2024</t>
        </is>
      </c>
      <c r="B420" s="1" t="n">
        <v>45567</v>
      </c>
      <c r="C420" s="1" t="n">
        <v>45905</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5527-2022</t>
        </is>
      </c>
      <c r="B421" s="1" t="n">
        <v>44595.583125</v>
      </c>
      <c r="C421" s="1" t="n">
        <v>45905</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35198-2023</t>
        </is>
      </c>
      <c r="B422" s="1" t="n">
        <v>45145</v>
      </c>
      <c r="C422" s="1" t="n">
        <v>45905</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49461-2023</t>
        </is>
      </c>
      <c r="B423" s="1" t="n">
        <v>45211.52642361111</v>
      </c>
      <c r="C423" s="1" t="n">
        <v>45905</v>
      </c>
      <c r="D423" t="inlineStr">
        <is>
          <t>KALMAR LÄN</t>
        </is>
      </c>
      <c r="E423" t="inlineStr">
        <is>
          <t>VIMMERBY</t>
        </is>
      </c>
      <c r="G423" t="n">
        <v>1.5</v>
      </c>
      <c r="H423" t="n">
        <v>0</v>
      </c>
      <c r="I423" t="n">
        <v>0</v>
      </c>
      <c r="J423" t="n">
        <v>0</v>
      </c>
      <c r="K423" t="n">
        <v>0</v>
      </c>
      <c r="L423" t="n">
        <v>0</v>
      </c>
      <c r="M423" t="n">
        <v>0</v>
      </c>
      <c r="N423" t="n">
        <v>0</v>
      </c>
      <c r="O423" t="n">
        <v>0</v>
      </c>
      <c r="P423" t="n">
        <v>0</v>
      </c>
      <c r="Q423" t="n">
        <v>0</v>
      </c>
      <c r="R423" s="2" t="inlineStr"/>
    </row>
    <row r="424" ht="15" customHeight="1">
      <c r="A424" t="inlineStr">
        <is>
          <t>A 49474-2023</t>
        </is>
      </c>
      <c r="B424" s="1" t="n">
        <v>45211.541875</v>
      </c>
      <c r="C424" s="1" t="n">
        <v>45905</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61861-2024</t>
        </is>
      </c>
      <c r="B425" s="1" t="n">
        <v>45650.37370370371</v>
      </c>
      <c r="C425" s="1" t="n">
        <v>45905</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58374-2024</t>
        </is>
      </c>
      <c r="B426" s="1" t="n">
        <v>45632.72635416667</v>
      </c>
      <c r="C426" s="1" t="n">
        <v>45905</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45846-2023</t>
        </is>
      </c>
      <c r="B427" s="1" t="n">
        <v>45195.58452546296</v>
      </c>
      <c r="C427" s="1" t="n">
        <v>45905</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8167-2024</t>
        </is>
      </c>
      <c r="B428" s="1" t="n">
        <v>45351.6062962963</v>
      </c>
      <c r="C428" s="1" t="n">
        <v>45905</v>
      </c>
      <c r="D428" t="inlineStr">
        <is>
          <t>KALMAR LÄN</t>
        </is>
      </c>
      <c r="E428" t="inlineStr">
        <is>
          <t>VIMMERBY</t>
        </is>
      </c>
      <c r="G428" t="n">
        <v>3.8</v>
      </c>
      <c r="H428" t="n">
        <v>0</v>
      </c>
      <c r="I428" t="n">
        <v>0</v>
      </c>
      <c r="J428" t="n">
        <v>0</v>
      </c>
      <c r="K428" t="n">
        <v>0</v>
      </c>
      <c r="L428" t="n">
        <v>0</v>
      </c>
      <c r="M428" t="n">
        <v>0</v>
      </c>
      <c r="N428" t="n">
        <v>0</v>
      </c>
      <c r="O428" t="n">
        <v>0</v>
      </c>
      <c r="P428" t="n">
        <v>0</v>
      </c>
      <c r="Q428" t="n">
        <v>0</v>
      </c>
      <c r="R428" s="2" t="inlineStr"/>
    </row>
    <row r="429" ht="15" customHeight="1">
      <c r="A429" t="inlineStr">
        <is>
          <t>A 55300-2021</t>
        </is>
      </c>
      <c r="B429" s="1" t="n">
        <v>44475</v>
      </c>
      <c r="C429" s="1" t="n">
        <v>45905</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47263-2023</t>
        </is>
      </c>
      <c r="B430" s="1" t="n">
        <v>45202.4209837963</v>
      </c>
      <c r="C430" s="1" t="n">
        <v>45905</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49382-2023</t>
        </is>
      </c>
      <c r="B431" s="1" t="n">
        <v>45208</v>
      </c>
      <c r="C431" s="1" t="n">
        <v>45905</v>
      </c>
      <c r="D431" t="inlineStr">
        <is>
          <t>KALMAR LÄN</t>
        </is>
      </c>
      <c r="E431" t="inlineStr">
        <is>
          <t>VIMMERBY</t>
        </is>
      </c>
      <c r="G431" t="n">
        <v>2.2</v>
      </c>
      <c r="H431" t="n">
        <v>0</v>
      </c>
      <c r="I431" t="n">
        <v>0</v>
      </c>
      <c r="J431" t="n">
        <v>0</v>
      </c>
      <c r="K431" t="n">
        <v>0</v>
      </c>
      <c r="L431" t="n">
        <v>0</v>
      </c>
      <c r="M431" t="n">
        <v>0</v>
      </c>
      <c r="N431" t="n">
        <v>0</v>
      </c>
      <c r="O431" t="n">
        <v>0</v>
      </c>
      <c r="P431" t="n">
        <v>0</v>
      </c>
      <c r="Q431" t="n">
        <v>0</v>
      </c>
      <c r="R431" s="2" t="inlineStr"/>
    </row>
    <row r="432" ht="15" customHeight="1">
      <c r="A432" t="inlineStr">
        <is>
          <t>A 12121-2025</t>
        </is>
      </c>
      <c r="B432" s="1" t="n">
        <v>45729.36868055556</v>
      </c>
      <c r="C432" s="1" t="n">
        <v>45905</v>
      </c>
      <c r="D432" t="inlineStr">
        <is>
          <t>KALMAR LÄN</t>
        </is>
      </c>
      <c r="E432" t="inlineStr">
        <is>
          <t>VIMMERBY</t>
        </is>
      </c>
      <c r="G432" t="n">
        <v>4.3</v>
      </c>
      <c r="H432" t="n">
        <v>0</v>
      </c>
      <c r="I432" t="n">
        <v>0</v>
      </c>
      <c r="J432" t="n">
        <v>0</v>
      </c>
      <c r="K432" t="n">
        <v>0</v>
      </c>
      <c r="L432" t="n">
        <v>0</v>
      </c>
      <c r="M432" t="n">
        <v>0</v>
      </c>
      <c r="N432" t="n">
        <v>0</v>
      </c>
      <c r="O432" t="n">
        <v>0</v>
      </c>
      <c r="P432" t="n">
        <v>0</v>
      </c>
      <c r="Q432" t="n">
        <v>0</v>
      </c>
      <c r="R432" s="2" t="inlineStr"/>
    </row>
    <row r="433" ht="15" customHeight="1">
      <c r="A433" t="inlineStr">
        <is>
          <t>A 35846-2023</t>
        </is>
      </c>
      <c r="B433" s="1" t="n">
        <v>45148</v>
      </c>
      <c r="C433" s="1" t="n">
        <v>45905</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35913-2023</t>
        </is>
      </c>
      <c r="B434" s="1" t="n">
        <v>45148</v>
      </c>
      <c r="C434" s="1" t="n">
        <v>45905</v>
      </c>
      <c r="D434" t="inlineStr">
        <is>
          <t>KALMAR LÄN</t>
        </is>
      </c>
      <c r="E434" t="inlineStr">
        <is>
          <t>VIMMERBY</t>
        </is>
      </c>
      <c r="G434" t="n">
        <v>6.9</v>
      </c>
      <c r="H434" t="n">
        <v>0</v>
      </c>
      <c r="I434" t="n">
        <v>0</v>
      </c>
      <c r="J434" t="n">
        <v>0</v>
      </c>
      <c r="K434" t="n">
        <v>0</v>
      </c>
      <c r="L434" t="n">
        <v>0</v>
      </c>
      <c r="M434" t="n">
        <v>0</v>
      </c>
      <c r="N434" t="n">
        <v>0</v>
      </c>
      <c r="O434" t="n">
        <v>0</v>
      </c>
      <c r="P434" t="n">
        <v>0</v>
      </c>
      <c r="Q434" t="n">
        <v>0</v>
      </c>
      <c r="R434" s="2" t="inlineStr"/>
    </row>
    <row r="435" ht="15" customHeight="1">
      <c r="A435" t="inlineStr">
        <is>
          <t>A 38757-2023</t>
        </is>
      </c>
      <c r="B435" s="1" t="n">
        <v>45163.41376157408</v>
      </c>
      <c r="C435" s="1" t="n">
        <v>45905</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20136-2024</t>
        </is>
      </c>
      <c r="B436" s="1" t="n">
        <v>45434.56291666667</v>
      </c>
      <c r="C436" s="1" t="n">
        <v>45905</v>
      </c>
      <c r="D436" t="inlineStr">
        <is>
          <t>KALMAR LÄN</t>
        </is>
      </c>
      <c r="E436" t="inlineStr">
        <is>
          <t>VIMMERBY</t>
        </is>
      </c>
      <c r="F436" t="inlineStr">
        <is>
          <t>Sveaskog</t>
        </is>
      </c>
      <c r="G436" t="n">
        <v>8.4</v>
      </c>
      <c r="H436" t="n">
        <v>0</v>
      </c>
      <c r="I436" t="n">
        <v>0</v>
      </c>
      <c r="J436" t="n">
        <v>0</v>
      </c>
      <c r="K436" t="n">
        <v>0</v>
      </c>
      <c r="L436" t="n">
        <v>0</v>
      </c>
      <c r="M436" t="n">
        <v>0</v>
      </c>
      <c r="N436" t="n">
        <v>0</v>
      </c>
      <c r="O436" t="n">
        <v>0</v>
      </c>
      <c r="P436" t="n">
        <v>0</v>
      </c>
      <c r="Q436" t="n">
        <v>0</v>
      </c>
      <c r="R436" s="2" t="inlineStr"/>
    </row>
    <row r="437" ht="15" customHeight="1">
      <c r="A437" t="inlineStr">
        <is>
          <t>A 2536-2023</t>
        </is>
      </c>
      <c r="B437" s="1" t="n">
        <v>44943.62954861111</v>
      </c>
      <c r="C437" s="1" t="n">
        <v>45905</v>
      </c>
      <c r="D437" t="inlineStr">
        <is>
          <t>KALMAR LÄN</t>
        </is>
      </c>
      <c r="E437" t="inlineStr">
        <is>
          <t>VIMMERBY</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2801-2023</t>
        </is>
      </c>
      <c r="B438" s="1" t="n">
        <v>44944.73487268519</v>
      </c>
      <c r="C438" s="1" t="n">
        <v>45905</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17968-2025</t>
        </is>
      </c>
      <c r="B439" s="1" t="n">
        <v>45761.35990740741</v>
      </c>
      <c r="C439" s="1" t="n">
        <v>45905</v>
      </c>
      <c r="D439" t="inlineStr">
        <is>
          <t>KALMAR LÄN</t>
        </is>
      </c>
      <c r="E439" t="inlineStr">
        <is>
          <t>VIMMERBY</t>
        </is>
      </c>
      <c r="G439" t="n">
        <v>3.3</v>
      </c>
      <c r="H439" t="n">
        <v>0</v>
      </c>
      <c r="I439" t="n">
        <v>0</v>
      </c>
      <c r="J439" t="n">
        <v>0</v>
      </c>
      <c r="K439" t="n">
        <v>0</v>
      </c>
      <c r="L439" t="n">
        <v>0</v>
      </c>
      <c r="M439" t="n">
        <v>0</v>
      </c>
      <c r="N439" t="n">
        <v>0</v>
      </c>
      <c r="O439" t="n">
        <v>0</v>
      </c>
      <c r="P439" t="n">
        <v>0</v>
      </c>
      <c r="Q439" t="n">
        <v>0</v>
      </c>
      <c r="R439" s="2" t="inlineStr"/>
    </row>
    <row r="440" ht="15" customHeight="1">
      <c r="A440" t="inlineStr">
        <is>
          <t>A 24283-2023</t>
        </is>
      </c>
      <c r="B440" s="1" t="n">
        <v>45079.87827546296</v>
      </c>
      <c r="C440" s="1" t="n">
        <v>45905</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14451-2024</t>
        </is>
      </c>
      <c r="B441" s="1" t="n">
        <v>45394.50028935185</v>
      </c>
      <c r="C441" s="1" t="n">
        <v>45905</v>
      </c>
      <c r="D441" t="inlineStr">
        <is>
          <t>KALMAR LÄN</t>
        </is>
      </c>
      <c r="E441" t="inlineStr">
        <is>
          <t>VIMMERBY</t>
        </is>
      </c>
      <c r="G441" t="n">
        <v>1.9</v>
      </c>
      <c r="H441" t="n">
        <v>0</v>
      </c>
      <c r="I441" t="n">
        <v>0</v>
      </c>
      <c r="J441" t="n">
        <v>0</v>
      </c>
      <c r="K441" t="n">
        <v>0</v>
      </c>
      <c r="L441" t="n">
        <v>0</v>
      </c>
      <c r="M441" t="n">
        <v>0</v>
      </c>
      <c r="N441" t="n">
        <v>0</v>
      </c>
      <c r="O441" t="n">
        <v>0</v>
      </c>
      <c r="P441" t="n">
        <v>0</v>
      </c>
      <c r="Q441" t="n">
        <v>0</v>
      </c>
      <c r="R441" s="2" t="inlineStr"/>
    </row>
    <row r="442" ht="15" customHeight="1">
      <c r="A442" t="inlineStr">
        <is>
          <t>A 59598-2023</t>
        </is>
      </c>
      <c r="B442" s="1" t="n">
        <v>45254.62489583333</v>
      </c>
      <c r="C442" s="1" t="n">
        <v>45905</v>
      </c>
      <c r="D442" t="inlineStr">
        <is>
          <t>KALMAR LÄN</t>
        </is>
      </c>
      <c r="E442" t="inlineStr">
        <is>
          <t>VIMMERBY</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46238-2024</t>
        </is>
      </c>
      <c r="B443" s="1" t="n">
        <v>45581.58418981481</v>
      </c>
      <c r="C443" s="1" t="n">
        <v>45905</v>
      </c>
      <c r="D443" t="inlineStr">
        <is>
          <t>KALMAR LÄN</t>
        </is>
      </c>
      <c r="E443" t="inlineStr">
        <is>
          <t>VIMMERBY</t>
        </is>
      </c>
      <c r="G443" t="n">
        <v>2.1</v>
      </c>
      <c r="H443" t="n">
        <v>0</v>
      </c>
      <c r="I443" t="n">
        <v>0</v>
      </c>
      <c r="J443" t="n">
        <v>0</v>
      </c>
      <c r="K443" t="n">
        <v>0</v>
      </c>
      <c r="L443" t="n">
        <v>0</v>
      </c>
      <c r="M443" t="n">
        <v>0</v>
      </c>
      <c r="N443" t="n">
        <v>0</v>
      </c>
      <c r="O443" t="n">
        <v>0</v>
      </c>
      <c r="P443" t="n">
        <v>0</v>
      </c>
      <c r="Q443" t="n">
        <v>0</v>
      </c>
      <c r="R443" s="2" t="inlineStr"/>
    </row>
    <row r="444" ht="15" customHeight="1">
      <c r="A444" t="inlineStr">
        <is>
          <t>A 27719-2025</t>
        </is>
      </c>
      <c r="B444" s="1" t="n">
        <v>45814.3865625</v>
      </c>
      <c r="C444" s="1" t="n">
        <v>45905</v>
      </c>
      <c r="D444" t="inlineStr">
        <is>
          <t>KALMAR LÄN</t>
        </is>
      </c>
      <c r="E444" t="inlineStr">
        <is>
          <t>VIMMERBY</t>
        </is>
      </c>
      <c r="G444" t="n">
        <v>2</v>
      </c>
      <c r="H444" t="n">
        <v>0</v>
      </c>
      <c r="I444" t="n">
        <v>0</v>
      </c>
      <c r="J444" t="n">
        <v>0</v>
      </c>
      <c r="K444" t="n">
        <v>0</v>
      </c>
      <c r="L444" t="n">
        <v>0</v>
      </c>
      <c r="M444" t="n">
        <v>0</v>
      </c>
      <c r="N444" t="n">
        <v>0</v>
      </c>
      <c r="O444" t="n">
        <v>0</v>
      </c>
      <c r="P444" t="n">
        <v>0</v>
      </c>
      <c r="Q444" t="n">
        <v>0</v>
      </c>
      <c r="R444" s="2" t="inlineStr"/>
    </row>
    <row r="445" ht="15" customHeight="1">
      <c r="A445" t="inlineStr">
        <is>
          <t>A 27718-2025</t>
        </is>
      </c>
      <c r="B445" s="1" t="n">
        <v>45814.38221064815</v>
      </c>
      <c r="C445" s="1" t="n">
        <v>45905</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50993-2022</t>
        </is>
      </c>
      <c r="B446" s="1" t="n">
        <v>44867</v>
      </c>
      <c r="C446" s="1" t="n">
        <v>45905</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46225-2024</t>
        </is>
      </c>
      <c r="B447" s="1" t="n">
        <v>45581.57333333333</v>
      </c>
      <c r="C447" s="1" t="n">
        <v>45905</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36055-2024</t>
        </is>
      </c>
      <c r="B448" s="1" t="n">
        <v>45533.63056712963</v>
      </c>
      <c r="C448" s="1" t="n">
        <v>45905</v>
      </c>
      <c r="D448" t="inlineStr">
        <is>
          <t>KALMAR LÄN</t>
        </is>
      </c>
      <c r="E448" t="inlineStr">
        <is>
          <t>VIMMERBY</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47859-2024</t>
        </is>
      </c>
      <c r="B449" s="1" t="n">
        <v>45588.67070601852</v>
      </c>
      <c r="C449" s="1" t="n">
        <v>45905</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32835-2022</t>
        </is>
      </c>
      <c r="B450" s="1" t="n">
        <v>44784.42528935185</v>
      </c>
      <c r="C450" s="1" t="n">
        <v>45905</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41896-2023</t>
        </is>
      </c>
      <c r="B451" s="1" t="n">
        <v>45176.72427083334</v>
      </c>
      <c r="C451" s="1" t="n">
        <v>45905</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43606-2024</t>
        </is>
      </c>
      <c r="B452" s="1" t="n">
        <v>45569.45017361111</v>
      </c>
      <c r="C452" s="1" t="n">
        <v>45905</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12325-2023</t>
        </is>
      </c>
      <c r="B453" s="1" t="n">
        <v>44999.35858796296</v>
      </c>
      <c r="C453" s="1" t="n">
        <v>45905</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30920-2023</t>
        </is>
      </c>
      <c r="B454" s="1" t="n">
        <v>45113.43921296296</v>
      </c>
      <c r="C454" s="1" t="n">
        <v>45905</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40929-2022</t>
        </is>
      </c>
      <c r="B455" s="1" t="n">
        <v>44825.4336574074</v>
      </c>
      <c r="C455" s="1" t="n">
        <v>45905</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8945-2025</t>
        </is>
      </c>
      <c r="B456" s="1" t="n">
        <v>45713.45311342592</v>
      </c>
      <c r="C456" s="1" t="n">
        <v>45905</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28290-2025</t>
        </is>
      </c>
      <c r="B457" s="1" t="n">
        <v>45818.59261574074</v>
      </c>
      <c r="C457" s="1" t="n">
        <v>45905</v>
      </c>
      <c r="D457" t="inlineStr">
        <is>
          <t>KALMAR LÄN</t>
        </is>
      </c>
      <c r="E457" t="inlineStr">
        <is>
          <t>VIMMERBY</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33380-2023</t>
        </is>
      </c>
      <c r="B458" s="1" t="n">
        <v>45128</v>
      </c>
      <c r="C458" s="1" t="n">
        <v>45905</v>
      </c>
      <c r="D458" t="inlineStr">
        <is>
          <t>KALMAR LÄN</t>
        </is>
      </c>
      <c r="E458" t="inlineStr">
        <is>
          <t>VIMMERBY</t>
        </is>
      </c>
      <c r="G458" t="n">
        <v>5.2</v>
      </c>
      <c r="H458" t="n">
        <v>0</v>
      </c>
      <c r="I458" t="n">
        <v>0</v>
      </c>
      <c r="J458" t="n">
        <v>0</v>
      </c>
      <c r="K458" t="n">
        <v>0</v>
      </c>
      <c r="L458" t="n">
        <v>0</v>
      </c>
      <c r="M458" t="n">
        <v>0</v>
      </c>
      <c r="N458" t="n">
        <v>0</v>
      </c>
      <c r="O458" t="n">
        <v>0</v>
      </c>
      <c r="P458" t="n">
        <v>0</v>
      </c>
      <c r="Q458" t="n">
        <v>0</v>
      </c>
      <c r="R458" s="2" t="inlineStr"/>
    </row>
    <row r="459" ht="15" customHeight="1">
      <c r="A459" t="inlineStr">
        <is>
          <t>A 46144-2023</t>
        </is>
      </c>
      <c r="B459" s="1" t="n">
        <v>45196.57247685185</v>
      </c>
      <c r="C459" s="1" t="n">
        <v>45905</v>
      </c>
      <c r="D459" t="inlineStr">
        <is>
          <t>KALMAR LÄN</t>
        </is>
      </c>
      <c r="E459" t="inlineStr">
        <is>
          <t>VIMMERBY</t>
        </is>
      </c>
      <c r="G459" t="n">
        <v>6.5</v>
      </c>
      <c r="H459" t="n">
        <v>0</v>
      </c>
      <c r="I459" t="n">
        <v>0</v>
      </c>
      <c r="J459" t="n">
        <v>0</v>
      </c>
      <c r="K459" t="n">
        <v>0</v>
      </c>
      <c r="L459" t="n">
        <v>0</v>
      </c>
      <c r="M459" t="n">
        <v>0</v>
      </c>
      <c r="N459" t="n">
        <v>0</v>
      </c>
      <c r="O459" t="n">
        <v>0</v>
      </c>
      <c r="P459" t="n">
        <v>0</v>
      </c>
      <c r="Q459" t="n">
        <v>0</v>
      </c>
      <c r="R459" s="2" t="inlineStr"/>
    </row>
    <row r="460" ht="15" customHeight="1">
      <c r="A460" t="inlineStr">
        <is>
          <t>A 28280-2025</t>
        </is>
      </c>
      <c r="B460" s="1" t="n">
        <v>45818.5862037037</v>
      </c>
      <c r="C460" s="1" t="n">
        <v>45905</v>
      </c>
      <c r="D460" t="inlineStr">
        <is>
          <t>KALMAR LÄN</t>
        </is>
      </c>
      <c r="E460" t="inlineStr">
        <is>
          <t>VIMMERBY</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28286-2025</t>
        </is>
      </c>
      <c r="B461" s="1" t="n">
        <v>45818.58993055556</v>
      </c>
      <c r="C461" s="1" t="n">
        <v>45905</v>
      </c>
      <c r="D461" t="inlineStr">
        <is>
          <t>KALMAR LÄN</t>
        </is>
      </c>
      <c r="E461" t="inlineStr">
        <is>
          <t>VIMMERBY</t>
        </is>
      </c>
      <c r="F461" t="inlineStr">
        <is>
          <t>Sveaskog</t>
        </is>
      </c>
      <c r="G461" t="n">
        <v>8</v>
      </c>
      <c r="H461" t="n">
        <v>0</v>
      </c>
      <c r="I461" t="n">
        <v>0</v>
      </c>
      <c r="J461" t="n">
        <v>0</v>
      </c>
      <c r="K461" t="n">
        <v>0</v>
      </c>
      <c r="L461" t="n">
        <v>0</v>
      </c>
      <c r="M461" t="n">
        <v>0</v>
      </c>
      <c r="N461" t="n">
        <v>0</v>
      </c>
      <c r="O461" t="n">
        <v>0</v>
      </c>
      <c r="P461" t="n">
        <v>0</v>
      </c>
      <c r="Q461" t="n">
        <v>0</v>
      </c>
      <c r="R461" s="2" t="inlineStr"/>
    </row>
    <row r="462" ht="15" customHeight="1">
      <c r="A462" t="inlineStr">
        <is>
          <t>A 40665-2023</t>
        </is>
      </c>
      <c r="B462" s="1" t="n">
        <v>45170</v>
      </c>
      <c r="C462" s="1" t="n">
        <v>45905</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13307-2025</t>
        </is>
      </c>
      <c r="B463" s="1" t="n">
        <v>45735.58024305556</v>
      </c>
      <c r="C463" s="1" t="n">
        <v>45905</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28034-2022</t>
        </is>
      </c>
      <c r="B464" s="1" t="n">
        <v>44746.38834490741</v>
      </c>
      <c r="C464" s="1" t="n">
        <v>45905</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54787-2023</t>
        </is>
      </c>
      <c r="B465" s="1" t="n">
        <v>45236</v>
      </c>
      <c r="C465" s="1" t="n">
        <v>45905</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15715-2022</t>
        </is>
      </c>
      <c r="B466" s="1" t="n">
        <v>44663</v>
      </c>
      <c r="C466" s="1" t="n">
        <v>45905</v>
      </c>
      <c r="D466" t="inlineStr">
        <is>
          <t>KALMAR LÄN</t>
        </is>
      </c>
      <c r="E466" t="inlineStr">
        <is>
          <t>VIMMERBY</t>
        </is>
      </c>
      <c r="G466" t="n">
        <v>2.3</v>
      </c>
      <c r="H466" t="n">
        <v>0</v>
      </c>
      <c r="I466" t="n">
        <v>0</v>
      </c>
      <c r="J466" t="n">
        <v>0</v>
      </c>
      <c r="K466" t="n">
        <v>0</v>
      </c>
      <c r="L466" t="n">
        <v>0</v>
      </c>
      <c r="M466" t="n">
        <v>0</v>
      </c>
      <c r="N466" t="n">
        <v>0</v>
      </c>
      <c r="O466" t="n">
        <v>0</v>
      </c>
      <c r="P466" t="n">
        <v>0</v>
      </c>
      <c r="Q466" t="n">
        <v>0</v>
      </c>
      <c r="R466" s="2" t="inlineStr"/>
    </row>
    <row r="467" ht="15" customHeight="1">
      <c r="A467" t="inlineStr">
        <is>
          <t>A 43774-2023</t>
        </is>
      </c>
      <c r="B467" s="1" t="n">
        <v>45187</v>
      </c>
      <c r="C467" s="1" t="n">
        <v>45905</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43705-2023</t>
        </is>
      </c>
      <c r="B468" s="1" t="n">
        <v>45187.42854166667</v>
      </c>
      <c r="C468" s="1" t="n">
        <v>45905</v>
      </c>
      <c r="D468" t="inlineStr">
        <is>
          <t>KALMAR LÄN</t>
        </is>
      </c>
      <c r="E468" t="inlineStr">
        <is>
          <t>VIMMERBY</t>
        </is>
      </c>
      <c r="G468" t="n">
        <v>1.2</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45707.3793287037</v>
      </c>
      <c r="C469" s="1" t="n">
        <v>45905</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28282-2025</t>
        </is>
      </c>
      <c r="B470" s="1" t="n">
        <v>45818.58769675926</v>
      </c>
      <c r="C470" s="1" t="n">
        <v>45905</v>
      </c>
      <c r="D470" t="inlineStr">
        <is>
          <t>KALMAR LÄN</t>
        </is>
      </c>
      <c r="E470" t="inlineStr">
        <is>
          <t>VIMMERBY</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28294-2025</t>
        </is>
      </c>
      <c r="B471" s="1" t="n">
        <v>45818.595625</v>
      </c>
      <c r="C471" s="1" t="n">
        <v>45905</v>
      </c>
      <c r="D471" t="inlineStr">
        <is>
          <t>KALMAR LÄN</t>
        </is>
      </c>
      <c r="E471" t="inlineStr">
        <is>
          <t>VIMMERBY</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13532-2025</t>
        </is>
      </c>
      <c r="B472" s="1" t="n">
        <v>45736.50743055555</v>
      </c>
      <c r="C472" s="1" t="n">
        <v>45905</v>
      </c>
      <c r="D472" t="inlineStr">
        <is>
          <t>KALMAR LÄN</t>
        </is>
      </c>
      <c r="E472" t="inlineStr">
        <is>
          <t>VIMMERBY</t>
        </is>
      </c>
      <c r="G472" t="n">
        <v>3.6</v>
      </c>
      <c r="H472" t="n">
        <v>0</v>
      </c>
      <c r="I472" t="n">
        <v>0</v>
      </c>
      <c r="J472" t="n">
        <v>0</v>
      </c>
      <c r="K472" t="n">
        <v>0</v>
      </c>
      <c r="L472" t="n">
        <v>0</v>
      </c>
      <c r="M472" t="n">
        <v>0</v>
      </c>
      <c r="N472" t="n">
        <v>0</v>
      </c>
      <c r="O472" t="n">
        <v>0</v>
      </c>
      <c r="P472" t="n">
        <v>0</v>
      </c>
      <c r="Q472" t="n">
        <v>0</v>
      </c>
      <c r="R472" s="2" t="inlineStr"/>
    </row>
    <row r="473" ht="15" customHeight="1">
      <c r="A473" t="inlineStr">
        <is>
          <t>A 55605-2024</t>
        </is>
      </c>
      <c r="B473" s="1" t="n">
        <v>45622</v>
      </c>
      <c r="C473" s="1" t="n">
        <v>45905</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65049-2020</t>
        </is>
      </c>
      <c r="B474" s="1" t="n">
        <v>44172</v>
      </c>
      <c r="C474" s="1" t="n">
        <v>45905</v>
      </c>
      <c r="D474" t="inlineStr">
        <is>
          <t>KALMAR LÄN</t>
        </is>
      </c>
      <c r="E474" t="inlineStr">
        <is>
          <t>VIMMERBY</t>
        </is>
      </c>
      <c r="G474" t="n">
        <v>2.3</v>
      </c>
      <c r="H474" t="n">
        <v>0</v>
      </c>
      <c r="I474" t="n">
        <v>0</v>
      </c>
      <c r="J474" t="n">
        <v>0</v>
      </c>
      <c r="K474" t="n">
        <v>0</v>
      </c>
      <c r="L474" t="n">
        <v>0</v>
      </c>
      <c r="M474" t="n">
        <v>0</v>
      </c>
      <c r="N474" t="n">
        <v>0</v>
      </c>
      <c r="O474" t="n">
        <v>0</v>
      </c>
      <c r="P474" t="n">
        <v>0</v>
      </c>
      <c r="Q474" t="n">
        <v>0</v>
      </c>
      <c r="R474" s="2" t="inlineStr"/>
    </row>
    <row r="475" ht="15" customHeight="1">
      <c r="A475" t="inlineStr">
        <is>
          <t>A 42165-2024</t>
        </is>
      </c>
      <c r="B475" s="1" t="n">
        <v>45562.46342592593</v>
      </c>
      <c r="C475" s="1" t="n">
        <v>45905</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20129-2024</t>
        </is>
      </c>
      <c r="B476" s="1" t="n">
        <v>45434.55831018519</v>
      </c>
      <c r="C476" s="1" t="n">
        <v>45905</v>
      </c>
      <c r="D476" t="inlineStr">
        <is>
          <t>KALMAR LÄN</t>
        </is>
      </c>
      <c r="E476" t="inlineStr">
        <is>
          <t>VIMMERBY</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20137-2024</t>
        </is>
      </c>
      <c r="B477" s="1" t="n">
        <v>45434.56398148148</v>
      </c>
      <c r="C477" s="1" t="n">
        <v>45905</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23095-2023</t>
        </is>
      </c>
      <c r="B478" s="1" t="n">
        <v>45075.43059027778</v>
      </c>
      <c r="C478" s="1" t="n">
        <v>45905</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32919-2022</t>
        </is>
      </c>
      <c r="B479" s="1" t="n">
        <v>44784.62724537037</v>
      </c>
      <c r="C479" s="1" t="n">
        <v>45905</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28713-2025</t>
        </is>
      </c>
      <c r="B480" s="1" t="n">
        <v>45820.33930555556</v>
      </c>
      <c r="C480" s="1" t="n">
        <v>45905</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28712-2025</t>
        </is>
      </c>
      <c r="B481" s="1" t="n">
        <v>45820.33708333333</v>
      </c>
      <c r="C481" s="1" t="n">
        <v>45905</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28714-2025</t>
        </is>
      </c>
      <c r="B482" s="1" t="n">
        <v>45820.34128472222</v>
      </c>
      <c r="C482" s="1" t="n">
        <v>45905</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28620-2025</t>
        </is>
      </c>
      <c r="B483" s="1" t="n">
        <v>45819.61060185185</v>
      </c>
      <c r="C483" s="1" t="n">
        <v>45905</v>
      </c>
      <c r="D483" t="inlineStr">
        <is>
          <t>KALMAR LÄN</t>
        </is>
      </c>
      <c r="E483" t="inlineStr">
        <is>
          <t>VIMMERBY</t>
        </is>
      </c>
      <c r="G483" t="n">
        <v>5.6</v>
      </c>
      <c r="H483" t="n">
        <v>0</v>
      </c>
      <c r="I483" t="n">
        <v>0</v>
      </c>
      <c r="J483" t="n">
        <v>0</v>
      </c>
      <c r="K483" t="n">
        <v>0</v>
      </c>
      <c r="L483" t="n">
        <v>0</v>
      </c>
      <c r="M483" t="n">
        <v>0</v>
      </c>
      <c r="N483" t="n">
        <v>0</v>
      </c>
      <c r="O483" t="n">
        <v>0</v>
      </c>
      <c r="P483" t="n">
        <v>0</v>
      </c>
      <c r="Q483" t="n">
        <v>0</v>
      </c>
      <c r="R483" s="2" t="inlineStr"/>
    </row>
    <row r="484" ht="15" customHeight="1">
      <c r="A484" t="inlineStr">
        <is>
          <t>A 1978-2024</t>
        </is>
      </c>
      <c r="B484" s="1" t="n">
        <v>45308.59001157407</v>
      </c>
      <c r="C484" s="1" t="n">
        <v>45905</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6399-2025</t>
        </is>
      </c>
      <c r="B485" s="1" t="n">
        <v>45699.44291666667</v>
      </c>
      <c r="C485" s="1" t="n">
        <v>45905</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41311-2023</t>
        </is>
      </c>
      <c r="B486" s="1" t="n">
        <v>45174</v>
      </c>
      <c r="C486" s="1" t="n">
        <v>45905</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7068-2024</t>
        </is>
      </c>
      <c r="B487" s="1" t="n">
        <v>45343.68038194445</v>
      </c>
      <c r="C487" s="1" t="n">
        <v>45905</v>
      </c>
      <c r="D487" t="inlineStr">
        <is>
          <t>KALMAR LÄN</t>
        </is>
      </c>
      <c r="E487" t="inlineStr">
        <is>
          <t>VIMMERBY</t>
        </is>
      </c>
      <c r="G487" t="n">
        <v>2.5</v>
      </c>
      <c r="H487" t="n">
        <v>0</v>
      </c>
      <c r="I487" t="n">
        <v>0</v>
      </c>
      <c r="J487" t="n">
        <v>0</v>
      </c>
      <c r="K487" t="n">
        <v>0</v>
      </c>
      <c r="L487" t="n">
        <v>0</v>
      </c>
      <c r="M487" t="n">
        <v>0</v>
      </c>
      <c r="N487" t="n">
        <v>0</v>
      </c>
      <c r="O487" t="n">
        <v>0</v>
      </c>
      <c r="P487" t="n">
        <v>0</v>
      </c>
      <c r="Q487" t="n">
        <v>0</v>
      </c>
      <c r="R487" s="2" t="inlineStr"/>
    </row>
    <row r="488" ht="15" customHeight="1">
      <c r="A488" t="inlineStr">
        <is>
          <t>A 12596-2021</t>
        </is>
      </c>
      <c r="B488" s="1" t="n">
        <v>44270.39765046296</v>
      </c>
      <c r="C488" s="1" t="n">
        <v>45905</v>
      </c>
      <c r="D488" t="inlineStr">
        <is>
          <t>KALMAR LÄN</t>
        </is>
      </c>
      <c r="E488" t="inlineStr">
        <is>
          <t>VIMMERBY</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32655-2023</t>
        </is>
      </c>
      <c r="B489" s="1" t="n">
        <v>45121.61318287037</v>
      </c>
      <c r="C489" s="1" t="n">
        <v>45905</v>
      </c>
      <c r="D489" t="inlineStr">
        <is>
          <t>KALMAR LÄN</t>
        </is>
      </c>
      <c r="E489" t="inlineStr">
        <is>
          <t>VIMMERBY</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29727-2025</t>
        </is>
      </c>
      <c r="B490" s="1" t="n">
        <v>45825.5796875</v>
      </c>
      <c r="C490" s="1" t="n">
        <v>45905</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29737-2025</t>
        </is>
      </c>
      <c r="B491" s="1" t="n">
        <v>45825.58672453704</v>
      </c>
      <c r="C491" s="1" t="n">
        <v>45905</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36226-2025</t>
        </is>
      </c>
      <c r="B492" s="1" t="n">
        <v>45867.51630787037</v>
      </c>
      <c r="C492" s="1" t="n">
        <v>45905</v>
      </c>
      <c r="D492" t="inlineStr">
        <is>
          <t>KALMAR LÄN</t>
        </is>
      </c>
      <c r="E492" t="inlineStr">
        <is>
          <t>VIMMERBY</t>
        </is>
      </c>
      <c r="G492" t="n">
        <v>3.1</v>
      </c>
      <c r="H492" t="n">
        <v>0</v>
      </c>
      <c r="I492" t="n">
        <v>0</v>
      </c>
      <c r="J492" t="n">
        <v>0</v>
      </c>
      <c r="K492" t="n">
        <v>0</v>
      </c>
      <c r="L492" t="n">
        <v>0</v>
      </c>
      <c r="M492" t="n">
        <v>0</v>
      </c>
      <c r="N492" t="n">
        <v>0</v>
      </c>
      <c r="O492" t="n">
        <v>0</v>
      </c>
      <c r="P492" t="n">
        <v>0</v>
      </c>
      <c r="Q492" t="n">
        <v>0</v>
      </c>
      <c r="R492" s="2" t="inlineStr"/>
    </row>
    <row r="493" ht="15" customHeight="1">
      <c r="A493" t="inlineStr">
        <is>
          <t>A 54409-2024</t>
        </is>
      </c>
      <c r="B493" s="1" t="n">
        <v>45617.47570601852</v>
      </c>
      <c r="C493" s="1" t="n">
        <v>45905</v>
      </c>
      <c r="D493" t="inlineStr">
        <is>
          <t>KALMAR LÄN</t>
        </is>
      </c>
      <c r="E493" t="inlineStr">
        <is>
          <t>VIMMERBY</t>
        </is>
      </c>
      <c r="G493" t="n">
        <v>4.3</v>
      </c>
      <c r="H493" t="n">
        <v>0</v>
      </c>
      <c r="I493" t="n">
        <v>0</v>
      </c>
      <c r="J493" t="n">
        <v>0</v>
      </c>
      <c r="K493" t="n">
        <v>0</v>
      </c>
      <c r="L493" t="n">
        <v>0</v>
      </c>
      <c r="M493" t="n">
        <v>0</v>
      </c>
      <c r="N493" t="n">
        <v>0</v>
      </c>
      <c r="O493" t="n">
        <v>0</v>
      </c>
      <c r="P493" t="n">
        <v>0</v>
      </c>
      <c r="Q493" t="n">
        <v>0</v>
      </c>
      <c r="R493" s="2" t="inlineStr"/>
    </row>
    <row r="494" ht="15" customHeight="1">
      <c r="A494" t="inlineStr">
        <is>
          <t>A 36246-2025</t>
        </is>
      </c>
      <c r="B494" s="1" t="n">
        <v>45867.56320601852</v>
      </c>
      <c r="C494" s="1" t="n">
        <v>45905</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36273-2025</t>
        </is>
      </c>
      <c r="B495" s="1" t="n">
        <v>45867.63094907408</v>
      </c>
      <c r="C495" s="1" t="n">
        <v>45905</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10785-2025</t>
        </is>
      </c>
      <c r="B496" s="1" t="n">
        <v>45722.48634259259</v>
      </c>
      <c r="C496" s="1" t="n">
        <v>45905</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36221-2025</t>
        </is>
      </c>
      <c r="B497" s="1" t="n">
        <v>45867.50792824074</v>
      </c>
      <c r="C497" s="1" t="n">
        <v>45905</v>
      </c>
      <c r="D497" t="inlineStr">
        <is>
          <t>KALMAR LÄN</t>
        </is>
      </c>
      <c r="E497" t="inlineStr">
        <is>
          <t>VIMMERBY</t>
        </is>
      </c>
      <c r="G497" t="n">
        <v>2.5</v>
      </c>
      <c r="H497" t="n">
        <v>0</v>
      </c>
      <c r="I497" t="n">
        <v>0</v>
      </c>
      <c r="J497" t="n">
        <v>0</v>
      </c>
      <c r="K497" t="n">
        <v>0</v>
      </c>
      <c r="L497" t="n">
        <v>0</v>
      </c>
      <c r="M497" t="n">
        <v>0</v>
      </c>
      <c r="N497" t="n">
        <v>0</v>
      </c>
      <c r="O497" t="n">
        <v>0</v>
      </c>
      <c r="P497" t="n">
        <v>0</v>
      </c>
      <c r="Q497" t="n">
        <v>0</v>
      </c>
      <c r="R497" s="2" t="inlineStr"/>
    </row>
    <row r="498" ht="15" customHeight="1">
      <c r="A498" t="inlineStr">
        <is>
          <t>A 36297-2025</t>
        </is>
      </c>
      <c r="B498" s="1" t="n">
        <v>45867.68625</v>
      </c>
      <c r="C498" s="1" t="n">
        <v>45905</v>
      </c>
      <c r="D498" t="inlineStr">
        <is>
          <t>KALMAR LÄN</t>
        </is>
      </c>
      <c r="E498" t="inlineStr">
        <is>
          <t>VIMMERBY</t>
        </is>
      </c>
      <c r="G498" t="n">
        <v>4.9</v>
      </c>
      <c r="H498" t="n">
        <v>0</v>
      </c>
      <c r="I498" t="n">
        <v>0</v>
      </c>
      <c r="J498" t="n">
        <v>0</v>
      </c>
      <c r="K498" t="n">
        <v>0</v>
      </c>
      <c r="L498" t="n">
        <v>0</v>
      </c>
      <c r="M498" t="n">
        <v>0</v>
      </c>
      <c r="N498" t="n">
        <v>0</v>
      </c>
      <c r="O498" t="n">
        <v>0</v>
      </c>
      <c r="P498" t="n">
        <v>0</v>
      </c>
      <c r="Q498" t="n">
        <v>0</v>
      </c>
      <c r="R498" s="2" t="inlineStr"/>
    </row>
    <row r="499" ht="15" customHeight="1">
      <c r="A499" t="inlineStr">
        <is>
          <t>A 36299-2025</t>
        </is>
      </c>
      <c r="B499" s="1" t="n">
        <v>45867.69346064814</v>
      </c>
      <c r="C499" s="1" t="n">
        <v>45905</v>
      </c>
      <c r="D499" t="inlineStr">
        <is>
          <t>KALMAR LÄN</t>
        </is>
      </c>
      <c r="E499" t="inlineStr">
        <is>
          <t>VIMMERBY</t>
        </is>
      </c>
      <c r="G499" t="n">
        <v>7.6</v>
      </c>
      <c r="H499" t="n">
        <v>0</v>
      </c>
      <c r="I499" t="n">
        <v>0</v>
      </c>
      <c r="J499" t="n">
        <v>0</v>
      </c>
      <c r="K499" t="n">
        <v>0</v>
      </c>
      <c r="L499" t="n">
        <v>0</v>
      </c>
      <c r="M499" t="n">
        <v>0</v>
      </c>
      <c r="N499" t="n">
        <v>0</v>
      </c>
      <c r="O499" t="n">
        <v>0</v>
      </c>
      <c r="P499" t="n">
        <v>0</v>
      </c>
      <c r="Q499" t="n">
        <v>0</v>
      </c>
      <c r="R499" s="2" t="inlineStr"/>
    </row>
    <row r="500" ht="15" customHeight="1">
      <c r="A500" t="inlineStr">
        <is>
          <t>A 10211-2025</t>
        </is>
      </c>
      <c r="B500" s="1" t="n">
        <v>45719.84378472222</v>
      </c>
      <c r="C500" s="1" t="n">
        <v>45905</v>
      </c>
      <c r="D500" t="inlineStr">
        <is>
          <t>KALMAR LÄN</t>
        </is>
      </c>
      <c r="E500" t="inlineStr">
        <is>
          <t>VIMMERBY</t>
        </is>
      </c>
      <c r="G500" t="n">
        <v>1.7</v>
      </c>
      <c r="H500" t="n">
        <v>0</v>
      </c>
      <c r="I500" t="n">
        <v>0</v>
      </c>
      <c r="J500" t="n">
        <v>0</v>
      </c>
      <c r="K500" t="n">
        <v>0</v>
      </c>
      <c r="L500" t="n">
        <v>0</v>
      </c>
      <c r="M500" t="n">
        <v>0</v>
      </c>
      <c r="N500" t="n">
        <v>0</v>
      </c>
      <c r="O500" t="n">
        <v>0</v>
      </c>
      <c r="P500" t="n">
        <v>0</v>
      </c>
      <c r="Q500" t="n">
        <v>0</v>
      </c>
      <c r="R500" s="2" t="inlineStr"/>
    </row>
    <row r="501" ht="15" customHeight="1">
      <c r="A501" t="inlineStr">
        <is>
          <t>A 36282-2025</t>
        </is>
      </c>
      <c r="B501" s="1" t="n">
        <v>45867.64663194444</v>
      </c>
      <c r="C501" s="1" t="n">
        <v>45905</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29726-2025</t>
        </is>
      </c>
      <c r="B502" s="1" t="n">
        <v>45825.57805555555</v>
      </c>
      <c r="C502" s="1" t="n">
        <v>45905</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29724-2025</t>
        </is>
      </c>
      <c r="B503" s="1" t="n">
        <v>45825.57680555555</v>
      </c>
      <c r="C503" s="1" t="n">
        <v>45905</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9475-2023</t>
        </is>
      </c>
      <c r="B504" s="1" t="n">
        <v>44981.58834490741</v>
      </c>
      <c r="C504" s="1" t="n">
        <v>45905</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18020-2025</t>
        </is>
      </c>
      <c r="B505" s="1" t="n">
        <v>45761.4437962963</v>
      </c>
      <c r="C505" s="1" t="n">
        <v>45905</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585-2024</t>
        </is>
      </c>
      <c r="B506" s="1" t="n">
        <v>45299.62576388889</v>
      </c>
      <c r="C506" s="1" t="n">
        <v>45905</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6802-2025</t>
        </is>
      </c>
      <c r="B507" s="1" t="n">
        <v>45700.68289351852</v>
      </c>
      <c r="C507" s="1" t="n">
        <v>45905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30293-2025</t>
        </is>
      </c>
      <c r="B508" s="1" t="n">
        <v>45827</v>
      </c>
      <c r="C508" s="1" t="n">
        <v>45905</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36602-2025</t>
        </is>
      </c>
      <c r="B509" s="1" t="n">
        <v>45870.52111111111</v>
      </c>
      <c r="C509" s="1" t="n">
        <v>45905</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43092-2024</t>
        </is>
      </c>
      <c r="B510" s="1" t="n">
        <v>45567</v>
      </c>
      <c r="C510" s="1" t="n">
        <v>45905</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56020-2024</t>
        </is>
      </c>
      <c r="B511" s="1" t="n">
        <v>45623.9525462963</v>
      </c>
      <c r="C511" s="1" t="n">
        <v>45905</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36598-2025</t>
        </is>
      </c>
      <c r="B512" s="1" t="n">
        <v>45870.51708333333</v>
      </c>
      <c r="C512" s="1" t="n">
        <v>45905</v>
      </c>
      <c r="D512" t="inlineStr">
        <is>
          <t>KALMAR LÄN</t>
        </is>
      </c>
      <c r="E512" t="inlineStr">
        <is>
          <t>VIMMERBY</t>
        </is>
      </c>
      <c r="G512" t="n">
        <v>3.7</v>
      </c>
      <c r="H512" t="n">
        <v>0</v>
      </c>
      <c r="I512" t="n">
        <v>0</v>
      </c>
      <c r="J512" t="n">
        <v>0</v>
      </c>
      <c r="K512" t="n">
        <v>0</v>
      </c>
      <c r="L512" t="n">
        <v>0</v>
      </c>
      <c r="M512" t="n">
        <v>0</v>
      </c>
      <c r="N512" t="n">
        <v>0</v>
      </c>
      <c r="O512" t="n">
        <v>0</v>
      </c>
      <c r="P512" t="n">
        <v>0</v>
      </c>
      <c r="Q512" t="n">
        <v>0</v>
      </c>
      <c r="R512" s="2" t="inlineStr"/>
    </row>
    <row r="513" ht="15" customHeight="1">
      <c r="A513" t="inlineStr">
        <is>
          <t>A 36601-2025</t>
        </is>
      </c>
      <c r="B513" s="1" t="n">
        <v>45870.52005787037</v>
      </c>
      <c r="C513" s="1" t="n">
        <v>45905</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36603-2025</t>
        </is>
      </c>
      <c r="B514" s="1" t="n">
        <v>45870.52142361111</v>
      </c>
      <c r="C514" s="1" t="n">
        <v>45905</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33842-2022</t>
        </is>
      </c>
      <c r="B515" s="1" t="n">
        <v>44790.49523148148</v>
      </c>
      <c r="C515" s="1" t="n">
        <v>45905</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60675-2023</t>
        </is>
      </c>
      <c r="B516" s="1" t="n">
        <v>45260.4716550926</v>
      </c>
      <c r="C516" s="1" t="n">
        <v>45905</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36600-2025</t>
        </is>
      </c>
      <c r="B517" s="1" t="n">
        <v>45870.51958333333</v>
      </c>
      <c r="C517" s="1" t="n">
        <v>45905</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11619-2023</t>
        </is>
      </c>
      <c r="B518" s="1" t="n">
        <v>44994.42113425926</v>
      </c>
      <c r="C518" s="1" t="n">
        <v>45905</v>
      </c>
      <c r="D518" t="inlineStr">
        <is>
          <t>KALMAR LÄN</t>
        </is>
      </c>
      <c r="E518" t="inlineStr">
        <is>
          <t>VIMMERBY</t>
        </is>
      </c>
      <c r="G518" t="n">
        <v>2.5</v>
      </c>
      <c r="H518" t="n">
        <v>0</v>
      </c>
      <c r="I518" t="n">
        <v>0</v>
      </c>
      <c r="J518" t="n">
        <v>0</v>
      </c>
      <c r="K518" t="n">
        <v>0</v>
      </c>
      <c r="L518" t="n">
        <v>0</v>
      </c>
      <c r="M518" t="n">
        <v>0</v>
      </c>
      <c r="N518" t="n">
        <v>0</v>
      </c>
      <c r="O518" t="n">
        <v>0</v>
      </c>
      <c r="P518" t="n">
        <v>0</v>
      </c>
      <c r="Q518" t="n">
        <v>0</v>
      </c>
      <c r="R518" s="2" t="inlineStr"/>
    </row>
    <row r="519" ht="15" customHeight="1">
      <c r="A519" t="inlineStr">
        <is>
          <t>A 40095-2022</t>
        </is>
      </c>
      <c r="B519" s="1" t="n">
        <v>44820</v>
      </c>
      <c r="C519" s="1" t="n">
        <v>45905</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5074-2023</t>
        </is>
      </c>
      <c r="B520" s="1" t="n">
        <v>44958.61047453704</v>
      </c>
      <c r="C520" s="1" t="n">
        <v>45905</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36538-2025</t>
        </is>
      </c>
      <c r="B521" s="1" t="n">
        <v>45869.62276620371</v>
      </c>
      <c r="C521" s="1" t="n">
        <v>45905</v>
      </c>
      <c r="D521" t="inlineStr">
        <is>
          <t>KALMAR LÄN</t>
        </is>
      </c>
      <c r="E521" t="inlineStr">
        <is>
          <t>VIMMERBY</t>
        </is>
      </c>
      <c r="G521" t="n">
        <v>2.6</v>
      </c>
      <c r="H521" t="n">
        <v>0</v>
      </c>
      <c r="I521" t="n">
        <v>0</v>
      </c>
      <c r="J521" t="n">
        <v>0</v>
      </c>
      <c r="K521" t="n">
        <v>0</v>
      </c>
      <c r="L521" t="n">
        <v>0</v>
      </c>
      <c r="M521" t="n">
        <v>0</v>
      </c>
      <c r="N521" t="n">
        <v>0</v>
      </c>
      <c r="O521" t="n">
        <v>0</v>
      </c>
      <c r="P521" t="n">
        <v>0</v>
      </c>
      <c r="Q521" t="n">
        <v>0</v>
      </c>
      <c r="R521" s="2" t="inlineStr"/>
    </row>
    <row r="522" ht="15" customHeight="1">
      <c r="A522" t="inlineStr">
        <is>
          <t>A 30290-2025</t>
        </is>
      </c>
      <c r="B522" s="1" t="n">
        <v>45827</v>
      </c>
      <c r="C522" s="1" t="n">
        <v>45905</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19537-2022</t>
        </is>
      </c>
      <c r="B523" s="1" t="n">
        <v>44693.62822916666</v>
      </c>
      <c r="C523" s="1" t="n">
        <v>45905</v>
      </c>
      <c r="D523" t="inlineStr">
        <is>
          <t>KALMAR LÄN</t>
        </is>
      </c>
      <c r="E523" t="inlineStr">
        <is>
          <t>VIMMERBY</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6368-2023</t>
        </is>
      </c>
      <c r="B524" s="1" t="n">
        <v>44965</v>
      </c>
      <c r="C524" s="1" t="n">
        <v>45905</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19502-2025</t>
        </is>
      </c>
      <c r="B525" s="1" t="n">
        <v>45769</v>
      </c>
      <c r="C525" s="1" t="n">
        <v>45905</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5701-2024</t>
        </is>
      </c>
      <c r="B526" s="1" t="n">
        <v>45334.78826388889</v>
      </c>
      <c r="C526" s="1" t="n">
        <v>45905</v>
      </c>
      <c r="D526" t="inlineStr">
        <is>
          <t>KALMAR LÄN</t>
        </is>
      </c>
      <c r="E526" t="inlineStr">
        <is>
          <t>VIMMERBY</t>
        </is>
      </c>
      <c r="G526" t="n">
        <v>2.3</v>
      </c>
      <c r="H526" t="n">
        <v>0</v>
      </c>
      <c r="I526" t="n">
        <v>0</v>
      </c>
      <c r="J526" t="n">
        <v>0</v>
      </c>
      <c r="K526" t="n">
        <v>0</v>
      </c>
      <c r="L526" t="n">
        <v>0</v>
      </c>
      <c r="M526" t="n">
        <v>0</v>
      </c>
      <c r="N526" t="n">
        <v>0</v>
      </c>
      <c r="O526" t="n">
        <v>0</v>
      </c>
      <c r="P526" t="n">
        <v>0</v>
      </c>
      <c r="Q526" t="n">
        <v>0</v>
      </c>
      <c r="R526" s="2" t="inlineStr"/>
    </row>
    <row r="527" ht="15" customHeight="1">
      <c r="A527" t="inlineStr">
        <is>
          <t>A 57311-2023</t>
        </is>
      </c>
      <c r="B527" s="1" t="n">
        <v>45245.63574074074</v>
      </c>
      <c r="C527" s="1" t="n">
        <v>45905</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64428-2023</t>
        </is>
      </c>
      <c r="B528" s="1" t="n">
        <v>45280.66769675926</v>
      </c>
      <c r="C528" s="1" t="n">
        <v>45905</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30850-2025</t>
        </is>
      </c>
      <c r="B529" s="1" t="n">
        <v>45831</v>
      </c>
      <c r="C529" s="1" t="n">
        <v>45905</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4527-2023</t>
        </is>
      </c>
      <c r="B530" s="1" t="n">
        <v>44956</v>
      </c>
      <c r="C530" s="1" t="n">
        <v>45905</v>
      </c>
      <c r="D530" t="inlineStr">
        <is>
          <t>KALMAR LÄN</t>
        </is>
      </c>
      <c r="E530" t="inlineStr">
        <is>
          <t>VIMMERBY</t>
        </is>
      </c>
      <c r="F530" t="inlineStr">
        <is>
          <t>Kommuner</t>
        </is>
      </c>
      <c r="G530" t="n">
        <v>8.5</v>
      </c>
      <c r="H530" t="n">
        <v>0</v>
      </c>
      <c r="I530" t="n">
        <v>0</v>
      </c>
      <c r="J530" t="n">
        <v>0</v>
      </c>
      <c r="K530" t="n">
        <v>0</v>
      </c>
      <c r="L530" t="n">
        <v>0</v>
      </c>
      <c r="M530" t="n">
        <v>0</v>
      </c>
      <c r="N530" t="n">
        <v>0</v>
      </c>
      <c r="O530" t="n">
        <v>0</v>
      </c>
      <c r="P530" t="n">
        <v>0</v>
      </c>
      <c r="Q530" t="n">
        <v>0</v>
      </c>
      <c r="R530" s="2" t="inlineStr"/>
    </row>
    <row r="531" ht="15" customHeight="1">
      <c r="A531" t="inlineStr">
        <is>
          <t>A 3268-2024</t>
        </is>
      </c>
      <c r="B531" s="1" t="n">
        <v>45317</v>
      </c>
      <c r="C531" s="1" t="n">
        <v>45905</v>
      </c>
      <c r="D531" t="inlineStr">
        <is>
          <t>KALMAR LÄN</t>
        </is>
      </c>
      <c r="E531" t="inlineStr">
        <is>
          <t>VIMMERBY</t>
        </is>
      </c>
      <c r="F531" t="inlineStr">
        <is>
          <t>Övriga Aktiebolag</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7797-2023</t>
        </is>
      </c>
      <c r="B532" s="1" t="n">
        <v>44973.43075231482</v>
      </c>
      <c r="C532" s="1" t="n">
        <v>45905</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24655-2021</t>
        </is>
      </c>
      <c r="B533" s="1" t="n">
        <v>44340</v>
      </c>
      <c r="C533" s="1" t="n">
        <v>45905</v>
      </c>
      <c r="D533" t="inlineStr">
        <is>
          <t>KALMAR LÄN</t>
        </is>
      </c>
      <c r="E533" t="inlineStr">
        <is>
          <t>VIMMERBY</t>
        </is>
      </c>
      <c r="G533" t="n">
        <v>14.9</v>
      </c>
      <c r="H533" t="n">
        <v>0</v>
      </c>
      <c r="I533" t="n">
        <v>0</v>
      </c>
      <c r="J533" t="n">
        <v>0</v>
      </c>
      <c r="K533" t="n">
        <v>0</v>
      </c>
      <c r="L533" t="n">
        <v>0</v>
      </c>
      <c r="M533" t="n">
        <v>0</v>
      </c>
      <c r="N533" t="n">
        <v>0</v>
      </c>
      <c r="O533" t="n">
        <v>0</v>
      </c>
      <c r="P533" t="n">
        <v>0</v>
      </c>
      <c r="Q533" t="n">
        <v>0</v>
      </c>
      <c r="R533" s="2" t="inlineStr"/>
    </row>
    <row r="534" ht="15" customHeight="1">
      <c r="A534" t="inlineStr">
        <is>
          <t>A 51408-2023</t>
        </is>
      </c>
      <c r="B534" s="1" t="n">
        <v>45219.69356481481</v>
      </c>
      <c r="C534" s="1" t="n">
        <v>45905</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36934-2025</t>
        </is>
      </c>
      <c r="B535" s="1" t="n">
        <v>45874.57109953704</v>
      </c>
      <c r="C535" s="1" t="n">
        <v>45905</v>
      </c>
      <c r="D535" t="inlineStr">
        <is>
          <t>KALMAR LÄN</t>
        </is>
      </c>
      <c r="E535" t="inlineStr">
        <is>
          <t>VIMMERBY</t>
        </is>
      </c>
      <c r="G535" t="n">
        <v>4.2</v>
      </c>
      <c r="H535" t="n">
        <v>0</v>
      </c>
      <c r="I535" t="n">
        <v>0</v>
      </c>
      <c r="J535" t="n">
        <v>0</v>
      </c>
      <c r="K535" t="n">
        <v>0</v>
      </c>
      <c r="L535" t="n">
        <v>0</v>
      </c>
      <c r="M535" t="n">
        <v>0</v>
      </c>
      <c r="N535" t="n">
        <v>0</v>
      </c>
      <c r="O535" t="n">
        <v>0</v>
      </c>
      <c r="P535" t="n">
        <v>0</v>
      </c>
      <c r="Q535" t="n">
        <v>0</v>
      </c>
      <c r="R535" s="2" t="inlineStr"/>
    </row>
    <row r="536" ht="15" customHeight="1">
      <c r="A536" t="inlineStr">
        <is>
          <t>A 12480-2024</t>
        </is>
      </c>
      <c r="B536" s="1" t="n">
        <v>45379</v>
      </c>
      <c r="C536" s="1" t="n">
        <v>45905</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52588-2023</t>
        </is>
      </c>
      <c r="B537" s="1" t="n">
        <v>45225.60192129629</v>
      </c>
      <c r="C537" s="1" t="n">
        <v>45905</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30882-2025</t>
        </is>
      </c>
      <c r="B538" s="1" t="n">
        <v>45832.34540509259</v>
      </c>
      <c r="C538" s="1" t="n">
        <v>45905</v>
      </c>
      <c r="D538" t="inlineStr">
        <is>
          <t>KALMAR LÄN</t>
        </is>
      </c>
      <c r="E538" t="inlineStr">
        <is>
          <t>VIMMERBY</t>
        </is>
      </c>
      <c r="G538" t="n">
        <v>0.7</v>
      </c>
      <c r="H538" t="n">
        <v>0</v>
      </c>
      <c r="I538" t="n">
        <v>0</v>
      </c>
      <c r="J538" t="n">
        <v>0</v>
      </c>
      <c r="K538" t="n">
        <v>0</v>
      </c>
      <c r="L538" t="n">
        <v>0</v>
      </c>
      <c r="M538" t="n">
        <v>0</v>
      </c>
      <c r="N538" t="n">
        <v>0</v>
      </c>
      <c r="O538" t="n">
        <v>0</v>
      </c>
      <c r="P538" t="n">
        <v>0</v>
      </c>
      <c r="Q538" t="n">
        <v>0</v>
      </c>
      <c r="R538" s="2" t="inlineStr"/>
    </row>
    <row r="539" ht="15" customHeight="1">
      <c r="A539" t="inlineStr">
        <is>
          <t>A 30971-2025</t>
        </is>
      </c>
      <c r="B539" s="1" t="n">
        <v>45832.46146990741</v>
      </c>
      <c r="C539" s="1" t="n">
        <v>45905</v>
      </c>
      <c r="D539" t="inlineStr">
        <is>
          <t>KALMAR LÄN</t>
        </is>
      </c>
      <c r="E539" t="inlineStr">
        <is>
          <t>VIMMERBY</t>
        </is>
      </c>
      <c r="G539" t="n">
        <v>1.2</v>
      </c>
      <c r="H539" t="n">
        <v>0</v>
      </c>
      <c r="I539" t="n">
        <v>0</v>
      </c>
      <c r="J539" t="n">
        <v>0</v>
      </c>
      <c r="K539" t="n">
        <v>0</v>
      </c>
      <c r="L539" t="n">
        <v>0</v>
      </c>
      <c r="M539" t="n">
        <v>0</v>
      </c>
      <c r="N539" t="n">
        <v>0</v>
      </c>
      <c r="O539" t="n">
        <v>0</v>
      </c>
      <c r="P539" t="n">
        <v>0</v>
      </c>
      <c r="Q539" t="n">
        <v>0</v>
      </c>
      <c r="R539" s="2" t="inlineStr"/>
    </row>
    <row r="540" ht="15" customHeight="1">
      <c r="A540" t="inlineStr">
        <is>
          <t>A 8410-2023</t>
        </is>
      </c>
      <c r="B540" s="1" t="n">
        <v>44977</v>
      </c>
      <c r="C540" s="1" t="n">
        <v>45905</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55236-2023</t>
        </is>
      </c>
      <c r="B541" s="1" t="n">
        <v>45237.63225694445</v>
      </c>
      <c r="C541" s="1" t="n">
        <v>45905</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55245-2023</t>
        </is>
      </c>
      <c r="B542" s="1" t="n">
        <v>45237.64408564815</v>
      </c>
      <c r="C542" s="1" t="n">
        <v>45905</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6028-2023</t>
        </is>
      </c>
      <c r="B543" s="1" t="n">
        <v>44964.44356481481</v>
      </c>
      <c r="C543" s="1" t="n">
        <v>45905</v>
      </c>
      <c r="D543" t="inlineStr">
        <is>
          <t>KALMAR LÄN</t>
        </is>
      </c>
      <c r="E543" t="inlineStr">
        <is>
          <t>VIMMERBY</t>
        </is>
      </c>
      <c r="G543" t="n">
        <v>2.5</v>
      </c>
      <c r="H543" t="n">
        <v>0</v>
      </c>
      <c r="I543" t="n">
        <v>0</v>
      </c>
      <c r="J543" t="n">
        <v>0</v>
      </c>
      <c r="K543" t="n">
        <v>0</v>
      </c>
      <c r="L543" t="n">
        <v>0</v>
      </c>
      <c r="M543" t="n">
        <v>0</v>
      </c>
      <c r="N543" t="n">
        <v>0</v>
      </c>
      <c r="O543" t="n">
        <v>0</v>
      </c>
      <c r="P543" t="n">
        <v>0</v>
      </c>
      <c r="Q543" t="n">
        <v>0</v>
      </c>
      <c r="R543" s="2" t="inlineStr"/>
    </row>
    <row r="544" ht="15" customHeight="1">
      <c r="A544" t="inlineStr">
        <is>
          <t>A 19111-2025</t>
        </is>
      </c>
      <c r="B544" s="1" t="n">
        <v>45768.65611111111</v>
      </c>
      <c r="C544" s="1" t="n">
        <v>45905</v>
      </c>
      <c r="D544" t="inlineStr">
        <is>
          <t>KALMAR LÄN</t>
        </is>
      </c>
      <c r="E544" t="inlineStr">
        <is>
          <t>VIMMERBY</t>
        </is>
      </c>
      <c r="G544" t="n">
        <v>6.2</v>
      </c>
      <c r="H544" t="n">
        <v>0</v>
      </c>
      <c r="I544" t="n">
        <v>0</v>
      </c>
      <c r="J544" t="n">
        <v>0</v>
      </c>
      <c r="K544" t="n">
        <v>0</v>
      </c>
      <c r="L544" t="n">
        <v>0</v>
      </c>
      <c r="M544" t="n">
        <v>0</v>
      </c>
      <c r="N544" t="n">
        <v>0</v>
      </c>
      <c r="O544" t="n">
        <v>0</v>
      </c>
      <c r="P544" t="n">
        <v>0</v>
      </c>
      <c r="Q544" t="n">
        <v>0</v>
      </c>
      <c r="R544" s="2" t="inlineStr"/>
    </row>
    <row r="545" ht="15" customHeight="1">
      <c r="A545" t="inlineStr">
        <is>
          <t>A 31552-2025</t>
        </is>
      </c>
      <c r="B545" s="1" t="n">
        <v>45833.64563657407</v>
      </c>
      <c r="C545" s="1" t="n">
        <v>45905</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31555-2025</t>
        </is>
      </c>
      <c r="B546" s="1" t="n">
        <v>45833.64814814815</v>
      </c>
      <c r="C546" s="1" t="n">
        <v>45905</v>
      </c>
      <c r="D546" t="inlineStr">
        <is>
          <t>KALMAR LÄN</t>
        </is>
      </c>
      <c r="E546" t="inlineStr">
        <is>
          <t>VIMMERBY</t>
        </is>
      </c>
      <c r="G546" t="n">
        <v>1.8</v>
      </c>
      <c r="H546" t="n">
        <v>0</v>
      </c>
      <c r="I546" t="n">
        <v>0</v>
      </c>
      <c r="J546" t="n">
        <v>0</v>
      </c>
      <c r="K546" t="n">
        <v>0</v>
      </c>
      <c r="L546" t="n">
        <v>0</v>
      </c>
      <c r="M546" t="n">
        <v>0</v>
      </c>
      <c r="N546" t="n">
        <v>0</v>
      </c>
      <c r="O546" t="n">
        <v>0</v>
      </c>
      <c r="P546" t="n">
        <v>0</v>
      </c>
      <c r="Q546" t="n">
        <v>0</v>
      </c>
      <c r="R546" s="2" t="inlineStr"/>
    </row>
    <row r="547" ht="15" customHeight="1">
      <c r="A547" t="inlineStr">
        <is>
          <t>A 52823-2024</t>
        </is>
      </c>
      <c r="B547" s="1" t="n">
        <v>45610.59094907407</v>
      </c>
      <c r="C547" s="1" t="n">
        <v>45905</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37102-2025</t>
        </is>
      </c>
      <c r="B548" s="1" t="n">
        <v>45875.47454861111</v>
      </c>
      <c r="C548" s="1" t="n">
        <v>45905</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56853-2022</t>
        </is>
      </c>
      <c r="B549" s="1" t="n">
        <v>44894.49538194444</v>
      </c>
      <c r="C549" s="1" t="n">
        <v>45905</v>
      </c>
      <c r="D549" t="inlineStr">
        <is>
          <t>KALMAR LÄN</t>
        </is>
      </c>
      <c r="E549" t="inlineStr">
        <is>
          <t>VIMMERBY</t>
        </is>
      </c>
      <c r="G549" t="n">
        <v>4.3</v>
      </c>
      <c r="H549" t="n">
        <v>0</v>
      </c>
      <c r="I549" t="n">
        <v>0</v>
      </c>
      <c r="J549" t="n">
        <v>0</v>
      </c>
      <c r="K549" t="n">
        <v>0</v>
      </c>
      <c r="L549" t="n">
        <v>0</v>
      </c>
      <c r="M549" t="n">
        <v>0</v>
      </c>
      <c r="N549" t="n">
        <v>0</v>
      </c>
      <c r="O549" t="n">
        <v>0</v>
      </c>
      <c r="P549" t="n">
        <v>0</v>
      </c>
      <c r="Q549" t="n">
        <v>0</v>
      </c>
      <c r="R549" s="2" t="inlineStr"/>
    </row>
    <row r="550" ht="15" customHeight="1">
      <c r="A550" t="inlineStr">
        <is>
          <t>A 11152-2023</t>
        </is>
      </c>
      <c r="B550" s="1" t="n">
        <v>44992</v>
      </c>
      <c r="C550" s="1" t="n">
        <v>45905</v>
      </c>
      <c r="D550" t="inlineStr">
        <is>
          <t>KALMAR LÄN</t>
        </is>
      </c>
      <c r="E550" t="inlineStr">
        <is>
          <t>VIMMERBY</t>
        </is>
      </c>
      <c r="G550" t="n">
        <v>10.6</v>
      </c>
      <c r="H550" t="n">
        <v>0</v>
      </c>
      <c r="I550" t="n">
        <v>0</v>
      </c>
      <c r="J550" t="n">
        <v>0</v>
      </c>
      <c r="K550" t="n">
        <v>0</v>
      </c>
      <c r="L550" t="n">
        <v>0</v>
      </c>
      <c r="M550" t="n">
        <v>0</v>
      </c>
      <c r="N550" t="n">
        <v>0</v>
      </c>
      <c r="O550" t="n">
        <v>0</v>
      </c>
      <c r="P550" t="n">
        <v>0</v>
      </c>
      <c r="Q550" t="n">
        <v>0</v>
      </c>
      <c r="R550" s="2" t="inlineStr"/>
    </row>
    <row r="551" ht="15" customHeight="1">
      <c r="A551" t="inlineStr">
        <is>
          <t>A 37088-2025</t>
        </is>
      </c>
      <c r="B551" s="1" t="n">
        <v>45875.45716435185</v>
      </c>
      <c r="C551" s="1" t="n">
        <v>45905</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15550-2023</t>
        </is>
      </c>
      <c r="B552" s="1" t="n">
        <v>45020</v>
      </c>
      <c r="C552" s="1" t="n">
        <v>45905</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25370-2022</t>
        </is>
      </c>
      <c r="B553" s="1" t="n">
        <v>44732.3659837963</v>
      </c>
      <c r="C553" s="1" t="n">
        <v>45905</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31870-2025</t>
        </is>
      </c>
      <c r="B554" s="1" t="n">
        <v>45834.64667824074</v>
      </c>
      <c r="C554" s="1" t="n">
        <v>45905</v>
      </c>
      <c r="D554" t="inlineStr">
        <is>
          <t>KALMAR LÄN</t>
        </is>
      </c>
      <c r="E554" t="inlineStr">
        <is>
          <t>VIMMERBY</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37079-2025</t>
        </is>
      </c>
      <c r="B555" s="1" t="n">
        <v>45875.42716435185</v>
      </c>
      <c r="C555" s="1" t="n">
        <v>45905</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33838-2022</t>
        </is>
      </c>
      <c r="B556" s="1" t="n">
        <v>44790.49040509259</v>
      </c>
      <c r="C556" s="1" t="n">
        <v>45905</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4058-2024</t>
        </is>
      </c>
      <c r="B557" s="1" t="n">
        <v>45323.53744212963</v>
      </c>
      <c r="C557" s="1" t="n">
        <v>45905</v>
      </c>
      <c r="D557" t="inlineStr">
        <is>
          <t>KALMAR LÄN</t>
        </is>
      </c>
      <c r="E557" t="inlineStr">
        <is>
          <t>VIMMERBY</t>
        </is>
      </c>
      <c r="G557" t="n">
        <v>6.5</v>
      </c>
      <c r="H557" t="n">
        <v>0</v>
      </c>
      <c r="I557" t="n">
        <v>0</v>
      </c>
      <c r="J557" t="n">
        <v>0</v>
      </c>
      <c r="K557" t="n">
        <v>0</v>
      </c>
      <c r="L557" t="n">
        <v>0</v>
      </c>
      <c r="M557" t="n">
        <v>0</v>
      </c>
      <c r="N557" t="n">
        <v>0</v>
      </c>
      <c r="O557" t="n">
        <v>0</v>
      </c>
      <c r="P557" t="n">
        <v>0</v>
      </c>
      <c r="Q557" t="n">
        <v>0</v>
      </c>
      <c r="R557" s="2" t="inlineStr"/>
    </row>
    <row r="558" ht="15" customHeight="1">
      <c r="A558" t="inlineStr">
        <is>
          <t>A 8559-2025</t>
        </is>
      </c>
      <c r="B558" s="1" t="n">
        <v>45709.62280092593</v>
      </c>
      <c r="C558" s="1" t="n">
        <v>45905</v>
      </c>
      <c r="D558" t="inlineStr">
        <is>
          <t>KALMAR LÄN</t>
        </is>
      </c>
      <c r="E558" t="inlineStr">
        <is>
          <t>VIMMERBY</t>
        </is>
      </c>
      <c r="G558" t="n">
        <v>8.9</v>
      </c>
      <c r="H558" t="n">
        <v>0</v>
      </c>
      <c r="I558" t="n">
        <v>0</v>
      </c>
      <c r="J558" t="n">
        <v>0</v>
      </c>
      <c r="K558" t="n">
        <v>0</v>
      </c>
      <c r="L558" t="n">
        <v>0</v>
      </c>
      <c r="M558" t="n">
        <v>0</v>
      </c>
      <c r="N558" t="n">
        <v>0</v>
      </c>
      <c r="O558" t="n">
        <v>0</v>
      </c>
      <c r="P558" t="n">
        <v>0</v>
      </c>
      <c r="Q558" t="n">
        <v>0</v>
      </c>
      <c r="R558" s="2" t="inlineStr"/>
    </row>
    <row r="559" ht="15" customHeight="1">
      <c r="A559" t="inlineStr">
        <is>
          <t>A 36008-2024</t>
        </is>
      </c>
      <c r="B559" s="1" t="n">
        <v>45533.55362268518</v>
      </c>
      <c r="C559" s="1" t="n">
        <v>45905</v>
      </c>
      <c r="D559" t="inlineStr">
        <is>
          <t>KALMAR LÄN</t>
        </is>
      </c>
      <c r="E559" t="inlineStr">
        <is>
          <t>VIMMERBY</t>
        </is>
      </c>
      <c r="G559" t="n">
        <v>3.7</v>
      </c>
      <c r="H559" t="n">
        <v>0</v>
      </c>
      <c r="I559" t="n">
        <v>0</v>
      </c>
      <c r="J559" t="n">
        <v>0</v>
      </c>
      <c r="K559" t="n">
        <v>0</v>
      </c>
      <c r="L559" t="n">
        <v>0</v>
      </c>
      <c r="M559" t="n">
        <v>0</v>
      </c>
      <c r="N559" t="n">
        <v>0</v>
      </c>
      <c r="O559" t="n">
        <v>0</v>
      </c>
      <c r="P559" t="n">
        <v>0</v>
      </c>
      <c r="Q559" t="n">
        <v>0</v>
      </c>
      <c r="R559" s="2" t="inlineStr"/>
    </row>
    <row r="560" ht="15" customHeight="1">
      <c r="A560" t="inlineStr">
        <is>
          <t>A 31355-2023</t>
        </is>
      </c>
      <c r="B560" s="1" t="n">
        <v>45114.49505787037</v>
      </c>
      <c r="C560" s="1" t="n">
        <v>45905</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18669-2025</t>
        </is>
      </c>
      <c r="B561" s="1" t="n">
        <v>45763.59436342592</v>
      </c>
      <c r="C561" s="1" t="n">
        <v>45905</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8540-2024</t>
        </is>
      </c>
      <c r="B562" s="1" t="n">
        <v>45355.54138888889</v>
      </c>
      <c r="C562" s="1" t="n">
        <v>45905</v>
      </c>
      <c r="D562" t="inlineStr">
        <is>
          <t>KALMAR LÄN</t>
        </is>
      </c>
      <c r="E562" t="inlineStr">
        <is>
          <t>VIMMERBY</t>
        </is>
      </c>
      <c r="G562" t="n">
        <v>1.9</v>
      </c>
      <c r="H562" t="n">
        <v>0</v>
      </c>
      <c r="I562" t="n">
        <v>0</v>
      </c>
      <c r="J562" t="n">
        <v>0</v>
      </c>
      <c r="K562" t="n">
        <v>0</v>
      </c>
      <c r="L562" t="n">
        <v>0</v>
      </c>
      <c r="M562" t="n">
        <v>0</v>
      </c>
      <c r="N562" t="n">
        <v>0</v>
      </c>
      <c r="O562" t="n">
        <v>0</v>
      </c>
      <c r="P562" t="n">
        <v>0</v>
      </c>
      <c r="Q562" t="n">
        <v>0</v>
      </c>
      <c r="R562" s="2" t="inlineStr"/>
    </row>
    <row r="563" ht="15" customHeight="1">
      <c r="A563" t="inlineStr">
        <is>
          <t>A 9623-2024</t>
        </is>
      </c>
      <c r="B563" s="1" t="n">
        <v>45361.87975694444</v>
      </c>
      <c r="C563" s="1" t="n">
        <v>45905</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31872-2025</t>
        </is>
      </c>
      <c r="B564" s="1" t="n">
        <v>45834.65040509259</v>
      </c>
      <c r="C564" s="1" t="n">
        <v>45905</v>
      </c>
      <c r="D564" t="inlineStr">
        <is>
          <t>KALMAR LÄN</t>
        </is>
      </c>
      <c r="E564" t="inlineStr">
        <is>
          <t>VIMMERBY</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31876-2025</t>
        </is>
      </c>
      <c r="B565" s="1" t="n">
        <v>45834.65197916667</v>
      </c>
      <c r="C565" s="1" t="n">
        <v>45905</v>
      </c>
      <c r="D565" t="inlineStr">
        <is>
          <t>KALMAR LÄN</t>
        </is>
      </c>
      <c r="E565" t="inlineStr">
        <is>
          <t>VIMMERBY</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5146-2024</t>
        </is>
      </c>
      <c r="B566" s="1" t="n">
        <v>45330</v>
      </c>
      <c r="C566" s="1" t="n">
        <v>45905</v>
      </c>
      <c r="D566" t="inlineStr">
        <is>
          <t>KALMAR LÄN</t>
        </is>
      </c>
      <c r="E566" t="inlineStr">
        <is>
          <t>VIMMERBY</t>
        </is>
      </c>
      <c r="G566" t="n">
        <v>5.3</v>
      </c>
      <c r="H566" t="n">
        <v>0</v>
      </c>
      <c r="I566" t="n">
        <v>0</v>
      </c>
      <c r="J566" t="n">
        <v>0</v>
      </c>
      <c r="K566" t="n">
        <v>0</v>
      </c>
      <c r="L566" t="n">
        <v>0</v>
      </c>
      <c r="M566" t="n">
        <v>0</v>
      </c>
      <c r="N566" t="n">
        <v>0</v>
      </c>
      <c r="O566" t="n">
        <v>0</v>
      </c>
      <c r="P566" t="n">
        <v>0</v>
      </c>
      <c r="Q566" t="n">
        <v>0</v>
      </c>
      <c r="R566" s="2" t="inlineStr"/>
    </row>
    <row r="567" ht="15" customHeight="1">
      <c r="A567" t="inlineStr">
        <is>
          <t>A 5148-2024</t>
        </is>
      </c>
      <c r="B567" s="1" t="n">
        <v>45330</v>
      </c>
      <c r="C567" s="1" t="n">
        <v>45905</v>
      </c>
      <c r="D567" t="inlineStr">
        <is>
          <t>KALMAR LÄN</t>
        </is>
      </c>
      <c r="E567" t="inlineStr">
        <is>
          <t>VIMMERBY</t>
        </is>
      </c>
      <c r="G567" t="n">
        <v>5.6</v>
      </c>
      <c r="H567" t="n">
        <v>0</v>
      </c>
      <c r="I567" t="n">
        <v>0</v>
      </c>
      <c r="J567" t="n">
        <v>0</v>
      </c>
      <c r="K567" t="n">
        <v>0</v>
      </c>
      <c r="L567" t="n">
        <v>0</v>
      </c>
      <c r="M567" t="n">
        <v>0</v>
      </c>
      <c r="N567" t="n">
        <v>0</v>
      </c>
      <c r="O567" t="n">
        <v>0</v>
      </c>
      <c r="P567" t="n">
        <v>0</v>
      </c>
      <c r="Q567" t="n">
        <v>0</v>
      </c>
      <c r="R567" s="2" t="inlineStr"/>
    </row>
    <row r="568" ht="15" customHeight="1">
      <c r="A568" t="inlineStr">
        <is>
          <t>A 18330-2023</t>
        </is>
      </c>
      <c r="B568" s="1" t="n">
        <v>45041</v>
      </c>
      <c r="C568" s="1" t="n">
        <v>45905</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31551-2025</t>
        </is>
      </c>
      <c r="B569" s="1" t="n">
        <v>45833.64237268519</v>
      </c>
      <c r="C569" s="1" t="n">
        <v>45905</v>
      </c>
      <c r="D569" t="inlineStr">
        <is>
          <t>KALMAR LÄN</t>
        </is>
      </c>
      <c r="E569" t="inlineStr">
        <is>
          <t>VIMMERBY</t>
        </is>
      </c>
      <c r="G569" t="n">
        <v>1.9</v>
      </c>
      <c r="H569" t="n">
        <v>0</v>
      </c>
      <c r="I569" t="n">
        <v>0</v>
      </c>
      <c r="J569" t="n">
        <v>0</v>
      </c>
      <c r="K569" t="n">
        <v>0</v>
      </c>
      <c r="L569" t="n">
        <v>0</v>
      </c>
      <c r="M569" t="n">
        <v>0</v>
      </c>
      <c r="N569" t="n">
        <v>0</v>
      </c>
      <c r="O569" t="n">
        <v>0</v>
      </c>
      <c r="P569" t="n">
        <v>0</v>
      </c>
      <c r="Q569" t="n">
        <v>0</v>
      </c>
      <c r="R569" s="2" t="inlineStr"/>
    </row>
    <row r="570" ht="15" customHeight="1">
      <c r="A570" t="inlineStr">
        <is>
          <t>A 44179-2022</t>
        </is>
      </c>
      <c r="B570" s="1" t="n">
        <v>44839.4528125</v>
      </c>
      <c r="C570" s="1" t="n">
        <v>45905</v>
      </c>
      <c r="D570" t="inlineStr">
        <is>
          <t>KALMAR LÄN</t>
        </is>
      </c>
      <c r="E570" t="inlineStr">
        <is>
          <t>VIMMERBY</t>
        </is>
      </c>
      <c r="G570" t="n">
        <v>2.8</v>
      </c>
      <c r="H570" t="n">
        <v>0</v>
      </c>
      <c r="I570" t="n">
        <v>0</v>
      </c>
      <c r="J570" t="n">
        <v>0</v>
      </c>
      <c r="K570" t="n">
        <v>0</v>
      </c>
      <c r="L570" t="n">
        <v>0</v>
      </c>
      <c r="M570" t="n">
        <v>0</v>
      </c>
      <c r="N570" t="n">
        <v>0</v>
      </c>
      <c r="O570" t="n">
        <v>0</v>
      </c>
      <c r="P570" t="n">
        <v>0</v>
      </c>
      <c r="Q570" t="n">
        <v>0</v>
      </c>
      <c r="R570" s="2" t="inlineStr"/>
    </row>
    <row r="571" ht="15" customHeight="1">
      <c r="A571" t="inlineStr">
        <is>
          <t>A 31987-2025</t>
        </is>
      </c>
      <c r="B571" s="1" t="n">
        <v>45835.36229166666</v>
      </c>
      <c r="C571" s="1" t="n">
        <v>45905</v>
      </c>
      <c r="D571" t="inlineStr">
        <is>
          <t>KALMAR LÄN</t>
        </is>
      </c>
      <c r="E571" t="inlineStr">
        <is>
          <t>VIMMERBY</t>
        </is>
      </c>
      <c r="F571" t="inlineStr">
        <is>
          <t>Kyrkan</t>
        </is>
      </c>
      <c r="G571" t="n">
        <v>1.2</v>
      </c>
      <c r="H571" t="n">
        <v>0</v>
      </c>
      <c r="I571" t="n">
        <v>0</v>
      </c>
      <c r="J571" t="n">
        <v>0</v>
      </c>
      <c r="K571" t="n">
        <v>0</v>
      </c>
      <c r="L571" t="n">
        <v>0</v>
      </c>
      <c r="M571" t="n">
        <v>0</v>
      </c>
      <c r="N571" t="n">
        <v>0</v>
      </c>
      <c r="O571" t="n">
        <v>0</v>
      </c>
      <c r="P571" t="n">
        <v>0</v>
      </c>
      <c r="Q571" t="n">
        <v>0</v>
      </c>
      <c r="R571" s="2" t="inlineStr"/>
    </row>
    <row r="572" ht="15" customHeight="1">
      <c r="A572" t="inlineStr">
        <is>
          <t>A 32120-2025</t>
        </is>
      </c>
      <c r="B572" s="1" t="n">
        <v>45835.4924537037</v>
      </c>
      <c r="C572" s="1" t="n">
        <v>45905</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50648-2023</t>
        </is>
      </c>
      <c r="B573" s="1" t="n">
        <v>45217.47834490741</v>
      </c>
      <c r="C573" s="1" t="n">
        <v>45905</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58100-2024</t>
        </is>
      </c>
      <c r="B574" s="1" t="n">
        <v>45632.36706018518</v>
      </c>
      <c r="C574" s="1" t="n">
        <v>45905</v>
      </c>
      <c r="D574" t="inlineStr">
        <is>
          <t>KALMAR LÄN</t>
        </is>
      </c>
      <c r="E574" t="inlineStr">
        <is>
          <t>VIMMERBY</t>
        </is>
      </c>
      <c r="G574" t="n">
        <v>0.9</v>
      </c>
      <c r="H574" t="n">
        <v>0</v>
      </c>
      <c r="I574" t="n">
        <v>0</v>
      </c>
      <c r="J574" t="n">
        <v>0</v>
      </c>
      <c r="K574" t="n">
        <v>0</v>
      </c>
      <c r="L574" t="n">
        <v>0</v>
      </c>
      <c r="M574" t="n">
        <v>0</v>
      </c>
      <c r="N574" t="n">
        <v>0</v>
      </c>
      <c r="O574" t="n">
        <v>0</v>
      </c>
      <c r="P574" t="n">
        <v>0</v>
      </c>
      <c r="Q574" t="n">
        <v>0</v>
      </c>
      <c r="R574" s="2" t="inlineStr"/>
    </row>
    <row r="575" ht="15" customHeight="1">
      <c r="A575" t="inlineStr">
        <is>
          <t>A 27993-2022</t>
        </is>
      </c>
      <c r="B575" s="1" t="n">
        <v>44745.84396990741</v>
      </c>
      <c r="C575" s="1" t="n">
        <v>45905</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38969-2023</t>
        </is>
      </c>
      <c r="B576" s="1" t="n">
        <v>45163.63621527778</v>
      </c>
      <c r="C576" s="1" t="n">
        <v>45905</v>
      </c>
      <c r="D576" t="inlineStr">
        <is>
          <t>KALMAR LÄN</t>
        </is>
      </c>
      <c r="E576" t="inlineStr">
        <is>
          <t>VIMMERBY</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32116-2025</t>
        </is>
      </c>
      <c r="B577" s="1" t="n">
        <v>45835.48862268519</v>
      </c>
      <c r="C577" s="1" t="n">
        <v>45905</v>
      </c>
      <c r="D577" t="inlineStr">
        <is>
          <t>KALMAR LÄN</t>
        </is>
      </c>
      <c r="E577" t="inlineStr">
        <is>
          <t>VIMMERBY</t>
        </is>
      </c>
      <c r="G577" t="n">
        <v>0.9</v>
      </c>
      <c r="H577" t="n">
        <v>0</v>
      </c>
      <c r="I577" t="n">
        <v>0</v>
      </c>
      <c r="J577" t="n">
        <v>0</v>
      </c>
      <c r="K577" t="n">
        <v>0</v>
      </c>
      <c r="L577" t="n">
        <v>0</v>
      </c>
      <c r="M577" t="n">
        <v>0</v>
      </c>
      <c r="N577" t="n">
        <v>0</v>
      </c>
      <c r="O577" t="n">
        <v>0</v>
      </c>
      <c r="P577" t="n">
        <v>0</v>
      </c>
      <c r="Q577" t="n">
        <v>0</v>
      </c>
      <c r="R577" s="2" t="inlineStr"/>
    </row>
    <row r="578" ht="15" customHeight="1">
      <c r="A578" t="inlineStr">
        <is>
          <t>A 37578-2025</t>
        </is>
      </c>
      <c r="B578" s="1" t="n">
        <v>45880.38380787037</v>
      </c>
      <c r="C578" s="1" t="n">
        <v>45905</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53752-2024</t>
        </is>
      </c>
      <c r="B579" s="1" t="n">
        <v>45615.48927083334</v>
      </c>
      <c r="C579" s="1" t="n">
        <v>45905</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37667-2025</t>
        </is>
      </c>
      <c r="B580" s="1" t="n">
        <v>45880.51413194444</v>
      </c>
      <c r="C580" s="1" t="n">
        <v>45905</v>
      </c>
      <c r="D580" t="inlineStr">
        <is>
          <t>KALMAR LÄN</t>
        </is>
      </c>
      <c r="E580" t="inlineStr">
        <is>
          <t>VIMMERBY</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37668-2025</t>
        </is>
      </c>
      <c r="B581" s="1" t="n">
        <v>45880.51550925926</v>
      </c>
      <c r="C581" s="1" t="n">
        <v>45905</v>
      </c>
      <c r="D581" t="inlineStr">
        <is>
          <t>KALMAR LÄN</t>
        </is>
      </c>
      <c r="E581" t="inlineStr">
        <is>
          <t>VIMMERBY</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32380-2025</t>
        </is>
      </c>
      <c r="B582" s="1" t="n">
        <v>45837.77701388889</v>
      </c>
      <c r="C582" s="1" t="n">
        <v>45905</v>
      </c>
      <c r="D582" t="inlineStr">
        <is>
          <t>KALMAR LÄN</t>
        </is>
      </c>
      <c r="E582" t="inlineStr">
        <is>
          <t>VIMMERBY</t>
        </is>
      </c>
      <c r="G582" t="n">
        <v>3.1</v>
      </c>
      <c r="H582" t="n">
        <v>0</v>
      </c>
      <c r="I582" t="n">
        <v>0</v>
      </c>
      <c r="J582" t="n">
        <v>0</v>
      </c>
      <c r="K582" t="n">
        <v>0</v>
      </c>
      <c r="L582" t="n">
        <v>0</v>
      </c>
      <c r="M582" t="n">
        <v>0</v>
      </c>
      <c r="N582" t="n">
        <v>0</v>
      </c>
      <c r="O582" t="n">
        <v>0</v>
      </c>
      <c r="P582" t="n">
        <v>0</v>
      </c>
      <c r="Q582" t="n">
        <v>0</v>
      </c>
      <c r="R582" s="2" t="inlineStr"/>
    </row>
    <row r="583" ht="15" customHeight="1">
      <c r="A583" t="inlineStr">
        <is>
          <t>A 32109-2025</t>
        </is>
      </c>
      <c r="B583" s="1" t="n">
        <v>45835.48267361111</v>
      </c>
      <c r="C583" s="1" t="n">
        <v>45905</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32113-2025</t>
        </is>
      </c>
      <c r="B584" s="1" t="n">
        <v>45835.48445601852</v>
      </c>
      <c r="C584" s="1" t="n">
        <v>45905</v>
      </c>
      <c r="D584" t="inlineStr">
        <is>
          <t>KALMAR LÄN</t>
        </is>
      </c>
      <c r="E584" t="inlineStr">
        <is>
          <t>VIMMERBY</t>
        </is>
      </c>
      <c r="G584" t="n">
        <v>3.5</v>
      </c>
      <c r="H584" t="n">
        <v>0</v>
      </c>
      <c r="I584" t="n">
        <v>0</v>
      </c>
      <c r="J584" t="n">
        <v>0</v>
      </c>
      <c r="K584" t="n">
        <v>0</v>
      </c>
      <c r="L584" t="n">
        <v>0</v>
      </c>
      <c r="M584" t="n">
        <v>0</v>
      </c>
      <c r="N584" t="n">
        <v>0</v>
      </c>
      <c r="O584" t="n">
        <v>0</v>
      </c>
      <c r="P584" t="n">
        <v>0</v>
      </c>
      <c r="Q584" t="n">
        <v>0</v>
      </c>
      <c r="R584" s="2" t="inlineStr"/>
    </row>
    <row r="585" ht="15" customHeight="1">
      <c r="A585" t="inlineStr">
        <is>
          <t>A 32077-2025</t>
        </is>
      </c>
      <c r="B585" s="1" t="n">
        <v>45835.45099537037</v>
      </c>
      <c r="C585" s="1" t="n">
        <v>45905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32382-2025</t>
        </is>
      </c>
      <c r="B586" s="1" t="n">
        <v>45837.77916666667</v>
      </c>
      <c r="C586" s="1" t="n">
        <v>45905</v>
      </c>
      <c r="D586" t="inlineStr">
        <is>
          <t>KALMAR LÄN</t>
        </is>
      </c>
      <c r="E586" t="inlineStr">
        <is>
          <t>VIMMERBY</t>
        </is>
      </c>
      <c r="G586" t="n">
        <v>4.6</v>
      </c>
      <c r="H586" t="n">
        <v>0</v>
      </c>
      <c r="I586" t="n">
        <v>0</v>
      </c>
      <c r="J586" t="n">
        <v>0</v>
      </c>
      <c r="K586" t="n">
        <v>0</v>
      </c>
      <c r="L586" t="n">
        <v>0</v>
      </c>
      <c r="M586" t="n">
        <v>0</v>
      </c>
      <c r="N586" t="n">
        <v>0</v>
      </c>
      <c r="O586" t="n">
        <v>0</v>
      </c>
      <c r="P586" t="n">
        <v>0</v>
      </c>
      <c r="Q586" t="n">
        <v>0</v>
      </c>
      <c r="R586" s="2" t="inlineStr"/>
    </row>
    <row r="587" ht="15" customHeight="1">
      <c r="A587" t="inlineStr">
        <is>
          <t>A 32064-2025</t>
        </is>
      </c>
      <c r="B587" s="1" t="n">
        <v>45835.44709490741</v>
      </c>
      <c r="C587" s="1" t="n">
        <v>45905</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32065-2025</t>
        </is>
      </c>
      <c r="B588" s="1" t="n">
        <v>45835.44732638889</v>
      </c>
      <c r="C588" s="1" t="n">
        <v>45905</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58728-2024</t>
        </is>
      </c>
      <c r="B589" s="1" t="n">
        <v>45635.66695601852</v>
      </c>
      <c r="C589" s="1" t="n">
        <v>45905</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43242-2024</t>
        </is>
      </c>
      <c r="B590" s="1" t="n">
        <v>45568.30189814815</v>
      </c>
      <c r="C590" s="1" t="n">
        <v>45905</v>
      </c>
      <c r="D590" t="inlineStr">
        <is>
          <t>KALMAR LÄN</t>
        </is>
      </c>
      <c r="E590" t="inlineStr">
        <is>
          <t>VIMMERBY</t>
        </is>
      </c>
      <c r="G590" t="n">
        <v>2.6</v>
      </c>
      <c r="H590" t="n">
        <v>0</v>
      </c>
      <c r="I590" t="n">
        <v>0</v>
      </c>
      <c r="J590" t="n">
        <v>0</v>
      </c>
      <c r="K590" t="n">
        <v>0</v>
      </c>
      <c r="L590" t="n">
        <v>0</v>
      </c>
      <c r="M590" t="n">
        <v>0</v>
      </c>
      <c r="N590" t="n">
        <v>0</v>
      </c>
      <c r="O590" t="n">
        <v>0</v>
      </c>
      <c r="P590" t="n">
        <v>0</v>
      </c>
      <c r="Q590" t="n">
        <v>0</v>
      </c>
      <c r="R590" s="2" t="inlineStr"/>
    </row>
    <row r="591" ht="15" customHeight="1">
      <c r="A591" t="inlineStr">
        <is>
          <t>A 16983-2023</t>
        </is>
      </c>
      <c r="B591" s="1" t="n">
        <v>45033.76043981482</v>
      </c>
      <c r="C591" s="1" t="n">
        <v>45905</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6405-2025</t>
        </is>
      </c>
      <c r="B592" s="1" t="n">
        <v>45699.45392361111</v>
      </c>
      <c r="C592" s="1" t="n">
        <v>45905</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36843-2023</t>
        </is>
      </c>
      <c r="B593" s="1" t="n">
        <v>45154.49831018518</v>
      </c>
      <c r="C593" s="1" t="n">
        <v>45905</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37866-2025</t>
        </is>
      </c>
      <c r="B594" s="1" t="n">
        <v>45881</v>
      </c>
      <c r="C594" s="1" t="n">
        <v>45905</v>
      </c>
      <c r="D594" t="inlineStr">
        <is>
          <t>KALMAR LÄN</t>
        </is>
      </c>
      <c r="E594" t="inlineStr">
        <is>
          <t>VIMMERBY</t>
        </is>
      </c>
      <c r="G594" t="n">
        <v>3.4</v>
      </c>
      <c r="H594" t="n">
        <v>0</v>
      </c>
      <c r="I594" t="n">
        <v>0</v>
      </c>
      <c r="J594" t="n">
        <v>0</v>
      </c>
      <c r="K594" t="n">
        <v>0</v>
      </c>
      <c r="L594" t="n">
        <v>0</v>
      </c>
      <c r="M594" t="n">
        <v>0</v>
      </c>
      <c r="N594" t="n">
        <v>0</v>
      </c>
      <c r="O594" t="n">
        <v>0</v>
      </c>
      <c r="P594" t="n">
        <v>0</v>
      </c>
      <c r="Q594" t="n">
        <v>0</v>
      </c>
      <c r="R594" s="2" t="inlineStr"/>
    </row>
    <row r="595" ht="15" customHeight="1">
      <c r="A595" t="inlineStr">
        <is>
          <t>A 57486-2024</t>
        </is>
      </c>
      <c r="B595" s="1" t="n">
        <v>45630.35827546296</v>
      </c>
      <c r="C595" s="1" t="n">
        <v>45905</v>
      </c>
      <c r="D595" t="inlineStr">
        <is>
          <t>KALMAR LÄN</t>
        </is>
      </c>
      <c r="E595" t="inlineStr">
        <is>
          <t>VIMMERBY</t>
        </is>
      </c>
      <c r="G595" t="n">
        <v>0.4</v>
      </c>
      <c r="H595" t="n">
        <v>0</v>
      </c>
      <c r="I595" t="n">
        <v>0</v>
      </c>
      <c r="J595" t="n">
        <v>0</v>
      </c>
      <c r="K595" t="n">
        <v>0</v>
      </c>
      <c r="L595" t="n">
        <v>0</v>
      </c>
      <c r="M595" t="n">
        <v>0</v>
      </c>
      <c r="N595" t="n">
        <v>0</v>
      </c>
      <c r="O595" t="n">
        <v>0</v>
      </c>
      <c r="P595" t="n">
        <v>0</v>
      </c>
      <c r="Q595" t="n">
        <v>0</v>
      </c>
      <c r="R595" s="2" t="inlineStr"/>
    </row>
    <row r="596" ht="15" customHeight="1">
      <c r="A596" t="inlineStr">
        <is>
          <t>A 2121-2022</t>
        </is>
      </c>
      <c r="B596" s="1" t="n">
        <v>44578.32717592592</v>
      </c>
      <c r="C596" s="1" t="n">
        <v>45905</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33186-2025</t>
        </is>
      </c>
      <c r="B597" s="1" t="n">
        <v>45840.59474537037</v>
      </c>
      <c r="C597" s="1" t="n">
        <v>45905</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33188-2025</t>
        </is>
      </c>
      <c r="B598" s="1" t="n">
        <v>45840.59853009259</v>
      </c>
      <c r="C598" s="1" t="n">
        <v>45905</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66295-2020</t>
        </is>
      </c>
      <c r="B599" s="1" t="n">
        <v>44176</v>
      </c>
      <c r="C599" s="1" t="n">
        <v>45905</v>
      </c>
      <c r="D599" t="inlineStr">
        <is>
          <t>KALMAR LÄN</t>
        </is>
      </c>
      <c r="E599" t="inlineStr">
        <is>
          <t>VIMMERBY</t>
        </is>
      </c>
      <c r="G599" t="n">
        <v>4.1</v>
      </c>
      <c r="H599" t="n">
        <v>0</v>
      </c>
      <c r="I599" t="n">
        <v>0</v>
      </c>
      <c r="J599" t="n">
        <v>0</v>
      </c>
      <c r="K599" t="n">
        <v>0</v>
      </c>
      <c r="L599" t="n">
        <v>0</v>
      </c>
      <c r="M599" t="n">
        <v>0</v>
      </c>
      <c r="N599" t="n">
        <v>0</v>
      </c>
      <c r="O599" t="n">
        <v>0</v>
      </c>
      <c r="P599" t="n">
        <v>0</v>
      </c>
      <c r="Q599" t="n">
        <v>0</v>
      </c>
      <c r="R599" s="2" t="inlineStr"/>
    </row>
    <row r="600" ht="15" customHeight="1">
      <c r="A600" t="inlineStr">
        <is>
          <t>A 57799-2022</t>
        </is>
      </c>
      <c r="B600" s="1" t="n">
        <v>44897</v>
      </c>
      <c r="C600" s="1" t="n">
        <v>45905</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15394-2025</t>
        </is>
      </c>
      <c r="B601" s="1" t="n">
        <v>45747.43196759259</v>
      </c>
      <c r="C601" s="1" t="n">
        <v>45905</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30977-2025</t>
        </is>
      </c>
      <c r="B602" s="1" t="n">
        <v>45832.46649305556</v>
      </c>
      <c r="C602" s="1" t="n">
        <v>45905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26318-2023</t>
        </is>
      </c>
      <c r="B603" s="1" t="n">
        <v>45091.67936342592</v>
      </c>
      <c r="C603" s="1" t="n">
        <v>45905</v>
      </c>
      <c r="D603" t="inlineStr">
        <is>
          <t>KALMAR LÄN</t>
        </is>
      </c>
      <c r="E603" t="inlineStr">
        <is>
          <t>VIMMERBY</t>
        </is>
      </c>
      <c r="G603" t="n">
        <v>3.8</v>
      </c>
      <c r="H603" t="n">
        <v>0</v>
      </c>
      <c r="I603" t="n">
        <v>0</v>
      </c>
      <c r="J603" t="n">
        <v>0</v>
      </c>
      <c r="K603" t="n">
        <v>0</v>
      </c>
      <c r="L603" t="n">
        <v>0</v>
      </c>
      <c r="M603" t="n">
        <v>0</v>
      </c>
      <c r="N603" t="n">
        <v>0</v>
      </c>
      <c r="O603" t="n">
        <v>0</v>
      </c>
      <c r="P603" t="n">
        <v>0</v>
      </c>
      <c r="Q603" t="n">
        <v>0</v>
      </c>
      <c r="R603" s="2" t="inlineStr"/>
    </row>
    <row r="604" ht="15" customHeight="1">
      <c r="A604" t="inlineStr">
        <is>
          <t>A 60437-2023</t>
        </is>
      </c>
      <c r="B604" s="1" t="n">
        <v>45259.51916666667</v>
      </c>
      <c r="C604" s="1" t="n">
        <v>45905</v>
      </c>
      <c r="D604" t="inlineStr">
        <is>
          <t>KALMAR LÄN</t>
        </is>
      </c>
      <c r="E604" t="inlineStr">
        <is>
          <t>VIMMERBY</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60438-2023</t>
        </is>
      </c>
      <c r="B605" s="1" t="n">
        <v>45259.52020833334</v>
      </c>
      <c r="C605" s="1" t="n">
        <v>45905</v>
      </c>
      <c r="D605" t="inlineStr">
        <is>
          <t>KALMAR LÄN</t>
        </is>
      </c>
      <c r="E605" t="inlineStr">
        <is>
          <t>VIMMERBY</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44423-2023</t>
        </is>
      </c>
      <c r="B606" s="1" t="n">
        <v>45189</v>
      </c>
      <c r="C606" s="1" t="n">
        <v>45905</v>
      </c>
      <c r="D606" t="inlineStr">
        <is>
          <t>KALMAR LÄN</t>
        </is>
      </c>
      <c r="E606" t="inlineStr">
        <is>
          <t>VIMMERBY</t>
        </is>
      </c>
      <c r="G606" t="n">
        <v>0.7</v>
      </c>
      <c r="H606" t="n">
        <v>0</v>
      </c>
      <c r="I606" t="n">
        <v>0</v>
      </c>
      <c r="J606" t="n">
        <v>0</v>
      </c>
      <c r="K606" t="n">
        <v>0</v>
      </c>
      <c r="L606" t="n">
        <v>0</v>
      </c>
      <c r="M606" t="n">
        <v>0</v>
      </c>
      <c r="N606" t="n">
        <v>0</v>
      </c>
      <c r="O606" t="n">
        <v>0</v>
      </c>
      <c r="P606" t="n">
        <v>0</v>
      </c>
      <c r="Q606" t="n">
        <v>0</v>
      </c>
      <c r="R606" s="2" t="inlineStr"/>
    </row>
    <row r="607" ht="15" customHeight="1">
      <c r="A607" t="inlineStr">
        <is>
          <t>A 13076-2025</t>
        </is>
      </c>
      <c r="B607" s="1" t="n">
        <v>45734.62017361111</v>
      </c>
      <c r="C607" s="1" t="n">
        <v>45905</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37939-2025</t>
        </is>
      </c>
      <c r="B608" s="1" t="n">
        <v>45881.59877314815</v>
      </c>
      <c r="C608" s="1" t="n">
        <v>45905</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38604-2025</t>
        </is>
      </c>
      <c r="B609" s="1" t="n">
        <v>45884.50613425926</v>
      </c>
      <c r="C609" s="1" t="n">
        <v>45905</v>
      </c>
      <c r="D609" t="inlineStr">
        <is>
          <t>KALMAR LÄN</t>
        </is>
      </c>
      <c r="E609" t="inlineStr">
        <is>
          <t>VIMMERBY</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20-2025</t>
        </is>
      </c>
      <c r="B610" s="1" t="n">
        <v>45658.80232638889</v>
      </c>
      <c r="C610" s="1" t="n">
        <v>45905</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23-2025</t>
        </is>
      </c>
      <c r="B611" s="1" t="n">
        <v>45658.80827546296</v>
      </c>
      <c r="C611" s="1" t="n">
        <v>45905</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21496-2023</t>
        </is>
      </c>
      <c r="B612" s="1" t="n">
        <v>45063.49936342592</v>
      </c>
      <c r="C612" s="1" t="n">
        <v>45905</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33695-2025</t>
        </is>
      </c>
      <c r="B613" s="1" t="n">
        <v>45841.70569444444</v>
      </c>
      <c r="C613" s="1" t="n">
        <v>45905</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33698-2025</t>
        </is>
      </c>
      <c r="B614" s="1" t="n">
        <v>45841.70868055556</v>
      </c>
      <c r="C614" s="1" t="n">
        <v>45905</v>
      </c>
      <c r="D614" t="inlineStr">
        <is>
          <t>KALMAR LÄN</t>
        </is>
      </c>
      <c r="E614" t="inlineStr">
        <is>
          <t>VIMMERBY</t>
        </is>
      </c>
      <c r="G614" t="n">
        <v>3.7</v>
      </c>
      <c r="H614" t="n">
        <v>0</v>
      </c>
      <c r="I614" t="n">
        <v>0</v>
      </c>
      <c r="J614" t="n">
        <v>0</v>
      </c>
      <c r="K614" t="n">
        <v>0</v>
      </c>
      <c r="L614" t="n">
        <v>0</v>
      </c>
      <c r="M614" t="n">
        <v>0</v>
      </c>
      <c r="N614" t="n">
        <v>0</v>
      </c>
      <c r="O614" t="n">
        <v>0</v>
      </c>
      <c r="P614" t="n">
        <v>0</v>
      </c>
      <c r="Q614" t="n">
        <v>0</v>
      </c>
      <c r="R614" s="2" t="inlineStr"/>
    </row>
    <row r="615" ht="15" customHeight="1">
      <c r="A615" t="inlineStr">
        <is>
          <t>A 31056-2022</t>
        </is>
      </c>
      <c r="B615" s="1" t="n">
        <v>44769.45805555556</v>
      </c>
      <c r="C615" s="1" t="n">
        <v>45905</v>
      </c>
      <c r="D615" t="inlineStr">
        <is>
          <t>KALMAR LÄN</t>
        </is>
      </c>
      <c r="E615" t="inlineStr">
        <is>
          <t>VIMMERBY</t>
        </is>
      </c>
      <c r="G615" t="n">
        <v>2</v>
      </c>
      <c r="H615" t="n">
        <v>0</v>
      </c>
      <c r="I615" t="n">
        <v>0</v>
      </c>
      <c r="J615" t="n">
        <v>0</v>
      </c>
      <c r="K615" t="n">
        <v>0</v>
      </c>
      <c r="L615" t="n">
        <v>0</v>
      </c>
      <c r="M615" t="n">
        <v>0</v>
      </c>
      <c r="N615" t="n">
        <v>0</v>
      </c>
      <c r="O615" t="n">
        <v>0</v>
      </c>
      <c r="P615" t="n">
        <v>0</v>
      </c>
      <c r="Q615" t="n">
        <v>0</v>
      </c>
      <c r="R615" s="2" t="inlineStr"/>
    </row>
    <row r="616" ht="15" customHeight="1">
      <c r="A616" t="inlineStr">
        <is>
          <t>A 7758-2024</t>
        </is>
      </c>
      <c r="B616" s="1" t="n">
        <v>45349.54434027777</v>
      </c>
      <c r="C616" s="1" t="n">
        <v>45905</v>
      </c>
      <c r="D616" t="inlineStr">
        <is>
          <t>KALMAR LÄN</t>
        </is>
      </c>
      <c r="E616" t="inlineStr">
        <is>
          <t>VIMMERBY</t>
        </is>
      </c>
      <c r="G616" t="n">
        <v>3.5</v>
      </c>
      <c r="H616" t="n">
        <v>0</v>
      </c>
      <c r="I616" t="n">
        <v>0</v>
      </c>
      <c r="J616" t="n">
        <v>0</v>
      </c>
      <c r="K616" t="n">
        <v>0</v>
      </c>
      <c r="L616" t="n">
        <v>0</v>
      </c>
      <c r="M616" t="n">
        <v>0</v>
      </c>
      <c r="N616" t="n">
        <v>0</v>
      </c>
      <c r="O616" t="n">
        <v>0</v>
      </c>
      <c r="P616" t="n">
        <v>0</v>
      </c>
      <c r="Q616" t="n">
        <v>0</v>
      </c>
      <c r="R616" s="2" t="inlineStr"/>
    </row>
    <row r="617" ht="15" customHeight="1">
      <c r="A617" t="inlineStr">
        <is>
          <t>A 7456-2024</t>
        </is>
      </c>
      <c r="B617" s="1" t="n">
        <v>45345.83557870371</v>
      </c>
      <c r="C617" s="1" t="n">
        <v>45905</v>
      </c>
      <c r="D617" t="inlineStr">
        <is>
          <t>KALMAR LÄN</t>
        </is>
      </c>
      <c r="E617" t="inlineStr">
        <is>
          <t>VIMMERBY</t>
        </is>
      </c>
      <c r="G617" t="n">
        <v>4.1</v>
      </c>
      <c r="H617" t="n">
        <v>0</v>
      </c>
      <c r="I617" t="n">
        <v>0</v>
      </c>
      <c r="J617" t="n">
        <v>0</v>
      </c>
      <c r="K617" t="n">
        <v>0</v>
      </c>
      <c r="L617" t="n">
        <v>0</v>
      </c>
      <c r="M617" t="n">
        <v>0</v>
      </c>
      <c r="N617" t="n">
        <v>0</v>
      </c>
      <c r="O617" t="n">
        <v>0</v>
      </c>
      <c r="P617" t="n">
        <v>0</v>
      </c>
      <c r="Q617" t="n">
        <v>0</v>
      </c>
      <c r="R617" s="2" t="inlineStr"/>
    </row>
    <row r="618" ht="15" customHeight="1">
      <c r="A618" t="inlineStr">
        <is>
          <t>A 6082-2022</t>
        </is>
      </c>
      <c r="B618" s="1" t="n">
        <v>44599</v>
      </c>
      <c r="C618" s="1" t="n">
        <v>45905</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33696-2025</t>
        </is>
      </c>
      <c r="B619" s="1" t="n">
        <v>45841.7072337963</v>
      </c>
      <c r="C619" s="1" t="n">
        <v>45905</v>
      </c>
      <c r="D619" t="inlineStr">
        <is>
          <t>KALMAR LÄN</t>
        </is>
      </c>
      <c r="E619" t="inlineStr">
        <is>
          <t>VIMMERBY</t>
        </is>
      </c>
      <c r="G619" t="n">
        <v>1.1</v>
      </c>
      <c r="H619" t="n">
        <v>0</v>
      </c>
      <c r="I619" t="n">
        <v>0</v>
      </c>
      <c r="J619" t="n">
        <v>0</v>
      </c>
      <c r="K619" t="n">
        <v>0</v>
      </c>
      <c r="L619" t="n">
        <v>0</v>
      </c>
      <c r="M619" t="n">
        <v>0</v>
      </c>
      <c r="N619" t="n">
        <v>0</v>
      </c>
      <c r="O619" t="n">
        <v>0</v>
      </c>
      <c r="P619" t="n">
        <v>0</v>
      </c>
      <c r="Q619" t="n">
        <v>0</v>
      </c>
      <c r="R619" s="2" t="inlineStr"/>
    </row>
    <row r="620" ht="15" customHeight="1">
      <c r="A620" t="inlineStr">
        <is>
          <t>A 46979-2023</t>
        </is>
      </c>
      <c r="B620" s="1" t="n">
        <v>45201</v>
      </c>
      <c r="C620" s="1" t="n">
        <v>45905</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2596-2025</t>
        </is>
      </c>
      <c r="B621" s="1" t="n">
        <v>45674.71810185185</v>
      </c>
      <c r="C621" s="1" t="n">
        <v>45905</v>
      </c>
      <c r="D621" t="inlineStr">
        <is>
          <t>KALMAR LÄN</t>
        </is>
      </c>
      <c r="E621" t="inlineStr">
        <is>
          <t>VIMMERBY</t>
        </is>
      </c>
      <c r="G621" t="n">
        <v>9</v>
      </c>
      <c r="H621" t="n">
        <v>0</v>
      </c>
      <c r="I621" t="n">
        <v>0</v>
      </c>
      <c r="J621" t="n">
        <v>0</v>
      </c>
      <c r="K621" t="n">
        <v>0</v>
      </c>
      <c r="L621" t="n">
        <v>0</v>
      </c>
      <c r="M621" t="n">
        <v>0</v>
      </c>
      <c r="N621" t="n">
        <v>0</v>
      </c>
      <c r="O621" t="n">
        <v>0</v>
      </c>
      <c r="P621" t="n">
        <v>0</v>
      </c>
      <c r="Q621" t="n">
        <v>0</v>
      </c>
      <c r="R621" s="2" t="inlineStr"/>
    </row>
    <row r="622" ht="15" customHeight="1">
      <c r="A622" t="inlineStr">
        <is>
          <t>A 47855-2024</t>
        </is>
      </c>
      <c r="B622" s="1" t="n">
        <v>45588.66457175926</v>
      </c>
      <c r="C622" s="1" t="n">
        <v>45905</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63583-2023</t>
        </is>
      </c>
      <c r="B623" s="1" t="n">
        <v>45275.41833333333</v>
      </c>
      <c r="C623" s="1" t="n">
        <v>45905</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38602-2025</t>
        </is>
      </c>
      <c r="B624" s="1" t="n">
        <v>45884.50331018519</v>
      </c>
      <c r="C624" s="1" t="n">
        <v>45905</v>
      </c>
      <c r="D624" t="inlineStr">
        <is>
          <t>KALMAR LÄN</t>
        </is>
      </c>
      <c r="E624" t="inlineStr">
        <is>
          <t>VIMMERBY</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72701-2021</t>
        </is>
      </c>
      <c r="B625" s="1" t="n">
        <v>44546</v>
      </c>
      <c r="C625" s="1" t="n">
        <v>45905</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52294-2023</t>
        </is>
      </c>
      <c r="B626" s="1" t="n">
        <v>45224.60075231481</v>
      </c>
      <c r="C626" s="1" t="n">
        <v>45905</v>
      </c>
      <c r="D626" t="inlineStr">
        <is>
          <t>KALMAR LÄN</t>
        </is>
      </c>
      <c r="E626" t="inlineStr">
        <is>
          <t>VIMMERBY</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61355-2024</t>
        </is>
      </c>
      <c r="B627" s="1" t="n">
        <v>45646.38200231481</v>
      </c>
      <c r="C627" s="1" t="n">
        <v>45905</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60228-2021</t>
        </is>
      </c>
      <c r="B628" s="1" t="n">
        <v>44495</v>
      </c>
      <c r="C628" s="1" t="n">
        <v>45905</v>
      </c>
      <c r="D628" t="inlineStr">
        <is>
          <t>KALMAR LÄN</t>
        </is>
      </c>
      <c r="E628" t="inlineStr">
        <is>
          <t>VIMMERBY</t>
        </is>
      </c>
      <c r="G628" t="n">
        <v>4.1</v>
      </c>
      <c r="H628" t="n">
        <v>0</v>
      </c>
      <c r="I628" t="n">
        <v>0</v>
      </c>
      <c r="J628" t="n">
        <v>0</v>
      </c>
      <c r="K628" t="n">
        <v>0</v>
      </c>
      <c r="L628" t="n">
        <v>0</v>
      </c>
      <c r="M628" t="n">
        <v>0</v>
      </c>
      <c r="N628" t="n">
        <v>0</v>
      </c>
      <c r="O628" t="n">
        <v>0</v>
      </c>
      <c r="P628" t="n">
        <v>0</v>
      </c>
      <c r="Q628" t="n">
        <v>0</v>
      </c>
      <c r="R628" s="2" t="inlineStr"/>
    </row>
    <row r="629" ht="15" customHeight="1">
      <c r="A629" t="inlineStr">
        <is>
          <t>A 28702-2025</t>
        </is>
      </c>
      <c r="B629" s="1" t="n">
        <v>45820.03976851852</v>
      </c>
      <c r="C629" s="1" t="n">
        <v>45905</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46522-2022</t>
        </is>
      </c>
      <c r="B630" s="1" t="n">
        <v>44848.59133101852</v>
      </c>
      <c r="C630" s="1" t="n">
        <v>45905</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21109-2024</t>
        </is>
      </c>
      <c r="B631" s="1" t="n">
        <v>45440.28329861111</v>
      </c>
      <c r="C631" s="1" t="n">
        <v>45905</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33815-2022</t>
        </is>
      </c>
      <c r="B632" s="1" t="n">
        <v>44790.45876157407</v>
      </c>
      <c r="C632" s="1" t="n">
        <v>45905</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33374-2021</t>
        </is>
      </c>
      <c r="B633" s="1" t="n">
        <v>44377</v>
      </c>
      <c r="C633" s="1" t="n">
        <v>45905</v>
      </c>
      <c r="D633" t="inlineStr">
        <is>
          <t>KALMAR LÄN</t>
        </is>
      </c>
      <c r="E633" t="inlineStr">
        <is>
          <t>VIMMERBY</t>
        </is>
      </c>
      <c r="G633" t="n">
        <v>3.3</v>
      </c>
      <c r="H633" t="n">
        <v>0</v>
      </c>
      <c r="I633" t="n">
        <v>0</v>
      </c>
      <c r="J633" t="n">
        <v>0</v>
      </c>
      <c r="K633" t="n">
        <v>0</v>
      </c>
      <c r="L633" t="n">
        <v>0</v>
      </c>
      <c r="M633" t="n">
        <v>0</v>
      </c>
      <c r="N633" t="n">
        <v>0</v>
      </c>
      <c r="O633" t="n">
        <v>0</v>
      </c>
      <c r="P633" t="n">
        <v>0</v>
      </c>
      <c r="Q633" t="n">
        <v>0</v>
      </c>
      <c r="R633" s="2" t="inlineStr"/>
    </row>
    <row r="634" ht="15" customHeight="1">
      <c r="A634" t="inlineStr">
        <is>
          <t>A 38964-2025</t>
        </is>
      </c>
      <c r="B634" s="1" t="n">
        <v>45887.68759259259</v>
      </c>
      <c r="C634" s="1" t="n">
        <v>45905</v>
      </c>
      <c r="D634" t="inlineStr">
        <is>
          <t>KALMAR LÄN</t>
        </is>
      </c>
      <c r="E634" t="inlineStr">
        <is>
          <t>VIMMERBY</t>
        </is>
      </c>
      <c r="G634" t="n">
        <v>7.5</v>
      </c>
      <c r="H634" t="n">
        <v>0</v>
      </c>
      <c r="I634" t="n">
        <v>0</v>
      </c>
      <c r="J634" t="n">
        <v>0</v>
      </c>
      <c r="K634" t="n">
        <v>0</v>
      </c>
      <c r="L634" t="n">
        <v>0</v>
      </c>
      <c r="M634" t="n">
        <v>0</v>
      </c>
      <c r="N634" t="n">
        <v>0</v>
      </c>
      <c r="O634" t="n">
        <v>0</v>
      </c>
      <c r="P634" t="n">
        <v>0</v>
      </c>
      <c r="Q634" t="n">
        <v>0</v>
      </c>
      <c r="R634" s="2" t="inlineStr"/>
    </row>
    <row r="635" ht="15" customHeight="1">
      <c r="A635" t="inlineStr">
        <is>
          <t>A 49461-2022</t>
        </is>
      </c>
      <c r="B635" s="1" t="n">
        <v>44861</v>
      </c>
      <c r="C635" s="1" t="n">
        <v>45905</v>
      </c>
      <c r="D635" t="inlineStr">
        <is>
          <t>KALMAR LÄN</t>
        </is>
      </c>
      <c r="E635" t="inlineStr">
        <is>
          <t>VIMMERBY</t>
        </is>
      </c>
      <c r="G635" t="n">
        <v>3.2</v>
      </c>
      <c r="H635" t="n">
        <v>0</v>
      </c>
      <c r="I635" t="n">
        <v>0</v>
      </c>
      <c r="J635" t="n">
        <v>0</v>
      </c>
      <c r="K635" t="n">
        <v>0</v>
      </c>
      <c r="L635" t="n">
        <v>0</v>
      </c>
      <c r="M635" t="n">
        <v>0</v>
      </c>
      <c r="N635" t="n">
        <v>0</v>
      </c>
      <c r="O635" t="n">
        <v>0</v>
      </c>
      <c r="P635" t="n">
        <v>0</v>
      </c>
      <c r="Q635" t="n">
        <v>0</v>
      </c>
      <c r="R635" s="2" t="inlineStr"/>
    </row>
    <row r="636" ht="15" customHeight="1">
      <c r="A636" t="inlineStr">
        <is>
          <t>A 53542-2022</t>
        </is>
      </c>
      <c r="B636" s="1" t="n">
        <v>44879.62173611111</v>
      </c>
      <c r="C636" s="1" t="n">
        <v>45905</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35713-2023</t>
        </is>
      </c>
      <c r="B637" s="1" t="n">
        <v>45147</v>
      </c>
      <c r="C637" s="1" t="n">
        <v>45905</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10424-2023</t>
        </is>
      </c>
      <c r="B638" s="1" t="n">
        <v>44987.54104166666</v>
      </c>
      <c r="C638" s="1" t="n">
        <v>45905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10759-2023</t>
        </is>
      </c>
      <c r="B639" s="1" t="n">
        <v>44988</v>
      </c>
      <c r="C639" s="1" t="n">
        <v>45905</v>
      </c>
      <c r="D639" t="inlineStr">
        <is>
          <t>KALMAR LÄN</t>
        </is>
      </c>
      <c r="E639" t="inlineStr">
        <is>
          <t>VIMMERBY</t>
        </is>
      </c>
      <c r="G639" t="n">
        <v>0.4</v>
      </c>
      <c r="H639" t="n">
        <v>0</v>
      </c>
      <c r="I639" t="n">
        <v>0</v>
      </c>
      <c r="J639" t="n">
        <v>0</v>
      </c>
      <c r="K639" t="n">
        <v>0</v>
      </c>
      <c r="L639" t="n">
        <v>0</v>
      </c>
      <c r="M639" t="n">
        <v>0</v>
      </c>
      <c r="N639" t="n">
        <v>0</v>
      </c>
      <c r="O639" t="n">
        <v>0</v>
      </c>
      <c r="P639" t="n">
        <v>0</v>
      </c>
      <c r="Q639" t="n">
        <v>0</v>
      </c>
      <c r="R639" s="2" t="inlineStr"/>
    </row>
    <row r="640" ht="15" customHeight="1">
      <c r="A640" t="inlineStr">
        <is>
          <t>A 18899-2025</t>
        </is>
      </c>
      <c r="B640" s="1" t="n">
        <v>45764.44931712963</v>
      </c>
      <c r="C640" s="1" t="n">
        <v>45905</v>
      </c>
      <c r="D640" t="inlineStr">
        <is>
          <t>KALMAR LÄN</t>
        </is>
      </c>
      <c r="E640" t="inlineStr">
        <is>
          <t>VIMMERBY</t>
        </is>
      </c>
      <c r="F640" t="inlineStr">
        <is>
          <t>Kommuner</t>
        </is>
      </c>
      <c r="G640" t="n">
        <v>4</v>
      </c>
      <c r="H640" t="n">
        <v>0</v>
      </c>
      <c r="I640" t="n">
        <v>0</v>
      </c>
      <c r="J640" t="n">
        <v>0</v>
      </c>
      <c r="K640" t="n">
        <v>0</v>
      </c>
      <c r="L640" t="n">
        <v>0</v>
      </c>
      <c r="M640" t="n">
        <v>0</v>
      </c>
      <c r="N640" t="n">
        <v>0</v>
      </c>
      <c r="O640" t="n">
        <v>0</v>
      </c>
      <c r="P640" t="n">
        <v>0</v>
      </c>
      <c r="Q640" t="n">
        <v>0</v>
      </c>
      <c r="R640" s="2" t="inlineStr"/>
    </row>
    <row r="641" ht="15" customHeight="1">
      <c r="A641" t="inlineStr">
        <is>
          <t>A 34060-2025</t>
        </is>
      </c>
      <c r="B641" s="1" t="n">
        <v>45845.42015046296</v>
      </c>
      <c r="C641" s="1" t="n">
        <v>45905</v>
      </c>
      <c r="D641" t="inlineStr">
        <is>
          <t>KALMAR LÄN</t>
        </is>
      </c>
      <c r="E641" t="inlineStr">
        <is>
          <t>VIMMERBY</t>
        </is>
      </c>
      <c r="G641" t="n">
        <v>5.7</v>
      </c>
      <c r="H641" t="n">
        <v>0</v>
      </c>
      <c r="I641" t="n">
        <v>0</v>
      </c>
      <c r="J641" t="n">
        <v>0</v>
      </c>
      <c r="K641" t="n">
        <v>0</v>
      </c>
      <c r="L641" t="n">
        <v>0</v>
      </c>
      <c r="M641" t="n">
        <v>0</v>
      </c>
      <c r="N641" t="n">
        <v>0</v>
      </c>
      <c r="O641" t="n">
        <v>0</v>
      </c>
      <c r="P641" t="n">
        <v>0</v>
      </c>
      <c r="Q641" t="n">
        <v>0</v>
      </c>
      <c r="R641" s="2" t="inlineStr"/>
    </row>
    <row r="642" ht="15" customHeight="1">
      <c r="A642" t="inlineStr">
        <is>
          <t>A 34071-2025</t>
        </is>
      </c>
      <c r="B642" s="1" t="n">
        <v>45845.43803240741</v>
      </c>
      <c r="C642" s="1" t="n">
        <v>45905</v>
      </c>
      <c r="D642" t="inlineStr">
        <is>
          <t>KALMAR LÄN</t>
        </is>
      </c>
      <c r="E642" t="inlineStr">
        <is>
          <t>VIMMERBY</t>
        </is>
      </c>
      <c r="G642" t="n">
        <v>6.8</v>
      </c>
      <c r="H642" t="n">
        <v>0</v>
      </c>
      <c r="I642" t="n">
        <v>0</v>
      </c>
      <c r="J642" t="n">
        <v>0</v>
      </c>
      <c r="K642" t="n">
        <v>0</v>
      </c>
      <c r="L642" t="n">
        <v>0</v>
      </c>
      <c r="M642" t="n">
        <v>0</v>
      </c>
      <c r="N642" t="n">
        <v>0</v>
      </c>
      <c r="O642" t="n">
        <v>0</v>
      </c>
      <c r="P642" t="n">
        <v>0</v>
      </c>
      <c r="Q642" t="n">
        <v>0</v>
      </c>
      <c r="R642" s="2" t="inlineStr"/>
    </row>
    <row r="643" ht="15" customHeight="1">
      <c r="A643" t="inlineStr">
        <is>
          <t>A 34106-2025</t>
        </is>
      </c>
      <c r="B643" s="1" t="n">
        <v>45845.49414351852</v>
      </c>
      <c r="C643" s="1" t="n">
        <v>45905</v>
      </c>
      <c r="D643" t="inlineStr">
        <is>
          <t>KALMAR LÄN</t>
        </is>
      </c>
      <c r="E643" t="inlineStr">
        <is>
          <t>VIMMERBY</t>
        </is>
      </c>
      <c r="G643" t="n">
        <v>6</v>
      </c>
      <c r="H643" t="n">
        <v>0</v>
      </c>
      <c r="I643" t="n">
        <v>0</v>
      </c>
      <c r="J643" t="n">
        <v>0</v>
      </c>
      <c r="K643" t="n">
        <v>0</v>
      </c>
      <c r="L643" t="n">
        <v>0</v>
      </c>
      <c r="M643" t="n">
        <v>0</v>
      </c>
      <c r="N643" t="n">
        <v>0</v>
      </c>
      <c r="O643" t="n">
        <v>0</v>
      </c>
      <c r="P643" t="n">
        <v>0</v>
      </c>
      <c r="Q643" t="n">
        <v>0</v>
      </c>
      <c r="R643" s="2" t="inlineStr"/>
    </row>
    <row r="644" ht="15" customHeight="1">
      <c r="A644" t="inlineStr">
        <is>
          <t>A 12586-2021</t>
        </is>
      </c>
      <c r="B644" s="1" t="n">
        <v>44270.38002314815</v>
      </c>
      <c r="C644" s="1" t="n">
        <v>45905</v>
      </c>
      <c r="D644" t="inlineStr">
        <is>
          <t>KALMAR LÄN</t>
        </is>
      </c>
      <c r="E644" t="inlineStr">
        <is>
          <t>VIMMERBY</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26956-2025</t>
        </is>
      </c>
      <c r="B645" s="1" t="n">
        <v>45811.45460648148</v>
      </c>
      <c r="C645" s="1" t="n">
        <v>45905</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32614-2023</t>
        </is>
      </c>
      <c r="B646" s="1" t="n">
        <v>45121</v>
      </c>
      <c r="C646" s="1" t="n">
        <v>45905</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61939-2021</t>
        </is>
      </c>
      <c r="B647" s="1" t="n">
        <v>44502</v>
      </c>
      <c r="C647" s="1" t="n">
        <v>45905</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33340-2023</t>
        </is>
      </c>
      <c r="B648" s="1" t="n">
        <v>45128.37305555555</v>
      </c>
      <c r="C648" s="1" t="n">
        <v>45905</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34628-2025</t>
        </is>
      </c>
      <c r="B649" s="1" t="n">
        <v>45847.91280092593</v>
      </c>
      <c r="C649" s="1" t="n">
        <v>45905</v>
      </c>
      <c r="D649" t="inlineStr">
        <is>
          <t>KALMAR LÄN</t>
        </is>
      </c>
      <c r="E649" t="inlineStr">
        <is>
          <t>VIMMERBY</t>
        </is>
      </c>
      <c r="G649" t="n">
        <v>4.2</v>
      </c>
      <c r="H649" t="n">
        <v>0</v>
      </c>
      <c r="I649" t="n">
        <v>0</v>
      </c>
      <c r="J649" t="n">
        <v>0</v>
      </c>
      <c r="K649" t="n">
        <v>0</v>
      </c>
      <c r="L649" t="n">
        <v>0</v>
      </c>
      <c r="M649" t="n">
        <v>0</v>
      </c>
      <c r="N649" t="n">
        <v>0</v>
      </c>
      <c r="O649" t="n">
        <v>0</v>
      </c>
      <c r="P649" t="n">
        <v>0</v>
      </c>
      <c r="Q649" t="n">
        <v>0</v>
      </c>
      <c r="R649" s="2" t="inlineStr"/>
    </row>
    <row r="650" ht="15" customHeight="1">
      <c r="A650" t="inlineStr">
        <is>
          <t>A 29017-2024</t>
        </is>
      </c>
      <c r="B650" s="1" t="n">
        <v>45481.56722222222</v>
      </c>
      <c r="C650" s="1" t="n">
        <v>45905</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58046-2022</t>
        </is>
      </c>
      <c r="B651" s="1" t="n">
        <v>44900.57393518519</v>
      </c>
      <c r="C651" s="1" t="n">
        <v>45905</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14548-2024</t>
        </is>
      </c>
      <c r="B652" s="1" t="n">
        <v>45394.66887731481</v>
      </c>
      <c r="C652" s="1" t="n">
        <v>45905</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39736-2025</t>
        </is>
      </c>
      <c r="B653" s="1" t="n">
        <v>45891</v>
      </c>
      <c r="C653" s="1" t="n">
        <v>45905</v>
      </c>
      <c r="D653" t="inlineStr">
        <is>
          <t>KALMAR LÄN</t>
        </is>
      </c>
      <c r="E653" t="inlineStr">
        <is>
          <t>VIMMERBY</t>
        </is>
      </c>
      <c r="G653" t="n">
        <v>12.8</v>
      </c>
      <c r="H653" t="n">
        <v>0</v>
      </c>
      <c r="I653" t="n">
        <v>0</v>
      </c>
      <c r="J653" t="n">
        <v>0</v>
      </c>
      <c r="K653" t="n">
        <v>0</v>
      </c>
      <c r="L653" t="n">
        <v>0</v>
      </c>
      <c r="M653" t="n">
        <v>0</v>
      </c>
      <c r="N653" t="n">
        <v>0</v>
      </c>
      <c r="O653" t="n">
        <v>0</v>
      </c>
      <c r="P653" t="n">
        <v>0</v>
      </c>
      <c r="Q653" t="n">
        <v>0</v>
      </c>
      <c r="R653" s="2" t="inlineStr"/>
    </row>
    <row r="654" ht="15" customHeight="1">
      <c r="A654" t="inlineStr">
        <is>
          <t>A 39803-2025</t>
        </is>
      </c>
      <c r="B654" s="1" t="n">
        <v>45891.50525462963</v>
      </c>
      <c r="C654" s="1" t="n">
        <v>45905</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39807-2025</t>
        </is>
      </c>
      <c r="B655" s="1" t="n">
        <v>45891.50986111111</v>
      </c>
      <c r="C655" s="1" t="n">
        <v>45905</v>
      </c>
      <c r="D655" t="inlineStr">
        <is>
          <t>KALMAR LÄN</t>
        </is>
      </c>
      <c r="E655" t="inlineStr">
        <is>
          <t>VIMMERBY</t>
        </is>
      </c>
      <c r="G655" t="n">
        <v>0.5</v>
      </c>
      <c r="H655" t="n">
        <v>0</v>
      </c>
      <c r="I655" t="n">
        <v>0</v>
      </c>
      <c r="J655" t="n">
        <v>0</v>
      </c>
      <c r="K655" t="n">
        <v>0</v>
      </c>
      <c r="L655" t="n">
        <v>0</v>
      </c>
      <c r="M655" t="n">
        <v>0</v>
      </c>
      <c r="N655" t="n">
        <v>0</v>
      </c>
      <c r="O655" t="n">
        <v>0</v>
      </c>
      <c r="P655" t="n">
        <v>0</v>
      </c>
      <c r="Q655" t="n">
        <v>0</v>
      </c>
      <c r="R655" s="2" t="inlineStr"/>
    </row>
    <row r="656" ht="15" customHeight="1">
      <c r="A656" t="inlineStr">
        <is>
          <t>A 6218-2025</t>
        </is>
      </c>
      <c r="B656" s="1" t="n">
        <v>45698.53336805556</v>
      </c>
      <c r="C656" s="1" t="n">
        <v>45905</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40076-2021</t>
        </is>
      </c>
      <c r="B657" s="1" t="n">
        <v>44418</v>
      </c>
      <c r="C657" s="1" t="n">
        <v>45905</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48120-2022</t>
        </is>
      </c>
      <c r="B658" s="1" t="n">
        <v>44857.65989583333</v>
      </c>
      <c r="C658" s="1" t="n">
        <v>45905</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3423-2022</t>
        </is>
      </c>
      <c r="B659" s="1" t="n">
        <v>44585.50431712963</v>
      </c>
      <c r="C659" s="1" t="n">
        <v>45905</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39801-2025</t>
        </is>
      </c>
      <c r="B660" s="1" t="n">
        <v>45891.50216435185</v>
      </c>
      <c r="C660" s="1" t="n">
        <v>45905</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11074-2023</t>
        </is>
      </c>
      <c r="B661" s="1" t="n">
        <v>44992.34151620371</v>
      </c>
      <c r="C661" s="1" t="n">
        <v>45905</v>
      </c>
      <c r="D661" t="inlineStr">
        <is>
          <t>KALMAR LÄN</t>
        </is>
      </c>
      <c r="E661" t="inlineStr">
        <is>
          <t>VIMMERBY</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71631-2021</t>
        </is>
      </c>
      <c r="B662" s="1" t="n">
        <v>44542.90072916666</v>
      </c>
      <c r="C662" s="1" t="n">
        <v>45905</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15976-2025</t>
        </is>
      </c>
      <c r="B663" s="1" t="n">
        <v>45749.56196759259</v>
      </c>
      <c r="C663" s="1" t="n">
        <v>45905</v>
      </c>
      <c r="D663" t="inlineStr">
        <is>
          <t>KALMAR LÄN</t>
        </is>
      </c>
      <c r="E663" t="inlineStr">
        <is>
          <t>VIMMERBY</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35270-2025</t>
        </is>
      </c>
      <c r="B664" s="1" t="n">
        <v>45853.87112268519</v>
      </c>
      <c r="C664" s="1" t="n">
        <v>45905</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49039-2021</t>
        </is>
      </c>
      <c r="B665" s="1" t="n">
        <v>44453.56578703703</v>
      </c>
      <c r="C665" s="1" t="n">
        <v>45905</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35271-2025</t>
        </is>
      </c>
      <c r="B666" s="1" t="n">
        <v>45853.87599537037</v>
      </c>
      <c r="C666" s="1" t="n">
        <v>45905</v>
      </c>
      <c r="D666" t="inlineStr">
        <is>
          <t>KALMAR LÄN</t>
        </is>
      </c>
      <c r="E666" t="inlineStr">
        <is>
          <t>VIMMERBY</t>
        </is>
      </c>
      <c r="G666" t="n">
        <v>0.4</v>
      </c>
      <c r="H666" t="n">
        <v>0</v>
      </c>
      <c r="I666" t="n">
        <v>0</v>
      </c>
      <c r="J666" t="n">
        <v>0</v>
      </c>
      <c r="K666" t="n">
        <v>0</v>
      </c>
      <c r="L666" t="n">
        <v>0</v>
      </c>
      <c r="M666" t="n">
        <v>0</v>
      </c>
      <c r="N666" t="n">
        <v>0</v>
      </c>
      <c r="O666" t="n">
        <v>0</v>
      </c>
      <c r="P666" t="n">
        <v>0</v>
      </c>
      <c r="Q666" t="n">
        <v>0</v>
      </c>
      <c r="R666" s="2" t="inlineStr"/>
    </row>
    <row r="667" ht="15" customHeight="1">
      <c r="A667" t="inlineStr">
        <is>
          <t>A 35272-2025</t>
        </is>
      </c>
      <c r="B667" s="1" t="n">
        <v>45853.88070601852</v>
      </c>
      <c r="C667" s="1" t="n">
        <v>45905</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16953-2025</t>
        </is>
      </c>
      <c r="B668" s="1" t="n">
        <v>45755.44333333334</v>
      </c>
      <c r="C668" s="1" t="n">
        <v>45905</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39889-2025</t>
        </is>
      </c>
      <c r="B669" s="1" t="n">
        <v>45891</v>
      </c>
      <c r="C669" s="1" t="n">
        <v>45905</v>
      </c>
      <c r="D669" t="inlineStr">
        <is>
          <t>KALMAR LÄN</t>
        </is>
      </c>
      <c r="E669" t="inlineStr">
        <is>
          <t>VIMMERBY</t>
        </is>
      </c>
      <c r="G669" t="n">
        <v>4.5</v>
      </c>
      <c r="H669" t="n">
        <v>0</v>
      </c>
      <c r="I669" t="n">
        <v>0</v>
      </c>
      <c r="J669" t="n">
        <v>0</v>
      </c>
      <c r="K669" t="n">
        <v>0</v>
      </c>
      <c r="L669" t="n">
        <v>0</v>
      </c>
      <c r="M669" t="n">
        <v>0</v>
      </c>
      <c r="N669" t="n">
        <v>0</v>
      </c>
      <c r="O669" t="n">
        <v>0</v>
      </c>
      <c r="P669" t="n">
        <v>0</v>
      </c>
      <c r="Q669" t="n">
        <v>0</v>
      </c>
      <c r="R669" s="2" t="inlineStr"/>
    </row>
    <row r="670" ht="15" customHeight="1">
      <c r="A670" t="inlineStr">
        <is>
          <t>A 12588-2025</t>
        </is>
      </c>
      <c r="B670" s="1" t="n">
        <v>45732.76936342593</v>
      </c>
      <c r="C670" s="1" t="n">
        <v>45905</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25979-2023</t>
        </is>
      </c>
      <c r="B671" s="1" t="n">
        <v>45090.89653935185</v>
      </c>
      <c r="C671" s="1" t="n">
        <v>45905</v>
      </c>
      <c r="D671" t="inlineStr">
        <is>
          <t>KALMAR LÄN</t>
        </is>
      </c>
      <c r="E671" t="inlineStr">
        <is>
          <t>VIMMERBY</t>
        </is>
      </c>
      <c r="G671" t="n">
        <v>2</v>
      </c>
      <c r="H671" t="n">
        <v>0</v>
      </c>
      <c r="I671" t="n">
        <v>0</v>
      </c>
      <c r="J671" t="n">
        <v>0</v>
      </c>
      <c r="K671" t="n">
        <v>0</v>
      </c>
      <c r="L671" t="n">
        <v>0</v>
      </c>
      <c r="M671" t="n">
        <v>0</v>
      </c>
      <c r="N671" t="n">
        <v>0</v>
      </c>
      <c r="O671" t="n">
        <v>0</v>
      </c>
      <c r="P671" t="n">
        <v>0</v>
      </c>
      <c r="Q671" t="n">
        <v>0</v>
      </c>
      <c r="R671" s="2" t="inlineStr"/>
    </row>
    <row r="672" ht="15" customHeight="1">
      <c r="A672" t="inlineStr">
        <is>
          <t>A 25980-2023</t>
        </is>
      </c>
      <c r="B672" s="1" t="n">
        <v>45090.89880787037</v>
      </c>
      <c r="C672" s="1" t="n">
        <v>45905</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46921-2023</t>
        </is>
      </c>
      <c r="B673" s="1" t="n">
        <v>45201.39996527778</v>
      </c>
      <c r="C673" s="1" t="n">
        <v>45905</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10837-2023</t>
        </is>
      </c>
      <c r="B674" s="1" t="n">
        <v>44991.30547453704</v>
      </c>
      <c r="C674" s="1" t="n">
        <v>45905</v>
      </c>
      <c r="D674" t="inlineStr">
        <is>
          <t>KALMAR LÄN</t>
        </is>
      </c>
      <c r="E674" t="inlineStr">
        <is>
          <t>VIMMERBY</t>
        </is>
      </c>
      <c r="G674" t="n">
        <v>7.3</v>
      </c>
      <c r="H674" t="n">
        <v>0</v>
      </c>
      <c r="I674" t="n">
        <v>0</v>
      </c>
      <c r="J674" t="n">
        <v>0</v>
      </c>
      <c r="K674" t="n">
        <v>0</v>
      </c>
      <c r="L674" t="n">
        <v>0</v>
      </c>
      <c r="M674" t="n">
        <v>0</v>
      </c>
      <c r="N674" t="n">
        <v>0</v>
      </c>
      <c r="O674" t="n">
        <v>0</v>
      </c>
      <c r="P674" t="n">
        <v>0</v>
      </c>
      <c r="Q674" t="n">
        <v>0</v>
      </c>
      <c r="R674" s="2" t="inlineStr"/>
    </row>
    <row r="675" ht="15" customHeight="1">
      <c r="A675" t="inlineStr">
        <is>
          <t>A 10838-2023</t>
        </is>
      </c>
      <c r="B675" s="1" t="n">
        <v>44991</v>
      </c>
      <c r="C675" s="1" t="n">
        <v>45905</v>
      </c>
      <c r="D675" t="inlineStr">
        <is>
          <t>KALMAR LÄN</t>
        </is>
      </c>
      <c r="E675" t="inlineStr">
        <is>
          <t>VIMMERBY</t>
        </is>
      </c>
      <c r="G675" t="n">
        <v>5.1</v>
      </c>
      <c r="H675" t="n">
        <v>0</v>
      </c>
      <c r="I675" t="n">
        <v>0</v>
      </c>
      <c r="J675" t="n">
        <v>0</v>
      </c>
      <c r="K675" t="n">
        <v>0</v>
      </c>
      <c r="L675" t="n">
        <v>0</v>
      </c>
      <c r="M675" t="n">
        <v>0</v>
      </c>
      <c r="N675" t="n">
        <v>0</v>
      </c>
      <c r="O675" t="n">
        <v>0</v>
      </c>
      <c r="P675" t="n">
        <v>0</v>
      </c>
      <c r="Q675" t="n">
        <v>0</v>
      </c>
      <c r="R675" s="2" t="inlineStr"/>
    </row>
    <row r="676" ht="15" customHeight="1">
      <c r="A676" t="inlineStr">
        <is>
          <t>A 40921-2025</t>
        </is>
      </c>
      <c r="B676" s="1" t="n">
        <v>45897.63520833333</v>
      </c>
      <c r="C676" s="1" t="n">
        <v>45905</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30912-2023</t>
        </is>
      </c>
      <c r="B677" s="1" t="n">
        <v>45113.41633101852</v>
      </c>
      <c r="C677" s="1" t="n">
        <v>45905</v>
      </c>
      <c r="D677" t="inlineStr">
        <is>
          <t>KALMAR LÄN</t>
        </is>
      </c>
      <c r="E677" t="inlineStr">
        <is>
          <t>VIMMERBY</t>
        </is>
      </c>
      <c r="G677" t="n">
        <v>5</v>
      </c>
      <c r="H677" t="n">
        <v>0</v>
      </c>
      <c r="I677" t="n">
        <v>0</v>
      </c>
      <c r="J677" t="n">
        <v>0</v>
      </c>
      <c r="K677" t="n">
        <v>0</v>
      </c>
      <c r="L677" t="n">
        <v>0</v>
      </c>
      <c r="M677" t="n">
        <v>0</v>
      </c>
      <c r="N677" t="n">
        <v>0</v>
      </c>
      <c r="O677" t="n">
        <v>0</v>
      </c>
      <c r="P677" t="n">
        <v>0</v>
      </c>
      <c r="Q677" t="n">
        <v>0</v>
      </c>
      <c r="R677" s="2" t="inlineStr"/>
    </row>
    <row r="678" ht="15" customHeight="1">
      <c r="A678" t="inlineStr">
        <is>
          <t>A 40971-2025</t>
        </is>
      </c>
      <c r="B678" s="1" t="n">
        <v>45897.88836805556</v>
      </c>
      <c r="C678" s="1" t="n">
        <v>45905</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55436-2023</t>
        </is>
      </c>
      <c r="B679" s="1" t="n">
        <v>45238.4328587963</v>
      </c>
      <c r="C679" s="1" t="n">
        <v>45905</v>
      </c>
      <c r="D679" t="inlineStr">
        <is>
          <t>KALMAR LÄN</t>
        </is>
      </c>
      <c r="E679" t="inlineStr">
        <is>
          <t>VIMMERBY</t>
        </is>
      </c>
      <c r="G679" t="n">
        <v>5.6</v>
      </c>
      <c r="H679" t="n">
        <v>0</v>
      </c>
      <c r="I679" t="n">
        <v>0</v>
      </c>
      <c r="J679" t="n">
        <v>0</v>
      </c>
      <c r="K679" t="n">
        <v>0</v>
      </c>
      <c r="L679" t="n">
        <v>0</v>
      </c>
      <c r="M679" t="n">
        <v>0</v>
      </c>
      <c r="N679" t="n">
        <v>0</v>
      </c>
      <c r="O679" t="n">
        <v>0</v>
      </c>
      <c r="P679" t="n">
        <v>0</v>
      </c>
      <c r="Q679" t="n">
        <v>0</v>
      </c>
      <c r="R679" s="2" t="inlineStr"/>
    </row>
    <row r="680" ht="15" customHeight="1">
      <c r="A680" t="inlineStr">
        <is>
          <t>A 40925-2025</t>
        </is>
      </c>
      <c r="B680" s="1" t="n">
        <v>45897.64208333333</v>
      </c>
      <c r="C680" s="1" t="n">
        <v>45905</v>
      </c>
      <c r="D680" t="inlineStr">
        <is>
          <t>KALMAR LÄN</t>
        </is>
      </c>
      <c r="E680" t="inlineStr">
        <is>
          <t>VIMMERBY</t>
        </is>
      </c>
      <c r="G680" t="n">
        <v>1.9</v>
      </c>
      <c r="H680" t="n">
        <v>0</v>
      </c>
      <c r="I680" t="n">
        <v>0</v>
      </c>
      <c r="J680" t="n">
        <v>0</v>
      </c>
      <c r="K680" t="n">
        <v>0</v>
      </c>
      <c r="L680" t="n">
        <v>0</v>
      </c>
      <c r="M680" t="n">
        <v>0</v>
      </c>
      <c r="N680" t="n">
        <v>0</v>
      </c>
      <c r="O680" t="n">
        <v>0</v>
      </c>
      <c r="P680" t="n">
        <v>0</v>
      </c>
      <c r="Q680" t="n">
        <v>0</v>
      </c>
      <c r="R680" s="2" t="inlineStr"/>
    </row>
    <row r="681" ht="15" customHeight="1">
      <c r="A681" t="inlineStr">
        <is>
          <t>A 42918-2021</t>
        </is>
      </c>
      <c r="B681" s="1" t="n">
        <v>44431</v>
      </c>
      <c r="C681" s="1" t="n">
        <v>45905</v>
      </c>
      <c r="D681" t="inlineStr">
        <is>
          <t>KALMAR LÄN</t>
        </is>
      </c>
      <c r="E681" t="inlineStr">
        <is>
          <t>VIMMERBY</t>
        </is>
      </c>
      <c r="G681" t="n">
        <v>1.6</v>
      </c>
      <c r="H681" t="n">
        <v>0</v>
      </c>
      <c r="I681" t="n">
        <v>0</v>
      </c>
      <c r="J681" t="n">
        <v>0</v>
      </c>
      <c r="K681" t="n">
        <v>0</v>
      </c>
      <c r="L681" t="n">
        <v>0</v>
      </c>
      <c r="M681" t="n">
        <v>0</v>
      </c>
      <c r="N681" t="n">
        <v>0</v>
      </c>
      <c r="O681" t="n">
        <v>0</v>
      </c>
      <c r="P681" t="n">
        <v>0</v>
      </c>
      <c r="Q681" t="n">
        <v>0</v>
      </c>
      <c r="R681" s="2" t="inlineStr"/>
    </row>
    <row r="682" ht="15" customHeight="1">
      <c r="A682" t="inlineStr">
        <is>
          <t>A 21507-2023</t>
        </is>
      </c>
      <c r="B682" s="1" t="n">
        <v>45063.508125</v>
      </c>
      <c r="C682" s="1" t="n">
        <v>45905</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51187-2023</t>
        </is>
      </c>
      <c r="B683" s="1" t="n">
        <v>45219.40528935185</v>
      </c>
      <c r="C683" s="1" t="n">
        <v>45905</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529-2022</t>
        </is>
      </c>
      <c r="B684" s="1" t="n">
        <v>44566</v>
      </c>
      <c r="C684" s="1" t="n">
        <v>45905</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41224-2025</t>
        </is>
      </c>
      <c r="B685" s="1" t="n">
        <v>45898.58861111111</v>
      </c>
      <c r="C685" s="1" t="n">
        <v>45905</v>
      </c>
      <c r="D685" t="inlineStr">
        <is>
          <t>KALMAR LÄN</t>
        </is>
      </c>
      <c r="E685" t="inlineStr">
        <is>
          <t>VIMMERBY</t>
        </is>
      </c>
      <c r="G685" t="n">
        <v>4.4</v>
      </c>
      <c r="H685" t="n">
        <v>0</v>
      </c>
      <c r="I685" t="n">
        <v>0</v>
      </c>
      <c r="J685" t="n">
        <v>0</v>
      </c>
      <c r="K685" t="n">
        <v>0</v>
      </c>
      <c r="L685" t="n">
        <v>0</v>
      </c>
      <c r="M685" t="n">
        <v>0</v>
      </c>
      <c r="N685" t="n">
        <v>0</v>
      </c>
      <c r="O685" t="n">
        <v>0</v>
      </c>
      <c r="P685" t="n">
        <v>0</v>
      </c>
      <c r="Q685" t="n">
        <v>0</v>
      </c>
      <c r="R685" s="2" t="inlineStr"/>
    </row>
    <row r="686" ht="15" customHeight="1">
      <c r="A686" t="inlineStr">
        <is>
          <t>A 40973-2025</t>
        </is>
      </c>
      <c r="B686" s="1" t="n">
        <v>45897.89737268518</v>
      </c>
      <c r="C686" s="1" t="n">
        <v>45905</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40970-2025</t>
        </is>
      </c>
      <c r="B687" s="1" t="n">
        <v>45897.88706018519</v>
      </c>
      <c r="C687" s="1" t="n">
        <v>45905</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13290-2025</t>
        </is>
      </c>
      <c r="B688" s="1" t="n">
        <v>45735.56751157407</v>
      </c>
      <c r="C688" s="1" t="n">
        <v>45905</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45560-2021</t>
        </is>
      </c>
      <c r="B689" s="1" t="n">
        <v>44440</v>
      </c>
      <c r="C689" s="1" t="n">
        <v>45905</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14855-2025</t>
        </is>
      </c>
      <c r="B690" s="1" t="n">
        <v>45743.41148148148</v>
      </c>
      <c r="C690" s="1" t="n">
        <v>45905</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41589-2025</t>
        </is>
      </c>
      <c r="B691" s="1" t="n">
        <v>45901.63219907408</v>
      </c>
      <c r="C691" s="1" t="n">
        <v>45905</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41591-2025</t>
        </is>
      </c>
      <c r="B692" s="1" t="n">
        <v>45901.6327662037</v>
      </c>
      <c r="C692" s="1" t="n">
        <v>45905</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60951-2023</t>
        </is>
      </c>
      <c r="B693" s="1" t="n">
        <v>45261.44914351852</v>
      </c>
      <c r="C693" s="1" t="n">
        <v>45905</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35597-2025</t>
        </is>
      </c>
      <c r="B694" s="1" t="n">
        <v>45858.66019675926</v>
      </c>
      <c r="C694" s="1" t="n">
        <v>45905</v>
      </c>
      <c r="D694" t="inlineStr">
        <is>
          <t>KALMAR LÄN</t>
        </is>
      </c>
      <c r="E694" t="inlineStr">
        <is>
          <t>VIMMERBY</t>
        </is>
      </c>
      <c r="G694" t="n">
        <v>6.4</v>
      </c>
      <c r="H694" t="n">
        <v>0</v>
      </c>
      <c r="I694" t="n">
        <v>0</v>
      </c>
      <c r="J694" t="n">
        <v>0</v>
      </c>
      <c r="K694" t="n">
        <v>0</v>
      </c>
      <c r="L694" t="n">
        <v>0</v>
      </c>
      <c r="M694" t="n">
        <v>0</v>
      </c>
      <c r="N694" t="n">
        <v>0</v>
      </c>
      <c r="O694" t="n">
        <v>0</v>
      </c>
      <c r="P694" t="n">
        <v>0</v>
      </c>
      <c r="Q694" t="n">
        <v>0</v>
      </c>
      <c r="R694" s="2" t="inlineStr"/>
    </row>
    <row r="695" ht="15" customHeight="1">
      <c r="A695" t="inlineStr">
        <is>
          <t>A 19162-2023</t>
        </is>
      </c>
      <c r="B695" s="1" t="n">
        <v>45048.59699074074</v>
      </c>
      <c r="C695" s="1" t="n">
        <v>45905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31209-2024</t>
        </is>
      </c>
      <c r="B696" s="1" t="n">
        <v>45503.5658912037</v>
      </c>
      <c r="C696" s="1" t="n">
        <v>45905</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16622-2025</t>
        </is>
      </c>
      <c r="B697" s="1" t="n">
        <v>45754.33641203704</v>
      </c>
      <c r="C697" s="1" t="n">
        <v>45905</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35596-2025</t>
        </is>
      </c>
      <c r="B698" s="1" t="n">
        <v>45858.60641203704</v>
      </c>
      <c r="C698" s="1" t="n">
        <v>45905</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41735-2025</t>
        </is>
      </c>
      <c r="B699" s="1" t="n">
        <v>45902.47164351852</v>
      </c>
      <c r="C699" s="1" t="n">
        <v>45905</v>
      </c>
      <c r="D699" t="inlineStr">
        <is>
          <t>KALMAR LÄN</t>
        </is>
      </c>
      <c r="E699" t="inlineStr">
        <is>
          <t>VIMMERBY</t>
        </is>
      </c>
      <c r="G699" t="n">
        <v>3</v>
      </c>
      <c r="H699" t="n">
        <v>0</v>
      </c>
      <c r="I699" t="n">
        <v>0</v>
      </c>
      <c r="J699" t="n">
        <v>0</v>
      </c>
      <c r="K699" t="n">
        <v>0</v>
      </c>
      <c r="L699" t="n">
        <v>0</v>
      </c>
      <c r="M699" t="n">
        <v>0</v>
      </c>
      <c r="N699" t="n">
        <v>0</v>
      </c>
      <c r="O699" t="n">
        <v>0</v>
      </c>
      <c r="P699" t="n">
        <v>0</v>
      </c>
      <c r="Q699" t="n">
        <v>0</v>
      </c>
      <c r="R699" s="2" t="inlineStr"/>
    </row>
    <row r="700" ht="15" customHeight="1">
      <c r="A700" t="inlineStr">
        <is>
          <t>A 5864-2022</t>
        </is>
      </c>
      <c r="B700" s="1" t="n">
        <v>44596</v>
      </c>
      <c r="C700" s="1" t="n">
        <v>45905</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43266-2024</t>
        </is>
      </c>
      <c r="B701" s="1" t="n">
        <v>45568.36879629629</v>
      </c>
      <c r="C701" s="1" t="n">
        <v>45905</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3938-2023</t>
        </is>
      </c>
      <c r="B702" s="1" t="n">
        <v>44952.35775462963</v>
      </c>
      <c r="C702" s="1" t="n">
        <v>45905</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31340-2023</t>
        </is>
      </c>
      <c r="B703" s="1" t="n">
        <v>45114.47895833333</v>
      </c>
      <c r="C703" s="1" t="n">
        <v>45905</v>
      </c>
      <c r="D703" t="inlineStr">
        <is>
          <t>KALMAR LÄN</t>
        </is>
      </c>
      <c r="E703" t="inlineStr">
        <is>
          <t>VIMMERBY</t>
        </is>
      </c>
      <c r="G703" t="n">
        <v>1.8</v>
      </c>
      <c r="H703" t="n">
        <v>0</v>
      </c>
      <c r="I703" t="n">
        <v>0</v>
      </c>
      <c r="J703" t="n">
        <v>0</v>
      </c>
      <c r="K703" t="n">
        <v>0</v>
      </c>
      <c r="L703" t="n">
        <v>0</v>
      </c>
      <c r="M703" t="n">
        <v>0</v>
      </c>
      <c r="N703" t="n">
        <v>0</v>
      </c>
      <c r="O703" t="n">
        <v>0</v>
      </c>
      <c r="P703" t="n">
        <v>0</v>
      </c>
      <c r="Q703" t="n">
        <v>0</v>
      </c>
      <c r="R703" s="2" t="inlineStr"/>
    </row>
    <row r="704" ht="15" customHeight="1">
      <c r="A704" t="inlineStr">
        <is>
          <t>A 29168-2024</t>
        </is>
      </c>
      <c r="B704" s="1" t="n">
        <v>45482.49870370371</v>
      </c>
      <c r="C704" s="1" t="n">
        <v>45905</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29186-2024</t>
        </is>
      </c>
      <c r="B705" s="1" t="n">
        <v>45482.54844907407</v>
      </c>
      <c r="C705" s="1" t="n">
        <v>45905</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35895-2024</t>
        </is>
      </c>
      <c r="B706" s="1" t="n">
        <v>45533.38870370371</v>
      </c>
      <c r="C706" s="1" t="n">
        <v>45905</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12590-2025</t>
        </is>
      </c>
      <c r="B707" s="1" t="n">
        <v>45732.79925925926</v>
      </c>
      <c r="C707" s="1" t="n">
        <v>45905</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30318-2023</t>
        </is>
      </c>
      <c r="B708" s="1" t="n">
        <v>45111.30824074074</v>
      </c>
      <c r="C708" s="1" t="n">
        <v>45905</v>
      </c>
      <c r="D708" t="inlineStr">
        <is>
          <t>KALMAR LÄN</t>
        </is>
      </c>
      <c r="E708" t="inlineStr">
        <is>
          <t>VIMMERBY</t>
        </is>
      </c>
      <c r="G708" t="n">
        <v>2.6</v>
      </c>
      <c r="H708" t="n">
        <v>0</v>
      </c>
      <c r="I708" t="n">
        <v>0</v>
      </c>
      <c r="J708" t="n">
        <v>0</v>
      </c>
      <c r="K708" t="n">
        <v>0</v>
      </c>
      <c r="L708" t="n">
        <v>0</v>
      </c>
      <c r="M708" t="n">
        <v>0</v>
      </c>
      <c r="N708" t="n">
        <v>0</v>
      </c>
      <c r="O708" t="n">
        <v>0</v>
      </c>
      <c r="P708" t="n">
        <v>0</v>
      </c>
      <c r="Q708" t="n">
        <v>0</v>
      </c>
      <c r="R708" s="2" t="inlineStr"/>
    </row>
    <row r="709" ht="15" customHeight="1">
      <c r="A709" t="inlineStr">
        <is>
          <t>A 26937-2023</t>
        </is>
      </c>
      <c r="B709" s="1" t="n">
        <v>45093.62777777778</v>
      </c>
      <c r="C709" s="1" t="n">
        <v>45905</v>
      </c>
      <c r="D709" t="inlineStr">
        <is>
          <t>KALMAR LÄN</t>
        </is>
      </c>
      <c r="E709" t="inlineStr">
        <is>
          <t>VIMMERBY</t>
        </is>
      </c>
      <c r="F709" t="inlineStr">
        <is>
          <t>Sveaskog</t>
        </is>
      </c>
      <c r="G709" t="n">
        <v>14.5</v>
      </c>
      <c r="H709" t="n">
        <v>0</v>
      </c>
      <c r="I709" t="n">
        <v>0</v>
      </c>
      <c r="J709" t="n">
        <v>0</v>
      </c>
      <c r="K709" t="n">
        <v>0</v>
      </c>
      <c r="L709" t="n">
        <v>0</v>
      </c>
      <c r="M709" t="n">
        <v>0</v>
      </c>
      <c r="N709" t="n">
        <v>0</v>
      </c>
      <c r="O709" t="n">
        <v>0</v>
      </c>
      <c r="P709" t="n">
        <v>0</v>
      </c>
      <c r="Q709" t="n">
        <v>0</v>
      </c>
      <c r="R709" s="2" t="inlineStr"/>
    </row>
    <row r="710" ht="15" customHeight="1">
      <c r="A710" t="inlineStr">
        <is>
          <t>A 50085-2023</t>
        </is>
      </c>
      <c r="B710" s="1" t="n">
        <v>45215.5959375</v>
      </c>
      <c r="C710" s="1" t="n">
        <v>45905</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11219-2023</t>
        </is>
      </c>
      <c r="B711" s="1" t="n">
        <v>44992.62498842592</v>
      </c>
      <c r="C711" s="1" t="n">
        <v>45905</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43186-2021</t>
        </is>
      </c>
      <c r="B712" s="1" t="n">
        <v>44431.84840277778</v>
      </c>
      <c r="C712" s="1" t="n">
        <v>45905</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60215-2022</t>
        </is>
      </c>
      <c r="B713" s="1" t="n">
        <v>44910.41346064815</v>
      </c>
      <c r="C713" s="1" t="n">
        <v>45905</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60230-2022</t>
        </is>
      </c>
      <c r="B714" s="1" t="n">
        <v>44910</v>
      </c>
      <c r="C714" s="1" t="n">
        <v>45905</v>
      </c>
      <c r="D714" t="inlineStr">
        <is>
          <t>KALMAR LÄN</t>
        </is>
      </c>
      <c r="E714" t="inlineStr">
        <is>
          <t>VIMMERBY</t>
        </is>
      </c>
      <c r="G714" t="n">
        <v>11.3</v>
      </c>
      <c r="H714" t="n">
        <v>0</v>
      </c>
      <c r="I714" t="n">
        <v>0</v>
      </c>
      <c r="J714" t="n">
        <v>0</v>
      </c>
      <c r="K714" t="n">
        <v>0</v>
      </c>
      <c r="L714" t="n">
        <v>0</v>
      </c>
      <c r="M714" t="n">
        <v>0</v>
      </c>
      <c r="N714" t="n">
        <v>0</v>
      </c>
      <c r="O714" t="n">
        <v>0</v>
      </c>
      <c r="P714" t="n">
        <v>0</v>
      </c>
      <c r="Q714" t="n">
        <v>0</v>
      </c>
      <c r="R714" s="2" t="inlineStr"/>
    </row>
    <row r="715" ht="15" customHeight="1">
      <c r="A715" t="inlineStr">
        <is>
          <t>A 5925-2022</t>
        </is>
      </c>
      <c r="B715" s="1" t="n">
        <v>44598.7384837963</v>
      </c>
      <c r="C715" s="1" t="n">
        <v>45905</v>
      </c>
      <c r="D715" t="inlineStr">
        <is>
          <t>KALMAR LÄN</t>
        </is>
      </c>
      <c r="E715" t="inlineStr">
        <is>
          <t>VIMMERBY</t>
        </is>
      </c>
      <c r="G715" t="n">
        <v>2.1</v>
      </c>
      <c r="H715" t="n">
        <v>0</v>
      </c>
      <c r="I715" t="n">
        <v>0</v>
      </c>
      <c r="J715" t="n">
        <v>0</v>
      </c>
      <c r="K715" t="n">
        <v>0</v>
      </c>
      <c r="L715" t="n">
        <v>0</v>
      </c>
      <c r="M715" t="n">
        <v>0</v>
      </c>
      <c r="N715" t="n">
        <v>0</v>
      </c>
      <c r="O715" t="n">
        <v>0</v>
      </c>
      <c r="P715" t="n">
        <v>0</v>
      </c>
      <c r="Q715" t="n">
        <v>0</v>
      </c>
      <c r="R715" s="2" t="inlineStr"/>
    </row>
    <row r="716" ht="15" customHeight="1">
      <c r="A716" t="inlineStr">
        <is>
          <t>A 845-2023</t>
        </is>
      </c>
      <c r="B716" s="1" t="n">
        <v>44931</v>
      </c>
      <c r="C716" s="1" t="n">
        <v>45905</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16119-2023</t>
        </is>
      </c>
      <c r="B717" s="1" t="n">
        <v>45027.59450231482</v>
      </c>
      <c r="C717" s="1" t="n">
        <v>45905</v>
      </c>
      <c r="D717" t="inlineStr">
        <is>
          <t>KALMAR LÄN</t>
        </is>
      </c>
      <c r="E717" t="inlineStr">
        <is>
          <t>VIMMERBY</t>
        </is>
      </c>
      <c r="F717" t="inlineStr">
        <is>
          <t>Kommuner</t>
        </is>
      </c>
      <c r="G717" t="n">
        <v>4.4</v>
      </c>
      <c r="H717" t="n">
        <v>0</v>
      </c>
      <c r="I717" t="n">
        <v>0</v>
      </c>
      <c r="J717" t="n">
        <v>0</v>
      </c>
      <c r="K717" t="n">
        <v>0</v>
      </c>
      <c r="L717" t="n">
        <v>0</v>
      </c>
      <c r="M717" t="n">
        <v>0</v>
      </c>
      <c r="N717" t="n">
        <v>0</v>
      </c>
      <c r="O717" t="n">
        <v>0</v>
      </c>
      <c r="P717" t="n">
        <v>0</v>
      </c>
      <c r="Q717" t="n">
        <v>0</v>
      </c>
      <c r="R717" s="2" t="inlineStr"/>
    </row>
    <row r="718" ht="15" customHeight="1">
      <c r="A718" t="inlineStr">
        <is>
          <t>A 30588-2023</t>
        </is>
      </c>
      <c r="B718" s="1" t="n">
        <v>45112.33599537037</v>
      </c>
      <c r="C718" s="1" t="n">
        <v>45905</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50764-2020</t>
        </is>
      </c>
      <c r="B719" s="1" t="n">
        <v>44111</v>
      </c>
      <c r="C719" s="1" t="n">
        <v>45905</v>
      </c>
      <c r="D719" t="inlineStr">
        <is>
          <t>KALMAR LÄN</t>
        </is>
      </c>
      <c r="E719" t="inlineStr">
        <is>
          <t>VIMMERBY</t>
        </is>
      </c>
      <c r="G719" t="n">
        <v>2.3</v>
      </c>
      <c r="H719" t="n">
        <v>0</v>
      </c>
      <c r="I719" t="n">
        <v>0</v>
      </c>
      <c r="J719" t="n">
        <v>0</v>
      </c>
      <c r="K719" t="n">
        <v>0</v>
      </c>
      <c r="L719" t="n">
        <v>0</v>
      </c>
      <c r="M719" t="n">
        <v>0</v>
      </c>
      <c r="N719" t="n">
        <v>0</v>
      </c>
      <c r="O719" t="n">
        <v>0</v>
      </c>
      <c r="P719" t="n">
        <v>0</v>
      </c>
      <c r="Q719" t="n">
        <v>0</v>
      </c>
      <c r="R719" s="2" t="inlineStr"/>
    </row>
    <row r="720" ht="15" customHeight="1">
      <c r="A720" t="inlineStr">
        <is>
          <t>A 45528-2021</t>
        </is>
      </c>
      <c r="B720" s="1" t="n">
        <v>44440.60415509259</v>
      </c>
      <c r="C720" s="1" t="n">
        <v>45905</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6850-2023</t>
        </is>
      </c>
      <c r="B721" s="1" t="n">
        <v>44967.44255787037</v>
      </c>
      <c r="C721" s="1" t="n">
        <v>45905</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6358-2022</t>
        </is>
      </c>
      <c r="B722" s="1" t="n">
        <v>44600</v>
      </c>
      <c r="C722" s="1" t="n">
        <v>45905</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41896-2025</t>
        </is>
      </c>
      <c r="B723" s="1" t="n">
        <v>45903.38800925926</v>
      </c>
      <c r="C723" s="1" t="n">
        <v>45905</v>
      </c>
      <c r="D723" t="inlineStr">
        <is>
          <t>KALMAR LÄN</t>
        </is>
      </c>
      <c r="E723" t="inlineStr">
        <is>
          <t>VIMMERBY</t>
        </is>
      </c>
      <c r="G723" t="n">
        <v>2.9</v>
      </c>
      <c r="H723" t="n">
        <v>0</v>
      </c>
      <c r="I723" t="n">
        <v>0</v>
      </c>
      <c r="J723" t="n">
        <v>0</v>
      </c>
      <c r="K723" t="n">
        <v>0</v>
      </c>
      <c r="L723" t="n">
        <v>0</v>
      </c>
      <c r="M723" t="n">
        <v>0</v>
      </c>
      <c r="N723" t="n">
        <v>0</v>
      </c>
      <c r="O723" t="n">
        <v>0</v>
      </c>
      <c r="P723" t="n">
        <v>0</v>
      </c>
      <c r="Q723" t="n">
        <v>0</v>
      </c>
      <c r="R723" s="2" t="inlineStr"/>
    </row>
    <row r="724" ht="15" customHeight="1">
      <c r="A724" t="inlineStr">
        <is>
          <t>A 16516-2023</t>
        </is>
      </c>
      <c r="B724" s="1" t="n">
        <v>45029</v>
      </c>
      <c r="C724" s="1" t="n">
        <v>45905</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2510-2023</t>
        </is>
      </c>
      <c r="B725" s="1" t="n">
        <v>44943.57309027778</v>
      </c>
      <c r="C725" s="1" t="n">
        <v>45905</v>
      </c>
      <c r="D725" t="inlineStr">
        <is>
          <t>KALMAR LÄN</t>
        </is>
      </c>
      <c r="E725" t="inlineStr">
        <is>
          <t>VIMMERBY</t>
        </is>
      </c>
      <c r="G725" t="n">
        <v>8.6</v>
      </c>
      <c r="H725" t="n">
        <v>0</v>
      </c>
      <c r="I725" t="n">
        <v>0</v>
      </c>
      <c r="J725" t="n">
        <v>0</v>
      </c>
      <c r="K725" t="n">
        <v>0</v>
      </c>
      <c r="L725" t="n">
        <v>0</v>
      </c>
      <c r="M725" t="n">
        <v>0</v>
      </c>
      <c r="N725" t="n">
        <v>0</v>
      </c>
      <c r="O725" t="n">
        <v>0</v>
      </c>
      <c r="P725" t="n">
        <v>0</v>
      </c>
      <c r="Q725" t="n">
        <v>0</v>
      </c>
      <c r="R725" s="2" t="inlineStr"/>
    </row>
    <row r="726" ht="15" customHeight="1">
      <c r="A726" t="inlineStr">
        <is>
          <t>A 43853-2023</t>
        </is>
      </c>
      <c r="B726" s="1" t="n">
        <v>45187.60813657408</v>
      </c>
      <c r="C726" s="1" t="n">
        <v>45905</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7075-2021</t>
        </is>
      </c>
      <c r="B727" s="1" t="n">
        <v>44237</v>
      </c>
      <c r="C727" s="1" t="n">
        <v>45905</v>
      </c>
      <c r="D727" t="inlineStr">
        <is>
          <t>KALMAR LÄN</t>
        </is>
      </c>
      <c r="E727" t="inlineStr">
        <is>
          <t>VIMMERBY</t>
        </is>
      </c>
      <c r="G727" t="n">
        <v>3.6</v>
      </c>
      <c r="H727" t="n">
        <v>0</v>
      </c>
      <c r="I727" t="n">
        <v>0</v>
      </c>
      <c r="J727" t="n">
        <v>0</v>
      </c>
      <c r="K727" t="n">
        <v>0</v>
      </c>
      <c r="L727" t="n">
        <v>0</v>
      </c>
      <c r="M727" t="n">
        <v>0</v>
      </c>
      <c r="N727" t="n">
        <v>0</v>
      </c>
      <c r="O727" t="n">
        <v>0</v>
      </c>
      <c r="P727" t="n">
        <v>0</v>
      </c>
      <c r="Q727" t="n">
        <v>0</v>
      </c>
      <c r="R727" s="2" t="inlineStr"/>
    </row>
    <row r="728" ht="15" customHeight="1">
      <c r="A728" t="inlineStr">
        <is>
          <t>A 48673-2021</t>
        </is>
      </c>
      <c r="B728" s="1" t="n">
        <v>44452</v>
      </c>
      <c r="C728" s="1" t="n">
        <v>45905</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45905</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14137-2023</t>
        </is>
      </c>
      <c r="B730" s="1" t="n">
        <v>45009.4671875</v>
      </c>
      <c r="C730" s="1" t="n">
        <v>45905</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7630-2025</t>
        </is>
      </c>
      <c r="B731" s="1" t="n">
        <v>45705.74418981482</v>
      </c>
      <c r="C731" s="1" t="n">
        <v>45905</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7485-2024</t>
        </is>
      </c>
      <c r="B732" s="1" t="n">
        <v>45346.67184027778</v>
      </c>
      <c r="C732" s="1" t="n">
        <v>45905</v>
      </c>
      <c r="D732" t="inlineStr">
        <is>
          <t>KALMAR LÄN</t>
        </is>
      </c>
      <c r="E732" t="inlineStr">
        <is>
          <t>VIMMERBY</t>
        </is>
      </c>
      <c r="G732" t="n">
        <v>1.9</v>
      </c>
      <c r="H732" t="n">
        <v>0</v>
      </c>
      <c r="I732" t="n">
        <v>0</v>
      </c>
      <c r="J732" t="n">
        <v>0</v>
      </c>
      <c r="K732" t="n">
        <v>0</v>
      </c>
      <c r="L732" t="n">
        <v>0</v>
      </c>
      <c r="M732" t="n">
        <v>0</v>
      </c>
      <c r="N732" t="n">
        <v>0</v>
      </c>
      <c r="O732" t="n">
        <v>0</v>
      </c>
      <c r="P732" t="n">
        <v>0</v>
      </c>
      <c r="Q732" t="n">
        <v>0</v>
      </c>
      <c r="R732" s="2" t="inlineStr"/>
    </row>
    <row r="733" ht="15" customHeight="1">
      <c r="A733" t="inlineStr">
        <is>
          <t>A 38780-2021</t>
        </is>
      </c>
      <c r="B733" s="1" t="n">
        <v>44410</v>
      </c>
      <c r="C733" s="1" t="n">
        <v>45905</v>
      </c>
      <c r="D733" t="inlineStr">
        <is>
          <t>KALMAR LÄN</t>
        </is>
      </c>
      <c r="E733" t="inlineStr">
        <is>
          <t>VIMMERBY</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30503-2023</t>
        </is>
      </c>
      <c r="B734" s="1" t="n">
        <v>45111</v>
      </c>
      <c r="C734" s="1" t="n">
        <v>45905</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6574-2023</t>
        </is>
      </c>
      <c r="B735" s="1" t="n">
        <v>44966</v>
      </c>
      <c r="C735" s="1" t="n">
        <v>45905</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60110-2022</t>
        </is>
      </c>
      <c r="B736" s="1" t="n">
        <v>44909</v>
      </c>
      <c r="C736" s="1" t="n">
        <v>45905</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59300-2024</t>
        </is>
      </c>
      <c r="B737" s="1" t="n">
        <v>45637.66542824074</v>
      </c>
      <c r="C737" s="1" t="n">
        <v>45905</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20054-2023</t>
        </is>
      </c>
      <c r="B738" s="1" t="n">
        <v>45054.6750462963</v>
      </c>
      <c r="C738" s="1" t="n">
        <v>45905</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58750-2022</t>
        </is>
      </c>
      <c r="B739" s="1" t="n">
        <v>44903.33363425926</v>
      </c>
      <c r="C739" s="1" t="n">
        <v>45905</v>
      </c>
      <c r="D739" t="inlineStr">
        <is>
          <t>KALMAR LÄN</t>
        </is>
      </c>
      <c r="E739" t="inlineStr">
        <is>
          <t>VIMMERBY</t>
        </is>
      </c>
      <c r="G739" t="n">
        <v>3.3</v>
      </c>
      <c r="H739" t="n">
        <v>0</v>
      </c>
      <c r="I739" t="n">
        <v>0</v>
      </c>
      <c r="J739" t="n">
        <v>0</v>
      </c>
      <c r="K739" t="n">
        <v>0</v>
      </c>
      <c r="L739" t="n">
        <v>0</v>
      </c>
      <c r="M739" t="n">
        <v>0</v>
      </c>
      <c r="N739" t="n">
        <v>0</v>
      </c>
      <c r="O739" t="n">
        <v>0</v>
      </c>
      <c r="P739" t="n">
        <v>0</v>
      </c>
      <c r="Q739" t="n">
        <v>0</v>
      </c>
      <c r="R739" s="2" t="inlineStr"/>
    </row>
    <row r="740" ht="15" customHeight="1">
      <c r="A740" t="inlineStr">
        <is>
          <t>A 19445-2021</t>
        </is>
      </c>
      <c r="B740" s="1" t="n">
        <v>44310</v>
      </c>
      <c r="C740" s="1" t="n">
        <v>45905</v>
      </c>
      <c r="D740" t="inlineStr">
        <is>
          <t>KALMAR LÄN</t>
        </is>
      </c>
      <c r="E740" t="inlineStr">
        <is>
          <t>VIMMERBY</t>
        </is>
      </c>
      <c r="G740" t="n">
        <v>6.8</v>
      </c>
      <c r="H740" t="n">
        <v>0</v>
      </c>
      <c r="I740" t="n">
        <v>0</v>
      </c>
      <c r="J740" t="n">
        <v>0</v>
      </c>
      <c r="K740" t="n">
        <v>0</v>
      </c>
      <c r="L740" t="n">
        <v>0</v>
      </c>
      <c r="M740" t="n">
        <v>0</v>
      </c>
      <c r="N740" t="n">
        <v>0</v>
      </c>
      <c r="O740" t="n">
        <v>0</v>
      </c>
      <c r="P740" t="n">
        <v>0</v>
      </c>
      <c r="Q740" t="n">
        <v>0</v>
      </c>
      <c r="R740" s="2" t="inlineStr"/>
    </row>
    <row r="741" ht="15" customHeight="1">
      <c r="A741" t="inlineStr">
        <is>
          <t>A 18329-2023</t>
        </is>
      </c>
      <c r="B741" s="1" t="n">
        <v>45041.63380787037</v>
      </c>
      <c r="C741" s="1" t="n">
        <v>45905</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2260-2022</t>
        </is>
      </c>
      <c r="B742" s="1" t="n">
        <v>44578.62943287037</v>
      </c>
      <c r="C742" s="1" t="n">
        <v>45905</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5720-2023</t>
        </is>
      </c>
      <c r="B743" s="1" t="n">
        <v>44961</v>
      </c>
      <c r="C743" s="1" t="n">
        <v>45905</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44916.55414351852</v>
      </c>
      <c r="C744" s="1" t="n">
        <v>45905</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50860-2022</t>
        </is>
      </c>
      <c r="B745" s="1" t="n">
        <v>44867</v>
      </c>
      <c r="C745" s="1" t="n">
        <v>45905</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53483-2022</t>
        </is>
      </c>
      <c r="B746" s="1" t="n">
        <v>44879.55940972222</v>
      </c>
      <c r="C746" s="1" t="n">
        <v>45905</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45905</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694-2024</t>
        </is>
      </c>
      <c r="B748" s="1" t="n">
        <v>45300.3794212963</v>
      </c>
      <c r="C748" s="1" t="n">
        <v>45905</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58967-2022</t>
        </is>
      </c>
      <c r="B749" s="1" t="n">
        <v>44896</v>
      </c>
      <c r="C749" s="1" t="n">
        <v>45905</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57114-2023</t>
        </is>
      </c>
      <c r="B750" s="1" t="n">
        <v>45245.36174768519</v>
      </c>
      <c r="C750" s="1" t="n">
        <v>45905</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57682-2022</t>
        </is>
      </c>
      <c r="B751" s="1" t="n">
        <v>44890</v>
      </c>
      <c r="C751" s="1" t="n">
        <v>45905</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4076-2022</t>
        </is>
      </c>
      <c r="B752" s="1" t="n">
        <v>44588.37998842593</v>
      </c>
      <c r="C752" s="1" t="n">
        <v>45905</v>
      </c>
      <c r="D752" t="inlineStr">
        <is>
          <t>KALMAR LÄN</t>
        </is>
      </c>
      <c r="E752" t="inlineStr">
        <is>
          <t>VIMMERBY</t>
        </is>
      </c>
      <c r="G752" t="n">
        <v>3</v>
      </c>
      <c r="H752" t="n">
        <v>0</v>
      </c>
      <c r="I752" t="n">
        <v>0</v>
      </c>
      <c r="J752" t="n">
        <v>0</v>
      </c>
      <c r="K752" t="n">
        <v>0</v>
      </c>
      <c r="L752" t="n">
        <v>0</v>
      </c>
      <c r="M752" t="n">
        <v>0</v>
      </c>
      <c r="N752" t="n">
        <v>0</v>
      </c>
      <c r="O752" t="n">
        <v>0</v>
      </c>
      <c r="P752" t="n">
        <v>0</v>
      </c>
      <c r="Q752" t="n">
        <v>0</v>
      </c>
      <c r="R752" s="2" t="inlineStr"/>
    </row>
    <row r="753" ht="15" customHeight="1">
      <c r="A753" t="inlineStr">
        <is>
          <t>A 4122-2022</t>
        </is>
      </c>
      <c r="B753" s="1" t="n">
        <v>44588</v>
      </c>
      <c r="C753" s="1" t="n">
        <v>45905</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12327-2023</t>
        </is>
      </c>
      <c r="B754" s="1" t="n">
        <v>44999.36081018519</v>
      </c>
      <c r="C754" s="1" t="n">
        <v>45905</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65961-2020</t>
        </is>
      </c>
      <c r="B755" s="1" t="n">
        <v>44175.39748842592</v>
      </c>
      <c r="C755" s="1" t="n">
        <v>45905</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30633-2024</t>
        </is>
      </c>
      <c r="B756" s="1" t="n">
        <v>45495</v>
      </c>
      <c r="C756" s="1" t="n">
        <v>45905</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33424-2023</t>
        </is>
      </c>
      <c r="B757" s="1" t="n">
        <v>45128.9325</v>
      </c>
      <c r="C757" s="1" t="n">
        <v>45905</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33425-2023</t>
        </is>
      </c>
      <c r="B758" s="1" t="n">
        <v>45128.93540509259</v>
      </c>
      <c r="C758" s="1" t="n">
        <v>45905</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9624-2024</t>
        </is>
      </c>
      <c r="B759" s="1" t="n">
        <v>45361.90282407407</v>
      </c>
      <c r="C759" s="1" t="n">
        <v>45905</v>
      </c>
      <c r="D759" t="inlineStr">
        <is>
          <t>KALMAR LÄN</t>
        </is>
      </c>
      <c r="E759" t="inlineStr">
        <is>
          <t>VIMMERBY</t>
        </is>
      </c>
      <c r="G759" t="n">
        <v>3.8</v>
      </c>
      <c r="H759" t="n">
        <v>0</v>
      </c>
      <c r="I759" t="n">
        <v>0</v>
      </c>
      <c r="J759" t="n">
        <v>0</v>
      </c>
      <c r="K759" t="n">
        <v>0</v>
      </c>
      <c r="L759" t="n">
        <v>0</v>
      </c>
      <c r="M759" t="n">
        <v>0</v>
      </c>
      <c r="N759" t="n">
        <v>0</v>
      </c>
      <c r="O759" t="n">
        <v>0</v>
      </c>
      <c r="P759" t="n">
        <v>0</v>
      </c>
      <c r="Q759" t="n">
        <v>0</v>
      </c>
      <c r="R759" s="2" t="inlineStr"/>
    </row>
    <row r="760" ht="15" customHeight="1">
      <c r="A760" t="inlineStr">
        <is>
          <t>A 3609-2024</t>
        </is>
      </c>
      <c r="B760" s="1" t="n">
        <v>45320.89128472222</v>
      </c>
      <c r="C760" s="1" t="n">
        <v>45905</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52327-2023</t>
        </is>
      </c>
      <c r="B761" s="1" t="n">
        <v>45224.6515162037</v>
      </c>
      <c r="C761" s="1" t="n">
        <v>45905</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45905</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29348-2023</t>
        </is>
      </c>
      <c r="B763" s="1" t="n">
        <v>45106.25025462963</v>
      </c>
      <c r="C763" s="1" t="n">
        <v>45905</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28403-2023</t>
        </is>
      </c>
      <c r="B764" s="1" t="n">
        <v>45100.85270833333</v>
      </c>
      <c r="C764" s="1" t="n">
        <v>45905</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17511-2024</t>
        </is>
      </c>
      <c r="B765" s="1" t="n">
        <v>45415.57682870371</v>
      </c>
      <c r="C765" s="1" t="n">
        <v>45905</v>
      </c>
      <c r="D765" t="inlineStr">
        <is>
          <t>KALMAR LÄN</t>
        </is>
      </c>
      <c r="E765" t="inlineStr">
        <is>
          <t>VIMMERBY</t>
        </is>
      </c>
      <c r="G765" t="n">
        <v>5.3</v>
      </c>
      <c r="H765" t="n">
        <v>0</v>
      </c>
      <c r="I765" t="n">
        <v>0</v>
      </c>
      <c r="J765" t="n">
        <v>0</v>
      </c>
      <c r="K765" t="n">
        <v>0</v>
      </c>
      <c r="L765" t="n">
        <v>0</v>
      </c>
      <c r="M765" t="n">
        <v>0</v>
      </c>
      <c r="N765" t="n">
        <v>0</v>
      </c>
      <c r="O765" t="n">
        <v>0</v>
      </c>
      <c r="P765" t="n">
        <v>0</v>
      </c>
      <c r="Q765" t="n">
        <v>0</v>
      </c>
      <c r="R765" s="2" t="inlineStr"/>
    </row>
    <row r="766" ht="15" customHeight="1">
      <c r="A766" t="inlineStr">
        <is>
          <t>A 66022-2021</t>
        </is>
      </c>
      <c r="B766" s="1" t="n">
        <v>44517</v>
      </c>
      <c r="C766" s="1" t="n">
        <v>45905</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29973-2023</t>
        </is>
      </c>
      <c r="B767" s="1" t="n">
        <v>45108.703125</v>
      </c>
      <c r="C767" s="1" t="n">
        <v>45905</v>
      </c>
      <c r="D767" t="inlineStr">
        <is>
          <t>KALMAR LÄN</t>
        </is>
      </c>
      <c r="E767" t="inlineStr">
        <is>
          <t>VIMMERBY</t>
        </is>
      </c>
      <c r="G767" t="n">
        <v>4</v>
      </c>
      <c r="H767" t="n">
        <v>0</v>
      </c>
      <c r="I767" t="n">
        <v>0</v>
      </c>
      <c r="J767" t="n">
        <v>0</v>
      </c>
      <c r="K767" t="n">
        <v>0</v>
      </c>
      <c r="L767" t="n">
        <v>0</v>
      </c>
      <c r="M767" t="n">
        <v>0</v>
      </c>
      <c r="N767" t="n">
        <v>0</v>
      </c>
      <c r="O767" t="n">
        <v>0</v>
      </c>
      <c r="P767" t="n">
        <v>0</v>
      </c>
      <c r="Q767" t="n">
        <v>0</v>
      </c>
      <c r="R767" s="2" t="inlineStr"/>
    </row>
    <row r="768" ht="15" customHeight="1">
      <c r="A768" t="inlineStr">
        <is>
          <t>A 8650-2022</t>
        </is>
      </c>
      <c r="B768" s="1" t="n">
        <v>44613</v>
      </c>
      <c r="C768" s="1" t="n">
        <v>45905</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30070-2023</t>
        </is>
      </c>
      <c r="B769" s="1" t="n">
        <v>45110.4275</v>
      </c>
      <c r="C769" s="1" t="n">
        <v>45905</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11147-2023</t>
        </is>
      </c>
      <c r="B770" s="1" t="n">
        <v>44992</v>
      </c>
      <c r="C770" s="1" t="n">
        <v>45905</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16676-2023</t>
        </is>
      </c>
      <c r="B771" s="1" t="n">
        <v>45028</v>
      </c>
      <c r="C771" s="1" t="n">
        <v>45905</v>
      </c>
      <c r="D771" t="inlineStr">
        <is>
          <t>KALMAR LÄN</t>
        </is>
      </c>
      <c r="E771" t="inlineStr">
        <is>
          <t>VIMMERBY</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23263-2024</t>
        </is>
      </c>
      <c r="B772" s="1" t="n">
        <v>45453.36854166666</v>
      </c>
      <c r="C772" s="1" t="n">
        <v>45905</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49488-2023</t>
        </is>
      </c>
      <c r="B773" s="1" t="n">
        <v>45211.55472222222</v>
      </c>
      <c r="C773" s="1" t="n">
        <v>45905</v>
      </c>
      <c r="D773" t="inlineStr">
        <is>
          <t>KALMAR LÄN</t>
        </is>
      </c>
      <c r="E773" t="inlineStr">
        <is>
          <t>VIMMERBY</t>
        </is>
      </c>
      <c r="F773" t="inlineStr">
        <is>
          <t>Sveaskog</t>
        </is>
      </c>
      <c r="G773" t="n">
        <v>6.2</v>
      </c>
      <c r="H773" t="n">
        <v>0</v>
      </c>
      <c r="I773" t="n">
        <v>0</v>
      </c>
      <c r="J773" t="n">
        <v>0</v>
      </c>
      <c r="K773" t="n">
        <v>0</v>
      </c>
      <c r="L773" t="n">
        <v>0</v>
      </c>
      <c r="M773" t="n">
        <v>0</v>
      </c>
      <c r="N773" t="n">
        <v>0</v>
      </c>
      <c r="O773" t="n">
        <v>0</v>
      </c>
      <c r="P773" t="n">
        <v>0</v>
      </c>
      <c r="Q773" t="n">
        <v>0</v>
      </c>
      <c r="R773" s="2" t="inlineStr"/>
    </row>
    <row r="774" ht="15" customHeight="1">
      <c r="A774" t="inlineStr">
        <is>
          <t>A 59768-2024</t>
        </is>
      </c>
      <c r="B774" s="1" t="n">
        <v>45639.56185185185</v>
      </c>
      <c r="C774" s="1" t="n">
        <v>45905</v>
      </c>
      <c r="D774" t="inlineStr">
        <is>
          <t>KALMAR LÄN</t>
        </is>
      </c>
      <c r="E774" t="inlineStr">
        <is>
          <t>VIMMERBY</t>
        </is>
      </c>
      <c r="G774" t="n">
        <v>5.9</v>
      </c>
      <c r="H774" t="n">
        <v>0</v>
      </c>
      <c r="I774" t="n">
        <v>0</v>
      </c>
      <c r="J774" t="n">
        <v>0</v>
      </c>
      <c r="K774" t="n">
        <v>0</v>
      </c>
      <c r="L774" t="n">
        <v>0</v>
      </c>
      <c r="M774" t="n">
        <v>0</v>
      </c>
      <c r="N774" t="n">
        <v>0</v>
      </c>
      <c r="O774" t="n">
        <v>0</v>
      </c>
      <c r="P774" t="n">
        <v>0</v>
      </c>
      <c r="Q774" t="n">
        <v>0</v>
      </c>
      <c r="R774" s="2" t="inlineStr"/>
    </row>
    <row r="775" ht="15" customHeight="1">
      <c r="A775" t="inlineStr">
        <is>
          <t>A 72067-2021</t>
        </is>
      </c>
      <c r="B775" s="1" t="n">
        <v>44540</v>
      </c>
      <c r="C775" s="1" t="n">
        <v>45905</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41158-2023</t>
        </is>
      </c>
      <c r="B776" s="1" t="n">
        <v>45174.31395833333</v>
      </c>
      <c r="C776" s="1" t="n">
        <v>45905</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22198-2024</t>
        </is>
      </c>
      <c r="B777" s="1" t="n">
        <v>45446.36865740741</v>
      </c>
      <c r="C777" s="1" t="n">
        <v>45905</v>
      </c>
      <c r="D777" t="inlineStr">
        <is>
          <t>KALMAR LÄN</t>
        </is>
      </c>
      <c r="E777" t="inlineStr">
        <is>
          <t>VIMMERBY</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9511-2023</t>
        </is>
      </c>
      <c r="B778" s="1" t="n">
        <v>44981.64725694444</v>
      </c>
      <c r="C778" s="1" t="n">
        <v>45905</v>
      </c>
      <c r="D778" t="inlineStr">
        <is>
          <t>KALMAR LÄN</t>
        </is>
      </c>
      <c r="E778" t="inlineStr">
        <is>
          <t>VIMMERBY</t>
        </is>
      </c>
      <c r="G778" t="n">
        <v>3.5</v>
      </c>
      <c r="H778" t="n">
        <v>0</v>
      </c>
      <c r="I778" t="n">
        <v>0</v>
      </c>
      <c r="J778" t="n">
        <v>0</v>
      </c>
      <c r="K778" t="n">
        <v>0</v>
      </c>
      <c r="L778" t="n">
        <v>0</v>
      </c>
      <c r="M778" t="n">
        <v>0</v>
      </c>
      <c r="N778" t="n">
        <v>0</v>
      </c>
      <c r="O778" t="n">
        <v>0</v>
      </c>
      <c r="P778" t="n">
        <v>0</v>
      </c>
      <c r="Q778" t="n">
        <v>0</v>
      </c>
      <c r="R778" s="2" t="inlineStr"/>
    </row>
    <row r="779" ht="15" customHeight="1">
      <c r="A779" t="inlineStr">
        <is>
          <t>A 34205-2023</t>
        </is>
      </c>
      <c r="B779" s="1" t="n">
        <v>45138</v>
      </c>
      <c r="C779" s="1" t="n">
        <v>45905</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57091-2022</t>
        </is>
      </c>
      <c r="B780" s="1" t="n">
        <v>44895.46524305556</v>
      </c>
      <c r="C780" s="1" t="n">
        <v>45905</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2604-2025</t>
        </is>
      </c>
      <c r="B781" s="1" t="n">
        <v>45674.74094907408</v>
      </c>
      <c r="C781" s="1" t="n">
        <v>45905</v>
      </c>
      <c r="D781" t="inlineStr">
        <is>
          <t>KALMAR LÄN</t>
        </is>
      </c>
      <c r="E781" t="inlineStr">
        <is>
          <t>VIMMERBY</t>
        </is>
      </c>
      <c r="G781" t="n">
        <v>7.6</v>
      </c>
      <c r="H781" t="n">
        <v>0</v>
      </c>
      <c r="I781" t="n">
        <v>0</v>
      </c>
      <c r="J781" t="n">
        <v>0</v>
      </c>
      <c r="K781" t="n">
        <v>0</v>
      </c>
      <c r="L781" t="n">
        <v>0</v>
      </c>
      <c r="M781" t="n">
        <v>0</v>
      </c>
      <c r="N781" t="n">
        <v>0</v>
      </c>
      <c r="O781" t="n">
        <v>0</v>
      </c>
      <c r="P781" t="n">
        <v>0</v>
      </c>
      <c r="Q781" t="n">
        <v>0</v>
      </c>
      <c r="R781" s="2" t="inlineStr"/>
    </row>
    <row r="782" ht="15" customHeight="1">
      <c r="A782" t="inlineStr">
        <is>
          <t>A 6807-2025</t>
        </is>
      </c>
      <c r="B782" s="1" t="n">
        <v>45700.68672453704</v>
      </c>
      <c r="C782" s="1" t="n">
        <v>45905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38851-2023</t>
        </is>
      </c>
      <c r="B783" s="1" t="n">
        <v>45163</v>
      </c>
      <c r="C783" s="1" t="n">
        <v>45905</v>
      </c>
      <c r="D783" t="inlineStr">
        <is>
          <t>KALMAR LÄN</t>
        </is>
      </c>
      <c r="E783" t="inlineStr">
        <is>
          <t>VIMMERBY</t>
        </is>
      </c>
      <c r="G783" t="n">
        <v>4.3</v>
      </c>
      <c r="H783" t="n">
        <v>0</v>
      </c>
      <c r="I783" t="n">
        <v>0</v>
      </c>
      <c r="J783" t="n">
        <v>0</v>
      </c>
      <c r="K783" t="n">
        <v>0</v>
      </c>
      <c r="L783" t="n">
        <v>0</v>
      </c>
      <c r="M783" t="n">
        <v>0</v>
      </c>
      <c r="N783" t="n">
        <v>0</v>
      </c>
      <c r="O783" t="n">
        <v>0</v>
      </c>
      <c r="P783" t="n">
        <v>0</v>
      </c>
      <c r="Q783" t="n">
        <v>0</v>
      </c>
      <c r="R783" s="2" t="inlineStr"/>
    </row>
    <row r="784" ht="15" customHeight="1">
      <c r="A784" t="inlineStr">
        <is>
          <t>A 23252-2024</t>
        </is>
      </c>
      <c r="B784" s="1" t="n">
        <v>45453.36067129629</v>
      </c>
      <c r="C784" s="1" t="n">
        <v>45905</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5792-2023</t>
        </is>
      </c>
      <c r="B785" s="1" t="n">
        <v>44963.44769675926</v>
      </c>
      <c r="C785" s="1" t="n">
        <v>45905</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2797-2023</t>
        </is>
      </c>
      <c r="B786" s="1" t="n">
        <v>44944.71386574074</v>
      </c>
      <c r="C786" s="1" t="n">
        <v>45905</v>
      </c>
      <c r="D786" t="inlineStr">
        <is>
          <t>KALMAR LÄN</t>
        </is>
      </c>
      <c r="E786" t="inlineStr">
        <is>
          <t>VIMMERBY</t>
        </is>
      </c>
      <c r="G786" t="n">
        <v>3.4</v>
      </c>
      <c r="H786" t="n">
        <v>0</v>
      </c>
      <c r="I786" t="n">
        <v>0</v>
      </c>
      <c r="J786" t="n">
        <v>0</v>
      </c>
      <c r="K786" t="n">
        <v>0</v>
      </c>
      <c r="L786" t="n">
        <v>0</v>
      </c>
      <c r="M786" t="n">
        <v>0</v>
      </c>
      <c r="N786" t="n">
        <v>0</v>
      </c>
      <c r="O786" t="n">
        <v>0</v>
      </c>
      <c r="P786" t="n">
        <v>0</v>
      </c>
      <c r="Q786" t="n">
        <v>0</v>
      </c>
      <c r="R786" s="2" t="inlineStr"/>
    </row>
    <row r="787" ht="15" customHeight="1">
      <c r="A787" t="inlineStr">
        <is>
          <t>A 2799-2023</t>
        </is>
      </c>
      <c r="B787" s="1" t="n">
        <v>44944.72100694444</v>
      </c>
      <c r="C787" s="1" t="n">
        <v>45905</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6220-2025</t>
        </is>
      </c>
      <c r="B788" s="1" t="n">
        <v>45698.53725694444</v>
      </c>
      <c r="C788" s="1" t="n">
        <v>45905</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58278-2023</t>
        </is>
      </c>
      <c r="B789" s="1" t="n">
        <v>45250.5278587963</v>
      </c>
      <c r="C789" s="1" t="n">
        <v>45905</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36259-2022</t>
        </is>
      </c>
      <c r="B790" s="1" t="n">
        <v>44803.59118055556</v>
      </c>
      <c r="C790" s="1" t="n">
        <v>45905</v>
      </c>
      <c r="D790" t="inlineStr">
        <is>
          <t>KALMAR LÄN</t>
        </is>
      </c>
      <c r="E790" t="inlineStr">
        <is>
          <t>VIMMERBY</t>
        </is>
      </c>
      <c r="G790" t="n">
        <v>3.9</v>
      </c>
      <c r="H790" t="n">
        <v>0</v>
      </c>
      <c r="I790" t="n">
        <v>0</v>
      </c>
      <c r="J790" t="n">
        <v>0</v>
      </c>
      <c r="K790" t="n">
        <v>0</v>
      </c>
      <c r="L790" t="n">
        <v>0</v>
      </c>
      <c r="M790" t="n">
        <v>0</v>
      </c>
      <c r="N790" t="n">
        <v>0</v>
      </c>
      <c r="O790" t="n">
        <v>0</v>
      </c>
      <c r="P790" t="n">
        <v>0</v>
      </c>
      <c r="Q790" t="n">
        <v>0</v>
      </c>
      <c r="R790" s="2" t="inlineStr"/>
    </row>
    <row r="791" ht="15" customHeight="1">
      <c r="A791" t="inlineStr">
        <is>
          <t>A 36526-2023</t>
        </is>
      </c>
      <c r="B791" s="1" t="n">
        <v>45153.32778935185</v>
      </c>
      <c r="C791" s="1" t="n">
        <v>45905</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17988-2025</t>
        </is>
      </c>
      <c r="B792" s="1" t="n">
        <v>45761.39600694444</v>
      </c>
      <c r="C792" s="1" t="n">
        <v>45905</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29350-2023</t>
        </is>
      </c>
      <c r="B793" s="1" t="n">
        <v>45106</v>
      </c>
      <c r="C793" s="1" t="n">
        <v>45905</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29351-2023</t>
        </is>
      </c>
      <c r="B794" s="1" t="n">
        <v>45106.2610300926</v>
      </c>
      <c r="C794" s="1" t="n">
        <v>45905</v>
      </c>
      <c r="D794" t="inlineStr">
        <is>
          <t>KALMAR LÄN</t>
        </is>
      </c>
      <c r="E794" t="inlineStr">
        <is>
          <t>VIMMERBY</t>
        </is>
      </c>
      <c r="G794" t="n">
        <v>0.4</v>
      </c>
      <c r="H794" t="n">
        <v>0</v>
      </c>
      <c r="I794" t="n">
        <v>0</v>
      </c>
      <c r="J794" t="n">
        <v>0</v>
      </c>
      <c r="K794" t="n">
        <v>0</v>
      </c>
      <c r="L794" t="n">
        <v>0</v>
      </c>
      <c r="M794" t="n">
        <v>0</v>
      </c>
      <c r="N794" t="n">
        <v>0</v>
      </c>
      <c r="O794" t="n">
        <v>0</v>
      </c>
      <c r="P794" t="n">
        <v>0</v>
      </c>
      <c r="Q794" t="n">
        <v>0</v>
      </c>
      <c r="R794" s="2" t="inlineStr"/>
    </row>
    <row r="795" ht="15" customHeight="1">
      <c r="A795" t="inlineStr">
        <is>
          <t>A 6474-2025</t>
        </is>
      </c>
      <c r="B795" s="1" t="n">
        <v>45699.60055555555</v>
      </c>
      <c r="C795" s="1" t="n">
        <v>45905</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17-2025</t>
        </is>
      </c>
      <c r="B796" s="1" t="n">
        <v>45658.78774305555</v>
      </c>
      <c r="C796" s="1" t="n">
        <v>45905</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57555-2024</t>
        </is>
      </c>
      <c r="B797" s="1" t="n">
        <v>45630.45069444444</v>
      </c>
      <c r="C797" s="1" t="n">
        <v>45905</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18411-2021</t>
        </is>
      </c>
      <c r="B798" s="1" t="n">
        <v>44302</v>
      </c>
      <c r="C798" s="1" t="n">
        <v>45905</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52279-2023</t>
        </is>
      </c>
      <c r="B799" s="1" t="n">
        <v>45224</v>
      </c>
      <c r="C799" s="1" t="n">
        <v>45905</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52324-2023</t>
        </is>
      </c>
      <c r="B800" s="1" t="n">
        <v>45224.64659722222</v>
      </c>
      <c r="C800" s="1" t="n">
        <v>45905</v>
      </c>
      <c r="D800" t="inlineStr">
        <is>
          <t>KALMAR LÄN</t>
        </is>
      </c>
      <c r="E800" t="inlineStr">
        <is>
          <t>VIMMERBY</t>
        </is>
      </c>
      <c r="F800" t="inlineStr">
        <is>
          <t>Sveaskog</t>
        </is>
      </c>
      <c r="G800" t="n">
        <v>2.9</v>
      </c>
      <c r="H800" t="n">
        <v>0</v>
      </c>
      <c r="I800" t="n">
        <v>0</v>
      </c>
      <c r="J800" t="n">
        <v>0</v>
      </c>
      <c r="K800" t="n">
        <v>0</v>
      </c>
      <c r="L800" t="n">
        <v>0</v>
      </c>
      <c r="M800" t="n">
        <v>0</v>
      </c>
      <c r="N800" t="n">
        <v>0</v>
      </c>
      <c r="O800" t="n">
        <v>0</v>
      </c>
      <c r="P800" t="n">
        <v>0</v>
      </c>
      <c r="Q800" t="n">
        <v>0</v>
      </c>
      <c r="R800" s="2" t="inlineStr"/>
    </row>
    <row r="801" ht="15" customHeight="1">
      <c r="A801" t="inlineStr">
        <is>
          <t>A 32639-2023</t>
        </is>
      </c>
      <c r="B801" s="1" t="n">
        <v>45121.5965162037</v>
      </c>
      <c r="C801" s="1" t="n">
        <v>45905</v>
      </c>
      <c r="D801" t="inlineStr">
        <is>
          <t>KALMAR LÄN</t>
        </is>
      </c>
      <c r="E801" t="inlineStr">
        <is>
          <t>VIMMERBY</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32642-2023</t>
        </is>
      </c>
      <c r="B802" s="1" t="n">
        <v>45121.59954861111</v>
      </c>
      <c r="C802" s="1" t="n">
        <v>45905</v>
      </c>
      <c r="D802" t="inlineStr">
        <is>
          <t>KALMAR LÄN</t>
        </is>
      </c>
      <c r="E802" t="inlineStr">
        <is>
          <t>VIMMERBY</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32651-2023</t>
        </is>
      </c>
      <c r="B803" s="1" t="n">
        <v>45121.6096875</v>
      </c>
      <c r="C803" s="1" t="n">
        <v>45905</v>
      </c>
      <c r="D803" t="inlineStr">
        <is>
          <t>KALMAR LÄN</t>
        </is>
      </c>
      <c r="E803" t="inlineStr">
        <is>
          <t>VIMMERBY</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40730-2024</t>
        </is>
      </c>
      <c r="B804" s="1" t="n">
        <v>45558.44914351852</v>
      </c>
      <c r="C804" s="1" t="n">
        <v>45905</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9643-2023</t>
        </is>
      </c>
      <c r="B805" s="1" t="n">
        <v>44984</v>
      </c>
      <c r="C805" s="1" t="n">
        <v>45905</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56213-2024</t>
        </is>
      </c>
      <c r="B806" s="1" t="n">
        <v>45624.60141203704</v>
      </c>
      <c r="C806" s="1" t="n">
        <v>45905</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20126-2024</t>
        </is>
      </c>
      <c r="B807" s="1" t="n">
        <v>45434.55471064815</v>
      </c>
      <c r="C807" s="1" t="n">
        <v>45905</v>
      </c>
      <c r="D807" t="inlineStr">
        <is>
          <t>KALMAR LÄN</t>
        </is>
      </c>
      <c r="E807" t="inlineStr">
        <is>
          <t>VIMMERBY</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19865-2021</t>
        </is>
      </c>
      <c r="B808" s="1" t="n">
        <v>44312</v>
      </c>
      <c r="C808" s="1" t="n">
        <v>45905</v>
      </c>
      <c r="D808" t="inlineStr">
        <is>
          <t>KALMAR LÄN</t>
        </is>
      </c>
      <c r="E808" t="inlineStr">
        <is>
          <t>VIMMERBY</t>
        </is>
      </c>
      <c r="G808" t="n">
        <v>8.6</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44984.45895833334</v>
      </c>
      <c r="C809" s="1" t="n">
        <v>45905</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45905</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6216-2025</t>
        </is>
      </c>
      <c r="B811" s="1" t="n">
        <v>45698.52806712963</v>
      </c>
      <c r="C811" s="1" t="n">
        <v>45905</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7944-2024</t>
        </is>
      </c>
      <c r="B812" s="1" t="n">
        <v>45350.53306712963</v>
      </c>
      <c r="C812" s="1" t="n">
        <v>45905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598-2025</t>
        </is>
      </c>
      <c r="B813" s="1" t="n">
        <v>45660</v>
      </c>
      <c r="C813" s="1" t="n">
        <v>45905</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10674-2021</t>
        </is>
      </c>
      <c r="B814" s="1" t="n">
        <v>44258</v>
      </c>
      <c r="C814" s="1" t="n">
        <v>45905</v>
      </c>
      <c r="D814" t="inlineStr">
        <is>
          <t>KALMAR LÄN</t>
        </is>
      </c>
      <c r="E814" t="inlineStr">
        <is>
          <t>VIMMERBY</t>
        </is>
      </c>
      <c r="G814" t="n">
        <v>8.4</v>
      </c>
      <c r="H814" t="n">
        <v>0</v>
      </c>
      <c r="I814" t="n">
        <v>0</v>
      </c>
      <c r="J814" t="n">
        <v>0</v>
      </c>
      <c r="K814" t="n">
        <v>0</v>
      </c>
      <c r="L814" t="n">
        <v>0</v>
      </c>
      <c r="M814" t="n">
        <v>0</v>
      </c>
      <c r="N814" t="n">
        <v>0</v>
      </c>
      <c r="O814" t="n">
        <v>0</v>
      </c>
      <c r="P814" t="n">
        <v>0</v>
      </c>
      <c r="Q814" t="n">
        <v>0</v>
      </c>
      <c r="R814" s="2" t="inlineStr"/>
    </row>
    <row r="815" ht="15" customHeight="1">
      <c r="A815" t="inlineStr">
        <is>
          <t>A 10807-2024</t>
        </is>
      </c>
      <c r="B815" s="1" t="n">
        <v>45369.62780092593</v>
      </c>
      <c r="C815" s="1" t="n">
        <v>45905</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40260-2024</t>
        </is>
      </c>
      <c r="B816" s="1" t="n">
        <v>45554.63225694445</v>
      </c>
      <c r="C816" s="1" t="n">
        <v>45905</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10787-2025</t>
        </is>
      </c>
      <c r="B817" s="1" t="n">
        <v>45722.48915509259</v>
      </c>
      <c r="C817" s="1" t="n">
        <v>45905</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58577-2024</t>
        </is>
      </c>
      <c r="B818" s="1" t="n">
        <v>45635.4874537037</v>
      </c>
      <c r="C818" s="1" t="n">
        <v>45905</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38198-2024</t>
        </is>
      </c>
      <c r="B819" s="1" t="n">
        <v>45545.49508101852</v>
      </c>
      <c r="C819" s="1" t="n">
        <v>45905</v>
      </c>
      <c r="D819" t="inlineStr">
        <is>
          <t>KALMAR LÄN</t>
        </is>
      </c>
      <c r="E819" t="inlineStr">
        <is>
          <t>VIMMERBY</t>
        </is>
      </c>
      <c r="G819" t="n">
        <v>7.9</v>
      </c>
      <c r="H819" t="n">
        <v>0</v>
      </c>
      <c r="I819" t="n">
        <v>0</v>
      </c>
      <c r="J819" t="n">
        <v>0</v>
      </c>
      <c r="K819" t="n">
        <v>0</v>
      </c>
      <c r="L819" t="n">
        <v>0</v>
      </c>
      <c r="M819" t="n">
        <v>0</v>
      </c>
      <c r="N819" t="n">
        <v>0</v>
      </c>
      <c r="O819" t="n">
        <v>0</v>
      </c>
      <c r="P819" t="n">
        <v>0</v>
      </c>
      <c r="Q819" t="n">
        <v>0</v>
      </c>
      <c r="R819" s="2" t="inlineStr"/>
    </row>
    <row r="820" ht="15" customHeight="1">
      <c r="A820" t="inlineStr">
        <is>
          <t>A 43617-2024</t>
        </is>
      </c>
      <c r="B820" s="1" t="n">
        <v>45569.47494212963</v>
      </c>
      <c r="C820" s="1" t="n">
        <v>45905</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22264-2023</t>
        </is>
      </c>
      <c r="B821" s="1" t="n">
        <v>45070.3665625</v>
      </c>
      <c r="C821" s="1" t="n">
        <v>45905</v>
      </c>
      <c r="D821" t="inlineStr">
        <is>
          <t>KALMAR LÄN</t>
        </is>
      </c>
      <c r="E821" t="inlineStr">
        <is>
          <t>VIMMERBY</t>
        </is>
      </c>
      <c r="G821" t="n">
        <v>1</v>
      </c>
      <c r="H821" t="n">
        <v>0</v>
      </c>
      <c r="I821" t="n">
        <v>0</v>
      </c>
      <c r="J821" t="n">
        <v>0</v>
      </c>
      <c r="K821" t="n">
        <v>0</v>
      </c>
      <c r="L821" t="n">
        <v>0</v>
      </c>
      <c r="M821" t="n">
        <v>0</v>
      </c>
      <c r="N821" t="n">
        <v>0</v>
      </c>
      <c r="O821" t="n">
        <v>0</v>
      </c>
      <c r="P821" t="n">
        <v>0</v>
      </c>
      <c r="Q821" t="n">
        <v>0</v>
      </c>
      <c r="R821" s="2" t="inlineStr"/>
    </row>
    <row r="822" ht="15" customHeight="1">
      <c r="A822" t="inlineStr">
        <is>
          <t>A 22266-2023</t>
        </is>
      </c>
      <c r="B822" s="1" t="n">
        <v>45070</v>
      </c>
      <c r="C822" s="1" t="n">
        <v>45905</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50091-2023</t>
        </is>
      </c>
      <c r="B823" s="1" t="n">
        <v>45215.60199074074</v>
      </c>
      <c r="C823" s="1" t="n">
        <v>45905</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10303-2025</t>
        </is>
      </c>
      <c r="B824" s="1" t="n">
        <v>45720.44217592593</v>
      </c>
      <c r="C824" s="1" t="n">
        <v>45905</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11027-2023</t>
        </is>
      </c>
      <c r="B825" s="1" t="n">
        <v>44991.89657407408</v>
      </c>
      <c r="C825" s="1" t="n">
        <v>45905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11661-2023</t>
        </is>
      </c>
      <c r="B826" s="1" t="n">
        <v>44994.46908564815</v>
      </c>
      <c r="C826" s="1" t="n">
        <v>45905</v>
      </c>
      <c r="D826" t="inlineStr">
        <is>
          <t>KALMAR LÄN</t>
        </is>
      </c>
      <c r="E826" t="inlineStr">
        <is>
          <t>VIMMERBY</t>
        </is>
      </c>
      <c r="G826" t="n">
        <v>2.7</v>
      </c>
      <c r="H826" t="n">
        <v>0</v>
      </c>
      <c r="I826" t="n">
        <v>0</v>
      </c>
      <c r="J826" t="n">
        <v>0</v>
      </c>
      <c r="K826" t="n">
        <v>0</v>
      </c>
      <c r="L826" t="n">
        <v>0</v>
      </c>
      <c r="M826" t="n">
        <v>0</v>
      </c>
      <c r="N826" t="n">
        <v>0</v>
      </c>
      <c r="O826" t="n">
        <v>0</v>
      </c>
      <c r="P826" t="n">
        <v>0</v>
      </c>
      <c r="Q826" t="n">
        <v>0</v>
      </c>
      <c r="R826" s="2" t="inlineStr"/>
    </row>
    <row r="827" ht="15" customHeight="1">
      <c r="A827" t="inlineStr">
        <is>
          <t>A 36155-2023</t>
        </is>
      </c>
      <c r="B827" s="1" t="n">
        <v>45149.60917824074</v>
      </c>
      <c r="C827" s="1" t="n">
        <v>45905</v>
      </c>
      <c r="D827" t="inlineStr">
        <is>
          <t>KALMAR LÄN</t>
        </is>
      </c>
      <c r="E827" t="inlineStr">
        <is>
          <t>VIMMERBY</t>
        </is>
      </c>
      <c r="G827" t="n">
        <v>5</v>
      </c>
      <c r="H827" t="n">
        <v>0</v>
      </c>
      <c r="I827" t="n">
        <v>0</v>
      </c>
      <c r="J827" t="n">
        <v>0</v>
      </c>
      <c r="K827" t="n">
        <v>0</v>
      </c>
      <c r="L827" t="n">
        <v>0</v>
      </c>
      <c r="M827" t="n">
        <v>0</v>
      </c>
      <c r="N827" t="n">
        <v>0</v>
      </c>
      <c r="O827" t="n">
        <v>0</v>
      </c>
      <c r="P827" t="n">
        <v>0</v>
      </c>
      <c r="Q827" t="n">
        <v>0</v>
      </c>
      <c r="R827" s="2" t="inlineStr"/>
    </row>
    <row r="828" ht="15" customHeight="1">
      <c r="A828" t="inlineStr">
        <is>
          <t>A 40147-2023</t>
        </is>
      </c>
      <c r="B828" s="1" t="n">
        <v>45169</v>
      </c>
      <c r="C828" s="1" t="n">
        <v>45905</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63950-2023</t>
        </is>
      </c>
      <c r="B829" s="1" t="n">
        <v>45278</v>
      </c>
      <c r="C829" s="1" t="n">
        <v>45905</v>
      </c>
      <c r="D829" t="inlineStr">
        <is>
          <t>KALMAR LÄN</t>
        </is>
      </c>
      <c r="E829" t="inlineStr">
        <is>
          <t>VIMMERBY</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24096-2024</t>
        </is>
      </c>
      <c r="B830" s="1" t="n">
        <v>45456.59289351852</v>
      </c>
      <c r="C830" s="1" t="n">
        <v>45905</v>
      </c>
      <c r="D830" t="inlineStr">
        <is>
          <t>KALMAR LÄN</t>
        </is>
      </c>
      <c r="E830" t="inlineStr">
        <is>
          <t>VIMMERBY</t>
        </is>
      </c>
      <c r="G830" t="n">
        <v>2.3</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45905</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41199-2023</t>
        </is>
      </c>
      <c r="B832" s="1" t="n">
        <v>45174.40454861111</v>
      </c>
      <c r="C832" s="1" t="n">
        <v>45905</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36014-2024</t>
        </is>
      </c>
      <c r="B833" s="1" t="n">
        <v>45533.56108796296</v>
      </c>
      <c r="C833" s="1" t="n">
        <v>45905</v>
      </c>
      <c r="D833" t="inlineStr">
        <is>
          <t>KALMAR LÄN</t>
        </is>
      </c>
      <c r="E833" t="inlineStr">
        <is>
          <t>VIMMERBY</t>
        </is>
      </c>
      <c r="G833" t="n">
        <v>2.3</v>
      </c>
      <c r="H833" t="n">
        <v>0</v>
      </c>
      <c r="I833" t="n">
        <v>0</v>
      </c>
      <c r="J833" t="n">
        <v>0</v>
      </c>
      <c r="K833" t="n">
        <v>0</v>
      </c>
      <c r="L833" t="n">
        <v>0</v>
      </c>
      <c r="M833" t="n">
        <v>0</v>
      </c>
      <c r="N833" t="n">
        <v>0</v>
      </c>
      <c r="O833" t="n">
        <v>0</v>
      </c>
      <c r="P833" t="n">
        <v>0</v>
      </c>
      <c r="Q833" t="n">
        <v>0</v>
      </c>
      <c r="R833" s="2" t="inlineStr"/>
    </row>
    <row r="834" ht="15" customHeight="1">
      <c r="A834" t="inlineStr">
        <is>
          <t>A 36030-2024</t>
        </is>
      </c>
      <c r="B834" s="1" t="n">
        <v>45533.58302083334</v>
      </c>
      <c r="C834" s="1" t="n">
        <v>45905</v>
      </c>
      <c r="D834" t="inlineStr">
        <is>
          <t>KALMAR LÄN</t>
        </is>
      </c>
      <c r="E834" t="inlineStr">
        <is>
          <t>VIMMERBY</t>
        </is>
      </c>
      <c r="F834" t="inlineStr">
        <is>
          <t>Kommuner</t>
        </is>
      </c>
      <c r="G834" t="n">
        <v>4</v>
      </c>
      <c r="H834" t="n">
        <v>0</v>
      </c>
      <c r="I834" t="n">
        <v>0</v>
      </c>
      <c r="J834" t="n">
        <v>0</v>
      </c>
      <c r="K834" t="n">
        <v>0</v>
      </c>
      <c r="L834" t="n">
        <v>0</v>
      </c>
      <c r="M834" t="n">
        <v>0</v>
      </c>
      <c r="N834" t="n">
        <v>0</v>
      </c>
      <c r="O834" t="n">
        <v>0</v>
      </c>
      <c r="P834" t="n">
        <v>0</v>
      </c>
      <c r="Q834" t="n">
        <v>0</v>
      </c>
      <c r="R834" s="2" t="inlineStr"/>
    </row>
    <row r="835" ht="15" customHeight="1">
      <c r="A835" t="inlineStr">
        <is>
          <t>A 7627-2025</t>
        </is>
      </c>
      <c r="B835" s="1" t="n">
        <v>45705.73300925926</v>
      </c>
      <c r="C835" s="1" t="n">
        <v>45905</v>
      </c>
      <c r="D835" t="inlineStr">
        <is>
          <t>KALMAR LÄN</t>
        </is>
      </c>
      <c r="E835" t="inlineStr">
        <is>
          <t>VIMMERBY</t>
        </is>
      </c>
      <c r="G835" t="n">
        <v>2.1</v>
      </c>
      <c r="H835" t="n">
        <v>0</v>
      </c>
      <c r="I835" t="n">
        <v>0</v>
      </c>
      <c r="J835" t="n">
        <v>0</v>
      </c>
      <c r="K835" t="n">
        <v>0</v>
      </c>
      <c r="L835" t="n">
        <v>0</v>
      </c>
      <c r="M835" t="n">
        <v>0</v>
      </c>
      <c r="N835" t="n">
        <v>0</v>
      </c>
      <c r="O835" t="n">
        <v>0</v>
      </c>
      <c r="P835" t="n">
        <v>0</v>
      </c>
      <c r="Q835" t="n">
        <v>0</v>
      </c>
      <c r="R835" s="2" t="inlineStr"/>
    </row>
    <row r="836" ht="15" customHeight="1">
      <c r="A836" t="inlineStr">
        <is>
          <t>A 6321-2023</t>
        </is>
      </c>
      <c r="B836" s="1" t="n">
        <v>44965.4815162037</v>
      </c>
      <c r="C836" s="1" t="n">
        <v>45905</v>
      </c>
      <c r="D836" t="inlineStr">
        <is>
          <t>KALMAR LÄN</t>
        </is>
      </c>
      <c r="E836" t="inlineStr">
        <is>
          <t>VIMMERBY</t>
        </is>
      </c>
      <c r="G836" t="n">
        <v>1.8</v>
      </c>
      <c r="H836" t="n">
        <v>0</v>
      </c>
      <c r="I836" t="n">
        <v>0</v>
      </c>
      <c r="J836" t="n">
        <v>0</v>
      </c>
      <c r="K836" t="n">
        <v>0</v>
      </c>
      <c r="L836" t="n">
        <v>0</v>
      </c>
      <c r="M836" t="n">
        <v>0</v>
      </c>
      <c r="N836" t="n">
        <v>0</v>
      </c>
      <c r="O836" t="n">
        <v>0</v>
      </c>
      <c r="P836" t="n">
        <v>0</v>
      </c>
      <c r="Q836" t="n">
        <v>0</v>
      </c>
      <c r="R836" s="2" t="inlineStr"/>
    </row>
    <row r="837" ht="15" customHeight="1">
      <c r="A837" t="inlineStr">
        <is>
          <t>A 52755-2022</t>
        </is>
      </c>
      <c r="B837" s="1" t="n">
        <v>44875.27736111111</v>
      </c>
      <c r="C837" s="1" t="n">
        <v>45905</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40823-2023</t>
        </is>
      </c>
      <c r="B838" s="1" t="n">
        <v>45171.77335648148</v>
      </c>
      <c r="C838" s="1" t="n">
        <v>45905</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27761-2024</t>
        </is>
      </c>
      <c r="B839" s="1" t="n">
        <v>45475.49018518518</v>
      </c>
      <c r="C839" s="1" t="n">
        <v>45905</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21028-2023</t>
        </is>
      </c>
      <c r="B840" s="1" t="n">
        <v>45061</v>
      </c>
      <c r="C840" s="1" t="n">
        <v>45905</v>
      </c>
      <c r="D840" t="inlineStr">
        <is>
          <t>KALMAR LÄN</t>
        </is>
      </c>
      <c r="E840" t="inlineStr">
        <is>
          <t>VIMMERBY</t>
        </is>
      </c>
      <c r="F840" t="inlineStr">
        <is>
          <t>Övriga Aktiebolag</t>
        </is>
      </c>
      <c r="G840" t="n">
        <v>0.7</v>
      </c>
      <c r="H840" t="n">
        <v>0</v>
      </c>
      <c r="I840" t="n">
        <v>0</v>
      </c>
      <c r="J840" t="n">
        <v>0</v>
      </c>
      <c r="K840" t="n">
        <v>0</v>
      </c>
      <c r="L840" t="n">
        <v>0</v>
      </c>
      <c r="M840" t="n">
        <v>0</v>
      </c>
      <c r="N840" t="n">
        <v>0</v>
      </c>
      <c r="O840" t="n">
        <v>0</v>
      </c>
      <c r="P840" t="n">
        <v>0</v>
      </c>
      <c r="Q840" t="n">
        <v>0</v>
      </c>
      <c r="R840" s="2" t="inlineStr"/>
    </row>
    <row r="841" ht="15" customHeight="1">
      <c r="A841" t="inlineStr">
        <is>
          <t>A 64203-2021</t>
        </is>
      </c>
      <c r="B841" s="1" t="n">
        <v>44510.60921296296</v>
      </c>
      <c r="C841" s="1" t="n">
        <v>45905</v>
      </c>
      <c r="D841" t="inlineStr">
        <is>
          <t>KALMAR LÄN</t>
        </is>
      </c>
      <c r="E841" t="inlineStr">
        <is>
          <t>VIMMERBY</t>
        </is>
      </c>
      <c r="F841" t="inlineStr">
        <is>
          <t>Övriga Aktiebolag</t>
        </is>
      </c>
      <c r="G841" t="n">
        <v>5.4</v>
      </c>
      <c r="H841" t="n">
        <v>0</v>
      </c>
      <c r="I841" t="n">
        <v>0</v>
      </c>
      <c r="J841" t="n">
        <v>0</v>
      </c>
      <c r="K841" t="n">
        <v>0</v>
      </c>
      <c r="L841" t="n">
        <v>0</v>
      </c>
      <c r="M841" t="n">
        <v>0</v>
      </c>
      <c r="N841" t="n">
        <v>0</v>
      </c>
      <c r="O841" t="n">
        <v>0</v>
      </c>
      <c r="P841" t="n">
        <v>0</v>
      </c>
      <c r="Q841" t="n">
        <v>0</v>
      </c>
      <c r="R841" s="2" t="inlineStr"/>
    </row>
    <row r="842" ht="15" customHeight="1">
      <c r="A842" t="inlineStr">
        <is>
          <t>A 1016-2024</t>
        </is>
      </c>
      <c r="B842" s="1" t="n">
        <v>45301</v>
      </c>
      <c r="C842" s="1" t="n">
        <v>45905</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1024-2024</t>
        </is>
      </c>
      <c r="B843" s="1" t="n">
        <v>45301.68237268519</v>
      </c>
      <c r="C843" s="1" t="n">
        <v>45905</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27758-2024</t>
        </is>
      </c>
      <c r="B844" s="1" t="n">
        <v>45475.48303240741</v>
      </c>
      <c r="C844" s="1" t="n">
        <v>45905</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32865-2023</t>
        </is>
      </c>
      <c r="B845" s="1" t="n">
        <v>45124</v>
      </c>
      <c r="C845" s="1" t="n">
        <v>45905</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22194-2024</t>
        </is>
      </c>
      <c r="B846" s="1" t="n">
        <v>45446.36482638889</v>
      </c>
      <c r="C846" s="1" t="n">
        <v>45905</v>
      </c>
      <c r="D846" t="inlineStr">
        <is>
          <t>KALMAR LÄN</t>
        </is>
      </c>
      <c r="E846" t="inlineStr">
        <is>
          <t>VIMMERBY</t>
        </is>
      </c>
      <c r="F846" t="inlineStr">
        <is>
          <t>Sveaskog</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17926-2025</t>
        </is>
      </c>
      <c r="B847" s="1" t="n">
        <v>45759.38987268518</v>
      </c>
      <c r="C847" s="1" t="n">
        <v>45905</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35127-2024</t>
        </is>
      </c>
      <c r="B848" s="1" t="n">
        <v>45530.33202546297</v>
      </c>
      <c r="C848" s="1" t="n">
        <v>45905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1206-2025</t>
        </is>
      </c>
      <c r="B849" s="1" t="n">
        <v>45667.39670138889</v>
      </c>
      <c r="C849" s="1" t="n">
        <v>45905</v>
      </c>
      <c r="D849" t="inlineStr">
        <is>
          <t>KALMAR LÄN</t>
        </is>
      </c>
      <c r="E849" t="inlineStr">
        <is>
          <t>VIMMERBY</t>
        </is>
      </c>
      <c r="G849" t="n">
        <v>3.5</v>
      </c>
      <c r="H849" t="n">
        <v>0</v>
      </c>
      <c r="I849" t="n">
        <v>0</v>
      </c>
      <c r="J849" t="n">
        <v>0</v>
      </c>
      <c r="K849" t="n">
        <v>0</v>
      </c>
      <c r="L849" t="n">
        <v>0</v>
      </c>
      <c r="M849" t="n">
        <v>0</v>
      </c>
      <c r="N849" t="n">
        <v>0</v>
      </c>
      <c r="O849" t="n">
        <v>0</v>
      </c>
      <c r="P849" t="n">
        <v>0</v>
      </c>
      <c r="Q849" t="n">
        <v>0</v>
      </c>
      <c r="R849" s="2" t="inlineStr"/>
    </row>
    <row r="850" ht="15" customHeight="1">
      <c r="A850" t="inlineStr">
        <is>
          <t>A 33383-2023</t>
        </is>
      </c>
      <c r="B850" s="1" t="n">
        <v>45128.58414351852</v>
      </c>
      <c r="C850" s="1" t="n">
        <v>45905</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c r="A851" t="inlineStr">
        <is>
          <t>A 4297-2022</t>
        </is>
      </c>
      <c r="B851" s="1" t="n">
        <v>44588</v>
      </c>
      <c r="C851" s="1" t="n">
        <v>45905</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2025-09-05T08:50:48Z</dcterms:created>
  <dcterms:modified xmlns:dcterms="http://purl.org/dc/terms/" xmlns:xsi="http://www.w3.org/2001/XMLSchema-instance" xsi:type="dcterms:W3CDTF">2025-09-05T08:50:49Z</dcterms:modified>
</cp:coreProperties>
</file>