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45994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45994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45994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45994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45994</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45994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45994</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45994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45994</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8411-2021</t>
        </is>
      </c>
      <c r="B16" s="1" t="n">
        <v>44245</v>
      </c>
      <c r="C16" s="1" t="n">
        <v>45994</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45994</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45994</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45994</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45994</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45994</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45994</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45994</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45994</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22825-2023</t>
        </is>
      </c>
      <c r="B25" s="1" t="n">
        <v>45072</v>
      </c>
      <c r="C25" s="1" t="n">
        <v>45994</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22396-2025</t>
        </is>
      </c>
      <c r="B26" s="1" t="n">
        <v>45786.52827546297</v>
      </c>
      <c r="C26" s="1" t="n">
        <v>45994</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14024-2023</t>
        </is>
      </c>
      <c r="B27" s="1" t="n">
        <v>45008.60878472222</v>
      </c>
      <c r="C27" s="1" t="n">
        <v>45994</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40684-2025</t>
        </is>
      </c>
      <c r="B28" s="1" t="n">
        <v>45896.86820601852</v>
      </c>
      <c r="C28" s="1" t="n">
        <v>45994</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17935-2025</t>
        </is>
      </c>
      <c r="B29" s="1" t="n">
        <v>45760.34877314815</v>
      </c>
      <c r="C29" s="1" t="n">
        <v>45994</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45994</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42802-2025</t>
        </is>
      </c>
      <c r="B31" s="1" t="n">
        <v>45908</v>
      </c>
      <c r="C31" s="1" t="n">
        <v>45994</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53787-2025</t>
        </is>
      </c>
      <c r="B32" s="1" t="n">
        <v>45960</v>
      </c>
      <c r="C32" s="1" t="n">
        <v>45994</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32396-2021</t>
        </is>
      </c>
      <c r="B33" s="1" t="n">
        <v>44371</v>
      </c>
      <c r="C33" s="1" t="n">
        <v>45994</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9067-2025</t>
        </is>
      </c>
      <c r="B34" s="1" t="n">
        <v>45713</v>
      </c>
      <c r="C34" s="1" t="n">
        <v>45994</v>
      </c>
      <c r="D34" t="inlineStr">
        <is>
          <t>KALMAR LÄN</t>
        </is>
      </c>
      <c r="E34" t="inlineStr">
        <is>
          <t>VIMMERBY</t>
        </is>
      </c>
      <c r="G34" t="n">
        <v>3.9</v>
      </c>
      <c r="H34" t="n">
        <v>0</v>
      </c>
      <c r="I34" t="n">
        <v>1</v>
      </c>
      <c r="J34" t="n">
        <v>0</v>
      </c>
      <c r="K34" t="n">
        <v>0</v>
      </c>
      <c r="L34" t="n">
        <v>0</v>
      </c>
      <c r="M34" t="n">
        <v>0</v>
      </c>
      <c r="N34" t="n">
        <v>0</v>
      </c>
      <c r="O34" t="n">
        <v>0</v>
      </c>
      <c r="P34" t="n">
        <v>0</v>
      </c>
      <c r="Q34" t="n">
        <v>1</v>
      </c>
      <c r="R34" s="2" t="inlineStr">
        <is>
          <t>Ögonpyrola</t>
        </is>
      </c>
      <c r="S34">
        <f>HYPERLINK("https://klasma.github.io/Logging_0884/artfynd/A 9067-2025 artfynd.xlsx", "A 9067-2025")</f>
        <v/>
      </c>
      <c r="T34">
        <f>HYPERLINK("https://klasma.github.io/Logging_0884/kartor/A 9067-2025 karta.png", "A 9067-2025")</f>
        <v/>
      </c>
      <c r="V34">
        <f>HYPERLINK("https://klasma.github.io/Logging_0884/klagomål/A 9067-2025 FSC-klagomål.docx", "A 9067-2025")</f>
        <v/>
      </c>
      <c r="W34">
        <f>HYPERLINK("https://klasma.github.io/Logging_0884/klagomålsmail/A 9067-2025 FSC-klagomål mail.docx", "A 9067-2025")</f>
        <v/>
      </c>
      <c r="X34">
        <f>HYPERLINK("https://klasma.github.io/Logging_0884/tillsyn/A 9067-2025 tillsynsbegäran.docx", "A 9067-2025")</f>
        <v/>
      </c>
      <c r="Y34">
        <f>HYPERLINK("https://klasma.github.io/Logging_0884/tillsynsmail/A 9067-2025 tillsynsbegäran mail.docx", "A 9067-2025")</f>
        <v/>
      </c>
    </row>
    <row r="35" ht="15" customHeight="1">
      <c r="A35" t="inlineStr">
        <is>
          <t>A 23602-2023</t>
        </is>
      </c>
      <c r="B35" s="1" t="n">
        <v>45077</v>
      </c>
      <c r="C35" s="1" t="n">
        <v>45994</v>
      </c>
      <c r="D35" t="inlineStr">
        <is>
          <t>KALMAR LÄN</t>
        </is>
      </c>
      <c r="E35" t="inlineStr">
        <is>
          <t>VIMMERBY</t>
        </is>
      </c>
      <c r="G35" t="n">
        <v>1.6</v>
      </c>
      <c r="H35" t="n">
        <v>0</v>
      </c>
      <c r="I35" t="n">
        <v>0</v>
      </c>
      <c r="J35" t="n">
        <v>1</v>
      </c>
      <c r="K35" t="n">
        <v>0</v>
      </c>
      <c r="L35" t="n">
        <v>0</v>
      </c>
      <c r="M35" t="n">
        <v>0</v>
      </c>
      <c r="N35" t="n">
        <v>0</v>
      </c>
      <c r="O35" t="n">
        <v>1</v>
      </c>
      <c r="P35" t="n">
        <v>0</v>
      </c>
      <c r="Q35" t="n">
        <v>1</v>
      </c>
      <c r="R35" s="2" t="inlineStr">
        <is>
          <t>Vedtrappmossa</t>
        </is>
      </c>
      <c r="S35">
        <f>HYPERLINK("https://klasma.github.io/Logging_0884/artfynd/A 23602-2023 artfynd.xlsx", "A 23602-2023")</f>
        <v/>
      </c>
      <c r="T35">
        <f>HYPERLINK("https://klasma.github.io/Logging_0884/kartor/A 23602-2023 karta.png", "A 23602-2023")</f>
        <v/>
      </c>
      <c r="V35">
        <f>HYPERLINK("https://klasma.github.io/Logging_0884/klagomål/A 23602-2023 FSC-klagomål.docx", "A 23602-2023")</f>
        <v/>
      </c>
      <c r="W35">
        <f>HYPERLINK("https://klasma.github.io/Logging_0884/klagomålsmail/A 23602-2023 FSC-klagomål mail.docx", "A 23602-2023")</f>
        <v/>
      </c>
      <c r="X35">
        <f>HYPERLINK("https://klasma.github.io/Logging_0884/tillsyn/A 23602-2023 tillsynsbegäran.docx", "A 23602-2023")</f>
        <v/>
      </c>
      <c r="Y35">
        <f>HYPERLINK("https://klasma.github.io/Logging_0884/tillsynsmail/A 23602-2023 tillsynsbegäran mail.docx", "A 23602-2023")</f>
        <v/>
      </c>
    </row>
    <row r="36" ht="15" customHeight="1">
      <c r="A36" t="inlineStr">
        <is>
          <t>A 28852-2023</t>
        </is>
      </c>
      <c r="B36" s="1" t="n">
        <v>45104</v>
      </c>
      <c r="C36" s="1" t="n">
        <v>45994</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37930-2021</t>
        </is>
      </c>
      <c r="B37" s="1" t="n">
        <v>44403</v>
      </c>
      <c r="C37" s="1" t="n">
        <v>45994</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33436-2021</t>
        </is>
      </c>
      <c r="B38" s="1" t="n">
        <v>44377.61104166666</v>
      </c>
      <c r="C38" s="1" t="n">
        <v>45994</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52301-2023</t>
        </is>
      </c>
      <c r="B39" s="1" t="n">
        <v>45224</v>
      </c>
      <c r="C39" s="1" t="n">
        <v>45994</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32985-2023</t>
        </is>
      </c>
      <c r="B40" s="1" t="n">
        <v>45125</v>
      </c>
      <c r="C40" s="1" t="n">
        <v>45994</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15122-2024</t>
        </is>
      </c>
      <c r="B41" s="1" t="n">
        <v>45399.71412037037</v>
      </c>
      <c r="C41" s="1" t="n">
        <v>45994</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40083-2023</t>
        </is>
      </c>
      <c r="B42" s="1" t="n">
        <v>45168</v>
      </c>
      <c r="C42" s="1" t="n">
        <v>45994</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45994</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44515-2024</t>
        </is>
      </c>
      <c r="B44" s="1" t="n">
        <v>45574.42767361111</v>
      </c>
      <c r="C44" s="1" t="n">
        <v>45994</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6841-2021</t>
        </is>
      </c>
      <c r="B45" s="1" t="n">
        <v>44236</v>
      </c>
      <c r="C45" s="1" t="n">
        <v>45994</v>
      </c>
      <c r="D45" t="inlineStr">
        <is>
          <t>KALMAR LÄN</t>
        </is>
      </c>
      <c r="E45" t="inlineStr">
        <is>
          <t>VIMMERBY</t>
        </is>
      </c>
      <c r="G45" t="n">
        <v>25</v>
      </c>
      <c r="H45" t="n">
        <v>0</v>
      </c>
      <c r="I45" t="n">
        <v>0</v>
      </c>
      <c r="J45" t="n">
        <v>1</v>
      </c>
      <c r="K45" t="n">
        <v>0</v>
      </c>
      <c r="L45" t="n">
        <v>0</v>
      </c>
      <c r="M45" t="n">
        <v>0</v>
      </c>
      <c r="N45" t="n">
        <v>0</v>
      </c>
      <c r="O45" t="n">
        <v>1</v>
      </c>
      <c r="P45" t="n">
        <v>0</v>
      </c>
      <c r="Q45" t="n">
        <v>1</v>
      </c>
      <c r="R45" s="2" t="inlineStr">
        <is>
          <t>Bredbrämad bastardsvärmare</t>
        </is>
      </c>
      <c r="S45">
        <f>HYPERLINK("https://klasma.github.io/Logging_0884/artfynd/A 6841-2021 artfynd.xlsx", "A 6841-2021")</f>
        <v/>
      </c>
      <c r="T45">
        <f>HYPERLINK("https://klasma.github.io/Logging_0884/kartor/A 6841-2021 karta.png", "A 6841-2021")</f>
        <v/>
      </c>
      <c r="V45">
        <f>HYPERLINK("https://klasma.github.io/Logging_0884/klagomål/A 6841-2021 FSC-klagomål.docx", "A 6841-2021")</f>
        <v/>
      </c>
      <c r="W45">
        <f>HYPERLINK("https://klasma.github.io/Logging_0884/klagomålsmail/A 6841-2021 FSC-klagomål mail.docx", "A 6841-2021")</f>
        <v/>
      </c>
      <c r="X45">
        <f>HYPERLINK("https://klasma.github.io/Logging_0884/tillsyn/A 6841-2021 tillsynsbegäran.docx", "A 6841-2021")</f>
        <v/>
      </c>
      <c r="Y45">
        <f>HYPERLINK("https://klasma.github.io/Logging_0884/tillsynsmail/A 6841-2021 tillsynsbegäran mail.docx", "A 6841-2021")</f>
        <v/>
      </c>
    </row>
    <row r="46" ht="15" customHeight="1">
      <c r="A46" t="inlineStr">
        <is>
          <t>A 61860-2024</t>
        </is>
      </c>
      <c r="B46" s="1" t="n">
        <v>45649</v>
      </c>
      <c r="C46" s="1" t="n">
        <v>45994</v>
      </c>
      <c r="D46" t="inlineStr">
        <is>
          <t>KALMAR LÄN</t>
        </is>
      </c>
      <c r="E46" t="inlineStr">
        <is>
          <t>VIMMERBY</t>
        </is>
      </c>
      <c r="G46" t="n">
        <v>4.4</v>
      </c>
      <c r="H46" t="n">
        <v>1</v>
      </c>
      <c r="I46" t="n">
        <v>0</v>
      </c>
      <c r="J46" t="n">
        <v>0</v>
      </c>
      <c r="K46" t="n">
        <v>1</v>
      </c>
      <c r="L46" t="n">
        <v>0</v>
      </c>
      <c r="M46" t="n">
        <v>0</v>
      </c>
      <c r="N46" t="n">
        <v>0</v>
      </c>
      <c r="O46" t="n">
        <v>1</v>
      </c>
      <c r="P46" t="n">
        <v>1</v>
      </c>
      <c r="Q46" t="n">
        <v>1</v>
      </c>
      <c r="R46" s="2" t="inlineStr">
        <is>
          <t>Knärot</t>
        </is>
      </c>
      <c r="S46">
        <f>HYPERLINK("https://klasma.github.io/Logging_0884/artfynd/A 61860-2024 artfynd.xlsx", "A 61860-2024")</f>
        <v/>
      </c>
      <c r="T46">
        <f>HYPERLINK("https://klasma.github.io/Logging_0884/kartor/A 61860-2024 karta.png", "A 61860-2024")</f>
        <v/>
      </c>
      <c r="U46">
        <f>HYPERLINK("https://klasma.github.io/Logging_0884/knärot/A 61860-2024 karta knärot.png", "A 61860-2024")</f>
        <v/>
      </c>
      <c r="V46">
        <f>HYPERLINK("https://klasma.github.io/Logging_0884/klagomål/A 61860-2024 FSC-klagomål.docx", "A 61860-2024")</f>
        <v/>
      </c>
      <c r="W46">
        <f>HYPERLINK("https://klasma.github.io/Logging_0884/klagomålsmail/A 61860-2024 FSC-klagomål mail.docx", "A 61860-2024")</f>
        <v/>
      </c>
      <c r="X46">
        <f>HYPERLINK("https://klasma.github.io/Logging_0884/tillsyn/A 61860-2024 tillsynsbegäran.docx", "A 61860-2024")</f>
        <v/>
      </c>
      <c r="Y46">
        <f>HYPERLINK("https://klasma.github.io/Logging_0884/tillsynsmail/A 61860-2024 tillsynsbegäran mail.docx", "A 61860-2024")</f>
        <v/>
      </c>
    </row>
    <row r="47" ht="15" customHeight="1">
      <c r="A47" t="inlineStr">
        <is>
          <t>A 1201-2025</t>
        </is>
      </c>
      <c r="B47" s="1" t="n">
        <v>45667</v>
      </c>
      <c r="C47" s="1" t="n">
        <v>45994</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1201-2025 artfynd.xlsx", "A 1201-2025")</f>
        <v/>
      </c>
      <c r="T47">
        <f>HYPERLINK("https://klasma.github.io/Logging_0884/kartor/A 1201-2025 karta.png", "A 1201-2025")</f>
        <v/>
      </c>
      <c r="U47">
        <f>HYPERLINK("https://klasma.github.io/Logging_0884/knärot/A 1201-2025 karta knärot.png", "A 1201-2025")</f>
        <v/>
      </c>
      <c r="V47">
        <f>HYPERLINK("https://klasma.github.io/Logging_0884/klagomål/A 1201-2025 FSC-klagomål.docx", "A 1201-2025")</f>
        <v/>
      </c>
      <c r="W47">
        <f>HYPERLINK("https://klasma.github.io/Logging_0884/klagomålsmail/A 1201-2025 FSC-klagomål mail.docx", "A 1201-2025")</f>
        <v/>
      </c>
      <c r="X47">
        <f>HYPERLINK("https://klasma.github.io/Logging_0884/tillsyn/A 1201-2025 tillsynsbegäran.docx", "A 1201-2025")</f>
        <v/>
      </c>
      <c r="Y47">
        <f>HYPERLINK("https://klasma.github.io/Logging_0884/tillsynsmail/A 1201-2025 tillsynsbegäran mail.docx", "A 1201-2025")</f>
        <v/>
      </c>
    </row>
    <row r="48" ht="15" customHeight="1">
      <c r="A48" t="inlineStr">
        <is>
          <t>A 53400-2025</t>
        </is>
      </c>
      <c r="B48" s="1" t="n">
        <v>45959.56684027778</v>
      </c>
      <c r="C48" s="1" t="n">
        <v>45994</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53404-2025</t>
        </is>
      </c>
      <c r="B49" s="1" t="n">
        <v>45959.57126157408</v>
      </c>
      <c r="C49" s="1" t="n">
        <v>45994</v>
      </c>
      <c r="D49" t="inlineStr">
        <is>
          <t>KALMAR LÄN</t>
        </is>
      </c>
      <c r="E49" t="inlineStr">
        <is>
          <t>VIMMERBY</t>
        </is>
      </c>
      <c r="G49" t="n">
        <v>6.4</v>
      </c>
      <c r="H49" t="n">
        <v>1</v>
      </c>
      <c r="I49" t="n">
        <v>0</v>
      </c>
      <c r="J49" t="n">
        <v>0</v>
      </c>
      <c r="K49" t="n">
        <v>1</v>
      </c>
      <c r="L49" t="n">
        <v>0</v>
      </c>
      <c r="M49" t="n">
        <v>0</v>
      </c>
      <c r="N49" t="n">
        <v>0</v>
      </c>
      <c r="O49" t="n">
        <v>1</v>
      </c>
      <c r="P49" t="n">
        <v>1</v>
      </c>
      <c r="Q49" t="n">
        <v>1</v>
      </c>
      <c r="R49" s="2" t="inlineStr">
        <is>
          <t>Knärot</t>
        </is>
      </c>
      <c r="S49">
        <f>HYPERLINK("https://klasma.github.io/Logging_0884/artfynd/A 53404-2025 artfynd.xlsx", "A 53404-2025")</f>
        <v/>
      </c>
      <c r="T49">
        <f>HYPERLINK("https://klasma.github.io/Logging_0884/kartor/A 53404-2025 karta.png", "A 53404-2025")</f>
        <v/>
      </c>
      <c r="U49">
        <f>HYPERLINK("https://klasma.github.io/Logging_0884/knärot/A 53404-2025 karta knärot.png", "A 53404-2025")</f>
        <v/>
      </c>
      <c r="V49">
        <f>HYPERLINK("https://klasma.github.io/Logging_0884/klagomål/A 53404-2025 FSC-klagomål.docx", "A 53404-2025")</f>
        <v/>
      </c>
      <c r="W49">
        <f>HYPERLINK("https://klasma.github.io/Logging_0884/klagomålsmail/A 53404-2025 FSC-klagomål mail.docx", "A 53404-2025")</f>
        <v/>
      </c>
      <c r="X49">
        <f>HYPERLINK("https://klasma.github.io/Logging_0884/tillsyn/A 53404-2025 tillsynsbegäran.docx", "A 53404-2025")</f>
        <v/>
      </c>
      <c r="Y49">
        <f>HYPERLINK("https://klasma.github.io/Logging_0884/tillsynsmail/A 53404-2025 tillsynsbegäran mail.docx", "A 53404-2025")</f>
        <v/>
      </c>
    </row>
    <row r="50" ht="15" customHeight="1">
      <c r="A50" t="inlineStr">
        <is>
          <t>A 29183-2025</t>
        </is>
      </c>
      <c r="B50" s="1" t="n">
        <v>45821</v>
      </c>
      <c r="C50" s="1" t="n">
        <v>45994</v>
      </c>
      <c r="D50" t="inlineStr">
        <is>
          <t>KALMAR LÄN</t>
        </is>
      </c>
      <c r="E50" t="inlineStr">
        <is>
          <t>VIMMERBY</t>
        </is>
      </c>
      <c r="G50" t="n">
        <v>2.7</v>
      </c>
      <c r="H50" t="n">
        <v>0</v>
      </c>
      <c r="I50" t="n">
        <v>1</v>
      </c>
      <c r="J50" t="n">
        <v>0</v>
      </c>
      <c r="K50" t="n">
        <v>0</v>
      </c>
      <c r="L50" t="n">
        <v>0</v>
      </c>
      <c r="M50" t="n">
        <v>0</v>
      </c>
      <c r="N50" t="n">
        <v>0</v>
      </c>
      <c r="O50" t="n">
        <v>0</v>
      </c>
      <c r="P50" t="n">
        <v>0</v>
      </c>
      <c r="Q50" t="n">
        <v>1</v>
      </c>
      <c r="R50" s="2" t="inlineStr">
        <is>
          <t>Sårläka</t>
        </is>
      </c>
      <c r="S50">
        <f>HYPERLINK("https://klasma.github.io/Logging_0884/artfynd/A 29183-2025 artfynd.xlsx", "A 29183-2025")</f>
        <v/>
      </c>
      <c r="T50">
        <f>HYPERLINK("https://klasma.github.io/Logging_0884/kartor/A 29183-2025 karta.png", "A 29183-2025")</f>
        <v/>
      </c>
      <c r="V50">
        <f>HYPERLINK("https://klasma.github.io/Logging_0884/klagomål/A 29183-2025 FSC-klagomål.docx", "A 29183-2025")</f>
        <v/>
      </c>
      <c r="W50">
        <f>HYPERLINK("https://klasma.github.io/Logging_0884/klagomålsmail/A 29183-2025 FSC-klagomål mail.docx", "A 29183-2025")</f>
        <v/>
      </c>
      <c r="X50">
        <f>HYPERLINK("https://klasma.github.io/Logging_0884/tillsyn/A 29183-2025 tillsynsbegäran.docx", "A 29183-2025")</f>
        <v/>
      </c>
      <c r="Y50">
        <f>HYPERLINK("https://klasma.github.io/Logging_0884/tillsynsmail/A 29183-2025 tillsynsbegäran mail.docx", "A 29183-2025")</f>
        <v/>
      </c>
    </row>
    <row r="51" ht="15" customHeight="1">
      <c r="A51" t="inlineStr">
        <is>
          <t>A 57062-2025</t>
        </is>
      </c>
      <c r="B51" s="1" t="n">
        <v>45979.37598379629</v>
      </c>
      <c r="C51" s="1" t="n">
        <v>45994</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15092-2021</t>
        </is>
      </c>
      <c r="B52" s="1" t="n">
        <v>44281.79269675926</v>
      </c>
      <c r="C52" s="1" t="n">
        <v>45994</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45994</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45994</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45994</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45994</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45994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45994</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45994</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45994</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45994</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45994</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32607-2021</t>
        </is>
      </c>
      <c r="B64" s="1" t="n">
        <v>44375.39033564815</v>
      </c>
      <c r="C64" s="1" t="n">
        <v>45994</v>
      </c>
      <c r="D64" t="inlineStr">
        <is>
          <t>KALMAR LÄN</t>
        </is>
      </c>
      <c r="E64" t="inlineStr">
        <is>
          <t>VIMMERBY</t>
        </is>
      </c>
      <c r="G64" t="n">
        <v>0.4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45994</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45994</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45994</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45994</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45994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45994</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45994</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45994</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45994</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45994</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45994</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45994</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45994</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45994</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45994</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45994</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45994</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45994</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45994</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45994</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45994</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45994</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45994</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45994</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45994</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3621-2021</t>
        </is>
      </c>
      <c r="B91" s="1" t="n">
        <v>44221.39408564815</v>
      </c>
      <c r="C91" s="1" t="n">
        <v>45994</v>
      </c>
      <c r="D91" t="inlineStr">
        <is>
          <t>KALMAR LÄN</t>
        </is>
      </c>
      <c r="E91" t="inlineStr">
        <is>
          <t>VIMMERBY</t>
        </is>
      </c>
      <c r="G91" t="n">
        <v>0.7</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45994</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11145-2021</t>
        </is>
      </c>
      <c r="B93" s="1" t="n">
        <v>44261</v>
      </c>
      <c r="C93" s="1" t="n">
        <v>45994</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45994</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45994</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45994</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45994</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45994</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45994</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45994</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45994</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45994</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45994</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45994</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45994</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45994</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45994</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45994</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45994</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45994</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45994</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45994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45994</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45994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45994</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45994</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45994</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45994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45994</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165-2022</t>
        </is>
      </c>
      <c r="B120" s="1" t="n">
        <v>44564</v>
      </c>
      <c r="C120" s="1" t="n">
        <v>45994</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35316-2021</t>
        </is>
      </c>
      <c r="B121" s="1" t="n">
        <v>44384</v>
      </c>
      <c r="C121" s="1" t="n">
        <v>45994</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11814-2022</t>
        </is>
      </c>
      <c r="B122" s="1" t="n">
        <v>44634.69703703704</v>
      </c>
      <c r="C122" s="1" t="n">
        <v>45994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45994</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35633-2021</t>
        </is>
      </c>
      <c r="B124" s="1" t="n">
        <v>44386.40783564815</v>
      </c>
      <c r="C124" s="1" t="n">
        <v>45994</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45994</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15200-2021</t>
        </is>
      </c>
      <c r="B126" s="1" t="n">
        <v>44284.44574074074</v>
      </c>
      <c r="C126" s="1" t="n">
        <v>45994</v>
      </c>
      <c r="D126" t="inlineStr">
        <is>
          <t>KALMAR LÄN</t>
        </is>
      </c>
      <c r="E126" t="inlineStr">
        <is>
          <t>VIMMERBY</t>
        </is>
      </c>
      <c r="G126" t="n">
        <v>1.2</v>
      </c>
      <c r="H126" t="n">
        <v>0</v>
      </c>
      <c r="I126" t="n">
        <v>0</v>
      </c>
      <c r="J126" t="n">
        <v>0</v>
      </c>
      <c r="K126" t="n">
        <v>0</v>
      </c>
      <c r="L126" t="n">
        <v>0</v>
      </c>
      <c r="M126" t="n">
        <v>0</v>
      </c>
      <c r="N126" t="n">
        <v>0</v>
      </c>
      <c r="O126" t="n">
        <v>0</v>
      </c>
      <c r="P126" t="n">
        <v>0</v>
      </c>
      <c r="Q126" t="n">
        <v>0</v>
      </c>
      <c r="R126" s="2" t="inlineStr"/>
    </row>
    <row r="127" ht="15" customHeight="1">
      <c r="A127" t="inlineStr">
        <is>
          <t>A 56343-2021</t>
        </is>
      </c>
      <c r="B127" s="1" t="n">
        <v>44480</v>
      </c>
      <c r="C127" s="1" t="n">
        <v>45994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56385-2021</t>
        </is>
      </c>
      <c r="B128" s="1" t="n">
        <v>44480</v>
      </c>
      <c r="C128" s="1" t="n">
        <v>45994</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33831-2022</t>
        </is>
      </c>
      <c r="B129" s="1" t="n">
        <v>44790.48503472222</v>
      </c>
      <c r="C129" s="1" t="n">
        <v>45994</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45994</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45994</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47708-2022</t>
        </is>
      </c>
      <c r="B132" s="1" t="n">
        <v>44854.59157407407</v>
      </c>
      <c r="C132" s="1" t="n">
        <v>45994</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45994</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9918-2022</t>
        </is>
      </c>
      <c r="B134" s="1" t="n">
        <v>44620</v>
      </c>
      <c r="C134" s="1" t="n">
        <v>45994</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45994</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51972-2021</t>
        </is>
      </c>
      <c r="B136" s="1" t="n">
        <v>44463.29439814815</v>
      </c>
      <c r="C136" s="1" t="n">
        <v>45994</v>
      </c>
      <c r="D136" t="inlineStr">
        <is>
          <t>KALMAR LÄN</t>
        </is>
      </c>
      <c r="E136" t="inlineStr">
        <is>
          <t>VIMMERBY</t>
        </is>
      </c>
      <c r="G136" t="n">
        <v>4.5</v>
      </c>
      <c r="H136" t="n">
        <v>0</v>
      </c>
      <c r="I136" t="n">
        <v>0</v>
      </c>
      <c r="J136" t="n">
        <v>0</v>
      </c>
      <c r="K136" t="n">
        <v>0</v>
      </c>
      <c r="L136" t="n">
        <v>0</v>
      </c>
      <c r="M136" t="n">
        <v>0</v>
      </c>
      <c r="N136" t="n">
        <v>0</v>
      </c>
      <c r="O136" t="n">
        <v>0</v>
      </c>
      <c r="P136" t="n">
        <v>0</v>
      </c>
      <c r="Q136" t="n">
        <v>0</v>
      </c>
      <c r="R136" s="2" t="inlineStr"/>
    </row>
    <row r="137" ht="15" customHeight="1">
      <c r="A137" t="inlineStr">
        <is>
          <t>A 24369-2021</t>
        </is>
      </c>
      <c r="B137" s="1" t="n">
        <v>44337</v>
      </c>
      <c r="C137" s="1" t="n">
        <v>45994</v>
      </c>
      <c r="D137" t="inlineStr">
        <is>
          <t>KALMAR LÄN</t>
        </is>
      </c>
      <c r="E137" t="inlineStr">
        <is>
          <t>VIMMERBY</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45994</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65887-2021</t>
        </is>
      </c>
      <c r="B139" s="1" t="n">
        <v>44517</v>
      </c>
      <c r="C139" s="1" t="n">
        <v>45994</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45994</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45994</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45994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39959-2022</t>
        </is>
      </c>
      <c r="B143" s="1" t="n">
        <v>44819</v>
      </c>
      <c r="C143" s="1" t="n">
        <v>45994</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45994</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18356-2021</t>
        </is>
      </c>
      <c r="B145" s="1" t="n">
        <v>44305</v>
      </c>
      <c r="C145" s="1" t="n">
        <v>45994</v>
      </c>
      <c r="D145" t="inlineStr">
        <is>
          <t>KALMAR LÄN</t>
        </is>
      </c>
      <c r="E145" t="inlineStr">
        <is>
          <t>VIMMERBY</t>
        </is>
      </c>
      <c r="G145" t="n">
        <v>3.4</v>
      </c>
      <c r="H145" t="n">
        <v>0</v>
      </c>
      <c r="I145" t="n">
        <v>0</v>
      </c>
      <c r="J145" t="n">
        <v>0</v>
      </c>
      <c r="K145" t="n">
        <v>0</v>
      </c>
      <c r="L145" t="n">
        <v>0</v>
      </c>
      <c r="M145" t="n">
        <v>0</v>
      </c>
      <c r="N145" t="n">
        <v>0</v>
      </c>
      <c r="O145" t="n">
        <v>0</v>
      </c>
      <c r="P145" t="n">
        <v>0</v>
      </c>
      <c r="Q145" t="n">
        <v>0</v>
      </c>
      <c r="R145" s="2" t="inlineStr"/>
    </row>
    <row r="146" ht="15" customHeight="1">
      <c r="A146" t="inlineStr">
        <is>
          <t>A 4042-2022</t>
        </is>
      </c>
      <c r="B146" s="1" t="n">
        <v>44588</v>
      </c>
      <c r="C146" s="1" t="n">
        <v>45994</v>
      </c>
      <c r="D146" t="inlineStr">
        <is>
          <t>KALMAR LÄN</t>
        </is>
      </c>
      <c r="E146" t="inlineStr">
        <is>
          <t>VIMMERBY</t>
        </is>
      </c>
      <c r="G146" t="n">
        <v>4.7</v>
      </c>
      <c r="H146" t="n">
        <v>0</v>
      </c>
      <c r="I146" t="n">
        <v>0</v>
      </c>
      <c r="J146" t="n">
        <v>0</v>
      </c>
      <c r="K146" t="n">
        <v>0</v>
      </c>
      <c r="L146" t="n">
        <v>0</v>
      </c>
      <c r="M146" t="n">
        <v>0</v>
      </c>
      <c r="N146" t="n">
        <v>0</v>
      </c>
      <c r="O146" t="n">
        <v>0</v>
      </c>
      <c r="P146" t="n">
        <v>0</v>
      </c>
      <c r="Q146" t="n">
        <v>0</v>
      </c>
      <c r="R146" s="2" t="inlineStr"/>
    </row>
    <row r="147" ht="15" customHeight="1">
      <c r="A147" t="inlineStr">
        <is>
          <t>A 12661-2021</t>
        </is>
      </c>
      <c r="B147" s="1" t="n">
        <v>44270</v>
      </c>
      <c r="C147" s="1" t="n">
        <v>45994</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24999-2021</t>
        </is>
      </c>
      <c r="B148" s="1" t="n">
        <v>44341</v>
      </c>
      <c r="C148" s="1" t="n">
        <v>45994</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618-2021</t>
        </is>
      </c>
      <c r="B149" s="1" t="n">
        <v>44203</v>
      </c>
      <c r="C149" s="1" t="n">
        <v>45994</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35001-2021</t>
        </is>
      </c>
      <c r="B150" s="1" t="n">
        <v>44383</v>
      </c>
      <c r="C150" s="1" t="n">
        <v>45994</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7917-2022</t>
        </is>
      </c>
      <c r="B151" s="1" t="n">
        <v>44608</v>
      </c>
      <c r="C151" s="1" t="n">
        <v>45994</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55674-2021</t>
        </is>
      </c>
      <c r="B152" s="1" t="n">
        <v>44476</v>
      </c>
      <c r="C152" s="1" t="n">
        <v>45994</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47208-2021</t>
        </is>
      </c>
      <c r="B153" s="1" t="n">
        <v>44447.34237268518</v>
      </c>
      <c r="C153" s="1" t="n">
        <v>45994</v>
      </c>
      <c r="D153" t="inlineStr">
        <is>
          <t>KALMAR LÄN</t>
        </is>
      </c>
      <c r="E153" t="inlineStr">
        <is>
          <t>VIMMERBY</t>
        </is>
      </c>
      <c r="G153" t="n">
        <v>1.4</v>
      </c>
      <c r="H153" t="n">
        <v>0</v>
      </c>
      <c r="I153" t="n">
        <v>0</v>
      </c>
      <c r="J153" t="n">
        <v>0</v>
      </c>
      <c r="K153" t="n">
        <v>0</v>
      </c>
      <c r="L153" t="n">
        <v>0</v>
      </c>
      <c r="M153" t="n">
        <v>0</v>
      </c>
      <c r="N153" t="n">
        <v>0</v>
      </c>
      <c r="O153" t="n">
        <v>0</v>
      </c>
      <c r="P153" t="n">
        <v>0</v>
      </c>
      <c r="Q153" t="n">
        <v>0</v>
      </c>
      <c r="R153" s="2" t="inlineStr"/>
    </row>
    <row r="154" ht="15" customHeight="1">
      <c r="A154" t="inlineStr">
        <is>
          <t>A 33690-2022</t>
        </is>
      </c>
      <c r="B154" s="1" t="n">
        <v>44789</v>
      </c>
      <c r="C154" s="1" t="n">
        <v>45994</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16705-2021</t>
        </is>
      </c>
      <c r="B155" s="1" t="n">
        <v>44294</v>
      </c>
      <c r="C155" s="1" t="n">
        <v>45994</v>
      </c>
      <c r="D155" t="inlineStr">
        <is>
          <t>KALMAR LÄN</t>
        </is>
      </c>
      <c r="E155" t="inlineStr">
        <is>
          <t>VIMMERBY</t>
        </is>
      </c>
      <c r="G155" t="n">
        <v>2.6</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45994</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45994</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35198-2021</t>
        </is>
      </c>
      <c r="B158" s="1" t="n">
        <v>44377</v>
      </c>
      <c r="C158" s="1" t="n">
        <v>45994</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34036-2021</t>
        </is>
      </c>
      <c r="B159" s="1" t="n">
        <v>44379</v>
      </c>
      <c r="C159" s="1" t="n">
        <v>45994</v>
      </c>
      <c r="D159" t="inlineStr">
        <is>
          <t>KALMAR LÄN</t>
        </is>
      </c>
      <c r="E159" t="inlineStr">
        <is>
          <t>VIMMERBY</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56389-2021</t>
        </is>
      </c>
      <c r="B160" s="1" t="n">
        <v>44480</v>
      </c>
      <c r="C160" s="1" t="n">
        <v>45994</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63244-2021</t>
        </is>
      </c>
      <c r="B161" s="1" t="n">
        <v>44508</v>
      </c>
      <c r="C161" s="1" t="n">
        <v>45994</v>
      </c>
      <c r="D161" t="inlineStr">
        <is>
          <t>KALMAR LÄN</t>
        </is>
      </c>
      <c r="E161" t="inlineStr">
        <is>
          <t>VIMMERBY</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48377-2021</t>
        </is>
      </c>
      <c r="B162" s="1" t="n">
        <v>44451.8375</v>
      </c>
      <c r="C162" s="1" t="n">
        <v>45994</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40472-2022</t>
        </is>
      </c>
      <c r="B163" s="1" t="n">
        <v>44823</v>
      </c>
      <c r="C163" s="1" t="n">
        <v>45994</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67952-2021</t>
        </is>
      </c>
      <c r="B164" s="1" t="n">
        <v>44525.63913194444</v>
      </c>
      <c r="C164" s="1" t="n">
        <v>45994</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41056-2022</t>
        </is>
      </c>
      <c r="B165" s="1" t="n">
        <v>44824</v>
      </c>
      <c r="C165" s="1" t="n">
        <v>45994</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14521-2021</t>
        </is>
      </c>
      <c r="B166" s="1" t="n">
        <v>44279.64934027778</v>
      </c>
      <c r="C166" s="1" t="n">
        <v>45994</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31660-2021</t>
        </is>
      </c>
      <c r="B167" s="1" t="n">
        <v>44369</v>
      </c>
      <c r="C167" s="1" t="n">
        <v>45994</v>
      </c>
      <c r="D167" t="inlineStr">
        <is>
          <t>KALMAR LÄN</t>
        </is>
      </c>
      <c r="E167" t="inlineStr">
        <is>
          <t>VIMMERBY</t>
        </is>
      </c>
      <c r="G167" t="n">
        <v>4.2</v>
      </c>
      <c r="H167" t="n">
        <v>0</v>
      </c>
      <c r="I167" t="n">
        <v>0</v>
      </c>
      <c r="J167" t="n">
        <v>0</v>
      </c>
      <c r="K167" t="n">
        <v>0</v>
      </c>
      <c r="L167" t="n">
        <v>0</v>
      </c>
      <c r="M167" t="n">
        <v>0</v>
      </c>
      <c r="N167" t="n">
        <v>0</v>
      </c>
      <c r="O167" t="n">
        <v>0</v>
      </c>
      <c r="P167" t="n">
        <v>0</v>
      </c>
      <c r="Q167" t="n">
        <v>0</v>
      </c>
      <c r="R167" s="2" t="inlineStr"/>
    </row>
    <row r="168" ht="15" customHeight="1">
      <c r="A168" t="inlineStr">
        <is>
          <t>A 15533-2022</t>
        </is>
      </c>
      <c r="B168" s="1" t="n">
        <v>44662</v>
      </c>
      <c r="C168" s="1" t="n">
        <v>45994</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45994</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15191-2021</t>
        </is>
      </c>
      <c r="B170" s="1" t="n">
        <v>44284.42348379629</v>
      </c>
      <c r="C170" s="1" t="n">
        <v>45994</v>
      </c>
      <c r="D170" t="inlineStr">
        <is>
          <t>KALMAR LÄN</t>
        </is>
      </c>
      <c r="E170" t="inlineStr">
        <is>
          <t>VIMMERBY</t>
        </is>
      </c>
      <c r="G170" t="n">
        <v>1.3</v>
      </c>
      <c r="H170" t="n">
        <v>0</v>
      </c>
      <c r="I170" t="n">
        <v>0</v>
      </c>
      <c r="J170" t="n">
        <v>0</v>
      </c>
      <c r="K170" t="n">
        <v>0</v>
      </c>
      <c r="L170" t="n">
        <v>0</v>
      </c>
      <c r="M170" t="n">
        <v>0</v>
      </c>
      <c r="N170" t="n">
        <v>0</v>
      </c>
      <c r="O170" t="n">
        <v>0</v>
      </c>
      <c r="P170" t="n">
        <v>0</v>
      </c>
      <c r="Q170" t="n">
        <v>0</v>
      </c>
      <c r="R170" s="2" t="inlineStr"/>
    </row>
    <row r="171" ht="15" customHeight="1">
      <c r="A171" t="inlineStr">
        <is>
          <t>A 40971-2021</t>
        </is>
      </c>
      <c r="B171" s="1" t="n">
        <v>44421</v>
      </c>
      <c r="C171" s="1" t="n">
        <v>45994</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45994</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68744-2020</t>
        </is>
      </c>
      <c r="B173" s="1" t="n">
        <v>44186</v>
      </c>
      <c r="C173" s="1" t="n">
        <v>45994</v>
      </c>
      <c r="D173" t="inlineStr">
        <is>
          <t>KALMAR LÄN</t>
        </is>
      </c>
      <c r="E173" t="inlineStr">
        <is>
          <t>VIMMERBY</t>
        </is>
      </c>
      <c r="G173" t="n">
        <v>2.5</v>
      </c>
      <c r="H173" t="n">
        <v>0</v>
      </c>
      <c r="I173" t="n">
        <v>0</v>
      </c>
      <c r="J173" t="n">
        <v>0</v>
      </c>
      <c r="K173" t="n">
        <v>0</v>
      </c>
      <c r="L173" t="n">
        <v>0</v>
      </c>
      <c r="M173" t="n">
        <v>0</v>
      </c>
      <c r="N173" t="n">
        <v>0</v>
      </c>
      <c r="O173" t="n">
        <v>0</v>
      </c>
      <c r="P173" t="n">
        <v>0</v>
      </c>
      <c r="Q173" t="n">
        <v>0</v>
      </c>
      <c r="R173" s="2" t="inlineStr"/>
    </row>
    <row r="174" ht="15" customHeight="1">
      <c r="A174" t="inlineStr">
        <is>
          <t>A 13457-2021</t>
        </is>
      </c>
      <c r="B174" s="1" t="n">
        <v>44273</v>
      </c>
      <c r="C174" s="1" t="n">
        <v>45994</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45994</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3330-2021</t>
        </is>
      </c>
      <c r="B176" s="1" t="n">
        <v>44217.79856481482</v>
      </c>
      <c r="C176" s="1" t="n">
        <v>45994</v>
      </c>
      <c r="D176" t="inlineStr">
        <is>
          <t>KALMAR LÄN</t>
        </is>
      </c>
      <c r="E176" t="inlineStr">
        <is>
          <t>VIMMERBY</t>
        </is>
      </c>
      <c r="G176" t="n">
        <v>11.1</v>
      </c>
      <c r="H176" t="n">
        <v>0</v>
      </c>
      <c r="I176" t="n">
        <v>0</v>
      </c>
      <c r="J176" t="n">
        <v>0</v>
      </c>
      <c r="K176" t="n">
        <v>0</v>
      </c>
      <c r="L176" t="n">
        <v>0</v>
      </c>
      <c r="M176" t="n">
        <v>0</v>
      </c>
      <c r="N176" t="n">
        <v>0</v>
      </c>
      <c r="O176" t="n">
        <v>0</v>
      </c>
      <c r="P176" t="n">
        <v>0</v>
      </c>
      <c r="Q176" t="n">
        <v>0</v>
      </c>
      <c r="R176" s="2" t="inlineStr"/>
    </row>
    <row r="177" ht="15" customHeight="1">
      <c r="A177" t="inlineStr">
        <is>
          <t>A 12241-2021</t>
        </is>
      </c>
      <c r="B177" s="1" t="n">
        <v>44266.7240625</v>
      </c>
      <c r="C177" s="1" t="n">
        <v>45994</v>
      </c>
      <c r="D177" t="inlineStr">
        <is>
          <t>KALMAR LÄN</t>
        </is>
      </c>
      <c r="E177" t="inlineStr">
        <is>
          <t>VIMMERBY</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8453-2022</t>
        </is>
      </c>
      <c r="B178" s="1" t="n">
        <v>44612.86554398148</v>
      </c>
      <c r="C178" s="1" t="n">
        <v>45994</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45994</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45994</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54065-2021</t>
        </is>
      </c>
      <c r="B181" s="1" t="n">
        <v>44470.44232638889</v>
      </c>
      <c r="C181" s="1" t="n">
        <v>45994</v>
      </c>
      <c r="D181" t="inlineStr">
        <is>
          <t>KALMAR LÄN</t>
        </is>
      </c>
      <c r="E181" t="inlineStr">
        <is>
          <t>VIMMERBY</t>
        </is>
      </c>
      <c r="G181" t="n">
        <v>0.9</v>
      </c>
      <c r="H181" t="n">
        <v>0</v>
      </c>
      <c r="I181" t="n">
        <v>0</v>
      </c>
      <c r="J181" t="n">
        <v>0</v>
      </c>
      <c r="K181" t="n">
        <v>0</v>
      </c>
      <c r="L181" t="n">
        <v>0</v>
      </c>
      <c r="M181" t="n">
        <v>0</v>
      </c>
      <c r="N181" t="n">
        <v>0</v>
      </c>
      <c r="O181" t="n">
        <v>0</v>
      </c>
      <c r="P181" t="n">
        <v>0</v>
      </c>
      <c r="Q181" t="n">
        <v>0</v>
      </c>
      <c r="R181" s="2" t="inlineStr"/>
    </row>
    <row r="182" ht="15" customHeight="1">
      <c r="A182" t="inlineStr">
        <is>
          <t>A 12662-2021</t>
        </is>
      </c>
      <c r="B182" s="1" t="n">
        <v>44270.49743055556</v>
      </c>
      <c r="C182" s="1" t="n">
        <v>45994</v>
      </c>
      <c r="D182" t="inlineStr">
        <is>
          <t>KALMAR LÄN</t>
        </is>
      </c>
      <c r="E182" t="inlineStr">
        <is>
          <t>VIMMERBY</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31824-2022</t>
        </is>
      </c>
      <c r="B183" s="1" t="n">
        <v>44776</v>
      </c>
      <c r="C183" s="1" t="n">
        <v>45994</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11733-2022</t>
        </is>
      </c>
      <c r="B184" s="1" t="n">
        <v>44634</v>
      </c>
      <c r="C184" s="1" t="n">
        <v>45994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42850-2022</t>
        </is>
      </c>
      <c r="B185" s="1" t="n">
        <v>44832.67608796297</v>
      </c>
      <c r="C185" s="1" t="n">
        <v>45994</v>
      </c>
      <c r="D185" t="inlineStr">
        <is>
          <t>KALMAR LÄN</t>
        </is>
      </c>
      <c r="E185" t="inlineStr">
        <is>
          <t>VIMMERBY</t>
        </is>
      </c>
      <c r="G185" t="n">
        <v>5.9</v>
      </c>
      <c r="H185" t="n">
        <v>0</v>
      </c>
      <c r="I185" t="n">
        <v>0</v>
      </c>
      <c r="J185" t="n">
        <v>0</v>
      </c>
      <c r="K185" t="n">
        <v>0</v>
      </c>
      <c r="L185" t="n">
        <v>0</v>
      </c>
      <c r="M185" t="n">
        <v>0</v>
      </c>
      <c r="N185" t="n">
        <v>0</v>
      </c>
      <c r="O185" t="n">
        <v>0</v>
      </c>
      <c r="P185" t="n">
        <v>0</v>
      </c>
      <c r="Q185" t="n">
        <v>0</v>
      </c>
      <c r="R185" s="2" t="inlineStr"/>
    </row>
    <row r="186" ht="15" customHeight="1">
      <c r="A186" t="inlineStr">
        <is>
          <t>A 7804-2022</t>
        </is>
      </c>
      <c r="B186" s="1" t="n">
        <v>44608.50458333334</v>
      </c>
      <c r="C186" s="1" t="n">
        <v>45994</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39042-2022</t>
        </is>
      </c>
      <c r="B187" s="1" t="n">
        <v>44817</v>
      </c>
      <c r="C187" s="1" t="n">
        <v>45994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16288-2021</t>
        </is>
      </c>
      <c r="B188" s="1" t="n">
        <v>44292</v>
      </c>
      <c r="C188" s="1" t="n">
        <v>45994</v>
      </c>
      <c r="D188" t="inlineStr">
        <is>
          <t>KALMAR LÄN</t>
        </is>
      </c>
      <c r="E188" t="inlineStr">
        <is>
          <t>VIMMERBY</t>
        </is>
      </c>
      <c r="F188" t="inlineStr">
        <is>
          <t>Övriga Aktiebolag</t>
        </is>
      </c>
      <c r="G188" t="n">
        <v>27.6</v>
      </c>
      <c r="H188" t="n">
        <v>0</v>
      </c>
      <c r="I188" t="n">
        <v>0</v>
      </c>
      <c r="J188" t="n">
        <v>0</v>
      </c>
      <c r="K188" t="n">
        <v>0</v>
      </c>
      <c r="L188" t="n">
        <v>0</v>
      </c>
      <c r="M188" t="n">
        <v>0</v>
      </c>
      <c r="N188" t="n">
        <v>0</v>
      </c>
      <c r="O188" t="n">
        <v>0</v>
      </c>
      <c r="P188" t="n">
        <v>0</v>
      </c>
      <c r="Q188" t="n">
        <v>0</v>
      </c>
      <c r="R188" s="2" t="inlineStr"/>
    </row>
    <row r="189" ht="15" customHeight="1">
      <c r="A189" t="inlineStr">
        <is>
          <t>A 10086-2022</t>
        </is>
      </c>
      <c r="B189" s="1" t="n">
        <v>44621</v>
      </c>
      <c r="C189" s="1" t="n">
        <v>45994</v>
      </c>
      <c r="D189" t="inlineStr">
        <is>
          <t>KALMAR LÄN</t>
        </is>
      </c>
      <c r="E189" t="inlineStr">
        <is>
          <t>VIMMERBY</t>
        </is>
      </c>
      <c r="G189" t="n">
        <v>1.2</v>
      </c>
      <c r="H189" t="n">
        <v>0</v>
      </c>
      <c r="I189" t="n">
        <v>0</v>
      </c>
      <c r="J189" t="n">
        <v>0</v>
      </c>
      <c r="K189" t="n">
        <v>0</v>
      </c>
      <c r="L189" t="n">
        <v>0</v>
      </c>
      <c r="M189" t="n">
        <v>0</v>
      </c>
      <c r="N189" t="n">
        <v>0</v>
      </c>
      <c r="O189" t="n">
        <v>0</v>
      </c>
      <c r="P189" t="n">
        <v>0</v>
      </c>
      <c r="Q189" t="n">
        <v>0</v>
      </c>
      <c r="R189" s="2" t="inlineStr"/>
    </row>
    <row r="190" ht="15" customHeight="1">
      <c r="A190" t="inlineStr">
        <is>
          <t>A 65564-2020</t>
        </is>
      </c>
      <c r="B190" s="1" t="n">
        <v>44172</v>
      </c>
      <c r="C190" s="1" t="n">
        <v>45994</v>
      </c>
      <c r="D190" t="inlineStr">
        <is>
          <t>KALMAR LÄN</t>
        </is>
      </c>
      <c r="E190" t="inlineStr">
        <is>
          <t>VIMMERBY</t>
        </is>
      </c>
      <c r="G190" t="n">
        <v>4.1</v>
      </c>
      <c r="H190" t="n">
        <v>0</v>
      </c>
      <c r="I190" t="n">
        <v>0</v>
      </c>
      <c r="J190" t="n">
        <v>0</v>
      </c>
      <c r="K190" t="n">
        <v>0</v>
      </c>
      <c r="L190" t="n">
        <v>0</v>
      </c>
      <c r="M190" t="n">
        <v>0</v>
      </c>
      <c r="N190" t="n">
        <v>0</v>
      </c>
      <c r="O190" t="n">
        <v>0</v>
      </c>
      <c r="P190" t="n">
        <v>0</v>
      </c>
      <c r="Q190" t="n">
        <v>0</v>
      </c>
      <c r="R190" s="2" t="inlineStr"/>
    </row>
    <row r="191" ht="15" customHeight="1">
      <c r="A191" t="inlineStr">
        <is>
          <t>A 32603-2021</t>
        </is>
      </c>
      <c r="B191" s="1" t="n">
        <v>44375.38789351852</v>
      </c>
      <c r="C191" s="1" t="n">
        <v>45994</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4076-2022</t>
        </is>
      </c>
      <c r="B192" s="1" t="n">
        <v>44588.37998842593</v>
      </c>
      <c r="C192" s="1" t="n">
        <v>45994</v>
      </c>
      <c r="D192" t="inlineStr">
        <is>
          <t>KALMAR LÄN</t>
        </is>
      </c>
      <c r="E192" t="inlineStr">
        <is>
          <t>VIMMERBY</t>
        </is>
      </c>
      <c r="G192" t="n">
        <v>3</v>
      </c>
      <c r="H192" t="n">
        <v>0</v>
      </c>
      <c r="I192" t="n">
        <v>0</v>
      </c>
      <c r="J192" t="n">
        <v>0</v>
      </c>
      <c r="K192" t="n">
        <v>0</v>
      </c>
      <c r="L192" t="n">
        <v>0</v>
      </c>
      <c r="M192" t="n">
        <v>0</v>
      </c>
      <c r="N192" t="n">
        <v>0</v>
      </c>
      <c r="O192" t="n">
        <v>0</v>
      </c>
      <c r="P192" t="n">
        <v>0</v>
      </c>
      <c r="Q192" t="n">
        <v>0</v>
      </c>
      <c r="R192" s="2" t="inlineStr"/>
    </row>
    <row r="193" ht="15" customHeight="1">
      <c r="A193" t="inlineStr">
        <is>
          <t>A 4122-2022</t>
        </is>
      </c>
      <c r="B193" s="1" t="n">
        <v>44588</v>
      </c>
      <c r="C193" s="1" t="n">
        <v>45994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53145-2022</t>
        </is>
      </c>
      <c r="B194" s="1" t="n">
        <v>44876.48346064815</v>
      </c>
      <c r="C194" s="1" t="n">
        <v>45994</v>
      </c>
      <c r="D194" t="inlineStr">
        <is>
          <t>KALMAR LÄN</t>
        </is>
      </c>
      <c r="E194" t="inlineStr">
        <is>
          <t>VIMMERBY</t>
        </is>
      </c>
      <c r="G194" t="n">
        <v>0.4</v>
      </c>
      <c r="H194" t="n">
        <v>0</v>
      </c>
      <c r="I194" t="n">
        <v>0</v>
      </c>
      <c r="J194" t="n">
        <v>0</v>
      </c>
      <c r="K194" t="n">
        <v>0</v>
      </c>
      <c r="L194" t="n">
        <v>0</v>
      </c>
      <c r="M194" t="n">
        <v>0</v>
      </c>
      <c r="N194" t="n">
        <v>0</v>
      </c>
      <c r="O194" t="n">
        <v>0</v>
      </c>
      <c r="P194" t="n">
        <v>0</v>
      </c>
      <c r="Q194" t="n">
        <v>0</v>
      </c>
      <c r="R194" s="2" t="inlineStr"/>
    </row>
    <row r="195" ht="15" customHeight="1">
      <c r="A195" t="inlineStr">
        <is>
          <t>A 25738-2022</t>
        </is>
      </c>
      <c r="B195" s="1" t="n">
        <v>44733.43092592592</v>
      </c>
      <c r="C195" s="1" t="n">
        <v>45994</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58374-2024</t>
        </is>
      </c>
      <c r="B196" s="1" t="n">
        <v>45632.72635416667</v>
      </c>
      <c r="C196" s="1" t="n">
        <v>45994</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36117-2021</t>
        </is>
      </c>
      <c r="B197" s="1" t="n">
        <v>44386</v>
      </c>
      <c r="C197" s="1" t="n">
        <v>45994</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42521-2021</t>
        </is>
      </c>
      <c r="B198" s="1" t="n">
        <v>44427</v>
      </c>
      <c r="C198" s="1" t="n">
        <v>45994</v>
      </c>
      <c r="D198" t="inlineStr">
        <is>
          <t>KALMAR LÄN</t>
        </is>
      </c>
      <c r="E198" t="inlineStr">
        <is>
          <t>VIMMERBY</t>
        </is>
      </c>
      <c r="G198" t="n">
        <v>5.4</v>
      </c>
      <c r="H198" t="n">
        <v>0</v>
      </c>
      <c r="I198" t="n">
        <v>0</v>
      </c>
      <c r="J198" t="n">
        <v>0</v>
      </c>
      <c r="K198" t="n">
        <v>0</v>
      </c>
      <c r="L198" t="n">
        <v>0</v>
      </c>
      <c r="M198" t="n">
        <v>0</v>
      </c>
      <c r="N198" t="n">
        <v>0</v>
      </c>
      <c r="O198" t="n">
        <v>0</v>
      </c>
      <c r="P198" t="n">
        <v>0</v>
      </c>
      <c r="Q198" t="n">
        <v>0</v>
      </c>
      <c r="R198" s="2" t="inlineStr"/>
    </row>
    <row r="199" ht="15" customHeight="1">
      <c r="A199" t="inlineStr">
        <is>
          <t>A 8194-2022</t>
        </is>
      </c>
      <c r="B199" s="1" t="n">
        <v>44609</v>
      </c>
      <c r="C199" s="1" t="n">
        <v>45994</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20126-2024</t>
        </is>
      </c>
      <c r="B200" s="1" t="n">
        <v>45434.55471064815</v>
      </c>
      <c r="C200" s="1" t="n">
        <v>45994</v>
      </c>
      <c r="D200" t="inlineStr">
        <is>
          <t>KALMAR LÄN</t>
        </is>
      </c>
      <c r="E200" t="inlineStr">
        <is>
          <t>VIMMERBY</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20136-2024</t>
        </is>
      </c>
      <c r="B201" s="1" t="n">
        <v>45434.56291666667</v>
      </c>
      <c r="C201" s="1" t="n">
        <v>45994</v>
      </c>
      <c r="D201" t="inlineStr">
        <is>
          <t>KALMAR LÄN</t>
        </is>
      </c>
      <c r="E201" t="inlineStr">
        <is>
          <t>VIMMERBY</t>
        </is>
      </c>
      <c r="F201" t="inlineStr">
        <is>
          <t>Sveaskog</t>
        </is>
      </c>
      <c r="G201" t="n">
        <v>8.4</v>
      </c>
      <c r="H201" t="n">
        <v>0</v>
      </c>
      <c r="I201" t="n">
        <v>0</v>
      </c>
      <c r="J201" t="n">
        <v>0</v>
      </c>
      <c r="K201" t="n">
        <v>0</v>
      </c>
      <c r="L201" t="n">
        <v>0</v>
      </c>
      <c r="M201" t="n">
        <v>0</v>
      </c>
      <c r="N201" t="n">
        <v>0</v>
      </c>
      <c r="O201" t="n">
        <v>0</v>
      </c>
      <c r="P201" t="n">
        <v>0</v>
      </c>
      <c r="Q201" t="n">
        <v>0</v>
      </c>
      <c r="R201" s="2" t="inlineStr"/>
    </row>
    <row r="202" ht="15" customHeight="1">
      <c r="A202" t="inlineStr">
        <is>
          <t>A 46921-2023</t>
        </is>
      </c>
      <c r="B202" s="1" t="n">
        <v>45201.39996527778</v>
      </c>
      <c r="C202" s="1" t="n">
        <v>45994</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30402-2023</t>
        </is>
      </c>
      <c r="B203" s="1" t="n">
        <v>45111.48395833333</v>
      </c>
      <c r="C203" s="1" t="n">
        <v>45994</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25236-2023</t>
        </is>
      </c>
      <c r="B204" s="1" t="n">
        <v>45086.63334490741</v>
      </c>
      <c r="C204" s="1" t="n">
        <v>45994</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46964-2022</t>
        </is>
      </c>
      <c r="B205" s="1" t="n">
        <v>44851.95016203704</v>
      </c>
      <c r="C205" s="1" t="n">
        <v>45994</v>
      </c>
      <c r="D205" t="inlineStr">
        <is>
          <t>KALMAR LÄN</t>
        </is>
      </c>
      <c r="E205" t="inlineStr">
        <is>
          <t>VIMMERBY</t>
        </is>
      </c>
      <c r="G205" t="n">
        <v>0.2</v>
      </c>
      <c r="H205" t="n">
        <v>0</v>
      </c>
      <c r="I205" t="n">
        <v>0</v>
      </c>
      <c r="J205" t="n">
        <v>0</v>
      </c>
      <c r="K205" t="n">
        <v>0</v>
      </c>
      <c r="L205" t="n">
        <v>0</v>
      </c>
      <c r="M205" t="n">
        <v>0</v>
      </c>
      <c r="N205" t="n">
        <v>0</v>
      </c>
      <c r="O205" t="n">
        <v>0</v>
      </c>
      <c r="P205" t="n">
        <v>0</v>
      </c>
      <c r="Q205" t="n">
        <v>0</v>
      </c>
      <c r="R205" s="2" t="inlineStr"/>
    </row>
    <row r="206" ht="15" customHeight="1">
      <c r="A206" t="inlineStr">
        <is>
          <t>A 11073-2023</t>
        </is>
      </c>
      <c r="B206" s="1" t="n">
        <v>44992</v>
      </c>
      <c r="C206" s="1" t="n">
        <v>45994</v>
      </c>
      <c r="D206" t="inlineStr">
        <is>
          <t>KALMAR LÄN</t>
        </is>
      </c>
      <c r="E206" t="inlineStr">
        <is>
          <t>VIMMERBY</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23825-2022</t>
        </is>
      </c>
      <c r="B207" s="1" t="n">
        <v>44722.48768518519</v>
      </c>
      <c r="C207" s="1" t="n">
        <v>45994</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17-2025</t>
        </is>
      </c>
      <c r="B208" s="1" t="n">
        <v>45658.78774305555</v>
      </c>
      <c r="C208" s="1" t="n">
        <v>45994</v>
      </c>
      <c r="D208" t="inlineStr">
        <is>
          <t>KALMAR LÄN</t>
        </is>
      </c>
      <c r="E208" t="inlineStr">
        <is>
          <t>VIMMERBY</t>
        </is>
      </c>
      <c r="G208" t="n">
        <v>4.4</v>
      </c>
      <c r="H208" t="n">
        <v>0</v>
      </c>
      <c r="I208" t="n">
        <v>0</v>
      </c>
      <c r="J208" t="n">
        <v>0</v>
      </c>
      <c r="K208" t="n">
        <v>0</v>
      </c>
      <c r="L208" t="n">
        <v>0</v>
      </c>
      <c r="M208" t="n">
        <v>0</v>
      </c>
      <c r="N208" t="n">
        <v>0</v>
      </c>
      <c r="O208" t="n">
        <v>0</v>
      </c>
      <c r="P208" t="n">
        <v>0</v>
      </c>
      <c r="Q208" t="n">
        <v>0</v>
      </c>
      <c r="R208" s="2" t="inlineStr"/>
    </row>
    <row r="209" ht="15" customHeight="1">
      <c r="A209" t="inlineStr">
        <is>
          <t>A 32655-2023</t>
        </is>
      </c>
      <c r="B209" s="1" t="n">
        <v>45121.61318287037</v>
      </c>
      <c r="C209" s="1" t="n">
        <v>45994</v>
      </c>
      <c r="D209" t="inlineStr">
        <is>
          <t>KALMAR LÄN</t>
        </is>
      </c>
      <c r="E209" t="inlineStr">
        <is>
          <t>VIMMERBY</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6082-2022</t>
        </is>
      </c>
      <c r="B210" s="1" t="n">
        <v>44599</v>
      </c>
      <c r="C210" s="1" t="n">
        <v>45994</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11609-2023</t>
        </is>
      </c>
      <c r="B211" s="1" t="n">
        <v>44994.40635416667</v>
      </c>
      <c r="C211" s="1" t="n">
        <v>45994</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65961-2020</t>
        </is>
      </c>
      <c r="B212" s="1" t="n">
        <v>44175.39748842592</v>
      </c>
      <c r="C212" s="1" t="n">
        <v>45994</v>
      </c>
      <c r="D212" t="inlineStr">
        <is>
          <t>KALMAR LÄN</t>
        </is>
      </c>
      <c r="E212" t="inlineStr">
        <is>
          <t>VIMMERBY</t>
        </is>
      </c>
      <c r="G212" t="n">
        <v>2.6</v>
      </c>
      <c r="H212" t="n">
        <v>0</v>
      </c>
      <c r="I212" t="n">
        <v>0</v>
      </c>
      <c r="J212" t="n">
        <v>0</v>
      </c>
      <c r="K212" t="n">
        <v>0</v>
      </c>
      <c r="L212" t="n">
        <v>0</v>
      </c>
      <c r="M212" t="n">
        <v>0</v>
      </c>
      <c r="N212" t="n">
        <v>0</v>
      </c>
      <c r="O212" t="n">
        <v>0</v>
      </c>
      <c r="P212" t="n">
        <v>0</v>
      </c>
      <c r="Q212" t="n">
        <v>0</v>
      </c>
      <c r="R212" s="2" t="inlineStr"/>
    </row>
    <row r="213" ht="15" customHeight="1">
      <c r="A213" t="inlineStr">
        <is>
          <t>A 2801-2023</t>
        </is>
      </c>
      <c r="B213" s="1" t="n">
        <v>44944.73487268519</v>
      </c>
      <c r="C213" s="1" t="n">
        <v>45994</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63541-2023</t>
        </is>
      </c>
      <c r="B214" s="1" t="n">
        <v>45275.32266203704</v>
      </c>
      <c r="C214" s="1" t="n">
        <v>45994</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5146-2024</t>
        </is>
      </c>
      <c r="B215" s="1" t="n">
        <v>45330</v>
      </c>
      <c r="C215" s="1" t="n">
        <v>45994</v>
      </c>
      <c r="D215" t="inlineStr">
        <is>
          <t>KALMAR LÄN</t>
        </is>
      </c>
      <c r="E215" t="inlineStr">
        <is>
          <t>VIMMERBY</t>
        </is>
      </c>
      <c r="G215" t="n">
        <v>5.3</v>
      </c>
      <c r="H215" t="n">
        <v>0</v>
      </c>
      <c r="I215" t="n">
        <v>0</v>
      </c>
      <c r="J215" t="n">
        <v>0</v>
      </c>
      <c r="K215" t="n">
        <v>0</v>
      </c>
      <c r="L215" t="n">
        <v>0</v>
      </c>
      <c r="M215" t="n">
        <v>0</v>
      </c>
      <c r="N215" t="n">
        <v>0</v>
      </c>
      <c r="O215" t="n">
        <v>0</v>
      </c>
      <c r="P215" t="n">
        <v>0</v>
      </c>
      <c r="Q215" t="n">
        <v>0</v>
      </c>
      <c r="R215" s="2" t="inlineStr"/>
    </row>
    <row r="216" ht="15" customHeight="1">
      <c r="A216" t="inlineStr">
        <is>
          <t>A 5148-2024</t>
        </is>
      </c>
      <c r="B216" s="1" t="n">
        <v>45330</v>
      </c>
      <c r="C216" s="1" t="n">
        <v>45994</v>
      </c>
      <c r="D216" t="inlineStr">
        <is>
          <t>KALMAR LÄN</t>
        </is>
      </c>
      <c r="E216" t="inlineStr">
        <is>
          <t>VIMMERBY</t>
        </is>
      </c>
      <c r="G216" t="n">
        <v>5.6</v>
      </c>
      <c r="H216" t="n">
        <v>0</v>
      </c>
      <c r="I216" t="n">
        <v>0</v>
      </c>
      <c r="J216" t="n">
        <v>0</v>
      </c>
      <c r="K216" t="n">
        <v>0</v>
      </c>
      <c r="L216" t="n">
        <v>0</v>
      </c>
      <c r="M216" t="n">
        <v>0</v>
      </c>
      <c r="N216" t="n">
        <v>0</v>
      </c>
      <c r="O216" t="n">
        <v>0</v>
      </c>
      <c r="P216" t="n">
        <v>0</v>
      </c>
      <c r="Q216" t="n">
        <v>0</v>
      </c>
      <c r="R216" s="2" t="inlineStr"/>
    </row>
    <row r="217" ht="15" customHeight="1">
      <c r="A217" t="inlineStr">
        <is>
          <t>A 16983-2023</t>
        </is>
      </c>
      <c r="B217" s="1" t="n">
        <v>45033.76043981482</v>
      </c>
      <c r="C217" s="1" t="n">
        <v>45994</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46144-2023</t>
        </is>
      </c>
      <c r="B218" s="1" t="n">
        <v>45196.57247685185</v>
      </c>
      <c r="C218" s="1" t="n">
        <v>45994</v>
      </c>
      <c r="D218" t="inlineStr">
        <is>
          <t>KALMAR LÄN</t>
        </is>
      </c>
      <c r="E218" t="inlineStr">
        <is>
          <t>VIMMERBY</t>
        </is>
      </c>
      <c r="G218" t="n">
        <v>6.5</v>
      </c>
      <c r="H218" t="n">
        <v>0</v>
      </c>
      <c r="I218" t="n">
        <v>0</v>
      </c>
      <c r="J218" t="n">
        <v>0</v>
      </c>
      <c r="K218" t="n">
        <v>0</v>
      </c>
      <c r="L218" t="n">
        <v>0</v>
      </c>
      <c r="M218" t="n">
        <v>0</v>
      </c>
      <c r="N218" t="n">
        <v>0</v>
      </c>
      <c r="O218" t="n">
        <v>0</v>
      </c>
      <c r="P218" t="n">
        <v>0</v>
      </c>
      <c r="Q218" t="n">
        <v>0</v>
      </c>
      <c r="R218" s="2" t="inlineStr"/>
    </row>
    <row r="219" ht="15" customHeight="1">
      <c r="A219" t="inlineStr">
        <is>
          <t>A 28034-2022</t>
        </is>
      </c>
      <c r="B219" s="1" t="n">
        <v>44746.38834490741</v>
      </c>
      <c r="C219" s="1" t="n">
        <v>45994</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5938-2022</t>
        </is>
      </c>
      <c r="B220" s="1" t="n">
        <v>44598</v>
      </c>
      <c r="C220" s="1" t="n">
        <v>45994</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58278-2023</t>
        </is>
      </c>
      <c r="B221" s="1" t="n">
        <v>45250.5278587963</v>
      </c>
      <c r="C221" s="1" t="n">
        <v>45994</v>
      </c>
      <c r="D221" t="inlineStr">
        <is>
          <t>KALMAR LÄN</t>
        </is>
      </c>
      <c r="E221" t="inlineStr">
        <is>
          <t>VIMMERBY</t>
        </is>
      </c>
      <c r="G221" t="n">
        <v>1.8</v>
      </c>
      <c r="H221" t="n">
        <v>0</v>
      </c>
      <c r="I221" t="n">
        <v>0</v>
      </c>
      <c r="J221" t="n">
        <v>0</v>
      </c>
      <c r="K221" t="n">
        <v>0</v>
      </c>
      <c r="L221" t="n">
        <v>0</v>
      </c>
      <c r="M221" t="n">
        <v>0</v>
      </c>
      <c r="N221" t="n">
        <v>0</v>
      </c>
      <c r="O221" t="n">
        <v>0</v>
      </c>
      <c r="P221" t="n">
        <v>0</v>
      </c>
      <c r="Q221" t="n">
        <v>0</v>
      </c>
      <c r="R221" s="2" t="inlineStr"/>
    </row>
    <row r="222" ht="15" customHeight="1">
      <c r="A222" t="inlineStr">
        <is>
          <t>A 22266-2023</t>
        </is>
      </c>
      <c r="B222" s="1" t="n">
        <v>45070</v>
      </c>
      <c r="C222" s="1" t="n">
        <v>45994</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52588-2023</t>
        </is>
      </c>
      <c r="B223" s="1" t="n">
        <v>45225.60192129629</v>
      </c>
      <c r="C223" s="1" t="n">
        <v>45994</v>
      </c>
      <c r="D223" t="inlineStr">
        <is>
          <t>KALMAR LÄN</t>
        </is>
      </c>
      <c r="E223" t="inlineStr">
        <is>
          <t>VIMMERBY</t>
        </is>
      </c>
      <c r="G223" t="n">
        <v>2.9</v>
      </c>
      <c r="H223" t="n">
        <v>0</v>
      </c>
      <c r="I223" t="n">
        <v>0</v>
      </c>
      <c r="J223" t="n">
        <v>0</v>
      </c>
      <c r="K223" t="n">
        <v>0</v>
      </c>
      <c r="L223" t="n">
        <v>0</v>
      </c>
      <c r="M223" t="n">
        <v>0</v>
      </c>
      <c r="N223" t="n">
        <v>0</v>
      </c>
      <c r="O223" t="n">
        <v>0</v>
      </c>
      <c r="P223" t="n">
        <v>0</v>
      </c>
      <c r="Q223" t="n">
        <v>0</v>
      </c>
      <c r="R223" s="2" t="inlineStr"/>
    </row>
    <row r="224" ht="15" customHeight="1">
      <c r="A224" t="inlineStr">
        <is>
          <t>A 24283-2023</t>
        </is>
      </c>
      <c r="B224" s="1" t="n">
        <v>45079.87827546296</v>
      </c>
      <c r="C224" s="1" t="n">
        <v>45994</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31382-2023</t>
        </is>
      </c>
      <c r="B225" s="1" t="n">
        <v>45114.55136574074</v>
      </c>
      <c r="C225" s="1" t="n">
        <v>45994</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56213-2024</t>
        </is>
      </c>
      <c r="B226" s="1" t="n">
        <v>45624.60141203704</v>
      </c>
      <c r="C226" s="1" t="n">
        <v>45994</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54409-2024</t>
        </is>
      </c>
      <c r="B227" s="1" t="n">
        <v>45617.47570601852</v>
      </c>
      <c r="C227" s="1" t="n">
        <v>45994</v>
      </c>
      <c r="D227" t="inlineStr">
        <is>
          <t>KALMAR LÄN</t>
        </is>
      </c>
      <c r="E227" t="inlineStr">
        <is>
          <t>VIMMERBY</t>
        </is>
      </c>
      <c r="G227" t="n">
        <v>4.3</v>
      </c>
      <c r="H227" t="n">
        <v>0</v>
      </c>
      <c r="I227" t="n">
        <v>0</v>
      </c>
      <c r="J227" t="n">
        <v>0</v>
      </c>
      <c r="K227" t="n">
        <v>0</v>
      </c>
      <c r="L227" t="n">
        <v>0</v>
      </c>
      <c r="M227" t="n">
        <v>0</v>
      </c>
      <c r="N227" t="n">
        <v>0</v>
      </c>
      <c r="O227" t="n">
        <v>0</v>
      </c>
      <c r="P227" t="n">
        <v>0</v>
      </c>
      <c r="Q227" t="n">
        <v>0</v>
      </c>
      <c r="R227" s="2" t="inlineStr"/>
    </row>
    <row r="228" ht="15" customHeight="1">
      <c r="A228" t="inlineStr">
        <is>
          <t>A 6802-2025</t>
        </is>
      </c>
      <c r="B228" s="1" t="n">
        <v>45700.68289351852</v>
      </c>
      <c r="C228" s="1" t="n">
        <v>45994</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71793-2021</t>
        </is>
      </c>
      <c r="B229" s="1" t="n">
        <v>44539</v>
      </c>
      <c r="C229" s="1" t="n">
        <v>45994</v>
      </c>
      <c r="D229" t="inlineStr">
        <is>
          <t>KALMAR LÄN</t>
        </is>
      </c>
      <c r="E229" t="inlineStr">
        <is>
          <t>VIMMERBY</t>
        </is>
      </c>
      <c r="G229" t="n">
        <v>2.7</v>
      </c>
      <c r="H229" t="n">
        <v>0</v>
      </c>
      <c r="I229" t="n">
        <v>0</v>
      </c>
      <c r="J229" t="n">
        <v>0</v>
      </c>
      <c r="K229" t="n">
        <v>0</v>
      </c>
      <c r="L229" t="n">
        <v>0</v>
      </c>
      <c r="M229" t="n">
        <v>0</v>
      </c>
      <c r="N229" t="n">
        <v>0</v>
      </c>
      <c r="O229" t="n">
        <v>0</v>
      </c>
      <c r="P229" t="n">
        <v>0</v>
      </c>
      <c r="Q229" t="n">
        <v>0</v>
      </c>
      <c r="R229" s="2" t="inlineStr"/>
    </row>
    <row r="230" ht="15" customHeight="1">
      <c r="A230" t="inlineStr">
        <is>
          <t>A 16825-2024</t>
        </is>
      </c>
      <c r="B230" s="1" t="n">
        <v>45411.47335648148</v>
      </c>
      <c r="C230" s="1" t="n">
        <v>45994</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527-2024</t>
        </is>
      </c>
      <c r="B231" s="1" t="n">
        <v>45299.47513888889</v>
      </c>
      <c r="C231" s="1" t="n">
        <v>45994</v>
      </c>
      <c r="D231" t="inlineStr">
        <is>
          <t>KALMAR LÄN</t>
        </is>
      </c>
      <c r="E231" t="inlineStr">
        <is>
          <t>VIMMERBY</t>
        </is>
      </c>
      <c r="G231" t="n">
        <v>2.2</v>
      </c>
      <c r="H231" t="n">
        <v>0</v>
      </c>
      <c r="I231" t="n">
        <v>0</v>
      </c>
      <c r="J231" t="n">
        <v>0</v>
      </c>
      <c r="K231" t="n">
        <v>0</v>
      </c>
      <c r="L231" t="n">
        <v>0</v>
      </c>
      <c r="M231" t="n">
        <v>0</v>
      </c>
      <c r="N231" t="n">
        <v>0</v>
      </c>
      <c r="O231" t="n">
        <v>0</v>
      </c>
      <c r="P231" t="n">
        <v>0</v>
      </c>
      <c r="Q231" t="n">
        <v>0</v>
      </c>
      <c r="R231" s="2" t="inlineStr"/>
    </row>
    <row r="232" ht="15" customHeight="1">
      <c r="A232" t="inlineStr">
        <is>
          <t>A 7643-2022</t>
        </is>
      </c>
      <c r="B232" s="1" t="n">
        <v>44607</v>
      </c>
      <c r="C232" s="1" t="n">
        <v>45994</v>
      </c>
      <c r="D232" t="inlineStr">
        <is>
          <t>KALMAR LÄN</t>
        </is>
      </c>
      <c r="E232" t="inlineStr">
        <is>
          <t>VIMMERBY</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2462-2022</t>
        </is>
      </c>
      <c r="B233" s="1" t="n">
        <v>44579.62225694444</v>
      </c>
      <c r="C233" s="1" t="n">
        <v>45994</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60228-2021</t>
        </is>
      </c>
      <c r="B234" s="1" t="n">
        <v>44495</v>
      </c>
      <c r="C234" s="1" t="n">
        <v>45994</v>
      </c>
      <c r="D234" t="inlineStr">
        <is>
          <t>KALMAR LÄN</t>
        </is>
      </c>
      <c r="E234" t="inlineStr">
        <is>
          <t>VIMMERBY</t>
        </is>
      </c>
      <c r="G234" t="n">
        <v>4.1</v>
      </c>
      <c r="H234" t="n">
        <v>0</v>
      </c>
      <c r="I234" t="n">
        <v>0</v>
      </c>
      <c r="J234" t="n">
        <v>0</v>
      </c>
      <c r="K234" t="n">
        <v>0</v>
      </c>
      <c r="L234" t="n">
        <v>0</v>
      </c>
      <c r="M234" t="n">
        <v>0</v>
      </c>
      <c r="N234" t="n">
        <v>0</v>
      </c>
      <c r="O234" t="n">
        <v>0</v>
      </c>
      <c r="P234" t="n">
        <v>0</v>
      </c>
      <c r="Q234" t="n">
        <v>0</v>
      </c>
      <c r="R234" s="2" t="inlineStr"/>
    </row>
    <row r="235" ht="15" customHeight="1">
      <c r="A235" t="inlineStr">
        <is>
          <t>A 60230-2022</t>
        </is>
      </c>
      <c r="B235" s="1" t="n">
        <v>44910</v>
      </c>
      <c r="C235" s="1" t="n">
        <v>45994</v>
      </c>
      <c r="D235" t="inlineStr">
        <is>
          <t>KALMAR LÄN</t>
        </is>
      </c>
      <c r="E235" t="inlineStr">
        <is>
          <t>VIMMERBY</t>
        </is>
      </c>
      <c r="G235" t="n">
        <v>11.3</v>
      </c>
      <c r="H235" t="n">
        <v>0</v>
      </c>
      <c r="I235" t="n">
        <v>0</v>
      </c>
      <c r="J235" t="n">
        <v>0</v>
      </c>
      <c r="K235" t="n">
        <v>0</v>
      </c>
      <c r="L235" t="n">
        <v>0</v>
      </c>
      <c r="M235" t="n">
        <v>0</v>
      </c>
      <c r="N235" t="n">
        <v>0</v>
      </c>
      <c r="O235" t="n">
        <v>0</v>
      </c>
      <c r="P235" t="n">
        <v>0</v>
      </c>
      <c r="Q235" t="n">
        <v>0</v>
      </c>
      <c r="R235" s="2" t="inlineStr"/>
    </row>
    <row r="236" ht="15" customHeight="1">
      <c r="A236" t="inlineStr">
        <is>
          <t>A 25979-2023</t>
        </is>
      </c>
      <c r="B236" s="1" t="n">
        <v>45090.89653935185</v>
      </c>
      <c r="C236" s="1" t="n">
        <v>45994</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25980-2023</t>
        </is>
      </c>
      <c r="B237" s="1" t="n">
        <v>45090.89880787037</v>
      </c>
      <c r="C237" s="1" t="n">
        <v>45994</v>
      </c>
      <c r="D237" t="inlineStr">
        <is>
          <t>KALMAR LÄN</t>
        </is>
      </c>
      <c r="E237" t="inlineStr">
        <is>
          <t>VIMMERBY</t>
        </is>
      </c>
      <c r="G237" t="n">
        <v>0.7</v>
      </c>
      <c r="H237" t="n">
        <v>0</v>
      </c>
      <c r="I237" t="n">
        <v>0</v>
      </c>
      <c r="J237" t="n">
        <v>0</v>
      </c>
      <c r="K237" t="n">
        <v>0</v>
      </c>
      <c r="L237" t="n">
        <v>0</v>
      </c>
      <c r="M237" t="n">
        <v>0</v>
      </c>
      <c r="N237" t="n">
        <v>0</v>
      </c>
      <c r="O237" t="n">
        <v>0</v>
      </c>
      <c r="P237" t="n">
        <v>0</v>
      </c>
      <c r="Q237" t="n">
        <v>0</v>
      </c>
      <c r="R237" s="2" t="inlineStr"/>
    </row>
    <row r="238" ht="15" customHeight="1">
      <c r="A238" t="inlineStr">
        <is>
          <t>A 11027-2023</t>
        </is>
      </c>
      <c r="B238" s="1" t="n">
        <v>44991.89657407408</v>
      </c>
      <c r="C238" s="1" t="n">
        <v>45994</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12510-2022</t>
        </is>
      </c>
      <c r="B239" s="1" t="n">
        <v>44638.55256944444</v>
      </c>
      <c r="C239" s="1" t="n">
        <v>45994</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6358-2022</t>
        </is>
      </c>
      <c r="B240" s="1" t="n">
        <v>44600</v>
      </c>
      <c r="C240" s="1" t="n">
        <v>45994</v>
      </c>
      <c r="D240" t="inlineStr">
        <is>
          <t>KALMAR LÄN</t>
        </is>
      </c>
      <c r="E240" t="inlineStr">
        <is>
          <t>VIMMERBY</t>
        </is>
      </c>
      <c r="G240" t="n">
        <v>1.7</v>
      </c>
      <c r="H240" t="n">
        <v>0</v>
      </c>
      <c r="I240" t="n">
        <v>0</v>
      </c>
      <c r="J240" t="n">
        <v>0</v>
      </c>
      <c r="K240" t="n">
        <v>0</v>
      </c>
      <c r="L240" t="n">
        <v>0</v>
      </c>
      <c r="M240" t="n">
        <v>0</v>
      </c>
      <c r="N240" t="n">
        <v>0</v>
      </c>
      <c r="O240" t="n">
        <v>0</v>
      </c>
      <c r="P240" t="n">
        <v>0</v>
      </c>
      <c r="Q240" t="n">
        <v>0</v>
      </c>
      <c r="R240" s="2" t="inlineStr"/>
    </row>
    <row r="241" ht="15" customHeight="1">
      <c r="A241" t="inlineStr">
        <is>
          <t>A 5925-2022</t>
        </is>
      </c>
      <c r="B241" s="1" t="n">
        <v>44598.7384837963</v>
      </c>
      <c r="C241" s="1" t="n">
        <v>45994</v>
      </c>
      <c r="D241" t="inlineStr">
        <is>
          <t>KALMAR LÄN</t>
        </is>
      </c>
      <c r="E241" t="inlineStr">
        <is>
          <t>VIMMERBY</t>
        </is>
      </c>
      <c r="G241" t="n">
        <v>2.1</v>
      </c>
      <c r="H241" t="n">
        <v>0</v>
      </c>
      <c r="I241" t="n">
        <v>0</v>
      </c>
      <c r="J241" t="n">
        <v>0</v>
      </c>
      <c r="K241" t="n">
        <v>0</v>
      </c>
      <c r="L241" t="n">
        <v>0</v>
      </c>
      <c r="M241" t="n">
        <v>0</v>
      </c>
      <c r="N241" t="n">
        <v>0</v>
      </c>
      <c r="O241" t="n">
        <v>0</v>
      </c>
      <c r="P241" t="n">
        <v>0</v>
      </c>
      <c r="Q241" t="n">
        <v>0</v>
      </c>
      <c r="R241" s="2" t="inlineStr"/>
    </row>
    <row r="242" ht="15" customHeight="1">
      <c r="A242" t="inlineStr">
        <is>
          <t>A 18276-2021</t>
        </is>
      </c>
      <c r="B242" s="1" t="n">
        <v>44305.40046296296</v>
      </c>
      <c r="C242" s="1" t="n">
        <v>45994</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47473-2021</t>
        </is>
      </c>
      <c r="B243" s="1" t="n">
        <v>44447</v>
      </c>
      <c r="C243" s="1" t="n">
        <v>45994</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53483-2022</t>
        </is>
      </c>
      <c r="B244" s="1" t="n">
        <v>44879.55940972222</v>
      </c>
      <c r="C244" s="1" t="n">
        <v>45994</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18899-2025</t>
        </is>
      </c>
      <c r="B245" s="1" t="n">
        <v>45764.44931712963</v>
      </c>
      <c r="C245" s="1" t="n">
        <v>45994</v>
      </c>
      <c r="D245" t="inlineStr">
        <is>
          <t>KALMAR LÄN</t>
        </is>
      </c>
      <c r="E245" t="inlineStr">
        <is>
          <t>VIMMERBY</t>
        </is>
      </c>
      <c r="F245" t="inlineStr">
        <is>
          <t>Kommuner</t>
        </is>
      </c>
      <c r="G245" t="n">
        <v>4</v>
      </c>
      <c r="H245" t="n">
        <v>0</v>
      </c>
      <c r="I245" t="n">
        <v>0</v>
      </c>
      <c r="J245" t="n">
        <v>0</v>
      </c>
      <c r="K245" t="n">
        <v>0</v>
      </c>
      <c r="L245" t="n">
        <v>0</v>
      </c>
      <c r="M245" t="n">
        <v>0</v>
      </c>
      <c r="N245" t="n">
        <v>0</v>
      </c>
      <c r="O245" t="n">
        <v>0</v>
      </c>
      <c r="P245" t="n">
        <v>0</v>
      </c>
      <c r="Q245" t="n">
        <v>0</v>
      </c>
      <c r="R245" s="2" t="inlineStr"/>
    </row>
    <row r="246" ht="15" customHeight="1">
      <c r="A246" t="inlineStr">
        <is>
          <t>A 20054-2023</t>
        </is>
      </c>
      <c r="B246" s="1" t="n">
        <v>45054.6750462963</v>
      </c>
      <c r="C246" s="1" t="n">
        <v>45994</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46522-2022</t>
        </is>
      </c>
      <c r="B247" s="1" t="n">
        <v>44848.59133101852</v>
      </c>
      <c r="C247" s="1" t="n">
        <v>45994</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58962-2022</t>
        </is>
      </c>
      <c r="B248" s="1" t="n">
        <v>44903</v>
      </c>
      <c r="C248" s="1" t="n">
        <v>45994</v>
      </c>
      <c r="D248" t="inlineStr">
        <is>
          <t>KALMAR LÄN</t>
        </is>
      </c>
      <c r="E248" t="inlineStr">
        <is>
          <t>VIMMERBY</t>
        </is>
      </c>
      <c r="G248" t="n">
        <v>1.1</v>
      </c>
      <c r="H248" t="n">
        <v>0</v>
      </c>
      <c r="I248" t="n">
        <v>0</v>
      </c>
      <c r="J248" t="n">
        <v>0</v>
      </c>
      <c r="K248" t="n">
        <v>0</v>
      </c>
      <c r="L248" t="n">
        <v>0</v>
      </c>
      <c r="M248" t="n">
        <v>0</v>
      </c>
      <c r="N248" t="n">
        <v>0</v>
      </c>
      <c r="O248" t="n">
        <v>0</v>
      </c>
      <c r="P248" t="n">
        <v>0</v>
      </c>
      <c r="Q248" t="n">
        <v>0</v>
      </c>
      <c r="R248" s="2" t="inlineStr"/>
    </row>
    <row r="249" ht="15" customHeight="1">
      <c r="A249" t="inlineStr">
        <is>
          <t>A 10837-2023</t>
        </is>
      </c>
      <c r="B249" s="1" t="n">
        <v>44991.30547453704</v>
      </c>
      <c r="C249" s="1" t="n">
        <v>45994</v>
      </c>
      <c r="D249" t="inlineStr">
        <is>
          <t>KALMAR LÄN</t>
        </is>
      </c>
      <c r="E249" t="inlineStr">
        <is>
          <t>VIMMERBY</t>
        </is>
      </c>
      <c r="G249" t="n">
        <v>7.3</v>
      </c>
      <c r="H249" t="n">
        <v>0</v>
      </c>
      <c r="I249" t="n">
        <v>0</v>
      </c>
      <c r="J249" t="n">
        <v>0</v>
      </c>
      <c r="K249" t="n">
        <v>0</v>
      </c>
      <c r="L249" t="n">
        <v>0</v>
      </c>
      <c r="M249" t="n">
        <v>0</v>
      </c>
      <c r="N249" t="n">
        <v>0</v>
      </c>
      <c r="O249" t="n">
        <v>0</v>
      </c>
      <c r="P249" t="n">
        <v>0</v>
      </c>
      <c r="Q249" t="n">
        <v>0</v>
      </c>
      <c r="R249" s="2" t="inlineStr"/>
    </row>
    <row r="250" ht="15" customHeight="1">
      <c r="A250" t="inlineStr">
        <is>
          <t>A 10838-2023</t>
        </is>
      </c>
      <c r="B250" s="1" t="n">
        <v>44991</v>
      </c>
      <c r="C250" s="1" t="n">
        <v>45994</v>
      </c>
      <c r="D250" t="inlineStr">
        <is>
          <t>KALMAR LÄN</t>
        </is>
      </c>
      <c r="E250" t="inlineStr">
        <is>
          <t>VIMMERBY</t>
        </is>
      </c>
      <c r="G250" t="n">
        <v>5.1</v>
      </c>
      <c r="H250" t="n">
        <v>0</v>
      </c>
      <c r="I250" t="n">
        <v>0</v>
      </c>
      <c r="J250" t="n">
        <v>0</v>
      </c>
      <c r="K250" t="n">
        <v>0</v>
      </c>
      <c r="L250" t="n">
        <v>0</v>
      </c>
      <c r="M250" t="n">
        <v>0</v>
      </c>
      <c r="N250" t="n">
        <v>0</v>
      </c>
      <c r="O250" t="n">
        <v>0</v>
      </c>
      <c r="P250" t="n">
        <v>0</v>
      </c>
      <c r="Q250" t="n">
        <v>0</v>
      </c>
      <c r="R250" s="2" t="inlineStr"/>
    </row>
    <row r="251" ht="15" customHeight="1">
      <c r="A251" t="inlineStr">
        <is>
          <t>A 41066-2024</t>
        </is>
      </c>
      <c r="B251" s="1" t="n">
        <v>45559.38876157408</v>
      </c>
      <c r="C251" s="1" t="n">
        <v>45994</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52279-2023</t>
        </is>
      </c>
      <c r="B252" s="1" t="n">
        <v>45224</v>
      </c>
      <c r="C252" s="1" t="n">
        <v>45994</v>
      </c>
      <c r="D252" t="inlineStr">
        <is>
          <t>KALMAR LÄN</t>
        </is>
      </c>
      <c r="E252" t="inlineStr">
        <is>
          <t>VIMMERBY</t>
        </is>
      </c>
      <c r="G252" t="n">
        <v>1.8</v>
      </c>
      <c r="H252" t="n">
        <v>0</v>
      </c>
      <c r="I252" t="n">
        <v>0</v>
      </c>
      <c r="J252" t="n">
        <v>0</v>
      </c>
      <c r="K252" t="n">
        <v>0</v>
      </c>
      <c r="L252" t="n">
        <v>0</v>
      </c>
      <c r="M252" t="n">
        <v>0</v>
      </c>
      <c r="N252" t="n">
        <v>0</v>
      </c>
      <c r="O252" t="n">
        <v>0</v>
      </c>
      <c r="P252" t="n">
        <v>0</v>
      </c>
      <c r="Q252" t="n">
        <v>0</v>
      </c>
      <c r="R252" s="2" t="inlineStr"/>
    </row>
    <row r="253" ht="15" customHeight="1">
      <c r="A253" t="inlineStr">
        <is>
          <t>A 17486-2024</t>
        </is>
      </c>
      <c r="B253" s="1" t="n">
        <v>45415.48979166667</v>
      </c>
      <c r="C253" s="1" t="n">
        <v>45994</v>
      </c>
      <c r="D253" t="inlineStr">
        <is>
          <t>KALMAR LÄN</t>
        </is>
      </c>
      <c r="E253" t="inlineStr">
        <is>
          <t>VIMMERBY</t>
        </is>
      </c>
      <c r="G253" t="n">
        <v>2.6</v>
      </c>
      <c r="H253" t="n">
        <v>0</v>
      </c>
      <c r="I253" t="n">
        <v>0</v>
      </c>
      <c r="J253" t="n">
        <v>0</v>
      </c>
      <c r="K253" t="n">
        <v>0</v>
      </c>
      <c r="L253" t="n">
        <v>0</v>
      </c>
      <c r="M253" t="n">
        <v>0</v>
      </c>
      <c r="N253" t="n">
        <v>0</v>
      </c>
      <c r="O253" t="n">
        <v>0</v>
      </c>
      <c r="P253" t="n">
        <v>0</v>
      </c>
      <c r="Q253" t="n">
        <v>0</v>
      </c>
      <c r="R253" s="2" t="inlineStr"/>
    </row>
    <row r="254" ht="15" customHeight="1">
      <c r="A254" t="inlineStr">
        <is>
          <t>A 48373-2021</t>
        </is>
      </c>
      <c r="B254" s="1" t="n">
        <v>44451</v>
      </c>
      <c r="C254" s="1" t="n">
        <v>45994</v>
      </c>
      <c r="D254" t="inlineStr">
        <is>
          <t>KALMAR LÄN</t>
        </is>
      </c>
      <c r="E254" t="inlineStr">
        <is>
          <t>VIMMERBY</t>
        </is>
      </c>
      <c r="G254" t="n">
        <v>2.2</v>
      </c>
      <c r="H254" t="n">
        <v>0</v>
      </c>
      <c r="I254" t="n">
        <v>0</v>
      </c>
      <c r="J254" t="n">
        <v>0</v>
      </c>
      <c r="K254" t="n">
        <v>0</v>
      </c>
      <c r="L254" t="n">
        <v>0</v>
      </c>
      <c r="M254" t="n">
        <v>0</v>
      </c>
      <c r="N254" t="n">
        <v>0</v>
      </c>
      <c r="O254" t="n">
        <v>0</v>
      </c>
      <c r="P254" t="n">
        <v>0</v>
      </c>
      <c r="Q254" t="n">
        <v>0</v>
      </c>
      <c r="R254" s="2" t="inlineStr"/>
    </row>
    <row r="255" ht="15" customHeight="1">
      <c r="A255" t="inlineStr">
        <is>
          <t>A 71631-2021</t>
        </is>
      </c>
      <c r="B255" s="1" t="n">
        <v>44542.90072916666</v>
      </c>
      <c r="C255" s="1" t="n">
        <v>45994</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13290-2025</t>
        </is>
      </c>
      <c r="B256" s="1" t="n">
        <v>45735.56751157407</v>
      </c>
      <c r="C256" s="1" t="n">
        <v>45994</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19162-2023</t>
        </is>
      </c>
      <c r="B257" s="1" t="n">
        <v>45048.59699074074</v>
      </c>
      <c r="C257" s="1" t="n">
        <v>45994</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16015-2025</t>
        </is>
      </c>
      <c r="B258" s="1" t="n">
        <v>45749.60487268519</v>
      </c>
      <c r="C258" s="1" t="n">
        <v>45994</v>
      </c>
      <c r="D258" t="inlineStr">
        <is>
          <t>KALMAR LÄN</t>
        </is>
      </c>
      <c r="E258" t="inlineStr">
        <is>
          <t>VIMMERBY</t>
        </is>
      </c>
      <c r="F258" t="inlineStr">
        <is>
          <t>Kyrkan</t>
        </is>
      </c>
      <c r="G258" t="n">
        <v>2.7</v>
      </c>
      <c r="H258" t="n">
        <v>0</v>
      </c>
      <c r="I258" t="n">
        <v>0</v>
      </c>
      <c r="J258" t="n">
        <v>0</v>
      </c>
      <c r="K258" t="n">
        <v>0</v>
      </c>
      <c r="L258" t="n">
        <v>0</v>
      </c>
      <c r="M258" t="n">
        <v>0</v>
      </c>
      <c r="N258" t="n">
        <v>0</v>
      </c>
      <c r="O258" t="n">
        <v>0</v>
      </c>
      <c r="P258" t="n">
        <v>0</v>
      </c>
      <c r="Q258" t="n">
        <v>0</v>
      </c>
      <c r="R258" s="2" t="inlineStr"/>
    </row>
    <row r="259" ht="15" customHeight="1">
      <c r="A259" t="inlineStr">
        <is>
          <t>A 9475-2023</t>
        </is>
      </c>
      <c r="B259" s="1" t="n">
        <v>44981.58834490741</v>
      </c>
      <c r="C259" s="1" t="n">
        <v>45994</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9694-2023</t>
        </is>
      </c>
      <c r="B260" s="1" t="n">
        <v>44984.45895833334</v>
      </c>
      <c r="C260" s="1" t="n">
        <v>45994</v>
      </c>
      <c r="D260" t="inlineStr">
        <is>
          <t>KALMAR LÄN</t>
        </is>
      </c>
      <c r="E260" t="inlineStr">
        <is>
          <t>VIMMERBY</t>
        </is>
      </c>
      <c r="G260" t="n">
        <v>2.1</v>
      </c>
      <c r="H260" t="n">
        <v>0</v>
      </c>
      <c r="I260" t="n">
        <v>0</v>
      </c>
      <c r="J260" t="n">
        <v>0</v>
      </c>
      <c r="K260" t="n">
        <v>0</v>
      </c>
      <c r="L260" t="n">
        <v>0</v>
      </c>
      <c r="M260" t="n">
        <v>0</v>
      </c>
      <c r="N260" t="n">
        <v>0</v>
      </c>
      <c r="O260" t="n">
        <v>0</v>
      </c>
      <c r="P260" t="n">
        <v>0</v>
      </c>
      <c r="Q260" t="n">
        <v>0</v>
      </c>
      <c r="R260" s="2" t="inlineStr"/>
    </row>
    <row r="261" ht="15" customHeight="1">
      <c r="A261" t="inlineStr">
        <is>
          <t>A 57256-2023</t>
        </is>
      </c>
      <c r="B261" s="1" t="n">
        <v>45245.5735300926</v>
      </c>
      <c r="C261" s="1" t="n">
        <v>45994</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17482-2024</t>
        </is>
      </c>
      <c r="B262" s="1" t="n">
        <v>45415.47848379629</v>
      </c>
      <c r="C262" s="1" t="n">
        <v>45994</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11946-2025</t>
        </is>
      </c>
      <c r="B263" s="1" t="n">
        <v>45728.54832175926</v>
      </c>
      <c r="C263" s="1" t="n">
        <v>45994</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19537-2022</t>
        </is>
      </c>
      <c r="B264" s="1" t="n">
        <v>44693.62822916666</v>
      </c>
      <c r="C264" s="1" t="n">
        <v>45994</v>
      </c>
      <c r="D264" t="inlineStr">
        <is>
          <t>KALMAR LÄN</t>
        </is>
      </c>
      <c r="E264" t="inlineStr">
        <is>
          <t>VIMMERBY</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22198-2024</t>
        </is>
      </c>
      <c r="B265" s="1" t="n">
        <v>45446.36865740741</v>
      </c>
      <c r="C265" s="1" t="n">
        <v>45994</v>
      </c>
      <c r="D265" t="inlineStr">
        <is>
          <t>KALMAR LÄN</t>
        </is>
      </c>
      <c r="E265" t="inlineStr">
        <is>
          <t>VIMMERBY</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57311-2023</t>
        </is>
      </c>
      <c r="B266" s="1" t="n">
        <v>45245.63574074074</v>
      </c>
      <c r="C266" s="1" t="n">
        <v>45994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55123-2024</t>
        </is>
      </c>
      <c r="B267" s="1" t="n">
        <v>45621.46103009259</v>
      </c>
      <c r="C267" s="1" t="n">
        <v>45994</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12588-2025</t>
        </is>
      </c>
      <c r="B268" s="1" t="n">
        <v>45732.76936342593</v>
      </c>
      <c r="C268" s="1" t="n">
        <v>45994</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42918-2021</t>
        </is>
      </c>
      <c r="B269" s="1" t="n">
        <v>44431</v>
      </c>
      <c r="C269" s="1" t="n">
        <v>45994</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7932-2025</t>
        </is>
      </c>
      <c r="B270" s="1" t="n">
        <v>45707.3793287037</v>
      </c>
      <c r="C270" s="1" t="n">
        <v>45994</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49313-2022</t>
        </is>
      </c>
      <c r="B271" s="1" t="n">
        <v>44861.52505787037</v>
      </c>
      <c r="C271" s="1" t="n">
        <v>45994</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1987-2024</t>
        </is>
      </c>
      <c r="B272" s="1" t="n">
        <v>45308.61152777778</v>
      </c>
      <c r="C272" s="1" t="n">
        <v>45994</v>
      </c>
      <c r="D272" t="inlineStr">
        <is>
          <t>KALMAR LÄN</t>
        </is>
      </c>
      <c r="E272" t="inlineStr">
        <is>
          <t>VIMMERBY</t>
        </is>
      </c>
      <c r="G272" t="n">
        <v>3</v>
      </c>
      <c r="H272" t="n">
        <v>0</v>
      </c>
      <c r="I272" t="n">
        <v>0</v>
      </c>
      <c r="J272" t="n">
        <v>0</v>
      </c>
      <c r="K272" t="n">
        <v>0</v>
      </c>
      <c r="L272" t="n">
        <v>0</v>
      </c>
      <c r="M272" t="n">
        <v>0</v>
      </c>
      <c r="N272" t="n">
        <v>0</v>
      </c>
      <c r="O272" t="n">
        <v>0</v>
      </c>
      <c r="P272" t="n">
        <v>0</v>
      </c>
      <c r="Q272" t="n">
        <v>0</v>
      </c>
      <c r="R272" s="2" t="inlineStr"/>
    </row>
    <row r="273" ht="15" customHeight="1">
      <c r="A273" t="inlineStr">
        <is>
          <t>A 60951-2023</t>
        </is>
      </c>
      <c r="B273" s="1" t="n">
        <v>45261.44914351852</v>
      </c>
      <c r="C273" s="1" t="n">
        <v>45994</v>
      </c>
      <c r="D273" t="inlineStr">
        <is>
          <t>KALMAR LÄN</t>
        </is>
      </c>
      <c r="E273" t="inlineStr">
        <is>
          <t>VIMMERBY</t>
        </is>
      </c>
      <c r="G273" t="n">
        <v>4.3</v>
      </c>
      <c r="H273" t="n">
        <v>0</v>
      </c>
      <c r="I273" t="n">
        <v>0</v>
      </c>
      <c r="J273" t="n">
        <v>0</v>
      </c>
      <c r="K273" t="n">
        <v>0</v>
      </c>
      <c r="L273" t="n">
        <v>0</v>
      </c>
      <c r="M273" t="n">
        <v>0</v>
      </c>
      <c r="N273" t="n">
        <v>0</v>
      </c>
      <c r="O273" t="n">
        <v>0</v>
      </c>
      <c r="P273" t="n">
        <v>0</v>
      </c>
      <c r="Q273" t="n">
        <v>0</v>
      </c>
      <c r="R273" s="2" t="inlineStr"/>
    </row>
    <row r="274" ht="15" customHeight="1">
      <c r="A274" t="inlineStr">
        <is>
          <t>A 60292-2022</t>
        </is>
      </c>
      <c r="B274" s="1" t="n">
        <v>44910.54231481482</v>
      </c>
      <c r="C274" s="1" t="n">
        <v>45994</v>
      </c>
      <c r="D274" t="inlineStr">
        <is>
          <t>KALMAR LÄN</t>
        </is>
      </c>
      <c r="E274" t="inlineStr">
        <is>
          <t>VIMMERBY</t>
        </is>
      </c>
      <c r="G274" t="n">
        <v>4.4</v>
      </c>
      <c r="H274" t="n">
        <v>0</v>
      </c>
      <c r="I274" t="n">
        <v>0</v>
      </c>
      <c r="J274" t="n">
        <v>0</v>
      </c>
      <c r="K274" t="n">
        <v>0</v>
      </c>
      <c r="L274" t="n">
        <v>0</v>
      </c>
      <c r="M274" t="n">
        <v>0</v>
      </c>
      <c r="N274" t="n">
        <v>0</v>
      </c>
      <c r="O274" t="n">
        <v>0</v>
      </c>
      <c r="P274" t="n">
        <v>0</v>
      </c>
      <c r="Q274" t="n">
        <v>0</v>
      </c>
      <c r="R274" s="2" t="inlineStr"/>
    </row>
    <row r="275" ht="15" customHeight="1">
      <c r="A275" t="inlineStr">
        <is>
          <t>A 21507-2023</t>
        </is>
      </c>
      <c r="B275" s="1" t="n">
        <v>45063.508125</v>
      </c>
      <c r="C275" s="1" t="n">
        <v>45994</v>
      </c>
      <c r="D275" t="inlineStr">
        <is>
          <t>KALMAR LÄN</t>
        </is>
      </c>
      <c r="E275" t="inlineStr">
        <is>
          <t>VIMMERBY</t>
        </is>
      </c>
      <c r="G275" t="n">
        <v>2.8</v>
      </c>
      <c r="H275" t="n">
        <v>0</v>
      </c>
      <c r="I275" t="n">
        <v>0</v>
      </c>
      <c r="J275" t="n">
        <v>0</v>
      </c>
      <c r="K275" t="n">
        <v>0</v>
      </c>
      <c r="L275" t="n">
        <v>0</v>
      </c>
      <c r="M275" t="n">
        <v>0</v>
      </c>
      <c r="N275" t="n">
        <v>0</v>
      </c>
      <c r="O275" t="n">
        <v>0</v>
      </c>
      <c r="P275" t="n">
        <v>0</v>
      </c>
      <c r="Q275" t="n">
        <v>0</v>
      </c>
      <c r="R275" s="2" t="inlineStr"/>
    </row>
    <row r="276" ht="15" customHeight="1">
      <c r="A276" t="inlineStr">
        <is>
          <t>A 57189-2022</t>
        </is>
      </c>
      <c r="B276" s="1" t="n">
        <v>44895.62296296296</v>
      </c>
      <c r="C276" s="1" t="n">
        <v>45994</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7485-2024</t>
        </is>
      </c>
      <c r="B277" s="1" t="n">
        <v>45346.67184027778</v>
      </c>
      <c r="C277" s="1" t="n">
        <v>45994</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48673-2021</t>
        </is>
      </c>
      <c r="B278" s="1" t="n">
        <v>44452</v>
      </c>
      <c r="C278" s="1" t="n">
        <v>45994</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12590-2025</t>
        </is>
      </c>
      <c r="B279" s="1" t="n">
        <v>45732.79925925926</v>
      </c>
      <c r="C279" s="1" t="n">
        <v>45994</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14248-2023</t>
        </is>
      </c>
      <c r="B280" s="1" t="n">
        <v>45009</v>
      </c>
      <c r="C280" s="1" t="n">
        <v>45994</v>
      </c>
      <c r="D280" t="inlineStr">
        <is>
          <t>KALMAR LÄN</t>
        </is>
      </c>
      <c r="E280" t="inlineStr">
        <is>
          <t>VIMMERBY</t>
        </is>
      </c>
      <c r="G280" t="n">
        <v>2.6</v>
      </c>
      <c r="H280" t="n">
        <v>0</v>
      </c>
      <c r="I280" t="n">
        <v>0</v>
      </c>
      <c r="J280" t="n">
        <v>0</v>
      </c>
      <c r="K280" t="n">
        <v>0</v>
      </c>
      <c r="L280" t="n">
        <v>0</v>
      </c>
      <c r="M280" t="n">
        <v>0</v>
      </c>
      <c r="N280" t="n">
        <v>0</v>
      </c>
      <c r="O280" t="n">
        <v>0</v>
      </c>
      <c r="P280" t="n">
        <v>0</v>
      </c>
      <c r="Q280" t="n">
        <v>0</v>
      </c>
      <c r="R280" s="2" t="inlineStr"/>
    </row>
    <row r="281" ht="15" customHeight="1">
      <c r="A281" t="inlineStr">
        <is>
          <t>A 12480-2024</t>
        </is>
      </c>
      <c r="B281" s="1" t="n">
        <v>45379</v>
      </c>
      <c r="C281" s="1" t="n">
        <v>45994</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35710-2023</t>
        </is>
      </c>
      <c r="B282" s="1" t="n">
        <v>45147.67096064815</v>
      </c>
      <c r="C282" s="1" t="n">
        <v>45994</v>
      </c>
      <c r="D282" t="inlineStr">
        <is>
          <t>KALMAR LÄN</t>
        </is>
      </c>
      <c r="E282" t="inlineStr">
        <is>
          <t>VIMMERBY</t>
        </is>
      </c>
      <c r="G282" t="n">
        <v>3.1</v>
      </c>
      <c r="H282" t="n">
        <v>0</v>
      </c>
      <c r="I282" t="n">
        <v>0</v>
      </c>
      <c r="J282" t="n">
        <v>0</v>
      </c>
      <c r="K282" t="n">
        <v>0</v>
      </c>
      <c r="L282" t="n">
        <v>0</v>
      </c>
      <c r="M282" t="n">
        <v>0</v>
      </c>
      <c r="N282" t="n">
        <v>0</v>
      </c>
      <c r="O282" t="n">
        <v>0</v>
      </c>
      <c r="P282" t="n">
        <v>0</v>
      </c>
      <c r="Q282" t="n">
        <v>0</v>
      </c>
      <c r="R282" s="2" t="inlineStr"/>
    </row>
    <row r="283" ht="15" customHeight="1">
      <c r="A283" t="inlineStr">
        <is>
          <t>A 52823-2024</t>
        </is>
      </c>
      <c r="B283" s="1" t="n">
        <v>45610.59094907407</v>
      </c>
      <c r="C283" s="1" t="n">
        <v>45994</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2121-2022</t>
        </is>
      </c>
      <c r="B284" s="1" t="n">
        <v>44578.32717592592</v>
      </c>
      <c r="C284" s="1" t="n">
        <v>45994</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34386-2024</t>
        </is>
      </c>
      <c r="B285" s="1" t="n">
        <v>45525.41762731481</v>
      </c>
      <c r="C285" s="1" t="n">
        <v>45994</v>
      </c>
      <c r="D285" t="inlineStr">
        <is>
          <t>KALMAR LÄN</t>
        </is>
      </c>
      <c r="E285" t="inlineStr">
        <is>
          <t>VIMMERBY</t>
        </is>
      </c>
      <c r="G285" t="n">
        <v>0.3</v>
      </c>
      <c r="H285" t="n">
        <v>0</v>
      </c>
      <c r="I285" t="n">
        <v>0</v>
      </c>
      <c r="J285" t="n">
        <v>0</v>
      </c>
      <c r="K285" t="n">
        <v>0</v>
      </c>
      <c r="L285" t="n">
        <v>0</v>
      </c>
      <c r="M285" t="n">
        <v>0</v>
      </c>
      <c r="N285" t="n">
        <v>0</v>
      </c>
      <c r="O285" t="n">
        <v>0</v>
      </c>
      <c r="P285" t="n">
        <v>0</v>
      </c>
      <c r="Q285" t="n">
        <v>0</v>
      </c>
      <c r="R285" s="2" t="inlineStr"/>
    </row>
    <row r="286" ht="15" customHeight="1">
      <c r="A286" t="inlineStr">
        <is>
          <t>A 22643-2023</t>
        </is>
      </c>
      <c r="B286" s="1" t="n">
        <v>45071</v>
      </c>
      <c r="C286" s="1" t="n">
        <v>45994</v>
      </c>
      <c r="D286" t="inlineStr">
        <is>
          <t>KALMAR LÄN</t>
        </is>
      </c>
      <c r="E286" t="inlineStr">
        <is>
          <t>VIMMERBY</t>
        </is>
      </c>
      <c r="G286" t="n">
        <v>3.9</v>
      </c>
      <c r="H286" t="n">
        <v>0</v>
      </c>
      <c r="I286" t="n">
        <v>0</v>
      </c>
      <c r="J286" t="n">
        <v>0</v>
      </c>
      <c r="K286" t="n">
        <v>0</v>
      </c>
      <c r="L286" t="n">
        <v>0</v>
      </c>
      <c r="M286" t="n">
        <v>0</v>
      </c>
      <c r="N286" t="n">
        <v>0</v>
      </c>
      <c r="O286" t="n">
        <v>0</v>
      </c>
      <c r="P286" t="n">
        <v>0</v>
      </c>
      <c r="Q286" t="n">
        <v>0</v>
      </c>
      <c r="R286" s="2" t="inlineStr"/>
    </row>
    <row r="287" ht="15" customHeight="1">
      <c r="A287" t="inlineStr">
        <is>
          <t>A 11147-2023</t>
        </is>
      </c>
      <c r="B287" s="1" t="n">
        <v>44992</v>
      </c>
      <c r="C287" s="1" t="n">
        <v>45994</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6069-2023</t>
        </is>
      </c>
      <c r="B288" s="1" t="n">
        <v>44964.5115162037</v>
      </c>
      <c r="C288" s="1" t="n">
        <v>45994</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19833-2023</t>
        </is>
      </c>
      <c r="B289" s="1" t="n">
        <v>45052</v>
      </c>
      <c r="C289" s="1" t="n">
        <v>45994</v>
      </c>
      <c r="D289" t="inlineStr">
        <is>
          <t>KALMAR LÄN</t>
        </is>
      </c>
      <c r="E289" t="inlineStr">
        <is>
          <t>VIMMERBY</t>
        </is>
      </c>
      <c r="G289" t="n">
        <v>6.7</v>
      </c>
      <c r="H289" t="n">
        <v>0</v>
      </c>
      <c r="I289" t="n">
        <v>0</v>
      </c>
      <c r="J289" t="n">
        <v>0</v>
      </c>
      <c r="K289" t="n">
        <v>0</v>
      </c>
      <c r="L289" t="n">
        <v>0</v>
      </c>
      <c r="M289" t="n">
        <v>0</v>
      </c>
      <c r="N289" t="n">
        <v>0</v>
      </c>
      <c r="O289" t="n">
        <v>0</v>
      </c>
      <c r="P289" t="n">
        <v>0</v>
      </c>
      <c r="Q289" t="n">
        <v>0</v>
      </c>
      <c r="R289" s="2" t="inlineStr"/>
    </row>
    <row r="290" ht="15" customHeight="1">
      <c r="A290" t="inlineStr">
        <is>
          <t>A 40095-2022</t>
        </is>
      </c>
      <c r="B290" s="1" t="n">
        <v>44820</v>
      </c>
      <c r="C290" s="1" t="n">
        <v>45994</v>
      </c>
      <c r="D290" t="inlineStr">
        <is>
          <t>KALMAR LÄN</t>
        </is>
      </c>
      <c r="E290" t="inlineStr">
        <is>
          <t>VIMMERBY</t>
        </is>
      </c>
      <c r="G290" t="n">
        <v>2.4</v>
      </c>
      <c r="H290" t="n">
        <v>0</v>
      </c>
      <c r="I290" t="n">
        <v>0</v>
      </c>
      <c r="J290" t="n">
        <v>0</v>
      </c>
      <c r="K290" t="n">
        <v>0</v>
      </c>
      <c r="L290" t="n">
        <v>0</v>
      </c>
      <c r="M290" t="n">
        <v>0</v>
      </c>
      <c r="N290" t="n">
        <v>0</v>
      </c>
      <c r="O290" t="n">
        <v>0</v>
      </c>
      <c r="P290" t="n">
        <v>0</v>
      </c>
      <c r="Q290" t="n">
        <v>0</v>
      </c>
      <c r="R290" s="2" t="inlineStr"/>
    </row>
    <row r="291" ht="15" customHeight="1">
      <c r="A291" t="inlineStr">
        <is>
          <t>A 14548-2024</t>
        </is>
      </c>
      <c r="B291" s="1" t="n">
        <v>45394.66887731481</v>
      </c>
      <c r="C291" s="1" t="n">
        <v>45994</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585-2024</t>
        </is>
      </c>
      <c r="B292" s="1" t="n">
        <v>45299.62576388889</v>
      </c>
      <c r="C292" s="1" t="n">
        <v>45994</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50085-2023</t>
        </is>
      </c>
      <c r="B293" s="1" t="n">
        <v>45215.5959375</v>
      </c>
      <c r="C293" s="1" t="n">
        <v>45994</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50087-2023</t>
        </is>
      </c>
      <c r="B294" s="1" t="n">
        <v>45215.59743055556</v>
      </c>
      <c r="C294" s="1" t="n">
        <v>45994</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8167-2024</t>
        </is>
      </c>
      <c r="B295" s="1" t="n">
        <v>45351.6062962963</v>
      </c>
      <c r="C295" s="1" t="n">
        <v>45994</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56020-2024</t>
        </is>
      </c>
      <c r="B296" s="1" t="n">
        <v>45623.9525462963</v>
      </c>
      <c r="C296" s="1" t="n">
        <v>45994</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32633-2023</t>
        </is>
      </c>
      <c r="B297" s="1" t="n">
        <v>45121.58699074074</v>
      </c>
      <c r="C297" s="1" t="n">
        <v>45994</v>
      </c>
      <c r="D297" t="inlineStr">
        <is>
          <t>KALMAR LÄN</t>
        </is>
      </c>
      <c r="E297" t="inlineStr">
        <is>
          <t>VIMMERBY</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23252-2024</t>
        </is>
      </c>
      <c r="B298" s="1" t="n">
        <v>45453.36067129629</v>
      </c>
      <c r="C298" s="1" t="n">
        <v>45994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49461-2023</t>
        </is>
      </c>
      <c r="B299" s="1" t="n">
        <v>45211.52642361111</v>
      </c>
      <c r="C299" s="1" t="n">
        <v>45994</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15550-2023</t>
        </is>
      </c>
      <c r="B300" s="1" t="n">
        <v>45020</v>
      </c>
      <c r="C300" s="1" t="n">
        <v>45994</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23095-2023</t>
        </is>
      </c>
      <c r="B301" s="1" t="n">
        <v>45075.43059027778</v>
      </c>
      <c r="C301" s="1" t="n">
        <v>45994</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11429-2022</t>
        </is>
      </c>
      <c r="B302" s="1" t="n">
        <v>44630</v>
      </c>
      <c r="C302" s="1" t="n">
        <v>45994</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18669-2025</t>
        </is>
      </c>
      <c r="B303" s="1" t="n">
        <v>45763.59436342592</v>
      </c>
      <c r="C303" s="1" t="n">
        <v>45994</v>
      </c>
      <c r="D303" t="inlineStr">
        <is>
          <t>KALMAR LÄN</t>
        </is>
      </c>
      <c r="E303" t="inlineStr">
        <is>
          <t>VIMMERBY</t>
        </is>
      </c>
      <c r="G303" t="n">
        <v>2.7</v>
      </c>
      <c r="H303" t="n">
        <v>0</v>
      </c>
      <c r="I303" t="n">
        <v>0</v>
      </c>
      <c r="J303" t="n">
        <v>0</v>
      </c>
      <c r="K303" t="n">
        <v>0</v>
      </c>
      <c r="L303" t="n">
        <v>0</v>
      </c>
      <c r="M303" t="n">
        <v>0</v>
      </c>
      <c r="N303" t="n">
        <v>0</v>
      </c>
      <c r="O303" t="n">
        <v>0</v>
      </c>
      <c r="P303" t="n">
        <v>0</v>
      </c>
      <c r="Q303" t="n">
        <v>0</v>
      </c>
      <c r="R303" s="2" t="inlineStr"/>
    </row>
    <row r="304" ht="15" customHeight="1">
      <c r="A304" t="inlineStr">
        <is>
          <t>A 11219-2023</t>
        </is>
      </c>
      <c r="B304" s="1" t="n">
        <v>44992.62498842592</v>
      </c>
      <c r="C304" s="1" t="n">
        <v>45994</v>
      </c>
      <c r="D304" t="inlineStr">
        <is>
          <t>KALMAR LÄN</t>
        </is>
      </c>
      <c r="E304" t="inlineStr">
        <is>
          <t>VIMMERBY</t>
        </is>
      </c>
      <c r="G304" t="n">
        <v>2.5</v>
      </c>
      <c r="H304" t="n">
        <v>0</v>
      </c>
      <c r="I304" t="n">
        <v>0</v>
      </c>
      <c r="J304" t="n">
        <v>0</v>
      </c>
      <c r="K304" t="n">
        <v>0</v>
      </c>
      <c r="L304" t="n">
        <v>0</v>
      </c>
      <c r="M304" t="n">
        <v>0</v>
      </c>
      <c r="N304" t="n">
        <v>0</v>
      </c>
      <c r="O304" t="n">
        <v>0</v>
      </c>
      <c r="P304" t="n">
        <v>0</v>
      </c>
      <c r="Q304" t="n">
        <v>0</v>
      </c>
      <c r="R304" s="2" t="inlineStr"/>
    </row>
    <row r="305" ht="15" customHeight="1">
      <c r="A305" t="inlineStr">
        <is>
          <t>A 18411-2021</t>
        </is>
      </c>
      <c r="B305" s="1" t="n">
        <v>44302</v>
      </c>
      <c r="C305" s="1" t="n">
        <v>45994</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47855-2024</t>
        </is>
      </c>
      <c r="B306" s="1" t="n">
        <v>45588.66457175926</v>
      </c>
      <c r="C306" s="1" t="n">
        <v>45994</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2604-2025</t>
        </is>
      </c>
      <c r="B307" s="1" t="n">
        <v>45674.74094907408</v>
      </c>
      <c r="C307" s="1" t="n">
        <v>45994</v>
      </c>
      <c r="D307" t="inlineStr">
        <is>
          <t>KALMAR LÄN</t>
        </is>
      </c>
      <c r="E307" t="inlineStr">
        <is>
          <t>VIMMERBY</t>
        </is>
      </c>
      <c r="G307" t="n">
        <v>7.6</v>
      </c>
      <c r="H307" t="n">
        <v>0</v>
      </c>
      <c r="I307" t="n">
        <v>0</v>
      </c>
      <c r="J307" t="n">
        <v>0</v>
      </c>
      <c r="K307" t="n">
        <v>0</v>
      </c>
      <c r="L307" t="n">
        <v>0</v>
      </c>
      <c r="M307" t="n">
        <v>0</v>
      </c>
      <c r="N307" t="n">
        <v>0</v>
      </c>
      <c r="O307" t="n">
        <v>0</v>
      </c>
      <c r="P307" t="n">
        <v>0</v>
      </c>
      <c r="Q307" t="n">
        <v>0</v>
      </c>
      <c r="R307" s="2" t="inlineStr"/>
    </row>
    <row r="308" ht="15" customHeight="1">
      <c r="A308" t="inlineStr">
        <is>
          <t>A 38780-2021</t>
        </is>
      </c>
      <c r="B308" s="1" t="n">
        <v>44410</v>
      </c>
      <c r="C308" s="1" t="n">
        <v>45994</v>
      </c>
      <c r="D308" t="inlineStr">
        <is>
          <t>KALMAR LÄN</t>
        </is>
      </c>
      <c r="E308" t="inlineStr">
        <is>
          <t>VIMMERBY</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172-2022</t>
        </is>
      </c>
      <c r="B309" s="1" t="n">
        <v>44564.62598379629</v>
      </c>
      <c r="C309" s="1" t="n">
        <v>45994</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39584-2024</t>
        </is>
      </c>
      <c r="B310" s="1" t="n">
        <v>45552.36759259259</v>
      </c>
      <c r="C310" s="1" t="n">
        <v>45994</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11141-2024</t>
        </is>
      </c>
      <c r="B311" s="1" t="n">
        <v>45371.45865740741</v>
      </c>
      <c r="C311" s="1" t="n">
        <v>45994</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28395-2023</t>
        </is>
      </c>
      <c r="B312" s="1" t="n">
        <v>45100.4062962963</v>
      </c>
      <c r="C312" s="1" t="n">
        <v>45994</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51881-2024</t>
        </is>
      </c>
      <c r="B313" s="1" t="n">
        <v>45607.56773148148</v>
      </c>
      <c r="C313" s="1" t="n">
        <v>45994</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34597-2022</t>
        </is>
      </c>
      <c r="B314" s="1" t="n">
        <v>44795</v>
      </c>
      <c r="C314" s="1" t="n">
        <v>45994</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2596-2025</t>
        </is>
      </c>
      <c r="B315" s="1" t="n">
        <v>45674.71810185185</v>
      </c>
      <c r="C315" s="1" t="n">
        <v>45994</v>
      </c>
      <c r="D315" t="inlineStr">
        <is>
          <t>KALMAR LÄN</t>
        </is>
      </c>
      <c r="E315" t="inlineStr">
        <is>
          <t>VIMMERBY</t>
        </is>
      </c>
      <c r="G315" t="n">
        <v>9</v>
      </c>
      <c r="H315" t="n">
        <v>0</v>
      </c>
      <c r="I315" t="n">
        <v>0</v>
      </c>
      <c r="J315" t="n">
        <v>0</v>
      </c>
      <c r="K315" t="n">
        <v>0</v>
      </c>
      <c r="L315" t="n">
        <v>0</v>
      </c>
      <c r="M315" t="n">
        <v>0</v>
      </c>
      <c r="N315" t="n">
        <v>0</v>
      </c>
      <c r="O315" t="n">
        <v>0</v>
      </c>
      <c r="P315" t="n">
        <v>0</v>
      </c>
      <c r="Q315" t="n">
        <v>0</v>
      </c>
      <c r="R315" s="2" t="inlineStr"/>
    </row>
    <row r="316" ht="15" customHeight="1">
      <c r="A316" t="inlineStr">
        <is>
          <t>A 64428-2023</t>
        </is>
      </c>
      <c r="B316" s="1" t="n">
        <v>45280.66769675926</v>
      </c>
      <c r="C316" s="1" t="n">
        <v>45994</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37192-2024</t>
        </is>
      </c>
      <c r="B317" s="1" t="n">
        <v>45539.66027777778</v>
      </c>
      <c r="C317" s="1" t="n">
        <v>45994</v>
      </c>
      <c r="D317" t="inlineStr">
        <is>
          <t>KALMAR LÄN</t>
        </is>
      </c>
      <c r="E317" t="inlineStr">
        <is>
          <t>VIMMERBY</t>
        </is>
      </c>
      <c r="G317" t="n">
        <v>1</v>
      </c>
      <c r="H317" t="n">
        <v>0</v>
      </c>
      <c r="I317" t="n">
        <v>0</v>
      </c>
      <c r="J317" t="n">
        <v>0</v>
      </c>
      <c r="K317" t="n">
        <v>0</v>
      </c>
      <c r="L317" t="n">
        <v>0</v>
      </c>
      <c r="M317" t="n">
        <v>0</v>
      </c>
      <c r="N317" t="n">
        <v>0</v>
      </c>
      <c r="O317" t="n">
        <v>0</v>
      </c>
      <c r="P317" t="n">
        <v>0</v>
      </c>
      <c r="Q317" t="n">
        <v>0</v>
      </c>
      <c r="R317" s="2" t="inlineStr"/>
    </row>
    <row r="318" ht="15" customHeight="1">
      <c r="A318" t="inlineStr">
        <is>
          <t>A 16734-2023</t>
        </is>
      </c>
      <c r="B318" s="1" t="n">
        <v>45030.71012731481</v>
      </c>
      <c r="C318" s="1" t="n">
        <v>45994</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30588-2023</t>
        </is>
      </c>
      <c r="B319" s="1" t="n">
        <v>45112.33599537037</v>
      </c>
      <c r="C319" s="1" t="n">
        <v>45994</v>
      </c>
      <c r="D319" t="inlineStr">
        <is>
          <t>KALMAR LÄN</t>
        </is>
      </c>
      <c r="E319" t="inlineStr">
        <is>
          <t>VIMMERBY</t>
        </is>
      </c>
      <c r="G319" t="n">
        <v>2.7</v>
      </c>
      <c r="H319" t="n">
        <v>0</v>
      </c>
      <c r="I319" t="n">
        <v>0</v>
      </c>
      <c r="J319" t="n">
        <v>0</v>
      </c>
      <c r="K319" t="n">
        <v>0</v>
      </c>
      <c r="L319" t="n">
        <v>0</v>
      </c>
      <c r="M319" t="n">
        <v>0</v>
      </c>
      <c r="N319" t="n">
        <v>0</v>
      </c>
      <c r="O319" t="n">
        <v>0</v>
      </c>
      <c r="P319" t="n">
        <v>0</v>
      </c>
      <c r="Q319" t="n">
        <v>0</v>
      </c>
      <c r="R319" s="2" t="inlineStr"/>
    </row>
    <row r="320" ht="15" customHeight="1">
      <c r="A320" t="inlineStr">
        <is>
          <t>A 30503-2023</t>
        </is>
      </c>
      <c r="B320" s="1" t="n">
        <v>45111</v>
      </c>
      <c r="C320" s="1" t="n">
        <v>45994</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42429-2024</t>
        </is>
      </c>
      <c r="B321" s="1" t="n">
        <v>45565.40657407408</v>
      </c>
      <c r="C321" s="1" t="n">
        <v>45994</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29180-2024</t>
        </is>
      </c>
      <c r="B322" s="1" t="n">
        <v>45482.54108796296</v>
      </c>
      <c r="C322" s="1" t="n">
        <v>45994</v>
      </c>
      <c r="D322" t="inlineStr">
        <is>
          <t>KALMAR LÄN</t>
        </is>
      </c>
      <c r="E322" t="inlineStr">
        <is>
          <t>VIMMERBY</t>
        </is>
      </c>
      <c r="G322" t="n">
        <v>3.8</v>
      </c>
      <c r="H322" t="n">
        <v>0</v>
      </c>
      <c r="I322" t="n">
        <v>0</v>
      </c>
      <c r="J322" t="n">
        <v>0</v>
      </c>
      <c r="K322" t="n">
        <v>0</v>
      </c>
      <c r="L322" t="n">
        <v>0</v>
      </c>
      <c r="M322" t="n">
        <v>0</v>
      </c>
      <c r="N322" t="n">
        <v>0</v>
      </c>
      <c r="O322" t="n">
        <v>0</v>
      </c>
      <c r="P322" t="n">
        <v>0</v>
      </c>
      <c r="Q322" t="n">
        <v>0</v>
      </c>
      <c r="R322" s="2" t="inlineStr"/>
    </row>
    <row r="323" ht="15" customHeight="1">
      <c r="A323" t="inlineStr">
        <is>
          <t>A 20129-2024</t>
        </is>
      </c>
      <c r="B323" s="1" t="n">
        <v>45434.55831018519</v>
      </c>
      <c r="C323" s="1" t="n">
        <v>45994</v>
      </c>
      <c r="D323" t="inlineStr">
        <is>
          <t>KALMAR LÄN</t>
        </is>
      </c>
      <c r="E323" t="inlineStr">
        <is>
          <t>VIMMERBY</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20137-2024</t>
        </is>
      </c>
      <c r="B324" s="1" t="n">
        <v>45434.56398148148</v>
      </c>
      <c r="C324" s="1" t="n">
        <v>45994</v>
      </c>
      <c r="D324" t="inlineStr">
        <is>
          <t>KALMAR LÄN</t>
        </is>
      </c>
      <c r="E324" t="inlineStr">
        <is>
          <t>VIMMERBY</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7456-2024</t>
        </is>
      </c>
      <c r="B325" s="1" t="n">
        <v>45345.83557870371</v>
      </c>
      <c r="C325" s="1" t="n">
        <v>45994</v>
      </c>
      <c r="D325" t="inlineStr">
        <is>
          <t>KALMAR LÄN</t>
        </is>
      </c>
      <c r="E325" t="inlineStr">
        <is>
          <t>VIMMERBY</t>
        </is>
      </c>
      <c r="G325" t="n">
        <v>4.1</v>
      </c>
      <c r="H325" t="n">
        <v>0</v>
      </c>
      <c r="I325" t="n">
        <v>0</v>
      </c>
      <c r="J325" t="n">
        <v>0</v>
      </c>
      <c r="K325" t="n">
        <v>0</v>
      </c>
      <c r="L325" t="n">
        <v>0</v>
      </c>
      <c r="M325" t="n">
        <v>0</v>
      </c>
      <c r="N325" t="n">
        <v>0</v>
      </c>
      <c r="O325" t="n">
        <v>0</v>
      </c>
      <c r="P325" t="n">
        <v>0</v>
      </c>
      <c r="Q325" t="n">
        <v>0</v>
      </c>
      <c r="R325" s="2" t="inlineStr"/>
    </row>
    <row r="326" ht="15" customHeight="1">
      <c r="A326" t="inlineStr">
        <is>
          <t>A 45846-2023</t>
        </is>
      </c>
      <c r="B326" s="1" t="n">
        <v>45195.58452546296</v>
      </c>
      <c r="C326" s="1" t="n">
        <v>45994</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47263-2023</t>
        </is>
      </c>
      <c r="B327" s="1" t="n">
        <v>45202.4209837963</v>
      </c>
      <c r="C327" s="1" t="n">
        <v>45994</v>
      </c>
      <c r="D327" t="inlineStr">
        <is>
          <t>KALMAR LÄN</t>
        </is>
      </c>
      <c r="E327" t="inlineStr">
        <is>
          <t>VIMMERBY</t>
        </is>
      </c>
      <c r="G327" t="n">
        <v>1.8</v>
      </c>
      <c r="H327" t="n">
        <v>0</v>
      </c>
      <c r="I327" t="n">
        <v>0</v>
      </c>
      <c r="J327" t="n">
        <v>0</v>
      </c>
      <c r="K327" t="n">
        <v>0</v>
      </c>
      <c r="L327" t="n">
        <v>0</v>
      </c>
      <c r="M327" t="n">
        <v>0</v>
      </c>
      <c r="N327" t="n">
        <v>0</v>
      </c>
      <c r="O327" t="n">
        <v>0</v>
      </c>
      <c r="P327" t="n">
        <v>0</v>
      </c>
      <c r="Q327" t="n">
        <v>0</v>
      </c>
      <c r="R327" s="2" t="inlineStr"/>
    </row>
    <row r="328" ht="15" customHeight="1">
      <c r="A328" t="inlineStr">
        <is>
          <t>A 16020-2023</t>
        </is>
      </c>
      <c r="B328" s="1" t="n">
        <v>45026.82216435186</v>
      </c>
      <c r="C328" s="1" t="n">
        <v>45994</v>
      </c>
      <c r="D328" t="inlineStr">
        <is>
          <t>KALMAR LÄN</t>
        </is>
      </c>
      <c r="E328" t="inlineStr">
        <is>
          <t>VIMMERBY</t>
        </is>
      </c>
      <c r="G328" t="n">
        <v>1.1</v>
      </c>
      <c r="H328" t="n">
        <v>0</v>
      </c>
      <c r="I328" t="n">
        <v>0</v>
      </c>
      <c r="J328" t="n">
        <v>0</v>
      </c>
      <c r="K328" t="n">
        <v>0</v>
      </c>
      <c r="L328" t="n">
        <v>0</v>
      </c>
      <c r="M328" t="n">
        <v>0</v>
      </c>
      <c r="N328" t="n">
        <v>0</v>
      </c>
      <c r="O328" t="n">
        <v>0</v>
      </c>
      <c r="P328" t="n">
        <v>0</v>
      </c>
      <c r="Q328" t="n">
        <v>0</v>
      </c>
      <c r="R328" s="2" t="inlineStr"/>
    </row>
    <row r="329" ht="15" customHeight="1">
      <c r="A329" t="inlineStr">
        <is>
          <t>A 58100-2024</t>
        </is>
      </c>
      <c r="B329" s="1" t="n">
        <v>45632.36706018518</v>
      </c>
      <c r="C329" s="1" t="n">
        <v>45994</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58159-2024</t>
        </is>
      </c>
      <c r="B330" s="1" t="n">
        <v>45632.44886574074</v>
      </c>
      <c r="C330" s="1" t="n">
        <v>45994</v>
      </c>
      <c r="D330" t="inlineStr">
        <is>
          <t>KALMAR LÄN</t>
        </is>
      </c>
      <c r="E330" t="inlineStr">
        <is>
          <t>VIMMERBY</t>
        </is>
      </c>
      <c r="G330" t="n">
        <v>7.5</v>
      </c>
      <c r="H330" t="n">
        <v>0</v>
      </c>
      <c r="I330" t="n">
        <v>0</v>
      </c>
      <c r="J330" t="n">
        <v>0</v>
      </c>
      <c r="K330" t="n">
        <v>0</v>
      </c>
      <c r="L330" t="n">
        <v>0</v>
      </c>
      <c r="M330" t="n">
        <v>0</v>
      </c>
      <c r="N330" t="n">
        <v>0</v>
      </c>
      <c r="O330" t="n">
        <v>0</v>
      </c>
      <c r="P330" t="n">
        <v>0</v>
      </c>
      <c r="Q330" t="n">
        <v>0</v>
      </c>
      <c r="R330" s="2" t="inlineStr"/>
    </row>
    <row r="331" ht="15" customHeight="1">
      <c r="A331" t="inlineStr">
        <is>
          <t>A 52324-2023</t>
        </is>
      </c>
      <c r="B331" s="1" t="n">
        <v>45224.64659722222</v>
      </c>
      <c r="C331" s="1" t="n">
        <v>45994</v>
      </c>
      <c r="D331" t="inlineStr">
        <is>
          <t>KALMAR LÄN</t>
        </is>
      </c>
      <c r="E331" t="inlineStr">
        <is>
          <t>VIMMERBY</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57114-2023</t>
        </is>
      </c>
      <c r="B332" s="1" t="n">
        <v>45245.36174768519</v>
      </c>
      <c r="C332" s="1" t="n">
        <v>45994</v>
      </c>
      <c r="D332" t="inlineStr">
        <is>
          <t>KALMAR LÄN</t>
        </is>
      </c>
      <c r="E332" t="inlineStr">
        <is>
          <t>VIMMERBY</t>
        </is>
      </c>
      <c r="G332" t="n">
        <v>1.5</v>
      </c>
      <c r="H332" t="n">
        <v>0</v>
      </c>
      <c r="I332" t="n">
        <v>0</v>
      </c>
      <c r="J332" t="n">
        <v>0</v>
      </c>
      <c r="K332" t="n">
        <v>0</v>
      </c>
      <c r="L332" t="n">
        <v>0</v>
      </c>
      <c r="M332" t="n">
        <v>0</v>
      </c>
      <c r="N332" t="n">
        <v>0</v>
      </c>
      <c r="O332" t="n">
        <v>0</v>
      </c>
      <c r="P332" t="n">
        <v>0</v>
      </c>
      <c r="Q332" t="n">
        <v>0</v>
      </c>
      <c r="R332" s="2" t="inlineStr"/>
    </row>
    <row r="333" ht="15" customHeight="1">
      <c r="A333" t="inlineStr">
        <is>
          <t>A 3423-2022</t>
        </is>
      </c>
      <c r="B333" s="1" t="n">
        <v>44585.50431712963</v>
      </c>
      <c r="C333" s="1" t="n">
        <v>45994</v>
      </c>
      <c r="D333" t="inlineStr">
        <is>
          <t>KALMAR LÄN</t>
        </is>
      </c>
      <c r="E333" t="inlineStr">
        <is>
          <t>VIMMERBY</t>
        </is>
      </c>
      <c r="G333" t="n">
        <v>1.7</v>
      </c>
      <c r="H333" t="n">
        <v>0</v>
      </c>
      <c r="I333" t="n">
        <v>0</v>
      </c>
      <c r="J333" t="n">
        <v>0</v>
      </c>
      <c r="K333" t="n">
        <v>0</v>
      </c>
      <c r="L333" t="n">
        <v>0</v>
      </c>
      <c r="M333" t="n">
        <v>0</v>
      </c>
      <c r="N333" t="n">
        <v>0</v>
      </c>
      <c r="O333" t="n">
        <v>0</v>
      </c>
      <c r="P333" t="n">
        <v>0</v>
      </c>
      <c r="Q333" t="n">
        <v>0</v>
      </c>
      <c r="R333" s="2" t="inlineStr"/>
    </row>
    <row r="334" ht="15" customHeight="1">
      <c r="A334" t="inlineStr">
        <is>
          <t>A 17988-2025</t>
        </is>
      </c>
      <c r="B334" s="1" t="n">
        <v>45761.39600694444</v>
      </c>
      <c r="C334" s="1" t="n">
        <v>45994</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29020-2024</t>
        </is>
      </c>
      <c r="B335" s="1" t="n">
        <v>45481.58048611111</v>
      </c>
      <c r="C335" s="1" t="n">
        <v>45994</v>
      </c>
      <c r="D335" t="inlineStr">
        <is>
          <t>KALMAR LÄN</t>
        </is>
      </c>
      <c r="E335" t="inlineStr">
        <is>
          <t>VIMMERBY</t>
        </is>
      </c>
      <c r="G335" t="n">
        <v>2.3</v>
      </c>
      <c r="H335" t="n">
        <v>0</v>
      </c>
      <c r="I335" t="n">
        <v>0</v>
      </c>
      <c r="J335" t="n">
        <v>0</v>
      </c>
      <c r="K335" t="n">
        <v>0</v>
      </c>
      <c r="L335" t="n">
        <v>0</v>
      </c>
      <c r="M335" t="n">
        <v>0</v>
      </c>
      <c r="N335" t="n">
        <v>0</v>
      </c>
      <c r="O335" t="n">
        <v>0</v>
      </c>
      <c r="P335" t="n">
        <v>0</v>
      </c>
      <c r="Q335" t="n">
        <v>0</v>
      </c>
      <c r="R335" s="2" t="inlineStr"/>
    </row>
    <row r="336" ht="15" customHeight="1">
      <c r="A336" t="inlineStr">
        <is>
          <t>A 61820-2023</t>
        </is>
      </c>
      <c r="B336" s="1" t="n">
        <v>45266.32614583334</v>
      </c>
      <c r="C336" s="1" t="n">
        <v>45994</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23341-2022</t>
        </is>
      </c>
      <c r="B337" s="1" t="n">
        <v>44720.53898148148</v>
      </c>
      <c r="C337" s="1" t="n">
        <v>45994</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30406-2023</t>
        </is>
      </c>
      <c r="B338" s="1" t="n">
        <v>45111.48787037037</v>
      </c>
      <c r="C338" s="1" t="n">
        <v>45994</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40665-2023</t>
        </is>
      </c>
      <c r="B339" s="1" t="n">
        <v>45170</v>
      </c>
      <c r="C339" s="1" t="n">
        <v>45994</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37028-2024</t>
        </is>
      </c>
      <c r="B340" s="1" t="n">
        <v>45539.38744212963</v>
      </c>
      <c r="C340" s="1" t="n">
        <v>45994</v>
      </c>
      <c r="D340" t="inlineStr">
        <is>
          <t>KALMAR LÄN</t>
        </is>
      </c>
      <c r="E340" t="inlineStr">
        <is>
          <t>VIMMERBY</t>
        </is>
      </c>
      <c r="G340" t="n">
        <v>5.2</v>
      </c>
      <c r="H340" t="n">
        <v>0</v>
      </c>
      <c r="I340" t="n">
        <v>0</v>
      </c>
      <c r="J340" t="n">
        <v>0</v>
      </c>
      <c r="K340" t="n">
        <v>0</v>
      </c>
      <c r="L340" t="n">
        <v>0</v>
      </c>
      <c r="M340" t="n">
        <v>0</v>
      </c>
      <c r="N340" t="n">
        <v>0</v>
      </c>
      <c r="O340" t="n">
        <v>0</v>
      </c>
      <c r="P340" t="n">
        <v>0</v>
      </c>
      <c r="Q340" t="n">
        <v>0</v>
      </c>
      <c r="R340" s="2" t="inlineStr"/>
    </row>
    <row r="341" ht="15" customHeight="1">
      <c r="A341" t="inlineStr">
        <is>
          <t>A 13817-2024</t>
        </is>
      </c>
      <c r="B341" s="1" t="n">
        <v>45391.41976851852</v>
      </c>
      <c r="C341" s="1" t="n">
        <v>45994</v>
      </c>
      <c r="D341" t="inlineStr">
        <is>
          <t>KALMAR LÄN</t>
        </is>
      </c>
      <c r="E341" t="inlineStr">
        <is>
          <t>VIMMERBY</t>
        </is>
      </c>
      <c r="G341" t="n">
        <v>1</v>
      </c>
      <c r="H341" t="n">
        <v>0</v>
      </c>
      <c r="I341" t="n">
        <v>0</v>
      </c>
      <c r="J341" t="n">
        <v>0</v>
      </c>
      <c r="K341" t="n">
        <v>0</v>
      </c>
      <c r="L341" t="n">
        <v>0</v>
      </c>
      <c r="M341" t="n">
        <v>0</v>
      </c>
      <c r="N341" t="n">
        <v>0</v>
      </c>
      <c r="O341" t="n">
        <v>0</v>
      </c>
      <c r="P341" t="n">
        <v>0</v>
      </c>
      <c r="Q341" t="n">
        <v>0</v>
      </c>
      <c r="R341" s="2" t="inlineStr"/>
    </row>
    <row r="342" ht="15" customHeight="1">
      <c r="A342" t="inlineStr">
        <is>
          <t>A 6668-2023</t>
        </is>
      </c>
      <c r="B342" s="1" t="n">
        <v>44966</v>
      </c>
      <c r="C342" s="1" t="n">
        <v>45994</v>
      </c>
      <c r="D342" t="inlineStr">
        <is>
          <t>KALMAR LÄN</t>
        </is>
      </c>
      <c r="E342" t="inlineStr">
        <is>
          <t>VIMMERBY</t>
        </is>
      </c>
      <c r="G342" t="n">
        <v>0.9</v>
      </c>
      <c r="H342" t="n">
        <v>0</v>
      </c>
      <c r="I342" t="n">
        <v>0</v>
      </c>
      <c r="J342" t="n">
        <v>0</v>
      </c>
      <c r="K342" t="n">
        <v>0</v>
      </c>
      <c r="L342" t="n">
        <v>0</v>
      </c>
      <c r="M342" t="n">
        <v>0</v>
      </c>
      <c r="N342" t="n">
        <v>0</v>
      </c>
      <c r="O342" t="n">
        <v>0</v>
      </c>
      <c r="P342" t="n">
        <v>0</v>
      </c>
      <c r="Q342" t="n">
        <v>0</v>
      </c>
      <c r="R342" s="2" t="inlineStr"/>
    </row>
    <row r="343" ht="15" customHeight="1">
      <c r="A343" t="inlineStr">
        <is>
          <t>A 29168-2024</t>
        </is>
      </c>
      <c r="B343" s="1" t="n">
        <v>45482.49870370371</v>
      </c>
      <c r="C343" s="1" t="n">
        <v>45994</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8086-2021</t>
        </is>
      </c>
      <c r="B344" s="1" t="n">
        <v>44243</v>
      </c>
      <c r="C344" s="1" t="n">
        <v>45994</v>
      </c>
      <c r="D344" t="inlineStr">
        <is>
          <t>KALMAR LÄN</t>
        </is>
      </c>
      <c r="E344" t="inlineStr">
        <is>
          <t>VIMMERBY</t>
        </is>
      </c>
      <c r="G344" t="n">
        <v>4.1</v>
      </c>
      <c r="H344" t="n">
        <v>0</v>
      </c>
      <c r="I344" t="n">
        <v>0</v>
      </c>
      <c r="J344" t="n">
        <v>0</v>
      </c>
      <c r="K344" t="n">
        <v>0</v>
      </c>
      <c r="L344" t="n">
        <v>0</v>
      </c>
      <c r="M344" t="n">
        <v>0</v>
      </c>
      <c r="N344" t="n">
        <v>0</v>
      </c>
      <c r="O344" t="n">
        <v>0</v>
      </c>
      <c r="P344" t="n">
        <v>0</v>
      </c>
      <c r="Q344" t="n">
        <v>0</v>
      </c>
      <c r="R344" s="2" t="inlineStr"/>
    </row>
    <row r="345" ht="15" customHeight="1">
      <c r="A345" t="inlineStr">
        <is>
          <t>A 55236-2023</t>
        </is>
      </c>
      <c r="B345" s="1" t="n">
        <v>45237.63225694445</v>
      </c>
      <c r="C345" s="1" t="n">
        <v>45994</v>
      </c>
      <c r="D345" t="inlineStr">
        <is>
          <t>KALMAR LÄN</t>
        </is>
      </c>
      <c r="E345" t="inlineStr">
        <is>
          <t>VIMMERBY</t>
        </is>
      </c>
      <c r="G345" t="n">
        <v>1.1</v>
      </c>
      <c r="H345" t="n">
        <v>0</v>
      </c>
      <c r="I345" t="n">
        <v>0</v>
      </c>
      <c r="J345" t="n">
        <v>0</v>
      </c>
      <c r="K345" t="n">
        <v>0</v>
      </c>
      <c r="L345" t="n">
        <v>0</v>
      </c>
      <c r="M345" t="n">
        <v>0</v>
      </c>
      <c r="N345" t="n">
        <v>0</v>
      </c>
      <c r="O345" t="n">
        <v>0</v>
      </c>
      <c r="P345" t="n">
        <v>0</v>
      </c>
      <c r="Q345" t="n">
        <v>0</v>
      </c>
      <c r="R345" s="2" t="inlineStr"/>
    </row>
    <row r="346" ht="15" customHeight="1">
      <c r="A346" t="inlineStr">
        <is>
          <t>A 55245-2023</t>
        </is>
      </c>
      <c r="B346" s="1" t="n">
        <v>45237.64408564815</v>
      </c>
      <c r="C346" s="1" t="n">
        <v>45994</v>
      </c>
      <c r="D346" t="inlineStr">
        <is>
          <t>KALMAR LÄN</t>
        </is>
      </c>
      <c r="E346" t="inlineStr">
        <is>
          <t>VIMMERBY</t>
        </is>
      </c>
      <c r="G346" t="n">
        <v>1.3</v>
      </c>
      <c r="H346" t="n">
        <v>0</v>
      </c>
      <c r="I346" t="n">
        <v>0</v>
      </c>
      <c r="J346" t="n">
        <v>0</v>
      </c>
      <c r="K346" t="n">
        <v>0</v>
      </c>
      <c r="L346" t="n">
        <v>0</v>
      </c>
      <c r="M346" t="n">
        <v>0</v>
      </c>
      <c r="N346" t="n">
        <v>0</v>
      </c>
      <c r="O346" t="n">
        <v>0</v>
      </c>
      <c r="P346" t="n">
        <v>0</v>
      </c>
      <c r="Q346" t="n">
        <v>0</v>
      </c>
      <c r="R346" s="2" t="inlineStr"/>
    </row>
    <row r="347" ht="15" customHeight="1">
      <c r="A347" t="inlineStr">
        <is>
          <t>A 36055-2024</t>
        </is>
      </c>
      <c r="B347" s="1" t="n">
        <v>45533.63056712963</v>
      </c>
      <c r="C347" s="1" t="n">
        <v>45994</v>
      </c>
      <c r="D347" t="inlineStr">
        <is>
          <t>KALMAR LÄN</t>
        </is>
      </c>
      <c r="E347" t="inlineStr">
        <is>
          <t>VIMMERBY</t>
        </is>
      </c>
      <c r="F347" t="inlineStr">
        <is>
          <t>Kommuner</t>
        </is>
      </c>
      <c r="G347" t="n">
        <v>1.9</v>
      </c>
      <c r="H347" t="n">
        <v>0</v>
      </c>
      <c r="I347" t="n">
        <v>0</v>
      </c>
      <c r="J347" t="n">
        <v>0</v>
      </c>
      <c r="K347" t="n">
        <v>0</v>
      </c>
      <c r="L347" t="n">
        <v>0</v>
      </c>
      <c r="M347" t="n">
        <v>0</v>
      </c>
      <c r="N347" t="n">
        <v>0</v>
      </c>
      <c r="O347" t="n">
        <v>0</v>
      </c>
      <c r="P347" t="n">
        <v>0</v>
      </c>
      <c r="Q347" t="n">
        <v>0</v>
      </c>
      <c r="R347" s="2" t="inlineStr"/>
    </row>
    <row r="348" ht="15" customHeight="1">
      <c r="A348" t="inlineStr">
        <is>
          <t>A 45560-2021</t>
        </is>
      </c>
      <c r="B348" s="1" t="n">
        <v>44440</v>
      </c>
      <c r="C348" s="1" t="n">
        <v>45994</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50860-2022</t>
        </is>
      </c>
      <c r="B349" s="1" t="n">
        <v>44867</v>
      </c>
      <c r="C349" s="1" t="n">
        <v>45994</v>
      </c>
      <c r="D349" t="inlineStr">
        <is>
          <t>KALMAR LÄN</t>
        </is>
      </c>
      <c r="E349" t="inlineStr">
        <is>
          <t>VIMMERBY</t>
        </is>
      </c>
      <c r="G349" t="n">
        <v>0.6</v>
      </c>
      <c r="H349" t="n">
        <v>0</v>
      </c>
      <c r="I349" t="n">
        <v>0</v>
      </c>
      <c r="J349" t="n">
        <v>0</v>
      </c>
      <c r="K349" t="n">
        <v>0</v>
      </c>
      <c r="L349" t="n">
        <v>0</v>
      </c>
      <c r="M349" t="n">
        <v>0</v>
      </c>
      <c r="N349" t="n">
        <v>0</v>
      </c>
      <c r="O349" t="n">
        <v>0</v>
      </c>
      <c r="P349" t="n">
        <v>0</v>
      </c>
      <c r="Q349" t="n">
        <v>0</v>
      </c>
      <c r="R349" s="2" t="inlineStr"/>
    </row>
    <row r="350" ht="15" customHeight="1">
      <c r="A350" t="inlineStr">
        <is>
          <t>A 40256-2024</t>
        </is>
      </c>
      <c r="B350" s="1" t="n">
        <v>45554.62944444444</v>
      </c>
      <c r="C350" s="1" t="n">
        <v>45994</v>
      </c>
      <c r="D350" t="inlineStr">
        <is>
          <t>KALMAR LÄN</t>
        </is>
      </c>
      <c r="E350" t="inlineStr">
        <is>
          <t>VIMMERBY</t>
        </is>
      </c>
      <c r="G350" t="n">
        <v>0.9</v>
      </c>
      <c r="H350" t="n">
        <v>0</v>
      </c>
      <c r="I350" t="n">
        <v>0</v>
      </c>
      <c r="J350" t="n">
        <v>0</v>
      </c>
      <c r="K350" t="n">
        <v>0</v>
      </c>
      <c r="L350" t="n">
        <v>0</v>
      </c>
      <c r="M350" t="n">
        <v>0</v>
      </c>
      <c r="N350" t="n">
        <v>0</v>
      </c>
      <c r="O350" t="n">
        <v>0</v>
      </c>
      <c r="P350" t="n">
        <v>0</v>
      </c>
      <c r="Q350" t="n">
        <v>0</v>
      </c>
      <c r="R350" s="2" t="inlineStr"/>
    </row>
    <row r="351" ht="15" customHeight="1">
      <c r="A351" t="inlineStr">
        <is>
          <t>A 25370-2022</t>
        </is>
      </c>
      <c r="B351" s="1" t="n">
        <v>44732.3659837963</v>
      </c>
      <c r="C351" s="1" t="n">
        <v>45994</v>
      </c>
      <c r="D351" t="inlineStr">
        <is>
          <t>KALMAR LÄN</t>
        </is>
      </c>
      <c r="E351" t="inlineStr">
        <is>
          <t>VIMMERBY</t>
        </is>
      </c>
      <c r="G351" t="n">
        <v>1.2</v>
      </c>
      <c r="H351" t="n">
        <v>0</v>
      </c>
      <c r="I351" t="n">
        <v>0</v>
      </c>
      <c r="J351" t="n">
        <v>0</v>
      </c>
      <c r="K351" t="n">
        <v>0</v>
      </c>
      <c r="L351" t="n">
        <v>0</v>
      </c>
      <c r="M351" t="n">
        <v>0</v>
      </c>
      <c r="N351" t="n">
        <v>0</v>
      </c>
      <c r="O351" t="n">
        <v>0</v>
      </c>
      <c r="P351" t="n">
        <v>0</v>
      </c>
      <c r="Q351" t="n">
        <v>0</v>
      </c>
      <c r="R351" s="2" t="inlineStr"/>
    </row>
    <row r="352" ht="15" customHeight="1">
      <c r="A352" t="inlineStr">
        <is>
          <t>A 58577-2024</t>
        </is>
      </c>
      <c r="B352" s="1" t="n">
        <v>45635.4874537037</v>
      </c>
      <c r="C352" s="1" t="n">
        <v>45994</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58104-2024</t>
        </is>
      </c>
      <c r="B353" s="1" t="n">
        <v>45632.37459490741</v>
      </c>
      <c r="C353" s="1" t="n">
        <v>45994</v>
      </c>
      <c r="D353" t="inlineStr">
        <is>
          <t>KALMAR LÄN</t>
        </is>
      </c>
      <c r="E353" t="inlineStr">
        <is>
          <t>VIMMERBY</t>
        </is>
      </c>
      <c r="G353" t="n">
        <v>5</v>
      </c>
      <c r="H353" t="n">
        <v>0</v>
      </c>
      <c r="I353" t="n">
        <v>0</v>
      </c>
      <c r="J353" t="n">
        <v>0</v>
      </c>
      <c r="K353" t="n">
        <v>0</v>
      </c>
      <c r="L353" t="n">
        <v>0</v>
      </c>
      <c r="M353" t="n">
        <v>0</v>
      </c>
      <c r="N353" t="n">
        <v>0</v>
      </c>
      <c r="O353" t="n">
        <v>0</v>
      </c>
      <c r="P353" t="n">
        <v>0</v>
      </c>
      <c r="Q353" t="n">
        <v>0</v>
      </c>
      <c r="R353" s="2" t="inlineStr"/>
    </row>
    <row r="354" ht="15" customHeight="1">
      <c r="A354" t="inlineStr">
        <is>
          <t>A 29440-2024</t>
        </is>
      </c>
      <c r="B354" s="1" t="n">
        <v>45483.82479166667</v>
      </c>
      <c r="C354" s="1" t="n">
        <v>45994</v>
      </c>
      <c r="D354" t="inlineStr">
        <is>
          <t>KALMAR LÄN</t>
        </is>
      </c>
      <c r="E354" t="inlineStr">
        <is>
          <t>VIMMERBY</t>
        </is>
      </c>
      <c r="G354" t="n">
        <v>4.5</v>
      </c>
      <c r="H354" t="n">
        <v>0</v>
      </c>
      <c r="I354" t="n">
        <v>0</v>
      </c>
      <c r="J354" t="n">
        <v>0</v>
      </c>
      <c r="K354" t="n">
        <v>0</v>
      </c>
      <c r="L354" t="n">
        <v>0</v>
      </c>
      <c r="M354" t="n">
        <v>0</v>
      </c>
      <c r="N354" t="n">
        <v>0</v>
      </c>
      <c r="O354" t="n">
        <v>0</v>
      </c>
      <c r="P354" t="n">
        <v>0</v>
      </c>
      <c r="Q354" t="n">
        <v>0</v>
      </c>
      <c r="R354" s="2" t="inlineStr"/>
    </row>
    <row r="355" ht="15" customHeight="1">
      <c r="A355" t="inlineStr">
        <is>
          <t>A 36259-2022</t>
        </is>
      </c>
      <c r="B355" s="1" t="n">
        <v>44803.59118055556</v>
      </c>
      <c r="C355" s="1" t="n">
        <v>45994</v>
      </c>
      <c r="D355" t="inlineStr">
        <is>
          <t>KALMAR LÄN</t>
        </is>
      </c>
      <c r="E355" t="inlineStr">
        <is>
          <t>VIMMERBY</t>
        </is>
      </c>
      <c r="G355" t="n">
        <v>3.9</v>
      </c>
      <c r="H355" t="n">
        <v>0</v>
      </c>
      <c r="I355" t="n">
        <v>0</v>
      </c>
      <c r="J355" t="n">
        <v>0</v>
      </c>
      <c r="K355" t="n">
        <v>0</v>
      </c>
      <c r="L355" t="n">
        <v>0</v>
      </c>
      <c r="M355" t="n">
        <v>0</v>
      </c>
      <c r="N355" t="n">
        <v>0</v>
      </c>
      <c r="O355" t="n">
        <v>0</v>
      </c>
      <c r="P355" t="n">
        <v>0</v>
      </c>
      <c r="Q355" t="n">
        <v>0</v>
      </c>
      <c r="R355" s="2" t="inlineStr"/>
    </row>
    <row r="356" ht="15" customHeight="1">
      <c r="A356" t="inlineStr">
        <is>
          <t>A 43034-2024</t>
        </is>
      </c>
      <c r="B356" s="1" t="n">
        <v>45567.42011574074</v>
      </c>
      <c r="C356" s="1" t="n">
        <v>45994</v>
      </c>
      <c r="D356" t="inlineStr">
        <is>
          <t>KALMAR LÄN</t>
        </is>
      </c>
      <c r="E356" t="inlineStr">
        <is>
          <t>VIMMERBY</t>
        </is>
      </c>
      <c r="G356" t="n">
        <v>1.8</v>
      </c>
      <c r="H356" t="n">
        <v>0</v>
      </c>
      <c r="I356" t="n">
        <v>0</v>
      </c>
      <c r="J356" t="n">
        <v>0</v>
      </c>
      <c r="K356" t="n">
        <v>0</v>
      </c>
      <c r="L356" t="n">
        <v>0</v>
      </c>
      <c r="M356" t="n">
        <v>0</v>
      </c>
      <c r="N356" t="n">
        <v>0</v>
      </c>
      <c r="O356" t="n">
        <v>0</v>
      </c>
      <c r="P356" t="n">
        <v>0</v>
      </c>
      <c r="Q356" t="n">
        <v>0</v>
      </c>
      <c r="R356" s="2" t="inlineStr"/>
    </row>
    <row r="357" ht="15" customHeight="1">
      <c r="A357" t="inlineStr">
        <is>
          <t>A 3902-2022</t>
        </is>
      </c>
      <c r="B357" s="1" t="n">
        <v>44587.48847222222</v>
      </c>
      <c r="C357" s="1" t="n">
        <v>45994</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27443-2023</t>
        </is>
      </c>
      <c r="B358" s="1" t="n">
        <v>45097.40524305555</v>
      </c>
      <c r="C358" s="1" t="n">
        <v>45994</v>
      </c>
      <c r="D358" t="inlineStr">
        <is>
          <t>KALMAR LÄN</t>
        </is>
      </c>
      <c r="E358" t="inlineStr">
        <is>
          <t>VIMMERBY</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30070-2023</t>
        </is>
      </c>
      <c r="B359" s="1" t="n">
        <v>45110.4275</v>
      </c>
      <c r="C359" s="1" t="n">
        <v>45994</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845-2023</t>
        </is>
      </c>
      <c r="B360" s="1" t="n">
        <v>44931</v>
      </c>
      <c r="C360" s="1" t="n">
        <v>45994</v>
      </c>
      <c r="D360" t="inlineStr">
        <is>
          <t>KALMAR LÄN</t>
        </is>
      </c>
      <c r="E360" t="inlineStr">
        <is>
          <t>VIMMERBY</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9129-2025</t>
        </is>
      </c>
      <c r="B361" s="1" t="n">
        <v>45713.92412037037</v>
      </c>
      <c r="C361" s="1" t="n">
        <v>45994</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22197-2024</t>
        </is>
      </c>
      <c r="B362" s="1" t="n">
        <v>45446.36774305555</v>
      </c>
      <c r="C362" s="1" t="n">
        <v>45994</v>
      </c>
      <c r="D362" t="inlineStr">
        <is>
          <t>KALMAR LÄN</t>
        </is>
      </c>
      <c r="E362" t="inlineStr">
        <is>
          <t>VIMMERBY</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53752-2024</t>
        </is>
      </c>
      <c r="B363" s="1" t="n">
        <v>45615.48927083334</v>
      </c>
      <c r="C363" s="1" t="n">
        <v>45994</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31209-2024</t>
        </is>
      </c>
      <c r="B364" s="1" t="n">
        <v>45503.5658912037</v>
      </c>
      <c r="C364" s="1" t="n">
        <v>45994</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6321-2023</t>
        </is>
      </c>
      <c r="B365" s="1" t="n">
        <v>44965.4815162037</v>
      </c>
      <c r="C365" s="1" t="n">
        <v>45994</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4624-2024</t>
        </is>
      </c>
      <c r="B366" s="1" t="n">
        <v>45328.38755787037</v>
      </c>
      <c r="C366" s="1" t="n">
        <v>45994</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12121-2025</t>
        </is>
      </c>
      <c r="B367" s="1" t="n">
        <v>45729.36868055556</v>
      </c>
      <c r="C367" s="1" t="n">
        <v>45994</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4527-2023</t>
        </is>
      </c>
      <c r="B368" s="1" t="n">
        <v>44956</v>
      </c>
      <c r="C368" s="1" t="n">
        <v>45994</v>
      </c>
      <c r="D368" t="inlineStr">
        <is>
          <t>KALMAR LÄN</t>
        </is>
      </c>
      <c r="E368" t="inlineStr">
        <is>
          <t>VIMMERBY</t>
        </is>
      </c>
      <c r="F368" t="inlineStr">
        <is>
          <t>Kommuner</t>
        </is>
      </c>
      <c r="G368" t="n">
        <v>8.5</v>
      </c>
      <c r="H368" t="n">
        <v>0</v>
      </c>
      <c r="I368" t="n">
        <v>0</v>
      </c>
      <c r="J368" t="n">
        <v>0</v>
      </c>
      <c r="K368" t="n">
        <v>0</v>
      </c>
      <c r="L368" t="n">
        <v>0</v>
      </c>
      <c r="M368" t="n">
        <v>0</v>
      </c>
      <c r="N368" t="n">
        <v>0</v>
      </c>
      <c r="O368" t="n">
        <v>0</v>
      </c>
      <c r="P368" t="n">
        <v>0</v>
      </c>
      <c r="Q368" t="n">
        <v>0</v>
      </c>
      <c r="R368" s="2" t="inlineStr"/>
    </row>
    <row r="369" ht="15" customHeight="1">
      <c r="A369" t="inlineStr">
        <is>
          <t>A 12586-2021</t>
        </is>
      </c>
      <c r="B369" s="1" t="n">
        <v>44270.38002314815</v>
      </c>
      <c r="C369" s="1" t="n">
        <v>45994</v>
      </c>
      <c r="D369" t="inlineStr">
        <is>
          <t>KALMAR LÄN</t>
        </is>
      </c>
      <c r="E369" t="inlineStr">
        <is>
          <t>VIMMERBY</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5864-2022</t>
        </is>
      </c>
      <c r="B370" s="1" t="n">
        <v>44596</v>
      </c>
      <c r="C370" s="1" t="n">
        <v>45994</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40730-2024</t>
        </is>
      </c>
      <c r="B371" s="1" t="n">
        <v>45558.44914351852</v>
      </c>
      <c r="C371" s="1" t="n">
        <v>45994</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9710-2023</t>
        </is>
      </c>
      <c r="B372" s="1" t="n">
        <v>44984</v>
      </c>
      <c r="C372" s="1" t="n">
        <v>45994</v>
      </c>
      <c r="D372" t="inlineStr">
        <is>
          <t>KALMAR LÄN</t>
        </is>
      </c>
      <c r="E372" t="inlineStr">
        <is>
          <t>VIMMERBY</t>
        </is>
      </c>
      <c r="G372" t="n">
        <v>3.7</v>
      </c>
      <c r="H372" t="n">
        <v>0</v>
      </c>
      <c r="I372" t="n">
        <v>0</v>
      </c>
      <c r="J372" t="n">
        <v>0</v>
      </c>
      <c r="K372" t="n">
        <v>0</v>
      </c>
      <c r="L372" t="n">
        <v>0</v>
      </c>
      <c r="M372" t="n">
        <v>0</v>
      </c>
      <c r="N372" t="n">
        <v>0</v>
      </c>
      <c r="O372" t="n">
        <v>0</v>
      </c>
      <c r="P372" t="n">
        <v>0</v>
      </c>
      <c r="Q372" t="n">
        <v>0</v>
      </c>
      <c r="R372" s="2" t="inlineStr"/>
    </row>
    <row r="373" ht="15" customHeight="1">
      <c r="A373" t="inlineStr">
        <is>
          <t>A 9720-2023</t>
        </is>
      </c>
      <c r="B373" s="1" t="n">
        <v>44984</v>
      </c>
      <c r="C373" s="1" t="n">
        <v>45994</v>
      </c>
      <c r="D373" t="inlineStr">
        <is>
          <t>KALMAR LÄN</t>
        </is>
      </c>
      <c r="E373" t="inlineStr">
        <is>
          <t>VIMMERBY</t>
        </is>
      </c>
      <c r="G373" t="n">
        <v>4.4</v>
      </c>
      <c r="H373" t="n">
        <v>0</v>
      </c>
      <c r="I373" t="n">
        <v>0</v>
      </c>
      <c r="J373" t="n">
        <v>0</v>
      </c>
      <c r="K373" t="n">
        <v>0</v>
      </c>
      <c r="L373" t="n">
        <v>0</v>
      </c>
      <c r="M373" t="n">
        <v>0</v>
      </c>
      <c r="N373" t="n">
        <v>0</v>
      </c>
      <c r="O373" t="n">
        <v>0</v>
      </c>
      <c r="P373" t="n">
        <v>0</v>
      </c>
      <c r="Q373" t="n">
        <v>0</v>
      </c>
      <c r="R373" s="2" t="inlineStr"/>
    </row>
    <row r="374" ht="15" customHeight="1">
      <c r="A374" t="inlineStr">
        <is>
          <t>A 2157-2024</t>
        </is>
      </c>
      <c r="B374" s="1" t="n">
        <v>45309.59487268519</v>
      </c>
      <c r="C374" s="1" t="n">
        <v>45994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30912-2023</t>
        </is>
      </c>
      <c r="B375" s="1" t="n">
        <v>45113.41633101852</v>
      </c>
      <c r="C375" s="1" t="n">
        <v>45994</v>
      </c>
      <c r="D375" t="inlineStr">
        <is>
          <t>KALMAR LÄN</t>
        </is>
      </c>
      <c r="E375" t="inlineStr">
        <is>
          <t>VIMMERBY</t>
        </is>
      </c>
      <c r="G375" t="n">
        <v>5</v>
      </c>
      <c r="H375" t="n">
        <v>0</v>
      </c>
      <c r="I375" t="n">
        <v>0</v>
      </c>
      <c r="J375" t="n">
        <v>0</v>
      </c>
      <c r="K375" t="n">
        <v>0</v>
      </c>
      <c r="L375" t="n">
        <v>0</v>
      </c>
      <c r="M375" t="n">
        <v>0</v>
      </c>
      <c r="N375" t="n">
        <v>0</v>
      </c>
      <c r="O375" t="n">
        <v>0</v>
      </c>
      <c r="P375" t="n">
        <v>0</v>
      </c>
      <c r="Q375" t="n">
        <v>0</v>
      </c>
      <c r="R375" s="2" t="inlineStr"/>
    </row>
    <row r="376" ht="15" customHeight="1">
      <c r="A376" t="inlineStr">
        <is>
          <t>A 15493-2023</t>
        </is>
      </c>
      <c r="B376" s="1" t="n">
        <v>45018</v>
      </c>
      <c r="C376" s="1" t="n">
        <v>45994</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1146-2025</t>
        </is>
      </c>
      <c r="B377" s="1" t="n">
        <v>45666</v>
      </c>
      <c r="C377" s="1" t="n">
        <v>45994</v>
      </c>
      <c r="D377" t="inlineStr">
        <is>
          <t>KALMAR LÄN</t>
        </is>
      </c>
      <c r="E377" t="inlineStr">
        <is>
          <t>VIMMERBY</t>
        </is>
      </c>
      <c r="G377" t="n">
        <v>4</v>
      </c>
      <c r="H377" t="n">
        <v>0</v>
      </c>
      <c r="I377" t="n">
        <v>0</v>
      </c>
      <c r="J377" t="n">
        <v>0</v>
      </c>
      <c r="K377" t="n">
        <v>0</v>
      </c>
      <c r="L377" t="n">
        <v>0</v>
      </c>
      <c r="M377" t="n">
        <v>0</v>
      </c>
      <c r="N377" t="n">
        <v>0</v>
      </c>
      <c r="O377" t="n">
        <v>0</v>
      </c>
      <c r="P377" t="n">
        <v>0</v>
      </c>
      <c r="Q377" t="n">
        <v>0</v>
      </c>
      <c r="R377" s="2" t="inlineStr"/>
    </row>
    <row r="378" ht="15" customHeight="1">
      <c r="A378" t="inlineStr">
        <is>
          <t>A 49461-2022</t>
        </is>
      </c>
      <c r="B378" s="1" t="n">
        <v>44861</v>
      </c>
      <c r="C378" s="1" t="n">
        <v>45994</v>
      </c>
      <c r="D378" t="inlineStr">
        <is>
          <t>KALMAR LÄN</t>
        </is>
      </c>
      <c r="E378" t="inlineStr">
        <is>
          <t>VIMMERBY</t>
        </is>
      </c>
      <c r="G378" t="n">
        <v>3.2</v>
      </c>
      <c r="H378" t="n">
        <v>0</v>
      </c>
      <c r="I378" t="n">
        <v>0</v>
      </c>
      <c r="J378" t="n">
        <v>0</v>
      </c>
      <c r="K378" t="n">
        <v>0</v>
      </c>
      <c r="L378" t="n">
        <v>0</v>
      </c>
      <c r="M378" t="n">
        <v>0</v>
      </c>
      <c r="N378" t="n">
        <v>0</v>
      </c>
      <c r="O378" t="n">
        <v>0</v>
      </c>
      <c r="P378" t="n">
        <v>0</v>
      </c>
      <c r="Q378" t="n">
        <v>0</v>
      </c>
      <c r="R378" s="2" t="inlineStr"/>
    </row>
    <row r="379" ht="15" customHeight="1">
      <c r="A379" t="inlineStr">
        <is>
          <t>A 694-2024</t>
        </is>
      </c>
      <c r="B379" s="1" t="n">
        <v>45300.3794212963</v>
      </c>
      <c r="C379" s="1" t="n">
        <v>45994</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62023-2022</t>
        </is>
      </c>
      <c r="B380" s="1" t="n">
        <v>44918.50106481482</v>
      </c>
      <c r="C380" s="1" t="n">
        <v>45994</v>
      </c>
      <c r="D380" t="inlineStr">
        <is>
          <t>KALMAR LÄN</t>
        </is>
      </c>
      <c r="E380" t="inlineStr">
        <is>
          <t>VIMMERBY</t>
        </is>
      </c>
      <c r="G380" t="n">
        <v>0.3</v>
      </c>
      <c r="H380" t="n">
        <v>0</v>
      </c>
      <c r="I380" t="n">
        <v>0</v>
      </c>
      <c r="J380" t="n">
        <v>0</v>
      </c>
      <c r="K380" t="n">
        <v>0</v>
      </c>
      <c r="L380" t="n">
        <v>0</v>
      </c>
      <c r="M380" t="n">
        <v>0</v>
      </c>
      <c r="N380" t="n">
        <v>0</v>
      </c>
      <c r="O380" t="n">
        <v>0</v>
      </c>
      <c r="P380" t="n">
        <v>0</v>
      </c>
      <c r="Q380" t="n">
        <v>0</v>
      </c>
      <c r="R380" s="2" t="inlineStr"/>
    </row>
    <row r="381" ht="15" customHeight="1">
      <c r="A381" t="inlineStr">
        <is>
          <t>A 59598-2023</t>
        </is>
      </c>
      <c r="B381" s="1" t="n">
        <v>45254.62489583333</v>
      </c>
      <c r="C381" s="1" t="n">
        <v>45994</v>
      </c>
      <c r="D381" t="inlineStr">
        <is>
          <t>KALMAR LÄN</t>
        </is>
      </c>
      <c r="E381" t="inlineStr">
        <is>
          <t>VIMMERBY</t>
        </is>
      </c>
      <c r="F381" t="inlineStr">
        <is>
          <t>Övriga Aktiebolag</t>
        </is>
      </c>
      <c r="G381" t="n">
        <v>4</v>
      </c>
      <c r="H381" t="n">
        <v>0</v>
      </c>
      <c r="I381" t="n">
        <v>0</v>
      </c>
      <c r="J381" t="n">
        <v>0</v>
      </c>
      <c r="K381" t="n">
        <v>0</v>
      </c>
      <c r="L381" t="n">
        <v>0</v>
      </c>
      <c r="M381" t="n">
        <v>0</v>
      </c>
      <c r="N381" t="n">
        <v>0</v>
      </c>
      <c r="O381" t="n">
        <v>0</v>
      </c>
      <c r="P381" t="n">
        <v>0</v>
      </c>
      <c r="Q381" t="n">
        <v>0</v>
      </c>
      <c r="R381" s="2" t="inlineStr"/>
    </row>
    <row r="382" ht="15" customHeight="1">
      <c r="A382" t="inlineStr">
        <is>
          <t>A 7944-2024</t>
        </is>
      </c>
      <c r="B382" s="1" t="n">
        <v>45350.53306712963</v>
      </c>
      <c r="C382" s="1" t="n">
        <v>45994</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16119-2023</t>
        </is>
      </c>
      <c r="B383" s="1" t="n">
        <v>45027.59450231482</v>
      </c>
      <c r="C383" s="1" t="n">
        <v>45994</v>
      </c>
      <c r="D383" t="inlineStr">
        <is>
          <t>KALMAR LÄN</t>
        </is>
      </c>
      <c r="E383" t="inlineStr">
        <is>
          <t>VIMMERBY</t>
        </is>
      </c>
      <c r="F383" t="inlineStr">
        <is>
          <t>Kommuner</t>
        </is>
      </c>
      <c r="G383" t="n">
        <v>4.4</v>
      </c>
      <c r="H383" t="n">
        <v>0</v>
      </c>
      <c r="I383" t="n">
        <v>0</v>
      </c>
      <c r="J383" t="n">
        <v>0</v>
      </c>
      <c r="K383" t="n">
        <v>0</v>
      </c>
      <c r="L383" t="n">
        <v>0</v>
      </c>
      <c r="M383" t="n">
        <v>0</v>
      </c>
      <c r="N383" t="n">
        <v>0</v>
      </c>
      <c r="O383" t="n">
        <v>0</v>
      </c>
      <c r="P383" t="n">
        <v>0</v>
      </c>
      <c r="Q383" t="n">
        <v>0</v>
      </c>
      <c r="R383" s="2" t="inlineStr"/>
    </row>
    <row r="384" ht="15" customHeight="1">
      <c r="A384" t="inlineStr">
        <is>
          <t>A 29093-2023</t>
        </is>
      </c>
      <c r="B384" s="1" t="n">
        <v>45105</v>
      </c>
      <c r="C384" s="1" t="n">
        <v>45994</v>
      </c>
      <c r="D384" t="inlineStr">
        <is>
          <t>KALMAR LÄN</t>
        </is>
      </c>
      <c r="E384" t="inlineStr">
        <is>
          <t>VIMMERBY</t>
        </is>
      </c>
      <c r="G384" t="n">
        <v>2.9</v>
      </c>
      <c r="H384" t="n">
        <v>0</v>
      </c>
      <c r="I384" t="n">
        <v>0</v>
      </c>
      <c r="J384" t="n">
        <v>0</v>
      </c>
      <c r="K384" t="n">
        <v>0</v>
      </c>
      <c r="L384" t="n">
        <v>0</v>
      </c>
      <c r="M384" t="n">
        <v>0</v>
      </c>
      <c r="N384" t="n">
        <v>0</v>
      </c>
      <c r="O384" t="n">
        <v>0</v>
      </c>
      <c r="P384" t="n">
        <v>0</v>
      </c>
      <c r="Q384" t="n">
        <v>0</v>
      </c>
      <c r="R384" s="2" t="inlineStr"/>
    </row>
    <row r="385" ht="15" customHeight="1">
      <c r="A385" t="inlineStr">
        <is>
          <t>A 33352-2022</t>
        </is>
      </c>
      <c r="B385" s="1" t="n">
        <v>44788</v>
      </c>
      <c r="C385" s="1" t="n">
        <v>45994</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21496-2023</t>
        </is>
      </c>
      <c r="B386" s="1" t="n">
        <v>45063.49936342592</v>
      </c>
      <c r="C386" s="1" t="n">
        <v>45994</v>
      </c>
      <c r="D386" t="inlineStr">
        <is>
          <t>KALMAR LÄN</t>
        </is>
      </c>
      <c r="E386" t="inlineStr">
        <is>
          <t>VIMMERBY</t>
        </is>
      </c>
      <c r="G386" t="n">
        <v>1.1</v>
      </c>
      <c r="H386" t="n">
        <v>0</v>
      </c>
      <c r="I386" t="n">
        <v>0</v>
      </c>
      <c r="J386" t="n">
        <v>0</v>
      </c>
      <c r="K386" t="n">
        <v>0</v>
      </c>
      <c r="L386" t="n">
        <v>0</v>
      </c>
      <c r="M386" t="n">
        <v>0</v>
      </c>
      <c r="N386" t="n">
        <v>0</v>
      </c>
      <c r="O386" t="n">
        <v>0</v>
      </c>
      <c r="P386" t="n">
        <v>0</v>
      </c>
      <c r="Q386" t="n">
        <v>0</v>
      </c>
      <c r="R386" s="2" t="inlineStr"/>
    </row>
    <row r="387" ht="15" customHeight="1">
      <c r="A387" t="inlineStr">
        <is>
          <t>A 52327-2023</t>
        </is>
      </c>
      <c r="B387" s="1" t="n">
        <v>45224.6515162037</v>
      </c>
      <c r="C387" s="1" t="n">
        <v>45994</v>
      </c>
      <c r="D387" t="inlineStr">
        <is>
          <t>KALMAR LÄN</t>
        </is>
      </c>
      <c r="E387" t="inlineStr">
        <is>
          <t>VIMMERBY</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10674-2021</t>
        </is>
      </c>
      <c r="B388" s="1" t="n">
        <v>44258</v>
      </c>
      <c r="C388" s="1" t="n">
        <v>45994</v>
      </c>
      <c r="D388" t="inlineStr">
        <is>
          <t>KALMAR LÄN</t>
        </is>
      </c>
      <c r="E388" t="inlineStr">
        <is>
          <t>VIMMERBY</t>
        </is>
      </c>
      <c r="G388" t="n">
        <v>8.4</v>
      </c>
      <c r="H388" t="n">
        <v>0</v>
      </c>
      <c r="I388" t="n">
        <v>0</v>
      </c>
      <c r="J388" t="n">
        <v>0</v>
      </c>
      <c r="K388" t="n">
        <v>0</v>
      </c>
      <c r="L388" t="n">
        <v>0</v>
      </c>
      <c r="M388" t="n">
        <v>0</v>
      </c>
      <c r="N388" t="n">
        <v>0</v>
      </c>
      <c r="O388" t="n">
        <v>0</v>
      </c>
      <c r="P388" t="n">
        <v>0</v>
      </c>
      <c r="Q388" t="n">
        <v>0</v>
      </c>
      <c r="R388" s="2" t="inlineStr"/>
    </row>
    <row r="389" ht="15" customHeight="1">
      <c r="A389" t="inlineStr">
        <is>
          <t>A 12075-2024</t>
        </is>
      </c>
      <c r="B389" s="1" t="n">
        <v>45377</v>
      </c>
      <c r="C389" s="1" t="n">
        <v>45994</v>
      </c>
      <c r="D389" t="inlineStr">
        <is>
          <t>KALMAR LÄN</t>
        </is>
      </c>
      <c r="E389" t="inlineStr">
        <is>
          <t>VIMMERBY</t>
        </is>
      </c>
      <c r="G389" t="n">
        <v>3.7</v>
      </c>
      <c r="H389" t="n">
        <v>0</v>
      </c>
      <c r="I389" t="n">
        <v>0</v>
      </c>
      <c r="J389" t="n">
        <v>0</v>
      </c>
      <c r="K389" t="n">
        <v>0</v>
      </c>
      <c r="L389" t="n">
        <v>0</v>
      </c>
      <c r="M389" t="n">
        <v>0</v>
      </c>
      <c r="N389" t="n">
        <v>0</v>
      </c>
      <c r="O389" t="n">
        <v>0</v>
      </c>
      <c r="P389" t="n">
        <v>0</v>
      </c>
      <c r="Q389" t="n">
        <v>0</v>
      </c>
      <c r="R389" s="2" t="inlineStr"/>
    </row>
    <row r="390" ht="15" customHeight="1">
      <c r="A390" t="inlineStr">
        <is>
          <t>A 22264-2023</t>
        </is>
      </c>
      <c r="B390" s="1" t="n">
        <v>45070.3665625</v>
      </c>
      <c r="C390" s="1" t="n">
        <v>45994</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29348-2023</t>
        </is>
      </c>
      <c r="B391" s="1" t="n">
        <v>45106.25025462963</v>
      </c>
      <c r="C391" s="1" t="n">
        <v>45994</v>
      </c>
      <c r="D391" t="inlineStr">
        <is>
          <t>KALMAR LÄN</t>
        </is>
      </c>
      <c r="E391" t="inlineStr">
        <is>
          <t>VIMMERBY</t>
        </is>
      </c>
      <c r="G391" t="n">
        <v>2.4</v>
      </c>
      <c r="H391" t="n">
        <v>0</v>
      </c>
      <c r="I391" t="n">
        <v>0</v>
      </c>
      <c r="J391" t="n">
        <v>0</v>
      </c>
      <c r="K391" t="n">
        <v>0</v>
      </c>
      <c r="L391" t="n">
        <v>0</v>
      </c>
      <c r="M391" t="n">
        <v>0</v>
      </c>
      <c r="N391" t="n">
        <v>0</v>
      </c>
      <c r="O391" t="n">
        <v>0</v>
      </c>
      <c r="P391" t="n">
        <v>0</v>
      </c>
      <c r="Q391" t="n">
        <v>0</v>
      </c>
      <c r="R391" s="2" t="inlineStr"/>
    </row>
    <row r="392" ht="15" customHeight="1">
      <c r="A392" t="inlineStr">
        <is>
          <t>A 16676-2023</t>
        </is>
      </c>
      <c r="B392" s="1" t="n">
        <v>45028</v>
      </c>
      <c r="C392" s="1" t="n">
        <v>45994</v>
      </c>
      <c r="D392" t="inlineStr">
        <is>
          <t>KALMAR LÄN</t>
        </is>
      </c>
      <c r="E392" t="inlineStr">
        <is>
          <t>VIMMERBY</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31340-2023</t>
        </is>
      </c>
      <c r="B393" s="1" t="n">
        <v>45114.47895833333</v>
      </c>
      <c r="C393" s="1" t="n">
        <v>45994</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6220-2025</t>
        </is>
      </c>
      <c r="B394" s="1" t="n">
        <v>45698.53725694444</v>
      </c>
      <c r="C394" s="1" t="n">
        <v>45994</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24096-2024</t>
        </is>
      </c>
      <c r="B395" s="1" t="n">
        <v>45456.59289351852</v>
      </c>
      <c r="C395" s="1" t="n">
        <v>45994</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29783-2024</t>
        </is>
      </c>
      <c r="B396" s="1" t="n">
        <v>45485.45778935185</v>
      </c>
      <c r="C396" s="1" t="n">
        <v>45994</v>
      </c>
      <c r="D396" t="inlineStr">
        <is>
          <t>KALMAR LÄN</t>
        </is>
      </c>
      <c r="E396" t="inlineStr">
        <is>
          <t>VIMMERBY</t>
        </is>
      </c>
      <c r="G396" t="n">
        <v>3.1</v>
      </c>
      <c r="H396" t="n">
        <v>0</v>
      </c>
      <c r="I396" t="n">
        <v>0</v>
      </c>
      <c r="J396" t="n">
        <v>0</v>
      </c>
      <c r="K396" t="n">
        <v>0</v>
      </c>
      <c r="L396" t="n">
        <v>0</v>
      </c>
      <c r="M396" t="n">
        <v>0</v>
      </c>
      <c r="N396" t="n">
        <v>0</v>
      </c>
      <c r="O396" t="n">
        <v>0</v>
      </c>
      <c r="P396" t="n">
        <v>0</v>
      </c>
      <c r="Q396" t="n">
        <v>0</v>
      </c>
      <c r="R396" s="2" t="inlineStr"/>
    </row>
    <row r="397" ht="15" customHeight="1">
      <c r="A397" t="inlineStr">
        <is>
          <t>A 29013-2024</t>
        </is>
      </c>
      <c r="B397" s="1" t="n">
        <v>45481.55984953704</v>
      </c>
      <c r="C397" s="1" t="n">
        <v>45994</v>
      </c>
      <c r="D397" t="inlineStr">
        <is>
          <t>KALMAR LÄN</t>
        </is>
      </c>
      <c r="E397" t="inlineStr">
        <is>
          <t>VIMMERBY</t>
        </is>
      </c>
      <c r="G397" t="n">
        <v>3.4</v>
      </c>
      <c r="H397" t="n">
        <v>0</v>
      </c>
      <c r="I397" t="n">
        <v>0</v>
      </c>
      <c r="J397" t="n">
        <v>0</v>
      </c>
      <c r="K397" t="n">
        <v>0</v>
      </c>
      <c r="L397" t="n">
        <v>0</v>
      </c>
      <c r="M397" t="n">
        <v>0</v>
      </c>
      <c r="N397" t="n">
        <v>0</v>
      </c>
      <c r="O397" t="n">
        <v>0</v>
      </c>
      <c r="P397" t="n">
        <v>0</v>
      </c>
      <c r="Q397" t="n">
        <v>0</v>
      </c>
      <c r="R397" s="2" t="inlineStr"/>
    </row>
    <row r="398" ht="15" customHeight="1">
      <c r="A398" t="inlineStr">
        <is>
          <t>A 6066-2023</t>
        </is>
      </c>
      <c r="B398" s="1" t="n">
        <v>44964.50894675926</v>
      </c>
      <c r="C398" s="1" t="n">
        <v>45994</v>
      </c>
      <c r="D398" t="inlineStr">
        <is>
          <t>KALMAR LÄN</t>
        </is>
      </c>
      <c r="E398" t="inlineStr">
        <is>
          <t>VIMMERBY</t>
        </is>
      </c>
      <c r="G398" t="n">
        <v>2.8</v>
      </c>
      <c r="H398" t="n">
        <v>0</v>
      </c>
      <c r="I398" t="n">
        <v>0</v>
      </c>
      <c r="J398" t="n">
        <v>0</v>
      </c>
      <c r="K398" t="n">
        <v>0</v>
      </c>
      <c r="L398" t="n">
        <v>0</v>
      </c>
      <c r="M398" t="n">
        <v>0</v>
      </c>
      <c r="N398" t="n">
        <v>0</v>
      </c>
      <c r="O398" t="n">
        <v>0</v>
      </c>
      <c r="P398" t="n">
        <v>0</v>
      </c>
      <c r="Q398" t="n">
        <v>0</v>
      </c>
      <c r="R398" s="2" t="inlineStr"/>
    </row>
    <row r="399" ht="15" customHeight="1">
      <c r="A399" t="inlineStr">
        <is>
          <t>A 59955-2023</t>
        </is>
      </c>
      <c r="B399" s="1" t="n">
        <v>45257.70313657408</v>
      </c>
      <c r="C399" s="1" t="n">
        <v>45994</v>
      </c>
      <c r="D399" t="inlineStr">
        <is>
          <t>KALMAR LÄN</t>
        </is>
      </c>
      <c r="E399" t="inlineStr">
        <is>
          <t>VIMMERBY</t>
        </is>
      </c>
      <c r="G399" t="n">
        <v>13.8</v>
      </c>
      <c r="H399" t="n">
        <v>0</v>
      </c>
      <c r="I399" t="n">
        <v>0</v>
      </c>
      <c r="J399" t="n">
        <v>0</v>
      </c>
      <c r="K399" t="n">
        <v>0</v>
      </c>
      <c r="L399" t="n">
        <v>0</v>
      </c>
      <c r="M399" t="n">
        <v>0</v>
      </c>
      <c r="N399" t="n">
        <v>0</v>
      </c>
      <c r="O399" t="n">
        <v>0</v>
      </c>
      <c r="P399" t="n">
        <v>0</v>
      </c>
      <c r="Q399" t="n">
        <v>0</v>
      </c>
      <c r="R399" s="2" t="inlineStr"/>
    </row>
    <row r="400" ht="15" customHeight="1">
      <c r="A400" t="inlineStr">
        <is>
          <t>A 36040-2024</t>
        </is>
      </c>
      <c r="B400" s="1" t="n">
        <v>45533.60232638889</v>
      </c>
      <c r="C400" s="1" t="n">
        <v>45994</v>
      </c>
      <c r="D400" t="inlineStr">
        <is>
          <t>KALMAR LÄN</t>
        </is>
      </c>
      <c r="E400" t="inlineStr">
        <is>
          <t>VIMMERBY</t>
        </is>
      </c>
      <c r="F400" t="inlineStr">
        <is>
          <t>Kommuner</t>
        </is>
      </c>
      <c r="G400" t="n">
        <v>3.6</v>
      </c>
      <c r="H400" t="n">
        <v>0</v>
      </c>
      <c r="I400" t="n">
        <v>0</v>
      </c>
      <c r="J400" t="n">
        <v>0</v>
      </c>
      <c r="K400" t="n">
        <v>0</v>
      </c>
      <c r="L400" t="n">
        <v>0</v>
      </c>
      <c r="M400" t="n">
        <v>0</v>
      </c>
      <c r="N400" t="n">
        <v>0</v>
      </c>
      <c r="O400" t="n">
        <v>0</v>
      </c>
      <c r="P400" t="n">
        <v>0</v>
      </c>
      <c r="Q400" t="n">
        <v>0</v>
      </c>
      <c r="R400" s="2" t="inlineStr"/>
    </row>
    <row r="401" ht="15" customHeight="1">
      <c r="A401" t="inlineStr">
        <is>
          <t>A 36043-2024</t>
        </is>
      </c>
      <c r="B401" s="1" t="n">
        <v>45533.60770833334</v>
      </c>
      <c r="C401" s="1" t="n">
        <v>45994</v>
      </c>
      <c r="D401" t="inlineStr">
        <is>
          <t>KALMAR LÄN</t>
        </is>
      </c>
      <c r="E401" t="inlineStr">
        <is>
          <t>VIMMERBY</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12890-2023</t>
        </is>
      </c>
      <c r="B402" s="1" t="n">
        <v>45001.59209490741</v>
      </c>
      <c r="C402" s="1" t="n">
        <v>45994</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43594-2024</t>
        </is>
      </c>
      <c r="B403" s="1" t="n">
        <v>45569.44295138889</v>
      </c>
      <c r="C403" s="1" t="n">
        <v>45994</v>
      </c>
      <c r="D403" t="inlineStr">
        <is>
          <t>KALMAR LÄN</t>
        </is>
      </c>
      <c r="E403" t="inlineStr">
        <is>
          <t>VIMMERBY</t>
        </is>
      </c>
      <c r="G403" t="n">
        <v>3.9</v>
      </c>
      <c r="H403" t="n">
        <v>0</v>
      </c>
      <c r="I403" t="n">
        <v>0</v>
      </c>
      <c r="J403" t="n">
        <v>0</v>
      </c>
      <c r="K403" t="n">
        <v>0</v>
      </c>
      <c r="L403" t="n">
        <v>0</v>
      </c>
      <c r="M403" t="n">
        <v>0</v>
      </c>
      <c r="N403" t="n">
        <v>0</v>
      </c>
      <c r="O403" t="n">
        <v>0</v>
      </c>
      <c r="P403" t="n">
        <v>0</v>
      </c>
      <c r="Q403" t="n">
        <v>0</v>
      </c>
      <c r="R403" s="2" t="inlineStr"/>
    </row>
    <row r="404" ht="15" customHeight="1">
      <c r="A404" t="inlineStr">
        <is>
          <t>A 53482-2022</t>
        </is>
      </c>
      <c r="B404" s="1" t="n">
        <v>44879</v>
      </c>
      <c r="C404" s="1" t="n">
        <v>45994</v>
      </c>
      <c r="D404" t="inlineStr">
        <is>
          <t>KALMAR LÄN</t>
        </is>
      </c>
      <c r="E404" t="inlineStr">
        <is>
          <t>VIMMERBY</t>
        </is>
      </c>
      <c r="G404" t="n">
        <v>10.1</v>
      </c>
      <c r="H404" t="n">
        <v>0</v>
      </c>
      <c r="I404" t="n">
        <v>0</v>
      </c>
      <c r="J404" t="n">
        <v>0</v>
      </c>
      <c r="K404" t="n">
        <v>0</v>
      </c>
      <c r="L404" t="n">
        <v>0</v>
      </c>
      <c r="M404" t="n">
        <v>0</v>
      </c>
      <c r="N404" t="n">
        <v>0</v>
      </c>
      <c r="O404" t="n">
        <v>0</v>
      </c>
      <c r="P404" t="n">
        <v>0</v>
      </c>
      <c r="Q404" t="n">
        <v>0</v>
      </c>
      <c r="R404" s="2" t="inlineStr"/>
    </row>
    <row r="405" ht="15" customHeight="1">
      <c r="A405" t="inlineStr">
        <is>
          <t>A 35198-2023</t>
        </is>
      </c>
      <c r="B405" s="1" t="n">
        <v>45145</v>
      </c>
      <c r="C405" s="1" t="n">
        <v>45994</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43853-2023</t>
        </is>
      </c>
      <c r="B406" s="1" t="n">
        <v>45187.60813657408</v>
      </c>
      <c r="C406" s="1" t="n">
        <v>45994</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27761-2024</t>
        </is>
      </c>
      <c r="B407" s="1" t="n">
        <v>45475.49018518518</v>
      </c>
      <c r="C407" s="1" t="n">
        <v>45994</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64203-2021</t>
        </is>
      </c>
      <c r="B408" s="1" t="n">
        <v>44510.60921296296</v>
      </c>
      <c r="C408" s="1" t="n">
        <v>45994</v>
      </c>
      <c r="D408" t="inlineStr">
        <is>
          <t>KALMAR LÄN</t>
        </is>
      </c>
      <c r="E408" t="inlineStr">
        <is>
          <t>VIMMERBY</t>
        </is>
      </c>
      <c r="F408" t="inlineStr">
        <is>
          <t>Övriga Aktiebolag</t>
        </is>
      </c>
      <c r="G408" t="n">
        <v>5.4</v>
      </c>
      <c r="H408" t="n">
        <v>0</v>
      </c>
      <c r="I408" t="n">
        <v>0</v>
      </c>
      <c r="J408" t="n">
        <v>0</v>
      </c>
      <c r="K408" t="n">
        <v>0</v>
      </c>
      <c r="L408" t="n">
        <v>0</v>
      </c>
      <c r="M408" t="n">
        <v>0</v>
      </c>
      <c r="N408" t="n">
        <v>0</v>
      </c>
      <c r="O408" t="n">
        <v>0</v>
      </c>
      <c r="P408" t="n">
        <v>0</v>
      </c>
      <c r="Q408" t="n">
        <v>0</v>
      </c>
      <c r="R408" s="2" t="inlineStr"/>
    </row>
    <row r="409" ht="15" customHeight="1">
      <c r="A409" t="inlineStr">
        <is>
          <t>A 7758-2024</t>
        </is>
      </c>
      <c r="B409" s="1" t="n">
        <v>45349.54434027777</v>
      </c>
      <c r="C409" s="1" t="n">
        <v>45994</v>
      </c>
      <c r="D409" t="inlineStr">
        <is>
          <t>KALMAR LÄN</t>
        </is>
      </c>
      <c r="E409" t="inlineStr">
        <is>
          <t>VIMMERBY</t>
        </is>
      </c>
      <c r="G409" t="n">
        <v>3.5</v>
      </c>
      <c r="H409" t="n">
        <v>0</v>
      </c>
      <c r="I409" t="n">
        <v>0</v>
      </c>
      <c r="J409" t="n">
        <v>0</v>
      </c>
      <c r="K409" t="n">
        <v>0</v>
      </c>
      <c r="L409" t="n">
        <v>0</v>
      </c>
      <c r="M409" t="n">
        <v>0</v>
      </c>
      <c r="N409" t="n">
        <v>0</v>
      </c>
      <c r="O409" t="n">
        <v>0</v>
      </c>
      <c r="P409" t="n">
        <v>0</v>
      </c>
      <c r="Q409" t="n">
        <v>0</v>
      </c>
      <c r="R409" s="2" t="inlineStr"/>
    </row>
    <row r="410" ht="15" customHeight="1">
      <c r="A410" t="inlineStr">
        <is>
          <t>A 5720-2023</t>
        </is>
      </c>
      <c r="B410" s="1" t="n">
        <v>44961</v>
      </c>
      <c r="C410" s="1" t="n">
        <v>45994</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5701-2024</t>
        </is>
      </c>
      <c r="B411" s="1" t="n">
        <v>45334.78826388889</v>
      </c>
      <c r="C411" s="1" t="n">
        <v>45994</v>
      </c>
      <c r="D411" t="inlineStr">
        <is>
          <t>KALMAR LÄN</t>
        </is>
      </c>
      <c r="E411" t="inlineStr">
        <is>
          <t>VIMMERBY</t>
        </is>
      </c>
      <c r="G411" t="n">
        <v>2.3</v>
      </c>
      <c r="H411" t="n">
        <v>0</v>
      </c>
      <c r="I411" t="n">
        <v>0</v>
      </c>
      <c r="J411" t="n">
        <v>0</v>
      </c>
      <c r="K411" t="n">
        <v>0</v>
      </c>
      <c r="L411" t="n">
        <v>0</v>
      </c>
      <c r="M411" t="n">
        <v>0</v>
      </c>
      <c r="N411" t="n">
        <v>0</v>
      </c>
      <c r="O411" t="n">
        <v>0</v>
      </c>
      <c r="P411" t="n">
        <v>0</v>
      </c>
      <c r="Q411" t="n">
        <v>0</v>
      </c>
      <c r="R411" s="2" t="inlineStr"/>
    </row>
    <row r="412" ht="15" customHeight="1">
      <c r="A412" t="inlineStr">
        <is>
          <t>A 9643-2023</t>
        </is>
      </c>
      <c r="B412" s="1" t="n">
        <v>44984</v>
      </c>
      <c r="C412" s="1" t="n">
        <v>45994</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25728-2023</t>
        </is>
      </c>
      <c r="B413" s="1" t="n">
        <v>45090.38012731481</v>
      </c>
      <c r="C413" s="1" t="n">
        <v>45994</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31405-2023</t>
        </is>
      </c>
      <c r="B414" s="1" t="n">
        <v>45114.58148148148</v>
      </c>
      <c r="C414" s="1" t="n">
        <v>45994</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6355-2022</t>
        </is>
      </c>
      <c r="B415" s="1" t="n">
        <v>44600</v>
      </c>
      <c r="C415" s="1" t="n">
        <v>45994</v>
      </c>
      <c r="D415" t="inlineStr">
        <is>
          <t>KALMAR LÄN</t>
        </is>
      </c>
      <c r="E415" t="inlineStr">
        <is>
          <t>VIMMERBY</t>
        </is>
      </c>
      <c r="G415" t="n">
        <v>4.9</v>
      </c>
      <c r="H415" t="n">
        <v>0</v>
      </c>
      <c r="I415" t="n">
        <v>0</v>
      </c>
      <c r="J415" t="n">
        <v>0</v>
      </c>
      <c r="K415" t="n">
        <v>0</v>
      </c>
      <c r="L415" t="n">
        <v>0</v>
      </c>
      <c r="M415" t="n">
        <v>0</v>
      </c>
      <c r="N415" t="n">
        <v>0</v>
      </c>
      <c r="O415" t="n">
        <v>0</v>
      </c>
      <c r="P415" t="n">
        <v>0</v>
      </c>
      <c r="Q415" t="n">
        <v>0</v>
      </c>
      <c r="R415" s="2" t="inlineStr"/>
    </row>
    <row r="416" ht="15" customHeight="1">
      <c r="A416" t="inlineStr">
        <is>
          <t>A 9511-2023</t>
        </is>
      </c>
      <c r="B416" s="1" t="n">
        <v>44981.64725694444</v>
      </c>
      <c r="C416" s="1" t="n">
        <v>45994</v>
      </c>
      <c r="D416" t="inlineStr">
        <is>
          <t>KALMAR LÄN</t>
        </is>
      </c>
      <c r="E416" t="inlineStr">
        <is>
          <t>VIMMERBY</t>
        </is>
      </c>
      <c r="G416" t="n">
        <v>3.5</v>
      </c>
      <c r="H416" t="n">
        <v>0</v>
      </c>
      <c r="I416" t="n">
        <v>0</v>
      </c>
      <c r="J416" t="n">
        <v>0</v>
      </c>
      <c r="K416" t="n">
        <v>0</v>
      </c>
      <c r="L416" t="n">
        <v>0</v>
      </c>
      <c r="M416" t="n">
        <v>0</v>
      </c>
      <c r="N416" t="n">
        <v>0</v>
      </c>
      <c r="O416" t="n">
        <v>0</v>
      </c>
      <c r="P416" t="n">
        <v>0</v>
      </c>
      <c r="Q416" t="n">
        <v>0</v>
      </c>
      <c r="R416" s="2" t="inlineStr"/>
    </row>
    <row r="417" ht="15" customHeight="1">
      <c r="A417" t="inlineStr">
        <is>
          <t>A 46225-2024</t>
        </is>
      </c>
      <c r="B417" s="1" t="n">
        <v>45581.57333333333</v>
      </c>
      <c r="C417" s="1" t="n">
        <v>45994</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38757-2023</t>
        </is>
      </c>
      <c r="B418" s="1" t="n">
        <v>45163.41376157408</v>
      </c>
      <c r="C418" s="1" t="n">
        <v>45994</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9418-2024</t>
        </is>
      </c>
      <c r="B419" s="1" t="n">
        <v>45359.45038194444</v>
      </c>
      <c r="C419" s="1" t="n">
        <v>45994</v>
      </c>
      <c r="D419" t="inlineStr">
        <is>
          <t>KALMAR LÄN</t>
        </is>
      </c>
      <c r="E419" t="inlineStr">
        <is>
          <t>VIMMERBY</t>
        </is>
      </c>
      <c r="G419" t="n">
        <v>1.9</v>
      </c>
      <c r="H419" t="n">
        <v>0</v>
      </c>
      <c r="I419" t="n">
        <v>0</v>
      </c>
      <c r="J419" t="n">
        <v>0</v>
      </c>
      <c r="K419" t="n">
        <v>0</v>
      </c>
      <c r="L419" t="n">
        <v>0</v>
      </c>
      <c r="M419" t="n">
        <v>0</v>
      </c>
      <c r="N419" t="n">
        <v>0</v>
      </c>
      <c r="O419" t="n">
        <v>0</v>
      </c>
      <c r="P419" t="n">
        <v>0</v>
      </c>
      <c r="Q419" t="n">
        <v>0</v>
      </c>
      <c r="R419" s="2" t="inlineStr"/>
    </row>
    <row r="420" ht="15" customHeight="1">
      <c r="A420" t="inlineStr">
        <is>
          <t>A 29973-2023</t>
        </is>
      </c>
      <c r="B420" s="1" t="n">
        <v>45108.703125</v>
      </c>
      <c r="C420" s="1" t="n">
        <v>45994</v>
      </c>
      <c r="D420" t="inlineStr">
        <is>
          <t>KALMAR LÄN</t>
        </is>
      </c>
      <c r="E420" t="inlineStr">
        <is>
          <t>VIMMERBY</t>
        </is>
      </c>
      <c r="G420" t="n">
        <v>4</v>
      </c>
      <c r="H420" t="n">
        <v>0</v>
      </c>
      <c r="I420" t="n">
        <v>0</v>
      </c>
      <c r="J420" t="n">
        <v>0</v>
      </c>
      <c r="K420" t="n">
        <v>0</v>
      </c>
      <c r="L420" t="n">
        <v>0</v>
      </c>
      <c r="M420" t="n">
        <v>0</v>
      </c>
      <c r="N420" t="n">
        <v>0</v>
      </c>
      <c r="O420" t="n">
        <v>0</v>
      </c>
      <c r="P420" t="n">
        <v>0</v>
      </c>
      <c r="Q420" t="n">
        <v>0</v>
      </c>
      <c r="R420" s="2" t="inlineStr"/>
    </row>
    <row r="421" ht="15" customHeight="1">
      <c r="A421" t="inlineStr">
        <is>
          <t>A 64143-2021</t>
        </is>
      </c>
      <c r="B421" s="1" t="n">
        <v>44510.52157407408</v>
      </c>
      <c r="C421" s="1" t="n">
        <v>45994</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57091-2022</t>
        </is>
      </c>
      <c r="B422" s="1" t="n">
        <v>44895.46524305556</v>
      </c>
      <c r="C422" s="1" t="n">
        <v>45994</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3816-2022</t>
        </is>
      </c>
      <c r="B423" s="1" t="n">
        <v>44587</v>
      </c>
      <c r="C423" s="1" t="n">
        <v>45994</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73938-2021</t>
        </is>
      </c>
      <c r="B424" s="1" t="n">
        <v>44553</v>
      </c>
      <c r="C424" s="1" t="n">
        <v>45994</v>
      </c>
      <c r="D424" t="inlineStr">
        <is>
          <t>KALMAR LÄN</t>
        </is>
      </c>
      <c r="E424" t="inlineStr">
        <is>
          <t>VIMMERBY</t>
        </is>
      </c>
      <c r="G424" t="n">
        <v>3.2</v>
      </c>
      <c r="H424" t="n">
        <v>0</v>
      </c>
      <c r="I424" t="n">
        <v>0</v>
      </c>
      <c r="J424" t="n">
        <v>0</v>
      </c>
      <c r="K424" t="n">
        <v>0</v>
      </c>
      <c r="L424" t="n">
        <v>0</v>
      </c>
      <c r="M424" t="n">
        <v>0</v>
      </c>
      <c r="N424" t="n">
        <v>0</v>
      </c>
      <c r="O424" t="n">
        <v>0</v>
      </c>
      <c r="P424" t="n">
        <v>0</v>
      </c>
      <c r="Q424" t="n">
        <v>0</v>
      </c>
      <c r="R424" s="2" t="inlineStr"/>
    </row>
    <row r="425" ht="15" customHeight="1">
      <c r="A425" t="inlineStr">
        <is>
          <t>A 41311-2023</t>
        </is>
      </c>
      <c r="B425" s="1" t="n">
        <v>45174</v>
      </c>
      <c r="C425" s="1" t="n">
        <v>45994</v>
      </c>
      <c r="D425" t="inlineStr">
        <is>
          <t>KALMAR LÄN</t>
        </is>
      </c>
      <c r="E425" t="inlineStr">
        <is>
          <t>VIMMERBY</t>
        </is>
      </c>
      <c r="G425" t="n">
        <v>0.7</v>
      </c>
      <c r="H425" t="n">
        <v>0</v>
      </c>
      <c r="I425" t="n">
        <v>0</v>
      </c>
      <c r="J425" t="n">
        <v>0</v>
      </c>
      <c r="K425" t="n">
        <v>0</v>
      </c>
      <c r="L425" t="n">
        <v>0</v>
      </c>
      <c r="M425" t="n">
        <v>0</v>
      </c>
      <c r="N425" t="n">
        <v>0</v>
      </c>
      <c r="O425" t="n">
        <v>0</v>
      </c>
      <c r="P425" t="n">
        <v>0</v>
      </c>
      <c r="Q425" t="n">
        <v>0</v>
      </c>
      <c r="R425" s="2" t="inlineStr"/>
    </row>
    <row r="426" ht="15" customHeight="1">
      <c r="A426" t="inlineStr">
        <is>
          <t>A 43606-2024</t>
        </is>
      </c>
      <c r="B426" s="1" t="n">
        <v>45569.45017361111</v>
      </c>
      <c r="C426" s="1" t="n">
        <v>45994</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43617-2024</t>
        </is>
      </c>
      <c r="B427" s="1" t="n">
        <v>45569.47494212963</v>
      </c>
      <c r="C427" s="1" t="n">
        <v>45994</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47859-2024</t>
        </is>
      </c>
      <c r="B428" s="1" t="n">
        <v>45588.67070601852</v>
      </c>
      <c r="C428" s="1" t="n">
        <v>45994</v>
      </c>
      <c r="D428" t="inlineStr">
        <is>
          <t>KALMAR LÄN</t>
        </is>
      </c>
      <c r="E428" t="inlineStr">
        <is>
          <t>VIMMERBY</t>
        </is>
      </c>
      <c r="G428" t="n">
        <v>1.7</v>
      </c>
      <c r="H428" t="n">
        <v>0</v>
      </c>
      <c r="I428" t="n">
        <v>0</v>
      </c>
      <c r="J428" t="n">
        <v>0</v>
      </c>
      <c r="K428" t="n">
        <v>0</v>
      </c>
      <c r="L428" t="n">
        <v>0</v>
      </c>
      <c r="M428" t="n">
        <v>0</v>
      </c>
      <c r="N428" t="n">
        <v>0</v>
      </c>
      <c r="O428" t="n">
        <v>0</v>
      </c>
      <c r="P428" t="n">
        <v>0</v>
      </c>
      <c r="Q428" t="n">
        <v>0</v>
      </c>
      <c r="R428" s="2" t="inlineStr"/>
    </row>
    <row r="429" ht="15" customHeight="1">
      <c r="A429" t="inlineStr">
        <is>
          <t>A 26318-2023</t>
        </is>
      </c>
      <c r="B429" s="1" t="n">
        <v>45091.67936342592</v>
      </c>
      <c r="C429" s="1" t="n">
        <v>45994</v>
      </c>
      <c r="D429" t="inlineStr">
        <is>
          <t>KALMAR LÄN</t>
        </is>
      </c>
      <c r="E429" t="inlineStr">
        <is>
          <t>VIMMERBY</t>
        </is>
      </c>
      <c r="G429" t="n">
        <v>3.8</v>
      </c>
      <c r="H429" t="n">
        <v>0</v>
      </c>
      <c r="I429" t="n">
        <v>0</v>
      </c>
      <c r="J429" t="n">
        <v>0</v>
      </c>
      <c r="K429" t="n">
        <v>0</v>
      </c>
      <c r="L429" t="n">
        <v>0</v>
      </c>
      <c r="M429" t="n">
        <v>0</v>
      </c>
      <c r="N429" t="n">
        <v>0</v>
      </c>
      <c r="O429" t="n">
        <v>0</v>
      </c>
      <c r="P429" t="n">
        <v>0</v>
      </c>
      <c r="Q429" t="n">
        <v>0</v>
      </c>
      <c r="R429" s="2" t="inlineStr"/>
    </row>
    <row r="430" ht="15" customHeight="1">
      <c r="A430" t="inlineStr">
        <is>
          <t>A 40076-2021</t>
        </is>
      </c>
      <c r="B430" s="1" t="n">
        <v>44418</v>
      </c>
      <c r="C430" s="1" t="n">
        <v>45994</v>
      </c>
      <c r="D430" t="inlineStr">
        <is>
          <t>KALMAR LÄN</t>
        </is>
      </c>
      <c r="E430" t="inlineStr">
        <is>
          <t>VIMMERBY</t>
        </is>
      </c>
      <c r="G430" t="n">
        <v>2</v>
      </c>
      <c r="H430" t="n">
        <v>0</v>
      </c>
      <c r="I430" t="n">
        <v>0</v>
      </c>
      <c r="J430" t="n">
        <v>0</v>
      </c>
      <c r="K430" t="n">
        <v>0</v>
      </c>
      <c r="L430" t="n">
        <v>0</v>
      </c>
      <c r="M430" t="n">
        <v>0</v>
      </c>
      <c r="N430" t="n">
        <v>0</v>
      </c>
      <c r="O430" t="n">
        <v>0</v>
      </c>
      <c r="P430" t="n">
        <v>0</v>
      </c>
      <c r="Q430" t="n">
        <v>0</v>
      </c>
      <c r="R430" s="2" t="inlineStr"/>
    </row>
    <row r="431" ht="15" customHeight="1">
      <c r="A431" t="inlineStr">
        <is>
          <t>A 8540-2024</t>
        </is>
      </c>
      <c r="B431" s="1" t="n">
        <v>45355.54138888889</v>
      </c>
      <c r="C431" s="1" t="n">
        <v>45994</v>
      </c>
      <c r="D431" t="inlineStr">
        <is>
          <t>KALMAR LÄN</t>
        </is>
      </c>
      <c r="E431" t="inlineStr">
        <is>
          <t>VIMMERBY</t>
        </is>
      </c>
      <c r="G431" t="n">
        <v>1.9</v>
      </c>
      <c r="H431" t="n">
        <v>0</v>
      </c>
      <c r="I431" t="n">
        <v>0</v>
      </c>
      <c r="J431" t="n">
        <v>0</v>
      </c>
      <c r="K431" t="n">
        <v>0</v>
      </c>
      <c r="L431" t="n">
        <v>0</v>
      </c>
      <c r="M431" t="n">
        <v>0</v>
      </c>
      <c r="N431" t="n">
        <v>0</v>
      </c>
      <c r="O431" t="n">
        <v>0</v>
      </c>
      <c r="P431" t="n">
        <v>0</v>
      </c>
      <c r="Q431" t="n">
        <v>0</v>
      </c>
      <c r="R431" s="2" t="inlineStr"/>
    </row>
    <row r="432" ht="15" customHeight="1">
      <c r="A432" t="inlineStr">
        <is>
          <t>A 3331-2023</t>
        </is>
      </c>
      <c r="B432" s="1" t="n">
        <v>44949</v>
      </c>
      <c r="C432" s="1" t="n">
        <v>45994</v>
      </c>
      <c r="D432" t="inlineStr">
        <is>
          <t>KALMAR LÄN</t>
        </is>
      </c>
      <c r="E432" t="inlineStr">
        <is>
          <t>VIMMERBY</t>
        </is>
      </c>
      <c r="G432" t="n">
        <v>6.2</v>
      </c>
      <c r="H432" t="n">
        <v>0</v>
      </c>
      <c r="I432" t="n">
        <v>0</v>
      </c>
      <c r="J432" t="n">
        <v>0</v>
      </c>
      <c r="K432" t="n">
        <v>0</v>
      </c>
      <c r="L432" t="n">
        <v>0</v>
      </c>
      <c r="M432" t="n">
        <v>0</v>
      </c>
      <c r="N432" t="n">
        <v>0</v>
      </c>
      <c r="O432" t="n">
        <v>0</v>
      </c>
      <c r="P432" t="n">
        <v>0</v>
      </c>
      <c r="Q432" t="n">
        <v>0</v>
      </c>
      <c r="R432" s="2" t="inlineStr"/>
    </row>
    <row r="433" ht="15" customHeight="1">
      <c r="A433" t="inlineStr">
        <is>
          <t>A 50648-2023</t>
        </is>
      </c>
      <c r="B433" s="1" t="n">
        <v>45217.47834490741</v>
      </c>
      <c r="C433" s="1" t="n">
        <v>45994</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598-2025</t>
        </is>
      </c>
      <c r="B434" s="1" t="n">
        <v>45660</v>
      </c>
      <c r="C434" s="1" t="n">
        <v>45994</v>
      </c>
      <c r="D434" t="inlineStr">
        <is>
          <t>KALMAR LÄN</t>
        </is>
      </c>
      <c r="E434" t="inlineStr">
        <is>
          <t>VIMMERBY</t>
        </is>
      </c>
      <c r="G434" t="n">
        <v>12</v>
      </c>
      <c r="H434" t="n">
        <v>0</v>
      </c>
      <c r="I434" t="n">
        <v>0</v>
      </c>
      <c r="J434" t="n">
        <v>0</v>
      </c>
      <c r="K434" t="n">
        <v>0</v>
      </c>
      <c r="L434" t="n">
        <v>0</v>
      </c>
      <c r="M434" t="n">
        <v>0</v>
      </c>
      <c r="N434" t="n">
        <v>0</v>
      </c>
      <c r="O434" t="n">
        <v>0</v>
      </c>
      <c r="P434" t="n">
        <v>0</v>
      </c>
      <c r="Q434" t="n">
        <v>0</v>
      </c>
      <c r="R434" s="2" t="inlineStr"/>
    </row>
    <row r="435" ht="15" customHeight="1">
      <c r="A435" t="inlineStr">
        <is>
          <t>A 529-2022</t>
        </is>
      </c>
      <c r="B435" s="1" t="n">
        <v>44566</v>
      </c>
      <c r="C435" s="1" t="n">
        <v>45994</v>
      </c>
      <c r="D435" t="inlineStr">
        <is>
          <t>KALMAR LÄN</t>
        </is>
      </c>
      <c r="E435" t="inlineStr">
        <is>
          <t>VIMMERBY</t>
        </is>
      </c>
      <c r="G435" t="n">
        <v>1.5</v>
      </c>
      <c r="H435" t="n">
        <v>0</v>
      </c>
      <c r="I435" t="n">
        <v>0</v>
      </c>
      <c r="J435" t="n">
        <v>0</v>
      </c>
      <c r="K435" t="n">
        <v>0</v>
      </c>
      <c r="L435" t="n">
        <v>0</v>
      </c>
      <c r="M435" t="n">
        <v>0</v>
      </c>
      <c r="N435" t="n">
        <v>0</v>
      </c>
      <c r="O435" t="n">
        <v>0</v>
      </c>
      <c r="P435" t="n">
        <v>0</v>
      </c>
      <c r="Q435" t="n">
        <v>0</v>
      </c>
      <c r="R435" s="2" t="inlineStr"/>
    </row>
    <row r="436" ht="15" customHeight="1">
      <c r="A436" t="inlineStr">
        <is>
          <t>A 58318-2021</t>
        </is>
      </c>
      <c r="B436" s="1" t="n">
        <v>44488.35878472222</v>
      </c>
      <c r="C436" s="1" t="n">
        <v>45994</v>
      </c>
      <c r="D436" t="inlineStr">
        <is>
          <t>KALMAR LÄN</t>
        </is>
      </c>
      <c r="E436" t="inlineStr">
        <is>
          <t>VIMMERBY</t>
        </is>
      </c>
      <c r="G436" t="n">
        <v>4</v>
      </c>
      <c r="H436" t="n">
        <v>0</v>
      </c>
      <c r="I436" t="n">
        <v>0</v>
      </c>
      <c r="J436" t="n">
        <v>0</v>
      </c>
      <c r="K436" t="n">
        <v>0</v>
      </c>
      <c r="L436" t="n">
        <v>0</v>
      </c>
      <c r="M436" t="n">
        <v>0</v>
      </c>
      <c r="N436" t="n">
        <v>0</v>
      </c>
      <c r="O436" t="n">
        <v>0</v>
      </c>
      <c r="P436" t="n">
        <v>0</v>
      </c>
      <c r="Q436" t="n">
        <v>0</v>
      </c>
      <c r="R436" s="2" t="inlineStr"/>
    </row>
    <row r="437" ht="15" customHeight="1">
      <c r="A437" t="inlineStr">
        <is>
          <t>A 89-2023</t>
        </is>
      </c>
      <c r="B437" s="1" t="n">
        <v>44918</v>
      </c>
      <c r="C437" s="1" t="n">
        <v>45994</v>
      </c>
      <c r="D437" t="inlineStr">
        <is>
          <t>KALMAR LÄN</t>
        </is>
      </c>
      <c r="E437" t="inlineStr">
        <is>
          <t>VIMMERBY</t>
        </is>
      </c>
      <c r="G437" t="n">
        <v>16.1</v>
      </c>
      <c r="H437" t="n">
        <v>0</v>
      </c>
      <c r="I437" t="n">
        <v>0</v>
      </c>
      <c r="J437" t="n">
        <v>0</v>
      </c>
      <c r="K437" t="n">
        <v>0</v>
      </c>
      <c r="L437" t="n">
        <v>0</v>
      </c>
      <c r="M437" t="n">
        <v>0</v>
      </c>
      <c r="N437" t="n">
        <v>0</v>
      </c>
      <c r="O437" t="n">
        <v>0</v>
      </c>
      <c r="P437" t="n">
        <v>0</v>
      </c>
      <c r="Q437" t="n">
        <v>0</v>
      </c>
      <c r="R437" s="2" t="inlineStr"/>
    </row>
    <row r="438" ht="15" customHeight="1">
      <c r="A438" t="inlineStr">
        <is>
          <t>A 25799-2023</t>
        </is>
      </c>
      <c r="B438" s="1" t="n">
        <v>45090</v>
      </c>
      <c r="C438" s="1" t="n">
        <v>45994</v>
      </c>
      <c r="D438" t="inlineStr">
        <is>
          <t>KALMAR LÄN</t>
        </is>
      </c>
      <c r="E438" t="inlineStr">
        <is>
          <t>VIMMERBY</t>
        </is>
      </c>
      <c r="G438" t="n">
        <v>7.7</v>
      </c>
      <c r="H438" t="n">
        <v>0</v>
      </c>
      <c r="I438" t="n">
        <v>0</v>
      </c>
      <c r="J438" t="n">
        <v>0</v>
      </c>
      <c r="K438" t="n">
        <v>0</v>
      </c>
      <c r="L438" t="n">
        <v>0</v>
      </c>
      <c r="M438" t="n">
        <v>0</v>
      </c>
      <c r="N438" t="n">
        <v>0</v>
      </c>
      <c r="O438" t="n">
        <v>0</v>
      </c>
      <c r="P438" t="n">
        <v>0</v>
      </c>
      <c r="Q438" t="n">
        <v>0</v>
      </c>
      <c r="R438" s="2" t="inlineStr"/>
    </row>
    <row r="439" ht="15" customHeight="1">
      <c r="A439" t="inlineStr">
        <is>
          <t>A 61355-2024</t>
        </is>
      </c>
      <c r="B439" s="1" t="n">
        <v>45646.38200231481</v>
      </c>
      <c r="C439" s="1" t="n">
        <v>45994</v>
      </c>
      <c r="D439" t="inlineStr">
        <is>
          <t>KALMAR LÄN</t>
        </is>
      </c>
      <c r="E439" t="inlineStr">
        <is>
          <t>VIMMERBY</t>
        </is>
      </c>
      <c r="G439" t="n">
        <v>2.7</v>
      </c>
      <c r="H439" t="n">
        <v>0</v>
      </c>
      <c r="I439" t="n">
        <v>0</v>
      </c>
      <c r="J439" t="n">
        <v>0</v>
      </c>
      <c r="K439" t="n">
        <v>0</v>
      </c>
      <c r="L439" t="n">
        <v>0</v>
      </c>
      <c r="M439" t="n">
        <v>0</v>
      </c>
      <c r="N439" t="n">
        <v>0</v>
      </c>
      <c r="O439" t="n">
        <v>0</v>
      </c>
      <c r="P439" t="n">
        <v>0</v>
      </c>
      <c r="Q439" t="n">
        <v>0</v>
      </c>
      <c r="R439" s="2" t="inlineStr"/>
    </row>
    <row r="440" ht="15" customHeight="1">
      <c r="A440" t="inlineStr">
        <is>
          <t>A 53083-2021</t>
        </is>
      </c>
      <c r="B440" s="1" t="n">
        <v>44467.83386574074</v>
      </c>
      <c r="C440" s="1" t="n">
        <v>45994</v>
      </c>
      <c r="D440" t="inlineStr">
        <is>
          <t>KALMAR LÄN</t>
        </is>
      </c>
      <c r="E440" t="inlineStr">
        <is>
          <t>VIMMERBY</t>
        </is>
      </c>
      <c r="G440" t="n">
        <v>6.8</v>
      </c>
      <c r="H440" t="n">
        <v>0</v>
      </c>
      <c r="I440" t="n">
        <v>0</v>
      </c>
      <c r="J440" t="n">
        <v>0</v>
      </c>
      <c r="K440" t="n">
        <v>0</v>
      </c>
      <c r="L440" t="n">
        <v>0</v>
      </c>
      <c r="M440" t="n">
        <v>0</v>
      </c>
      <c r="N440" t="n">
        <v>0</v>
      </c>
      <c r="O440" t="n">
        <v>0</v>
      </c>
      <c r="P440" t="n">
        <v>0</v>
      </c>
      <c r="Q440" t="n">
        <v>0</v>
      </c>
      <c r="R440" s="2" t="inlineStr"/>
    </row>
    <row r="441" ht="15" customHeight="1">
      <c r="A441" t="inlineStr">
        <is>
          <t>A 23088-2024</t>
        </is>
      </c>
      <c r="B441" s="1" t="n">
        <v>45450.51092592593</v>
      </c>
      <c r="C441" s="1" t="n">
        <v>45994</v>
      </c>
      <c r="D441" t="inlineStr">
        <is>
          <t>KALMAR LÄN</t>
        </is>
      </c>
      <c r="E441" t="inlineStr">
        <is>
          <t>VIMMERBY</t>
        </is>
      </c>
      <c r="G441" t="n">
        <v>1.9</v>
      </c>
      <c r="H441" t="n">
        <v>0</v>
      </c>
      <c r="I441" t="n">
        <v>0</v>
      </c>
      <c r="J441" t="n">
        <v>0</v>
      </c>
      <c r="K441" t="n">
        <v>0</v>
      </c>
      <c r="L441" t="n">
        <v>0</v>
      </c>
      <c r="M441" t="n">
        <v>0</v>
      </c>
      <c r="N441" t="n">
        <v>0</v>
      </c>
      <c r="O441" t="n">
        <v>0</v>
      </c>
      <c r="P441" t="n">
        <v>0</v>
      </c>
      <c r="Q441" t="n">
        <v>0</v>
      </c>
      <c r="R441" s="2" t="inlineStr"/>
    </row>
    <row r="442" ht="15" customHeight="1">
      <c r="A442" t="inlineStr">
        <is>
          <t>A 24655-2021</t>
        </is>
      </c>
      <c r="B442" s="1" t="n">
        <v>44340</v>
      </c>
      <c r="C442" s="1" t="n">
        <v>45994</v>
      </c>
      <c r="D442" t="inlineStr">
        <is>
          <t>KALMAR LÄN</t>
        </is>
      </c>
      <c r="E442" t="inlineStr">
        <is>
          <t>VIMMERBY</t>
        </is>
      </c>
      <c r="G442" t="n">
        <v>14.9</v>
      </c>
      <c r="H442" t="n">
        <v>0</v>
      </c>
      <c r="I442" t="n">
        <v>0</v>
      </c>
      <c r="J442" t="n">
        <v>0</v>
      </c>
      <c r="K442" t="n">
        <v>0</v>
      </c>
      <c r="L442" t="n">
        <v>0</v>
      </c>
      <c r="M442" t="n">
        <v>0</v>
      </c>
      <c r="N442" t="n">
        <v>0</v>
      </c>
      <c r="O442" t="n">
        <v>0</v>
      </c>
      <c r="P442" t="n">
        <v>0</v>
      </c>
      <c r="Q442" t="n">
        <v>0</v>
      </c>
      <c r="R442" s="2" t="inlineStr"/>
    </row>
    <row r="443" ht="15" customHeight="1">
      <c r="A443" t="inlineStr">
        <is>
          <t>A 38851-2023</t>
        </is>
      </c>
      <c r="B443" s="1" t="n">
        <v>45163</v>
      </c>
      <c r="C443" s="1" t="n">
        <v>45994</v>
      </c>
      <c r="D443" t="inlineStr">
        <is>
          <t>KALMAR LÄN</t>
        </is>
      </c>
      <c r="E443" t="inlineStr">
        <is>
          <t>VIMMERBY</t>
        </is>
      </c>
      <c r="G443" t="n">
        <v>4.3</v>
      </c>
      <c r="H443" t="n">
        <v>0</v>
      </c>
      <c r="I443" t="n">
        <v>0</v>
      </c>
      <c r="J443" t="n">
        <v>0</v>
      </c>
      <c r="K443" t="n">
        <v>0</v>
      </c>
      <c r="L443" t="n">
        <v>0</v>
      </c>
      <c r="M443" t="n">
        <v>0</v>
      </c>
      <c r="N443" t="n">
        <v>0</v>
      </c>
      <c r="O443" t="n">
        <v>0</v>
      </c>
      <c r="P443" t="n">
        <v>0</v>
      </c>
      <c r="Q443" t="n">
        <v>0</v>
      </c>
      <c r="R443" s="2" t="inlineStr"/>
    </row>
    <row r="444" ht="15" customHeight="1">
      <c r="A444" t="inlineStr">
        <is>
          <t>A 10759-2023</t>
        </is>
      </c>
      <c r="B444" s="1" t="n">
        <v>44988</v>
      </c>
      <c r="C444" s="1" t="n">
        <v>45994</v>
      </c>
      <c r="D444" t="inlineStr">
        <is>
          <t>KALMAR LÄN</t>
        </is>
      </c>
      <c r="E444" t="inlineStr">
        <is>
          <t>VIMMERBY</t>
        </is>
      </c>
      <c r="G444" t="n">
        <v>0.4</v>
      </c>
      <c r="H444" t="n">
        <v>0</v>
      </c>
      <c r="I444" t="n">
        <v>0</v>
      </c>
      <c r="J444" t="n">
        <v>0</v>
      </c>
      <c r="K444" t="n">
        <v>0</v>
      </c>
      <c r="L444" t="n">
        <v>0</v>
      </c>
      <c r="M444" t="n">
        <v>0</v>
      </c>
      <c r="N444" t="n">
        <v>0</v>
      </c>
      <c r="O444" t="n">
        <v>0</v>
      </c>
      <c r="P444" t="n">
        <v>0</v>
      </c>
      <c r="Q444" t="n">
        <v>0</v>
      </c>
      <c r="R444" s="2" t="inlineStr"/>
    </row>
    <row r="445" ht="15" customHeight="1">
      <c r="A445" t="inlineStr">
        <is>
          <t>A 63583-2023</t>
        </is>
      </c>
      <c r="B445" s="1" t="n">
        <v>45275.41833333333</v>
      </c>
      <c r="C445" s="1" t="n">
        <v>45994</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40079-2023</t>
        </is>
      </c>
      <c r="B446" s="1" t="n">
        <v>45168.89298611111</v>
      </c>
      <c r="C446" s="1" t="n">
        <v>45994</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43774-2023</t>
        </is>
      </c>
      <c r="B447" s="1" t="n">
        <v>45187</v>
      </c>
      <c r="C447" s="1" t="n">
        <v>45994</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29616-2022</t>
        </is>
      </c>
      <c r="B448" s="1" t="n">
        <v>44754</v>
      </c>
      <c r="C448" s="1" t="n">
        <v>45994</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36802-2021</t>
        </is>
      </c>
      <c r="B449" s="1" t="n">
        <v>44392</v>
      </c>
      <c r="C449" s="1" t="n">
        <v>45994</v>
      </c>
      <c r="D449" t="inlineStr">
        <is>
          <t>KALMAR LÄN</t>
        </is>
      </c>
      <c r="E449" t="inlineStr">
        <is>
          <t>VIMMERBY</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33838-2022</t>
        </is>
      </c>
      <c r="B450" s="1" t="n">
        <v>44790.49040509259</v>
      </c>
      <c r="C450" s="1" t="n">
        <v>45994</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32835-2022</t>
        </is>
      </c>
      <c r="B451" s="1" t="n">
        <v>44784.42528935185</v>
      </c>
      <c r="C451" s="1" t="n">
        <v>45994</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39578-2024</t>
        </is>
      </c>
      <c r="B452" s="1" t="n">
        <v>45552.36484953704</v>
      </c>
      <c r="C452" s="1" t="n">
        <v>45994</v>
      </c>
      <c r="D452" t="inlineStr">
        <is>
          <t>KALMAR LÄN</t>
        </is>
      </c>
      <c r="E452" t="inlineStr">
        <is>
          <t>VIMMERBY</t>
        </is>
      </c>
      <c r="G452" t="n">
        <v>1.5</v>
      </c>
      <c r="H452" t="n">
        <v>0</v>
      </c>
      <c r="I452" t="n">
        <v>0</v>
      </c>
      <c r="J452" t="n">
        <v>0</v>
      </c>
      <c r="K452" t="n">
        <v>0</v>
      </c>
      <c r="L452" t="n">
        <v>0</v>
      </c>
      <c r="M452" t="n">
        <v>0</v>
      </c>
      <c r="N452" t="n">
        <v>0</v>
      </c>
      <c r="O452" t="n">
        <v>0</v>
      </c>
      <c r="P452" t="n">
        <v>0</v>
      </c>
      <c r="Q452" t="n">
        <v>0</v>
      </c>
      <c r="R452" s="2" t="inlineStr"/>
    </row>
    <row r="453" ht="15" customHeight="1">
      <c r="A453" t="inlineStr">
        <is>
          <t>A 24707-2024</t>
        </is>
      </c>
      <c r="B453" s="1" t="n">
        <v>45460.62172453704</v>
      </c>
      <c r="C453" s="1" t="n">
        <v>45994</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1081-2023</t>
        </is>
      </c>
      <c r="B454" s="1" t="n">
        <v>44935</v>
      </c>
      <c r="C454" s="1" t="n">
        <v>45994</v>
      </c>
      <c r="D454" t="inlineStr">
        <is>
          <t>KALMAR LÄN</t>
        </is>
      </c>
      <c r="E454" t="inlineStr">
        <is>
          <t>VIMMERBY</t>
        </is>
      </c>
      <c r="G454" t="n">
        <v>1.3</v>
      </c>
      <c r="H454" t="n">
        <v>0</v>
      </c>
      <c r="I454" t="n">
        <v>0</v>
      </c>
      <c r="J454" t="n">
        <v>0</v>
      </c>
      <c r="K454" t="n">
        <v>0</v>
      </c>
      <c r="L454" t="n">
        <v>0</v>
      </c>
      <c r="M454" t="n">
        <v>0</v>
      </c>
      <c r="N454" t="n">
        <v>0</v>
      </c>
      <c r="O454" t="n">
        <v>0</v>
      </c>
      <c r="P454" t="n">
        <v>0</v>
      </c>
      <c r="Q454" t="n">
        <v>0</v>
      </c>
      <c r="R454" s="2" t="inlineStr"/>
    </row>
    <row r="455" ht="15" customHeight="1">
      <c r="A455" t="inlineStr">
        <is>
          <t>A 47063-2022</t>
        </is>
      </c>
      <c r="B455" s="1" t="n">
        <v>44852</v>
      </c>
      <c r="C455" s="1" t="n">
        <v>45994</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28403-2023</t>
        </is>
      </c>
      <c r="B456" s="1" t="n">
        <v>45100.85270833333</v>
      </c>
      <c r="C456" s="1" t="n">
        <v>45994</v>
      </c>
      <c r="D456" t="inlineStr">
        <is>
          <t>KALMAR LÄN</t>
        </is>
      </c>
      <c r="E456" t="inlineStr">
        <is>
          <t>VIMMERBY</t>
        </is>
      </c>
      <c r="G456" t="n">
        <v>1.8</v>
      </c>
      <c r="H456" t="n">
        <v>0</v>
      </c>
      <c r="I456" t="n">
        <v>0</v>
      </c>
      <c r="J456" t="n">
        <v>0</v>
      </c>
      <c r="K456" t="n">
        <v>0</v>
      </c>
      <c r="L456" t="n">
        <v>0</v>
      </c>
      <c r="M456" t="n">
        <v>0</v>
      </c>
      <c r="N456" t="n">
        <v>0</v>
      </c>
      <c r="O456" t="n">
        <v>0</v>
      </c>
      <c r="P456" t="n">
        <v>0</v>
      </c>
      <c r="Q456" t="n">
        <v>0</v>
      </c>
      <c r="R456" s="2" t="inlineStr"/>
    </row>
    <row r="457" ht="15" customHeight="1">
      <c r="A457" t="inlineStr">
        <is>
          <t>A 38198-2024</t>
        </is>
      </c>
      <c r="B457" s="1" t="n">
        <v>45545.49508101852</v>
      </c>
      <c r="C457" s="1" t="n">
        <v>45994</v>
      </c>
      <c r="D457" t="inlineStr">
        <is>
          <t>KALMAR LÄN</t>
        </is>
      </c>
      <c r="E457" t="inlineStr">
        <is>
          <t>VIMMERBY</t>
        </is>
      </c>
      <c r="G457" t="n">
        <v>7.9</v>
      </c>
      <c r="H457" t="n">
        <v>0</v>
      </c>
      <c r="I457" t="n">
        <v>0</v>
      </c>
      <c r="J457" t="n">
        <v>0</v>
      </c>
      <c r="K457" t="n">
        <v>0</v>
      </c>
      <c r="L457" t="n">
        <v>0</v>
      </c>
      <c r="M457" t="n">
        <v>0</v>
      </c>
      <c r="N457" t="n">
        <v>0</v>
      </c>
      <c r="O457" t="n">
        <v>0</v>
      </c>
      <c r="P457" t="n">
        <v>0</v>
      </c>
      <c r="Q457" t="n">
        <v>0</v>
      </c>
      <c r="R457" s="2" t="inlineStr"/>
    </row>
    <row r="458" ht="15" customHeight="1">
      <c r="A458" t="inlineStr">
        <is>
          <t>A 31056-2022</t>
        </is>
      </c>
      <c r="B458" s="1" t="n">
        <v>44769.45805555556</v>
      </c>
      <c r="C458" s="1" t="n">
        <v>45994</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9623-2024</t>
        </is>
      </c>
      <c r="B459" s="1" t="n">
        <v>45361.87975694444</v>
      </c>
      <c r="C459" s="1" t="n">
        <v>45994</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33383-2023</t>
        </is>
      </c>
      <c r="B460" s="1" t="n">
        <v>45128.58414351852</v>
      </c>
      <c r="C460" s="1" t="n">
        <v>45994</v>
      </c>
      <c r="D460" t="inlineStr">
        <is>
          <t>KALMAR LÄN</t>
        </is>
      </c>
      <c r="E460" t="inlineStr">
        <is>
          <t>VIMMERBY</t>
        </is>
      </c>
      <c r="G460" t="n">
        <v>2.3</v>
      </c>
      <c r="H460" t="n">
        <v>0</v>
      </c>
      <c r="I460" t="n">
        <v>0</v>
      </c>
      <c r="J460" t="n">
        <v>0</v>
      </c>
      <c r="K460" t="n">
        <v>0</v>
      </c>
      <c r="L460" t="n">
        <v>0</v>
      </c>
      <c r="M460" t="n">
        <v>0</v>
      </c>
      <c r="N460" t="n">
        <v>0</v>
      </c>
      <c r="O460" t="n">
        <v>0</v>
      </c>
      <c r="P460" t="n">
        <v>0</v>
      </c>
      <c r="Q460" t="n">
        <v>0</v>
      </c>
      <c r="R460" s="2" t="inlineStr"/>
    </row>
    <row r="461" ht="15" customHeight="1">
      <c r="A461" t="inlineStr">
        <is>
          <t>A 33103-2024</t>
        </is>
      </c>
      <c r="B461" s="1" t="n">
        <v>45517.8162037037</v>
      </c>
      <c r="C461" s="1" t="n">
        <v>45994</v>
      </c>
      <c r="D461" t="inlineStr">
        <is>
          <t>KALMAR LÄN</t>
        </is>
      </c>
      <c r="E461" t="inlineStr">
        <is>
          <t>VIMMERBY</t>
        </is>
      </c>
      <c r="G461" t="n">
        <v>1.6</v>
      </c>
      <c r="H461" t="n">
        <v>0</v>
      </c>
      <c r="I461" t="n">
        <v>0</v>
      </c>
      <c r="J461" t="n">
        <v>0</v>
      </c>
      <c r="K461" t="n">
        <v>0</v>
      </c>
      <c r="L461" t="n">
        <v>0</v>
      </c>
      <c r="M461" t="n">
        <v>0</v>
      </c>
      <c r="N461" t="n">
        <v>0</v>
      </c>
      <c r="O461" t="n">
        <v>0</v>
      </c>
      <c r="P461" t="n">
        <v>0</v>
      </c>
      <c r="Q461" t="n">
        <v>0</v>
      </c>
      <c r="R461" s="2" t="inlineStr"/>
    </row>
    <row r="462" ht="15" customHeight="1">
      <c r="A462" t="inlineStr">
        <is>
          <t>A 40828-2023</t>
        </is>
      </c>
      <c r="B462" s="1" t="n">
        <v>45171.96248842592</v>
      </c>
      <c r="C462" s="1" t="n">
        <v>45994</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58967-2022</t>
        </is>
      </c>
      <c r="B463" s="1" t="n">
        <v>44896</v>
      </c>
      <c r="C463" s="1" t="n">
        <v>45994</v>
      </c>
      <c r="D463" t="inlineStr">
        <is>
          <t>KALMAR LÄN</t>
        </is>
      </c>
      <c r="E463" t="inlineStr">
        <is>
          <t>VIMMERBY</t>
        </is>
      </c>
      <c r="G463" t="n">
        <v>5</v>
      </c>
      <c r="H463" t="n">
        <v>0</v>
      </c>
      <c r="I463" t="n">
        <v>0</v>
      </c>
      <c r="J463" t="n">
        <v>0</v>
      </c>
      <c r="K463" t="n">
        <v>0</v>
      </c>
      <c r="L463" t="n">
        <v>0</v>
      </c>
      <c r="M463" t="n">
        <v>0</v>
      </c>
      <c r="N463" t="n">
        <v>0</v>
      </c>
      <c r="O463" t="n">
        <v>0</v>
      </c>
      <c r="P463" t="n">
        <v>0</v>
      </c>
      <c r="Q463" t="n">
        <v>0</v>
      </c>
      <c r="R463" s="2" t="inlineStr"/>
    </row>
    <row r="464" ht="15" customHeight="1">
      <c r="A464" t="inlineStr">
        <is>
          <t>A 22399-2025</t>
        </is>
      </c>
      <c r="B464" s="1" t="n">
        <v>45786.52996527778</v>
      </c>
      <c r="C464" s="1" t="n">
        <v>45994</v>
      </c>
      <c r="D464" t="inlineStr">
        <is>
          <t>KALMAR LÄN</t>
        </is>
      </c>
      <c r="E464" t="inlineStr">
        <is>
          <t>VIMMERBY</t>
        </is>
      </c>
      <c r="G464" t="n">
        <v>2.1</v>
      </c>
      <c r="H464" t="n">
        <v>0</v>
      </c>
      <c r="I464" t="n">
        <v>0</v>
      </c>
      <c r="J464" t="n">
        <v>0</v>
      </c>
      <c r="K464" t="n">
        <v>0</v>
      </c>
      <c r="L464" t="n">
        <v>0</v>
      </c>
      <c r="M464" t="n">
        <v>0</v>
      </c>
      <c r="N464" t="n">
        <v>0</v>
      </c>
      <c r="O464" t="n">
        <v>0</v>
      </c>
      <c r="P464" t="n">
        <v>0</v>
      </c>
      <c r="Q464" t="n">
        <v>0</v>
      </c>
      <c r="R464" s="2" t="inlineStr"/>
    </row>
    <row r="465" ht="15" customHeight="1">
      <c r="A465" t="inlineStr">
        <is>
          <t>A 2260-2022</t>
        </is>
      </c>
      <c r="B465" s="1" t="n">
        <v>44578.62943287037</v>
      </c>
      <c r="C465" s="1" t="n">
        <v>45994</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61861-2024</t>
        </is>
      </c>
      <c r="B466" s="1" t="n">
        <v>45650.37370370371</v>
      </c>
      <c r="C466" s="1" t="n">
        <v>45994</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22397-2025</t>
        </is>
      </c>
      <c r="B467" s="1" t="n">
        <v>45786.52878472222</v>
      </c>
      <c r="C467" s="1" t="n">
        <v>45994</v>
      </c>
      <c r="D467" t="inlineStr">
        <is>
          <t>KALMAR LÄN</t>
        </is>
      </c>
      <c r="E467" t="inlineStr">
        <is>
          <t>VIMMERBY</t>
        </is>
      </c>
      <c r="G467" t="n">
        <v>0.8</v>
      </c>
      <c r="H467" t="n">
        <v>0</v>
      </c>
      <c r="I467" t="n">
        <v>0</v>
      </c>
      <c r="J467" t="n">
        <v>0</v>
      </c>
      <c r="K467" t="n">
        <v>0</v>
      </c>
      <c r="L467" t="n">
        <v>0</v>
      </c>
      <c r="M467" t="n">
        <v>0</v>
      </c>
      <c r="N467" t="n">
        <v>0</v>
      </c>
      <c r="O467" t="n">
        <v>0</v>
      </c>
      <c r="P467" t="n">
        <v>0</v>
      </c>
      <c r="Q467" t="n">
        <v>0</v>
      </c>
      <c r="R467" s="2" t="inlineStr"/>
    </row>
    <row r="468" ht="15" customHeight="1">
      <c r="A468" t="inlineStr">
        <is>
          <t>A 11661-2023</t>
        </is>
      </c>
      <c r="B468" s="1" t="n">
        <v>44994.46908564815</v>
      </c>
      <c r="C468" s="1" t="n">
        <v>45994</v>
      </c>
      <c r="D468" t="inlineStr">
        <is>
          <t>KALMAR LÄN</t>
        </is>
      </c>
      <c r="E468" t="inlineStr">
        <is>
          <t>VIMMERBY</t>
        </is>
      </c>
      <c r="G468" t="n">
        <v>2.7</v>
      </c>
      <c r="H468" t="n">
        <v>0</v>
      </c>
      <c r="I468" t="n">
        <v>0</v>
      </c>
      <c r="J468" t="n">
        <v>0</v>
      </c>
      <c r="K468" t="n">
        <v>0</v>
      </c>
      <c r="L468" t="n">
        <v>0</v>
      </c>
      <c r="M468" t="n">
        <v>0</v>
      </c>
      <c r="N468" t="n">
        <v>0</v>
      </c>
      <c r="O468" t="n">
        <v>0</v>
      </c>
      <c r="P468" t="n">
        <v>0</v>
      </c>
      <c r="Q468" t="n">
        <v>0</v>
      </c>
      <c r="R468" s="2" t="inlineStr"/>
    </row>
    <row r="469" ht="15" customHeight="1">
      <c r="A469" t="inlineStr">
        <is>
          <t>A 58046-2022</t>
        </is>
      </c>
      <c r="B469" s="1" t="n">
        <v>44900.57393518519</v>
      </c>
      <c r="C469" s="1" t="n">
        <v>45994</v>
      </c>
      <c r="D469" t="inlineStr">
        <is>
          <t>KALMAR LÄN</t>
        </is>
      </c>
      <c r="E469" t="inlineStr">
        <is>
          <t>VIMMERBY</t>
        </is>
      </c>
      <c r="G469" t="n">
        <v>2.5</v>
      </c>
      <c r="H469" t="n">
        <v>0</v>
      </c>
      <c r="I469" t="n">
        <v>0</v>
      </c>
      <c r="J469" t="n">
        <v>0</v>
      </c>
      <c r="K469" t="n">
        <v>0</v>
      </c>
      <c r="L469" t="n">
        <v>0</v>
      </c>
      <c r="M469" t="n">
        <v>0</v>
      </c>
      <c r="N469" t="n">
        <v>0</v>
      </c>
      <c r="O469" t="n">
        <v>0</v>
      </c>
      <c r="P469" t="n">
        <v>0</v>
      </c>
      <c r="Q469" t="n">
        <v>0</v>
      </c>
      <c r="R469" s="2" t="inlineStr"/>
    </row>
    <row r="470" ht="15" customHeight="1">
      <c r="A470" t="inlineStr">
        <is>
          <t>A 45528-2021</t>
        </is>
      </c>
      <c r="B470" s="1" t="n">
        <v>44440.60415509259</v>
      </c>
      <c r="C470" s="1" t="n">
        <v>45994</v>
      </c>
      <c r="D470" t="inlineStr">
        <is>
          <t>KALMAR LÄN</t>
        </is>
      </c>
      <c r="E470" t="inlineStr">
        <is>
          <t>VIMMERBY</t>
        </is>
      </c>
      <c r="G470" t="n">
        <v>2.2</v>
      </c>
      <c r="H470" t="n">
        <v>0</v>
      </c>
      <c r="I470" t="n">
        <v>0</v>
      </c>
      <c r="J470" t="n">
        <v>0</v>
      </c>
      <c r="K470" t="n">
        <v>0</v>
      </c>
      <c r="L470" t="n">
        <v>0</v>
      </c>
      <c r="M470" t="n">
        <v>0</v>
      </c>
      <c r="N470" t="n">
        <v>0</v>
      </c>
      <c r="O470" t="n">
        <v>0</v>
      </c>
      <c r="P470" t="n">
        <v>0</v>
      </c>
      <c r="Q470" t="n">
        <v>0</v>
      </c>
      <c r="R470" s="2" t="inlineStr"/>
    </row>
    <row r="471" ht="15" customHeight="1">
      <c r="A471" t="inlineStr">
        <is>
          <t>A 8650-2022</t>
        </is>
      </c>
      <c r="B471" s="1" t="n">
        <v>44613</v>
      </c>
      <c r="C471" s="1" t="n">
        <v>45994</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6399-2025</t>
        </is>
      </c>
      <c r="B472" s="1" t="n">
        <v>45699.44291666667</v>
      </c>
      <c r="C472" s="1" t="n">
        <v>45994</v>
      </c>
      <c r="D472" t="inlineStr">
        <is>
          <t>KALMAR LÄN</t>
        </is>
      </c>
      <c r="E472" t="inlineStr">
        <is>
          <t>VIMMERBY</t>
        </is>
      </c>
      <c r="G472" t="n">
        <v>3.1</v>
      </c>
      <c r="H472" t="n">
        <v>0</v>
      </c>
      <c r="I472" t="n">
        <v>0</v>
      </c>
      <c r="J472" t="n">
        <v>0</v>
      </c>
      <c r="K472" t="n">
        <v>0</v>
      </c>
      <c r="L472" t="n">
        <v>0</v>
      </c>
      <c r="M472" t="n">
        <v>0</v>
      </c>
      <c r="N472" t="n">
        <v>0</v>
      </c>
      <c r="O472" t="n">
        <v>0</v>
      </c>
      <c r="P472" t="n">
        <v>0</v>
      </c>
      <c r="Q472" t="n">
        <v>0</v>
      </c>
      <c r="R472" s="2" t="inlineStr"/>
    </row>
    <row r="473" ht="15" customHeight="1">
      <c r="A473" t="inlineStr">
        <is>
          <t>A 46979-2023</t>
        </is>
      </c>
      <c r="B473" s="1" t="n">
        <v>45201</v>
      </c>
      <c r="C473" s="1" t="n">
        <v>45994</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31355-2023</t>
        </is>
      </c>
      <c r="B474" s="1" t="n">
        <v>45114.49505787037</v>
      </c>
      <c r="C474" s="1" t="n">
        <v>45994</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33340-2023</t>
        </is>
      </c>
      <c r="B475" s="1" t="n">
        <v>45128.37305555555</v>
      </c>
      <c r="C475" s="1" t="n">
        <v>45994</v>
      </c>
      <c r="D475" t="inlineStr">
        <is>
          <t>KALMAR LÄN</t>
        </is>
      </c>
      <c r="E475" t="inlineStr">
        <is>
          <t>VIMMERBY</t>
        </is>
      </c>
      <c r="G475" t="n">
        <v>1.5</v>
      </c>
      <c r="H475" t="n">
        <v>0</v>
      </c>
      <c r="I475" t="n">
        <v>0</v>
      </c>
      <c r="J475" t="n">
        <v>0</v>
      </c>
      <c r="K475" t="n">
        <v>0</v>
      </c>
      <c r="L475" t="n">
        <v>0</v>
      </c>
      <c r="M475" t="n">
        <v>0</v>
      </c>
      <c r="N475" t="n">
        <v>0</v>
      </c>
      <c r="O475" t="n">
        <v>0</v>
      </c>
      <c r="P475" t="n">
        <v>0</v>
      </c>
      <c r="Q475" t="n">
        <v>0</v>
      </c>
      <c r="R475" s="2" t="inlineStr"/>
    </row>
    <row r="476" ht="15" customHeight="1">
      <c r="A476" t="inlineStr">
        <is>
          <t>A 44423-2023</t>
        </is>
      </c>
      <c r="B476" s="1" t="n">
        <v>45189</v>
      </c>
      <c r="C476" s="1" t="n">
        <v>45994</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66295-2020</t>
        </is>
      </c>
      <c r="B477" s="1" t="n">
        <v>44176</v>
      </c>
      <c r="C477" s="1" t="n">
        <v>45994</v>
      </c>
      <c r="D477" t="inlineStr">
        <is>
          <t>KALMAR LÄN</t>
        </is>
      </c>
      <c r="E477" t="inlineStr">
        <is>
          <t>VIMMERBY</t>
        </is>
      </c>
      <c r="G477" t="n">
        <v>4.1</v>
      </c>
      <c r="H477" t="n">
        <v>0</v>
      </c>
      <c r="I477" t="n">
        <v>0</v>
      </c>
      <c r="J477" t="n">
        <v>0</v>
      </c>
      <c r="K477" t="n">
        <v>0</v>
      </c>
      <c r="L477" t="n">
        <v>0</v>
      </c>
      <c r="M477" t="n">
        <v>0</v>
      </c>
      <c r="N477" t="n">
        <v>0</v>
      </c>
      <c r="O477" t="n">
        <v>0</v>
      </c>
      <c r="P477" t="n">
        <v>0</v>
      </c>
      <c r="Q477" t="n">
        <v>0</v>
      </c>
      <c r="R477" s="2" t="inlineStr"/>
    </row>
    <row r="478" ht="15" customHeight="1">
      <c r="A478" t="inlineStr">
        <is>
          <t>A 6574-2023</t>
        </is>
      </c>
      <c r="B478" s="1" t="n">
        <v>44966</v>
      </c>
      <c r="C478" s="1" t="n">
        <v>45994</v>
      </c>
      <c r="D478" t="inlineStr">
        <is>
          <t>KALMAR LÄN</t>
        </is>
      </c>
      <c r="E478" t="inlineStr">
        <is>
          <t>VIMMERBY</t>
        </is>
      </c>
      <c r="G478" t="n">
        <v>2.5</v>
      </c>
      <c r="H478" t="n">
        <v>0</v>
      </c>
      <c r="I478" t="n">
        <v>0</v>
      </c>
      <c r="J478" t="n">
        <v>0</v>
      </c>
      <c r="K478" t="n">
        <v>0</v>
      </c>
      <c r="L478" t="n">
        <v>0</v>
      </c>
      <c r="M478" t="n">
        <v>0</v>
      </c>
      <c r="N478" t="n">
        <v>0</v>
      </c>
      <c r="O478" t="n">
        <v>0</v>
      </c>
      <c r="P478" t="n">
        <v>0</v>
      </c>
      <c r="Q478" t="n">
        <v>0</v>
      </c>
      <c r="R478" s="2" t="inlineStr"/>
    </row>
    <row r="479" ht="15" customHeight="1">
      <c r="A479" t="inlineStr">
        <is>
          <t>A 30400-2023</t>
        </is>
      </c>
      <c r="B479" s="1" t="n">
        <v>45111.48225694444</v>
      </c>
      <c r="C479" s="1" t="n">
        <v>45994</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30404-2023</t>
        </is>
      </c>
      <c r="B480" s="1" t="n">
        <v>45111.48636574074</v>
      </c>
      <c r="C480" s="1" t="n">
        <v>45994</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27705-2023</t>
        </is>
      </c>
      <c r="B481" s="1" t="n">
        <v>45098.30535879629</v>
      </c>
      <c r="C481" s="1" t="n">
        <v>45994</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37323-2024</t>
        </is>
      </c>
      <c r="B482" s="1" t="n">
        <v>45540.50098379629</v>
      </c>
      <c r="C482" s="1" t="n">
        <v>45994</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25582-2024</t>
        </is>
      </c>
      <c r="B483" s="1" t="n">
        <v>45463</v>
      </c>
      <c r="C483" s="1" t="n">
        <v>45994</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4058-2024</t>
        </is>
      </c>
      <c r="B484" s="1" t="n">
        <v>45323.53744212963</v>
      </c>
      <c r="C484" s="1" t="n">
        <v>45994</v>
      </c>
      <c r="D484" t="inlineStr">
        <is>
          <t>KALMAR LÄN</t>
        </is>
      </c>
      <c r="E484" t="inlineStr">
        <is>
          <t>VIMMERBY</t>
        </is>
      </c>
      <c r="G484" t="n">
        <v>6.5</v>
      </c>
      <c r="H484" t="n">
        <v>0</v>
      </c>
      <c r="I484" t="n">
        <v>0</v>
      </c>
      <c r="J484" t="n">
        <v>0</v>
      </c>
      <c r="K484" t="n">
        <v>0</v>
      </c>
      <c r="L484" t="n">
        <v>0</v>
      </c>
      <c r="M484" t="n">
        <v>0</v>
      </c>
      <c r="N484" t="n">
        <v>0</v>
      </c>
      <c r="O484" t="n">
        <v>0</v>
      </c>
      <c r="P484" t="n">
        <v>0</v>
      </c>
      <c r="Q484" t="n">
        <v>0</v>
      </c>
      <c r="R484" s="2" t="inlineStr"/>
    </row>
    <row r="485" ht="15" customHeight="1">
      <c r="A485" t="inlineStr">
        <is>
          <t>A 36843-2023</t>
        </is>
      </c>
      <c r="B485" s="1" t="n">
        <v>45154.49831018518</v>
      </c>
      <c r="C485" s="1" t="n">
        <v>45994</v>
      </c>
      <c r="D485" t="inlineStr">
        <is>
          <t>KALMAR LÄN</t>
        </is>
      </c>
      <c r="E485" t="inlineStr">
        <is>
          <t>VIMMERBY</t>
        </is>
      </c>
      <c r="G485" t="n">
        <v>2</v>
      </c>
      <c r="H485" t="n">
        <v>0</v>
      </c>
      <c r="I485" t="n">
        <v>0</v>
      </c>
      <c r="J485" t="n">
        <v>0</v>
      </c>
      <c r="K485" t="n">
        <v>0</v>
      </c>
      <c r="L485" t="n">
        <v>0</v>
      </c>
      <c r="M485" t="n">
        <v>0</v>
      </c>
      <c r="N485" t="n">
        <v>0</v>
      </c>
      <c r="O485" t="n">
        <v>0</v>
      </c>
      <c r="P485" t="n">
        <v>0</v>
      </c>
      <c r="Q485" t="n">
        <v>0</v>
      </c>
      <c r="R485" s="2" t="inlineStr"/>
    </row>
    <row r="486" ht="15" customHeight="1">
      <c r="A486" t="inlineStr">
        <is>
          <t>A 1978-2024</t>
        </is>
      </c>
      <c r="B486" s="1" t="n">
        <v>45308.59001157407</v>
      </c>
      <c r="C486" s="1" t="n">
        <v>45994</v>
      </c>
      <c r="D486" t="inlineStr">
        <is>
          <t>KALMAR LÄN</t>
        </is>
      </c>
      <c r="E486" t="inlineStr">
        <is>
          <t>VIMMERBY</t>
        </is>
      </c>
      <c r="G486" t="n">
        <v>0.9</v>
      </c>
      <c r="H486" t="n">
        <v>0</v>
      </c>
      <c r="I486" t="n">
        <v>0</v>
      </c>
      <c r="J486" t="n">
        <v>0</v>
      </c>
      <c r="K486" t="n">
        <v>0</v>
      </c>
      <c r="L486" t="n">
        <v>0</v>
      </c>
      <c r="M486" t="n">
        <v>0</v>
      </c>
      <c r="N486" t="n">
        <v>0</v>
      </c>
      <c r="O486" t="n">
        <v>0</v>
      </c>
      <c r="P486" t="n">
        <v>0</v>
      </c>
      <c r="Q486" t="n">
        <v>0</v>
      </c>
      <c r="R486" s="2" t="inlineStr"/>
    </row>
    <row r="487" ht="15" customHeight="1">
      <c r="A487" t="inlineStr">
        <is>
          <t>A 10785-2025</t>
        </is>
      </c>
      <c r="B487" s="1" t="n">
        <v>45722.48634259259</v>
      </c>
      <c r="C487" s="1" t="n">
        <v>45994</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29017-2024</t>
        </is>
      </c>
      <c r="B488" s="1" t="n">
        <v>45481.56722222222</v>
      </c>
      <c r="C488" s="1" t="n">
        <v>45994</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30318-2023</t>
        </is>
      </c>
      <c r="B489" s="1" t="n">
        <v>45111.30824074074</v>
      </c>
      <c r="C489" s="1" t="n">
        <v>45994</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18501-2024</t>
        </is>
      </c>
      <c r="B490" s="1" t="n">
        <v>45425.57538194444</v>
      </c>
      <c r="C490" s="1" t="n">
        <v>45994</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23263-2024</t>
        </is>
      </c>
      <c r="B491" s="1" t="n">
        <v>45453.36854166666</v>
      </c>
      <c r="C491" s="1" t="n">
        <v>45994</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11074-2023</t>
        </is>
      </c>
      <c r="B492" s="1" t="n">
        <v>44992.34151620371</v>
      </c>
      <c r="C492" s="1" t="n">
        <v>45994</v>
      </c>
      <c r="D492" t="inlineStr">
        <is>
          <t>KALMAR LÄN</t>
        </is>
      </c>
      <c r="E492" t="inlineStr">
        <is>
          <t>VIMMERBY</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61939-2021</t>
        </is>
      </c>
      <c r="B493" s="1" t="n">
        <v>44502</v>
      </c>
      <c r="C493" s="1" t="n">
        <v>45994</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25234-2023</t>
        </is>
      </c>
      <c r="B494" s="1" t="n">
        <v>45086.63194444445</v>
      </c>
      <c r="C494" s="1" t="n">
        <v>45994</v>
      </c>
      <c r="D494" t="inlineStr">
        <is>
          <t>KALMAR LÄN</t>
        </is>
      </c>
      <c r="E494" t="inlineStr">
        <is>
          <t>VIMMERBY</t>
        </is>
      </c>
      <c r="G494" t="n">
        <v>2.1</v>
      </c>
      <c r="H494" t="n">
        <v>0</v>
      </c>
      <c r="I494" t="n">
        <v>0</v>
      </c>
      <c r="J494" t="n">
        <v>0</v>
      </c>
      <c r="K494" t="n">
        <v>0</v>
      </c>
      <c r="L494" t="n">
        <v>0</v>
      </c>
      <c r="M494" t="n">
        <v>0</v>
      </c>
      <c r="N494" t="n">
        <v>0</v>
      </c>
      <c r="O494" t="n">
        <v>0</v>
      </c>
      <c r="P494" t="n">
        <v>0</v>
      </c>
      <c r="Q494" t="n">
        <v>0</v>
      </c>
      <c r="R494" s="2" t="inlineStr"/>
    </row>
    <row r="495" ht="15" customHeight="1">
      <c r="A495" t="inlineStr">
        <is>
          <t>A 46078-2023</t>
        </is>
      </c>
      <c r="B495" s="1" t="n">
        <v>45196</v>
      </c>
      <c r="C495" s="1" t="n">
        <v>45994</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12215-2024</t>
        </is>
      </c>
      <c r="B496" s="1" t="n">
        <v>45378.32185185186</v>
      </c>
      <c r="C496" s="1" t="n">
        <v>45994</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11303-2025</t>
        </is>
      </c>
      <c r="B497" s="1" t="n">
        <v>45726.44471064815</v>
      </c>
      <c r="C497" s="1" t="n">
        <v>45994</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27758-2024</t>
        </is>
      </c>
      <c r="B498" s="1" t="n">
        <v>45475.48303240741</v>
      </c>
      <c r="C498" s="1" t="n">
        <v>45994</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13307-2025</t>
        </is>
      </c>
      <c r="B499" s="1" t="n">
        <v>45735.58024305556</v>
      </c>
      <c r="C499" s="1" t="n">
        <v>45994</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12033-2024</t>
        </is>
      </c>
      <c r="B500" s="1" t="n">
        <v>45377.40043981482</v>
      </c>
      <c r="C500" s="1" t="n">
        <v>45994</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51408-2023</t>
        </is>
      </c>
      <c r="B501" s="1" t="n">
        <v>45219.69356481481</v>
      </c>
      <c r="C501" s="1" t="n">
        <v>45994</v>
      </c>
      <c r="D501" t="inlineStr">
        <is>
          <t>KALMAR LÄN</t>
        </is>
      </c>
      <c r="E501" t="inlineStr">
        <is>
          <t>VIMMERBY</t>
        </is>
      </c>
      <c r="G501" t="n">
        <v>0.7</v>
      </c>
      <c r="H501" t="n">
        <v>0</v>
      </c>
      <c r="I501" t="n">
        <v>0</v>
      </c>
      <c r="J501" t="n">
        <v>0</v>
      </c>
      <c r="K501" t="n">
        <v>0</v>
      </c>
      <c r="L501" t="n">
        <v>0</v>
      </c>
      <c r="M501" t="n">
        <v>0</v>
      </c>
      <c r="N501" t="n">
        <v>0</v>
      </c>
      <c r="O501" t="n">
        <v>0</v>
      </c>
      <c r="P501" t="n">
        <v>0</v>
      </c>
      <c r="Q501" t="n">
        <v>0</v>
      </c>
      <c r="R501" s="2" t="inlineStr"/>
    </row>
    <row r="502" ht="15" customHeight="1">
      <c r="A502" t="inlineStr">
        <is>
          <t>A 55716-2023</t>
        </is>
      </c>
      <c r="B502" s="1" t="n">
        <v>45232</v>
      </c>
      <c r="C502" s="1" t="n">
        <v>45994</v>
      </c>
      <c r="D502" t="inlineStr">
        <is>
          <t>KALMAR LÄN</t>
        </is>
      </c>
      <c r="E502" t="inlineStr">
        <is>
          <t>VIMMERBY</t>
        </is>
      </c>
      <c r="G502" t="n">
        <v>2.3</v>
      </c>
      <c r="H502" t="n">
        <v>0</v>
      </c>
      <c r="I502" t="n">
        <v>0</v>
      </c>
      <c r="J502" t="n">
        <v>0</v>
      </c>
      <c r="K502" t="n">
        <v>0</v>
      </c>
      <c r="L502" t="n">
        <v>0</v>
      </c>
      <c r="M502" t="n">
        <v>0</v>
      </c>
      <c r="N502" t="n">
        <v>0</v>
      </c>
      <c r="O502" t="n">
        <v>0</v>
      </c>
      <c r="P502" t="n">
        <v>0</v>
      </c>
      <c r="Q502" t="n">
        <v>0</v>
      </c>
      <c r="R502" s="2" t="inlineStr"/>
    </row>
    <row r="503" ht="15" customHeight="1">
      <c r="A503" t="inlineStr">
        <is>
          <t>A 49488-2023</t>
        </is>
      </c>
      <c r="B503" s="1" t="n">
        <v>45211.55472222222</v>
      </c>
      <c r="C503" s="1" t="n">
        <v>45994</v>
      </c>
      <c r="D503" t="inlineStr">
        <is>
          <t>KALMAR LÄN</t>
        </is>
      </c>
      <c r="E503" t="inlineStr">
        <is>
          <t>VIMMERBY</t>
        </is>
      </c>
      <c r="F503" t="inlineStr">
        <is>
          <t>Sveaskog</t>
        </is>
      </c>
      <c r="G503" t="n">
        <v>6.2</v>
      </c>
      <c r="H503" t="n">
        <v>0</v>
      </c>
      <c r="I503" t="n">
        <v>0</v>
      </c>
      <c r="J503" t="n">
        <v>0</v>
      </c>
      <c r="K503" t="n">
        <v>0</v>
      </c>
      <c r="L503" t="n">
        <v>0</v>
      </c>
      <c r="M503" t="n">
        <v>0</v>
      </c>
      <c r="N503" t="n">
        <v>0</v>
      </c>
      <c r="O503" t="n">
        <v>0</v>
      </c>
      <c r="P503" t="n">
        <v>0</v>
      </c>
      <c r="Q503" t="n">
        <v>0</v>
      </c>
      <c r="R503" s="2" t="inlineStr"/>
    </row>
    <row r="504" ht="15" customHeight="1">
      <c r="A504" t="inlineStr">
        <is>
          <t>A 18329-2023</t>
        </is>
      </c>
      <c r="B504" s="1" t="n">
        <v>45041.63380787037</v>
      </c>
      <c r="C504" s="1" t="n">
        <v>45994</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8410-2023</t>
        </is>
      </c>
      <c r="B505" s="1" t="n">
        <v>44977</v>
      </c>
      <c r="C505" s="1" t="n">
        <v>45994</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3609-2024</t>
        </is>
      </c>
      <c r="B506" s="1" t="n">
        <v>45320.89128472222</v>
      </c>
      <c r="C506" s="1" t="n">
        <v>45994</v>
      </c>
      <c r="D506" t="inlineStr">
        <is>
          <t>KALMAR LÄN</t>
        </is>
      </c>
      <c r="E506" t="inlineStr">
        <is>
          <t>VIMMERBY</t>
        </is>
      </c>
      <c r="G506" t="n">
        <v>1.7</v>
      </c>
      <c r="H506" t="n">
        <v>0</v>
      </c>
      <c r="I506" t="n">
        <v>0</v>
      </c>
      <c r="J506" t="n">
        <v>0</v>
      </c>
      <c r="K506" t="n">
        <v>0</v>
      </c>
      <c r="L506" t="n">
        <v>0</v>
      </c>
      <c r="M506" t="n">
        <v>0</v>
      </c>
      <c r="N506" t="n">
        <v>0</v>
      </c>
      <c r="O506" t="n">
        <v>0</v>
      </c>
      <c r="P506" t="n">
        <v>0</v>
      </c>
      <c r="Q506" t="n">
        <v>0</v>
      </c>
      <c r="R506" s="2" t="inlineStr"/>
    </row>
    <row r="507" ht="15" customHeight="1">
      <c r="A507" t="inlineStr">
        <is>
          <t>A 30920-2024</t>
        </is>
      </c>
      <c r="B507" s="1" t="n">
        <v>45498.673125</v>
      </c>
      <c r="C507" s="1" t="n">
        <v>45994</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13015-2023</t>
        </is>
      </c>
      <c r="B508" s="1" t="n">
        <v>45002</v>
      </c>
      <c r="C508" s="1" t="n">
        <v>45994</v>
      </c>
      <c r="D508" t="inlineStr">
        <is>
          <t>KALMAR LÄN</t>
        </is>
      </c>
      <c r="E508" t="inlineStr">
        <is>
          <t>VIMMERBY</t>
        </is>
      </c>
      <c r="G508" t="n">
        <v>3.2</v>
      </c>
      <c r="H508" t="n">
        <v>0</v>
      </c>
      <c r="I508" t="n">
        <v>0</v>
      </c>
      <c r="J508" t="n">
        <v>0</v>
      </c>
      <c r="K508" t="n">
        <v>0</v>
      </c>
      <c r="L508" t="n">
        <v>0</v>
      </c>
      <c r="M508" t="n">
        <v>0</v>
      </c>
      <c r="N508" t="n">
        <v>0</v>
      </c>
      <c r="O508" t="n">
        <v>0</v>
      </c>
      <c r="P508" t="n">
        <v>0</v>
      </c>
      <c r="Q508" t="n">
        <v>0</v>
      </c>
      <c r="R508" s="2" t="inlineStr"/>
    </row>
    <row r="509" ht="15" customHeight="1">
      <c r="A509" t="inlineStr">
        <is>
          <t>A 10424-2023</t>
        </is>
      </c>
      <c r="B509" s="1" t="n">
        <v>44987.54104166666</v>
      </c>
      <c r="C509" s="1" t="n">
        <v>45994</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29186-2024</t>
        </is>
      </c>
      <c r="B510" s="1" t="n">
        <v>45482.54844907407</v>
      </c>
      <c r="C510" s="1" t="n">
        <v>45994</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49382-2023</t>
        </is>
      </c>
      <c r="B511" s="1" t="n">
        <v>45208</v>
      </c>
      <c r="C511" s="1" t="n">
        <v>45994</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12810-2023</t>
        </is>
      </c>
      <c r="B512" s="1" t="n">
        <v>45001.43854166667</v>
      </c>
      <c r="C512" s="1" t="n">
        <v>45994</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3425-2022</t>
        </is>
      </c>
      <c r="B513" s="1" t="n">
        <v>44585.51060185185</v>
      </c>
      <c r="C513" s="1" t="n">
        <v>45994</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60675-2023</t>
        </is>
      </c>
      <c r="B514" s="1" t="n">
        <v>45260.4716550926</v>
      </c>
      <c r="C514" s="1" t="n">
        <v>45994</v>
      </c>
      <c r="D514" t="inlineStr">
        <is>
          <t>KALMAR LÄN</t>
        </is>
      </c>
      <c r="E514" t="inlineStr">
        <is>
          <t>VIMMERBY</t>
        </is>
      </c>
      <c r="G514" t="n">
        <v>1.2</v>
      </c>
      <c r="H514" t="n">
        <v>0</v>
      </c>
      <c r="I514" t="n">
        <v>0</v>
      </c>
      <c r="J514" t="n">
        <v>0</v>
      </c>
      <c r="K514" t="n">
        <v>0</v>
      </c>
      <c r="L514" t="n">
        <v>0</v>
      </c>
      <c r="M514" t="n">
        <v>0</v>
      </c>
      <c r="N514" t="n">
        <v>0</v>
      </c>
      <c r="O514" t="n">
        <v>0</v>
      </c>
      <c r="P514" t="n">
        <v>0</v>
      </c>
      <c r="Q514" t="n">
        <v>0</v>
      </c>
      <c r="R514" s="2" t="inlineStr"/>
    </row>
    <row r="515" ht="15" customHeight="1">
      <c r="A515" t="inlineStr">
        <is>
          <t>A 50993-2022</t>
        </is>
      </c>
      <c r="B515" s="1" t="n">
        <v>44867</v>
      </c>
      <c r="C515" s="1" t="n">
        <v>45994</v>
      </c>
      <c r="D515" t="inlineStr">
        <is>
          <t>KALMAR LÄN</t>
        </is>
      </c>
      <c r="E515" t="inlineStr">
        <is>
          <t>VIMMERBY</t>
        </is>
      </c>
      <c r="G515" t="n">
        <v>1.7</v>
      </c>
      <c r="H515" t="n">
        <v>0</v>
      </c>
      <c r="I515" t="n">
        <v>0</v>
      </c>
      <c r="J515" t="n">
        <v>0</v>
      </c>
      <c r="K515" t="n">
        <v>0</v>
      </c>
      <c r="L515" t="n">
        <v>0</v>
      </c>
      <c r="M515" t="n">
        <v>0</v>
      </c>
      <c r="N515" t="n">
        <v>0</v>
      </c>
      <c r="O515" t="n">
        <v>0</v>
      </c>
      <c r="P515" t="n">
        <v>0</v>
      </c>
      <c r="Q515" t="n">
        <v>0</v>
      </c>
      <c r="R515" s="2" t="inlineStr"/>
    </row>
    <row r="516" ht="15" customHeight="1">
      <c r="A516" t="inlineStr">
        <is>
          <t>A 2536-2023</t>
        </is>
      </c>
      <c r="B516" s="1" t="n">
        <v>44943.62954861111</v>
      </c>
      <c r="C516" s="1" t="n">
        <v>45994</v>
      </c>
      <c r="D516" t="inlineStr">
        <is>
          <t>KALMAR LÄN</t>
        </is>
      </c>
      <c r="E516" t="inlineStr">
        <is>
          <t>VIMMERBY</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40929-2022</t>
        </is>
      </c>
      <c r="B517" s="1" t="n">
        <v>44825.4336574074</v>
      </c>
      <c r="C517" s="1" t="n">
        <v>45994</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57578-2024</t>
        </is>
      </c>
      <c r="B518" s="1" t="n">
        <v>45630.47564814815</v>
      </c>
      <c r="C518" s="1" t="n">
        <v>45994</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50091-2023</t>
        </is>
      </c>
      <c r="B519" s="1" t="n">
        <v>45215.60199074074</v>
      </c>
      <c r="C519" s="1" t="n">
        <v>45994</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36008-2024</t>
        </is>
      </c>
      <c r="B520" s="1" t="n">
        <v>45533.55362268518</v>
      </c>
      <c r="C520" s="1" t="n">
        <v>45994</v>
      </c>
      <c r="D520" t="inlineStr">
        <is>
          <t>KALMAR LÄN</t>
        </is>
      </c>
      <c r="E520" t="inlineStr">
        <is>
          <t>VIMMERBY</t>
        </is>
      </c>
      <c r="G520" t="n">
        <v>3.7</v>
      </c>
      <c r="H520" t="n">
        <v>0</v>
      </c>
      <c r="I520" t="n">
        <v>0</v>
      </c>
      <c r="J520" t="n">
        <v>0</v>
      </c>
      <c r="K520" t="n">
        <v>0</v>
      </c>
      <c r="L520" t="n">
        <v>0</v>
      </c>
      <c r="M520" t="n">
        <v>0</v>
      </c>
      <c r="N520" t="n">
        <v>0</v>
      </c>
      <c r="O520" t="n">
        <v>0</v>
      </c>
      <c r="P520" t="n">
        <v>0</v>
      </c>
      <c r="Q520" t="n">
        <v>0</v>
      </c>
      <c r="R520" s="2" t="inlineStr"/>
    </row>
    <row r="521" ht="15" customHeight="1">
      <c r="A521" t="inlineStr">
        <is>
          <t>A 54787-2023</t>
        </is>
      </c>
      <c r="B521" s="1" t="n">
        <v>45236</v>
      </c>
      <c r="C521" s="1" t="n">
        <v>45994</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32614-2023</t>
        </is>
      </c>
      <c r="B522" s="1" t="n">
        <v>45121</v>
      </c>
      <c r="C522" s="1" t="n">
        <v>45994</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11111-2024</t>
        </is>
      </c>
      <c r="B523" s="1" t="n">
        <v>45371.36359953704</v>
      </c>
      <c r="C523" s="1" t="n">
        <v>45994</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6850-2023</t>
        </is>
      </c>
      <c r="B524" s="1" t="n">
        <v>44967.44255787037</v>
      </c>
      <c r="C524" s="1" t="n">
        <v>45994</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16622-2025</t>
        </is>
      </c>
      <c r="B525" s="1" t="n">
        <v>45754.33641203704</v>
      </c>
      <c r="C525" s="1" t="n">
        <v>45994</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58750-2022</t>
        </is>
      </c>
      <c r="B526" s="1" t="n">
        <v>44903.33363425926</v>
      </c>
      <c r="C526" s="1" t="n">
        <v>45994</v>
      </c>
      <c r="D526" t="inlineStr">
        <is>
          <t>KALMAR LÄN</t>
        </is>
      </c>
      <c r="E526" t="inlineStr">
        <is>
          <t>VIMMERBY</t>
        </is>
      </c>
      <c r="G526" t="n">
        <v>3.3</v>
      </c>
      <c r="H526" t="n">
        <v>0</v>
      </c>
      <c r="I526" t="n">
        <v>0</v>
      </c>
      <c r="J526" t="n">
        <v>0</v>
      </c>
      <c r="K526" t="n">
        <v>0</v>
      </c>
      <c r="L526" t="n">
        <v>0</v>
      </c>
      <c r="M526" t="n">
        <v>0</v>
      </c>
      <c r="N526" t="n">
        <v>0</v>
      </c>
      <c r="O526" t="n">
        <v>0</v>
      </c>
      <c r="P526" t="n">
        <v>0</v>
      </c>
      <c r="Q526" t="n">
        <v>0</v>
      </c>
      <c r="R526" s="2" t="inlineStr"/>
    </row>
    <row r="527" ht="15" customHeight="1">
      <c r="A527" t="inlineStr">
        <is>
          <t>A 17511-2024</t>
        </is>
      </c>
      <c r="B527" s="1" t="n">
        <v>45415.57682870371</v>
      </c>
      <c r="C527" s="1" t="n">
        <v>45994</v>
      </c>
      <c r="D527" t="inlineStr">
        <is>
          <t>KALMAR LÄN</t>
        </is>
      </c>
      <c r="E527" t="inlineStr">
        <is>
          <t>VIMMERBY</t>
        </is>
      </c>
      <c r="G527" t="n">
        <v>5.3</v>
      </c>
      <c r="H527" t="n">
        <v>0</v>
      </c>
      <c r="I527" t="n">
        <v>0</v>
      </c>
      <c r="J527" t="n">
        <v>0</v>
      </c>
      <c r="K527" t="n">
        <v>0</v>
      </c>
      <c r="L527" t="n">
        <v>0</v>
      </c>
      <c r="M527" t="n">
        <v>0</v>
      </c>
      <c r="N527" t="n">
        <v>0</v>
      </c>
      <c r="O527" t="n">
        <v>0</v>
      </c>
      <c r="P527" t="n">
        <v>0</v>
      </c>
      <c r="Q527" t="n">
        <v>0</v>
      </c>
      <c r="R527" s="2" t="inlineStr"/>
    </row>
    <row r="528" ht="15" customHeight="1">
      <c r="A528" t="inlineStr">
        <is>
          <t>A 43705-2023</t>
        </is>
      </c>
      <c r="B528" s="1" t="n">
        <v>45187.42854166667</v>
      </c>
      <c r="C528" s="1" t="n">
        <v>45994</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41158-2023</t>
        </is>
      </c>
      <c r="B529" s="1" t="n">
        <v>45174.31395833333</v>
      </c>
      <c r="C529" s="1" t="n">
        <v>45994</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2510-2023</t>
        </is>
      </c>
      <c r="B530" s="1" t="n">
        <v>44943.57309027778</v>
      </c>
      <c r="C530" s="1" t="n">
        <v>45994</v>
      </c>
      <c r="D530" t="inlineStr">
        <is>
          <t>KALMAR LÄN</t>
        </is>
      </c>
      <c r="E530" t="inlineStr">
        <is>
          <t>VIMMERBY</t>
        </is>
      </c>
      <c r="G530" t="n">
        <v>8.6</v>
      </c>
      <c r="H530" t="n">
        <v>0</v>
      </c>
      <c r="I530" t="n">
        <v>0</v>
      </c>
      <c r="J530" t="n">
        <v>0</v>
      </c>
      <c r="K530" t="n">
        <v>0</v>
      </c>
      <c r="L530" t="n">
        <v>0</v>
      </c>
      <c r="M530" t="n">
        <v>0</v>
      </c>
      <c r="N530" t="n">
        <v>0</v>
      </c>
      <c r="O530" t="n">
        <v>0</v>
      </c>
      <c r="P530" t="n">
        <v>0</v>
      </c>
      <c r="Q530" t="n">
        <v>0</v>
      </c>
      <c r="R530" s="2" t="inlineStr"/>
    </row>
    <row r="531" ht="15" customHeight="1">
      <c r="A531" t="inlineStr">
        <is>
          <t>A 1687-2023</t>
        </is>
      </c>
      <c r="B531" s="1" t="n">
        <v>44938</v>
      </c>
      <c r="C531" s="1" t="n">
        <v>45994</v>
      </c>
      <c r="D531" t="inlineStr">
        <is>
          <t>KALMAR LÄN</t>
        </is>
      </c>
      <c r="E531" t="inlineStr">
        <is>
          <t>VIMMERBY</t>
        </is>
      </c>
      <c r="F531" t="inlineStr">
        <is>
          <t>Kommuner</t>
        </is>
      </c>
      <c r="G531" t="n">
        <v>2.5</v>
      </c>
      <c r="H531" t="n">
        <v>0</v>
      </c>
      <c r="I531" t="n">
        <v>0</v>
      </c>
      <c r="J531" t="n">
        <v>0</v>
      </c>
      <c r="K531" t="n">
        <v>0</v>
      </c>
      <c r="L531" t="n">
        <v>0</v>
      </c>
      <c r="M531" t="n">
        <v>0</v>
      </c>
      <c r="N531" t="n">
        <v>0</v>
      </c>
      <c r="O531" t="n">
        <v>0</v>
      </c>
      <c r="P531" t="n">
        <v>0</v>
      </c>
      <c r="Q531" t="n">
        <v>0</v>
      </c>
      <c r="R531" s="2" t="inlineStr"/>
    </row>
    <row r="532" ht="15" customHeight="1">
      <c r="A532" t="inlineStr">
        <is>
          <t>A 55300-2021</t>
        </is>
      </c>
      <c r="B532" s="1" t="n">
        <v>44475</v>
      </c>
      <c r="C532" s="1" t="n">
        <v>45994</v>
      </c>
      <c r="D532" t="inlineStr">
        <is>
          <t>KALMAR LÄN</t>
        </is>
      </c>
      <c r="E532" t="inlineStr">
        <is>
          <t>VIMMERBY</t>
        </is>
      </c>
      <c r="G532" t="n">
        <v>3.4</v>
      </c>
      <c r="H532" t="n">
        <v>0</v>
      </c>
      <c r="I532" t="n">
        <v>0</v>
      </c>
      <c r="J532" t="n">
        <v>0</v>
      </c>
      <c r="K532" t="n">
        <v>0</v>
      </c>
      <c r="L532" t="n">
        <v>0</v>
      </c>
      <c r="M532" t="n">
        <v>0</v>
      </c>
      <c r="N532" t="n">
        <v>0</v>
      </c>
      <c r="O532" t="n">
        <v>0</v>
      </c>
      <c r="P532" t="n">
        <v>0</v>
      </c>
      <c r="Q532" t="n">
        <v>0</v>
      </c>
      <c r="R532" s="2" t="inlineStr"/>
    </row>
    <row r="533" ht="15" customHeight="1">
      <c r="A533" t="inlineStr">
        <is>
          <t>A 3269-2024</t>
        </is>
      </c>
      <c r="B533" s="1" t="n">
        <v>45317.40372685185</v>
      </c>
      <c r="C533" s="1" t="n">
        <v>45994</v>
      </c>
      <c r="D533" t="inlineStr">
        <is>
          <t>KALMAR LÄN</t>
        </is>
      </c>
      <c r="E533" t="inlineStr">
        <is>
          <t>VIMMERBY</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48120-2022</t>
        </is>
      </c>
      <c r="B534" s="1" t="n">
        <v>44857.65989583333</v>
      </c>
      <c r="C534" s="1" t="n">
        <v>45994</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3494-2023</t>
        </is>
      </c>
      <c r="B535" s="1" t="n">
        <v>44949</v>
      </c>
      <c r="C535" s="1" t="n">
        <v>45994</v>
      </c>
      <c r="D535" t="inlineStr">
        <is>
          <t>KALMAR LÄN</t>
        </is>
      </c>
      <c r="E535" t="inlineStr">
        <is>
          <t>VIMMERBY</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6368-2023</t>
        </is>
      </c>
      <c r="B536" s="1" t="n">
        <v>44965</v>
      </c>
      <c r="C536" s="1" t="n">
        <v>45994</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9416-2024</t>
        </is>
      </c>
      <c r="B537" s="1" t="n">
        <v>45359.44837962963</v>
      </c>
      <c r="C537" s="1" t="n">
        <v>45994</v>
      </c>
      <c r="D537" t="inlineStr">
        <is>
          <t>KALMAR LÄN</t>
        </is>
      </c>
      <c r="E537" t="inlineStr">
        <is>
          <t>VIMMERBY</t>
        </is>
      </c>
      <c r="G537" t="n">
        <v>3.2</v>
      </c>
      <c r="H537" t="n">
        <v>0</v>
      </c>
      <c r="I537" t="n">
        <v>0</v>
      </c>
      <c r="J537" t="n">
        <v>0</v>
      </c>
      <c r="K537" t="n">
        <v>0</v>
      </c>
      <c r="L537" t="n">
        <v>0</v>
      </c>
      <c r="M537" t="n">
        <v>0</v>
      </c>
      <c r="N537" t="n">
        <v>0</v>
      </c>
      <c r="O537" t="n">
        <v>0</v>
      </c>
      <c r="P537" t="n">
        <v>0</v>
      </c>
      <c r="Q537" t="n">
        <v>0</v>
      </c>
      <c r="R537" s="2" t="inlineStr"/>
    </row>
    <row r="538" ht="15" customHeight="1">
      <c r="A538" t="inlineStr">
        <is>
          <t>A 44179-2022</t>
        </is>
      </c>
      <c r="B538" s="1" t="n">
        <v>44839.4528125</v>
      </c>
      <c r="C538" s="1" t="n">
        <v>45994</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6307-2025</t>
        </is>
      </c>
      <c r="B539" s="1" t="n">
        <v>45698.69016203703</v>
      </c>
      <c r="C539" s="1" t="n">
        <v>45994</v>
      </c>
      <c r="D539" t="inlineStr">
        <is>
          <t>KALMAR LÄN</t>
        </is>
      </c>
      <c r="E539" t="inlineStr">
        <is>
          <t>VIMMERBY</t>
        </is>
      </c>
      <c r="G539" t="n">
        <v>3</v>
      </c>
      <c r="H539" t="n">
        <v>0</v>
      </c>
      <c r="I539" t="n">
        <v>0</v>
      </c>
      <c r="J539" t="n">
        <v>0</v>
      </c>
      <c r="K539" t="n">
        <v>0</v>
      </c>
      <c r="L539" t="n">
        <v>0</v>
      </c>
      <c r="M539" t="n">
        <v>0</v>
      </c>
      <c r="N539" t="n">
        <v>0</v>
      </c>
      <c r="O539" t="n">
        <v>0</v>
      </c>
      <c r="P539" t="n">
        <v>0</v>
      </c>
      <c r="Q539" t="n">
        <v>0</v>
      </c>
      <c r="R539" s="2" t="inlineStr"/>
    </row>
    <row r="540" ht="15" customHeight="1">
      <c r="A540" t="inlineStr">
        <is>
          <t>A 52755-2022</t>
        </is>
      </c>
      <c r="B540" s="1" t="n">
        <v>44875.27736111111</v>
      </c>
      <c r="C540" s="1" t="n">
        <v>45994</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2797-2023</t>
        </is>
      </c>
      <c r="B541" s="1" t="n">
        <v>44944.71386574074</v>
      </c>
      <c r="C541" s="1" t="n">
        <v>45994</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2799-2023</t>
        </is>
      </c>
      <c r="B542" s="1" t="n">
        <v>44944.72100694444</v>
      </c>
      <c r="C542" s="1" t="n">
        <v>45994</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35998-2024</t>
        </is>
      </c>
      <c r="B543" s="1" t="n">
        <v>45533.54429398148</v>
      </c>
      <c r="C543" s="1" t="n">
        <v>45994</v>
      </c>
      <c r="D543" t="inlineStr">
        <is>
          <t>KALMAR LÄN</t>
        </is>
      </c>
      <c r="E543" t="inlineStr">
        <is>
          <t>VIMMERBY</t>
        </is>
      </c>
      <c r="G543" t="n">
        <v>8.6</v>
      </c>
      <c r="H543" t="n">
        <v>0</v>
      </c>
      <c r="I543" t="n">
        <v>0</v>
      </c>
      <c r="J543" t="n">
        <v>0</v>
      </c>
      <c r="K543" t="n">
        <v>0</v>
      </c>
      <c r="L543" t="n">
        <v>0</v>
      </c>
      <c r="M543" t="n">
        <v>0</v>
      </c>
      <c r="N543" t="n">
        <v>0</v>
      </c>
      <c r="O543" t="n">
        <v>0</v>
      </c>
      <c r="P543" t="n">
        <v>0</v>
      </c>
      <c r="Q543" t="n">
        <v>0</v>
      </c>
      <c r="R543" s="2" t="inlineStr"/>
    </row>
    <row r="544" ht="15" customHeight="1">
      <c r="A544" t="inlineStr">
        <is>
          <t>A 11442-2025</t>
        </is>
      </c>
      <c r="B544" s="1" t="n">
        <v>45726.62721064815</v>
      </c>
      <c r="C544" s="1" t="n">
        <v>45994</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25987-2024</t>
        </is>
      </c>
      <c r="B545" s="1" t="n">
        <v>45467.74417824074</v>
      </c>
      <c r="C545" s="1" t="n">
        <v>45994</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7797-2023</t>
        </is>
      </c>
      <c r="B546" s="1" t="n">
        <v>44973.43075231482</v>
      </c>
      <c r="C546" s="1" t="n">
        <v>45994</v>
      </c>
      <c r="D546" t="inlineStr">
        <is>
          <t>KALMAR LÄN</t>
        </is>
      </c>
      <c r="E546" t="inlineStr">
        <is>
          <t>VIMMERBY</t>
        </is>
      </c>
      <c r="G546" t="n">
        <v>0.6</v>
      </c>
      <c r="H546" t="n">
        <v>0</v>
      </c>
      <c r="I546" t="n">
        <v>0</v>
      </c>
      <c r="J546" t="n">
        <v>0</v>
      </c>
      <c r="K546" t="n">
        <v>0</v>
      </c>
      <c r="L546" t="n">
        <v>0</v>
      </c>
      <c r="M546" t="n">
        <v>0</v>
      </c>
      <c r="N546" t="n">
        <v>0</v>
      </c>
      <c r="O546" t="n">
        <v>0</v>
      </c>
      <c r="P546" t="n">
        <v>0</v>
      </c>
      <c r="Q546" t="n">
        <v>0</v>
      </c>
      <c r="R546" s="2" t="inlineStr"/>
    </row>
    <row r="547" ht="15" customHeight="1">
      <c r="A547" t="inlineStr">
        <is>
          <t>A 22194-2024</t>
        </is>
      </c>
      <c r="B547" s="1" t="n">
        <v>45446.36482638889</v>
      </c>
      <c r="C547" s="1" t="n">
        <v>45994</v>
      </c>
      <c r="D547" t="inlineStr">
        <is>
          <t>KALMAR LÄN</t>
        </is>
      </c>
      <c r="E547" t="inlineStr">
        <is>
          <t>VIMMERBY</t>
        </is>
      </c>
      <c r="F547" t="inlineStr">
        <is>
          <t>Sveaskog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19865-2021</t>
        </is>
      </c>
      <c r="B548" s="1" t="n">
        <v>44312</v>
      </c>
      <c r="C548" s="1" t="n">
        <v>45994</v>
      </c>
      <c r="D548" t="inlineStr">
        <is>
          <t>KALMAR LÄN</t>
        </is>
      </c>
      <c r="E548" t="inlineStr">
        <is>
          <t>VIMMERBY</t>
        </is>
      </c>
      <c r="G548" t="n">
        <v>8.6</v>
      </c>
      <c r="H548" t="n">
        <v>0</v>
      </c>
      <c r="I548" t="n">
        <v>0</v>
      </c>
      <c r="J548" t="n">
        <v>0</v>
      </c>
      <c r="K548" t="n">
        <v>0</v>
      </c>
      <c r="L548" t="n">
        <v>0</v>
      </c>
      <c r="M548" t="n">
        <v>0</v>
      </c>
      <c r="N548" t="n">
        <v>0</v>
      </c>
      <c r="O548" t="n">
        <v>0</v>
      </c>
      <c r="P548" t="n">
        <v>0</v>
      </c>
      <c r="Q548" t="n">
        <v>0</v>
      </c>
      <c r="R548" s="2" t="inlineStr"/>
    </row>
    <row r="549" ht="15" customHeight="1">
      <c r="A549" t="inlineStr">
        <is>
          <t>A 15449-2023</t>
        </is>
      </c>
      <c r="B549" s="1" t="n">
        <v>45020</v>
      </c>
      <c r="C549" s="1" t="n">
        <v>45994</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29351-2023</t>
        </is>
      </c>
      <c r="B550" s="1" t="n">
        <v>45106.2610300926</v>
      </c>
      <c r="C550" s="1" t="n">
        <v>45994</v>
      </c>
      <c r="D550" t="inlineStr">
        <is>
          <t>KALMAR LÄN</t>
        </is>
      </c>
      <c r="E550" t="inlineStr">
        <is>
          <t>VIMMERBY</t>
        </is>
      </c>
      <c r="G550" t="n">
        <v>0.4</v>
      </c>
      <c r="H550" t="n">
        <v>0</v>
      </c>
      <c r="I550" t="n">
        <v>0</v>
      </c>
      <c r="J550" t="n">
        <v>0</v>
      </c>
      <c r="K550" t="n">
        <v>0</v>
      </c>
      <c r="L550" t="n">
        <v>0</v>
      </c>
      <c r="M550" t="n">
        <v>0</v>
      </c>
      <c r="N550" t="n">
        <v>0</v>
      </c>
      <c r="O550" t="n">
        <v>0</v>
      </c>
      <c r="P550" t="n">
        <v>0</v>
      </c>
      <c r="Q550" t="n">
        <v>0</v>
      </c>
      <c r="R550" s="2" t="inlineStr"/>
    </row>
    <row r="551" ht="15" customHeight="1">
      <c r="A551" t="inlineStr">
        <is>
          <t>A 43242-2024</t>
        </is>
      </c>
      <c r="B551" s="1" t="n">
        <v>45568.30189814815</v>
      </c>
      <c r="C551" s="1" t="n">
        <v>45994</v>
      </c>
      <c r="D551" t="inlineStr">
        <is>
          <t>KALMAR LÄN</t>
        </is>
      </c>
      <c r="E551" t="inlineStr">
        <is>
          <t>VIMMERBY</t>
        </is>
      </c>
      <c r="G551" t="n">
        <v>2.6</v>
      </c>
      <c r="H551" t="n">
        <v>0</v>
      </c>
      <c r="I551" t="n">
        <v>0</v>
      </c>
      <c r="J551" t="n">
        <v>0</v>
      </c>
      <c r="K551" t="n">
        <v>0</v>
      </c>
      <c r="L551" t="n">
        <v>0</v>
      </c>
      <c r="M551" t="n">
        <v>0</v>
      </c>
      <c r="N551" t="n">
        <v>0</v>
      </c>
      <c r="O551" t="n">
        <v>0</v>
      </c>
      <c r="P551" t="n">
        <v>0</v>
      </c>
      <c r="Q551" t="n">
        <v>0</v>
      </c>
      <c r="R551" s="2" t="inlineStr"/>
    </row>
    <row r="552" ht="15" customHeight="1">
      <c r="A552" t="inlineStr">
        <is>
          <t>A 7630-2025</t>
        </is>
      </c>
      <c r="B552" s="1" t="n">
        <v>45705.74418981482</v>
      </c>
      <c r="C552" s="1" t="n">
        <v>45994</v>
      </c>
      <c r="D552" t="inlineStr">
        <is>
          <t>KALMAR LÄN</t>
        </is>
      </c>
      <c r="E552" t="inlineStr">
        <is>
          <t>VIMMERBY</t>
        </is>
      </c>
      <c r="G552" t="n">
        <v>2.5</v>
      </c>
      <c r="H552" t="n">
        <v>0</v>
      </c>
      <c r="I552" t="n">
        <v>0</v>
      </c>
      <c r="J552" t="n">
        <v>0</v>
      </c>
      <c r="K552" t="n">
        <v>0</v>
      </c>
      <c r="L552" t="n">
        <v>0</v>
      </c>
      <c r="M552" t="n">
        <v>0</v>
      </c>
      <c r="N552" t="n">
        <v>0</v>
      </c>
      <c r="O552" t="n">
        <v>0</v>
      </c>
      <c r="P552" t="n">
        <v>0</v>
      </c>
      <c r="Q552" t="n">
        <v>0</v>
      </c>
      <c r="R552" s="2" t="inlineStr"/>
    </row>
    <row r="553" ht="15" customHeight="1">
      <c r="A553" t="inlineStr">
        <is>
          <t>A 1024-2024</t>
        </is>
      </c>
      <c r="B553" s="1" t="n">
        <v>45301.68237268519</v>
      </c>
      <c r="C553" s="1" t="n">
        <v>45994</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12630-2023</t>
        </is>
      </c>
      <c r="B554" s="1" t="n">
        <v>45000.47998842593</v>
      </c>
      <c r="C554" s="1" t="n">
        <v>45994</v>
      </c>
      <c r="D554" t="inlineStr">
        <is>
          <t>KALMAR LÄN</t>
        </is>
      </c>
      <c r="E554" t="inlineStr">
        <is>
          <t>VIMMERBY</t>
        </is>
      </c>
      <c r="G554" t="n">
        <v>2.1</v>
      </c>
      <c r="H554" t="n">
        <v>0</v>
      </c>
      <c r="I554" t="n">
        <v>0</v>
      </c>
      <c r="J554" t="n">
        <v>0</v>
      </c>
      <c r="K554" t="n">
        <v>0</v>
      </c>
      <c r="L554" t="n">
        <v>0</v>
      </c>
      <c r="M554" t="n">
        <v>0</v>
      </c>
      <c r="N554" t="n">
        <v>0</v>
      </c>
      <c r="O554" t="n">
        <v>0</v>
      </c>
      <c r="P554" t="n">
        <v>0</v>
      </c>
      <c r="Q554" t="n">
        <v>0</v>
      </c>
      <c r="R554" s="2" t="inlineStr"/>
    </row>
    <row r="555" ht="15" customHeight="1">
      <c r="A555" t="inlineStr">
        <is>
          <t>A 21109-2024</t>
        </is>
      </c>
      <c r="B555" s="1" t="n">
        <v>45440.28329861111</v>
      </c>
      <c r="C555" s="1" t="n">
        <v>45994</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30634-2024</t>
        </is>
      </c>
      <c r="B556" s="1" t="n">
        <v>45495</v>
      </c>
      <c r="C556" s="1" t="n">
        <v>45994</v>
      </c>
      <c r="D556" t="inlineStr">
        <is>
          <t>KALMAR LÄN</t>
        </is>
      </c>
      <c r="E556" t="inlineStr">
        <is>
          <t>VIMMERBY</t>
        </is>
      </c>
      <c r="G556" t="n">
        <v>1.2</v>
      </c>
      <c r="H556" t="n">
        <v>0</v>
      </c>
      <c r="I556" t="n">
        <v>0</v>
      </c>
      <c r="J556" t="n">
        <v>0</v>
      </c>
      <c r="K556" t="n">
        <v>0</v>
      </c>
      <c r="L556" t="n">
        <v>0</v>
      </c>
      <c r="M556" t="n">
        <v>0</v>
      </c>
      <c r="N556" t="n">
        <v>0</v>
      </c>
      <c r="O556" t="n">
        <v>0</v>
      </c>
      <c r="P556" t="n">
        <v>0</v>
      </c>
      <c r="Q556" t="n">
        <v>0</v>
      </c>
      <c r="R556" s="2" t="inlineStr"/>
    </row>
    <row r="557" ht="15" customHeight="1">
      <c r="A557" t="inlineStr">
        <is>
          <t>A 10787-2025</t>
        </is>
      </c>
      <c r="B557" s="1" t="n">
        <v>45722.48915509259</v>
      </c>
      <c r="C557" s="1" t="n">
        <v>45994</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40260-2024</t>
        </is>
      </c>
      <c r="B558" s="1" t="n">
        <v>45554.63225694445</v>
      </c>
      <c r="C558" s="1" t="n">
        <v>45994</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56853-2022</t>
        </is>
      </c>
      <c r="B559" s="1" t="n">
        <v>44894.49538194444</v>
      </c>
      <c r="C559" s="1" t="n">
        <v>45994</v>
      </c>
      <c r="D559" t="inlineStr">
        <is>
          <t>KALMAR LÄN</t>
        </is>
      </c>
      <c r="E559" t="inlineStr">
        <is>
          <t>VIMMERBY</t>
        </is>
      </c>
      <c r="G559" t="n">
        <v>4.3</v>
      </c>
      <c r="H559" t="n">
        <v>0</v>
      </c>
      <c r="I559" t="n">
        <v>0</v>
      </c>
      <c r="J559" t="n">
        <v>0</v>
      </c>
      <c r="K559" t="n">
        <v>0</v>
      </c>
      <c r="L559" t="n">
        <v>0</v>
      </c>
      <c r="M559" t="n">
        <v>0</v>
      </c>
      <c r="N559" t="n">
        <v>0</v>
      </c>
      <c r="O559" t="n">
        <v>0</v>
      </c>
      <c r="P559" t="n">
        <v>0</v>
      </c>
      <c r="Q559" t="n">
        <v>0</v>
      </c>
      <c r="R559" s="2" t="inlineStr"/>
    </row>
    <row r="560" ht="15" customHeight="1">
      <c r="A560" t="inlineStr">
        <is>
          <t>A 59943-2023</t>
        </is>
      </c>
      <c r="B560" s="1" t="n">
        <v>45257.67958333333</v>
      </c>
      <c r="C560" s="1" t="n">
        <v>45994</v>
      </c>
      <c r="D560" t="inlineStr">
        <is>
          <t>KALMAR LÄN</t>
        </is>
      </c>
      <c r="E560" t="inlineStr">
        <is>
          <t>VIMMERBY</t>
        </is>
      </c>
      <c r="G560" t="n">
        <v>6.4</v>
      </c>
      <c r="H560" t="n">
        <v>0</v>
      </c>
      <c r="I560" t="n">
        <v>0</v>
      </c>
      <c r="J560" t="n">
        <v>0</v>
      </c>
      <c r="K560" t="n">
        <v>0</v>
      </c>
      <c r="L560" t="n">
        <v>0</v>
      </c>
      <c r="M560" t="n">
        <v>0</v>
      </c>
      <c r="N560" t="n">
        <v>0</v>
      </c>
      <c r="O560" t="n">
        <v>0</v>
      </c>
      <c r="P560" t="n">
        <v>0</v>
      </c>
      <c r="Q560" t="n">
        <v>0</v>
      </c>
      <c r="R560" s="2" t="inlineStr"/>
    </row>
    <row r="561" ht="15" customHeight="1">
      <c r="A561" t="inlineStr">
        <is>
          <t>A 65049-2020</t>
        </is>
      </c>
      <c r="B561" s="1" t="n">
        <v>44172</v>
      </c>
      <c r="C561" s="1" t="n">
        <v>45994</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29350-2023</t>
        </is>
      </c>
      <c r="B562" s="1" t="n">
        <v>45106</v>
      </c>
      <c r="C562" s="1" t="n">
        <v>45994</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14855-2025</t>
        </is>
      </c>
      <c r="B563" s="1" t="n">
        <v>45743.41148148148</v>
      </c>
      <c r="C563" s="1" t="n">
        <v>45994</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43601-2024</t>
        </is>
      </c>
      <c r="B564" s="1" t="n">
        <v>45569.44684027778</v>
      </c>
      <c r="C564" s="1" t="n">
        <v>45994</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5527-2022</t>
        </is>
      </c>
      <c r="B565" s="1" t="n">
        <v>44595.583125</v>
      </c>
      <c r="C565" s="1" t="n">
        <v>45994</v>
      </c>
      <c r="D565" t="inlineStr">
        <is>
          <t>KALMAR LÄN</t>
        </is>
      </c>
      <c r="E565" t="inlineStr">
        <is>
          <t>VIMMERBY</t>
        </is>
      </c>
      <c r="G565" t="n">
        <v>3.6</v>
      </c>
      <c r="H565" t="n">
        <v>0</v>
      </c>
      <c r="I565" t="n">
        <v>0</v>
      </c>
      <c r="J565" t="n">
        <v>0</v>
      </c>
      <c r="K565" t="n">
        <v>0</v>
      </c>
      <c r="L565" t="n">
        <v>0</v>
      </c>
      <c r="M565" t="n">
        <v>0</v>
      </c>
      <c r="N565" t="n">
        <v>0</v>
      </c>
      <c r="O565" t="n">
        <v>0</v>
      </c>
      <c r="P565" t="n">
        <v>0</v>
      </c>
      <c r="Q565" t="n">
        <v>0</v>
      </c>
      <c r="R565" s="2" t="inlineStr"/>
    </row>
    <row r="566" ht="15" customHeight="1">
      <c r="A566" t="inlineStr">
        <is>
          <t>A 35913-2023</t>
        </is>
      </c>
      <c r="B566" s="1" t="n">
        <v>45148</v>
      </c>
      <c r="C566" s="1" t="n">
        <v>45994</v>
      </c>
      <c r="D566" t="inlineStr">
        <is>
          <t>KALMAR LÄN</t>
        </is>
      </c>
      <c r="E566" t="inlineStr">
        <is>
          <t>VIMMERBY</t>
        </is>
      </c>
      <c r="G566" t="n">
        <v>6.9</v>
      </c>
      <c r="H566" t="n">
        <v>0</v>
      </c>
      <c r="I566" t="n">
        <v>0</v>
      </c>
      <c r="J566" t="n">
        <v>0</v>
      </c>
      <c r="K566" t="n">
        <v>0</v>
      </c>
      <c r="L566" t="n">
        <v>0</v>
      </c>
      <c r="M566" t="n">
        <v>0</v>
      </c>
      <c r="N566" t="n">
        <v>0</v>
      </c>
      <c r="O566" t="n">
        <v>0</v>
      </c>
      <c r="P566" t="n">
        <v>0</v>
      </c>
      <c r="Q566" t="n">
        <v>0</v>
      </c>
      <c r="R566" s="2" t="inlineStr"/>
    </row>
    <row r="567" ht="15" customHeight="1">
      <c r="A567" t="inlineStr">
        <is>
          <t>A 33815-2022</t>
        </is>
      </c>
      <c r="B567" s="1" t="n">
        <v>44790.45876157407</v>
      </c>
      <c r="C567" s="1" t="n">
        <v>45994</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33842-2022</t>
        </is>
      </c>
      <c r="B568" s="1" t="n">
        <v>44790.49523148148</v>
      </c>
      <c r="C568" s="1" t="n">
        <v>45994</v>
      </c>
      <c r="D568" t="inlineStr">
        <is>
          <t>KALMAR LÄN</t>
        </is>
      </c>
      <c r="E568" t="inlineStr">
        <is>
          <t>VIMMERBY</t>
        </is>
      </c>
      <c r="G568" t="n">
        <v>1.6</v>
      </c>
      <c r="H568" t="n">
        <v>0</v>
      </c>
      <c r="I568" t="n">
        <v>0</v>
      </c>
      <c r="J568" t="n">
        <v>0</v>
      </c>
      <c r="K568" t="n">
        <v>0</v>
      </c>
      <c r="L568" t="n">
        <v>0</v>
      </c>
      <c r="M568" t="n">
        <v>0</v>
      </c>
      <c r="N568" t="n">
        <v>0</v>
      </c>
      <c r="O568" t="n">
        <v>0</v>
      </c>
      <c r="P568" t="n">
        <v>0</v>
      </c>
      <c r="Q568" t="n">
        <v>0</v>
      </c>
      <c r="R568" s="2" t="inlineStr"/>
    </row>
    <row r="569" ht="15" customHeight="1">
      <c r="A569" t="inlineStr">
        <is>
          <t>A 12325-2023</t>
        </is>
      </c>
      <c r="B569" s="1" t="n">
        <v>44999.35858796296</v>
      </c>
      <c r="C569" s="1" t="n">
        <v>45994</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9624-2024</t>
        </is>
      </c>
      <c r="B570" s="1" t="n">
        <v>45361.90282407407</v>
      </c>
      <c r="C570" s="1" t="n">
        <v>45994</v>
      </c>
      <c r="D570" t="inlineStr">
        <is>
          <t>KALMAR LÄN</t>
        </is>
      </c>
      <c r="E570" t="inlineStr">
        <is>
          <t>VIMMERBY</t>
        </is>
      </c>
      <c r="G570" t="n">
        <v>3.8</v>
      </c>
      <c r="H570" t="n">
        <v>0</v>
      </c>
      <c r="I570" t="n">
        <v>0</v>
      </c>
      <c r="J570" t="n">
        <v>0</v>
      </c>
      <c r="K570" t="n">
        <v>0</v>
      </c>
      <c r="L570" t="n">
        <v>0</v>
      </c>
      <c r="M570" t="n">
        <v>0</v>
      </c>
      <c r="N570" t="n">
        <v>0</v>
      </c>
      <c r="O570" t="n">
        <v>0</v>
      </c>
      <c r="P570" t="n">
        <v>0</v>
      </c>
      <c r="Q570" t="n">
        <v>0</v>
      </c>
      <c r="R570" s="2" t="inlineStr"/>
    </row>
    <row r="571" ht="15" customHeight="1">
      <c r="A571" t="inlineStr">
        <is>
          <t>A 3938-2023</t>
        </is>
      </c>
      <c r="B571" s="1" t="n">
        <v>44952.35775462963</v>
      </c>
      <c r="C571" s="1" t="n">
        <v>45994</v>
      </c>
      <c r="D571" t="inlineStr">
        <is>
          <t>KALMAR LÄN</t>
        </is>
      </c>
      <c r="E571" t="inlineStr">
        <is>
          <t>VIMMERBY</t>
        </is>
      </c>
      <c r="G571" t="n">
        <v>0.9</v>
      </c>
      <c r="H571" t="n">
        <v>0</v>
      </c>
      <c r="I571" t="n">
        <v>0</v>
      </c>
      <c r="J571" t="n">
        <v>0</v>
      </c>
      <c r="K571" t="n">
        <v>0</v>
      </c>
      <c r="L571" t="n">
        <v>0</v>
      </c>
      <c r="M571" t="n">
        <v>0</v>
      </c>
      <c r="N571" t="n">
        <v>0</v>
      </c>
      <c r="O571" t="n">
        <v>0</v>
      </c>
      <c r="P571" t="n">
        <v>0</v>
      </c>
      <c r="Q571" t="n">
        <v>0</v>
      </c>
      <c r="R571" s="2" t="inlineStr"/>
    </row>
    <row r="572" ht="15" customHeight="1">
      <c r="A572" t="inlineStr">
        <is>
          <t>A 1016-2024</t>
        </is>
      </c>
      <c r="B572" s="1" t="n">
        <v>45301</v>
      </c>
      <c r="C572" s="1" t="n">
        <v>45994</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39053-2024</t>
        </is>
      </c>
      <c r="B573" s="1" t="n">
        <v>45548</v>
      </c>
      <c r="C573" s="1" t="n">
        <v>45994</v>
      </c>
      <c r="D573" t="inlineStr">
        <is>
          <t>KALMAR LÄN</t>
        </is>
      </c>
      <c r="E573" t="inlineStr">
        <is>
          <t>VIMMERBY</t>
        </is>
      </c>
      <c r="G573" t="n">
        <v>5</v>
      </c>
      <c r="H573" t="n">
        <v>0</v>
      </c>
      <c r="I573" t="n">
        <v>0</v>
      </c>
      <c r="J573" t="n">
        <v>0</v>
      </c>
      <c r="K573" t="n">
        <v>0</v>
      </c>
      <c r="L573" t="n">
        <v>0</v>
      </c>
      <c r="M573" t="n">
        <v>0</v>
      </c>
      <c r="N573" t="n">
        <v>0</v>
      </c>
      <c r="O573" t="n">
        <v>0</v>
      </c>
      <c r="P573" t="n">
        <v>0</v>
      </c>
      <c r="Q573" t="n">
        <v>0</v>
      </c>
      <c r="R573" s="2" t="inlineStr"/>
    </row>
    <row r="574" ht="15" customHeight="1">
      <c r="A574" t="inlineStr">
        <is>
          <t>A 14451-2024</t>
        </is>
      </c>
      <c r="B574" s="1" t="n">
        <v>45394.50028935185</v>
      </c>
      <c r="C574" s="1" t="n">
        <v>45994</v>
      </c>
      <c r="D574" t="inlineStr">
        <is>
          <t>KALMAR LÄN</t>
        </is>
      </c>
      <c r="E574" t="inlineStr">
        <is>
          <t>VIMMERBY</t>
        </is>
      </c>
      <c r="G574" t="n">
        <v>1.9</v>
      </c>
      <c r="H574" t="n">
        <v>0</v>
      </c>
      <c r="I574" t="n">
        <v>0</v>
      </c>
      <c r="J574" t="n">
        <v>0</v>
      </c>
      <c r="K574" t="n">
        <v>0</v>
      </c>
      <c r="L574" t="n">
        <v>0</v>
      </c>
      <c r="M574" t="n">
        <v>0</v>
      </c>
      <c r="N574" t="n">
        <v>0</v>
      </c>
      <c r="O574" t="n">
        <v>0</v>
      </c>
      <c r="P574" t="n">
        <v>0</v>
      </c>
      <c r="Q574" t="n">
        <v>0</v>
      </c>
      <c r="R574" s="2" t="inlineStr"/>
    </row>
    <row r="575" ht="15" customHeight="1">
      <c r="A575" t="inlineStr">
        <is>
          <t>A 33681-2022</t>
        </is>
      </c>
      <c r="B575" s="1" t="n">
        <v>44789</v>
      </c>
      <c r="C575" s="1" t="n">
        <v>45994</v>
      </c>
      <c r="D575" t="inlineStr">
        <is>
          <t>KALMAR LÄN</t>
        </is>
      </c>
      <c r="E575" t="inlineStr">
        <is>
          <t>VIMMERBY</t>
        </is>
      </c>
      <c r="G575" t="n">
        <v>3.2</v>
      </c>
      <c r="H575" t="n">
        <v>0</v>
      </c>
      <c r="I575" t="n">
        <v>0</v>
      </c>
      <c r="J575" t="n">
        <v>0</v>
      </c>
      <c r="K575" t="n">
        <v>0</v>
      </c>
      <c r="L575" t="n">
        <v>0</v>
      </c>
      <c r="M575" t="n">
        <v>0</v>
      </c>
      <c r="N575" t="n">
        <v>0</v>
      </c>
      <c r="O575" t="n">
        <v>0</v>
      </c>
      <c r="P575" t="n">
        <v>0</v>
      </c>
      <c r="Q575" t="n">
        <v>0</v>
      </c>
      <c r="R575" s="2" t="inlineStr"/>
    </row>
    <row r="576" ht="15" customHeight="1">
      <c r="A576" t="inlineStr">
        <is>
          <t>A 34205-2023</t>
        </is>
      </c>
      <c r="B576" s="1" t="n">
        <v>45138</v>
      </c>
      <c r="C576" s="1" t="n">
        <v>45994</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49408-2023</t>
        </is>
      </c>
      <c r="B577" s="1" t="n">
        <v>45211.43555555555</v>
      </c>
      <c r="C577" s="1" t="n">
        <v>45994</v>
      </c>
      <c r="D577" t="inlineStr">
        <is>
          <t>KALMAR LÄN</t>
        </is>
      </c>
      <c r="E577" t="inlineStr">
        <is>
          <t>VIMMERBY</t>
        </is>
      </c>
      <c r="G577" t="n">
        <v>13.1</v>
      </c>
      <c r="H577" t="n">
        <v>0</v>
      </c>
      <c r="I577" t="n">
        <v>0</v>
      </c>
      <c r="J577" t="n">
        <v>0</v>
      </c>
      <c r="K577" t="n">
        <v>0</v>
      </c>
      <c r="L577" t="n">
        <v>0</v>
      </c>
      <c r="M577" t="n">
        <v>0</v>
      </c>
      <c r="N577" t="n">
        <v>0</v>
      </c>
      <c r="O577" t="n">
        <v>0</v>
      </c>
      <c r="P577" t="n">
        <v>0</v>
      </c>
      <c r="Q577" t="n">
        <v>0</v>
      </c>
      <c r="R577" s="2" t="inlineStr"/>
    </row>
    <row r="578" ht="15" customHeight="1">
      <c r="A578" t="inlineStr">
        <is>
          <t>A 56536-2022</t>
        </is>
      </c>
      <c r="B578" s="1" t="n">
        <v>44893</v>
      </c>
      <c r="C578" s="1" t="n">
        <v>45994</v>
      </c>
      <c r="D578" t="inlineStr">
        <is>
          <t>KALMAR LÄN</t>
        </is>
      </c>
      <c r="E578" t="inlineStr">
        <is>
          <t>VIMMERBY</t>
        </is>
      </c>
      <c r="G578" t="n">
        <v>3.2</v>
      </c>
      <c r="H578" t="n">
        <v>0</v>
      </c>
      <c r="I578" t="n">
        <v>0</v>
      </c>
      <c r="J578" t="n">
        <v>0</v>
      </c>
      <c r="K578" t="n">
        <v>0</v>
      </c>
      <c r="L578" t="n">
        <v>0</v>
      </c>
      <c r="M578" t="n">
        <v>0</v>
      </c>
      <c r="N578" t="n">
        <v>0</v>
      </c>
      <c r="O578" t="n">
        <v>0</v>
      </c>
      <c r="P578" t="n">
        <v>0</v>
      </c>
      <c r="Q578" t="n">
        <v>0</v>
      </c>
      <c r="R578" s="2" t="inlineStr"/>
    </row>
    <row r="579" ht="15" customHeight="1">
      <c r="A579" t="inlineStr">
        <is>
          <t>A 41199-2023</t>
        </is>
      </c>
      <c r="B579" s="1" t="n">
        <v>45174.40454861111</v>
      </c>
      <c r="C579" s="1" t="n">
        <v>45994</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5074-2023</t>
        </is>
      </c>
      <c r="B580" s="1" t="n">
        <v>44958.61047453704</v>
      </c>
      <c r="C580" s="1" t="n">
        <v>45994</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51187-2023</t>
        </is>
      </c>
      <c r="B581" s="1" t="n">
        <v>45219.40528935185</v>
      </c>
      <c r="C581" s="1" t="n">
        <v>45994</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3268-2024</t>
        </is>
      </c>
      <c r="B582" s="1" t="n">
        <v>45317</v>
      </c>
      <c r="C582" s="1" t="n">
        <v>45994</v>
      </c>
      <c r="D582" t="inlineStr">
        <is>
          <t>KALMAR LÄN</t>
        </is>
      </c>
      <c r="E582" t="inlineStr">
        <is>
          <t>VIMMERBY</t>
        </is>
      </c>
      <c r="F582" t="inlineStr">
        <is>
          <t>Övriga Aktiebolag</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12819-2024</t>
        </is>
      </c>
      <c r="B583" s="1" t="n">
        <v>45384.66917824074</v>
      </c>
      <c r="C583" s="1" t="n">
        <v>45994</v>
      </c>
      <c r="D583" t="inlineStr">
        <is>
          <t>KALMAR LÄN</t>
        </is>
      </c>
      <c r="E583" t="inlineStr">
        <is>
          <t>VIMMERBY</t>
        </is>
      </c>
      <c r="G583" t="n">
        <v>5.1</v>
      </c>
      <c r="H583" t="n">
        <v>0</v>
      </c>
      <c r="I583" t="n">
        <v>0</v>
      </c>
      <c r="J583" t="n">
        <v>0</v>
      </c>
      <c r="K583" t="n">
        <v>0</v>
      </c>
      <c r="L583" t="n">
        <v>0</v>
      </c>
      <c r="M583" t="n">
        <v>0</v>
      </c>
      <c r="N583" t="n">
        <v>0</v>
      </c>
      <c r="O583" t="n">
        <v>0</v>
      </c>
      <c r="P583" t="n">
        <v>0</v>
      </c>
      <c r="Q583" t="n">
        <v>0</v>
      </c>
      <c r="R583" s="2" t="inlineStr"/>
    </row>
    <row r="584" ht="15" customHeight="1">
      <c r="A584" t="inlineStr">
        <is>
          <t>A 8945-2025</t>
        </is>
      </c>
      <c r="B584" s="1" t="n">
        <v>45713.45311342592</v>
      </c>
      <c r="C584" s="1" t="n">
        <v>45994</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15715-2022</t>
        </is>
      </c>
      <c r="B585" s="1" t="n">
        <v>44663</v>
      </c>
      <c r="C585" s="1" t="n">
        <v>45994</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43093-2024</t>
        </is>
      </c>
      <c r="B586" s="1" t="n">
        <v>45567</v>
      </c>
      <c r="C586" s="1" t="n">
        <v>45994</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56022-2024</t>
        </is>
      </c>
      <c r="B587" s="1" t="n">
        <v>45623.95947916667</v>
      </c>
      <c r="C587" s="1" t="n">
        <v>45994</v>
      </c>
      <c r="D587" t="inlineStr">
        <is>
          <t>KALMAR LÄN</t>
        </is>
      </c>
      <c r="E587" t="inlineStr">
        <is>
          <t>VIMMERBY</t>
        </is>
      </c>
      <c r="G587" t="n">
        <v>0.3</v>
      </c>
      <c r="H587" t="n">
        <v>0</v>
      </c>
      <c r="I587" t="n">
        <v>0</v>
      </c>
      <c r="J587" t="n">
        <v>0</v>
      </c>
      <c r="K587" t="n">
        <v>0</v>
      </c>
      <c r="L587" t="n">
        <v>0</v>
      </c>
      <c r="M587" t="n">
        <v>0</v>
      </c>
      <c r="N587" t="n">
        <v>0</v>
      </c>
      <c r="O587" t="n">
        <v>0</v>
      </c>
      <c r="P587" t="n">
        <v>0</v>
      </c>
      <c r="Q587" t="n">
        <v>0</v>
      </c>
      <c r="R587" s="2" t="inlineStr"/>
    </row>
    <row r="588" ht="15" customHeight="1">
      <c r="A588" t="inlineStr">
        <is>
          <t>A 6214-2025</t>
        </is>
      </c>
      <c r="B588" s="1" t="n">
        <v>45698.51711805556</v>
      </c>
      <c r="C588" s="1" t="n">
        <v>45994</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32569-2024</t>
        </is>
      </c>
      <c r="B589" s="1" t="n">
        <v>45513.55840277778</v>
      </c>
      <c r="C589" s="1" t="n">
        <v>45994</v>
      </c>
      <c r="D589" t="inlineStr">
        <is>
          <t>KALMAR LÄN</t>
        </is>
      </c>
      <c r="E589" t="inlineStr">
        <is>
          <t>VIMMERBY</t>
        </is>
      </c>
      <c r="G589" t="n">
        <v>3.7</v>
      </c>
      <c r="H589" t="n">
        <v>0</v>
      </c>
      <c r="I589" t="n">
        <v>0</v>
      </c>
      <c r="J589" t="n">
        <v>0</v>
      </c>
      <c r="K589" t="n">
        <v>0</v>
      </c>
      <c r="L589" t="n">
        <v>0</v>
      </c>
      <c r="M589" t="n">
        <v>0</v>
      </c>
      <c r="N589" t="n">
        <v>0</v>
      </c>
      <c r="O589" t="n">
        <v>0</v>
      </c>
      <c r="P589" t="n">
        <v>0</v>
      </c>
      <c r="Q589" t="n">
        <v>0</v>
      </c>
      <c r="R589" s="2" t="inlineStr"/>
    </row>
    <row r="590" ht="15" customHeight="1">
      <c r="A590" t="inlineStr">
        <is>
          <t>A 32575-2024</t>
        </is>
      </c>
      <c r="B590" s="1" t="n">
        <v>45513.56527777778</v>
      </c>
      <c r="C590" s="1" t="n">
        <v>45994</v>
      </c>
      <c r="D590" t="inlineStr">
        <is>
          <t>KALMAR LÄN</t>
        </is>
      </c>
      <c r="E590" t="inlineStr">
        <is>
          <t>VIMMERBY</t>
        </is>
      </c>
      <c r="G590" t="n">
        <v>1.5</v>
      </c>
      <c r="H590" t="n">
        <v>0</v>
      </c>
      <c r="I590" t="n">
        <v>0</v>
      </c>
      <c r="J590" t="n">
        <v>0</v>
      </c>
      <c r="K590" t="n">
        <v>0</v>
      </c>
      <c r="L590" t="n">
        <v>0</v>
      </c>
      <c r="M590" t="n">
        <v>0</v>
      </c>
      <c r="N590" t="n">
        <v>0</v>
      </c>
      <c r="O590" t="n">
        <v>0</v>
      </c>
      <c r="P590" t="n">
        <v>0</v>
      </c>
      <c r="Q590" t="n">
        <v>0</v>
      </c>
      <c r="R590" s="2" t="inlineStr"/>
    </row>
    <row r="591" ht="15" customHeight="1">
      <c r="A591" t="inlineStr">
        <is>
          <t>A 18330-2023</t>
        </is>
      </c>
      <c r="B591" s="1" t="n">
        <v>45041</v>
      </c>
      <c r="C591" s="1" t="n">
        <v>45994</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11619-2023</t>
        </is>
      </c>
      <c r="B592" s="1" t="n">
        <v>44994.42113425926</v>
      </c>
      <c r="C592" s="1" t="n">
        <v>45994</v>
      </c>
      <c r="D592" t="inlineStr">
        <is>
          <t>KALMAR LÄN</t>
        </is>
      </c>
      <c r="E592" t="inlineStr">
        <is>
          <t>VIMMERBY</t>
        </is>
      </c>
      <c r="G592" t="n">
        <v>2.5</v>
      </c>
      <c r="H592" t="n">
        <v>0</v>
      </c>
      <c r="I592" t="n">
        <v>0</v>
      </c>
      <c r="J592" t="n">
        <v>0</v>
      </c>
      <c r="K592" t="n">
        <v>0</v>
      </c>
      <c r="L592" t="n">
        <v>0</v>
      </c>
      <c r="M592" t="n">
        <v>0</v>
      </c>
      <c r="N592" t="n">
        <v>0</v>
      </c>
      <c r="O592" t="n">
        <v>0</v>
      </c>
      <c r="P592" t="n">
        <v>0</v>
      </c>
      <c r="Q592" t="n">
        <v>0</v>
      </c>
      <c r="R592" s="2" t="inlineStr"/>
    </row>
    <row r="593" ht="15" customHeight="1">
      <c r="A593" t="inlineStr">
        <is>
          <t>A 41896-2023</t>
        </is>
      </c>
      <c r="B593" s="1" t="n">
        <v>45176.72427083334</v>
      </c>
      <c r="C593" s="1" t="n">
        <v>45994</v>
      </c>
      <c r="D593" t="inlineStr">
        <is>
          <t>KALMAR LÄN</t>
        </is>
      </c>
      <c r="E593" t="inlineStr">
        <is>
          <t>VIMMERBY</t>
        </is>
      </c>
      <c r="G593" t="n">
        <v>1.3</v>
      </c>
      <c r="H593" t="n">
        <v>0</v>
      </c>
      <c r="I593" t="n">
        <v>0</v>
      </c>
      <c r="J593" t="n">
        <v>0</v>
      </c>
      <c r="K593" t="n">
        <v>0</v>
      </c>
      <c r="L593" t="n">
        <v>0</v>
      </c>
      <c r="M593" t="n">
        <v>0</v>
      </c>
      <c r="N593" t="n">
        <v>0</v>
      </c>
      <c r="O593" t="n">
        <v>0</v>
      </c>
      <c r="P593" t="n">
        <v>0</v>
      </c>
      <c r="Q593" t="n">
        <v>0</v>
      </c>
      <c r="R593" s="2" t="inlineStr"/>
    </row>
    <row r="594" ht="15" customHeight="1">
      <c r="A594" t="inlineStr">
        <is>
          <t>A 38964-2025</t>
        </is>
      </c>
      <c r="B594" s="1" t="n">
        <v>45887.68759259259</v>
      </c>
      <c r="C594" s="1" t="n">
        <v>45994</v>
      </c>
      <c r="D594" t="inlineStr">
        <is>
          <t>KALMAR LÄN</t>
        </is>
      </c>
      <c r="E594" t="inlineStr">
        <is>
          <t>VIMMERBY</t>
        </is>
      </c>
      <c r="G594" t="n">
        <v>7.5</v>
      </c>
      <c r="H594" t="n">
        <v>0</v>
      </c>
      <c r="I594" t="n">
        <v>0</v>
      </c>
      <c r="J594" t="n">
        <v>0</v>
      </c>
      <c r="K594" t="n">
        <v>0</v>
      </c>
      <c r="L594" t="n">
        <v>0</v>
      </c>
      <c r="M594" t="n">
        <v>0</v>
      </c>
      <c r="N594" t="n">
        <v>0</v>
      </c>
      <c r="O594" t="n">
        <v>0</v>
      </c>
      <c r="P594" t="n">
        <v>0</v>
      </c>
      <c r="Q594" t="n">
        <v>0</v>
      </c>
      <c r="R594" s="2" t="inlineStr"/>
    </row>
    <row r="595" ht="15" customHeight="1">
      <c r="A595" t="inlineStr">
        <is>
          <t>A 59300-2024</t>
        </is>
      </c>
      <c r="B595" s="1" t="n">
        <v>45637.66542824074</v>
      </c>
      <c r="C595" s="1" t="n">
        <v>45994</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17926-2025</t>
        </is>
      </c>
      <c r="B596" s="1" t="n">
        <v>45759.38987268518</v>
      </c>
      <c r="C596" s="1" t="n">
        <v>45994</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21028-2023</t>
        </is>
      </c>
      <c r="B597" s="1" t="n">
        <v>45061</v>
      </c>
      <c r="C597" s="1" t="n">
        <v>45994</v>
      </c>
      <c r="D597" t="inlineStr">
        <is>
          <t>KALMAR LÄN</t>
        </is>
      </c>
      <c r="E597" t="inlineStr">
        <is>
          <t>VIMMERBY</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23394-2025</t>
        </is>
      </c>
      <c r="B598" s="1" t="n">
        <v>45791.89865740741</v>
      </c>
      <c r="C598" s="1" t="n">
        <v>45994</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59768-2024</t>
        </is>
      </c>
      <c r="B599" s="1" t="n">
        <v>45639.56185185185</v>
      </c>
      <c r="C599" s="1" t="n">
        <v>45994</v>
      </c>
      <c r="D599" t="inlineStr">
        <is>
          <t>KALMAR LÄN</t>
        </is>
      </c>
      <c r="E599" t="inlineStr">
        <is>
          <t>VIMMERBY</t>
        </is>
      </c>
      <c r="G599" t="n">
        <v>5.9</v>
      </c>
      <c r="H599" t="n">
        <v>0</v>
      </c>
      <c r="I599" t="n">
        <v>0</v>
      </c>
      <c r="J599" t="n">
        <v>0</v>
      </c>
      <c r="K599" t="n">
        <v>0</v>
      </c>
      <c r="L599" t="n">
        <v>0</v>
      </c>
      <c r="M599" t="n">
        <v>0</v>
      </c>
      <c r="N599" t="n">
        <v>0</v>
      </c>
      <c r="O599" t="n">
        <v>0</v>
      </c>
      <c r="P599" t="n">
        <v>0</v>
      </c>
      <c r="Q599" t="n">
        <v>0</v>
      </c>
      <c r="R599" s="2" t="inlineStr"/>
    </row>
    <row r="600" ht="15" customHeight="1">
      <c r="A600" t="inlineStr">
        <is>
          <t>A 19445-2021</t>
        </is>
      </c>
      <c r="B600" s="1" t="n">
        <v>44310</v>
      </c>
      <c r="C600" s="1" t="n">
        <v>45994</v>
      </c>
      <c r="D600" t="inlineStr">
        <is>
          <t>KALMAR LÄN</t>
        </is>
      </c>
      <c r="E600" t="inlineStr">
        <is>
          <t>VIMMERBY</t>
        </is>
      </c>
      <c r="G600" t="n">
        <v>6.8</v>
      </c>
      <c r="H600" t="n">
        <v>0</v>
      </c>
      <c r="I600" t="n">
        <v>0</v>
      </c>
      <c r="J600" t="n">
        <v>0</v>
      </c>
      <c r="K600" t="n">
        <v>0</v>
      </c>
      <c r="L600" t="n">
        <v>0</v>
      </c>
      <c r="M600" t="n">
        <v>0</v>
      </c>
      <c r="N600" t="n">
        <v>0</v>
      </c>
      <c r="O600" t="n">
        <v>0</v>
      </c>
      <c r="P600" t="n">
        <v>0</v>
      </c>
      <c r="Q600" t="n">
        <v>0</v>
      </c>
      <c r="R600" s="2" t="inlineStr"/>
    </row>
    <row r="601" ht="15" customHeight="1">
      <c r="A601" t="inlineStr">
        <is>
          <t>A 27122-2023</t>
        </is>
      </c>
      <c r="B601" s="1" t="n">
        <v>45096.45247685185</v>
      </c>
      <c r="C601" s="1" t="n">
        <v>45994</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13813-2024</t>
        </is>
      </c>
      <c r="B602" s="1" t="n">
        <v>45391.41310185185</v>
      </c>
      <c r="C602" s="1" t="n">
        <v>45994</v>
      </c>
      <c r="D602" t="inlineStr">
        <is>
          <t>KALMAR LÄN</t>
        </is>
      </c>
      <c r="E602" t="inlineStr">
        <is>
          <t>VIMMERBY</t>
        </is>
      </c>
      <c r="G602" t="n">
        <v>0.4</v>
      </c>
      <c r="H602" t="n">
        <v>0</v>
      </c>
      <c r="I602" t="n">
        <v>0</v>
      </c>
      <c r="J602" t="n">
        <v>0</v>
      </c>
      <c r="K602" t="n">
        <v>0</v>
      </c>
      <c r="L602" t="n">
        <v>0</v>
      </c>
      <c r="M602" t="n">
        <v>0</v>
      </c>
      <c r="N602" t="n">
        <v>0</v>
      </c>
      <c r="O602" t="n">
        <v>0</v>
      </c>
      <c r="P602" t="n">
        <v>0</v>
      </c>
      <c r="Q602" t="n">
        <v>0</v>
      </c>
      <c r="R602" s="2" t="inlineStr"/>
    </row>
    <row r="603" ht="15" customHeight="1">
      <c r="A603" t="inlineStr">
        <is>
          <t>A 36526-2023</t>
        </is>
      </c>
      <c r="B603" s="1" t="n">
        <v>45153.32778935185</v>
      </c>
      <c r="C603" s="1" t="n">
        <v>45994</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38969-2023</t>
        </is>
      </c>
      <c r="B604" s="1" t="n">
        <v>45163.63621527778</v>
      </c>
      <c r="C604" s="1" t="n">
        <v>45994</v>
      </c>
      <c r="D604" t="inlineStr">
        <is>
          <t>KALMAR LÄN</t>
        </is>
      </c>
      <c r="E604" t="inlineStr">
        <is>
          <t>VIMMERBY</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26937-2023</t>
        </is>
      </c>
      <c r="B605" s="1" t="n">
        <v>45093.62777777778</v>
      </c>
      <c r="C605" s="1" t="n">
        <v>45994</v>
      </c>
      <c r="D605" t="inlineStr">
        <is>
          <t>KALMAR LÄN</t>
        </is>
      </c>
      <c r="E605" t="inlineStr">
        <is>
          <t>VIMMERBY</t>
        </is>
      </c>
      <c r="F605" t="inlineStr">
        <is>
          <t>Sveaskog</t>
        </is>
      </c>
      <c r="G605" t="n">
        <v>14.5</v>
      </c>
      <c r="H605" t="n">
        <v>0</v>
      </c>
      <c r="I605" t="n">
        <v>0</v>
      </c>
      <c r="J605" t="n">
        <v>0</v>
      </c>
      <c r="K605" t="n">
        <v>0</v>
      </c>
      <c r="L605" t="n">
        <v>0</v>
      </c>
      <c r="M605" t="n">
        <v>0</v>
      </c>
      <c r="N605" t="n">
        <v>0</v>
      </c>
      <c r="O605" t="n">
        <v>0</v>
      </c>
      <c r="P605" t="n">
        <v>0</v>
      </c>
      <c r="Q605" t="n">
        <v>0</v>
      </c>
      <c r="R605" s="2" t="inlineStr"/>
    </row>
    <row r="606" ht="15" customHeight="1">
      <c r="A606" t="inlineStr">
        <is>
          <t>A 57486-2024</t>
        </is>
      </c>
      <c r="B606" s="1" t="n">
        <v>45630.35827546296</v>
      </c>
      <c r="C606" s="1" t="n">
        <v>45994</v>
      </c>
      <c r="D606" t="inlineStr">
        <is>
          <t>KALMAR LÄN</t>
        </is>
      </c>
      <c r="E606" t="inlineStr">
        <is>
          <t>VIMMERBY</t>
        </is>
      </c>
      <c r="G606" t="n">
        <v>0.4</v>
      </c>
      <c r="H606" t="n">
        <v>0</v>
      </c>
      <c r="I606" t="n">
        <v>0</v>
      </c>
      <c r="J606" t="n">
        <v>0</v>
      </c>
      <c r="K606" t="n">
        <v>0</v>
      </c>
      <c r="L606" t="n">
        <v>0</v>
      </c>
      <c r="M606" t="n">
        <v>0</v>
      </c>
      <c r="N606" t="n">
        <v>0</v>
      </c>
      <c r="O606" t="n">
        <v>0</v>
      </c>
      <c r="P606" t="n">
        <v>0</v>
      </c>
      <c r="Q606" t="n">
        <v>0</v>
      </c>
      <c r="R606" s="2" t="inlineStr"/>
    </row>
    <row r="607" ht="15" customHeight="1">
      <c r="A607" t="inlineStr">
        <is>
          <t>A 43186-2021</t>
        </is>
      </c>
      <c r="B607" s="1" t="n">
        <v>44431.84840277778</v>
      </c>
      <c r="C607" s="1" t="n">
        <v>45994</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1799-2025</t>
        </is>
      </c>
      <c r="B608" s="1" t="n">
        <v>45671.46746527778</v>
      </c>
      <c r="C608" s="1" t="n">
        <v>45994</v>
      </c>
      <c r="D608" t="inlineStr">
        <is>
          <t>KALMAR LÄN</t>
        </is>
      </c>
      <c r="E608" t="inlineStr">
        <is>
          <t>VIMMERBY</t>
        </is>
      </c>
      <c r="G608" t="n">
        <v>3.3</v>
      </c>
      <c r="H608" t="n">
        <v>0</v>
      </c>
      <c r="I608" t="n">
        <v>0</v>
      </c>
      <c r="J608" t="n">
        <v>0</v>
      </c>
      <c r="K608" t="n">
        <v>0</v>
      </c>
      <c r="L608" t="n">
        <v>0</v>
      </c>
      <c r="M608" t="n">
        <v>0</v>
      </c>
      <c r="N608" t="n">
        <v>0</v>
      </c>
      <c r="O608" t="n">
        <v>0</v>
      </c>
      <c r="P608" t="n">
        <v>0</v>
      </c>
      <c r="Q608" t="n">
        <v>0</v>
      </c>
      <c r="R608" s="2" t="inlineStr"/>
    </row>
    <row r="609" ht="15" customHeight="1">
      <c r="A609" t="inlineStr">
        <is>
          <t>A 30063-2023</t>
        </is>
      </c>
      <c r="B609" s="1" t="n">
        <v>45110.4184375</v>
      </c>
      <c r="C609" s="1" t="n">
        <v>45994</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58728-2024</t>
        </is>
      </c>
      <c r="B610" s="1" t="n">
        <v>45635.66695601852</v>
      </c>
      <c r="C610" s="1" t="n">
        <v>45994</v>
      </c>
      <c r="D610" t="inlineStr">
        <is>
          <t>KALMAR LÄN</t>
        </is>
      </c>
      <c r="E610" t="inlineStr">
        <is>
          <t>VIMMERBY</t>
        </is>
      </c>
      <c r="G610" t="n">
        <v>0.4</v>
      </c>
      <c r="H610" t="n">
        <v>0</v>
      </c>
      <c r="I610" t="n">
        <v>0</v>
      </c>
      <c r="J610" t="n">
        <v>0</v>
      </c>
      <c r="K610" t="n">
        <v>0</v>
      </c>
      <c r="L610" t="n">
        <v>0</v>
      </c>
      <c r="M610" t="n">
        <v>0</v>
      </c>
      <c r="N610" t="n">
        <v>0</v>
      </c>
      <c r="O610" t="n">
        <v>0</v>
      </c>
      <c r="P610" t="n">
        <v>0</v>
      </c>
      <c r="Q610" t="n">
        <v>0</v>
      </c>
      <c r="R610" s="2" t="inlineStr"/>
    </row>
    <row r="611" ht="15" customHeight="1">
      <c r="A611" t="inlineStr">
        <is>
          <t>A 49474-2023</t>
        </is>
      </c>
      <c r="B611" s="1" t="n">
        <v>45211.541875</v>
      </c>
      <c r="C611" s="1" t="n">
        <v>45994</v>
      </c>
      <c r="D611" t="inlineStr">
        <is>
          <t>KALMAR LÄN</t>
        </is>
      </c>
      <c r="E611" t="inlineStr">
        <is>
          <t>VIMMERBY</t>
        </is>
      </c>
      <c r="G611" t="n">
        <v>3.6</v>
      </c>
      <c r="H611" t="n">
        <v>0</v>
      </c>
      <c r="I611" t="n">
        <v>0</v>
      </c>
      <c r="J611" t="n">
        <v>0</v>
      </c>
      <c r="K611" t="n">
        <v>0</v>
      </c>
      <c r="L611" t="n">
        <v>0</v>
      </c>
      <c r="M611" t="n">
        <v>0</v>
      </c>
      <c r="N611" t="n">
        <v>0</v>
      </c>
      <c r="O611" t="n">
        <v>0</v>
      </c>
      <c r="P611" t="n">
        <v>0</v>
      </c>
      <c r="Q611" t="n">
        <v>0</v>
      </c>
      <c r="R611" s="2" t="inlineStr"/>
    </row>
    <row r="612" ht="15" customHeight="1">
      <c r="A612" t="inlineStr">
        <is>
          <t>A 57682-2022</t>
        </is>
      </c>
      <c r="B612" s="1" t="n">
        <v>44890</v>
      </c>
      <c r="C612" s="1" t="n">
        <v>45994</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14220-2021</t>
        </is>
      </c>
      <c r="B613" s="1" t="n">
        <v>44278.54855324074</v>
      </c>
      <c r="C613" s="1" t="n">
        <v>45994</v>
      </c>
      <c r="D613" t="inlineStr">
        <is>
          <t>KALMAR LÄN</t>
        </is>
      </c>
      <c r="E613" t="inlineStr">
        <is>
          <t>VIMMERBY</t>
        </is>
      </c>
      <c r="G613" t="n">
        <v>0.3</v>
      </c>
      <c r="H613" t="n">
        <v>0</v>
      </c>
      <c r="I613" t="n">
        <v>0</v>
      </c>
      <c r="J613" t="n">
        <v>0</v>
      </c>
      <c r="K613" t="n">
        <v>0</v>
      </c>
      <c r="L613" t="n">
        <v>0</v>
      </c>
      <c r="M613" t="n">
        <v>0</v>
      </c>
      <c r="N613" t="n">
        <v>0</v>
      </c>
      <c r="O613" t="n">
        <v>0</v>
      </c>
      <c r="P613" t="n">
        <v>0</v>
      </c>
      <c r="Q613" t="n">
        <v>0</v>
      </c>
      <c r="R613" s="2" t="inlineStr"/>
    </row>
    <row r="614" ht="15" customHeight="1">
      <c r="A614" t="inlineStr">
        <is>
          <t>A 43068-2023</t>
        </is>
      </c>
      <c r="B614" s="1" t="n">
        <v>45182.78834490741</v>
      </c>
      <c r="C614" s="1" t="n">
        <v>45994</v>
      </c>
      <c r="D614" t="inlineStr">
        <is>
          <t>KALMAR LÄN</t>
        </is>
      </c>
      <c r="E614" t="inlineStr">
        <is>
          <t>VIMMERBY</t>
        </is>
      </c>
      <c r="G614" t="n">
        <v>1.5</v>
      </c>
      <c r="H614" t="n">
        <v>0</v>
      </c>
      <c r="I614" t="n">
        <v>0</v>
      </c>
      <c r="J614" t="n">
        <v>0</v>
      </c>
      <c r="K614" t="n">
        <v>0</v>
      </c>
      <c r="L614" t="n">
        <v>0</v>
      </c>
      <c r="M614" t="n">
        <v>0</v>
      </c>
      <c r="N614" t="n">
        <v>0</v>
      </c>
      <c r="O614" t="n">
        <v>0</v>
      </c>
      <c r="P614" t="n">
        <v>0</v>
      </c>
      <c r="Q614" t="n">
        <v>0</v>
      </c>
      <c r="R614" s="2" t="inlineStr"/>
    </row>
    <row r="615" ht="15" customHeight="1">
      <c r="A615" t="inlineStr">
        <is>
          <t>A 63950-2023</t>
        </is>
      </c>
      <c r="B615" s="1" t="n">
        <v>45278</v>
      </c>
      <c r="C615" s="1" t="n">
        <v>45994</v>
      </c>
      <c r="D615" t="inlineStr">
        <is>
          <t>KALMAR LÄN</t>
        </is>
      </c>
      <c r="E615" t="inlineStr">
        <is>
          <t>VIMMERBY</t>
        </is>
      </c>
      <c r="F615" t="inlineStr">
        <is>
          <t>Kyrkan</t>
        </is>
      </c>
      <c r="G615" t="n">
        <v>2.7</v>
      </c>
      <c r="H615" t="n">
        <v>0</v>
      </c>
      <c r="I615" t="n">
        <v>0</v>
      </c>
      <c r="J615" t="n">
        <v>0</v>
      </c>
      <c r="K615" t="n">
        <v>0</v>
      </c>
      <c r="L615" t="n">
        <v>0</v>
      </c>
      <c r="M615" t="n">
        <v>0</v>
      </c>
      <c r="N615" t="n">
        <v>0</v>
      </c>
      <c r="O615" t="n">
        <v>0</v>
      </c>
      <c r="P615" t="n">
        <v>0</v>
      </c>
      <c r="Q615" t="n">
        <v>0</v>
      </c>
      <c r="R615" s="2" t="inlineStr"/>
    </row>
    <row r="616" ht="15" customHeight="1">
      <c r="A616" t="inlineStr">
        <is>
          <t>A 18020-2025</t>
        </is>
      </c>
      <c r="B616" s="1" t="n">
        <v>45761.4437962963</v>
      </c>
      <c r="C616" s="1" t="n">
        <v>45994</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33424-2023</t>
        </is>
      </c>
      <c r="B617" s="1" t="n">
        <v>45128.9325</v>
      </c>
      <c r="C617" s="1" t="n">
        <v>45994</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33425-2023</t>
        </is>
      </c>
      <c r="B618" s="1" t="n">
        <v>45128.93540509259</v>
      </c>
      <c r="C618" s="1" t="n">
        <v>45994</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12327-2023</t>
        </is>
      </c>
      <c r="B619" s="1" t="n">
        <v>44999.36081018519</v>
      </c>
      <c r="C619" s="1" t="n">
        <v>45994</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16516-2023</t>
        </is>
      </c>
      <c r="B620" s="1" t="n">
        <v>45029</v>
      </c>
      <c r="C620" s="1" t="n">
        <v>45994</v>
      </c>
      <c r="D620" t="inlineStr">
        <is>
          <t>KALMAR LÄN</t>
        </is>
      </c>
      <c r="E620" t="inlineStr">
        <is>
          <t>VIMMERBY</t>
        </is>
      </c>
      <c r="G620" t="n">
        <v>4.3</v>
      </c>
      <c r="H620" t="n">
        <v>0</v>
      </c>
      <c r="I620" t="n">
        <v>0</v>
      </c>
      <c r="J620" t="n">
        <v>0</v>
      </c>
      <c r="K620" t="n">
        <v>0</v>
      </c>
      <c r="L620" t="n">
        <v>0</v>
      </c>
      <c r="M620" t="n">
        <v>0</v>
      </c>
      <c r="N620" t="n">
        <v>0</v>
      </c>
      <c r="O620" t="n">
        <v>0</v>
      </c>
      <c r="P620" t="n">
        <v>0</v>
      </c>
      <c r="Q620" t="n">
        <v>0</v>
      </c>
      <c r="R620" s="2" t="inlineStr"/>
    </row>
    <row r="621" ht="15" customHeight="1">
      <c r="A621" t="inlineStr">
        <is>
          <t>A 43092-2024</t>
        </is>
      </c>
      <c r="B621" s="1" t="n">
        <v>45567</v>
      </c>
      <c r="C621" s="1" t="n">
        <v>45994</v>
      </c>
      <c r="D621" t="inlineStr">
        <is>
          <t>KALMAR LÄN</t>
        </is>
      </c>
      <c r="E621" t="inlineStr">
        <is>
          <t>VIMMERBY</t>
        </is>
      </c>
      <c r="G621" t="n">
        <v>2.7</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45994</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23984-2025</t>
        </is>
      </c>
      <c r="B623" s="1" t="n">
        <v>45796</v>
      </c>
      <c r="C623" s="1" t="n">
        <v>45994</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52435-2021</t>
        </is>
      </c>
      <c r="B624" s="1" t="n">
        <v>44466.34962962963</v>
      </c>
      <c r="C624" s="1" t="n">
        <v>45994</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6408-2025</t>
        </is>
      </c>
      <c r="B625" s="1" t="n">
        <v>45699.45671296296</v>
      </c>
      <c r="C625" s="1" t="n">
        <v>45994</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25109-2023</t>
        </is>
      </c>
      <c r="B626" s="1" t="n">
        <v>45086</v>
      </c>
      <c r="C626" s="1" t="n">
        <v>45994</v>
      </c>
      <c r="D626" t="inlineStr">
        <is>
          <t>KALMAR LÄN</t>
        </is>
      </c>
      <c r="E626" t="inlineStr">
        <is>
          <t>VIMMERBY</t>
        </is>
      </c>
      <c r="G626" t="n">
        <v>1.5</v>
      </c>
      <c r="H626" t="n">
        <v>0</v>
      </c>
      <c r="I626" t="n">
        <v>0</v>
      </c>
      <c r="J626" t="n">
        <v>0</v>
      </c>
      <c r="K626" t="n">
        <v>0</v>
      </c>
      <c r="L626" t="n">
        <v>0</v>
      </c>
      <c r="M626" t="n">
        <v>0</v>
      </c>
      <c r="N626" t="n">
        <v>0</v>
      </c>
      <c r="O626" t="n">
        <v>0</v>
      </c>
      <c r="P626" t="n">
        <v>0</v>
      </c>
      <c r="Q626" t="n">
        <v>0</v>
      </c>
      <c r="R626" s="2" t="inlineStr"/>
    </row>
    <row r="627" ht="15" customHeight="1">
      <c r="A627" t="inlineStr">
        <is>
          <t>A 33380-2023</t>
        </is>
      </c>
      <c r="B627" s="1" t="n">
        <v>45128</v>
      </c>
      <c r="C627" s="1" t="n">
        <v>45994</v>
      </c>
      <c r="D627" t="inlineStr">
        <is>
          <t>KALMAR LÄN</t>
        </is>
      </c>
      <c r="E627" t="inlineStr">
        <is>
          <t>VIMMERBY</t>
        </is>
      </c>
      <c r="G627" t="n">
        <v>5.2</v>
      </c>
      <c r="H627" t="n">
        <v>0</v>
      </c>
      <c r="I627" t="n">
        <v>0</v>
      </c>
      <c r="J627" t="n">
        <v>0</v>
      </c>
      <c r="K627" t="n">
        <v>0</v>
      </c>
      <c r="L627" t="n">
        <v>0</v>
      </c>
      <c r="M627" t="n">
        <v>0</v>
      </c>
      <c r="N627" t="n">
        <v>0</v>
      </c>
      <c r="O627" t="n">
        <v>0</v>
      </c>
      <c r="P627" t="n">
        <v>0</v>
      </c>
      <c r="Q627" t="n">
        <v>0</v>
      </c>
      <c r="R627" s="2" t="inlineStr"/>
    </row>
    <row r="628" ht="15" customHeight="1">
      <c r="A628" t="inlineStr">
        <is>
          <t>A 32639-2023</t>
        </is>
      </c>
      <c r="B628" s="1" t="n">
        <v>45121.5965162037</v>
      </c>
      <c r="C628" s="1" t="n">
        <v>45994</v>
      </c>
      <c r="D628" t="inlineStr">
        <is>
          <t>KALMAR LÄN</t>
        </is>
      </c>
      <c r="E628" t="inlineStr">
        <is>
          <t>VIMMERBY</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32642-2023</t>
        </is>
      </c>
      <c r="B629" s="1" t="n">
        <v>45121.59954861111</v>
      </c>
      <c r="C629" s="1" t="n">
        <v>45994</v>
      </c>
      <c r="D629" t="inlineStr">
        <is>
          <t>KALMAR LÄN</t>
        </is>
      </c>
      <c r="E629" t="inlineStr">
        <is>
          <t>VIMMERBY</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32651-2023</t>
        </is>
      </c>
      <c r="B630" s="1" t="n">
        <v>45121.6096875</v>
      </c>
      <c r="C630" s="1" t="n">
        <v>45994</v>
      </c>
      <c r="D630" t="inlineStr">
        <is>
          <t>KALMAR LÄN</t>
        </is>
      </c>
      <c r="E630" t="inlineStr">
        <is>
          <t>VIMMERBY</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11928-2022</t>
        </is>
      </c>
      <c r="B631" s="1" t="n">
        <v>44635</v>
      </c>
      <c r="C631" s="1" t="n">
        <v>45994</v>
      </c>
      <c r="D631" t="inlineStr">
        <is>
          <t>KALMAR LÄN</t>
        </is>
      </c>
      <c r="E631" t="inlineStr">
        <is>
          <t>VIMMERBY</t>
        </is>
      </c>
      <c r="G631" t="n">
        <v>2.8</v>
      </c>
      <c r="H631" t="n">
        <v>0</v>
      </c>
      <c r="I631" t="n">
        <v>0</v>
      </c>
      <c r="J631" t="n">
        <v>0</v>
      </c>
      <c r="K631" t="n">
        <v>0</v>
      </c>
      <c r="L631" t="n">
        <v>0</v>
      </c>
      <c r="M631" t="n">
        <v>0</v>
      </c>
      <c r="N631" t="n">
        <v>0</v>
      </c>
      <c r="O631" t="n">
        <v>0</v>
      </c>
      <c r="P631" t="n">
        <v>0</v>
      </c>
      <c r="Q631" t="n">
        <v>0</v>
      </c>
      <c r="R631" s="2" t="inlineStr"/>
    </row>
    <row r="632" ht="15" customHeight="1">
      <c r="A632" t="inlineStr">
        <is>
          <t>A 38604-2025</t>
        </is>
      </c>
      <c r="B632" s="1" t="n">
        <v>45884.50613425926</v>
      </c>
      <c r="C632" s="1" t="n">
        <v>45994</v>
      </c>
      <c r="D632" t="inlineStr">
        <is>
          <t>KALMAR LÄN</t>
        </is>
      </c>
      <c r="E632" t="inlineStr">
        <is>
          <t>VIMMERBY</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35127-2024</t>
        </is>
      </c>
      <c r="B633" s="1" t="n">
        <v>45530.33202546297</v>
      </c>
      <c r="C633" s="1" t="n">
        <v>45994</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7068-2024</t>
        </is>
      </c>
      <c r="B634" s="1" t="n">
        <v>45343.68038194445</v>
      </c>
      <c r="C634" s="1" t="n">
        <v>45994</v>
      </c>
      <c r="D634" t="inlineStr">
        <is>
          <t>KALMAR LÄN</t>
        </is>
      </c>
      <c r="E634" t="inlineStr">
        <is>
          <t>VIMMERBY</t>
        </is>
      </c>
      <c r="G634" t="n">
        <v>2.5</v>
      </c>
      <c r="H634" t="n">
        <v>0</v>
      </c>
      <c r="I634" t="n">
        <v>0</v>
      </c>
      <c r="J634" t="n">
        <v>0</v>
      </c>
      <c r="K634" t="n">
        <v>0</v>
      </c>
      <c r="L634" t="n">
        <v>0</v>
      </c>
      <c r="M634" t="n">
        <v>0</v>
      </c>
      <c r="N634" t="n">
        <v>0</v>
      </c>
      <c r="O634" t="n">
        <v>0</v>
      </c>
      <c r="P634" t="n">
        <v>0</v>
      </c>
      <c r="Q634" t="n">
        <v>0</v>
      </c>
      <c r="R634" s="2" t="inlineStr"/>
    </row>
    <row r="635" ht="15" customHeight="1">
      <c r="A635" t="inlineStr">
        <is>
          <t>A 60215-2022</t>
        </is>
      </c>
      <c r="B635" s="1" t="n">
        <v>44910.41346064815</v>
      </c>
      <c r="C635" s="1" t="n">
        <v>45994</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46234-2024</t>
        </is>
      </c>
      <c r="B636" s="1" t="n">
        <v>45581.57958333333</v>
      </c>
      <c r="C636" s="1" t="n">
        <v>45994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29441-2024</t>
        </is>
      </c>
      <c r="B637" s="1" t="n">
        <v>45483.82834490741</v>
      </c>
      <c r="C637" s="1" t="n">
        <v>45994</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37187-2024</t>
        </is>
      </c>
      <c r="B638" s="1" t="n">
        <v>45539.65212962963</v>
      </c>
      <c r="C638" s="1" t="n">
        <v>45994</v>
      </c>
      <c r="D638" t="inlineStr">
        <is>
          <t>KALMAR LÄN</t>
        </is>
      </c>
      <c r="E638" t="inlineStr">
        <is>
          <t>VIMMERBY</t>
        </is>
      </c>
      <c r="G638" t="n">
        <v>2.7</v>
      </c>
      <c r="H638" t="n">
        <v>0</v>
      </c>
      <c r="I638" t="n">
        <v>0</v>
      </c>
      <c r="J638" t="n">
        <v>0</v>
      </c>
      <c r="K638" t="n">
        <v>0</v>
      </c>
      <c r="L638" t="n">
        <v>0</v>
      </c>
      <c r="M638" t="n">
        <v>0</v>
      </c>
      <c r="N638" t="n">
        <v>0</v>
      </c>
      <c r="O638" t="n">
        <v>0</v>
      </c>
      <c r="P638" t="n">
        <v>0</v>
      </c>
      <c r="Q638" t="n">
        <v>0</v>
      </c>
      <c r="R638" s="2" t="inlineStr"/>
    </row>
    <row r="639" ht="15" customHeight="1">
      <c r="A639" t="inlineStr">
        <is>
          <t>A 1021-2024</t>
        </is>
      </c>
      <c r="B639" s="1" t="n">
        <v>45301.67736111111</v>
      </c>
      <c r="C639" s="1" t="n">
        <v>45994</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6216-2025</t>
        </is>
      </c>
      <c r="B640" s="1" t="n">
        <v>45698.52806712963</v>
      </c>
      <c r="C640" s="1" t="n">
        <v>45994</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62779-2023</t>
        </is>
      </c>
      <c r="B641" s="1" t="n">
        <v>45271.66576388889</v>
      </c>
      <c r="C641" s="1" t="n">
        <v>45994</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52294-2023</t>
        </is>
      </c>
      <c r="B642" s="1" t="n">
        <v>45224.60075231481</v>
      </c>
      <c r="C642" s="1" t="n">
        <v>45994</v>
      </c>
      <c r="D642" t="inlineStr">
        <is>
          <t>KALMAR LÄN</t>
        </is>
      </c>
      <c r="E642" t="inlineStr">
        <is>
          <t>VIMMERBY</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31013-2023</t>
        </is>
      </c>
      <c r="B643" s="1" t="n">
        <v>45113.56574074074</v>
      </c>
      <c r="C643" s="1" t="n">
        <v>45994</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29726-2025</t>
        </is>
      </c>
      <c r="B644" s="1" t="n">
        <v>45825.57805555555</v>
      </c>
      <c r="C644" s="1" t="n">
        <v>45994</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72701-2021</t>
        </is>
      </c>
      <c r="B645" s="1" t="n">
        <v>44546</v>
      </c>
      <c r="C645" s="1" t="n">
        <v>45994</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19111-2025</t>
        </is>
      </c>
      <c r="B646" s="1" t="n">
        <v>45768.65611111111</v>
      </c>
      <c r="C646" s="1" t="n">
        <v>45994</v>
      </c>
      <c r="D646" t="inlineStr">
        <is>
          <t>KALMAR LÄN</t>
        </is>
      </c>
      <c r="E646" t="inlineStr">
        <is>
          <t>VIMMERBY</t>
        </is>
      </c>
      <c r="G646" t="n">
        <v>6.2</v>
      </c>
      <c r="H646" t="n">
        <v>0</v>
      </c>
      <c r="I646" t="n">
        <v>0</v>
      </c>
      <c r="J646" t="n">
        <v>0</v>
      </c>
      <c r="K646" t="n">
        <v>0</v>
      </c>
      <c r="L646" t="n">
        <v>0</v>
      </c>
      <c r="M646" t="n">
        <v>0</v>
      </c>
      <c r="N646" t="n">
        <v>0</v>
      </c>
      <c r="O646" t="n">
        <v>0</v>
      </c>
      <c r="P646" t="n">
        <v>0</v>
      </c>
      <c r="Q646" t="n">
        <v>0</v>
      </c>
      <c r="R646" s="2" t="inlineStr"/>
    </row>
    <row r="647" ht="15" customHeight="1">
      <c r="A647" t="inlineStr">
        <is>
          <t>A 33374-2021</t>
        </is>
      </c>
      <c r="B647" s="1" t="n">
        <v>44377</v>
      </c>
      <c r="C647" s="1" t="n">
        <v>45994</v>
      </c>
      <c r="D647" t="inlineStr">
        <is>
          <t>KALMAR LÄN</t>
        </is>
      </c>
      <c r="E647" t="inlineStr">
        <is>
          <t>VIMMERBY</t>
        </is>
      </c>
      <c r="G647" t="n">
        <v>3.3</v>
      </c>
      <c r="H647" t="n">
        <v>0</v>
      </c>
      <c r="I647" t="n">
        <v>0</v>
      </c>
      <c r="J647" t="n">
        <v>0</v>
      </c>
      <c r="K647" t="n">
        <v>0</v>
      </c>
      <c r="L647" t="n">
        <v>0</v>
      </c>
      <c r="M647" t="n">
        <v>0</v>
      </c>
      <c r="N647" t="n">
        <v>0</v>
      </c>
      <c r="O647" t="n">
        <v>0</v>
      </c>
      <c r="P647" t="n">
        <v>0</v>
      </c>
      <c r="Q647" t="n">
        <v>0</v>
      </c>
      <c r="R647" s="2" t="inlineStr"/>
    </row>
    <row r="648" ht="15" customHeight="1">
      <c r="A648" t="inlineStr">
        <is>
          <t>A 72067-2021</t>
        </is>
      </c>
      <c r="B648" s="1" t="n">
        <v>44540</v>
      </c>
      <c r="C648" s="1" t="n">
        <v>45994</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10807-2024</t>
        </is>
      </c>
      <c r="B649" s="1" t="n">
        <v>45369.62780092593</v>
      </c>
      <c r="C649" s="1" t="n">
        <v>45994</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61538-2022</t>
        </is>
      </c>
      <c r="B650" s="1" t="n">
        <v>44916.55414351852</v>
      </c>
      <c r="C650" s="1" t="n">
        <v>45994</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33359-2021</t>
        </is>
      </c>
      <c r="B651" s="1" t="n">
        <v>44377.49684027778</v>
      </c>
      <c r="C651" s="1" t="n">
        <v>45994</v>
      </c>
      <c r="D651" t="inlineStr">
        <is>
          <t>KALMAR LÄN</t>
        </is>
      </c>
      <c r="E651" t="inlineStr">
        <is>
          <t>VIMMERBY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36155-2023</t>
        </is>
      </c>
      <c r="B652" s="1" t="n">
        <v>45149.60917824074</v>
      </c>
      <c r="C652" s="1" t="n">
        <v>45994</v>
      </c>
      <c r="D652" t="inlineStr">
        <is>
          <t>KALMAR LÄN</t>
        </is>
      </c>
      <c r="E652" t="inlineStr">
        <is>
          <t>VIMMERBY</t>
        </is>
      </c>
      <c r="G652" t="n">
        <v>5</v>
      </c>
      <c r="H652" t="n">
        <v>0</v>
      </c>
      <c r="I652" t="n">
        <v>0</v>
      </c>
      <c r="J652" t="n">
        <v>0</v>
      </c>
      <c r="K652" t="n">
        <v>0</v>
      </c>
      <c r="L652" t="n">
        <v>0</v>
      </c>
      <c r="M652" t="n">
        <v>0</v>
      </c>
      <c r="N652" t="n">
        <v>0</v>
      </c>
      <c r="O652" t="n">
        <v>0</v>
      </c>
      <c r="P652" t="n">
        <v>0</v>
      </c>
      <c r="Q652" t="n">
        <v>0</v>
      </c>
      <c r="R652" s="2" t="inlineStr"/>
    </row>
    <row r="653" ht="15" customHeight="1">
      <c r="A653" t="inlineStr">
        <is>
          <t>A 29173-2024</t>
        </is>
      </c>
      <c r="B653" s="1" t="n">
        <v>45482.52887731481</v>
      </c>
      <c r="C653" s="1" t="n">
        <v>45994</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53542-2022</t>
        </is>
      </c>
      <c r="B654" s="1" t="n">
        <v>44879.62173611111</v>
      </c>
      <c r="C654" s="1" t="n">
        <v>45994</v>
      </c>
      <c r="D654" t="inlineStr">
        <is>
          <t>KALMAR LÄN</t>
        </is>
      </c>
      <c r="E654" t="inlineStr">
        <is>
          <t>VIMMERBY</t>
        </is>
      </c>
      <c r="G654" t="n">
        <v>2.6</v>
      </c>
      <c r="H654" t="n">
        <v>0</v>
      </c>
      <c r="I654" t="n">
        <v>0</v>
      </c>
      <c r="J654" t="n">
        <v>0</v>
      </c>
      <c r="K654" t="n">
        <v>0</v>
      </c>
      <c r="L654" t="n">
        <v>0</v>
      </c>
      <c r="M654" t="n">
        <v>0</v>
      </c>
      <c r="N654" t="n">
        <v>0</v>
      </c>
      <c r="O654" t="n">
        <v>0</v>
      </c>
      <c r="P654" t="n">
        <v>0</v>
      </c>
      <c r="Q654" t="n">
        <v>0</v>
      </c>
      <c r="R654" s="2" t="inlineStr"/>
    </row>
    <row r="655" ht="15" customHeight="1">
      <c r="A655" t="inlineStr">
        <is>
          <t>A 39801-2025</t>
        </is>
      </c>
      <c r="B655" s="1" t="n">
        <v>45891.50216435185</v>
      </c>
      <c r="C655" s="1" t="n">
        <v>45994</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34588-2024</t>
        </is>
      </c>
      <c r="B656" s="1" t="n">
        <v>45526.3865625</v>
      </c>
      <c r="C656" s="1" t="n">
        <v>45994</v>
      </c>
      <c r="D656" t="inlineStr">
        <is>
          <t>KALMAR LÄN</t>
        </is>
      </c>
      <c r="E656" t="inlineStr">
        <is>
          <t>VIMMERBY</t>
        </is>
      </c>
      <c r="F656" t="inlineStr">
        <is>
          <t>Övriga Aktiebolag</t>
        </is>
      </c>
      <c r="G656" t="n">
        <v>3.3</v>
      </c>
      <c r="H656" t="n">
        <v>0</v>
      </c>
      <c r="I656" t="n">
        <v>0</v>
      </c>
      <c r="J656" t="n">
        <v>0</v>
      </c>
      <c r="K656" t="n">
        <v>0</v>
      </c>
      <c r="L656" t="n">
        <v>0</v>
      </c>
      <c r="M656" t="n">
        <v>0</v>
      </c>
      <c r="N656" t="n">
        <v>0</v>
      </c>
      <c r="O656" t="n">
        <v>0</v>
      </c>
      <c r="P656" t="n">
        <v>0</v>
      </c>
      <c r="Q656" t="n">
        <v>0</v>
      </c>
      <c r="R656" s="2" t="inlineStr"/>
    </row>
    <row r="657" ht="15" customHeight="1">
      <c r="A657" t="inlineStr">
        <is>
          <t>A 17084-2025</t>
        </is>
      </c>
      <c r="B657" s="1" t="n">
        <v>45755.64450231481</v>
      </c>
      <c r="C657" s="1" t="n">
        <v>45994</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39807-2025</t>
        </is>
      </c>
      <c r="B658" s="1" t="n">
        <v>45891.50986111111</v>
      </c>
      <c r="C658" s="1" t="n">
        <v>45994</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39736-2025</t>
        </is>
      </c>
      <c r="B659" s="1" t="n">
        <v>45891</v>
      </c>
      <c r="C659" s="1" t="n">
        <v>45994</v>
      </c>
      <c r="D659" t="inlineStr">
        <is>
          <t>KALMAR LÄN</t>
        </is>
      </c>
      <c r="E659" t="inlineStr">
        <is>
          <t>VIMMERBY</t>
        </is>
      </c>
      <c r="G659" t="n">
        <v>12.8</v>
      </c>
      <c r="H659" t="n">
        <v>0</v>
      </c>
      <c r="I659" t="n">
        <v>0</v>
      </c>
      <c r="J659" t="n">
        <v>0</v>
      </c>
      <c r="K659" t="n">
        <v>0</v>
      </c>
      <c r="L659" t="n">
        <v>0</v>
      </c>
      <c r="M659" t="n">
        <v>0</v>
      </c>
      <c r="N659" t="n">
        <v>0</v>
      </c>
      <c r="O659" t="n">
        <v>0</v>
      </c>
      <c r="P659" t="n">
        <v>0</v>
      </c>
      <c r="Q659" t="n">
        <v>0</v>
      </c>
      <c r="R659" s="2" t="inlineStr"/>
    </row>
    <row r="660" ht="15" customHeight="1">
      <c r="A660" t="inlineStr">
        <is>
          <t>A 33161-2024</t>
        </is>
      </c>
      <c r="B660" s="1" t="n">
        <v>45518.40657407408</v>
      </c>
      <c r="C660" s="1" t="n">
        <v>45994</v>
      </c>
      <c r="D660" t="inlineStr">
        <is>
          <t>KALMAR LÄN</t>
        </is>
      </c>
      <c r="E660" t="inlineStr">
        <is>
          <t>VIMMERBY</t>
        </is>
      </c>
      <c r="G660" t="n">
        <v>4.7</v>
      </c>
      <c r="H660" t="n">
        <v>0</v>
      </c>
      <c r="I660" t="n">
        <v>0</v>
      </c>
      <c r="J660" t="n">
        <v>0</v>
      </c>
      <c r="K660" t="n">
        <v>0</v>
      </c>
      <c r="L660" t="n">
        <v>0</v>
      </c>
      <c r="M660" t="n">
        <v>0</v>
      </c>
      <c r="N660" t="n">
        <v>0</v>
      </c>
      <c r="O660" t="n">
        <v>0</v>
      </c>
      <c r="P660" t="n">
        <v>0</v>
      </c>
      <c r="Q660" t="n">
        <v>0</v>
      </c>
      <c r="R660" s="2" t="inlineStr"/>
    </row>
    <row r="661" ht="15" customHeight="1">
      <c r="A661" t="inlineStr">
        <is>
          <t>A 6807-2025</t>
        </is>
      </c>
      <c r="B661" s="1" t="n">
        <v>45700.68672453704</v>
      </c>
      <c r="C661" s="1" t="n">
        <v>45994</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14359-2025</t>
        </is>
      </c>
      <c r="B662" s="1" t="n">
        <v>45741.37270833334</v>
      </c>
      <c r="C662" s="1" t="n">
        <v>45994</v>
      </c>
      <c r="D662" t="inlineStr">
        <is>
          <t>KALMAR LÄN</t>
        </is>
      </c>
      <c r="E662" t="inlineStr">
        <is>
          <t>VIMMERBY</t>
        </is>
      </c>
      <c r="G662" t="n">
        <v>2</v>
      </c>
      <c r="H662" t="n">
        <v>0</v>
      </c>
      <c r="I662" t="n">
        <v>0</v>
      </c>
      <c r="J662" t="n">
        <v>0</v>
      </c>
      <c r="K662" t="n">
        <v>0</v>
      </c>
      <c r="L662" t="n">
        <v>0</v>
      </c>
      <c r="M662" t="n">
        <v>0</v>
      </c>
      <c r="N662" t="n">
        <v>0</v>
      </c>
      <c r="O662" t="n">
        <v>0</v>
      </c>
      <c r="P662" t="n">
        <v>0</v>
      </c>
      <c r="Q662" t="n">
        <v>0</v>
      </c>
      <c r="R662" s="2" t="inlineStr"/>
    </row>
    <row r="663" ht="15" customHeight="1">
      <c r="A663" t="inlineStr">
        <is>
          <t>A 39803-2025</t>
        </is>
      </c>
      <c r="B663" s="1" t="n">
        <v>45891.50525462963</v>
      </c>
      <c r="C663" s="1" t="n">
        <v>45994</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39889-2025</t>
        </is>
      </c>
      <c r="B664" s="1" t="n">
        <v>45891</v>
      </c>
      <c r="C664" s="1" t="n">
        <v>45994</v>
      </c>
      <c r="D664" t="inlineStr">
        <is>
          <t>KALMAR LÄN</t>
        </is>
      </c>
      <c r="E664" t="inlineStr">
        <is>
          <t>VIMMERBY</t>
        </is>
      </c>
      <c r="G664" t="n">
        <v>4.5</v>
      </c>
      <c r="H664" t="n">
        <v>0</v>
      </c>
      <c r="I664" t="n">
        <v>0</v>
      </c>
      <c r="J664" t="n">
        <v>0</v>
      </c>
      <c r="K664" t="n">
        <v>0</v>
      </c>
      <c r="L664" t="n">
        <v>0</v>
      </c>
      <c r="M664" t="n">
        <v>0</v>
      </c>
      <c r="N664" t="n">
        <v>0</v>
      </c>
      <c r="O664" t="n">
        <v>0</v>
      </c>
      <c r="P664" t="n">
        <v>0</v>
      </c>
      <c r="Q664" t="n">
        <v>0</v>
      </c>
      <c r="R664" s="2" t="inlineStr"/>
    </row>
    <row r="665" ht="15" customHeight="1">
      <c r="A665" t="inlineStr">
        <is>
          <t>A 7047-2022</t>
        </is>
      </c>
      <c r="B665" s="1" t="n">
        <v>44603</v>
      </c>
      <c r="C665" s="1" t="n">
        <v>45994</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35711-2023</t>
        </is>
      </c>
      <c r="B666" s="1" t="n">
        <v>45147.67172453704</v>
      </c>
      <c r="C666" s="1" t="n">
        <v>45994</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5382-2023</t>
        </is>
      </c>
      <c r="B667" s="1" t="n">
        <v>44959.66407407408</v>
      </c>
      <c r="C667" s="1" t="n">
        <v>45994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7075-2021</t>
        </is>
      </c>
      <c r="B668" s="1" t="n">
        <v>44237</v>
      </c>
      <c r="C668" s="1" t="n">
        <v>45994</v>
      </c>
      <c r="D668" t="inlineStr">
        <is>
          <t>KALMAR LÄN</t>
        </is>
      </c>
      <c r="E668" t="inlineStr">
        <is>
          <t>VIMMERBY</t>
        </is>
      </c>
      <c r="G668" t="n">
        <v>3.6</v>
      </c>
      <c r="H668" t="n">
        <v>0</v>
      </c>
      <c r="I668" t="n">
        <v>0</v>
      </c>
      <c r="J668" t="n">
        <v>0</v>
      </c>
      <c r="K668" t="n">
        <v>0</v>
      </c>
      <c r="L668" t="n">
        <v>0</v>
      </c>
      <c r="M668" t="n">
        <v>0</v>
      </c>
      <c r="N668" t="n">
        <v>0</v>
      </c>
      <c r="O668" t="n">
        <v>0</v>
      </c>
      <c r="P668" t="n">
        <v>0</v>
      </c>
      <c r="Q668" t="n">
        <v>0</v>
      </c>
      <c r="R668" s="2" t="inlineStr"/>
    </row>
    <row r="669" ht="15" customHeight="1">
      <c r="A669" t="inlineStr">
        <is>
          <t>A 40823-2023</t>
        </is>
      </c>
      <c r="B669" s="1" t="n">
        <v>45171.77335648148</v>
      </c>
      <c r="C669" s="1" t="n">
        <v>45994</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6218-2025</t>
        </is>
      </c>
      <c r="B670" s="1" t="n">
        <v>45698.53336805556</v>
      </c>
      <c r="C670" s="1" t="n">
        <v>45994</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55605-2024</t>
        </is>
      </c>
      <c r="B671" s="1" t="n">
        <v>45622</v>
      </c>
      <c r="C671" s="1" t="n">
        <v>45994</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44464-2024</t>
        </is>
      </c>
      <c r="B672" s="1" t="n">
        <v>45574.35809027778</v>
      </c>
      <c r="C672" s="1" t="n">
        <v>45994</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36049-2024</t>
        </is>
      </c>
      <c r="B673" s="1" t="n">
        <v>45533.61996527778</v>
      </c>
      <c r="C673" s="1" t="n">
        <v>45994</v>
      </c>
      <c r="D673" t="inlineStr">
        <is>
          <t>KALMAR LÄN</t>
        </is>
      </c>
      <c r="E673" t="inlineStr">
        <is>
          <t>VIMMERBY</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4297-2022</t>
        </is>
      </c>
      <c r="B674" s="1" t="n">
        <v>44588</v>
      </c>
      <c r="C674" s="1" t="n">
        <v>45994</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30920-2023</t>
        </is>
      </c>
      <c r="B675" s="1" t="n">
        <v>45113.43921296296</v>
      </c>
      <c r="C675" s="1" t="n">
        <v>45994</v>
      </c>
      <c r="D675" t="inlineStr">
        <is>
          <t>KALMAR LÄN</t>
        </is>
      </c>
      <c r="E675" t="inlineStr">
        <is>
          <t>VIMMERBY</t>
        </is>
      </c>
      <c r="G675" t="n">
        <v>3.1</v>
      </c>
      <c r="H675" t="n">
        <v>0</v>
      </c>
      <c r="I675" t="n">
        <v>0</v>
      </c>
      <c r="J675" t="n">
        <v>0</v>
      </c>
      <c r="K675" t="n">
        <v>0</v>
      </c>
      <c r="L675" t="n">
        <v>0</v>
      </c>
      <c r="M675" t="n">
        <v>0</v>
      </c>
      <c r="N675" t="n">
        <v>0</v>
      </c>
      <c r="O675" t="n">
        <v>0</v>
      </c>
      <c r="P675" t="n">
        <v>0</v>
      </c>
      <c r="Q675" t="n">
        <v>0</v>
      </c>
      <c r="R675" s="2" t="inlineStr"/>
    </row>
    <row r="676" ht="15" customHeight="1">
      <c r="A676" t="inlineStr">
        <is>
          <t>A 40925-2025</t>
        </is>
      </c>
      <c r="B676" s="1" t="n">
        <v>45897.64208333333</v>
      </c>
      <c r="C676" s="1" t="n">
        <v>45994</v>
      </c>
      <c r="D676" t="inlineStr">
        <is>
          <t>KALMAR LÄN</t>
        </is>
      </c>
      <c r="E676" t="inlineStr">
        <is>
          <t>VIMMERBY</t>
        </is>
      </c>
      <c r="G676" t="n">
        <v>1.9</v>
      </c>
      <c r="H676" t="n">
        <v>0</v>
      </c>
      <c r="I676" t="n">
        <v>0</v>
      </c>
      <c r="J676" t="n">
        <v>0</v>
      </c>
      <c r="K676" t="n">
        <v>0</v>
      </c>
      <c r="L676" t="n">
        <v>0</v>
      </c>
      <c r="M676" t="n">
        <v>0</v>
      </c>
      <c r="N676" t="n">
        <v>0</v>
      </c>
      <c r="O676" t="n">
        <v>0</v>
      </c>
      <c r="P676" t="n">
        <v>0</v>
      </c>
      <c r="Q676" t="n">
        <v>0</v>
      </c>
      <c r="R676" s="2" t="inlineStr"/>
    </row>
    <row r="677" ht="15" customHeight="1">
      <c r="A677" t="inlineStr">
        <is>
          <t>A 6857-2023</t>
        </is>
      </c>
      <c r="B677" s="1" t="n">
        <v>44967.45122685185</v>
      </c>
      <c r="C677" s="1" t="n">
        <v>45994</v>
      </c>
      <c r="D677" t="inlineStr">
        <is>
          <t>KALMAR LÄN</t>
        </is>
      </c>
      <c r="E677" t="inlineStr">
        <is>
          <t>VIMMERBY</t>
        </is>
      </c>
      <c r="G677" t="n">
        <v>2.1</v>
      </c>
      <c r="H677" t="n">
        <v>0</v>
      </c>
      <c r="I677" t="n">
        <v>0</v>
      </c>
      <c r="J677" t="n">
        <v>0</v>
      </c>
      <c r="K677" t="n">
        <v>0</v>
      </c>
      <c r="L677" t="n">
        <v>0</v>
      </c>
      <c r="M677" t="n">
        <v>0</v>
      </c>
      <c r="N677" t="n">
        <v>0</v>
      </c>
      <c r="O677" t="n">
        <v>0</v>
      </c>
      <c r="P677" t="n">
        <v>0</v>
      </c>
      <c r="Q677" t="n">
        <v>0</v>
      </c>
      <c r="R677" s="2" t="inlineStr"/>
    </row>
    <row r="678" ht="15" customHeight="1">
      <c r="A678" t="inlineStr">
        <is>
          <t>A 46399-2024</t>
        </is>
      </c>
      <c r="B678" s="1" t="n">
        <v>45582.41200231481</v>
      </c>
      <c r="C678" s="1" t="n">
        <v>45994</v>
      </c>
      <c r="D678" t="inlineStr">
        <is>
          <t>KALMAR LÄN</t>
        </is>
      </c>
      <c r="E678" t="inlineStr">
        <is>
          <t>VIMMERBY</t>
        </is>
      </c>
      <c r="G678" t="n">
        <v>4.6</v>
      </c>
      <c r="H678" t="n">
        <v>0</v>
      </c>
      <c r="I678" t="n">
        <v>0</v>
      </c>
      <c r="J678" t="n">
        <v>0</v>
      </c>
      <c r="K678" t="n">
        <v>0</v>
      </c>
      <c r="L678" t="n">
        <v>0</v>
      </c>
      <c r="M678" t="n">
        <v>0</v>
      </c>
      <c r="N678" t="n">
        <v>0</v>
      </c>
      <c r="O678" t="n">
        <v>0</v>
      </c>
      <c r="P678" t="n">
        <v>0</v>
      </c>
      <c r="Q678" t="n">
        <v>0</v>
      </c>
      <c r="R678" s="2" t="inlineStr"/>
    </row>
    <row r="679" ht="15" customHeight="1">
      <c r="A679" t="inlineStr">
        <is>
          <t>A 40921-2025</t>
        </is>
      </c>
      <c r="B679" s="1" t="n">
        <v>45897.63520833333</v>
      </c>
      <c r="C679" s="1" t="n">
        <v>45994</v>
      </c>
      <c r="D679" t="inlineStr">
        <is>
          <t>KALMAR LÄN</t>
        </is>
      </c>
      <c r="E679" t="inlineStr">
        <is>
          <t>VIMMERBY</t>
        </is>
      </c>
      <c r="G679" t="n">
        <v>4.2</v>
      </c>
      <c r="H679" t="n">
        <v>0</v>
      </c>
      <c r="I679" t="n">
        <v>0</v>
      </c>
      <c r="J679" t="n">
        <v>0</v>
      </c>
      <c r="K679" t="n">
        <v>0</v>
      </c>
      <c r="L679" t="n">
        <v>0</v>
      </c>
      <c r="M679" t="n">
        <v>0</v>
      </c>
      <c r="N679" t="n">
        <v>0</v>
      </c>
      <c r="O679" t="n">
        <v>0</v>
      </c>
      <c r="P679" t="n">
        <v>0</v>
      </c>
      <c r="Q679" t="n">
        <v>0</v>
      </c>
      <c r="R679" s="2" t="inlineStr"/>
    </row>
    <row r="680" ht="15" customHeight="1">
      <c r="A680" t="inlineStr">
        <is>
          <t>A 13532-2025</t>
        </is>
      </c>
      <c r="B680" s="1" t="n">
        <v>45736.50743055555</v>
      </c>
      <c r="C680" s="1" t="n">
        <v>45994</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5792-2023</t>
        </is>
      </c>
      <c r="B681" s="1" t="n">
        <v>44963.44769675926</v>
      </c>
      <c r="C681" s="1" t="n">
        <v>45994</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10303-2025</t>
        </is>
      </c>
      <c r="B682" s="1" t="n">
        <v>45720.44217592593</v>
      </c>
      <c r="C682" s="1" t="n">
        <v>45994</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35082-2024</t>
        </is>
      </c>
      <c r="B683" s="1" t="n">
        <v>45527.68784722222</v>
      </c>
      <c r="C683" s="1" t="n">
        <v>45994</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44833.60123842592</v>
      </c>
      <c r="C684" s="1" t="n">
        <v>45994</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41224-2025</t>
        </is>
      </c>
      <c r="B685" s="1" t="n">
        <v>45898.58861111111</v>
      </c>
      <c r="C685" s="1" t="n">
        <v>45994</v>
      </c>
      <c r="D685" t="inlineStr">
        <is>
          <t>KALMAR LÄN</t>
        </is>
      </c>
      <c r="E685" t="inlineStr">
        <is>
          <t>VIMMERBY</t>
        </is>
      </c>
      <c r="G685" t="n">
        <v>4.4</v>
      </c>
      <c r="H685" t="n">
        <v>0</v>
      </c>
      <c r="I685" t="n">
        <v>0</v>
      </c>
      <c r="J685" t="n">
        <v>0</v>
      </c>
      <c r="K685" t="n">
        <v>0</v>
      </c>
      <c r="L685" t="n">
        <v>0</v>
      </c>
      <c r="M685" t="n">
        <v>0</v>
      </c>
      <c r="N685" t="n">
        <v>0</v>
      </c>
      <c r="O685" t="n">
        <v>0</v>
      </c>
      <c r="P685" t="n">
        <v>0</v>
      </c>
      <c r="Q685" t="n">
        <v>0</v>
      </c>
      <c r="R685" s="2" t="inlineStr"/>
    </row>
    <row r="686" ht="15" customHeight="1">
      <c r="A686" t="inlineStr">
        <is>
          <t>A 60110-2022</t>
        </is>
      </c>
      <c r="B686" s="1" t="n">
        <v>44909</v>
      </c>
      <c r="C686" s="1" t="n">
        <v>45994</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41591-2025</t>
        </is>
      </c>
      <c r="B687" s="1" t="n">
        <v>45901.6327662037</v>
      </c>
      <c r="C687" s="1" t="n">
        <v>45994</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40971-2025</t>
        </is>
      </c>
      <c r="B688" s="1" t="n">
        <v>45897.88836805556</v>
      </c>
      <c r="C688" s="1" t="n">
        <v>45994</v>
      </c>
      <c r="D688" t="inlineStr">
        <is>
          <t>KALMAR LÄN</t>
        </is>
      </c>
      <c r="E688" t="inlineStr">
        <is>
          <t>VIMMERBY</t>
        </is>
      </c>
      <c r="G688" t="n">
        <v>1.5</v>
      </c>
      <c r="H688" t="n">
        <v>0</v>
      </c>
      <c r="I688" t="n">
        <v>0</v>
      </c>
      <c r="J688" t="n">
        <v>0</v>
      </c>
      <c r="K688" t="n">
        <v>0</v>
      </c>
      <c r="L688" t="n">
        <v>0</v>
      </c>
      <c r="M688" t="n">
        <v>0</v>
      </c>
      <c r="N688" t="n">
        <v>0</v>
      </c>
      <c r="O688" t="n">
        <v>0</v>
      </c>
      <c r="P688" t="n">
        <v>0</v>
      </c>
      <c r="Q688" t="n">
        <v>0</v>
      </c>
      <c r="R688" s="2" t="inlineStr"/>
    </row>
    <row r="689" ht="15" customHeight="1">
      <c r="A689" t="inlineStr">
        <is>
          <t>A 15394-2025</t>
        </is>
      </c>
      <c r="B689" s="1" t="n">
        <v>45747.43196759259</v>
      </c>
      <c r="C689" s="1" t="n">
        <v>45994</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15388-2025</t>
        </is>
      </c>
      <c r="B690" s="1" t="n">
        <v>45747.42633101852</v>
      </c>
      <c r="C690" s="1" t="n">
        <v>45994</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15391-2025</t>
        </is>
      </c>
      <c r="B691" s="1" t="n">
        <v>45747.42958333333</v>
      </c>
      <c r="C691" s="1" t="n">
        <v>45994</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41589-2025</t>
        </is>
      </c>
      <c r="B692" s="1" t="n">
        <v>45901.63219907408</v>
      </c>
      <c r="C692" s="1" t="n">
        <v>45994</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6474-2025</t>
        </is>
      </c>
      <c r="B693" s="1" t="n">
        <v>45699.60055555555</v>
      </c>
      <c r="C693" s="1" t="n">
        <v>45994</v>
      </c>
      <c r="D693" t="inlineStr">
        <is>
          <t>KALMAR LÄN</t>
        </is>
      </c>
      <c r="E693" t="inlineStr">
        <is>
          <t>VIMMERBY</t>
        </is>
      </c>
      <c r="G693" t="n">
        <v>1.6</v>
      </c>
      <c r="H693" t="n">
        <v>0</v>
      </c>
      <c r="I693" t="n">
        <v>0</v>
      </c>
      <c r="J693" t="n">
        <v>0</v>
      </c>
      <c r="K693" t="n">
        <v>0</v>
      </c>
      <c r="L693" t="n">
        <v>0</v>
      </c>
      <c r="M693" t="n">
        <v>0</v>
      </c>
      <c r="N693" t="n">
        <v>0</v>
      </c>
      <c r="O693" t="n">
        <v>0</v>
      </c>
      <c r="P693" t="n">
        <v>0</v>
      </c>
      <c r="Q693" t="n">
        <v>0</v>
      </c>
      <c r="R693" s="2" t="inlineStr"/>
    </row>
    <row r="694" ht="15" customHeight="1">
      <c r="A694" t="inlineStr">
        <is>
          <t>A 12596-2021</t>
        </is>
      </c>
      <c r="B694" s="1" t="n">
        <v>44270.39765046296</v>
      </c>
      <c r="C694" s="1" t="n">
        <v>45994</v>
      </c>
      <c r="D694" t="inlineStr">
        <is>
          <t>KALMAR LÄN</t>
        </is>
      </c>
      <c r="E694" t="inlineStr">
        <is>
          <t>VIMMERBY</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32919-2022</t>
        </is>
      </c>
      <c r="B695" s="1" t="n">
        <v>44784.62724537037</v>
      </c>
      <c r="C695" s="1" t="n">
        <v>45994</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40970-2025</t>
        </is>
      </c>
      <c r="B696" s="1" t="n">
        <v>45897.88706018519</v>
      </c>
      <c r="C696" s="1" t="n">
        <v>45994</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40973-2025</t>
        </is>
      </c>
      <c r="B697" s="1" t="n">
        <v>45897.89737268518</v>
      </c>
      <c r="C697" s="1" t="n">
        <v>45994</v>
      </c>
      <c r="D697" t="inlineStr">
        <is>
          <t>KALMAR LÄN</t>
        </is>
      </c>
      <c r="E697" t="inlineStr">
        <is>
          <t>VIMMERBY</t>
        </is>
      </c>
      <c r="G697" t="n">
        <v>1.8</v>
      </c>
      <c r="H697" t="n">
        <v>0</v>
      </c>
      <c r="I697" t="n">
        <v>0</v>
      </c>
      <c r="J697" t="n">
        <v>0</v>
      </c>
      <c r="K697" t="n">
        <v>0</v>
      </c>
      <c r="L697" t="n">
        <v>0</v>
      </c>
      <c r="M697" t="n">
        <v>0</v>
      </c>
      <c r="N697" t="n">
        <v>0</v>
      </c>
      <c r="O697" t="n">
        <v>0</v>
      </c>
      <c r="P697" t="n">
        <v>0</v>
      </c>
      <c r="Q697" t="n">
        <v>0</v>
      </c>
      <c r="R697" s="2" t="inlineStr"/>
    </row>
    <row r="698" ht="15" customHeight="1">
      <c r="A698" t="inlineStr">
        <is>
          <t>A 57799-2022</t>
        </is>
      </c>
      <c r="B698" s="1" t="n">
        <v>44897</v>
      </c>
      <c r="C698" s="1" t="n">
        <v>45994</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30921-2024</t>
        </is>
      </c>
      <c r="B699" s="1" t="n">
        <v>45498</v>
      </c>
      <c r="C699" s="1" t="n">
        <v>45994</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34090-2025</t>
        </is>
      </c>
      <c r="B700" s="1" t="n">
        <v>45845</v>
      </c>
      <c r="C700" s="1" t="n">
        <v>45994</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56659-2023</t>
        </is>
      </c>
      <c r="B701" s="1" t="n">
        <v>45243.84869212963</v>
      </c>
      <c r="C701" s="1" t="n">
        <v>45994</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13015-2022</t>
        </is>
      </c>
      <c r="B702" s="1" t="n">
        <v>44643</v>
      </c>
      <c r="C702" s="1" t="n">
        <v>45994</v>
      </c>
      <c r="D702" t="inlineStr">
        <is>
          <t>KALMAR LÄN</t>
        </is>
      </c>
      <c r="E702" t="inlineStr">
        <is>
          <t>VIMMERBY</t>
        </is>
      </c>
      <c r="G702" t="n">
        <v>2.4</v>
      </c>
      <c r="H702" t="n">
        <v>0</v>
      </c>
      <c r="I702" t="n">
        <v>0</v>
      </c>
      <c r="J702" t="n">
        <v>0</v>
      </c>
      <c r="K702" t="n">
        <v>0</v>
      </c>
      <c r="L702" t="n">
        <v>0</v>
      </c>
      <c r="M702" t="n">
        <v>0</v>
      </c>
      <c r="N702" t="n">
        <v>0</v>
      </c>
      <c r="O702" t="n">
        <v>0</v>
      </c>
      <c r="P702" t="n">
        <v>0</v>
      </c>
      <c r="Q702" t="n">
        <v>0</v>
      </c>
      <c r="R702" s="2" t="inlineStr"/>
    </row>
    <row r="703" ht="15" customHeight="1">
      <c r="A703" t="inlineStr">
        <is>
          <t>A 14137-2023</t>
        </is>
      </c>
      <c r="B703" s="1" t="n">
        <v>45009.4671875</v>
      </c>
      <c r="C703" s="1" t="n">
        <v>45994</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17968-2025</t>
        </is>
      </c>
      <c r="B704" s="1" t="n">
        <v>45761.35990740741</v>
      </c>
      <c r="C704" s="1" t="n">
        <v>45994</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6028-2023</t>
        </is>
      </c>
      <c r="B705" s="1" t="n">
        <v>44964.44356481481</v>
      </c>
      <c r="C705" s="1" t="n">
        <v>45994</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55436-2023</t>
        </is>
      </c>
      <c r="B706" s="1" t="n">
        <v>45238.4328587963</v>
      </c>
      <c r="C706" s="1" t="n">
        <v>45994</v>
      </c>
      <c r="D706" t="inlineStr">
        <is>
          <t>KALMAR LÄN</t>
        </is>
      </c>
      <c r="E706" t="inlineStr">
        <is>
          <t>VIMMERBY</t>
        </is>
      </c>
      <c r="G706" t="n">
        <v>5.6</v>
      </c>
      <c r="H706" t="n">
        <v>0</v>
      </c>
      <c r="I706" t="n">
        <v>0</v>
      </c>
      <c r="J706" t="n">
        <v>0</v>
      </c>
      <c r="K706" t="n">
        <v>0</v>
      </c>
      <c r="L706" t="n">
        <v>0</v>
      </c>
      <c r="M706" t="n">
        <v>0</v>
      </c>
      <c r="N706" t="n">
        <v>0</v>
      </c>
      <c r="O706" t="n">
        <v>0</v>
      </c>
      <c r="P706" t="n">
        <v>0</v>
      </c>
      <c r="Q706" t="n">
        <v>0</v>
      </c>
      <c r="R706" s="2" t="inlineStr"/>
    </row>
    <row r="707" ht="15" customHeight="1">
      <c r="A707" t="inlineStr">
        <is>
          <t>A 41735-2025</t>
        </is>
      </c>
      <c r="B707" s="1" t="n">
        <v>45902.47164351852</v>
      </c>
      <c r="C707" s="1" t="n">
        <v>45994</v>
      </c>
      <c r="D707" t="inlineStr">
        <is>
          <t>KALMAR LÄN</t>
        </is>
      </c>
      <c r="E707" t="inlineStr">
        <is>
          <t>VIMMERBY</t>
        </is>
      </c>
      <c r="G707" t="n">
        <v>3</v>
      </c>
      <c r="H707" t="n">
        <v>0</v>
      </c>
      <c r="I707" t="n">
        <v>0</v>
      </c>
      <c r="J707" t="n">
        <v>0</v>
      </c>
      <c r="K707" t="n">
        <v>0</v>
      </c>
      <c r="L707" t="n">
        <v>0</v>
      </c>
      <c r="M707" t="n">
        <v>0</v>
      </c>
      <c r="N707" t="n">
        <v>0</v>
      </c>
      <c r="O707" t="n">
        <v>0</v>
      </c>
      <c r="P707" t="n">
        <v>0</v>
      </c>
      <c r="Q707" t="n">
        <v>0</v>
      </c>
      <c r="R707" s="2" t="inlineStr"/>
    </row>
    <row r="708" ht="15" customHeight="1">
      <c r="A708" t="inlineStr">
        <is>
          <t>A 11152-2023</t>
        </is>
      </c>
      <c r="B708" s="1" t="n">
        <v>44992</v>
      </c>
      <c r="C708" s="1" t="n">
        <v>45994</v>
      </c>
      <c r="D708" t="inlineStr">
        <is>
          <t>KALMAR LÄN</t>
        </is>
      </c>
      <c r="E708" t="inlineStr">
        <is>
          <t>VIMMERBY</t>
        </is>
      </c>
      <c r="G708" t="n">
        <v>10.6</v>
      </c>
      <c r="H708" t="n">
        <v>0</v>
      </c>
      <c r="I708" t="n">
        <v>0</v>
      </c>
      <c r="J708" t="n">
        <v>0</v>
      </c>
      <c r="K708" t="n">
        <v>0</v>
      </c>
      <c r="L708" t="n">
        <v>0</v>
      </c>
      <c r="M708" t="n">
        <v>0</v>
      </c>
      <c r="N708" t="n">
        <v>0</v>
      </c>
      <c r="O708" t="n">
        <v>0</v>
      </c>
      <c r="P708" t="n">
        <v>0</v>
      </c>
      <c r="Q708" t="n">
        <v>0</v>
      </c>
      <c r="R708" s="2" t="inlineStr"/>
    </row>
    <row r="709" ht="15" customHeight="1">
      <c r="A709" t="inlineStr">
        <is>
          <t>A 51278-2024</t>
        </is>
      </c>
      <c r="B709" s="1" t="n">
        <v>45603.74959490741</v>
      </c>
      <c r="C709" s="1" t="n">
        <v>45994</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12499-2023</t>
        </is>
      </c>
      <c r="B710" s="1" t="n">
        <v>44999.86172453704</v>
      </c>
      <c r="C710" s="1" t="n">
        <v>45994</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12500-2023</t>
        </is>
      </c>
      <c r="B711" s="1" t="n">
        <v>44999.8625</v>
      </c>
      <c r="C711" s="1" t="n">
        <v>45994</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35846-2023</t>
        </is>
      </c>
      <c r="B712" s="1" t="n">
        <v>45148</v>
      </c>
      <c r="C712" s="1" t="n">
        <v>45994</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56582-2022</t>
        </is>
      </c>
      <c r="B713" s="1" t="n">
        <v>44893</v>
      </c>
      <c r="C713" s="1" t="n">
        <v>45994</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20-2025</t>
        </is>
      </c>
      <c r="B714" s="1" t="n">
        <v>45658.80232638889</v>
      </c>
      <c r="C714" s="1" t="n">
        <v>45994</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23-2025</t>
        </is>
      </c>
      <c r="B715" s="1" t="n">
        <v>45658.80827546296</v>
      </c>
      <c r="C715" s="1" t="n">
        <v>45994</v>
      </c>
      <c r="D715" t="inlineStr">
        <is>
          <t>KALMAR LÄN</t>
        </is>
      </c>
      <c r="E715" t="inlineStr">
        <is>
          <t>VIMMERBY</t>
        </is>
      </c>
      <c r="G715" t="n">
        <v>1.8</v>
      </c>
      <c r="H715" t="n">
        <v>0</v>
      </c>
      <c r="I715" t="n">
        <v>0</v>
      </c>
      <c r="J715" t="n">
        <v>0</v>
      </c>
      <c r="K715" t="n">
        <v>0</v>
      </c>
      <c r="L715" t="n">
        <v>0</v>
      </c>
      <c r="M715" t="n">
        <v>0</v>
      </c>
      <c r="N715" t="n">
        <v>0</v>
      </c>
      <c r="O715" t="n">
        <v>0</v>
      </c>
      <c r="P715" t="n">
        <v>0</v>
      </c>
      <c r="Q715" t="n">
        <v>0</v>
      </c>
      <c r="R715" s="2" t="inlineStr"/>
    </row>
    <row r="716" ht="15" customHeight="1">
      <c r="A716" t="inlineStr">
        <is>
          <t>A 49039-2021</t>
        </is>
      </c>
      <c r="B716" s="1" t="n">
        <v>44453.56578703703</v>
      </c>
      <c r="C716" s="1" t="n">
        <v>45994</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43962-2024</t>
        </is>
      </c>
      <c r="B717" s="1" t="n">
        <v>45572.48293981481</v>
      </c>
      <c r="C717" s="1" t="n">
        <v>45994</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35713-2023</t>
        </is>
      </c>
      <c r="B718" s="1" t="n">
        <v>45147</v>
      </c>
      <c r="C718" s="1" t="n">
        <v>45994</v>
      </c>
      <c r="D718" t="inlineStr">
        <is>
          <t>KALMAR LÄN</t>
        </is>
      </c>
      <c r="E718" t="inlineStr">
        <is>
          <t>VIMMERBY</t>
        </is>
      </c>
      <c r="G718" t="n">
        <v>1.6</v>
      </c>
      <c r="H718" t="n">
        <v>0</v>
      </c>
      <c r="I718" t="n">
        <v>0</v>
      </c>
      <c r="J718" t="n">
        <v>0</v>
      </c>
      <c r="K718" t="n">
        <v>0</v>
      </c>
      <c r="L718" t="n">
        <v>0</v>
      </c>
      <c r="M718" t="n">
        <v>0</v>
      </c>
      <c r="N718" t="n">
        <v>0</v>
      </c>
      <c r="O718" t="n">
        <v>0</v>
      </c>
      <c r="P718" t="n">
        <v>0</v>
      </c>
      <c r="Q718" t="n">
        <v>0</v>
      </c>
      <c r="R718" s="2" t="inlineStr"/>
    </row>
    <row r="719" ht="15" customHeight="1">
      <c r="A719" t="inlineStr">
        <is>
          <t>A 9456-2025</t>
        </is>
      </c>
      <c r="B719" s="1" t="n">
        <v>45715.44159722222</v>
      </c>
      <c r="C719" s="1" t="n">
        <v>45994</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11111-2023</t>
        </is>
      </c>
      <c r="B720" s="1" t="n">
        <v>44992.4255787037</v>
      </c>
      <c r="C720" s="1" t="n">
        <v>45994</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46224-2024</t>
        </is>
      </c>
      <c r="B721" s="1" t="n">
        <v>45581.57016203704</v>
      </c>
      <c r="C721" s="1" t="n">
        <v>45994</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46238-2024</t>
        </is>
      </c>
      <c r="B722" s="1" t="n">
        <v>45581.58418981481</v>
      </c>
      <c r="C722" s="1" t="n">
        <v>45994</v>
      </c>
      <c r="D722" t="inlineStr">
        <is>
          <t>KALMAR LÄN</t>
        </is>
      </c>
      <c r="E722" t="inlineStr">
        <is>
          <t>VIMMERBY</t>
        </is>
      </c>
      <c r="G722" t="n">
        <v>2.1</v>
      </c>
      <c r="H722" t="n">
        <v>0</v>
      </c>
      <c r="I722" t="n">
        <v>0</v>
      </c>
      <c r="J722" t="n">
        <v>0</v>
      </c>
      <c r="K722" t="n">
        <v>0</v>
      </c>
      <c r="L722" t="n">
        <v>0</v>
      </c>
      <c r="M722" t="n">
        <v>0</v>
      </c>
      <c r="N722" t="n">
        <v>0</v>
      </c>
      <c r="O722" t="n">
        <v>0</v>
      </c>
      <c r="P722" t="n">
        <v>0</v>
      </c>
      <c r="Q722" t="n">
        <v>0</v>
      </c>
      <c r="R722" s="2" t="inlineStr"/>
    </row>
    <row r="723" ht="15" customHeight="1">
      <c r="A723" t="inlineStr">
        <is>
          <t>A 30633-2024</t>
        </is>
      </c>
      <c r="B723" s="1" t="n">
        <v>45495</v>
      </c>
      <c r="C723" s="1" t="n">
        <v>45994</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54838-2024</t>
        </is>
      </c>
      <c r="B724" s="1" t="n">
        <v>45618.56787037037</v>
      </c>
      <c r="C724" s="1" t="n">
        <v>45994</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6405-2025</t>
        </is>
      </c>
      <c r="B725" s="1" t="n">
        <v>45699.45392361111</v>
      </c>
      <c r="C725" s="1" t="n">
        <v>45994</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40147-2023</t>
        </is>
      </c>
      <c r="B726" s="1" t="n">
        <v>45169</v>
      </c>
      <c r="C726" s="1" t="n">
        <v>45994</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50995-2022</t>
        </is>
      </c>
      <c r="B727" s="1" t="n">
        <v>44867</v>
      </c>
      <c r="C727" s="1" t="n">
        <v>45994</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60437-2023</t>
        </is>
      </c>
      <c r="B728" s="1" t="n">
        <v>45259.51916666667</v>
      </c>
      <c r="C728" s="1" t="n">
        <v>45994</v>
      </c>
      <c r="D728" t="inlineStr">
        <is>
          <t>KALMAR LÄN</t>
        </is>
      </c>
      <c r="E728" t="inlineStr">
        <is>
          <t>VIMMERBY</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60438-2023</t>
        </is>
      </c>
      <c r="B729" s="1" t="n">
        <v>45259.52020833334</v>
      </c>
      <c r="C729" s="1" t="n">
        <v>45994</v>
      </c>
      <c r="D729" t="inlineStr">
        <is>
          <t>KALMAR LÄN</t>
        </is>
      </c>
      <c r="E729" t="inlineStr">
        <is>
          <t>VIMMERBY</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42165-2024</t>
        </is>
      </c>
      <c r="B730" s="1" t="n">
        <v>45562.46342592593</v>
      </c>
      <c r="C730" s="1" t="n">
        <v>45994</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42828-2025</t>
        </is>
      </c>
      <c r="B731" s="1" t="n">
        <v>45908.57716435185</v>
      </c>
      <c r="C731" s="1" t="n">
        <v>45994</v>
      </c>
      <c r="D731" t="inlineStr">
        <is>
          <t>KALMAR LÄN</t>
        </is>
      </c>
      <c r="E731" t="inlineStr">
        <is>
          <t>VIMMERBY</t>
        </is>
      </c>
      <c r="G731" t="n">
        <v>5.2</v>
      </c>
      <c r="H731" t="n">
        <v>0</v>
      </c>
      <c r="I731" t="n">
        <v>0</v>
      </c>
      <c r="J731" t="n">
        <v>0</v>
      </c>
      <c r="K731" t="n">
        <v>0</v>
      </c>
      <c r="L731" t="n">
        <v>0</v>
      </c>
      <c r="M731" t="n">
        <v>0</v>
      </c>
      <c r="N731" t="n">
        <v>0</v>
      </c>
      <c r="O731" t="n">
        <v>0</v>
      </c>
      <c r="P731" t="n">
        <v>0</v>
      </c>
      <c r="Q731" t="n">
        <v>0</v>
      </c>
      <c r="R731" s="2" t="inlineStr"/>
    </row>
    <row r="732" ht="15" customHeight="1">
      <c r="A732" t="inlineStr">
        <is>
          <t>A 42794-2025</t>
        </is>
      </c>
      <c r="B732" s="1" t="n">
        <v>45908</v>
      </c>
      <c r="C732" s="1" t="n">
        <v>45994</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42820-2025</t>
        </is>
      </c>
      <c r="B733" s="1" t="n">
        <v>45908</v>
      </c>
      <c r="C733" s="1" t="n">
        <v>45994</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25244-2023</t>
        </is>
      </c>
      <c r="B734" s="1" t="n">
        <v>45086</v>
      </c>
      <c r="C734" s="1" t="n">
        <v>45994</v>
      </c>
      <c r="D734" t="inlineStr">
        <is>
          <t>KALMAR LÄN</t>
        </is>
      </c>
      <c r="E734" t="inlineStr">
        <is>
          <t>VIMMERBY</t>
        </is>
      </c>
      <c r="G734" t="n">
        <v>4.7</v>
      </c>
      <c r="H734" t="n">
        <v>0</v>
      </c>
      <c r="I734" t="n">
        <v>0</v>
      </c>
      <c r="J734" t="n">
        <v>0</v>
      </c>
      <c r="K734" t="n">
        <v>0</v>
      </c>
      <c r="L734" t="n">
        <v>0</v>
      </c>
      <c r="M734" t="n">
        <v>0</v>
      </c>
      <c r="N734" t="n">
        <v>0</v>
      </c>
      <c r="O734" t="n">
        <v>0</v>
      </c>
      <c r="P734" t="n">
        <v>0</v>
      </c>
      <c r="Q734" t="n">
        <v>0</v>
      </c>
      <c r="R734" s="2" t="inlineStr"/>
    </row>
    <row r="735" ht="15" customHeight="1">
      <c r="A735" t="inlineStr">
        <is>
          <t>A 27993-2022</t>
        </is>
      </c>
      <c r="B735" s="1" t="n">
        <v>44745.84396990741</v>
      </c>
      <c r="C735" s="1" t="n">
        <v>45994</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66022-2021</t>
        </is>
      </c>
      <c r="B736" s="1" t="n">
        <v>44517</v>
      </c>
      <c r="C736" s="1" t="n">
        <v>45994</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35895-2024</t>
        </is>
      </c>
      <c r="B737" s="1" t="n">
        <v>45533.38870370371</v>
      </c>
      <c r="C737" s="1" t="n">
        <v>45994</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57555-2024</t>
        </is>
      </c>
      <c r="B738" s="1" t="n">
        <v>45630.45069444444</v>
      </c>
      <c r="C738" s="1" t="n">
        <v>45994</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44582-2024</t>
        </is>
      </c>
      <c r="B739" s="1" t="n">
        <v>45574.49298611111</v>
      </c>
      <c r="C739" s="1" t="n">
        <v>45994</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34060-2025</t>
        </is>
      </c>
      <c r="B740" s="1" t="n">
        <v>45845.42015046296</v>
      </c>
      <c r="C740" s="1" t="n">
        <v>45994</v>
      </c>
      <c r="D740" t="inlineStr">
        <is>
          <t>KALMAR LÄN</t>
        </is>
      </c>
      <c r="E740" t="inlineStr">
        <is>
          <t>VIMMERBY</t>
        </is>
      </c>
      <c r="G740" t="n">
        <v>5.7</v>
      </c>
      <c r="H740" t="n">
        <v>0</v>
      </c>
      <c r="I740" t="n">
        <v>0</v>
      </c>
      <c r="J740" t="n">
        <v>0</v>
      </c>
      <c r="K740" t="n">
        <v>0</v>
      </c>
      <c r="L740" t="n">
        <v>0</v>
      </c>
      <c r="M740" t="n">
        <v>0</v>
      </c>
      <c r="N740" t="n">
        <v>0</v>
      </c>
      <c r="O740" t="n">
        <v>0</v>
      </c>
      <c r="P740" t="n">
        <v>0</v>
      </c>
      <c r="Q740" t="n">
        <v>0</v>
      </c>
      <c r="R740" s="2" t="inlineStr"/>
    </row>
    <row r="741" ht="15" customHeight="1">
      <c r="A741" t="inlineStr">
        <is>
          <t>A 36014-2024</t>
        </is>
      </c>
      <c r="B741" s="1" t="n">
        <v>45533.56108796296</v>
      </c>
      <c r="C741" s="1" t="n">
        <v>45994</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36030-2024</t>
        </is>
      </c>
      <c r="B742" s="1" t="n">
        <v>45533.58302083334</v>
      </c>
      <c r="C742" s="1" t="n">
        <v>45994</v>
      </c>
      <c r="D742" t="inlineStr">
        <is>
          <t>KALMAR LÄN</t>
        </is>
      </c>
      <c r="E742" t="inlineStr">
        <is>
          <t>VIMMERBY</t>
        </is>
      </c>
      <c r="F742" t="inlineStr">
        <is>
          <t>Kommuner</t>
        </is>
      </c>
      <c r="G742" t="n">
        <v>4</v>
      </c>
      <c r="H742" t="n">
        <v>0</v>
      </c>
      <c r="I742" t="n">
        <v>0</v>
      </c>
      <c r="J742" t="n">
        <v>0</v>
      </c>
      <c r="K742" t="n">
        <v>0</v>
      </c>
      <c r="L742" t="n">
        <v>0</v>
      </c>
      <c r="M742" t="n">
        <v>0</v>
      </c>
      <c r="N742" t="n">
        <v>0</v>
      </c>
      <c r="O742" t="n">
        <v>0</v>
      </c>
      <c r="P742" t="n">
        <v>0</v>
      </c>
      <c r="Q742" t="n">
        <v>0</v>
      </c>
      <c r="R742" s="2" t="inlineStr"/>
    </row>
    <row r="743" ht="15" customHeight="1">
      <c r="A743" t="inlineStr">
        <is>
          <t>A 32865-2023</t>
        </is>
      </c>
      <c r="B743" s="1" t="n">
        <v>45124</v>
      </c>
      <c r="C743" s="1" t="n">
        <v>45994</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43465-2025</t>
        </is>
      </c>
      <c r="B744" s="1" t="n">
        <v>45911.47138888889</v>
      </c>
      <c r="C744" s="1" t="n">
        <v>45994</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15494-2024</t>
        </is>
      </c>
      <c r="B745" s="1" t="n">
        <v>45401.53033564815</v>
      </c>
      <c r="C745" s="1" t="n">
        <v>45994</v>
      </c>
      <c r="D745" t="inlineStr">
        <is>
          <t>KALMAR LÄN</t>
        </is>
      </c>
      <c r="E745" t="inlineStr">
        <is>
          <t>VIMMERBY</t>
        </is>
      </c>
      <c r="G745" t="n">
        <v>3.2</v>
      </c>
      <c r="H745" t="n">
        <v>0</v>
      </c>
      <c r="I745" t="n">
        <v>0</v>
      </c>
      <c r="J745" t="n">
        <v>0</v>
      </c>
      <c r="K745" t="n">
        <v>0</v>
      </c>
      <c r="L745" t="n">
        <v>0</v>
      </c>
      <c r="M745" t="n">
        <v>0</v>
      </c>
      <c r="N745" t="n">
        <v>0</v>
      </c>
      <c r="O745" t="n">
        <v>0</v>
      </c>
      <c r="P745" t="n">
        <v>0</v>
      </c>
      <c r="Q745" t="n">
        <v>0</v>
      </c>
      <c r="R745" s="2" t="inlineStr"/>
    </row>
    <row r="746" ht="15" customHeight="1">
      <c r="A746" t="inlineStr">
        <is>
          <t>A 51990-2025</t>
        </is>
      </c>
      <c r="B746" s="1" t="n">
        <v>45952.58061342593</v>
      </c>
      <c r="C746" s="1" t="n">
        <v>45994</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43617-2025</t>
        </is>
      </c>
      <c r="B747" s="1" t="n">
        <v>45911.67798611111</v>
      </c>
      <c r="C747" s="1" t="n">
        <v>45994</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58724-2024</t>
        </is>
      </c>
      <c r="B748" s="1" t="n">
        <v>45635.66409722222</v>
      </c>
      <c r="C748" s="1" t="n">
        <v>45994</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25792-2025</t>
        </is>
      </c>
      <c r="B749" s="1" t="n">
        <v>45804.39141203704</v>
      </c>
      <c r="C749" s="1" t="n">
        <v>45994</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26039-2025</t>
        </is>
      </c>
      <c r="B750" s="1" t="n">
        <v>45804.6953587963</v>
      </c>
      <c r="C750" s="1" t="n">
        <v>45994</v>
      </c>
      <c r="D750" t="inlineStr">
        <is>
          <t>KALMAR LÄN</t>
        </is>
      </c>
      <c r="E750" t="inlineStr">
        <is>
          <t>VIMMERBY</t>
        </is>
      </c>
      <c r="F750" t="inlineStr">
        <is>
          <t>Sveaskog</t>
        </is>
      </c>
      <c r="G750" t="n">
        <v>5.2</v>
      </c>
      <c r="H750" t="n">
        <v>0</v>
      </c>
      <c r="I750" t="n">
        <v>0</v>
      </c>
      <c r="J750" t="n">
        <v>0</v>
      </c>
      <c r="K750" t="n">
        <v>0</v>
      </c>
      <c r="L750" t="n">
        <v>0</v>
      </c>
      <c r="M750" t="n">
        <v>0</v>
      </c>
      <c r="N750" t="n">
        <v>0</v>
      </c>
      <c r="O750" t="n">
        <v>0</v>
      </c>
      <c r="P750" t="n">
        <v>0</v>
      </c>
      <c r="Q750" t="n">
        <v>0</v>
      </c>
      <c r="R750" s="2" t="inlineStr"/>
    </row>
    <row r="751" ht="15" customHeight="1">
      <c r="A751" t="inlineStr">
        <is>
          <t>A 51993-2025</t>
        </is>
      </c>
      <c r="B751" s="1" t="n">
        <v>45952.58194444444</v>
      </c>
      <c r="C751" s="1" t="n">
        <v>45994</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26046-2025</t>
        </is>
      </c>
      <c r="B752" s="1" t="n">
        <v>45804.708125</v>
      </c>
      <c r="C752" s="1" t="n">
        <v>45994</v>
      </c>
      <c r="D752" t="inlineStr">
        <is>
          <t>KALMAR LÄN</t>
        </is>
      </c>
      <c r="E752" t="inlineStr">
        <is>
          <t>VIMMERBY</t>
        </is>
      </c>
      <c r="F752" t="inlineStr">
        <is>
          <t>Sveaskog</t>
        </is>
      </c>
      <c r="G752" t="n">
        <v>5.1</v>
      </c>
      <c r="H752" t="n">
        <v>0</v>
      </c>
      <c r="I752" t="n">
        <v>0</v>
      </c>
      <c r="J752" t="n">
        <v>0</v>
      </c>
      <c r="K752" t="n">
        <v>0</v>
      </c>
      <c r="L752" t="n">
        <v>0</v>
      </c>
      <c r="M752" t="n">
        <v>0</v>
      </c>
      <c r="N752" t="n">
        <v>0</v>
      </c>
      <c r="O752" t="n">
        <v>0</v>
      </c>
      <c r="P752" t="n">
        <v>0</v>
      </c>
      <c r="Q752" t="n">
        <v>0</v>
      </c>
      <c r="R752" s="2" t="inlineStr"/>
    </row>
    <row r="753" ht="15" customHeight="1">
      <c r="A753" t="inlineStr">
        <is>
          <t>A 44095-2025</t>
        </is>
      </c>
      <c r="B753" s="1" t="n">
        <v>45915.56430555556</v>
      </c>
      <c r="C753" s="1" t="n">
        <v>45994</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26124-2025</t>
        </is>
      </c>
      <c r="B754" s="1" t="n">
        <v>45805.39247685186</v>
      </c>
      <c r="C754" s="1" t="n">
        <v>45994</v>
      </c>
      <c r="D754" t="inlineStr">
        <is>
          <t>KALMAR LÄN</t>
        </is>
      </c>
      <c r="E754" t="inlineStr">
        <is>
          <t>VIMMERBY</t>
        </is>
      </c>
      <c r="G754" t="n">
        <v>6.6</v>
      </c>
      <c r="H754" t="n">
        <v>0</v>
      </c>
      <c r="I754" t="n">
        <v>0</v>
      </c>
      <c r="J754" t="n">
        <v>0</v>
      </c>
      <c r="K754" t="n">
        <v>0</v>
      </c>
      <c r="L754" t="n">
        <v>0</v>
      </c>
      <c r="M754" t="n">
        <v>0</v>
      </c>
      <c r="N754" t="n">
        <v>0</v>
      </c>
      <c r="O754" t="n">
        <v>0</v>
      </c>
      <c r="P754" t="n">
        <v>0</v>
      </c>
      <c r="Q754" t="n">
        <v>0</v>
      </c>
      <c r="R754" s="2" t="inlineStr"/>
    </row>
    <row r="755" ht="15" customHeight="1">
      <c r="A755" t="inlineStr">
        <is>
          <t>A 52451-2025</t>
        </is>
      </c>
      <c r="B755" s="1" t="n">
        <v>45954.42326388889</v>
      </c>
      <c r="C755" s="1" t="n">
        <v>45994</v>
      </c>
      <c r="D755" t="inlineStr">
        <is>
          <t>KALMAR LÄN</t>
        </is>
      </c>
      <c r="E755" t="inlineStr">
        <is>
          <t>VIMMERBY</t>
        </is>
      </c>
      <c r="G755" t="n">
        <v>2.8</v>
      </c>
      <c r="H755" t="n">
        <v>0</v>
      </c>
      <c r="I755" t="n">
        <v>0</v>
      </c>
      <c r="J755" t="n">
        <v>0</v>
      </c>
      <c r="K755" t="n">
        <v>0</v>
      </c>
      <c r="L755" t="n">
        <v>0</v>
      </c>
      <c r="M755" t="n">
        <v>0</v>
      </c>
      <c r="N755" t="n">
        <v>0</v>
      </c>
      <c r="O755" t="n">
        <v>0</v>
      </c>
      <c r="P755" t="n">
        <v>0</v>
      </c>
      <c r="Q755" t="n">
        <v>0</v>
      </c>
      <c r="R755" s="2" t="inlineStr"/>
    </row>
    <row r="756" ht="15" customHeight="1">
      <c r="A756" t="inlineStr">
        <is>
          <t>A 26207-2025</t>
        </is>
      </c>
      <c r="B756" s="1" t="n">
        <v>45805.52983796296</v>
      </c>
      <c r="C756" s="1" t="n">
        <v>45994</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25830-2025</t>
        </is>
      </c>
      <c r="B757" s="1" t="n">
        <v>45804.44519675926</v>
      </c>
      <c r="C757" s="1" t="n">
        <v>45994</v>
      </c>
      <c r="D757" t="inlineStr">
        <is>
          <t>KALMAR LÄN</t>
        </is>
      </c>
      <c r="E757" t="inlineStr">
        <is>
          <t>VIMMERBY</t>
        </is>
      </c>
      <c r="G757" t="n">
        <v>4.9</v>
      </c>
      <c r="H757" t="n">
        <v>0</v>
      </c>
      <c r="I757" t="n">
        <v>0</v>
      </c>
      <c r="J757" t="n">
        <v>0</v>
      </c>
      <c r="K757" t="n">
        <v>0</v>
      </c>
      <c r="L757" t="n">
        <v>0</v>
      </c>
      <c r="M757" t="n">
        <v>0</v>
      </c>
      <c r="N757" t="n">
        <v>0</v>
      </c>
      <c r="O757" t="n">
        <v>0</v>
      </c>
      <c r="P757" t="n">
        <v>0</v>
      </c>
      <c r="Q757" t="n">
        <v>0</v>
      </c>
      <c r="R757" s="2" t="inlineStr"/>
    </row>
    <row r="758" ht="15" customHeight="1">
      <c r="A758" t="inlineStr">
        <is>
          <t>A 26254-2025</t>
        </is>
      </c>
      <c r="B758" s="1" t="n">
        <v>45805</v>
      </c>
      <c r="C758" s="1" t="n">
        <v>45994</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52473-2025</t>
        </is>
      </c>
      <c r="B759" s="1" t="n">
        <v>45954.45947916667</v>
      </c>
      <c r="C759" s="1" t="n">
        <v>45994</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52480-2025</t>
        </is>
      </c>
      <c r="B760" s="1" t="n">
        <v>45954.47172453703</v>
      </c>
      <c r="C760" s="1" t="n">
        <v>45994</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44091-2025</t>
        </is>
      </c>
      <c r="B761" s="1" t="n">
        <v>45915.55950231481</v>
      </c>
      <c r="C761" s="1" t="n">
        <v>45994</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52466-2025</t>
        </is>
      </c>
      <c r="B762" s="1" t="n">
        <v>45954.44707175926</v>
      </c>
      <c r="C762" s="1" t="n">
        <v>45994</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52475-2025</t>
        </is>
      </c>
      <c r="B763" s="1" t="n">
        <v>45954.468125</v>
      </c>
      <c r="C763" s="1" t="n">
        <v>45994</v>
      </c>
      <c r="D763" t="inlineStr">
        <is>
          <t>KALMAR LÄN</t>
        </is>
      </c>
      <c r="E763" t="inlineStr">
        <is>
          <t>VIMMERBY</t>
        </is>
      </c>
      <c r="G763" t="n">
        <v>1.5</v>
      </c>
      <c r="H763" t="n">
        <v>0</v>
      </c>
      <c r="I763" t="n">
        <v>0</v>
      </c>
      <c r="J763" t="n">
        <v>0</v>
      </c>
      <c r="K763" t="n">
        <v>0</v>
      </c>
      <c r="L763" t="n">
        <v>0</v>
      </c>
      <c r="M763" t="n">
        <v>0</v>
      </c>
      <c r="N763" t="n">
        <v>0</v>
      </c>
      <c r="O763" t="n">
        <v>0</v>
      </c>
      <c r="P763" t="n">
        <v>0</v>
      </c>
      <c r="Q763" t="n">
        <v>0</v>
      </c>
      <c r="R763" s="2" t="inlineStr"/>
    </row>
    <row r="764" ht="15" customHeight="1">
      <c r="A764" t="inlineStr">
        <is>
          <t>A 52465-2025</t>
        </is>
      </c>
      <c r="B764" s="1" t="n">
        <v>45954.44543981482</v>
      </c>
      <c r="C764" s="1" t="n">
        <v>45994</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52516-2025</t>
        </is>
      </c>
      <c r="B765" s="1" t="n">
        <v>45954.51412037037</v>
      </c>
      <c r="C765" s="1" t="n">
        <v>45994</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53393-2025</t>
        </is>
      </c>
      <c r="B766" s="1" t="n">
        <v>45959.55284722222</v>
      </c>
      <c r="C766" s="1" t="n">
        <v>45994</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53398-2025</t>
        </is>
      </c>
      <c r="B767" s="1" t="n">
        <v>45959.56247685185</v>
      </c>
      <c r="C767" s="1" t="n">
        <v>45994</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44517-2025</t>
        </is>
      </c>
      <c r="B768" s="1" t="n">
        <v>45916.7103587963</v>
      </c>
      <c r="C768" s="1" t="n">
        <v>45994</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44742-2025</t>
        </is>
      </c>
      <c r="B769" s="1" t="n">
        <v>45917.67054398148</v>
      </c>
      <c r="C769" s="1" t="n">
        <v>45994</v>
      </c>
      <c r="D769" t="inlineStr">
        <is>
          <t>KALMAR LÄN</t>
        </is>
      </c>
      <c r="E769" t="inlineStr">
        <is>
          <t>VIMMERBY</t>
        </is>
      </c>
      <c r="G769" t="n">
        <v>4.7</v>
      </c>
      <c r="H769" t="n">
        <v>0</v>
      </c>
      <c r="I769" t="n">
        <v>0</v>
      </c>
      <c r="J769" t="n">
        <v>0</v>
      </c>
      <c r="K769" t="n">
        <v>0</v>
      </c>
      <c r="L769" t="n">
        <v>0</v>
      </c>
      <c r="M769" t="n">
        <v>0</v>
      </c>
      <c r="N769" t="n">
        <v>0</v>
      </c>
      <c r="O769" t="n">
        <v>0</v>
      </c>
      <c r="P769" t="n">
        <v>0</v>
      </c>
      <c r="Q769" t="n">
        <v>0</v>
      </c>
      <c r="R769" s="2" t="inlineStr"/>
    </row>
    <row r="770" ht="15" customHeight="1">
      <c r="A770" t="inlineStr">
        <is>
          <t>A 44329-2025</t>
        </is>
      </c>
      <c r="B770" s="1" t="n">
        <v>45916.41019675926</v>
      </c>
      <c r="C770" s="1" t="n">
        <v>45994</v>
      </c>
      <c r="D770" t="inlineStr">
        <is>
          <t>KALMAR LÄN</t>
        </is>
      </c>
      <c r="E770" t="inlineStr">
        <is>
          <t>VIMMERBY</t>
        </is>
      </c>
      <c r="G770" t="n">
        <v>4.3</v>
      </c>
      <c r="H770" t="n">
        <v>0</v>
      </c>
      <c r="I770" t="n">
        <v>0</v>
      </c>
      <c r="J770" t="n">
        <v>0</v>
      </c>
      <c r="K770" t="n">
        <v>0</v>
      </c>
      <c r="L770" t="n">
        <v>0</v>
      </c>
      <c r="M770" t="n">
        <v>0</v>
      </c>
      <c r="N770" t="n">
        <v>0</v>
      </c>
      <c r="O770" t="n">
        <v>0</v>
      </c>
      <c r="P770" t="n">
        <v>0</v>
      </c>
      <c r="Q770" t="n">
        <v>0</v>
      </c>
      <c r="R770" s="2" t="inlineStr"/>
    </row>
    <row r="771" ht="15" customHeight="1">
      <c r="A771" t="inlineStr">
        <is>
          <t>A 41896-2025</t>
        </is>
      </c>
      <c r="B771" s="1" t="n">
        <v>45903.38800925926</v>
      </c>
      <c r="C771" s="1" t="n">
        <v>45994</v>
      </c>
      <c r="D771" t="inlineStr">
        <is>
          <t>KALMAR LÄN</t>
        </is>
      </c>
      <c r="E771" t="inlineStr">
        <is>
          <t>VIMMERBY</t>
        </is>
      </c>
      <c r="G771" t="n">
        <v>2.9</v>
      </c>
      <c r="H771" t="n">
        <v>0</v>
      </c>
      <c r="I771" t="n">
        <v>0</v>
      </c>
      <c r="J771" t="n">
        <v>0</v>
      </c>
      <c r="K771" t="n">
        <v>0</v>
      </c>
      <c r="L771" t="n">
        <v>0</v>
      </c>
      <c r="M771" t="n">
        <v>0</v>
      </c>
      <c r="N771" t="n">
        <v>0</v>
      </c>
      <c r="O771" t="n">
        <v>0</v>
      </c>
      <c r="P771" t="n">
        <v>0</v>
      </c>
      <c r="Q771" t="n">
        <v>0</v>
      </c>
      <c r="R771" s="2" t="inlineStr"/>
    </row>
    <row r="772" ht="15" customHeight="1">
      <c r="A772" t="inlineStr">
        <is>
          <t>A 53413-2025</t>
        </is>
      </c>
      <c r="B772" s="1" t="n">
        <v>45959.5787037037</v>
      </c>
      <c r="C772" s="1" t="n">
        <v>45994</v>
      </c>
      <c r="D772" t="inlineStr">
        <is>
          <t>KALMAR LÄN</t>
        </is>
      </c>
      <c r="E772" t="inlineStr">
        <is>
          <t>VIMMERBY</t>
        </is>
      </c>
      <c r="G772" t="n">
        <v>4.3</v>
      </c>
      <c r="H772" t="n">
        <v>0</v>
      </c>
      <c r="I772" t="n">
        <v>0</v>
      </c>
      <c r="J772" t="n">
        <v>0</v>
      </c>
      <c r="K772" t="n">
        <v>0</v>
      </c>
      <c r="L772" t="n">
        <v>0</v>
      </c>
      <c r="M772" t="n">
        <v>0</v>
      </c>
      <c r="N772" t="n">
        <v>0</v>
      </c>
      <c r="O772" t="n">
        <v>0</v>
      </c>
      <c r="P772" t="n">
        <v>0</v>
      </c>
      <c r="Q772" t="n">
        <v>0</v>
      </c>
      <c r="R772" s="2" t="inlineStr"/>
    </row>
    <row r="773" ht="15" customHeight="1">
      <c r="A773" t="inlineStr">
        <is>
          <t>A 28286-2025</t>
        </is>
      </c>
      <c r="B773" s="1" t="n">
        <v>45818.58993055556</v>
      </c>
      <c r="C773" s="1" t="n">
        <v>45994</v>
      </c>
      <c r="D773" t="inlineStr">
        <is>
          <t>KALMAR LÄN</t>
        </is>
      </c>
      <c r="E773" t="inlineStr">
        <is>
          <t>VIMMERBY</t>
        </is>
      </c>
      <c r="F773" t="inlineStr">
        <is>
          <t>Sveaskog</t>
        </is>
      </c>
      <c r="G773" t="n">
        <v>8</v>
      </c>
      <c r="H773" t="n">
        <v>0</v>
      </c>
      <c r="I773" t="n">
        <v>0</v>
      </c>
      <c r="J773" t="n">
        <v>0</v>
      </c>
      <c r="K773" t="n">
        <v>0</v>
      </c>
      <c r="L773" t="n">
        <v>0</v>
      </c>
      <c r="M773" t="n">
        <v>0</v>
      </c>
      <c r="N773" t="n">
        <v>0</v>
      </c>
      <c r="O773" t="n">
        <v>0</v>
      </c>
      <c r="P773" t="n">
        <v>0</v>
      </c>
      <c r="Q773" t="n">
        <v>0</v>
      </c>
      <c r="R773" s="2" t="inlineStr"/>
    </row>
    <row r="774" ht="15" customHeight="1">
      <c r="A774" t="inlineStr">
        <is>
          <t>A 28282-2025</t>
        </is>
      </c>
      <c r="B774" s="1" t="n">
        <v>45818.58769675926</v>
      </c>
      <c r="C774" s="1" t="n">
        <v>45994</v>
      </c>
      <c r="D774" t="inlineStr">
        <is>
          <t>KALMAR LÄN</t>
        </is>
      </c>
      <c r="E774" t="inlineStr">
        <is>
          <t>VIMMERBY</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28294-2025</t>
        </is>
      </c>
      <c r="B775" s="1" t="n">
        <v>45818.595625</v>
      </c>
      <c r="C775" s="1" t="n">
        <v>45994</v>
      </c>
      <c r="D775" t="inlineStr">
        <is>
          <t>KALMAR LÄN</t>
        </is>
      </c>
      <c r="E775" t="inlineStr">
        <is>
          <t>VIMMERBY</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28290-2025</t>
        </is>
      </c>
      <c r="B776" s="1" t="n">
        <v>45818.59261574074</v>
      </c>
      <c r="C776" s="1" t="n">
        <v>45994</v>
      </c>
      <c r="D776" t="inlineStr">
        <is>
          <t>KALMAR LÄN</t>
        </is>
      </c>
      <c r="E776" t="inlineStr">
        <is>
          <t>VIMMERBY</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28280-2025</t>
        </is>
      </c>
      <c r="B777" s="1" t="n">
        <v>45818.5862037037</v>
      </c>
      <c r="C777" s="1" t="n">
        <v>45994</v>
      </c>
      <c r="D777" t="inlineStr">
        <is>
          <t>KALMAR LÄN</t>
        </is>
      </c>
      <c r="E777" t="inlineStr">
        <is>
          <t>VIMMERBY</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53397-2025</t>
        </is>
      </c>
      <c r="B778" s="1" t="n">
        <v>45959.55918981481</v>
      </c>
      <c r="C778" s="1" t="n">
        <v>45994</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53220-2025</t>
        </is>
      </c>
      <c r="B779" s="1" t="n">
        <v>45958.60146990741</v>
      </c>
      <c r="C779" s="1" t="n">
        <v>45994</v>
      </c>
      <c r="D779" t="inlineStr">
        <is>
          <t>KALMAR LÄN</t>
        </is>
      </c>
      <c r="E779" t="inlineStr">
        <is>
          <t>VIMMERBY</t>
        </is>
      </c>
      <c r="G779" t="n">
        <v>2.2</v>
      </c>
      <c r="H779" t="n">
        <v>0</v>
      </c>
      <c r="I779" t="n">
        <v>0</v>
      </c>
      <c r="J779" t="n">
        <v>0</v>
      </c>
      <c r="K779" t="n">
        <v>0</v>
      </c>
      <c r="L779" t="n">
        <v>0</v>
      </c>
      <c r="M779" t="n">
        <v>0</v>
      </c>
      <c r="N779" t="n">
        <v>0</v>
      </c>
      <c r="O779" t="n">
        <v>0</v>
      </c>
      <c r="P779" t="n">
        <v>0</v>
      </c>
      <c r="Q779" t="n">
        <v>0</v>
      </c>
      <c r="R779" s="2" t="inlineStr"/>
    </row>
    <row r="780" ht="15" customHeight="1">
      <c r="A780" t="inlineStr">
        <is>
          <t>A 28620-2025</t>
        </is>
      </c>
      <c r="B780" s="1" t="n">
        <v>45819.61060185185</v>
      </c>
      <c r="C780" s="1" t="n">
        <v>45994</v>
      </c>
      <c r="D780" t="inlineStr">
        <is>
          <t>KALMAR LÄN</t>
        </is>
      </c>
      <c r="E780" t="inlineStr">
        <is>
          <t>VIMMERBY</t>
        </is>
      </c>
      <c r="G780" t="n">
        <v>5.6</v>
      </c>
      <c r="H780" t="n">
        <v>0</v>
      </c>
      <c r="I780" t="n">
        <v>0</v>
      </c>
      <c r="J780" t="n">
        <v>0</v>
      </c>
      <c r="K780" t="n">
        <v>0</v>
      </c>
      <c r="L780" t="n">
        <v>0</v>
      </c>
      <c r="M780" t="n">
        <v>0</v>
      </c>
      <c r="N780" t="n">
        <v>0</v>
      </c>
      <c r="O780" t="n">
        <v>0</v>
      </c>
      <c r="P780" t="n">
        <v>0</v>
      </c>
      <c r="Q780" t="n">
        <v>0</v>
      </c>
      <c r="R780" s="2" t="inlineStr"/>
    </row>
    <row r="781" ht="15" customHeight="1">
      <c r="A781" t="inlineStr">
        <is>
          <t>A 53396-2025</t>
        </is>
      </c>
      <c r="B781" s="1" t="n">
        <v>45959.55577546296</v>
      </c>
      <c r="C781" s="1" t="n">
        <v>45994</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53416-2025</t>
        </is>
      </c>
      <c r="B782" s="1" t="n">
        <v>45959.58387731481</v>
      </c>
      <c r="C782" s="1" t="n">
        <v>45994</v>
      </c>
      <c r="D782" t="inlineStr">
        <is>
          <t>KALMAR LÄN</t>
        </is>
      </c>
      <c r="E782" t="inlineStr">
        <is>
          <t>VIMMERBY</t>
        </is>
      </c>
      <c r="G782" t="n">
        <v>4.4</v>
      </c>
      <c r="H782" t="n">
        <v>0</v>
      </c>
      <c r="I782" t="n">
        <v>0</v>
      </c>
      <c r="J782" t="n">
        <v>0</v>
      </c>
      <c r="K782" t="n">
        <v>0</v>
      </c>
      <c r="L782" t="n">
        <v>0</v>
      </c>
      <c r="M782" t="n">
        <v>0</v>
      </c>
      <c r="N782" t="n">
        <v>0</v>
      </c>
      <c r="O782" t="n">
        <v>0</v>
      </c>
      <c r="P782" t="n">
        <v>0</v>
      </c>
      <c r="Q782" t="n">
        <v>0</v>
      </c>
      <c r="R782" s="2" t="inlineStr"/>
    </row>
    <row r="783" ht="15" customHeight="1">
      <c r="A783" t="inlineStr">
        <is>
          <t>A 53923-2025</t>
        </is>
      </c>
      <c r="B783" s="1" t="n">
        <v>45961.4569212963</v>
      </c>
      <c r="C783" s="1" t="n">
        <v>45994</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28712-2025</t>
        </is>
      </c>
      <c r="B784" s="1" t="n">
        <v>45820.33708333333</v>
      </c>
      <c r="C784" s="1" t="n">
        <v>45994</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28714-2025</t>
        </is>
      </c>
      <c r="B785" s="1" t="n">
        <v>45820.34128472222</v>
      </c>
      <c r="C785" s="1" t="n">
        <v>45994</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53927-2025</t>
        </is>
      </c>
      <c r="B786" s="1" t="n">
        <v>45961.46740740741</v>
      </c>
      <c r="C786" s="1" t="n">
        <v>45994</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53933-2025</t>
        </is>
      </c>
      <c r="B787" s="1" t="n">
        <v>45961.47650462963</v>
      </c>
      <c r="C787" s="1" t="n">
        <v>45994</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28713-2025</t>
        </is>
      </c>
      <c r="B788" s="1" t="n">
        <v>45820.33930555556</v>
      </c>
      <c r="C788" s="1" t="n">
        <v>45994</v>
      </c>
      <c r="D788" t="inlineStr">
        <is>
          <t>KALMAR LÄN</t>
        </is>
      </c>
      <c r="E788" t="inlineStr">
        <is>
          <t>VIMMERBY</t>
        </is>
      </c>
      <c r="G788" t="n">
        <v>2.3</v>
      </c>
      <c r="H788" t="n">
        <v>0</v>
      </c>
      <c r="I788" t="n">
        <v>0</v>
      </c>
      <c r="J788" t="n">
        <v>0</v>
      </c>
      <c r="K788" t="n">
        <v>0</v>
      </c>
      <c r="L788" t="n">
        <v>0</v>
      </c>
      <c r="M788" t="n">
        <v>0</v>
      </c>
      <c r="N788" t="n">
        <v>0</v>
      </c>
      <c r="O788" t="n">
        <v>0</v>
      </c>
      <c r="P788" t="n">
        <v>0</v>
      </c>
      <c r="Q788" t="n">
        <v>0</v>
      </c>
      <c r="R788" s="2" t="inlineStr"/>
    </row>
    <row r="789" ht="15" customHeight="1">
      <c r="A789" t="inlineStr">
        <is>
          <t>A 29737-2025</t>
        </is>
      </c>
      <c r="B789" s="1" t="n">
        <v>45825.58672453704</v>
      </c>
      <c r="C789" s="1" t="n">
        <v>45994</v>
      </c>
      <c r="D789" t="inlineStr">
        <is>
          <t>KALMAR LÄN</t>
        </is>
      </c>
      <c r="E789" t="inlineStr">
        <is>
          <t>VIMMERBY</t>
        </is>
      </c>
      <c r="G789" t="n">
        <v>1.2</v>
      </c>
      <c r="H789" t="n">
        <v>0</v>
      </c>
      <c r="I789" t="n">
        <v>0</v>
      </c>
      <c r="J789" t="n">
        <v>0</v>
      </c>
      <c r="K789" t="n">
        <v>0</v>
      </c>
      <c r="L789" t="n">
        <v>0</v>
      </c>
      <c r="M789" t="n">
        <v>0</v>
      </c>
      <c r="N789" t="n">
        <v>0</v>
      </c>
      <c r="O789" t="n">
        <v>0</v>
      </c>
      <c r="P789" t="n">
        <v>0</v>
      </c>
      <c r="Q789" t="n">
        <v>0</v>
      </c>
      <c r="R789" s="2" t="inlineStr"/>
    </row>
    <row r="790" ht="15" customHeight="1">
      <c r="A790" t="inlineStr">
        <is>
          <t>A 29727-2025</t>
        </is>
      </c>
      <c r="B790" s="1" t="n">
        <v>45825.5796875</v>
      </c>
      <c r="C790" s="1" t="n">
        <v>45994</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45114-2025</t>
        </is>
      </c>
      <c r="B791" s="1" t="n">
        <v>45919.42387731482</v>
      </c>
      <c r="C791" s="1" t="n">
        <v>45994</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53903-2025</t>
        </is>
      </c>
      <c r="B792" s="1" t="n">
        <v>45961.43738425926</v>
      </c>
      <c r="C792" s="1" t="n">
        <v>45994</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53920-2025</t>
        </is>
      </c>
      <c r="B793" s="1" t="n">
        <v>45961.44951388889</v>
      </c>
      <c r="C793" s="1" t="n">
        <v>45994</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45319-2025</t>
        </is>
      </c>
      <c r="B794" s="1" t="n">
        <v>45921.95611111111</v>
      </c>
      <c r="C794" s="1" t="n">
        <v>45994</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30293-2025</t>
        </is>
      </c>
      <c r="B795" s="1" t="n">
        <v>45827</v>
      </c>
      <c r="C795" s="1" t="n">
        <v>45994</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30290-2025</t>
        </is>
      </c>
      <c r="B796" s="1" t="n">
        <v>45827</v>
      </c>
      <c r="C796" s="1" t="n">
        <v>45994</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54236-2025</t>
        </is>
      </c>
      <c r="B797" s="1" t="n">
        <v>45964.62671296296</v>
      </c>
      <c r="C797" s="1" t="n">
        <v>45994</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30850-2025</t>
        </is>
      </c>
      <c r="B798" s="1" t="n">
        <v>45831</v>
      </c>
      <c r="C798" s="1" t="n">
        <v>45994</v>
      </c>
      <c r="D798" t="inlineStr">
        <is>
          <t>KALMAR LÄN</t>
        </is>
      </c>
      <c r="E798" t="inlineStr">
        <is>
          <t>VIMMERBY</t>
        </is>
      </c>
      <c r="G798" t="n">
        <v>2.7</v>
      </c>
      <c r="H798" t="n">
        <v>0</v>
      </c>
      <c r="I798" t="n">
        <v>0</v>
      </c>
      <c r="J798" t="n">
        <v>0</v>
      </c>
      <c r="K798" t="n">
        <v>0</v>
      </c>
      <c r="L798" t="n">
        <v>0</v>
      </c>
      <c r="M798" t="n">
        <v>0</v>
      </c>
      <c r="N798" t="n">
        <v>0</v>
      </c>
      <c r="O798" t="n">
        <v>0</v>
      </c>
      <c r="P798" t="n">
        <v>0</v>
      </c>
      <c r="Q798" t="n">
        <v>0</v>
      </c>
      <c r="R798" s="2" t="inlineStr"/>
    </row>
    <row r="799" ht="15" customHeight="1">
      <c r="A799" t="inlineStr">
        <is>
          <t>A 45320-2025</t>
        </is>
      </c>
      <c r="B799" s="1" t="n">
        <v>45921.96395833333</v>
      </c>
      <c r="C799" s="1" t="n">
        <v>45994</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54234-2025</t>
        </is>
      </c>
      <c r="B800" s="1" t="n">
        <v>45964.62486111111</v>
      </c>
      <c r="C800" s="1" t="n">
        <v>45994</v>
      </c>
      <c r="D800" t="inlineStr">
        <is>
          <t>KALMAR LÄN</t>
        </is>
      </c>
      <c r="E800" t="inlineStr">
        <is>
          <t>VIMMERBY</t>
        </is>
      </c>
      <c r="G800" t="n">
        <v>4.1</v>
      </c>
      <c r="H800" t="n">
        <v>0</v>
      </c>
      <c r="I800" t="n">
        <v>0</v>
      </c>
      <c r="J800" t="n">
        <v>0</v>
      </c>
      <c r="K800" t="n">
        <v>0</v>
      </c>
      <c r="L800" t="n">
        <v>0</v>
      </c>
      <c r="M800" t="n">
        <v>0</v>
      </c>
      <c r="N800" t="n">
        <v>0</v>
      </c>
      <c r="O800" t="n">
        <v>0</v>
      </c>
      <c r="P800" t="n">
        <v>0</v>
      </c>
      <c r="Q800" t="n">
        <v>0</v>
      </c>
      <c r="R800" s="2" t="inlineStr"/>
    </row>
    <row r="801" ht="15" customHeight="1">
      <c r="A801" t="inlineStr">
        <is>
          <t>A 31552-2025</t>
        </is>
      </c>
      <c r="B801" s="1" t="n">
        <v>45833.64563657407</v>
      </c>
      <c r="C801" s="1" t="n">
        <v>45994</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31555-2025</t>
        </is>
      </c>
      <c r="B802" s="1" t="n">
        <v>45833.64814814815</v>
      </c>
      <c r="C802" s="1" t="n">
        <v>45994</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46118-2025</t>
        </is>
      </c>
      <c r="B803" s="1" t="n">
        <v>45924.57697916667</v>
      </c>
      <c r="C803" s="1" t="n">
        <v>45994</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30971-2025</t>
        </is>
      </c>
      <c r="B804" s="1" t="n">
        <v>45832.46146990741</v>
      </c>
      <c r="C804" s="1" t="n">
        <v>45994</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31551-2025</t>
        </is>
      </c>
      <c r="B805" s="1" t="n">
        <v>45833.64237268519</v>
      </c>
      <c r="C805" s="1" t="n">
        <v>45994</v>
      </c>
      <c r="D805" t="inlineStr">
        <is>
          <t>KALMAR LÄN</t>
        </is>
      </c>
      <c r="E805" t="inlineStr">
        <is>
          <t>VIMMERBY</t>
        </is>
      </c>
      <c r="G805" t="n">
        <v>1.9</v>
      </c>
      <c r="H805" t="n">
        <v>0</v>
      </c>
      <c r="I805" t="n">
        <v>0</v>
      </c>
      <c r="J805" t="n">
        <v>0</v>
      </c>
      <c r="K805" t="n">
        <v>0</v>
      </c>
      <c r="L805" t="n">
        <v>0</v>
      </c>
      <c r="M805" t="n">
        <v>0</v>
      </c>
      <c r="N805" t="n">
        <v>0</v>
      </c>
      <c r="O805" t="n">
        <v>0</v>
      </c>
      <c r="P805" t="n">
        <v>0</v>
      </c>
      <c r="Q805" t="n">
        <v>0</v>
      </c>
      <c r="R805" s="2" t="inlineStr"/>
    </row>
    <row r="806" ht="15" customHeight="1">
      <c r="A806" t="inlineStr">
        <is>
          <t>A 46365-2025</t>
        </is>
      </c>
      <c r="B806" s="1" t="n">
        <v>45925.50075231482</v>
      </c>
      <c r="C806" s="1" t="n">
        <v>45994</v>
      </c>
      <c r="D806" t="inlineStr">
        <is>
          <t>KALMAR LÄN</t>
        </is>
      </c>
      <c r="E806" t="inlineStr">
        <is>
          <t>VIMMERBY</t>
        </is>
      </c>
      <c r="G806" t="n">
        <v>5.6</v>
      </c>
      <c r="H806" t="n">
        <v>0</v>
      </c>
      <c r="I806" t="n">
        <v>0</v>
      </c>
      <c r="J806" t="n">
        <v>0</v>
      </c>
      <c r="K806" t="n">
        <v>0</v>
      </c>
      <c r="L806" t="n">
        <v>0</v>
      </c>
      <c r="M806" t="n">
        <v>0</v>
      </c>
      <c r="N806" t="n">
        <v>0</v>
      </c>
      <c r="O806" t="n">
        <v>0</v>
      </c>
      <c r="P806" t="n">
        <v>0</v>
      </c>
      <c r="Q806" t="n">
        <v>0</v>
      </c>
      <c r="R806" s="2" t="inlineStr"/>
    </row>
    <row r="807" ht="15" customHeight="1">
      <c r="A807" t="inlineStr">
        <is>
          <t>A 54737-2025</t>
        </is>
      </c>
      <c r="B807" s="1" t="n">
        <v>45966.56826388889</v>
      </c>
      <c r="C807" s="1" t="n">
        <v>45994</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30882-2025</t>
        </is>
      </c>
      <c r="B808" s="1" t="n">
        <v>45832.34540509259</v>
      </c>
      <c r="C808" s="1" t="n">
        <v>45994</v>
      </c>
      <c r="D808" t="inlineStr">
        <is>
          <t>KALMAR LÄN</t>
        </is>
      </c>
      <c r="E808" t="inlineStr">
        <is>
          <t>VIMMERBY</t>
        </is>
      </c>
      <c r="G808" t="n">
        <v>0.7</v>
      </c>
      <c r="H808" t="n">
        <v>0</v>
      </c>
      <c r="I808" t="n">
        <v>0</v>
      </c>
      <c r="J808" t="n">
        <v>0</v>
      </c>
      <c r="K808" t="n">
        <v>0</v>
      </c>
      <c r="L808" t="n">
        <v>0</v>
      </c>
      <c r="M808" t="n">
        <v>0</v>
      </c>
      <c r="N808" t="n">
        <v>0</v>
      </c>
      <c r="O808" t="n">
        <v>0</v>
      </c>
      <c r="P808" t="n">
        <v>0</v>
      </c>
      <c r="Q808" t="n">
        <v>0</v>
      </c>
      <c r="R808" s="2" t="inlineStr"/>
    </row>
    <row r="809" ht="15" customHeight="1">
      <c r="A809" t="inlineStr">
        <is>
          <t>A 31872-2025</t>
        </is>
      </c>
      <c r="B809" s="1" t="n">
        <v>45834.65040509259</v>
      </c>
      <c r="C809" s="1" t="n">
        <v>45994</v>
      </c>
      <c r="D809" t="inlineStr">
        <is>
          <t>KALMAR LÄN</t>
        </is>
      </c>
      <c r="E809" t="inlineStr">
        <is>
          <t>VIMMERBY</t>
        </is>
      </c>
      <c r="F809" t="inlineStr">
        <is>
          <t>Sveaskog</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46361-2025</t>
        </is>
      </c>
      <c r="B810" s="1" t="n">
        <v>45925.49670138889</v>
      </c>
      <c r="C810" s="1" t="n">
        <v>45994</v>
      </c>
      <c r="D810" t="inlineStr">
        <is>
          <t>KALMAR LÄN</t>
        </is>
      </c>
      <c r="E810" t="inlineStr">
        <is>
          <t>VIMMERBY</t>
        </is>
      </c>
      <c r="G810" t="n">
        <v>4.2</v>
      </c>
      <c r="H810" t="n">
        <v>0</v>
      </c>
      <c r="I810" t="n">
        <v>0</v>
      </c>
      <c r="J810" t="n">
        <v>0</v>
      </c>
      <c r="K810" t="n">
        <v>0</v>
      </c>
      <c r="L810" t="n">
        <v>0</v>
      </c>
      <c r="M810" t="n">
        <v>0</v>
      </c>
      <c r="N810" t="n">
        <v>0</v>
      </c>
      <c r="O810" t="n">
        <v>0</v>
      </c>
      <c r="P810" t="n">
        <v>0</v>
      </c>
      <c r="Q810" t="n">
        <v>0</v>
      </c>
      <c r="R810" s="2" t="inlineStr"/>
    </row>
    <row r="811" ht="15" customHeight="1">
      <c r="A811" t="inlineStr">
        <is>
          <t>A 8559-2025</t>
        </is>
      </c>
      <c r="B811" s="1" t="n">
        <v>45709.62280092593</v>
      </c>
      <c r="C811" s="1" t="n">
        <v>45994</v>
      </c>
      <c r="D811" t="inlineStr">
        <is>
          <t>KALMAR LÄN</t>
        </is>
      </c>
      <c r="E811" t="inlineStr">
        <is>
          <t>VIMMERBY</t>
        </is>
      </c>
      <c r="G811" t="n">
        <v>8.9</v>
      </c>
      <c r="H811" t="n">
        <v>0</v>
      </c>
      <c r="I811" t="n">
        <v>0</v>
      </c>
      <c r="J811" t="n">
        <v>0</v>
      </c>
      <c r="K811" t="n">
        <v>0</v>
      </c>
      <c r="L811" t="n">
        <v>0</v>
      </c>
      <c r="M811" t="n">
        <v>0</v>
      </c>
      <c r="N811" t="n">
        <v>0</v>
      </c>
      <c r="O811" t="n">
        <v>0</v>
      </c>
      <c r="P811" t="n">
        <v>0</v>
      </c>
      <c r="Q811" t="n">
        <v>0</v>
      </c>
      <c r="R811" s="2" t="inlineStr"/>
    </row>
    <row r="812" ht="15" customHeight="1">
      <c r="A812" t="inlineStr">
        <is>
          <t>A 32064-2025</t>
        </is>
      </c>
      <c r="B812" s="1" t="n">
        <v>45835.44709490741</v>
      </c>
      <c r="C812" s="1" t="n">
        <v>45994</v>
      </c>
      <c r="D812" t="inlineStr">
        <is>
          <t>KALMAR LÄN</t>
        </is>
      </c>
      <c r="E812" t="inlineStr">
        <is>
          <t>VIMMERBY</t>
        </is>
      </c>
      <c r="G812" t="n">
        <v>2.6</v>
      </c>
      <c r="H812" t="n">
        <v>0</v>
      </c>
      <c r="I812" t="n">
        <v>0</v>
      </c>
      <c r="J812" t="n">
        <v>0</v>
      </c>
      <c r="K812" t="n">
        <v>0</v>
      </c>
      <c r="L812" t="n">
        <v>0</v>
      </c>
      <c r="M812" t="n">
        <v>0</v>
      </c>
      <c r="N812" t="n">
        <v>0</v>
      </c>
      <c r="O812" t="n">
        <v>0</v>
      </c>
      <c r="P812" t="n">
        <v>0</v>
      </c>
      <c r="Q812" t="n">
        <v>0</v>
      </c>
      <c r="R812" s="2" t="inlineStr"/>
    </row>
    <row r="813" ht="15" customHeight="1">
      <c r="A813" t="inlineStr">
        <is>
          <t>A 32109-2025</t>
        </is>
      </c>
      <c r="B813" s="1" t="n">
        <v>45835.48267361111</v>
      </c>
      <c r="C813" s="1" t="n">
        <v>45994</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32113-2025</t>
        </is>
      </c>
      <c r="B814" s="1" t="n">
        <v>45835.48445601852</v>
      </c>
      <c r="C814" s="1" t="n">
        <v>45994</v>
      </c>
      <c r="D814" t="inlineStr">
        <is>
          <t>KALMAR LÄN</t>
        </is>
      </c>
      <c r="E814" t="inlineStr">
        <is>
          <t>VIMMERBY</t>
        </is>
      </c>
      <c r="G814" t="n">
        <v>3.5</v>
      </c>
      <c r="H814" t="n">
        <v>0</v>
      </c>
      <c r="I814" t="n">
        <v>0</v>
      </c>
      <c r="J814" t="n">
        <v>0</v>
      </c>
      <c r="K814" t="n">
        <v>0</v>
      </c>
      <c r="L814" t="n">
        <v>0</v>
      </c>
      <c r="M814" t="n">
        <v>0</v>
      </c>
      <c r="N814" t="n">
        <v>0</v>
      </c>
      <c r="O814" t="n">
        <v>0</v>
      </c>
      <c r="P814" t="n">
        <v>0</v>
      </c>
      <c r="Q814" t="n">
        <v>0</v>
      </c>
      <c r="R814" s="2" t="inlineStr"/>
    </row>
    <row r="815" ht="15" customHeight="1">
      <c r="A815" t="inlineStr">
        <is>
          <t>A 32116-2025</t>
        </is>
      </c>
      <c r="B815" s="1" t="n">
        <v>45835.48862268519</v>
      </c>
      <c r="C815" s="1" t="n">
        <v>45994</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31870-2025</t>
        </is>
      </c>
      <c r="B816" s="1" t="n">
        <v>45834.64667824074</v>
      </c>
      <c r="C816" s="1" t="n">
        <v>45994</v>
      </c>
      <c r="D816" t="inlineStr">
        <is>
          <t>KALMAR LÄN</t>
        </is>
      </c>
      <c r="E816" t="inlineStr">
        <is>
          <t>VIMMERBY</t>
        </is>
      </c>
      <c r="F816" t="inlineStr">
        <is>
          <t>Sveaskog</t>
        </is>
      </c>
      <c r="G816" t="n">
        <v>3.5</v>
      </c>
      <c r="H816" t="n">
        <v>0</v>
      </c>
      <c r="I816" t="n">
        <v>0</v>
      </c>
      <c r="J816" t="n">
        <v>0</v>
      </c>
      <c r="K816" t="n">
        <v>0</v>
      </c>
      <c r="L816" t="n">
        <v>0</v>
      </c>
      <c r="M816" t="n">
        <v>0</v>
      </c>
      <c r="N816" t="n">
        <v>0</v>
      </c>
      <c r="O816" t="n">
        <v>0</v>
      </c>
      <c r="P816" t="n">
        <v>0</v>
      </c>
      <c r="Q816" t="n">
        <v>0</v>
      </c>
      <c r="R816" s="2" t="inlineStr"/>
    </row>
    <row r="817" ht="15" customHeight="1">
      <c r="A817" t="inlineStr">
        <is>
          <t>A 32065-2025</t>
        </is>
      </c>
      <c r="B817" s="1" t="n">
        <v>45835.44732638889</v>
      </c>
      <c r="C817" s="1" t="n">
        <v>45994</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31987-2025</t>
        </is>
      </c>
      <c r="B818" s="1" t="n">
        <v>45835.36229166666</v>
      </c>
      <c r="C818" s="1" t="n">
        <v>45994</v>
      </c>
      <c r="D818" t="inlineStr">
        <is>
          <t>KALMAR LÄN</t>
        </is>
      </c>
      <c r="E818" t="inlineStr">
        <is>
          <t>VIMMERBY</t>
        </is>
      </c>
      <c r="F818" t="inlineStr">
        <is>
          <t>Kyrkan</t>
        </is>
      </c>
      <c r="G818" t="n">
        <v>1.2</v>
      </c>
      <c r="H818" t="n">
        <v>0</v>
      </c>
      <c r="I818" t="n">
        <v>0</v>
      </c>
      <c r="J818" t="n">
        <v>0</v>
      </c>
      <c r="K818" t="n">
        <v>0</v>
      </c>
      <c r="L818" t="n">
        <v>0</v>
      </c>
      <c r="M818" t="n">
        <v>0</v>
      </c>
      <c r="N818" t="n">
        <v>0</v>
      </c>
      <c r="O818" t="n">
        <v>0</v>
      </c>
      <c r="P818" t="n">
        <v>0</v>
      </c>
      <c r="Q818" t="n">
        <v>0</v>
      </c>
      <c r="R818" s="2" t="inlineStr"/>
    </row>
    <row r="819" ht="15" customHeight="1">
      <c r="A819" t="inlineStr">
        <is>
          <t>A 32077-2025</t>
        </is>
      </c>
      <c r="B819" s="1" t="n">
        <v>45835.45099537037</v>
      </c>
      <c r="C819" s="1" t="n">
        <v>45994</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53788-2025</t>
        </is>
      </c>
      <c r="B820" s="1" t="n">
        <v>45960</v>
      </c>
      <c r="C820" s="1" t="n">
        <v>45994</v>
      </c>
      <c r="D820" t="inlineStr">
        <is>
          <t>KALMAR LÄN</t>
        </is>
      </c>
      <c r="E820" t="inlineStr">
        <is>
          <t>VIMMERBY</t>
        </is>
      </c>
      <c r="F820" t="inlineStr">
        <is>
          <t>Övriga statliga verk och myndigheter</t>
        </is>
      </c>
      <c r="G820" t="n">
        <v>6.3</v>
      </c>
      <c r="H820" t="n">
        <v>0</v>
      </c>
      <c r="I820" t="n">
        <v>0</v>
      </c>
      <c r="J820" t="n">
        <v>0</v>
      </c>
      <c r="K820" t="n">
        <v>0</v>
      </c>
      <c r="L820" t="n">
        <v>0</v>
      </c>
      <c r="M820" t="n">
        <v>0</v>
      </c>
      <c r="N820" t="n">
        <v>0</v>
      </c>
      <c r="O820" t="n">
        <v>0</v>
      </c>
      <c r="P820" t="n">
        <v>0</v>
      </c>
      <c r="Q820" t="n">
        <v>0</v>
      </c>
      <c r="R820" s="2" t="inlineStr"/>
    </row>
    <row r="821" ht="15" customHeight="1">
      <c r="A821" t="inlineStr">
        <is>
          <t>A 32120-2025</t>
        </is>
      </c>
      <c r="B821" s="1" t="n">
        <v>45835.4924537037</v>
      </c>
      <c r="C821" s="1" t="n">
        <v>45994</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31876-2025</t>
        </is>
      </c>
      <c r="B822" s="1" t="n">
        <v>45834.65197916667</v>
      </c>
      <c r="C822" s="1" t="n">
        <v>45994</v>
      </c>
      <c r="D822" t="inlineStr">
        <is>
          <t>KALMAR LÄN</t>
        </is>
      </c>
      <c r="E822" t="inlineStr">
        <is>
          <t>VIMMERBY</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54813-2025</t>
        </is>
      </c>
      <c r="B823" s="1" t="n">
        <v>45966.64881944445</v>
      </c>
      <c r="C823" s="1" t="n">
        <v>45994</v>
      </c>
      <c r="D823" t="inlineStr">
        <is>
          <t>KALMAR LÄN</t>
        </is>
      </c>
      <c r="E823" t="inlineStr">
        <is>
          <t>VIMMERBY</t>
        </is>
      </c>
      <c r="G823" t="n">
        <v>1.7</v>
      </c>
      <c r="H823" t="n">
        <v>0</v>
      </c>
      <c r="I823" t="n">
        <v>0</v>
      </c>
      <c r="J823" t="n">
        <v>0</v>
      </c>
      <c r="K823" t="n">
        <v>0</v>
      </c>
      <c r="L823" t="n">
        <v>0</v>
      </c>
      <c r="M823" t="n">
        <v>0</v>
      </c>
      <c r="N823" t="n">
        <v>0</v>
      </c>
      <c r="O823" t="n">
        <v>0</v>
      </c>
      <c r="P823" t="n">
        <v>0</v>
      </c>
      <c r="Q823" t="n">
        <v>0</v>
      </c>
      <c r="R823" s="2" t="inlineStr"/>
    </row>
    <row r="824" ht="15" customHeight="1">
      <c r="A824" t="inlineStr">
        <is>
          <t>A 46887-2025</t>
        </is>
      </c>
      <c r="B824" s="1" t="n">
        <v>45929.3672337963</v>
      </c>
      <c r="C824" s="1" t="n">
        <v>45994</v>
      </c>
      <c r="D824" t="inlineStr">
        <is>
          <t>KALMAR LÄN</t>
        </is>
      </c>
      <c r="E824" t="inlineStr">
        <is>
          <t>VIMMERBY</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45856-2025</t>
        </is>
      </c>
      <c r="B825" s="1" t="n">
        <v>45923</v>
      </c>
      <c r="C825" s="1" t="n">
        <v>45994</v>
      </c>
      <c r="D825" t="inlineStr">
        <is>
          <t>KALMAR LÄN</t>
        </is>
      </c>
      <c r="E825" t="inlineStr">
        <is>
          <t>VIMMERBY</t>
        </is>
      </c>
      <c r="G825" t="n">
        <v>2.1</v>
      </c>
      <c r="H825" t="n">
        <v>0</v>
      </c>
      <c r="I825" t="n">
        <v>0</v>
      </c>
      <c r="J825" t="n">
        <v>0</v>
      </c>
      <c r="K825" t="n">
        <v>0</v>
      </c>
      <c r="L825" t="n">
        <v>0</v>
      </c>
      <c r="M825" t="n">
        <v>0</v>
      </c>
      <c r="N825" t="n">
        <v>0</v>
      </c>
      <c r="O825" t="n">
        <v>0</v>
      </c>
      <c r="P825" t="n">
        <v>0</v>
      </c>
      <c r="Q825" t="n">
        <v>0</v>
      </c>
      <c r="R825" s="2" t="inlineStr"/>
    </row>
    <row r="826" ht="15" customHeight="1">
      <c r="A826" t="inlineStr">
        <is>
          <t>A 32380-2025</t>
        </is>
      </c>
      <c r="B826" s="1" t="n">
        <v>45837.77701388889</v>
      </c>
      <c r="C826" s="1" t="n">
        <v>45994</v>
      </c>
      <c r="D826" t="inlineStr">
        <is>
          <t>KALMAR LÄN</t>
        </is>
      </c>
      <c r="E826" t="inlineStr">
        <is>
          <t>VIMMERBY</t>
        </is>
      </c>
      <c r="G826" t="n">
        <v>3.1</v>
      </c>
      <c r="H826" t="n">
        <v>0</v>
      </c>
      <c r="I826" t="n">
        <v>0</v>
      </c>
      <c r="J826" t="n">
        <v>0</v>
      </c>
      <c r="K826" t="n">
        <v>0</v>
      </c>
      <c r="L826" t="n">
        <v>0</v>
      </c>
      <c r="M826" t="n">
        <v>0</v>
      </c>
      <c r="N826" t="n">
        <v>0</v>
      </c>
      <c r="O826" t="n">
        <v>0</v>
      </c>
      <c r="P826" t="n">
        <v>0</v>
      </c>
      <c r="Q826" t="n">
        <v>0</v>
      </c>
      <c r="R826" s="2" t="inlineStr"/>
    </row>
    <row r="827" ht="15" customHeight="1">
      <c r="A827" t="inlineStr">
        <is>
          <t>A 45854-2025</t>
        </is>
      </c>
      <c r="B827" s="1" t="n">
        <v>45923</v>
      </c>
      <c r="C827" s="1" t="n">
        <v>45994</v>
      </c>
      <c r="D827" t="inlineStr">
        <is>
          <t>KALMAR LÄN</t>
        </is>
      </c>
      <c r="E827" t="inlineStr">
        <is>
          <t>VIMMERBY</t>
        </is>
      </c>
      <c r="G827" t="n">
        <v>2.2</v>
      </c>
      <c r="H827" t="n">
        <v>0</v>
      </c>
      <c r="I827" t="n">
        <v>0</v>
      </c>
      <c r="J827" t="n">
        <v>0</v>
      </c>
      <c r="K827" t="n">
        <v>0</v>
      </c>
      <c r="L827" t="n">
        <v>0</v>
      </c>
      <c r="M827" t="n">
        <v>0</v>
      </c>
      <c r="N827" t="n">
        <v>0</v>
      </c>
      <c r="O827" t="n">
        <v>0</v>
      </c>
      <c r="P827" t="n">
        <v>0</v>
      </c>
      <c r="Q827" t="n">
        <v>0</v>
      </c>
      <c r="R827" s="2" t="inlineStr"/>
    </row>
    <row r="828" ht="15" customHeight="1">
      <c r="A828" t="inlineStr">
        <is>
          <t>A 45855-2025</t>
        </is>
      </c>
      <c r="B828" s="1" t="n">
        <v>45923</v>
      </c>
      <c r="C828" s="1" t="n">
        <v>45994</v>
      </c>
      <c r="D828" t="inlineStr">
        <is>
          <t>KALMAR LÄN</t>
        </is>
      </c>
      <c r="E828" t="inlineStr">
        <is>
          <t>VIMMERBY</t>
        </is>
      </c>
      <c r="G828" t="n">
        <v>1.4</v>
      </c>
      <c r="H828" t="n">
        <v>0</v>
      </c>
      <c r="I828" t="n">
        <v>0</v>
      </c>
      <c r="J828" t="n">
        <v>0</v>
      </c>
      <c r="K828" t="n">
        <v>0</v>
      </c>
      <c r="L828" t="n">
        <v>0</v>
      </c>
      <c r="M828" t="n">
        <v>0</v>
      </c>
      <c r="N828" t="n">
        <v>0</v>
      </c>
      <c r="O828" t="n">
        <v>0</v>
      </c>
      <c r="P828" t="n">
        <v>0</v>
      </c>
      <c r="Q828" t="n">
        <v>0</v>
      </c>
      <c r="R828" s="2" t="inlineStr"/>
    </row>
    <row r="829" ht="15" customHeight="1">
      <c r="A829" t="inlineStr">
        <is>
          <t>A 33186-2025</t>
        </is>
      </c>
      <c r="B829" s="1" t="n">
        <v>45840.59474537037</v>
      </c>
      <c r="C829" s="1" t="n">
        <v>45994</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33695-2025</t>
        </is>
      </c>
      <c r="B830" s="1" t="n">
        <v>45841.70569444444</v>
      </c>
      <c r="C830" s="1" t="n">
        <v>45994</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33698-2025</t>
        </is>
      </c>
      <c r="B831" s="1" t="n">
        <v>45841.70868055556</v>
      </c>
      <c r="C831" s="1" t="n">
        <v>45994</v>
      </c>
      <c r="D831" t="inlineStr">
        <is>
          <t>KALMAR LÄN</t>
        </is>
      </c>
      <c r="E831" t="inlineStr">
        <is>
          <t>VIMMERBY</t>
        </is>
      </c>
      <c r="G831" t="n">
        <v>3.7</v>
      </c>
      <c r="H831" t="n">
        <v>0</v>
      </c>
      <c r="I831" t="n">
        <v>0</v>
      </c>
      <c r="J831" t="n">
        <v>0</v>
      </c>
      <c r="K831" t="n">
        <v>0</v>
      </c>
      <c r="L831" t="n">
        <v>0</v>
      </c>
      <c r="M831" t="n">
        <v>0</v>
      </c>
      <c r="N831" t="n">
        <v>0</v>
      </c>
      <c r="O831" t="n">
        <v>0</v>
      </c>
      <c r="P831" t="n">
        <v>0</v>
      </c>
      <c r="Q831" t="n">
        <v>0</v>
      </c>
      <c r="R831" s="2" t="inlineStr"/>
    </row>
    <row r="832" ht="15" customHeight="1">
      <c r="A832" t="inlineStr">
        <is>
          <t>A 30977-2025</t>
        </is>
      </c>
      <c r="B832" s="1" t="n">
        <v>45832.46649305556</v>
      </c>
      <c r="C832" s="1" t="n">
        <v>45994</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33696-2025</t>
        </is>
      </c>
      <c r="B833" s="1" t="n">
        <v>45841.7072337963</v>
      </c>
      <c r="C833" s="1" t="n">
        <v>45994</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55384-2025</t>
        </is>
      </c>
      <c r="B834" s="1" t="n">
        <v>45971.43178240741</v>
      </c>
      <c r="C834" s="1" t="n">
        <v>45994</v>
      </c>
      <c r="D834" t="inlineStr">
        <is>
          <t>KALMAR LÄN</t>
        </is>
      </c>
      <c r="E834" t="inlineStr">
        <is>
          <t>VIMMERBY</t>
        </is>
      </c>
      <c r="G834" t="n">
        <v>1.7</v>
      </c>
      <c r="H834" t="n">
        <v>0</v>
      </c>
      <c r="I834" t="n">
        <v>0</v>
      </c>
      <c r="J834" t="n">
        <v>0</v>
      </c>
      <c r="K834" t="n">
        <v>0</v>
      </c>
      <c r="L834" t="n">
        <v>0</v>
      </c>
      <c r="M834" t="n">
        <v>0</v>
      </c>
      <c r="N834" t="n">
        <v>0</v>
      </c>
      <c r="O834" t="n">
        <v>0</v>
      </c>
      <c r="P834" t="n">
        <v>0</v>
      </c>
      <c r="Q834" t="n">
        <v>0</v>
      </c>
      <c r="R834" s="2" t="inlineStr"/>
    </row>
    <row r="835" ht="15" customHeight="1">
      <c r="A835" t="inlineStr">
        <is>
          <t>A 55385-2025</t>
        </is>
      </c>
      <c r="B835" s="1" t="n">
        <v>45971.43350694444</v>
      </c>
      <c r="C835" s="1" t="n">
        <v>45994</v>
      </c>
      <c r="D835" t="inlineStr">
        <is>
          <t>KALMAR LÄN</t>
        </is>
      </c>
      <c r="E835" t="inlineStr">
        <is>
          <t>VIMMERBY</t>
        </is>
      </c>
      <c r="G835" t="n">
        <v>5</v>
      </c>
      <c r="H835" t="n">
        <v>0</v>
      </c>
      <c r="I835" t="n">
        <v>0</v>
      </c>
      <c r="J835" t="n">
        <v>0</v>
      </c>
      <c r="K835" t="n">
        <v>0</v>
      </c>
      <c r="L835" t="n">
        <v>0</v>
      </c>
      <c r="M835" t="n">
        <v>0</v>
      </c>
      <c r="N835" t="n">
        <v>0</v>
      </c>
      <c r="O835" t="n">
        <v>0</v>
      </c>
      <c r="P835" t="n">
        <v>0</v>
      </c>
      <c r="Q835" t="n">
        <v>0</v>
      </c>
      <c r="R835" s="2" t="inlineStr"/>
    </row>
    <row r="836" ht="15" customHeight="1">
      <c r="A836" t="inlineStr">
        <is>
          <t>A 26956-2025</t>
        </is>
      </c>
      <c r="B836" s="1" t="n">
        <v>45811.45460648148</v>
      </c>
      <c r="C836" s="1" t="n">
        <v>45994</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55604-2025</t>
        </is>
      </c>
      <c r="B837" s="1" t="n">
        <v>45971</v>
      </c>
      <c r="C837" s="1" t="n">
        <v>45994</v>
      </c>
      <c r="D837" t="inlineStr">
        <is>
          <t>KALMAR LÄN</t>
        </is>
      </c>
      <c r="E837" t="inlineStr">
        <is>
          <t>VIMMERBY</t>
        </is>
      </c>
      <c r="G837" t="n">
        <v>4.4</v>
      </c>
      <c r="H837" t="n">
        <v>0</v>
      </c>
      <c r="I837" t="n">
        <v>0</v>
      </c>
      <c r="J837" t="n">
        <v>0</v>
      </c>
      <c r="K837" t="n">
        <v>0</v>
      </c>
      <c r="L837" t="n">
        <v>0</v>
      </c>
      <c r="M837" t="n">
        <v>0</v>
      </c>
      <c r="N837" t="n">
        <v>0</v>
      </c>
      <c r="O837" t="n">
        <v>0</v>
      </c>
      <c r="P837" t="n">
        <v>0</v>
      </c>
      <c r="Q837" t="n">
        <v>0</v>
      </c>
      <c r="R837" s="2" t="inlineStr"/>
    </row>
    <row r="838" ht="15" customHeight="1">
      <c r="A838" t="inlineStr">
        <is>
          <t>A 34071-2025</t>
        </is>
      </c>
      <c r="B838" s="1" t="n">
        <v>45845.43803240741</v>
      </c>
      <c r="C838" s="1" t="n">
        <v>45994</v>
      </c>
      <c r="D838" t="inlineStr">
        <is>
          <t>KALMAR LÄN</t>
        </is>
      </c>
      <c r="E838" t="inlineStr">
        <is>
          <t>VIMMERBY</t>
        </is>
      </c>
      <c r="G838" t="n">
        <v>6.8</v>
      </c>
      <c r="H838" t="n">
        <v>0</v>
      </c>
      <c r="I838" t="n">
        <v>0</v>
      </c>
      <c r="J838" t="n">
        <v>0</v>
      </c>
      <c r="K838" t="n">
        <v>0</v>
      </c>
      <c r="L838" t="n">
        <v>0</v>
      </c>
      <c r="M838" t="n">
        <v>0</v>
      </c>
      <c r="N838" t="n">
        <v>0</v>
      </c>
      <c r="O838" t="n">
        <v>0</v>
      </c>
      <c r="P838" t="n">
        <v>0</v>
      </c>
      <c r="Q838" t="n">
        <v>0</v>
      </c>
      <c r="R838" s="2" t="inlineStr"/>
    </row>
    <row r="839" ht="15" customHeight="1">
      <c r="A839" t="inlineStr">
        <is>
          <t>A 34106-2025</t>
        </is>
      </c>
      <c r="B839" s="1" t="n">
        <v>45845.49414351852</v>
      </c>
      <c r="C839" s="1" t="n">
        <v>45994</v>
      </c>
      <c r="D839" t="inlineStr">
        <is>
          <t>KALMAR LÄN</t>
        </is>
      </c>
      <c r="E839" t="inlineStr">
        <is>
          <t>VIMMERBY</t>
        </is>
      </c>
      <c r="G839" t="n">
        <v>6</v>
      </c>
      <c r="H839" t="n">
        <v>0</v>
      </c>
      <c r="I839" t="n">
        <v>0</v>
      </c>
      <c r="J839" t="n">
        <v>0</v>
      </c>
      <c r="K839" t="n">
        <v>0</v>
      </c>
      <c r="L839" t="n">
        <v>0</v>
      </c>
      <c r="M839" t="n">
        <v>0</v>
      </c>
      <c r="N839" t="n">
        <v>0</v>
      </c>
      <c r="O839" t="n">
        <v>0</v>
      </c>
      <c r="P839" t="n">
        <v>0</v>
      </c>
      <c r="Q839" t="n">
        <v>0</v>
      </c>
      <c r="R839" s="2" t="inlineStr"/>
    </row>
    <row r="840" ht="15" customHeight="1">
      <c r="A840" t="inlineStr">
        <is>
          <t>A 55602-2025</t>
        </is>
      </c>
      <c r="B840" s="1" t="n">
        <v>45971</v>
      </c>
      <c r="C840" s="1" t="n">
        <v>45994</v>
      </c>
      <c r="D840" t="inlineStr">
        <is>
          <t>KALMAR LÄN</t>
        </is>
      </c>
      <c r="E840" t="inlineStr">
        <is>
          <t>VIMMERBY</t>
        </is>
      </c>
      <c r="G840" t="n">
        <v>2.7</v>
      </c>
      <c r="H840" t="n">
        <v>0</v>
      </c>
      <c r="I840" t="n">
        <v>0</v>
      </c>
      <c r="J840" t="n">
        <v>0</v>
      </c>
      <c r="K840" t="n">
        <v>0</v>
      </c>
      <c r="L840" t="n">
        <v>0</v>
      </c>
      <c r="M840" t="n">
        <v>0</v>
      </c>
      <c r="N840" t="n">
        <v>0</v>
      </c>
      <c r="O840" t="n">
        <v>0</v>
      </c>
      <c r="P840" t="n">
        <v>0</v>
      </c>
      <c r="Q840" t="n">
        <v>0</v>
      </c>
      <c r="R840" s="2" t="inlineStr"/>
    </row>
    <row r="841" ht="15" customHeight="1">
      <c r="A841" t="inlineStr">
        <is>
          <t>A 28702-2025</t>
        </is>
      </c>
      <c r="B841" s="1" t="n">
        <v>45820.03976851852</v>
      </c>
      <c r="C841" s="1" t="n">
        <v>45994</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47227-2025</t>
        </is>
      </c>
      <c r="B842" s="1" t="n">
        <v>45930.39769675926</v>
      </c>
      <c r="C842" s="1" t="n">
        <v>45994</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34628-2025</t>
        </is>
      </c>
      <c r="B843" s="1" t="n">
        <v>45847.91280092593</v>
      </c>
      <c r="C843" s="1" t="n">
        <v>45994</v>
      </c>
      <c r="D843" t="inlineStr">
        <is>
          <t>KALMAR LÄN</t>
        </is>
      </c>
      <c r="E843" t="inlineStr">
        <is>
          <t>VIMMERBY</t>
        </is>
      </c>
      <c r="G843" t="n">
        <v>4.2</v>
      </c>
      <c r="H843" t="n">
        <v>0</v>
      </c>
      <c r="I843" t="n">
        <v>0</v>
      </c>
      <c r="J843" t="n">
        <v>0</v>
      </c>
      <c r="K843" t="n">
        <v>0</v>
      </c>
      <c r="L843" t="n">
        <v>0</v>
      </c>
      <c r="M843" t="n">
        <v>0</v>
      </c>
      <c r="N843" t="n">
        <v>0</v>
      </c>
      <c r="O843" t="n">
        <v>0</v>
      </c>
      <c r="P843" t="n">
        <v>0</v>
      </c>
      <c r="Q843" t="n">
        <v>0</v>
      </c>
      <c r="R843" s="2" t="inlineStr"/>
    </row>
    <row r="844" ht="15" customHeight="1">
      <c r="A844" t="inlineStr">
        <is>
          <t>A 55603-2025</t>
        </is>
      </c>
      <c r="B844" s="1" t="n">
        <v>45971</v>
      </c>
      <c r="C844" s="1" t="n">
        <v>45994</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55605-2025</t>
        </is>
      </c>
      <c r="B845" s="1" t="n">
        <v>45971</v>
      </c>
      <c r="C845" s="1" t="n">
        <v>45994</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48299-2025</t>
        </is>
      </c>
      <c r="B846" s="1" t="n">
        <v>45933.60982638889</v>
      </c>
      <c r="C846" s="1" t="n">
        <v>45994</v>
      </c>
      <c r="D846" t="inlineStr">
        <is>
          <t>KALMAR LÄN</t>
        </is>
      </c>
      <c r="E846" t="inlineStr">
        <is>
          <t>VIMMERBY</t>
        </is>
      </c>
      <c r="G846" t="n">
        <v>1.8</v>
      </c>
      <c r="H846" t="n">
        <v>0</v>
      </c>
      <c r="I846" t="n">
        <v>0</v>
      </c>
      <c r="J846" t="n">
        <v>0</v>
      </c>
      <c r="K846" t="n">
        <v>0</v>
      </c>
      <c r="L846" t="n">
        <v>0</v>
      </c>
      <c r="M846" t="n">
        <v>0</v>
      </c>
      <c r="N846" t="n">
        <v>0</v>
      </c>
      <c r="O846" t="n">
        <v>0</v>
      </c>
      <c r="P846" t="n">
        <v>0</v>
      </c>
      <c r="Q846" t="n">
        <v>0</v>
      </c>
      <c r="R846" s="2" t="inlineStr"/>
    </row>
    <row r="847" ht="15" customHeight="1">
      <c r="A847" t="inlineStr">
        <is>
          <t>A 35270-2025</t>
        </is>
      </c>
      <c r="B847" s="1" t="n">
        <v>45853.87112268519</v>
      </c>
      <c r="C847" s="1" t="n">
        <v>45994</v>
      </c>
      <c r="D847" t="inlineStr">
        <is>
          <t>KALMAR LÄN</t>
        </is>
      </c>
      <c r="E847" t="inlineStr">
        <is>
          <t>VIMMERBY</t>
        </is>
      </c>
      <c r="G847" t="n">
        <v>2.4</v>
      </c>
      <c r="H847" t="n">
        <v>0</v>
      </c>
      <c r="I847" t="n">
        <v>0</v>
      </c>
      <c r="J847" t="n">
        <v>0</v>
      </c>
      <c r="K847" t="n">
        <v>0</v>
      </c>
      <c r="L847" t="n">
        <v>0</v>
      </c>
      <c r="M847" t="n">
        <v>0</v>
      </c>
      <c r="N847" t="n">
        <v>0</v>
      </c>
      <c r="O847" t="n">
        <v>0</v>
      </c>
      <c r="P847" t="n">
        <v>0</v>
      </c>
      <c r="Q847" t="n">
        <v>0</v>
      </c>
      <c r="R847" s="2" t="inlineStr"/>
    </row>
    <row r="848" ht="15" customHeight="1">
      <c r="A848" t="inlineStr">
        <is>
          <t>A 35271-2025</t>
        </is>
      </c>
      <c r="B848" s="1" t="n">
        <v>45853.87599537037</v>
      </c>
      <c r="C848" s="1" t="n">
        <v>45994</v>
      </c>
      <c r="D848" t="inlineStr">
        <is>
          <t>KALMAR LÄN</t>
        </is>
      </c>
      <c r="E848" t="inlineStr">
        <is>
          <t>VIMMERBY</t>
        </is>
      </c>
      <c r="G848" t="n">
        <v>0.4</v>
      </c>
      <c r="H848" t="n">
        <v>0</v>
      </c>
      <c r="I848" t="n">
        <v>0</v>
      </c>
      <c r="J848" t="n">
        <v>0</v>
      </c>
      <c r="K848" t="n">
        <v>0</v>
      </c>
      <c r="L848" t="n">
        <v>0</v>
      </c>
      <c r="M848" t="n">
        <v>0</v>
      </c>
      <c r="N848" t="n">
        <v>0</v>
      </c>
      <c r="O848" t="n">
        <v>0</v>
      </c>
      <c r="P848" t="n">
        <v>0</v>
      </c>
      <c r="Q848" t="n">
        <v>0</v>
      </c>
      <c r="R848" s="2" t="inlineStr"/>
    </row>
    <row r="849" ht="15" customHeight="1">
      <c r="A849" t="inlineStr">
        <is>
          <t>A 35272-2025</t>
        </is>
      </c>
      <c r="B849" s="1" t="n">
        <v>45853.88070601852</v>
      </c>
      <c r="C849" s="1" t="n">
        <v>45994</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16953-2025</t>
        </is>
      </c>
      <c r="B850" s="1" t="n">
        <v>45755.44333333334</v>
      </c>
      <c r="C850" s="1" t="n">
        <v>45994</v>
      </c>
      <c r="D850" t="inlineStr">
        <is>
          <t>KALMAR LÄN</t>
        </is>
      </c>
      <c r="E850" t="inlineStr">
        <is>
          <t>VIMMERBY</t>
        </is>
      </c>
      <c r="G850" t="n">
        <v>2</v>
      </c>
      <c r="H850" t="n">
        <v>0</v>
      </c>
      <c r="I850" t="n">
        <v>0</v>
      </c>
      <c r="J850" t="n">
        <v>0</v>
      </c>
      <c r="K850" t="n">
        <v>0</v>
      </c>
      <c r="L850" t="n">
        <v>0</v>
      </c>
      <c r="M850" t="n">
        <v>0</v>
      </c>
      <c r="N850" t="n">
        <v>0</v>
      </c>
      <c r="O850" t="n">
        <v>0</v>
      </c>
      <c r="P850" t="n">
        <v>0</v>
      </c>
      <c r="Q850" t="n">
        <v>0</v>
      </c>
      <c r="R850" s="2" t="inlineStr"/>
    </row>
    <row r="851" ht="15" customHeight="1">
      <c r="A851" t="inlineStr">
        <is>
          <t>A 35596-2025</t>
        </is>
      </c>
      <c r="B851" s="1" t="n">
        <v>45858.60641203704</v>
      </c>
      <c r="C851" s="1" t="n">
        <v>45994</v>
      </c>
      <c r="D851" t="inlineStr">
        <is>
          <t>KALMAR LÄN</t>
        </is>
      </c>
      <c r="E851" t="inlineStr">
        <is>
          <t>VIMMERBY</t>
        </is>
      </c>
      <c r="G851" t="n">
        <v>2.8</v>
      </c>
      <c r="H851" t="n">
        <v>0</v>
      </c>
      <c r="I851" t="n">
        <v>0</v>
      </c>
      <c r="J851" t="n">
        <v>0</v>
      </c>
      <c r="K851" t="n">
        <v>0</v>
      </c>
      <c r="L851" t="n">
        <v>0</v>
      </c>
      <c r="M851" t="n">
        <v>0</v>
      </c>
      <c r="N851" t="n">
        <v>0</v>
      </c>
      <c r="O851" t="n">
        <v>0</v>
      </c>
      <c r="P851" t="n">
        <v>0</v>
      </c>
      <c r="Q851" t="n">
        <v>0</v>
      </c>
      <c r="R851" s="2" t="inlineStr"/>
    </row>
    <row r="852" ht="15" customHeight="1">
      <c r="A852" t="inlineStr">
        <is>
          <t>A 35597-2025</t>
        </is>
      </c>
      <c r="B852" s="1" t="n">
        <v>45858.66019675926</v>
      </c>
      <c r="C852" s="1" t="n">
        <v>45994</v>
      </c>
      <c r="D852" t="inlineStr">
        <is>
          <t>KALMAR LÄN</t>
        </is>
      </c>
      <c r="E852" t="inlineStr">
        <is>
          <t>VIMMERBY</t>
        </is>
      </c>
      <c r="G852" t="n">
        <v>6.4</v>
      </c>
      <c r="H852" t="n">
        <v>0</v>
      </c>
      <c r="I852" t="n">
        <v>0</v>
      </c>
      <c r="J852" t="n">
        <v>0</v>
      </c>
      <c r="K852" t="n">
        <v>0</v>
      </c>
      <c r="L852" t="n">
        <v>0</v>
      </c>
      <c r="M852" t="n">
        <v>0</v>
      </c>
      <c r="N852" t="n">
        <v>0</v>
      </c>
      <c r="O852" t="n">
        <v>0</v>
      </c>
      <c r="P852" t="n">
        <v>0</v>
      </c>
      <c r="Q852" t="n">
        <v>0</v>
      </c>
      <c r="R852" s="2" t="inlineStr"/>
    </row>
    <row r="853" ht="15" customHeight="1">
      <c r="A853" t="inlineStr">
        <is>
          <t>A 47965-2025</t>
        </is>
      </c>
      <c r="B853" s="1" t="n">
        <v>45932.59597222223</v>
      </c>
      <c r="C853" s="1" t="n">
        <v>45994</v>
      </c>
      <c r="D853" t="inlineStr">
        <is>
          <t>KALMAR LÄN</t>
        </is>
      </c>
      <c r="E853" t="inlineStr">
        <is>
          <t>VIMMERBY</t>
        </is>
      </c>
      <c r="G853" t="n">
        <v>2.2</v>
      </c>
      <c r="H853" t="n">
        <v>0</v>
      </c>
      <c r="I853" t="n">
        <v>0</v>
      </c>
      <c r="J853" t="n">
        <v>0</v>
      </c>
      <c r="K853" t="n">
        <v>0</v>
      </c>
      <c r="L853" t="n">
        <v>0</v>
      </c>
      <c r="M853" t="n">
        <v>0</v>
      </c>
      <c r="N853" t="n">
        <v>0</v>
      </c>
      <c r="O853" t="n">
        <v>0</v>
      </c>
      <c r="P853" t="n">
        <v>0</v>
      </c>
      <c r="Q853" t="n">
        <v>0</v>
      </c>
      <c r="R853" s="2" t="inlineStr"/>
    </row>
    <row r="854" ht="15" customHeight="1">
      <c r="A854" t="inlineStr">
        <is>
          <t>A 47955-2025</t>
        </is>
      </c>
      <c r="B854" s="1" t="n">
        <v>45932.58896990741</v>
      </c>
      <c r="C854" s="1" t="n">
        <v>45994</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36226-2025</t>
        </is>
      </c>
      <c r="B855" s="1" t="n">
        <v>45867.51630787037</v>
      </c>
      <c r="C855" s="1" t="n">
        <v>45994</v>
      </c>
      <c r="D855" t="inlineStr">
        <is>
          <t>KALMAR LÄN</t>
        </is>
      </c>
      <c r="E855" t="inlineStr">
        <is>
          <t>VIMMERBY</t>
        </is>
      </c>
      <c r="G855" t="n">
        <v>3.1</v>
      </c>
      <c r="H855" t="n">
        <v>0</v>
      </c>
      <c r="I855" t="n">
        <v>0</v>
      </c>
      <c r="J855" t="n">
        <v>0</v>
      </c>
      <c r="K855" t="n">
        <v>0</v>
      </c>
      <c r="L855" t="n">
        <v>0</v>
      </c>
      <c r="M855" t="n">
        <v>0</v>
      </c>
      <c r="N855" t="n">
        <v>0</v>
      </c>
      <c r="O855" t="n">
        <v>0</v>
      </c>
      <c r="P855" t="n">
        <v>0</v>
      </c>
      <c r="Q855" t="n">
        <v>0</v>
      </c>
      <c r="R855" s="2" t="inlineStr"/>
    </row>
    <row r="856" ht="15" customHeight="1">
      <c r="A856" t="inlineStr">
        <is>
          <t>A 36273-2025</t>
        </is>
      </c>
      <c r="B856" s="1" t="n">
        <v>45867.63094907408</v>
      </c>
      <c r="C856" s="1" t="n">
        <v>45994</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36282-2025</t>
        </is>
      </c>
      <c r="B857" s="1" t="n">
        <v>45867.64663194444</v>
      </c>
      <c r="C857" s="1" t="n">
        <v>45994</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36246-2025</t>
        </is>
      </c>
      <c r="B858" s="1" t="n">
        <v>45867.56320601852</v>
      </c>
      <c r="C858" s="1" t="n">
        <v>45994</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48723-2025</t>
        </is>
      </c>
      <c r="B859" s="1" t="n">
        <v>45936.65121527778</v>
      </c>
      <c r="C859" s="1" t="n">
        <v>45994</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36297-2025</t>
        </is>
      </c>
      <c r="B860" s="1" t="n">
        <v>45867.68625</v>
      </c>
      <c r="C860" s="1" t="n">
        <v>45994</v>
      </c>
      <c r="D860" t="inlineStr">
        <is>
          <t>KALMAR LÄN</t>
        </is>
      </c>
      <c r="E860" t="inlineStr">
        <is>
          <t>VIMMERBY</t>
        </is>
      </c>
      <c r="G860" t="n">
        <v>4.9</v>
      </c>
      <c r="H860" t="n">
        <v>0</v>
      </c>
      <c r="I860" t="n">
        <v>0</v>
      </c>
      <c r="J860" t="n">
        <v>0</v>
      </c>
      <c r="K860" t="n">
        <v>0</v>
      </c>
      <c r="L860" t="n">
        <v>0</v>
      </c>
      <c r="M860" t="n">
        <v>0</v>
      </c>
      <c r="N860" t="n">
        <v>0</v>
      </c>
      <c r="O860" t="n">
        <v>0</v>
      </c>
      <c r="P860" t="n">
        <v>0</v>
      </c>
      <c r="Q860" t="n">
        <v>0</v>
      </c>
      <c r="R860" s="2" t="inlineStr"/>
    </row>
    <row r="861" ht="15" customHeight="1">
      <c r="A861" t="inlineStr">
        <is>
          <t>A 36221-2025</t>
        </is>
      </c>
      <c r="B861" s="1" t="n">
        <v>45867.50792824074</v>
      </c>
      <c r="C861" s="1" t="n">
        <v>45994</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19502-2025</t>
        </is>
      </c>
      <c r="B862" s="1" t="n">
        <v>45769</v>
      </c>
      <c r="C862" s="1" t="n">
        <v>45994</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48712-2025</t>
        </is>
      </c>
      <c r="B863" s="1" t="n">
        <v>45936.63373842592</v>
      </c>
      <c r="C863" s="1" t="n">
        <v>45994</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36299-2025</t>
        </is>
      </c>
      <c r="B864" s="1" t="n">
        <v>45867.69346064814</v>
      </c>
      <c r="C864" s="1" t="n">
        <v>45994</v>
      </c>
      <c r="D864" t="inlineStr">
        <is>
          <t>KALMAR LÄN</t>
        </is>
      </c>
      <c r="E864" t="inlineStr">
        <is>
          <t>VIMMERBY</t>
        </is>
      </c>
      <c r="G864" t="n">
        <v>7.6</v>
      </c>
      <c r="H864" t="n">
        <v>0</v>
      </c>
      <c r="I864" t="n">
        <v>0</v>
      </c>
      <c r="J864" t="n">
        <v>0</v>
      </c>
      <c r="K864" t="n">
        <v>0</v>
      </c>
      <c r="L864" t="n">
        <v>0</v>
      </c>
      <c r="M864" t="n">
        <v>0</v>
      </c>
      <c r="N864" t="n">
        <v>0</v>
      </c>
      <c r="O864" t="n">
        <v>0</v>
      </c>
      <c r="P864" t="n">
        <v>0</v>
      </c>
      <c r="Q864" t="n">
        <v>0</v>
      </c>
      <c r="R864" s="2" t="inlineStr"/>
    </row>
    <row r="865" ht="15" customHeight="1">
      <c r="A865" t="inlineStr">
        <is>
          <t>A 48408-2025</t>
        </is>
      </c>
      <c r="B865" s="1" t="n">
        <v>45934.40527777778</v>
      </c>
      <c r="C865" s="1" t="n">
        <v>45994</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36538-2025</t>
        </is>
      </c>
      <c r="B866" s="1" t="n">
        <v>45869.62276620371</v>
      </c>
      <c r="C866" s="1" t="n">
        <v>45994</v>
      </c>
      <c r="D866" t="inlineStr">
        <is>
          <t>KALMAR LÄN</t>
        </is>
      </c>
      <c r="E866" t="inlineStr">
        <is>
          <t>VIMMERBY</t>
        </is>
      </c>
      <c r="G866" t="n">
        <v>2.6</v>
      </c>
      <c r="H866" t="n">
        <v>0</v>
      </c>
      <c r="I866" t="n">
        <v>0</v>
      </c>
      <c r="J866" t="n">
        <v>0</v>
      </c>
      <c r="K866" t="n">
        <v>0</v>
      </c>
      <c r="L866" t="n">
        <v>0</v>
      </c>
      <c r="M866" t="n">
        <v>0</v>
      </c>
      <c r="N866" t="n">
        <v>0</v>
      </c>
      <c r="O866" t="n">
        <v>0</v>
      </c>
      <c r="P866" t="n">
        <v>0</v>
      </c>
      <c r="Q866" t="n">
        <v>0</v>
      </c>
      <c r="R866" s="2" t="inlineStr"/>
    </row>
    <row r="867" ht="15" customHeight="1">
      <c r="A867" t="inlineStr">
        <is>
          <t>A 53789-2025</t>
        </is>
      </c>
      <c r="B867" s="1" t="n">
        <v>45960</v>
      </c>
      <c r="C867" s="1" t="n">
        <v>45994</v>
      </c>
      <c r="D867" t="inlineStr">
        <is>
          <t>KALMAR LÄN</t>
        </is>
      </c>
      <c r="E867" t="inlineStr">
        <is>
          <t>VIMMERBY</t>
        </is>
      </c>
      <c r="F867" t="inlineStr">
        <is>
          <t>Övriga statliga verk och myndigheter</t>
        </is>
      </c>
      <c r="G867" t="n">
        <v>1.6</v>
      </c>
      <c r="H867" t="n">
        <v>0</v>
      </c>
      <c r="I867" t="n">
        <v>0</v>
      </c>
      <c r="J867" t="n">
        <v>0</v>
      </c>
      <c r="K867" t="n">
        <v>0</v>
      </c>
      <c r="L867" t="n">
        <v>0</v>
      </c>
      <c r="M867" t="n">
        <v>0</v>
      </c>
      <c r="N867" t="n">
        <v>0</v>
      </c>
      <c r="O867" t="n">
        <v>0</v>
      </c>
      <c r="P867" t="n">
        <v>0</v>
      </c>
      <c r="Q867" t="n">
        <v>0</v>
      </c>
      <c r="R867" s="2" t="inlineStr"/>
    </row>
    <row r="868" ht="15" customHeight="1">
      <c r="A868" t="inlineStr">
        <is>
          <t>A 36598-2025</t>
        </is>
      </c>
      <c r="B868" s="1" t="n">
        <v>45870.51708333333</v>
      </c>
      <c r="C868" s="1" t="n">
        <v>45994</v>
      </c>
      <c r="D868" t="inlineStr">
        <is>
          <t>KALMAR LÄN</t>
        </is>
      </c>
      <c r="E868" t="inlineStr">
        <is>
          <t>VIMMERBY</t>
        </is>
      </c>
      <c r="G868" t="n">
        <v>3.7</v>
      </c>
      <c r="H868" t="n">
        <v>0</v>
      </c>
      <c r="I868" t="n">
        <v>0</v>
      </c>
      <c r="J868" t="n">
        <v>0</v>
      </c>
      <c r="K868" t="n">
        <v>0</v>
      </c>
      <c r="L868" t="n">
        <v>0</v>
      </c>
      <c r="M868" t="n">
        <v>0</v>
      </c>
      <c r="N868" t="n">
        <v>0</v>
      </c>
      <c r="O868" t="n">
        <v>0</v>
      </c>
      <c r="P868" t="n">
        <v>0</v>
      </c>
      <c r="Q868" t="n">
        <v>0</v>
      </c>
      <c r="R868" s="2" t="inlineStr"/>
    </row>
    <row r="869" ht="15" customHeight="1">
      <c r="A869" t="inlineStr">
        <is>
          <t>A 36602-2025</t>
        </is>
      </c>
      <c r="B869" s="1" t="n">
        <v>45870.52111111111</v>
      </c>
      <c r="C869" s="1" t="n">
        <v>45994</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48409-2025</t>
        </is>
      </c>
      <c r="B870" s="1" t="n">
        <v>45934.41387731482</v>
      </c>
      <c r="C870" s="1" t="n">
        <v>45994</v>
      </c>
      <c r="D870" t="inlineStr">
        <is>
          <t>KALMAR LÄN</t>
        </is>
      </c>
      <c r="E870" t="inlineStr">
        <is>
          <t>VIMMERBY</t>
        </is>
      </c>
      <c r="G870" t="n">
        <v>1.2</v>
      </c>
      <c r="H870" t="n">
        <v>0</v>
      </c>
      <c r="I870" t="n">
        <v>0</v>
      </c>
      <c r="J870" t="n">
        <v>0</v>
      </c>
      <c r="K870" t="n">
        <v>0</v>
      </c>
      <c r="L870" t="n">
        <v>0</v>
      </c>
      <c r="M870" t="n">
        <v>0</v>
      </c>
      <c r="N870" t="n">
        <v>0</v>
      </c>
      <c r="O870" t="n">
        <v>0</v>
      </c>
      <c r="P870" t="n">
        <v>0</v>
      </c>
      <c r="Q870" t="n">
        <v>0</v>
      </c>
      <c r="R870" s="2" t="inlineStr"/>
    </row>
    <row r="871" ht="15" customHeight="1">
      <c r="A871" t="inlineStr">
        <is>
          <t>A 48600-2025</t>
        </is>
      </c>
      <c r="B871" s="1" t="n">
        <v>45935</v>
      </c>
      <c r="C871" s="1" t="n">
        <v>45994</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36603-2025</t>
        </is>
      </c>
      <c r="B872" s="1" t="n">
        <v>45870.52142361111</v>
      </c>
      <c r="C872" s="1" t="n">
        <v>45994</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36600-2025</t>
        </is>
      </c>
      <c r="B873" s="1" t="n">
        <v>45870.51958333333</v>
      </c>
      <c r="C873" s="1" t="n">
        <v>45994</v>
      </c>
      <c r="D873" t="inlineStr">
        <is>
          <t>KALMAR LÄN</t>
        </is>
      </c>
      <c r="E873" t="inlineStr">
        <is>
          <t>VIMMERBY</t>
        </is>
      </c>
      <c r="G873" t="n">
        <v>2</v>
      </c>
      <c r="H873" t="n">
        <v>0</v>
      </c>
      <c r="I873" t="n">
        <v>0</v>
      </c>
      <c r="J873" t="n">
        <v>0</v>
      </c>
      <c r="K873" t="n">
        <v>0</v>
      </c>
      <c r="L873" t="n">
        <v>0</v>
      </c>
      <c r="M873" t="n">
        <v>0</v>
      </c>
      <c r="N873" t="n">
        <v>0</v>
      </c>
      <c r="O873" t="n">
        <v>0</v>
      </c>
      <c r="P873" t="n">
        <v>0</v>
      </c>
      <c r="Q873" t="n">
        <v>0</v>
      </c>
      <c r="R873" s="2" t="inlineStr"/>
    </row>
    <row r="874" ht="15" customHeight="1">
      <c r="A874" t="inlineStr">
        <is>
          <t>A 36601-2025</t>
        </is>
      </c>
      <c r="B874" s="1" t="n">
        <v>45870.52005787037</v>
      </c>
      <c r="C874" s="1" t="n">
        <v>45994</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37088-2025</t>
        </is>
      </c>
      <c r="B875" s="1" t="n">
        <v>45875.45716435185</v>
      </c>
      <c r="C875" s="1" t="n">
        <v>45994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37102-2025</t>
        </is>
      </c>
      <c r="B876" s="1" t="n">
        <v>45875.47454861111</v>
      </c>
      <c r="C876" s="1" t="n">
        <v>45994</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37079-2025</t>
        </is>
      </c>
      <c r="B877" s="1" t="n">
        <v>45875.42716435185</v>
      </c>
      <c r="C877" s="1" t="n">
        <v>45994</v>
      </c>
      <c r="D877" t="inlineStr">
        <is>
          <t>KALMAR LÄN</t>
        </is>
      </c>
      <c r="E877" t="inlineStr">
        <is>
          <t>VIMMERBY</t>
        </is>
      </c>
      <c r="G877" t="n">
        <v>0.8</v>
      </c>
      <c r="H877" t="n">
        <v>0</v>
      </c>
      <c r="I877" t="n">
        <v>0</v>
      </c>
      <c r="J877" t="n">
        <v>0</v>
      </c>
      <c r="K877" t="n">
        <v>0</v>
      </c>
      <c r="L877" t="n">
        <v>0</v>
      </c>
      <c r="M877" t="n">
        <v>0</v>
      </c>
      <c r="N877" t="n">
        <v>0</v>
      </c>
      <c r="O877" t="n">
        <v>0</v>
      </c>
      <c r="P877" t="n">
        <v>0</v>
      </c>
      <c r="Q877" t="n">
        <v>0</v>
      </c>
      <c r="R877" s="2" t="inlineStr"/>
    </row>
    <row r="878" ht="15" customHeight="1">
      <c r="A878" t="inlineStr">
        <is>
          <t>A 36934-2025</t>
        </is>
      </c>
      <c r="B878" s="1" t="n">
        <v>45874.57109953704</v>
      </c>
      <c r="C878" s="1" t="n">
        <v>45994</v>
      </c>
      <c r="D878" t="inlineStr">
        <is>
          <t>KALMAR LÄN</t>
        </is>
      </c>
      <c r="E878" t="inlineStr">
        <is>
          <t>VIMMERBY</t>
        </is>
      </c>
      <c r="G878" t="n">
        <v>4.2</v>
      </c>
      <c r="H878" t="n">
        <v>0</v>
      </c>
      <c r="I878" t="n">
        <v>0</v>
      </c>
      <c r="J878" t="n">
        <v>0</v>
      </c>
      <c r="K878" t="n">
        <v>0</v>
      </c>
      <c r="L878" t="n">
        <v>0</v>
      </c>
      <c r="M878" t="n">
        <v>0</v>
      </c>
      <c r="N878" t="n">
        <v>0</v>
      </c>
      <c r="O878" t="n">
        <v>0</v>
      </c>
      <c r="P878" t="n">
        <v>0</v>
      </c>
      <c r="Q878" t="n">
        <v>0</v>
      </c>
      <c r="R878" s="2" t="inlineStr"/>
    </row>
    <row r="879" ht="15" customHeight="1">
      <c r="A879" t="inlineStr">
        <is>
          <t>A 37578-2025</t>
        </is>
      </c>
      <c r="B879" s="1" t="n">
        <v>45880.38380787037</v>
      </c>
      <c r="C879" s="1" t="n">
        <v>45994</v>
      </c>
      <c r="D879" t="inlineStr">
        <is>
          <t>KALMAR LÄN</t>
        </is>
      </c>
      <c r="E879" t="inlineStr">
        <is>
          <t>VIMMERBY</t>
        </is>
      </c>
      <c r="G879" t="n">
        <v>0.7</v>
      </c>
      <c r="H879" t="n">
        <v>0</v>
      </c>
      <c r="I879" t="n">
        <v>0</v>
      </c>
      <c r="J879" t="n">
        <v>0</v>
      </c>
      <c r="K879" t="n">
        <v>0</v>
      </c>
      <c r="L879" t="n">
        <v>0</v>
      </c>
      <c r="M879" t="n">
        <v>0</v>
      </c>
      <c r="N879" t="n">
        <v>0</v>
      </c>
      <c r="O879" t="n">
        <v>0</v>
      </c>
      <c r="P879" t="n">
        <v>0</v>
      </c>
      <c r="Q879" t="n">
        <v>0</v>
      </c>
      <c r="R879" s="2" t="inlineStr"/>
    </row>
    <row r="880" ht="15" customHeight="1">
      <c r="A880" t="inlineStr">
        <is>
          <t>A 37668-2025</t>
        </is>
      </c>
      <c r="B880" s="1" t="n">
        <v>45880.51550925926</v>
      </c>
      <c r="C880" s="1" t="n">
        <v>45994</v>
      </c>
      <c r="D880" t="inlineStr">
        <is>
          <t>KALMAR LÄN</t>
        </is>
      </c>
      <c r="E880" t="inlineStr">
        <is>
          <t>VIMMERBY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37939-2025</t>
        </is>
      </c>
      <c r="B881" s="1" t="n">
        <v>45881.59877314815</v>
      </c>
      <c r="C881" s="1" t="n">
        <v>45994</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37866-2025</t>
        </is>
      </c>
      <c r="B882" s="1" t="n">
        <v>45881</v>
      </c>
      <c r="C882" s="1" t="n">
        <v>45994</v>
      </c>
      <c r="D882" t="inlineStr">
        <is>
          <t>KALMAR LÄN</t>
        </is>
      </c>
      <c r="E882" t="inlineStr">
        <is>
          <t>VIMMERBY</t>
        </is>
      </c>
      <c r="G882" t="n">
        <v>3.4</v>
      </c>
      <c r="H882" t="n">
        <v>0</v>
      </c>
      <c r="I882" t="n">
        <v>0</v>
      </c>
      <c r="J882" t="n">
        <v>0</v>
      </c>
      <c r="K882" t="n">
        <v>0</v>
      </c>
      <c r="L882" t="n">
        <v>0</v>
      </c>
      <c r="M882" t="n">
        <v>0</v>
      </c>
      <c r="N882" t="n">
        <v>0</v>
      </c>
      <c r="O882" t="n">
        <v>0</v>
      </c>
      <c r="P882" t="n">
        <v>0</v>
      </c>
      <c r="Q882" t="n">
        <v>0</v>
      </c>
      <c r="R882" s="2" t="inlineStr"/>
    </row>
    <row r="883" ht="15" customHeight="1">
      <c r="A883" t="inlineStr">
        <is>
          <t>A 58442-2025</t>
        </is>
      </c>
      <c r="B883" s="1" t="n">
        <v>45985.61635416667</v>
      </c>
      <c r="C883" s="1" t="n">
        <v>45994</v>
      </c>
      <c r="D883" t="inlineStr">
        <is>
          <t>KALMAR LÄN</t>
        </is>
      </c>
      <c r="E883" t="inlineStr">
        <is>
          <t>VIMMERBY</t>
        </is>
      </c>
      <c r="G883" t="n">
        <v>0.8</v>
      </c>
      <c r="H883" t="n">
        <v>0</v>
      </c>
      <c r="I883" t="n">
        <v>0</v>
      </c>
      <c r="J883" t="n">
        <v>0</v>
      </c>
      <c r="K883" t="n">
        <v>0</v>
      </c>
      <c r="L883" t="n">
        <v>0</v>
      </c>
      <c r="M883" t="n">
        <v>0</v>
      </c>
      <c r="N883" t="n">
        <v>0</v>
      </c>
      <c r="O883" t="n">
        <v>0</v>
      </c>
      <c r="P883" t="n">
        <v>0</v>
      </c>
      <c r="Q883" t="n">
        <v>0</v>
      </c>
      <c r="R883" s="2" t="inlineStr"/>
    </row>
    <row r="884" ht="15" customHeight="1">
      <c r="A884" t="inlineStr">
        <is>
          <t>A 58435-2025</t>
        </is>
      </c>
      <c r="B884" s="1" t="n">
        <v>45985.61501157407</v>
      </c>
      <c r="C884" s="1" t="n">
        <v>45994</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58498-2025</t>
        </is>
      </c>
      <c r="B885" s="1" t="n">
        <v>45985.68671296296</v>
      </c>
      <c r="C885" s="1" t="n">
        <v>45994</v>
      </c>
      <c r="D885" t="inlineStr">
        <is>
          <t>KALMAR LÄN</t>
        </is>
      </c>
      <c r="E885" t="inlineStr">
        <is>
          <t>VIMMERBY</t>
        </is>
      </c>
      <c r="G885" t="n">
        <v>2.1</v>
      </c>
      <c r="H885" t="n">
        <v>0</v>
      </c>
      <c r="I885" t="n">
        <v>0</v>
      </c>
      <c r="J885" t="n">
        <v>0</v>
      </c>
      <c r="K885" t="n">
        <v>0</v>
      </c>
      <c r="L885" t="n">
        <v>0</v>
      </c>
      <c r="M885" t="n">
        <v>0</v>
      </c>
      <c r="N885" t="n">
        <v>0</v>
      </c>
      <c r="O885" t="n">
        <v>0</v>
      </c>
      <c r="P885" t="n">
        <v>0</v>
      </c>
      <c r="Q885" t="n">
        <v>0</v>
      </c>
      <c r="R885" s="2" t="inlineStr"/>
    </row>
    <row r="886" ht="15" customHeight="1">
      <c r="A886" t="inlineStr">
        <is>
          <t>A 58501-2025</t>
        </is>
      </c>
      <c r="B886" s="1" t="n">
        <v>45985.69153935185</v>
      </c>
      <c r="C886" s="1" t="n">
        <v>45994</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58514-2025</t>
        </is>
      </c>
      <c r="B887" s="1" t="n">
        <v>45985.70513888889</v>
      </c>
      <c r="C887" s="1" t="n">
        <v>45994</v>
      </c>
      <c r="D887" t="inlineStr">
        <is>
          <t>KALMAR LÄN</t>
        </is>
      </c>
      <c r="E887" t="inlineStr">
        <is>
          <t>VIMMERBY</t>
        </is>
      </c>
      <c r="G887" t="n">
        <v>3.7</v>
      </c>
      <c r="H887" t="n">
        <v>0</v>
      </c>
      <c r="I887" t="n">
        <v>0</v>
      </c>
      <c r="J887" t="n">
        <v>0</v>
      </c>
      <c r="K887" t="n">
        <v>0</v>
      </c>
      <c r="L887" t="n">
        <v>0</v>
      </c>
      <c r="M887" t="n">
        <v>0</v>
      </c>
      <c r="N887" t="n">
        <v>0</v>
      </c>
      <c r="O887" t="n">
        <v>0</v>
      </c>
      <c r="P887" t="n">
        <v>0</v>
      </c>
      <c r="Q887" t="n">
        <v>0</v>
      </c>
      <c r="R887" s="2" t="inlineStr"/>
    </row>
    <row r="888" ht="15" customHeight="1">
      <c r="A888" t="inlineStr">
        <is>
          <t>A 58500-2025</t>
        </is>
      </c>
      <c r="B888" s="1" t="n">
        <v>45985.69008101852</v>
      </c>
      <c r="C888" s="1" t="n">
        <v>45994</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58503-2025</t>
        </is>
      </c>
      <c r="B889" s="1" t="n">
        <v>45985.69509259259</v>
      </c>
      <c r="C889" s="1" t="n">
        <v>45994</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58446-2025</t>
        </is>
      </c>
      <c r="B890" s="1" t="n">
        <v>45985.62168981481</v>
      </c>
      <c r="C890" s="1" t="n">
        <v>45994</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53586-2025</t>
        </is>
      </c>
      <c r="B891" s="1" t="n">
        <v>45960</v>
      </c>
      <c r="C891" s="1" t="n">
        <v>45994</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49871-2025</t>
        </is>
      </c>
      <c r="B892" s="1" t="n">
        <v>45940.54104166666</v>
      </c>
      <c r="C892" s="1" t="n">
        <v>45994</v>
      </c>
      <c r="D892" t="inlineStr">
        <is>
          <t>KALMAR LÄN</t>
        </is>
      </c>
      <c r="E892" t="inlineStr">
        <is>
          <t>VIMMERBY</t>
        </is>
      </c>
      <c r="G892" t="n">
        <v>0.6</v>
      </c>
      <c r="H892" t="n">
        <v>0</v>
      </c>
      <c r="I892" t="n">
        <v>0</v>
      </c>
      <c r="J892" t="n">
        <v>0</v>
      </c>
      <c r="K892" t="n">
        <v>0</v>
      </c>
      <c r="L892" t="n">
        <v>0</v>
      </c>
      <c r="M892" t="n">
        <v>0</v>
      </c>
      <c r="N892" t="n">
        <v>0</v>
      </c>
      <c r="O892" t="n">
        <v>0</v>
      </c>
      <c r="P892" t="n">
        <v>0</v>
      </c>
      <c r="Q892" t="n">
        <v>0</v>
      </c>
      <c r="R892" s="2" t="inlineStr"/>
    </row>
    <row r="893" ht="15" customHeight="1">
      <c r="A893" t="inlineStr">
        <is>
          <t>A 57728-2025</t>
        </is>
      </c>
      <c r="B893" s="1" t="n">
        <v>45981</v>
      </c>
      <c r="C893" s="1" t="n">
        <v>45994</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58841-2025</t>
        </is>
      </c>
      <c r="B894" s="1" t="n">
        <v>45987.36275462963</v>
      </c>
      <c r="C894" s="1" t="n">
        <v>45994</v>
      </c>
      <c r="D894" t="inlineStr">
        <is>
          <t>KALMAR LÄN</t>
        </is>
      </c>
      <c r="E894" t="inlineStr">
        <is>
          <t>VIMMERBY</t>
        </is>
      </c>
      <c r="G894" t="n">
        <v>3.5</v>
      </c>
      <c r="H894" t="n">
        <v>0</v>
      </c>
      <c r="I894" t="n">
        <v>0</v>
      </c>
      <c r="J894" t="n">
        <v>0</v>
      </c>
      <c r="K894" t="n">
        <v>0</v>
      </c>
      <c r="L894" t="n">
        <v>0</v>
      </c>
      <c r="M894" t="n">
        <v>0</v>
      </c>
      <c r="N894" t="n">
        <v>0</v>
      </c>
      <c r="O894" t="n">
        <v>0</v>
      </c>
      <c r="P894" t="n">
        <v>0</v>
      </c>
      <c r="Q894" t="n">
        <v>0</v>
      </c>
      <c r="R894" s="2" t="inlineStr"/>
    </row>
    <row r="895" ht="15" customHeight="1">
      <c r="A895" t="inlineStr">
        <is>
          <t>A 50544-2025</t>
        </is>
      </c>
      <c r="B895" s="1" t="n">
        <v>45945.50736111111</v>
      </c>
      <c r="C895" s="1" t="n">
        <v>45994</v>
      </c>
      <c r="D895" t="inlineStr">
        <is>
          <t>KALMAR LÄN</t>
        </is>
      </c>
      <c r="E895" t="inlineStr">
        <is>
          <t>VIMMERBY</t>
        </is>
      </c>
      <c r="G895" t="n">
        <v>0.8</v>
      </c>
      <c r="H895" t="n">
        <v>0</v>
      </c>
      <c r="I895" t="n">
        <v>0</v>
      </c>
      <c r="J895" t="n">
        <v>0</v>
      </c>
      <c r="K895" t="n">
        <v>0</v>
      </c>
      <c r="L895" t="n">
        <v>0</v>
      </c>
      <c r="M895" t="n">
        <v>0</v>
      </c>
      <c r="N895" t="n">
        <v>0</v>
      </c>
      <c r="O895" t="n">
        <v>0</v>
      </c>
      <c r="P895" t="n">
        <v>0</v>
      </c>
      <c r="Q895" t="n">
        <v>0</v>
      </c>
      <c r="R895" s="2" t="inlineStr"/>
    </row>
    <row r="896" ht="15" customHeight="1">
      <c r="A896" t="inlineStr">
        <is>
          <t>A 58858-2025</t>
        </is>
      </c>
      <c r="B896" s="1" t="n">
        <v>45987.4243287037</v>
      </c>
      <c r="C896" s="1" t="n">
        <v>45994</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50324-2025</t>
        </is>
      </c>
      <c r="B897" s="1" t="n">
        <v>45944.45962962963</v>
      </c>
      <c r="C897" s="1" t="n">
        <v>45994</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51062-2025</t>
        </is>
      </c>
      <c r="B898" s="1" t="n">
        <v>45947.44685185186</v>
      </c>
      <c r="C898" s="1" t="n">
        <v>45994</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59037-2025</t>
        </is>
      </c>
      <c r="B899" s="1" t="n">
        <v>45988.36508101852</v>
      </c>
      <c r="C899" s="1" t="n">
        <v>45994</v>
      </c>
      <c r="D899" t="inlineStr">
        <is>
          <t>KALMAR LÄN</t>
        </is>
      </c>
      <c r="E899" t="inlineStr">
        <is>
          <t>VIMMERBY</t>
        </is>
      </c>
      <c r="F899" t="inlineStr">
        <is>
          <t>Sveaskog</t>
        </is>
      </c>
      <c r="G899" t="n">
        <v>4</v>
      </c>
      <c r="H899" t="n">
        <v>0</v>
      </c>
      <c r="I899" t="n">
        <v>0</v>
      </c>
      <c r="J899" t="n">
        <v>0</v>
      </c>
      <c r="K899" t="n">
        <v>0</v>
      </c>
      <c r="L899" t="n">
        <v>0</v>
      </c>
      <c r="M899" t="n">
        <v>0</v>
      </c>
      <c r="N899" t="n">
        <v>0</v>
      </c>
      <c r="O899" t="n">
        <v>0</v>
      </c>
      <c r="P899" t="n">
        <v>0</v>
      </c>
      <c r="Q899" t="n">
        <v>0</v>
      </c>
      <c r="R899" s="2" t="inlineStr"/>
    </row>
    <row r="900" ht="15" customHeight="1">
      <c r="A900" t="inlineStr">
        <is>
          <t>A 59039-2025</t>
        </is>
      </c>
      <c r="B900" s="1" t="n">
        <v>45988.36790509259</v>
      </c>
      <c r="C900" s="1" t="n">
        <v>45994</v>
      </c>
      <c r="D900" t="inlineStr">
        <is>
          <t>KALMAR LÄN</t>
        </is>
      </c>
      <c r="E900" t="inlineStr">
        <is>
          <t>VIMMERBY</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59034-2025</t>
        </is>
      </c>
      <c r="B901" s="1" t="n">
        <v>45988.36243055556</v>
      </c>
      <c r="C901" s="1" t="n">
        <v>45994</v>
      </c>
      <c r="D901" t="inlineStr">
        <is>
          <t>KALMAR LÄN</t>
        </is>
      </c>
      <c r="E901" t="inlineStr">
        <is>
          <t>VIMMERBY</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59068-2025</t>
        </is>
      </c>
      <c r="B902" s="1" t="n">
        <v>45988.41725694444</v>
      </c>
      <c r="C902" s="1" t="n">
        <v>45994</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58997-2025</t>
        </is>
      </c>
      <c r="B903" s="1" t="n">
        <v>45987</v>
      </c>
      <c r="C903" s="1" t="n">
        <v>45994</v>
      </c>
      <c r="D903" t="inlineStr">
        <is>
          <t>KALMAR LÄN</t>
        </is>
      </c>
      <c r="E903" t="inlineStr">
        <is>
          <t>VIMMERBY</t>
        </is>
      </c>
      <c r="G903" t="n">
        <v>7.9</v>
      </c>
      <c r="H903" t="n">
        <v>0</v>
      </c>
      <c r="I903" t="n">
        <v>0</v>
      </c>
      <c r="J903" t="n">
        <v>0</v>
      </c>
      <c r="K903" t="n">
        <v>0</v>
      </c>
      <c r="L903" t="n">
        <v>0</v>
      </c>
      <c r="M903" t="n">
        <v>0</v>
      </c>
      <c r="N903" t="n">
        <v>0</v>
      </c>
      <c r="O903" t="n">
        <v>0</v>
      </c>
      <c r="P903" t="n">
        <v>0</v>
      </c>
      <c r="Q903" t="n">
        <v>0</v>
      </c>
      <c r="R903" s="2" t="inlineStr"/>
    </row>
    <row r="904">
      <c r="A904" t="inlineStr">
        <is>
          <t>A 59579-2025</t>
        </is>
      </c>
      <c r="B904" s="1" t="n">
        <v>45992.30569444445</v>
      </c>
      <c r="C904" s="1" t="n">
        <v>45994</v>
      </c>
      <c r="D904" t="inlineStr">
        <is>
          <t>KALMAR LÄN</t>
        </is>
      </c>
      <c r="E904" t="inlineStr">
        <is>
          <t>VIMMERBY</t>
        </is>
      </c>
      <c r="G904" t="n">
        <v>1.3</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2025-12-03T10:24:20Z</dcterms:created>
  <dcterms:modified xmlns:dcterms="http://purl.org/dc/terms/" xmlns:xsi="http://www.w3.org/2001/XMLSchema-instance" xsi:type="dcterms:W3CDTF">2025-12-03T10:24:21Z</dcterms:modified>
</cp:coreProperties>
</file>