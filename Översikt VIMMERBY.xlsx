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46191</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46191</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46191</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46191</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46191</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16954-2025</t>
        </is>
      </c>
      <c r="B8" s="1" t="n">
        <v>45755</v>
      </c>
      <c r="C8" s="1" t="n">
        <v>46191</v>
      </c>
      <c r="D8" t="inlineStr">
        <is>
          <t>KALMAR LÄN</t>
        </is>
      </c>
      <c r="E8" t="inlineStr">
        <is>
          <t>VIMMERBY</t>
        </is>
      </c>
      <c r="G8" t="n">
        <v>3.5</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v>
      </c>
      <c r="C9" s="1" t="n">
        <v>46191</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32645-2023</t>
        </is>
      </c>
      <c r="B10" s="1" t="n">
        <v>45121</v>
      </c>
      <c r="C10" s="1" t="n">
        <v>46191</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5</v>
      </c>
      <c r="R10" s="2" t="inlineStr">
        <is>
          <t>Dvärgbägarlav
Talltita
Vedtrappmossa
Mindre märgborre
Spillkråka</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1023-2024</t>
        </is>
      </c>
      <c r="B11" s="1" t="n">
        <v>45301</v>
      </c>
      <c r="C11" s="1" t="n">
        <v>46191</v>
      </c>
      <c r="D11" t="inlineStr">
        <is>
          <t>KALMAR LÄN</t>
        </is>
      </c>
      <c r="E11" t="inlineStr">
        <is>
          <t>VIMMERBY</t>
        </is>
      </c>
      <c r="G11" t="n">
        <v>4.4</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3075-2025</t>
        </is>
      </c>
      <c r="B12" s="1" t="n">
        <v>45678</v>
      </c>
      <c r="C12" s="1" t="n">
        <v>46191</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14426-2026</t>
        </is>
      </c>
      <c r="B13" s="1" t="n">
        <v>46100</v>
      </c>
      <c r="C13" s="1" t="n">
        <v>46191</v>
      </c>
      <c r="D13" t="inlineStr">
        <is>
          <t>KALMAR LÄN</t>
        </is>
      </c>
      <c r="E13" t="inlineStr">
        <is>
          <t>VIMMERBY</t>
        </is>
      </c>
      <c r="F13" t="inlineStr">
        <is>
          <t>Kyrkan</t>
        </is>
      </c>
      <c r="G13" t="n">
        <v>8.6</v>
      </c>
      <c r="H13" t="n">
        <v>1</v>
      </c>
      <c r="I13" t="n">
        <v>0</v>
      </c>
      <c r="J13" t="n">
        <v>1</v>
      </c>
      <c r="K13" t="n">
        <v>1</v>
      </c>
      <c r="L13" t="n">
        <v>0</v>
      </c>
      <c r="M13" t="n">
        <v>0</v>
      </c>
      <c r="N13" t="n">
        <v>0</v>
      </c>
      <c r="O13" t="n">
        <v>2</v>
      </c>
      <c r="P13" t="n">
        <v>1</v>
      </c>
      <c r="Q13" t="n">
        <v>3</v>
      </c>
      <c r="R13" s="2" t="inlineStr">
        <is>
          <t>Knärot
Tallticka
Linnea</t>
        </is>
      </c>
      <c r="S13">
        <f>HYPERLINK("https://klasma.github.io/Logging_0884/artfynd/A 14426-2026 artfynd.xlsx", "A 14426-2026")</f>
        <v/>
      </c>
      <c r="T13">
        <f>HYPERLINK("https://klasma.github.io/Logging_0884/kartor/A 14426-2026 karta.png", "A 14426-2026")</f>
        <v/>
      </c>
      <c r="U13">
        <f>HYPERLINK("https://klasma.github.io/Logging_0884/knärot/A 14426-2026 karta knärot.png", "A 14426-2026")</f>
        <v/>
      </c>
      <c r="V13">
        <f>HYPERLINK("https://klasma.github.io/Logging_0884/klagomål/A 14426-2026 FSC-klagomål.docx", "A 14426-2026")</f>
        <v/>
      </c>
      <c r="W13">
        <f>HYPERLINK("https://klasma.github.io/Logging_0884/klagomålsmail/A 14426-2026 FSC-klagomål mail.docx", "A 14426-2026")</f>
        <v/>
      </c>
      <c r="X13">
        <f>HYPERLINK("https://klasma.github.io/Logging_0884/tillsyn/A 14426-2026 tillsynsbegäran.docx", "A 14426-2026")</f>
        <v/>
      </c>
      <c r="Y13">
        <f>HYPERLINK("https://klasma.github.io/Logging_0884/tillsynsmail/A 14426-2026 tillsynsbegäran mail.docx", "A 14426-2026")</f>
        <v/>
      </c>
    </row>
    <row r="14" ht="15" customHeight="1">
      <c r="A14" t="inlineStr">
        <is>
          <t>A 57053-2025</t>
        </is>
      </c>
      <c r="B14" s="1" t="n">
        <v>45979</v>
      </c>
      <c r="C14" s="1" t="n">
        <v>46191</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14584-2025</t>
        </is>
      </c>
      <c r="B15" s="1" t="n">
        <v>45742</v>
      </c>
      <c r="C15" s="1" t="n">
        <v>46191</v>
      </c>
      <c r="D15" t="inlineStr">
        <is>
          <t>KALMAR LÄN</t>
        </is>
      </c>
      <c r="E15" t="inlineStr">
        <is>
          <t>VIMMERBY</t>
        </is>
      </c>
      <c r="G15" t="n">
        <v>5.4</v>
      </c>
      <c r="H15" t="n">
        <v>2</v>
      </c>
      <c r="I15" t="n">
        <v>1</v>
      </c>
      <c r="J15" t="n">
        <v>0</v>
      </c>
      <c r="K15" t="n">
        <v>1</v>
      </c>
      <c r="L15" t="n">
        <v>0</v>
      </c>
      <c r="M15" t="n">
        <v>0</v>
      </c>
      <c r="N15" t="n">
        <v>0</v>
      </c>
      <c r="O15" t="n">
        <v>1</v>
      </c>
      <c r="P15" t="n">
        <v>1</v>
      </c>
      <c r="Q15" t="n">
        <v>3</v>
      </c>
      <c r="R15" s="2" t="inlineStr">
        <is>
          <t>Knärot
Blåmossa
Spillkråka</t>
        </is>
      </c>
      <c r="S15">
        <f>HYPERLINK("https://klasma.github.io/Logging_0884/artfynd/A 14584-2025 artfynd.xlsx", "A 14584-2025")</f>
        <v/>
      </c>
      <c r="T15">
        <f>HYPERLINK("https://klasma.github.io/Logging_0884/kartor/A 14584-2025 karta.png", "A 14584-2025")</f>
        <v/>
      </c>
      <c r="U15">
        <f>HYPERLINK("https://klasma.github.io/Logging_0884/knärot/A 14584-2025 karta knärot.png", "A 14584-2025")</f>
        <v/>
      </c>
      <c r="V15">
        <f>HYPERLINK("https://klasma.github.io/Logging_0884/klagomål/A 14584-2025 FSC-klagomål.docx", "A 14584-2025")</f>
        <v/>
      </c>
      <c r="W15">
        <f>HYPERLINK("https://klasma.github.io/Logging_0884/klagomålsmail/A 14584-2025 FSC-klagomål mail.docx", "A 14584-2025")</f>
        <v/>
      </c>
      <c r="X15">
        <f>HYPERLINK("https://klasma.github.io/Logging_0884/tillsyn/A 14584-2025 tillsynsbegäran.docx", "A 14584-2025")</f>
        <v/>
      </c>
      <c r="Y15">
        <f>HYPERLINK("https://klasma.github.io/Logging_0884/tillsynsmail/A 14584-2025 tillsynsbegäran mail.docx", "A 14584-2025")</f>
        <v/>
      </c>
      <c r="Z15">
        <f>HYPERLINK("https://klasma.github.io/Logging_0884/fåglar/A 14584-2025 prioriterade fågelarter.docx", "A 14584-2025")</f>
        <v/>
      </c>
    </row>
    <row r="16" ht="15" customHeight="1">
      <c r="A16" t="inlineStr">
        <is>
          <t>A 46824-2025</t>
        </is>
      </c>
      <c r="B16" s="1" t="n">
        <v>45926</v>
      </c>
      <c r="C16" s="1" t="n">
        <v>46191</v>
      </c>
      <c r="D16" t="inlineStr">
        <is>
          <t>KALMAR LÄN</t>
        </is>
      </c>
      <c r="E16" t="inlineStr">
        <is>
          <t>VIMMERBY</t>
        </is>
      </c>
      <c r="G16" t="n">
        <v>2.8</v>
      </c>
      <c r="H16" t="n">
        <v>1</v>
      </c>
      <c r="I16" t="n">
        <v>0</v>
      </c>
      <c r="J16" t="n">
        <v>2</v>
      </c>
      <c r="K16" t="n">
        <v>1</v>
      </c>
      <c r="L16" t="n">
        <v>0</v>
      </c>
      <c r="M16" t="n">
        <v>0</v>
      </c>
      <c r="N16" t="n">
        <v>0</v>
      </c>
      <c r="O16" t="n">
        <v>3</v>
      </c>
      <c r="P16" t="n">
        <v>1</v>
      </c>
      <c r="Q16" t="n">
        <v>3</v>
      </c>
      <c r="R16" s="2" t="inlineStr">
        <is>
          <t>Knärot
Dropptaggsvamp
Fjällig taggsvamp s.str.</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row>
    <row r="17" ht="15" customHeight="1">
      <c r="A17" t="inlineStr">
        <is>
          <t>A 15427-2023</t>
        </is>
      </c>
      <c r="B17" s="1" t="n">
        <v>45020</v>
      </c>
      <c r="C17" s="1" t="n">
        <v>46191</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23602-2023</t>
        </is>
      </c>
      <c r="B18" s="1" t="n">
        <v>45077</v>
      </c>
      <c r="C18" s="1" t="n">
        <v>46191</v>
      </c>
      <c r="D18" t="inlineStr">
        <is>
          <t>KALMAR LÄN</t>
        </is>
      </c>
      <c r="E18" t="inlineStr">
        <is>
          <t>VIMMERBY</t>
        </is>
      </c>
      <c r="G18" t="n">
        <v>1.6</v>
      </c>
      <c r="H18" t="n">
        <v>0</v>
      </c>
      <c r="I18" t="n">
        <v>2</v>
      </c>
      <c r="J18" t="n">
        <v>1</v>
      </c>
      <c r="K18" t="n">
        <v>0</v>
      </c>
      <c r="L18" t="n">
        <v>0</v>
      </c>
      <c r="M18" t="n">
        <v>0</v>
      </c>
      <c r="N18" t="n">
        <v>0</v>
      </c>
      <c r="O18" t="n">
        <v>1</v>
      </c>
      <c r="P18" t="n">
        <v>0</v>
      </c>
      <c r="Q18" t="n">
        <v>3</v>
      </c>
      <c r="R18" s="2" t="inlineStr">
        <is>
          <t>Vedtrappmossa
Terpentinmossa
Vanlig rörsvepemossa</t>
        </is>
      </c>
      <c r="S18">
        <f>HYPERLINK("https://klasma.github.io/Logging_0884/artfynd/A 23602-2023 artfynd.xlsx", "A 23602-2023")</f>
        <v/>
      </c>
      <c r="T18">
        <f>HYPERLINK("https://klasma.github.io/Logging_0884/kartor/A 23602-2023 karta.png", "A 23602-2023")</f>
        <v/>
      </c>
      <c r="V18">
        <f>HYPERLINK("https://klasma.github.io/Logging_0884/klagomål/A 23602-2023 FSC-klagomål.docx", "A 23602-2023")</f>
        <v/>
      </c>
      <c r="W18">
        <f>HYPERLINK("https://klasma.github.io/Logging_0884/klagomålsmail/A 23602-2023 FSC-klagomål mail.docx", "A 23602-2023")</f>
        <v/>
      </c>
      <c r="X18">
        <f>HYPERLINK("https://klasma.github.io/Logging_0884/tillsyn/A 23602-2023 tillsynsbegäran.docx", "A 23602-2023")</f>
        <v/>
      </c>
      <c r="Y18">
        <f>HYPERLINK("https://klasma.github.io/Logging_0884/tillsynsmail/A 23602-2023 tillsynsbegäran mail.docx", "A 23602-2023")</f>
        <v/>
      </c>
    </row>
    <row r="19" ht="15" customHeight="1">
      <c r="A19" t="inlineStr">
        <is>
          <t>A 41398-2021</t>
        </is>
      </c>
      <c r="B19" s="1" t="n">
        <v>44424</v>
      </c>
      <c r="C19" s="1" t="n">
        <v>46191</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46191</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46191</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14024-2023</t>
        </is>
      </c>
      <c r="B22" s="1" t="n">
        <v>45008</v>
      </c>
      <c r="C22" s="1" t="n">
        <v>46191</v>
      </c>
      <c r="D22" t="inlineStr">
        <is>
          <t>KALMAR LÄN</t>
        </is>
      </c>
      <c r="E22" t="inlineStr">
        <is>
          <t>VIMMERBY</t>
        </is>
      </c>
      <c r="G22" t="n">
        <v>3.2</v>
      </c>
      <c r="H22" t="n">
        <v>1</v>
      </c>
      <c r="I22" t="n">
        <v>1</v>
      </c>
      <c r="J22" t="n">
        <v>0</v>
      </c>
      <c r="K22" t="n">
        <v>1</v>
      </c>
      <c r="L22" t="n">
        <v>0</v>
      </c>
      <c r="M22" t="n">
        <v>0</v>
      </c>
      <c r="N22" t="n">
        <v>0</v>
      </c>
      <c r="O22" t="n">
        <v>1</v>
      </c>
      <c r="P22" t="n">
        <v>1</v>
      </c>
      <c r="Q22" t="n">
        <v>2</v>
      </c>
      <c r="R22" s="2" t="inlineStr">
        <is>
          <t>Ryl
Purpurknipprot</t>
        </is>
      </c>
      <c r="S22">
        <f>HYPERLINK("https://klasma.github.io/Logging_0884/artfynd/A 14024-2023 artfynd.xlsx", "A 14024-2023")</f>
        <v/>
      </c>
      <c r="T22">
        <f>HYPERLINK("https://klasma.github.io/Logging_0884/kartor/A 14024-2023 karta.png", "A 14024-2023")</f>
        <v/>
      </c>
      <c r="V22">
        <f>HYPERLINK("https://klasma.github.io/Logging_0884/klagomål/A 14024-2023 FSC-klagomål.docx", "A 14024-2023")</f>
        <v/>
      </c>
      <c r="W22">
        <f>HYPERLINK("https://klasma.github.io/Logging_0884/klagomålsmail/A 14024-2023 FSC-klagomål mail.docx", "A 14024-2023")</f>
        <v/>
      </c>
      <c r="X22">
        <f>HYPERLINK("https://klasma.github.io/Logging_0884/tillsyn/A 14024-2023 tillsynsbegäran.docx", "A 14024-2023")</f>
        <v/>
      </c>
      <c r="Y22">
        <f>HYPERLINK("https://klasma.github.io/Logging_0884/tillsynsmail/A 14024-2023 tillsynsbegäran mail.docx", "A 14024-2023")</f>
        <v/>
      </c>
    </row>
    <row r="23" ht="15" customHeight="1">
      <c r="A23" t="inlineStr">
        <is>
          <t>A 42802-2025</t>
        </is>
      </c>
      <c r="B23" s="1" t="n">
        <v>45908</v>
      </c>
      <c r="C23" s="1" t="n">
        <v>46191</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22825-2023</t>
        </is>
      </c>
      <c r="B24" s="1" t="n">
        <v>45072</v>
      </c>
      <c r="C24" s="1" t="n">
        <v>46191</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37930-2021</t>
        </is>
      </c>
      <c r="B25" s="1" t="n">
        <v>44403</v>
      </c>
      <c r="C25" s="1" t="n">
        <v>46191</v>
      </c>
      <c r="D25" t="inlineStr">
        <is>
          <t>KALMAR LÄN</t>
        </is>
      </c>
      <c r="E25" t="inlineStr">
        <is>
          <t>VIMMERBY</t>
        </is>
      </c>
      <c r="G25" t="n">
        <v>4.4</v>
      </c>
      <c r="H25" t="n">
        <v>1</v>
      </c>
      <c r="I25" t="n">
        <v>1</v>
      </c>
      <c r="J25" t="n">
        <v>1</v>
      </c>
      <c r="K25" t="n">
        <v>0</v>
      </c>
      <c r="L25" t="n">
        <v>0</v>
      </c>
      <c r="M25" t="n">
        <v>0</v>
      </c>
      <c r="N25" t="n">
        <v>0</v>
      </c>
      <c r="O25" t="n">
        <v>1</v>
      </c>
      <c r="P25" t="n">
        <v>0</v>
      </c>
      <c r="Q25" t="n">
        <v>2</v>
      </c>
      <c r="R25" s="2" t="inlineStr">
        <is>
          <t>Spindelört
Grön sköldmossa</t>
        </is>
      </c>
      <c r="S25">
        <f>HYPERLINK("https://klasma.github.io/Logging_0884/artfynd/A 37930-2021 artfynd.xlsx", "A 37930-2021")</f>
        <v/>
      </c>
      <c r="T25">
        <f>HYPERLINK("https://klasma.github.io/Logging_0884/kartor/A 37930-2021 karta.png", "A 37930-2021")</f>
        <v/>
      </c>
      <c r="V25">
        <f>HYPERLINK("https://klasma.github.io/Logging_0884/klagomål/A 37930-2021 FSC-klagomål.docx", "A 37930-2021")</f>
        <v/>
      </c>
      <c r="W25">
        <f>HYPERLINK("https://klasma.github.io/Logging_0884/klagomålsmail/A 37930-2021 FSC-klagomål mail.docx", "A 37930-2021")</f>
        <v/>
      </c>
      <c r="X25">
        <f>HYPERLINK("https://klasma.github.io/Logging_0884/tillsyn/A 37930-2021 tillsynsbegäran.docx", "A 37930-2021")</f>
        <v/>
      </c>
      <c r="Y25">
        <f>HYPERLINK("https://klasma.github.io/Logging_0884/tillsynsmail/A 37930-2021 tillsynsbegäran mail.docx", "A 37930-2021")</f>
        <v/>
      </c>
    </row>
    <row r="26" ht="15" customHeight="1">
      <c r="A26" t="inlineStr">
        <is>
          <t>A 25155-2026</t>
        </is>
      </c>
      <c r="B26" s="1" t="n">
        <v>46175</v>
      </c>
      <c r="C26" s="1" t="n">
        <v>46191</v>
      </c>
      <c r="D26" t="inlineStr">
        <is>
          <t>KALMAR LÄN</t>
        </is>
      </c>
      <c r="E26" t="inlineStr">
        <is>
          <t>VIMMERBY</t>
        </is>
      </c>
      <c r="G26" t="n">
        <v>2.9</v>
      </c>
      <c r="H26" t="n">
        <v>0</v>
      </c>
      <c r="I26" t="n">
        <v>1</v>
      </c>
      <c r="J26" t="n">
        <v>0</v>
      </c>
      <c r="K26" t="n">
        <v>1</v>
      </c>
      <c r="L26" t="n">
        <v>0</v>
      </c>
      <c r="M26" t="n">
        <v>0</v>
      </c>
      <c r="N26" t="n">
        <v>0</v>
      </c>
      <c r="O26" t="n">
        <v>1</v>
      </c>
      <c r="P26" t="n">
        <v>1</v>
      </c>
      <c r="Q26" t="n">
        <v>2</v>
      </c>
      <c r="R26" s="2" t="inlineStr">
        <is>
          <t>Ryl
Grönpyrola</t>
        </is>
      </c>
      <c r="S26">
        <f>HYPERLINK("https://klasma.github.io/Logging_0884/artfynd/A 25155-2026 artfynd.xlsx", "A 25155-2026")</f>
        <v/>
      </c>
      <c r="T26">
        <f>HYPERLINK("https://klasma.github.io/Logging_0884/kartor/A 25155-2026 karta.png", "A 25155-2026")</f>
        <v/>
      </c>
      <c r="V26">
        <f>HYPERLINK("https://klasma.github.io/Logging_0884/klagomål/A 25155-2026 FSC-klagomål.docx", "A 25155-2026")</f>
        <v/>
      </c>
      <c r="W26">
        <f>HYPERLINK("https://klasma.github.io/Logging_0884/klagomålsmail/A 25155-2026 FSC-klagomål mail.docx", "A 25155-2026")</f>
        <v/>
      </c>
      <c r="X26">
        <f>HYPERLINK("https://klasma.github.io/Logging_0884/tillsyn/A 25155-2026 tillsynsbegäran.docx", "A 25155-2026")</f>
        <v/>
      </c>
      <c r="Y26">
        <f>HYPERLINK("https://klasma.github.io/Logging_0884/tillsynsmail/A 25155-2026 tillsynsbegäran mail.docx", "A 25155-2026")</f>
        <v/>
      </c>
    </row>
    <row r="27" ht="15" customHeight="1">
      <c r="A27" t="inlineStr">
        <is>
          <t>A 2604-2025</t>
        </is>
      </c>
      <c r="B27" s="1" t="n">
        <v>45674</v>
      </c>
      <c r="C27" s="1" t="n">
        <v>46191</v>
      </c>
      <c r="D27" t="inlineStr">
        <is>
          <t>KALMAR LÄN</t>
        </is>
      </c>
      <c r="E27" t="inlineStr">
        <is>
          <t>VIMMERBY</t>
        </is>
      </c>
      <c r="G27" t="n">
        <v>7.6</v>
      </c>
      <c r="H27" t="n">
        <v>0</v>
      </c>
      <c r="I27" t="n">
        <v>0</v>
      </c>
      <c r="J27" t="n">
        <v>2</v>
      </c>
      <c r="K27" t="n">
        <v>0</v>
      </c>
      <c r="L27" t="n">
        <v>0</v>
      </c>
      <c r="M27" t="n">
        <v>0</v>
      </c>
      <c r="N27" t="n">
        <v>0</v>
      </c>
      <c r="O27" t="n">
        <v>2</v>
      </c>
      <c r="P27" t="n">
        <v>0</v>
      </c>
      <c r="Q27" t="n">
        <v>2</v>
      </c>
      <c r="R27" s="2" t="inlineStr">
        <is>
          <t>Långfibbla
Spretfibbla</t>
        </is>
      </c>
      <c r="S27">
        <f>HYPERLINK("https://klasma.github.io/Logging_0884/artfynd/A 2604-2025 artfynd.xlsx", "A 2604-2025")</f>
        <v/>
      </c>
      <c r="T27">
        <f>HYPERLINK("https://klasma.github.io/Logging_0884/kartor/A 2604-2025 karta.png", "A 2604-2025")</f>
        <v/>
      </c>
      <c r="V27">
        <f>HYPERLINK("https://klasma.github.io/Logging_0884/klagomål/A 2604-2025 FSC-klagomål.docx", "A 2604-2025")</f>
        <v/>
      </c>
      <c r="W27">
        <f>HYPERLINK("https://klasma.github.io/Logging_0884/klagomålsmail/A 2604-2025 FSC-klagomål mail.docx", "A 2604-2025")</f>
        <v/>
      </c>
      <c r="X27">
        <f>HYPERLINK("https://klasma.github.io/Logging_0884/tillsyn/A 2604-2025 tillsynsbegäran.docx", "A 2604-2025")</f>
        <v/>
      </c>
      <c r="Y27">
        <f>HYPERLINK("https://klasma.github.io/Logging_0884/tillsynsmail/A 2604-2025 tillsynsbegäran mail.docx", "A 2604-2025")</f>
        <v/>
      </c>
    </row>
    <row r="28" ht="15" customHeight="1">
      <c r="A28" t="inlineStr">
        <is>
          <t>A 22396-2025</t>
        </is>
      </c>
      <c r="B28" s="1" t="n">
        <v>45786</v>
      </c>
      <c r="C28" s="1" t="n">
        <v>46191</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2518-2023</t>
        </is>
      </c>
      <c r="B29" s="1" t="n">
        <v>44943</v>
      </c>
      <c r="C29" s="1" t="n">
        <v>46191</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v>
      </c>
      <c r="C30" s="1" t="n">
        <v>46191</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40083-2023</t>
        </is>
      </c>
      <c r="B31" s="1" t="n">
        <v>45168</v>
      </c>
      <c r="C31" s="1" t="n">
        <v>46191</v>
      </c>
      <c r="D31" t="inlineStr">
        <is>
          <t>KALMAR LÄN</t>
        </is>
      </c>
      <c r="E31" t="inlineStr">
        <is>
          <t>VIMMERBY</t>
        </is>
      </c>
      <c r="G31" t="n">
        <v>2.2</v>
      </c>
      <c r="H31" t="n">
        <v>2</v>
      </c>
      <c r="I31" t="n">
        <v>0</v>
      </c>
      <c r="J31" t="n">
        <v>1</v>
      </c>
      <c r="K31" t="n">
        <v>0</v>
      </c>
      <c r="L31" t="n">
        <v>0</v>
      </c>
      <c r="M31" t="n">
        <v>0</v>
      </c>
      <c r="N31" t="n">
        <v>0</v>
      </c>
      <c r="O31" t="n">
        <v>1</v>
      </c>
      <c r="P31" t="n">
        <v>0</v>
      </c>
      <c r="Q31" t="n">
        <v>2</v>
      </c>
      <c r="R31" s="2" t="inlineStr">
        <is>
          <t>Grönsångare
Revlummer</t>
        </is>
      </c>
      <c r="S31">
        <f>HYPERLINK("https://klasma.github.io/Logging_0884/artfynd/A 40083-2023 artfynd.xlsx", "A 40083-2023")</f>
        <v/>
      </c>
      <c r="T31">
        <f>HYPERLINK("https://klasma.github.io/Logging_0884/kartor/A 40083-2023 karta.png", "A 40083-2023")</f>
        <v/>
      </c>
      <c r="V31">
        <f>HYPERLINK("https://klasma.github.io/Logging_0884/klagomål/A 40083-2023 FSC-klagomål.docx", "A 40083-2023")</f>
        <v/>
      </c>
      <c r="W31">
        <f>HYPERLINK("https://klasma.github.io/Logging_0884/klagomålsmail/A 40083-2023 FSC-klagomål mail.docx", "A 40083-2023")</f>
        <v/>
      </c>
      <c r="X31">
        <f>HYPERLINK("https://klasma.github.io/Logging_0884/tillsyn/A 40083-2023 tillsynsbegäran.docx", "A 40083-2023")</f>
        <v/>
      </c>
      <c r="Y31">
        <f>HYPERLINK("https://klasma.github.io/Logging_0884/tillsynsmail/A 40083-2023 tillsynsbegäran mail.docx", "A 40083-2023")</f>
        <v/>
      </c>
      <c r="Z31">
        <f>HYPERLINK("https://klasma.github.io/Logging_0884/fåglar/A 40083-2023 prioriterade fågelarter.docx", "A 40083-2023")</f>
        <v/>
      </c>
    </row>
    <row r="32" ht="15" customHeight="1">
      <c r="A32" t="inlineStr">
        <is>
          <t>A 40084-2023</t>
        </is>
      </c>
      <c r="B32" s="1" t="n">
        <v>45168</v>
      </c>
      <c r="C32" s="1" t="n">
        <v>46191</v>
      </c>
      <c r="D32" t="inlineStr">
        <is>
          <t>KALMAR LÄN</t>
        </is>
      </c>
      <c r="E32" t="inlineStr">
        <is>
          <t>VIMMERBY</t>
        </is>
      </c>
      <c r="G32" t="n">
        <v>1.3</v>
      </c>
      <c r="H32" t="n">
        <v>2</v>
      </c>
      <c r="I32" t="n">
        <v>0</v>
      </c>
      <c r="J32" t="n">
        <v>2</v>
      </c>
      <c r="K32" t="n">
        <v>0</v>
      </c>
      <c r="L32" t="n">
        <v>0</v>
      </c>
      <c r="M32" t="n">
        <v>0</v>
      </c>
      <c r="N32" t="n">
        <v>0</v>
      </c>
      <c r="O32" t="n">
        <v>2</v>
      </c>
      <c r="P32" t="n">
        <v>0</v>
      </c>
      <c r="Q32" t="n">
        <v>2</v>
      </c>
      <c r="R32" s="2" t="inlineStr">
        <is>
          <t>Entita
Rödvingetrast</t>
        </is>
      </c>
      <c r="S32">
        <f>HYPERLINK("https://klasma.github.io/Logging_0884/artfynd/A 40084-2023 artfynd.xlsx", "A 40084-2023")</f>
        <v/>
      </c>
      <c r="T32">
        <f>HYPERLINK("https://klasma.github.io/Logging_0884/kartor/A 40084-2023 karta.png", "A 40084-2023")</f>
        <v/>
      </c>
      <c r="V32">
        <f>HYPERLINK("https://klasma.github.io/Logging_0884/klagomål/A 40084-2023 FSC-klagomål.docx", "A 40084-2023")</f>
        <v/>
      </c>
      <c r="W32">
        <f>HYPERLINK("https://klasma.github.io/Logging_0884/klagomålsmail/A 40084-2023 FSC-klagomål mail.docx", "A 40084-2023")</f>
        <v/>
      </c>
      <c r="X32">
        <f>HYPERLINK("https://klasma.github.io/Logging_0884/tillsyn/A 40084-2023 tillsynsbegäran.docx", "A 40084-2023")</f>
        <v/>
      </c>
      <c r="Y32">
        <f>HYPERLINK("https://klasma.github.io/Logging_0884/tillsynsmail/A 40084-2023 tillsynsbegäran mail.docx", "A 40084-2023")</f>
        <v/>
      </c>
      <c r="Z32">
        <f>HYPERLINK("https://klasma.github.io/Logging_0884/fåglar/A 40084-2023 prioriterade fågelarter.docx", "A 40084-2023")</f>
        <v/>
      </c>
    </row>
    <row r="33" ht="15" customHeight="1">
      <c r="A33" t="inlineStr">
        <is>
          <t>A 19158-2023</t>
        </is>
      </c>
      <c r="B33" s="1" t="n">
        <v>45048</v>
      </c>
      <c r="C33" s="1" t="n">
        <v>46191</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16288-2022</t>
        </is>
      </c>
      <c r="B34" s="1" t="n">
        <v>44670</v>
      </c>
      <c r="C34" s="1" t="n">
        <v>46191</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32396-2021</t>
        </is>
      </c>
      <c r="B35" s="1" t="n">
        <v>44371</v>
      </c>
      <c r="C35" s="1" t="n">
        <v>46191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47473-2021</t>
        </is>
      </c>
      <c r="B36" s="1" t="n">
        <v>44447</v>
      </c>
      <c r="C36" s="1" t="n">
        <v>46191</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15122-2024</t>
        </is>
      </c>
      <c r="B37" s="1" t="n">
        <v>45399</v>
      </c>
      <c r="C37" s="1" t="n">
        <v>46191</v>
      </c>
      <c r="D37" t="inlineStr">
        <is>
          <t>KALMAR LÄN</t>
        </is>
      </c>
      <c r="E37" t="inlineStr">
        <is>
          <t>VIMMERBY</t>
        </is>
      </c>
      <c r="G37" t="n">
        <v>1.7</v>
      </c>
      <c r="H37" t="n">
        <v>0</v>
      </c>
      <c r="I37" t="n">
        <v>0</v>
      </c>
      <c r="J37" t="n">
        <v>0</v>
      </c>
      <c r="K37" t="n">
        <v>1</v>
      </c>
      <c r="L37" t="n">
        <v>0</v>
      </c>
      <c r="M37" t="n">
        <v>0</v>
      </c>
      <c r="N37" t="n">
        <v>0</v>
      </c>
      <c r="O37" t="n">
        <v>1</v>
      </c>
      <c r="P37" t="n">
        <v>1</v>
      </c>
      <c r="Q37" t="n">
        <v>1</v>
      </c>
      <c r="R37" s="2" t="inlineStr">
        <is>
          <t>Sågfibbla</t>
        </is>
      </c>
      <c r="S37">
        <f>HYPERLINK("https://klasma.github.io/Logging_0884/artfynd/A 15122-2024 artfynd.xlsx", "A 15122-2024")</f>
        <v/>
      </c>
      <c r="T37">
        <f>HYPERLINK("https://klasma.github.io/Logging_0884/kartor/A 15122-2024 karta.png", "A 15122-2024")</f>
        <v/>
      </c>
      <c r="V37">
        <f>HYPERLINK("https://klasma.github.io/Logging_0884/klagomål/A 15122-2024 FSC-klagomål.docx", "A 15122-2024")</f>
        <v/>
      </c>
      <c r="W37">
        <f>HYPERLINK("https://klasma.github.io/Logging_0884/klagomålsmail/A 15122-2024 FSC-klagomål mail.docx", "A 15122-2024")</f>
        <v/>
      </c>
      <c r="X37">
        <f>HYPERLINK("https://klasma.github.io/Logging_0884/tillsyn/A 15122-2024 tillsynsbegäran.docx", "A 15122-2024")</f>
        <v/>
      </c>
      <c r="Y37">
        <f>HYPERLINK("https://klasma.github.io/Logging_0884/tillsynsmail/A 15122-2024 tillsynsbegäran mail.docx", "A 15122-2024")</f>
        <v/>
      </c>
    </row>
    <row r="38" ht="15" customHeight="1">
      <c r="A38" t="inlineStr">
        <is>
          <t>A 32985-2023</t>
        </is>
      </c>
      <c r="B38" s="1" t="n">
        <v>45125</v>
      </c>
      <c r="C38" s="1" t="n">
        <v>46191</v>
      </c>
      <c r="D38" t="inlineStr">
        <is>
          <t>KALMAR LÄN</t>
        </is>
      </c>
      <c r="E38" t="inlineStr">
        <is>
          <t>VIMMERBY</t>
        </is>
      </c>
      <c r="G38" t="n">
        <v>1.9</v>
      </c>
      <c r="H38" t="n">
        <v>0</v>
      </c>
      <c r="I38" t="n">
        <v>0</v>
      </c>
      <c r="J38" t="n">
        <v>0</v>
      </c>
      <c r="K38" t="n">
        <v>1</v>
      </c>
      <c r="L38" t="n">
        <v>0</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28852-2023</t>
        </is>
      </c>
      <c r="B39" s="1" t="n">
        <v>45104</v>
      </c>
      <c r="C39" s="1" t="n">
        <v>46191</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44515-2024</t>
        </is>
      </c>
      <c r="B40" s="1" t="n">
        <v>45574</v>
      </c>
      <c r="C40" s="1" t="n">
        <v>46191</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5527-2022</t>
        </is>
      </c>
      <c r="B41" s="1" t="n">
        <v>44595</v>
      </c>
      <c r="C41" s="1" t="n">
        <v>46191</v>
      </c>
      <c r="D41" t="inlineStr">
        <is>
          <t>KALMAR LÄN</t>
        </is>
      </c>
      <c r="E41" t="inlineStr">
        <is>
          <t>VIMMERBY</t>
        </is>
      </c>
      <c r="G41" t="n">
        <v>3.6</v>
      </c>
      <c r="H41" t="n">
        <v>0</v>
      </c>
      <c r="I41" t="n">
        <v>0</v>
      </c>
      <c r="J41" t="n">
        <v>1</v>
      </c>
      <c r="K41" t="n">
        <v>0</v>
      </c>
      <c r="L41" t="n">
        <v>0</v>
      </c>
      <c r="M41" t="n">
        <v>0</v>
      </c>
      <c r="N41" t="n">
        <v>0</v>
      </c>
      <c r="O41" t="n">
        <v>1</v>
      </c>
      <c r="P41" t="n">
        <v>0</v>
      </c>
      <c r="Q41" t="n">
        <v>1</v>
      </c>
      <c r="R41" s="2" t="inlineStr">
        <is>
          <t>Koralltaggsvamp</t>
        </is>
      </c>
      <c r="S41">
        <f>HYPERLINK("https://klasma.github.io/Logging_0884/artfynd/A 5527-2022 artfynd.xlsx", "A 5527-2022")</f>
        <v/>
      </c>
      <c r="T41">
        <f>HYPERLINK("https://klasma.github.io/Logging_0884/kartor/A 5527-2022 karta.png", "A 5527-2022")</f>
        <v/>
      </c>
      <c r="V41">
        <f>HYPERLINK("https://klasma.github.io/Logging_0884/klagomål/A 5527-2022 FSC-klagomål.docx", "A 5527-2022")</f>
        <v/>
      </c>
      <c r="W41">
        <f>HYPERLINK("https://klasma.github.io/Logging_0884/klagomålsmail/A 5527-2022 FSC-klagomål mail.docx", "A 5527-2022")</f>
        <v/>
      </c>
      <c r="X41">
        <f>HYPERLINK("https://klasma.github.io/Logging_0884/tillsyn/A 5527-2022 tillsynsbegäran.docx", "A 5527-2022")</f>
        <v/>
      </c>
      <c r="Y41">
        <f>HYPERLINK("https://klasma.github.io/Logging_0884/tillsynsmail/A 5527-2022 tillsynsbegäran mail.docx", "A 5527-2022")</f>
        <v/>
      </c>
    </row>
    <row r="42" ht="15" customHeight="1">
      <c r="A42" t="inlineStr">
        <is>
          <t>A 53404-2025</t>
        </is>
      </c>
      <c r="B42" s="1" t="n">
        <v>45959</v>
      </c>
      <c r="C42" s="1" t="n">
        <v>46191</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61860-2024</t>
        </is>
      </c>
      <c r="B43" s="1" t="n">
        <v>45649</v>
      </c>
      <c r="C43" s="1" t="n">
        <v>46191</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57062-2025</t>
        </is>
      </c>
      <c r="B44" s="1" t="n">
        <v>45979</v>
      </c>
      <c r="C44" s="1" t="n">
        <v>46191</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6358-2022</t>
        </is>
      </c>
      <c r="B45" s="1" t="n">
        <v>44600</v>
      </c>
      <c r="C45" s="1" t="n">
        <v>46191</v>
      </c>
      <c r="D45" t="inlineStr">
        <is>
          <t>KALMAR LÄN</t>
        </is>
      </c>
      <c r="E45" t="inlineStr">
        <is>
          <t>VIMMERBY</t>
        </is>
      </c>
      <c r="G45" t="n">
        <v>1.7</v>
      </c>
      <c r="H45" t="n">
        <v>1</v>
      </c>
      <c r="I45" t="n">
        <v>1</v>
      </c>
      <c r="J45" t="n">
        <v>0</v>
      </c>
      <c r="K45" t="n">
        <v>0</v>
      </c>
      <c r="L45" t="n">
        <v>0</v>
      </c>
      <c r="M45" t="n">
        <v>0</v>
      </c>
      <c r="N45" t="n">
        <v>0</v>
      </c>
      <c r="O45" t="n">
        <v>0</v>
      </c>
      <c r="P45" t="n">
        <v>0</v>
      </c>
      <c r="Q45" t="n">
        <v>1</v>
      </c>
      <c r="R45" s="2" t="inlineStr">
        <is>
          <t>Ekoxe</t>
        </is>
      </c>
      <c r="S45">
        <f>HYPERLINK("https://klasma.github.io/Logging_0884/artfynd/A 6358-2022 artfynd.xlsx", "A 6358-2022")</f>
        <v/>
      </c>
      <c r="T45">
        <f>HYPERLINK("https://klasma.github.io/Logging_0884/kartor/A 6358-2022 karta.png", "A 6358-2022")</f>
        <v/>
      </c>
      <c r="V45">
        <f>HYPERLINK("https://klasma.github.io/Logging_0884/klagomål/A 6358-2022 FSC-klagomål.docx", "A 6358-2022")</f>
        <v/>
      </c>
      <c r="W45">
        <f>HYPERLINK("https://klasma.github.io/Logging_0884/klagomålsmail/A 6358-2022 FSC-klagomål mail.docx", "A 6358-2022")</f>
        <v/>
      </c>
      <c r="X45">
        <f>HYPERLINK("https://klasma.github.io/Logging_0884/tillsyn/A 6358-2022 tillsynsbegäran.docx", "A 6358-2022")</f>
        <v/>
      </c>
      <c r="Y45">
        <f>HYPERLINK("https://klasma.github.io/Logging_0884/tillsynsmail/A 6358-2022 tillsynsbegäran mail.docx", "A 6358-2022")</f>
        <v/>
      </c>
    </row>
    <row r="46" ht="15" customHeight="1">
      <c r="A46" t="inlineStr">
        <is>
          <t>A 1201-2025</t>
        </is>
      </c>
      <c r="B46" s="1" t="n">
        <v>45667</v>
      </c>
      <c r="C46" s="1" t="n">
        <v>46191</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52301-2023</t>
        </is>
      </c>
      <c r="B47" s="1" t="n">
        <v>45224</v>
      </c>
      <c r="C47" s="1" t="n">
        <v>46191</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22266-2023</t>
        </is>
      </c>
      <c r="B48" s="1" t="n">
        <v>45070</v>
      </c>
      <c r="C48" s="1" t="n">
        <v>46191</v>
      </c>
      <c r="D48" t="inlineStr">
        <is>
          <t>KALMAR LÄN</t>
        </is>
      </c>
      <c r="E48" t="inlineStr">
        <is>
          <t>VIMMERBY</t>
        </is>
      </c>
      <c r="G48" t="n">
        <v>0.5</v>
      </c>
      <c r="H48" t="n">
        <v>0</v>
      </c>
      <c r="I48" t="n">
        <v>1</v>
      </c>
      <c r="J48" t="n">
        <v>0</v>
      </c>
      <c r="K48" t="n">
        <v>0</v>
      </c>
      <c r="L48" t="n">
        <v>0</v>
      </c>
      <c r="M48" t="n">
        <v>0</v>
      </c>
      <c r="N48" t="n">
        <v>0</v>
      </c>
      <c r="O48" t="n">
        <v>0</v>
      </c>
      <c r="P48" t="n">
        <v>0</v>
      </c>
      <c r="Q48" t="n">
        <v>1</v>
      </c>
      <c r="R48" s="2" t="inlineStr">
        <is>
          <t>Vätteros</t>
        </is>
      </c>
      <c r="S48">
        <f>HYPERLINK("https://klasma.github.io/Logging_0884/artfynd/A 22266-2023 artfynd.xlsx", "A 22266-2023")</f>
        <v/>
      </c>
      <c r="T48">
        <f>HYPERLINK("https://klasma.github.io/Logging_0884/kartor/A 22266-2023 karta.png", "A 22266-2023")</f>
        <v/>
      </c>
      <c r="V48">
        <f>HYPERLINK("https://klasma.github.io/Logging_0884/klagomål/A 22266-2023 FSC-klagomål.docx", "A 22266-2023")</f>
        <v/>
      </c>
      <c r="W48">
        <f>HYPERLINK("https://klasma.github.io/Logging_0884/klagomålsmail/A 22266-2023 FSC-klagomål mail.docx", "A 22266-2023")</f>
        <v/>
      </c>
      <c r="X48">
        <f>HYPERLINK("https://klasma.github.io/Logging_0884/tillsyn/A 22266-2023 tillsynsbegäran.docx", "A 22266-2023")</f>
        <v/>
      </c>
      <c r="Y48">
        <f>HYPERLINK("https://klasma.github.io/Logging_0884/tillsynsmail/A 22266-2023 tillsynsbegäran mail.docx", "A 22266-2023")</f>
        <v/>
      </c>
    </row>
    <row r="49" ht="15" customHeight="1">
      <c r="A49" t="inlineStr">
        <is>
          <t>A 13015-2023</t>
        </is>
      </c>
      <c r="B49" s="1" t="n">
        <v>45002</v>
      </c>
      <c r="C49" s="1" t="n">
        <v>46191</v>
      </c>
      <c r="D49" t="inlineStr">
        <is>
          <t>KALMAR LÄN</t>
        </is>
      </c>
      <c r="E49" t="inlineStr">
        <is>
          <t>VIMMERBY</t>
        </is>
      </c>
      <c r="G49" t="n">
        <v>3.2</v>
      </c>
      <c r="H49" t="n">
        <v>0</v>
      </c>
      <c r="I49" t="n">
        <v>0</v>
      </c>
      <c r="J49" t="n">
        <v>0</v>
      </c>
      <c r="K49" t="n">
        <v>1</v>
      </c>
      <c r="L49" t="n">
        <v>0</v>
      </c>
      <c r="M49" t="n">
        <v>0</v>
      </c>
      <c r="N49" t="n">
        <v>0</v>
      </c>
      <c r="O49" t="n">
        <v>1</v>
      </c>
      <c r="P49" t="n">
        <v>1</v>
      </c>
      <c r="Q49" t="n">
        <v>1</v>
      </c>
      <c r="R49" s="2" t="inlineStr">
        <is>
          <t>Bredbrämad bastardsvärmare</t>
        </is>
      </c>
      <c r="S49">
        <f>HYPERLINK("https://klasma.github.io/Logging_0884/artfynd/A 13015-2023 artfynd.xlsx", "A 13015-2023")</f>
        <v/>
      </c>
      <c r="T49">
        <f>HYPERLINK("https://klasma.github.io/Logging_0884/kartor/A 13015-2023 karta.png", "A 13015-2023")</f>
        <v/>
      </c>
      <c r="V49">
        <f>HYPERLINK("https://klasma.github.io/Logging_0884/klagomål/A 13015-2023 FSC-klagomål.docx", "A 13015-2023")</f>
        <v/>
      </c>
      <c r="W49">
        <f>HYPERLINK("https://klasma.github.io/Logging_0884/klagomålsmail/A 13015-2023 FSC-klagomål mail.docx", "A 13015-2023")</f>
        <v/>
      </c>
      <c r="X49">
        <f>HYPERLINK("https://klasma.github.io/Logging_0884/tillsyn/A 13015-2023 tillsynsbegäran.docx", "A 13015-2023")</f>
        <v/>
      </c>
      <c r="Y49">
        <f>HYPERLINK("https://klasma.github.io/Logging_0884/tillsynsmail/A 13015-2023 tillsynsbegäran mail.docx", "A 13015-2023")</f>
        <v/>
      </c>
    </row>
    <row r="50" ht="15" customHeight="1">
      <c r="A50" t="inlineStr">
        <is>
          <t>A 33436-2021</t>
        </is>
      </c>
      <c r="B50" s="1" t="n">
        <v>44377</v>
      </c>
      <c r="C50" s="1" t="n">
        <v>46191</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29183-2025</t>
        </is>
      </c>
      <c r="B51" s="1" t="n">
        <v>45821</v>
      </c>
      <c r="C51" s="1" t="n">
        <v>46191</v>
      </c>
      <c r="D51" t="inlineStr">
        <is>
          <t>KALMAR LÄN</t>
        </is>
      </c>
      <c r="E51" t="inlineStr">
        <is>
          <t>VIMMERBY</t>
        </is>
      </c>
      <c r="G51" t="n">
        <v>2.7</v>
      </c>
      <c r="H51" t="n">
        <v>0</v>
      </c>
      <c r="I51" t="n">
        <v>0</v>
      </c>
      <c r="J51" t="n">
        <v>1</v>
      </c>
      <c r="K51" t="n">
        <v>0</v>
      </c>
      <c r="L51" t="n">
        <v>0</v>
      </c>
      <c r="M51" t="n">
        <v>0</v>
      </c>
      <c r="N51" t="n">
        <v>0</v>
      </c>
      <c r="O51" t="n">
        <v>1</v>
      </c>
      <c r="P51" t="n">
        <v>0</v>
      </c>
      <c r="Q51" t="n">
        <v>1</v>
      </c>
      <c r="R51" s="2" t="inlineStr">
        <is>
          <t>Sårläka</t>
        </is>
      </c>
      <c r="S51">
        <f>HYPERLINK("https://klasma.github.io/Logging_0884/artfynd/A 29183-2025 artfynd.xlsx", "A 29183-2025")</f>
        <v/>
      </c>
      <c r="T51">
        <f>HYPERLINK("https://klasma.github.io/Logging_0884/kartor/A 29183-2025 karta.png", "A 29183-2025")</f>
        <v/>
      </c>
      <c r="V51">
        <f>HYPERLINK("https://klasma.github.io/Logging_0884/klagomål/A 29183-2025 FSC-klagomål.docx", "A 29183-2025")</f>
        <v/>
      </c>
      <c r="W51">
        <f>HYPERLINK("https://klasma.github.io/Logging_0884/klagomålsmail/A 29183-2025 FSC-klagomål mail.docx", "A 29183-2025")</f>
        <v/>
      </c>
      <c r="X51">
        <f>HYPERLINK("https://klasma.github.io/Logging_0884/tillsyn/A 29183-2025 tillsynsbegäran.docx", "A 29183-2025")</f>
        <v/>
      </c>
      <c r="Y51">
        <f>HYPERLINK("https://klasma.github.io/Logging_0884/tillsynsmail/A 29183-2025 tillsynsbegäran mail.docx", "A 29183-2025")</f>
        <v/>
      </c>
    </row>
    <row r="52" ht="15" customHeight="1">
      <c r="A52" t="inlineStr">
        <is>
          <t>A 17511-2024</t>
        </is>
      </c>
      <c r="B52" s="1" t="n">
        <v>45415</v>
      </c>
      <c r="C52" s="1" t="n">
        <v>46191</v>
      </c>
      <c r="D52" t="inlineStr">
        <is>
          <t>KALMAR LÄN</t>
        </is>
      </c>
      <c r="E52" t="inlineStr">
        <is>
          <t>VIMMERBY</t>
        </is>
      </c>
      <c r="G52" t="n">
        <v>5.3</v>
      </c>
      <c r="H52" t="n">
        <v>0</v>
      </c>
      <c r="I52" t="n">
        <v>0</v>
      </c>
      <c r="J52" t="n">
        <v>1</v>
      </c>
      <c r="K52" t="n">
        <v>0</v>
      </c>
      <c r="L52" t="n">
        <v>0</v>
      </c>
      <c r="M52" t="n">
        <v>0</v>
      </c>
      <c r="N52" t="n">
        <v>0</v>
      </c>
      <c r="O52" t="n">
        <v>1</v>
      </c>
      <c r="P52" t="n">
        <v>0</v>
      </c>
      <c r="Q52" t="n">
        <v>1</v>
      </c>
      <c r="R52" s="2" t="inlineStr">
        <is>
          <t>Sydspärgel</t>
        </is>
      </c>
      <c r="S52">
        <f>HYPERLINK("https://klasma.github.io/Logging_0884/artfynd/A 17511-2024 artfynd.xlsx", "A 17511-2024")</f>
        <v/>
      </c>
      <c r="T52">
        <f>HYPERLINK("https://klasma.github.io/Logging_0884/kartor/A 17511-2024 karta.png", "A 17511-2024")</f>
        <v/>
      </c>
      <c r="V52">
        <f>HYPERLINK("https://klasma.github.io/Logging_0884/klagomål/A 17511-2024 FSC-klagomål.docx", "A 17511-2024")</f>
        <v/>
      </c>
      <c r="W52">
        <f>HYPERLINK("https://klasma.github.io/Logging_0884/klagomålsmail/A 17511-2024 FSC-klagomål mail.docx", "A 17511-2024")</f>
        <v/>
      </c>
      <c r="X52">
        <f>HYPERLINK("https://klasma.github.io/Logging_0884/tillsyn/A 17511-2024 tillsynsbegäran.docx", "A 17511-2024")</f>
        <v/>
      </c>
      <c r="Y52">
        <f>HYPERLINK("https://klasma.github.io/Logging_0884/tillsynsmail/A 17511-2024 tillsynsbegäran mail.docx", "A 17511-2024")</f>
        <v/>
      </c>
    </row>
    <row r="53" ht="15" customHeight="1">
      <c r="A53" t="inlineStr">
        <is>
          <t>A 59070-2021</t>
        </is>
      </c>
      <c r="B53" s="1" t="n">
        <v>44490</v>
      </c>
      <c r="C53" s="1" t="n">
        <v>46191</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46191</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v>
      </c>
      <c r="C55" s="1" t="n">
        <v>46191</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v>
      </c>
      <c r="C56" s="1" t="n">
        <v>46191</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46191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46191</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63926-2021</t>
        </is>
      </c>
      <c r="B59" s="1" t="n">
        <v>44509</v>
      </c>
      <c r="C59" s="1" t="n">
        <v>46191</v>
      </c>
      <c r="D59" t="inlineStr">
        <is>
          <t>KALMAR LÄN</t>
        </is>
      </c>
      <c r="E59" t="inlineStr">
        <is>
          <t>VIMMERBY</t>
        </is>
      </c>
      <c r="G59" t="n">
        <v>0.7</v>
      </c>
      <c r="H59" t="n">
        <v>0</v>
      </c>
      <c r="I59" t="n">
        <v>0</v>
      </c>
      <c r="J59" t="n">
        <v>0</v>
      </c>
      <c r="K59" t="n">
        <v>0</v>
      </c>
      <c r="L59" t="n">
        <v>0</v>
      </c>
      <c r="M59" t="n">
        <v>0</v>
      </c>
      <c r="N59" t="n">
        <v>0</v>
      </c>
      <c r="O59" t="n">
        <v>0</v>
      </c>
      <c r="P59" t="n">
        <v>0</v>
      </c>
      <c r="Q59" t="n">
        <v>0</v>
      </c>
      <c r="R59" s="2" t="inlineStr"/>
    </row>
    <row r="60" ht="15" customHeight="1">
      <c r="A60" t="inlineStr">
        <is>
          <t>A 38348-2021</t>
        </is>
      </c>
      <c r="B60" s="1" t="n">
        <v>44406</v>
      </c>
      <c r="C60" s="1" t="n">
        <v>46191</v>
      </c>
      <c r="D60" t="inlineStr">
        <is>
          <t>KALMAR LÄN</t>
        </is>
      </c>
      <c r="E60" t="inlineStr">
        <is>
          <t>VIMMERBY</t>
        </is>
      </c>
      <c r="G60" t="n">
        <v>2.2</v>
      </c>
      <c r="H60" t="n">
        <v>0</v>
      </c>
      <c r="I60" t="n">
        <v>0</v>
      </c>
      <c r="J60" t="n">
        <v>0</v>
      </c>
      <c r="K60" t="n">
        <v>0</v>
      </c>
      <c r="L60" t="n">
        <v>0</v>
      </c>
      <c r="M60" t="n">
        <v>0</v>
      </c>
      <c r="N60" t="n">
        <v>0</v>
      </c>
      <c r="O60" t="n">
        <v>0</v>
      </c>
      <c r="P60" t="n">
        <v>0</v>
      </c>
      <c r="Q60" t="n">
        <v>0</v>
      </c>
      <c r="R60" s="2" t="inlineStr"/>
    </row>
    <row r="61" ht="15" customHeight="1">
      <c r="A61" t="inlineStr">
        <is>
          <t>A 56378-2021</t>
        </is>
      </c>
      <c r="B61" s="1" t="n">
        <v>44480</v>
      </c>
      <c r="C61" s="1" t="n">
        <v>46191</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3426-2022</t>
        </is>
      </c>
      <c r="B62" s="1" t="n">
        <v>44585</v>
      </c>
      <c r="C62" s="1" t="n">
        <v>46191</v>
      </c>
      <c r="D62" t="inlineStr">
        <is>
          <t>KALMAR LÄN</t>
        </is>
      </c>
      <c r="E62" t="inlineStr">
        <is>
          <t>VIMMERBY</t>
        </is>
      </c>
      <c r="G62" t="n">
        <v>1.8</v>
      </c>
      <c r="H62" t="n">
        <v>0</v>
      </c>
      <c r="I62" t="n">
        <v>0</v>
      </c>
      <c r="J62" t="n">
        <v>0</v>
      </c>
      <c r="K62" t="n">
        <v>0</v>
      </c>
      <c r="L62" t="n">
        <v>0</v>
      </c>
      <c r="M62" t="n">
        <v>0</v>
      </c>
      <c r="N62" t="n">
        <v>0</v>
      </c>
      <c r="O62" t="n">
        <v>0</v>
      </c>
      <c r="P62" t="n">
        <v>0</v>
      </c>
      <c r="Q62" t="n">
        <v>0</v>
      </c>
      <c r="R62" s="2" t="inlineStr"/>
    </row>
    <row r="63" ht="15" customHeight="1">
      <c r="A63" t="inlineStr">
        <is>
          <t>A 40728-2022</t>
        </is>
      </c>
      <c r="B63" s="1" t="n">
        <v>44824</v>
      </c>
      <c r="C63" s="1" t="n">
        <v>46191</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40073-2021</t>
        </is>
      </c>
      <c r="B64" s="1" t="n">
        <v>44418</v>
      </c>
      <c r="C64" s="1" t="n">
        <v>46191</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33051-2022</t>
        </is>
      </c>
      <c r="B65" s="1" t="n">
        <v>44785</v>
      </c>
      <c r="C65" s="1" t="n">
        <v>46191</v>
      </c>
      <c r="D65" t="inlineStr">
        <is>
          <t>KALMAR LÄN</t>
        </is>
      </c>
      <c r="E65" t="inlineStr">
        <is>
          <t>VIMMERBY</t>
        </is>
      </c>
      <c r="G65" t="n">
        <v>0.3</v>
      </c>
      <c r="H65" t="n">
        <v>0</v>
      </c>
      <c r="I65" t="n">
        <v>0</v>
      </c>
      <c r="J65" t="n">
        <v>0</v>
      </c>
      <c r="K65" t="n">
        <v>0</v>
      </c>
      <c r="L65" t="n">
        <v>0</v>
      </c>
      <c r="M65" t="n">
        <v>0</v>
      </c>
      <c r="N65" t="n">
        <v>0</v>
      </c>
      <c r="O65" t="n">
        <v>0</v>
      </c>
      <c r="P65" t="n">
        <v>0</v>
      </c>
      <c r="Q65" t="n">
        <v>0</v>
      </c>
      <c r="R65" s="2" t="inlineStr"/>
    </row>
    <row r="66" ht="15" customHeight="1">
      <c r="A66" t="inlineStr">
        <is>
          <t>A 41438-2022</t>
        </is>
      </c>
      <c r="B66" s="1" t="n">
        <v>44826</v>
      </c>
      <c r="C66" s="1" t="n">
        <v>46191</v>
      </c>
      <c r="D66" t="inlineStr">
        <is>
          <t>KALMAR LÄN</t>
        </is>
      </c>
      <c r="E66" t="inlineStr">
        <is>
          <t>VIMMERBY</t>
        </is>
      </c>
      <c r="G66" t="n">
        <v>3.1</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46191</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2183-2022</t>
        </is>
      </c>
      <c r="B68" s="1" t="n">
        <v>44578</v>
      </c>
      <c r="C68" s="1" t="n">
        <v>46191</v>
      </c>
      <c r="D68" t="inlineStr">
        <is>
          <t>KALMAR LÄN</t>
        </is>
      </c>
      <c r="E68" t="inlineStr">
        <is>
          <t>VIMMERBY</t>
        </is>
      </c>
      <c r="G68" t="n">
        <v>4.8</v>
      </c>
      <c r="H68" t="n">
        <v>0</v>
      </c>
      <c r="I68" t="n">
        <v>0</v>
      </c>
      <c r="J68" t="n">
        <v>0</v>
      </c>
      <c r="K68" t="n">
        <v>0</v>
      </c>
      <c r="L68" t="n">
        <v>0</v>
      </c>
      <c r="M68" t="n">
        <v>0</v>
      </c>
      <c r="N68" t="n">
        <v>0</v>
      </c>
      <c r="O68" t="n">
        <v>0</v>
      </c>
      <c r="P68" t="n">
        <v>0</v>
      </c>
      <c r="Q68" t="n">
        <v>0</v>
      </c>
      <c r="R68" s="2" t="inlineStr"/>
    </row>
    <row r="69" ht="15" customHeight="1">
      <c r="A69" t="inlineStr">
        <is>
          <t>A 65670-2021</t>
        </is>
      </c>
      <c r="B69" s="1" t="n">
        <v>44516</v>
      </c>
      <c r="C69" s="1" t="n">
        <v>46191</v>
      </c>
      <c r="D69" t="inlineStr">
        <is>
          <t>KALMAR LÄN</t>
        </is>
      </c>
      <c r="E69" t="inlineStr">
        <is>
          <t>VIMMERBY</t>
        </is>
      </c>
      <c r="G69" t="n">
        <v>1.9</v>
      </c>
      <c r="H69" t="n">
        <v>0</v>
      </c>
      <c r="I69" t="n">
        <v>0</v>
      </c>
      <c r="J69" t="n">
        <v>0</v>
      </c>
      <c r="K69" t="n">
        <v>0</v>
      </c>
      <c r="L69" t="n">
        <v>0</v>
      </c>
      <c r="M69" t="n">
        <v>0</v>
      </c>
      <c r="N69" t="n">
        <v>0</v>
      </c>
      <c r="O69" t="n">
        <v>0</v>
      </c>
      <c r="P69" t="n">
        <v>0</v>
      </c>
      <c r="Q69" t="n">
        <v>0</v>
      </c>
      <c r="R69" s="2" t="inlineStr"/>
    </row>
    <row r="70" ht="15" customHeight="1">
      <c r="A70" t="inlineStr">
        <is>
          <t>A 7049-2022</t>
        </is>
      </c>
      <c r="B70" s="1" t="n">
        <v>44603</v>
      </c>
      <c r="C70" s="1" t="n">
        <v>46191</v>
      </c>
      <c r="D70" t="inlineStr">
        <is>
          <t>KALMAR LÄN</t>
        </is>
      </c>
      <c r="E70" t="inlineStr">
        <is>
          <t>VIMMERBY</t>
        </is>
      </c>
      <c r="G70" t="n">
        <v>2.3</v>
      </c>
      <c r="H70" t="n">
        <v>0</v>
      </c>
      <c r="I70" t="n">
        <v>0</v>
      </c>
      <c r="J70" t="n">
        <v>0</v>
      </c>
      <c r="K70" t="n">
        <v>0</v>
      </c>
      <c r="L70" t="n">
        <v>0</v>
      </c>
      <c r="M70" t="n">
        <v>0</v>
      </c>
      <c r="N70" t="n">
        <v>0</v>
      </c>
      <c r="O70" t="n">
        <v>0</v>
      </c>
      <c r="P70" t="n">
        <v>0</v>
      </c>
      <c r="Q70" t="n">
        <v>0</v>
      </c>
      <c r="R70" s="2" t="inlineStr"/>
    </row>
    <row r="71" ht="15" customHeight="1">
      <c r="A71" t="inlineStr">
        <is>
          <t>A 4296-2022</t>
        </is>
      </c>
      <c r="B71" s="1" t="n">
        <v>44588</v>
      </c>
      <c r="C71" s="1" t="n">
        <v>46191</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38086-2021</t>
        </is>
      </c>
      <c r="B72" s="1" t="n">
        <v>44404</v>
      </c>
      <c r="C72" s="1" t="n">
        <v>46191</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57416-2021</t>
        </is>
      </c>
      <c r="B73" s="1" t="n">
        <v>44483</v>
      </c>
      <c r="C73" s="1" t="n">
        <v>46191</v>
      </c>
      <c r="D73" t="inlineStr">
        <is>
          <t>KALMAR LÄN</t>
        </is>
      </c>
      <c r="E73" t="inlineStr">
        <is>
          <t>VIMMERBY</t>
        </is>
      </c>
      <c r="G73" t="n">
        <v>2.9</v>
      </c>
      <c r="H73" t="n">
        <v>0</v>
      </c>
      <c r="I73" t="n">
        <v>0</v>
      </c>
      <c r="J73" t="n">
        <v>0</v>
      </c>
      <c r="K73" t="n">
        <v>0</v>
      </c>
      <c r="L73" t="n">
        <v>0</v>
      </c>
      <c r="M73" t="n">
        <v>0</v>
      </c>
      <c r="N73" t="n">
        <v>0</v>
      </c>
      <c r="O73" t="n">
        <v>0</v>
      </c>
      <c r="P73" t="n">
        <v>0</v>
      </c>
      <c r="Q73" t="n">
        <v>0</v>
      </c>
      <c r="R73" s="2" t="inlineStr"/>
    </row>
    <row r="74" ht="15" customHeight="1">
      <c r="A74" t="inlineStr">
        <is>
          <t>A 59791-2021</t>
        </is>
      </c>
      <c r="B74" s="1" t="n">
        <v>44494</v>
      </c>
      <c r="C74" s="1" t="n">
        <v>46191</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71626-2021</t>
        </is>
      </c>
      <c r="B75" s="1" t="n">
        <v>44542</v>
      </c>
      <c r="C75" s="1" t="n">
        <v>46191</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64923-2021</t>
        </is>
      </c>
      <c r="B76" s="1" t="n">
        <v>44512</v>
      </c>
      <c r="C76" s="1" t="n">
        <v>46191</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33829-2022</t>
        </is>
      </c>
      <c r="B77" s="1" t="n">
        <v>44790</v>
      </c>
      <c r="C77" s="1" t="n">
        <v>46191</v>
      </c>
      <c r="D77" t="inlineStr">
        <is>
          <t>KALMAR LÄN</t>
        </is>
      </c>
      <c r="E77" t="inlineStr">
        <is>
          <t>VIMMERBY</t>
        </is>
      </c>
      <c r="G77" t="n">
        <v>1.6</v>
      </c>
      <c r="H77" t="n">
        <v>0</v>
      </c>
      <c r="I77" t="n">
        <v>0</v>
      </c>
      <c r="J77" t="n">
        <v>0</v>
      </c>
      <c r="K77" t="n">
        <v>0</v>
      </c>
      <c r="L77" t="n">
        <v>0</v>
      </c>
      <c r="M77" t="n">
        <v>0</v>
      </c>
      <c r="N77" t="n">
        <v>0</v>
      </c>
      <c r="O77" t="n">
        <v>0</v>
      </c>
      <c r="P77" t="n">
        <v>0</v>
      </c>
      <c r="Q77" t="n">
        <v>0</v>
      </c>
      <c r="R77" s="2" t="inlineStr"/>
    </row>
    <row r="78" ht="15" customHeight="1">
      <c r="A78" t="inlineStr">
        <is>
          <t>A 68840-2021</t>
        </is>
      </c>
      <c r="B78" s="1" t="n">
        <v>44530</v>
      </c>
      <c r="C78" s="1" t="n">
        <v>46191</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4118-2022</t>
        </is>
      </c>
      <c r="B79" s="1" t="n">
        <v>44588</v>
      </c>
      <c r="C79" s="1" t="n">
        <v>46191</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4126-2022</t>
        </is>
      </c>
      <c r="B80" s="1" t="n">
        <v>44588</v>
      </c>
      <c r="C80" s="1" t="n">
        <v>46191</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33820-2022</t>
        </is>
      </c>
      <c r="B81" s="1" t="n">
        <v>44790</v>
      </c>
      <c r="C81" s="1" t="n">
        <v>46191</v>
      </c>
      <c r="D81" t="inlineStr">
        <is>
          <t>KALMAR LÄN</t>
        </is>
      </c>
      <c r="E81" t="inlineStr">
        <is>
          <t>VIMMERBY</t>
        </is>
      </c>
      <c r="G81" t="n">
        <v>3</v>
      </c>
      <c r="H81" t="n">
        <v>0</v>
      </c>
      <c r="I81" t="n">
        <v>0</v>
      </c>
      <c r="J81" t="n">
        <v>0</v>
      </c>
      <c r="K81" t="n">
        <v>0</v>
      </c>
      <c r="L81" t="n">
        <v>0</v>
      </c>
      <c r="M81" t="n">
        <v>0</v>
      </c>
      <c r="N81" t="n">
        <v>0</v>
      </c>
      <c r="O81" t="n">
        <v>0</v>
      </c>
      <c r="P81" t="n">
        <v>0</v>
      </c>
      <c r="Q81" t="n">
        <v>0</v>
      </c>
      <c r="R81" s="2" t="inlineStr"/>
    </row>
    <row r="82" ht="15" customHeight="1">
      <c r="A82" t="inlineStr">
        <is>
          <t>A 33824-2022</t>
        </is>
      </c>
      <c r="B82" s="1" t="n">
        <v>44790</v>
      </c>
      <c r="C82" s="1" t="n">
        <v>46191</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55297-2021</t>
        </is>
      </c>
      <c r="B83" s="1" t="n">
        <v>44475</v>
      </c>
      <c r="C83" s="1" t="n">
        <v>46191</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35531-2021</t>
        </is>
      </c>
      <c r="B84" s="1" t="n">
        <v>44385</v>
      </c>
      <c r="C84" s="1" t="n">
        <v>46191</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38789-2021</t>
        </is>
      </c>
      <c r="B85" s="1" t="n">
        <v>44410</v>
      </c>
      <c r="C85" s="1" t="n">
        <v>46191</v>
      </c>
      <c r="D85" t="inlineStr">
        <is>
          <t>KALMAR LÄN</t>
        </is>
      </c>
      <c r="E85" t="inlineStr">
        <is>
          <t>VIMMERBY</t>
        </is>
      </c>
      <c r="G85" t="n">
        <v>3.7</v>
      </c>
      <c r="H85" t="n">
        <v>0</v>
      </c>
      <c r="I85" t="n">
        <v>0</v>
      </c>
      <c r="J85" t="n">
        <v>0</v>
      </c>
      <c r="K85" t="n">
        <v>0</v>
      </c>
      <c r="L85" t="n">
        <v>0</v>
      </c>
      <c r="M85" t="n">
        <v>0</v>
      </c>
      <c r="N85" t="n">
        <v>0</v>
      </c>
      <c r="O85" t="n">
        <v>0</v>
      </c>
      <c r="P85" t="n">
        <v>0</v>
      </c>
      <c r="Q85" t="n">
        <v>0</v>
      </c>
      <c r="R85" s="2" t="inlineStr"/>
    </row>
    <row r="86" ht="15" customHeight="1">
      <c r="A86" t="inlineStr">
        <is>
          <t>A 16290-2022</t>
        </is>
      </c>
      <c r="B86" s="1" t="n">
        <v>44670</v>
      </c>
      <c r="C86" s="1" t="n">
        <v>46191</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30682-2021</t>
        </is>
      </c>
      <c r="B87" s="1" t="n">
        <v>44365</v>
      </c>
      <c r="C87" s="1" t="n">
        <v>46191</v>
      </c>
      <c r="D87" t="inlineStr">
        <is>
          <t>KALMAR LÄN</t>
        </is>
      </c>
      <c r="E87" t="inlineStr">
        <is>
          <t>VIMMERBY</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25049-2022</t>
        </is>
      </c>
      <c r="B88" s="1" t="n">
        <v>44729</v>
      </c>
      <c r="C88" s="1" t="n">
        <v>46191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31533-2022</t>
        </is>
      </c>
      <c r="B89" s="1" t="n">
        <v>44774</v>
      </c>
      <c r="C89" s="1" t="n">
        <v>46191</v>
      </c>
      <c r="D89" t="inlineStr">
        <is>
          <t>KALMAR LÄN</t>
        </is>
      </c>
      <c r="E89" t="inlineStr">
        <is>
          <t>VIMMERBY</t>
        </is>
      </c>
      <c r="G89" t="n">
        <v>2.5</v>
      </c>
      <c r="H89" t="n">
        <v>0</v>
      </c>
      <c r="I89" t="n">
        <v>0</v>
      </c>
      <c r="J89" t="n">
        <v>0</v>
      </c>
      <c r="K89" t="n">
        <v>0</v>
      </c>
      <c r="L89" t="n">
        <v>0</v>
      </c>
      <c r="M89" t="n">
        <v>0</v>
      </c>
      <c r="N89" t="n">
        <v>0</v>
      </c>
      <c r="O89" t="n">
        <v>0</v>
      </c>
      <c r="P89" t="n">
        <v>0</v>
      </c>
      <c r="Q89" t="n">
        <v>0</v>
      </c>
      <c r="R89" s="2" t="inlineStr"/>
    </row>
    <row r="90" ht="15" customHeight="1">
      <c r="A90" t="inlineStr">
        <is>
          <t>A 25859-2022</t>
        </is>
      </c>
      <c r="B90" s="1" t="n">
        <v>44733</v>
      </c>
      <c r="C90" s="1" t="n">
        <v>46191</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25868-2022</t>
        </is>
      </c>
      <c r="B91" s="1" t="n">
        <v>44733</v>
      </c>
      <c r="C91" s="1" t="n">
        <v>46191</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32386-2021</t>
        </is>
      </c>
      <c r="B92" s="1" t="n">
        <v>44371</v>
      </c>
      <c r="C92" s="1" t="n">
        <v>46191</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35633-2021</t>
        </is>
      </c>
      <c r="B93" s="1" t="n">
        <v>44386</v>
      </c>
      <c r="C93" s="1" t="n">
        <v>46191</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56343-2021</t>
        </is>
      </c>
      <c r="B94" s="1" t="n">
        <v>44480</v>
      </c>
      <c r="C94" s="1" t="n">
        <v>46191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51972-2021</t>
        </is>
      </c>
      <c r="B95" s="1" t="n">
        <v>44463</v>
      </c>
      <c r="C95" s="1" t="n">
        <v>46191</v>
      </c>
      <c r="D95" t="inlineStr">
        <is>
          <t>KALMAR LÄN</t>
        </is>
      </c>
      <c r="E95" t="inlineStr">
        <is>
          <t>VIMMERBY</t>
        </is>
      </c>
      <c r="G95" t="n">
        <v>4.5</v>
      </c>
      <c r="H95" t="n">
        <v>0</v>
      </c>
      <c r="I95" t="n">
        <v>0</v>
      </c>
      <c r="J95" t="n">
        <v>0</v>
      </c>
      <c r="K95" t="n">
        <v>0</v>
      </c>
      <c r="L95" t="n">
        <v>0</v>
      </c>
      <c r="M95" t="n">
        <v>0</v>
      </c>
      <c r="N95" t="n">
        <v>0</v>
      </c>
      <c r="O95" t="n">
        <v>0</v>
      </c>
      <c r="P95" t="n">
        <v>0</v>
      </c>
      <c r="Q95" t="n">
        <v>0</v>
      </c>
      <c r="R95" s="2" t="inlineStr"/>
    </row>
    <row r="96" ht="15" customHeight="1">
      <c r="A96" t="inlineStr">
        <is>
          <t>A 4042-2022</t>
        </is>
      </c>
      <c r="B96" s="1" t="n">
        <v>44588</v>
      </c>
      <c r="C96" s="1" t="n">
        <v>46191</v>
      </c>
      <c r="D96" t="inlineStr">
        <is>
          <t>KALMAR LÄN</t>
        </is>
      </c>
      <c r="E96" t="inlineStr">
        <is>
          <t>VIMMERBY</t>
        </is>
      </c>
      <c r="G96" t="n">
        <v>4.7</v>
      </c>
      <c r="H96" t="n">
        <v>0</v>
      </c>
      <c r="I96" t="n">
        <v>0</v>
      </c>
      <c r="J96" t="n">
        <v>0</v>
      </c>
      <c r="K96" t="n">
        <v>0</v>
      </c>
      <c r="L96" t="n">
        <v>0</v>
      </c>
      <c r="M96" t="n">
        <v>0</v>
      </c>
      <c r="N96" t="n">
        <v>0</v>
      </c>
      <c r="O96" t="n">
        <v>0</v>
      </c>
      <c r="P96" t="n">
        <v>0</v>
      </c>
      <c r="Q96" t="n">
        <v>0</v>
      </c>
      <c r="R96" s="2" t="inlineStr"/>
    </row>
    <row r="97" ht="15" customHeight="1">
      <c r="A97" t="inlineStr">
        <is>
          <t>A 33690-2022</t>
        </is>
      </c>
      <c r="B97" s="1" t="n">
        <v>44789</v>
      </c>
      <c r="C97" s="1" t="n">
        <v>46191</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35198-2021</t>
        </is>
      </c>
      <c r="B98" s="1" t="n">
        <v>44377</v>
      </c>
      <c r="C98" s="1" t="n">
        <v>46191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63244-2021</t>
        </is>
      </c>
      <c r="B99" s="1" t="n">
        <v>44508</v>
      </c>
      <c r="C99" s="1" t="n">
        <v>46191</v>
      </c>
      <c r="D99" t="inlineStr">
        <is>
          <t>KALMAR LÄN</t>
        </is>
      </c>
      <c r="E99" t="inlineStr">
        <is>
          <t>VIMMERBY</t>
        </is>
      </c>
      <c r="F99" t="inlineStr">
        <is>
          <t>Övriga statliga verk och myndigheter</t>
        </is>
      </c>
      <c r="G99" t="n">
        <v>0.6</v>
      </c>
      <c r="H99" t="n">
        <v>0</v>
      </c>
      <c r="I99" t="n">
        <v>0</v>
      </c>
      <c r="J99" t="n">
        <v>0</v>
      </c>
      <c r="K99" t="n">
        <v>0</v>
      </c>
      <c r="L99" t="n">
        <v>0</v>
      </c>
      <c r="M99" t="n">
        <v>0</v>
      </c>
      <c r="N99" t="n">
        <v>0</v>
      </c>
      <c r="O99" t="n">
        <v>0</v>
      </c>
      <c r="P99" t="n">
        <v>0</v>
      </c>
      <c r="Q99" t="n">
        <v>0</v>
      </c>
      <c r="R99" s="2" t="inlineStr"/>
    </row>
    <row r="100" ht="15" customHeight="1">
      <c r="A100" t="inlineStr">
        <is>
          <t>A 11814-2022</t>
        </is>
      </c>
      <c r="B100" s="1" t="n">
        <v>44634</v>
      </c>
      <c r="C100" s="1" t="n">
        <v>46191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56385-2021</t>
        </is>
      </c>
      <c r="B101" s="1" t="n">
        <v>44480</v>
      </c>
      <c r="C101" s="1" t="n">
        <v>46191</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31053-2022</t>
        </is>
      </c>
      <c r="B102" s="1" t="n">
        <v>44769</v>
      </c>
      <c r="C102" s="1" t="n">
        <v>46191</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8454-2022</t>
        </is>
      </c>
      <c r="B103" s="1" t="n">
        <v>44612</v>
      </c>
      <c r="C103" s="1" t="n">
        <v>46191</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65887-2021</t>
        </is>
      </c>
      <c r="B104" s="1" t="n">
        <v>44517</v>
      </c>
      <c r="C104" s="1" t="n">
        <v>46191</v>
      </c>
      <c r="D104" t="inlineStr">
        <is>
          <t>KALMAR LÄN</t>
        </is>
      </c>
      <c r="E104" t="inlineStr">
        <is>
          <t>VIMMERBY</t>
        </is>
      </c>
      <c r="G104" t="n">
        <v>1.4</v>
      </c>
      <c r="H104" t="n">
        <v>0</v>
      </c>
      <c r="I104" t="n">
        <v>0</v>
      </c>
      <c r="J104" t="n">
        <v>0</v>
      </c>
      <c r="K104" t="n">
        <v>0</v>
      </c>
      <c r="L104" t="n">
        <v>0</v>
      </c>
      <c r="M104" t="n">
        <v>0</v>
      </c>
      <c r="N104" t="n">
        <v>0</v>
      </c>
      <c r="O104" t="n">
        <v>0</v>
      </c>
      <c r="P104" t="n">
        <v>0</v>
      </c>
      <c r="Q104" t="n">
        <v>0</v>
      </c>
      <c r="R104" s="2" t="inlineStr"/>
    </row>
    <row r="105" ht="15" customHeight="1">
      <c r="A105" t="inlineStr">
        <is>
          <t>A 39959-2022</t>
        </is>
      </c>
      <c r="B105" s="1" t="n">
        <v>44819</v>
      </c>
      <c r="C105" s="1" t="n">
        <v>46191</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7917-2022</t>
        </is>
      </c>
      <c r="B106" s="1" t="n">
        <v>44608</v>
      </c>
      <c r="C106" s="1" t="n">
        <v>46191</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47208-2021</t>
        </is>
      </c>
      <c r="B107" s="1" t="n">
        <v>44447</v>
      </c>
      <c r="C107" s="1" t="n">
        <v>46191</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56389-2021</t>
        </is>
      </c>
      <c r="B108" s="1" t="n">
        <v>44480</v>
      </c>
      <c r="C108" s="1" t="n">
        <v>46191</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67952-2021</t>
        </is>
      </c>
      <c r="B109" s="1" t="n">
        <v>44525</v>
      </c>
      <c r="C109" s="1" t="n">
        <v>46191</v>
      </c>
      <c r="D109" t="inlineStr">
        <is>
          <t>KALMAR LÄN</t>
        </is>
      </c>
      <c r="E109" t="inlineStr">
        <is>
          <t>VIMMERBY</t>
        </is>
      </c>
      <c r="G109" t="n">
        <v>0.6</v>
      </c>
      <c r="H109" t="n">
        <v>0</v>
      </c>
      <c r="I109" t="n">
        <v>0</v>
      </c>
      <c r="J109" t="n">
        <v>0</v>
      </c>
      <c r="K109" t="n">
        <v>0</v>
      </c>
      <c r="L109" t="n">
        <v>0</v>
      </c>
      <c r="M109" t="n">
        <v>0</v>
      </c>
      <c r="N109" t="n">
        <v>0</v>
      </c>
      <c r="O109" t="n">
        <v>0</v>
      </c>
      <c r="P109" t="n">
        <v>0</v>
      </c>
      <c r="Q109" t="n">
        <v>0</v>
      </c>
      <c r="R109" s="2" t="inlineStr"/>
    </row>
    <row r="110" ht="15" customHeight="1">
      <c r="A110" t="inlineStr">
        <is>
          <t>A 15533-2022</t>
        </is>
      </c>
      <c r="B110" s="1" t="n">
        <v>44662</v>
      </c>
      <c r="C110" s="1" t="n">
        <v>46191</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165-2022</t>
        </is>
      </c>
      <c r="B111" s="1" t="n">
        <v>44564</v>
      </c>
      <c r="C111" s="1" t="n">
        <v>46191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34040-2021</t>
        </is>
      </c>
      <c r="B112" s="1" t="n">
        <v>44379</v>
      </c>
      <c r="C112" s="1" t="n">
        <v>46191</v>
      </c>
      <c r="D112" t="inlineStr">
        <is>
          <t>KALMAR LÄN</t>
        </is>
      </c>
      <c r="E112" t="inlineStr">
        <is>
          <t>VIMMERBY</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12107-2022</t>
        </is>
      </c>
      <c r="B113" s="1" t="n">
        <v>44636</v>
      </c>
      <c r="C113" s="1" t="n">
        <v>46191</v>
      </c>
      <c r="D113" t="inlineStr">
        <is>
          <t>KALMAR LÄN</t>
        </is>
      </c>
      <c r="E113" t="inlineStr">
        <is>
          <t>VIMMERBY</t>
        </is>
      </c>
      <c r="G113" t="n">
        <v>1.8</v>
      </c>
      <c r="H113" t="n">
        <v>0</v>
      </c>
      <c r="I113" t="n">
        <v>0</v>
      </c>
      <c r="J113" t="n">
        <v>0</v>
      </c>
      <c r="K113" t="n">
        <v>0</v>
      </c>
      <c r="L113" t="n">
        <v>0</v>
      </c>
      <c r="M113" t="n">
        <v>0</v>
      </c>
      <c r="N113" t="n">
        <v>0</v>
      </c>
      <c r="O113" t="n">
        <v>0</v>
      </c>
      <c r="P113" t="n">
        <v>0</v>
      </c>
      <c r="Q113" t="n">
        <v>0</v>
      </c>
      <c r="R113" s="2" t="inlineStr"/>
    </row>
    <row r="114" ht="15" customHeight="1">
      <c r="A114" t="inlineStr">
        <is>
          <t>A 39225-2022</t>
        </is>
      </c>
      <c r="B114" s="1" t="n">
        <v>44817</v>
      </c>
      <c r="C114" s="1" t="n">
        <v>46191</v>
      </c>
      <c r="D114" t="inlineStr">
        <is>
          <t>KALMAR LÄN</t>
        </is>
      </c>
      <c r="E114" t="inlineStr">
        <is>
          <t>VIMMERBY</t>
        </is>
      </c>
      <c r="G114" t="n">
        <v>2.2</v>
      </c>
      <c r="H114" t="n">
        <v>0</v>
      </c>
      <c r="I114" t="n">
        <v>0</v>
      </c>
      <c r="J114" t="n">
        <v>0</v>
      </c>
      <c r="K114" t="n">
        <v>0</v>
      </c>
      <c r="L114" t="n">
        <v>0</v>
      </c>
      <c r="M114" t="n">
        <v>0</v>
      </c>
      <c r="N114" t="n">
        <v>0</v>
      </c>
      <c r="O114" t="n">
        <v>0</v>
      </c>
      <c r="P114" t="n">
        <v>0</v>
      </c>
      <c r="Q114" t="n">
        <v>0</v>
      </c>
      <c r="R114" s="2" t="inlineStr"/>
    </row>
    <row r="115" ht="15" customHeight="1">
      <c r="A115" t="inlineStr">
        <is>
          <t>A 17029-2022</t>
        </is>
      </c>
      <c r="B115" s="1" t="n">
        <v>44676</v>
      </c>
      <c r="C115" s="1" t="n">
        <v>46191</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7167-2022</t>
        </is>
      </c>
      <c r="B116" s="1" t="n">
        <v>44604</v>
      </c>
      <c r="C116" s="1" t="n">
        <v>46191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35001-2021</t>
        </is>
      </c>
      <c r="B117" s="1" t="n">
        <v>44383</v>
      </c>
      <c r="C117" s="1" t="n">
        <v>46191</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55674-2021</t>
        </is>
      </c>
      <c r="B118" s="1" t="n">
        <v>44476</v>
      </c>
      <c r="C118" s="1" t="n">
        <v>46191</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40077-2021</t>
        </is>
      </c>
      <c r="B119" s="1" t="n">
        <v>44418</v>
      </c>
      <c r="C119" s="1" t="n">
        <v>46191</v>
      </c>
      <c r="D119" t="inlineStr">
        <is>
          <t>KALMAR LÄN</t>
        </is>
      </c>
      <c r="E119" t="inlineStr">
        <is>
          <t>VIMMERBY</t>
        </is>
      </c>
      <c r="G119" t="n">
        <v>2.9</v>
      </c>
      <c r="H119" t="n">
        <v>0</v>
      </c>
      <c r="I119" t="n">
        <v>0</v>
      </c>
      <c r="J119" t="n">
        <v>0</v>
      </c>
      <c r="K119" t="n">
        <v>0</v>
      </c>
      <c r="L119" t="n">
        <v>0</v>
      </c>
      <c r="M119" t="n">
        <v>0</v>
      </c>
      <c r="N119" t="n">
        <v>0</v>
      </c>
      <c r="O119" t="n">
        <v>0</v>
      </c>
      <c r="P119" t="n">
        <v>0</v>
      </c>
      <c r="Q119" t="n">
        <v>0</v>
      </c>
      <c r="R119" s="2" t="inlineStr"/>
    </row>
    <row r="120" ht="15" customHeight="1">
      <c r="A120" t="inlineStr">
        <is>
          <t>A 47769-2022</t>
        </is>
      </c>
      <c r="B120" s="1" t="n">
        <v>44854</v>
      </c>
      <c r="C120" s="1" t="n">
        <v>46191</v>
      </c>
      <c r="D120" t="inlineStr">
        <is>
          <t>KALMAR LÄN</t>
        </is>
      </c>
      <c r="E120" t="inlineStr">
        <is>
          <t>VIMMERBY</t>
        </is>
      </c>
      <c r="G120" t="n">
        <v>1.1</v>
      </c>
      <c r="H120" t="n">
        <v>0</v>
      </c>
      <c r="I120" t="n">
        <v>0</v>
      </c>
      <c r="J120" t="n">
        <v>0</v>
      </c>
      <c r="K120" t="n">
        <v>0</v>
      </c>
      <c r="L120" t="n">
        <v>0</v>
      </c>
      <c r="M120" t="n">
        <v>0</v>
      </c>
      <c r="N120" t="n">
        <v>0</v>
      </c>
      <c r="O120" t="n">
        <v>0</v>
      </c>
      <c r="P120" t="n">
        <v>0</v>
      </c>
      <c r="Q120" t="n">
        <v>0</v>
      </c>
      <c r="R120" s="2" t="inlineStr"/>
    </row>
    <row r="121" ht="15" customHeight="1">
      <c r="A121" t="inlineStr">
        <is>
          <t>A 48377-2021</t>
        </is>
      </c>
      <c r="B121" s="1" t="n">
        <v>44451</v>
      </c>
      <c r="C121" s="1" t="n">
        <v>46191</v>
      </c>
      <c r="D121" t="inlineStr">
        <is>
          <t>KALMAR LÄN</t>
        </is>
      </c>
      <c r="E121" t="inlineStr">
        <is>
          <t>VIMMERBY</t>
        </is>
      </c>
      <c r="G121" t="n">
        <v>0.4</v>
      </c>
      <c r="H121" t="n">
        <v>0</v>
      </c>
      <c r="I121" t="n">
        <v>0</v>
      </c>
      <c r="J121" t="n">
        <v>0</v>
      </c>
      <c r="K121" t="n">
        <v>0</v>
      </c>
      <c r="L121" t="n">
        <v>0</v>
      </c>
      <c r="M121" t="n">
        <v>0</v>
      </c>
      <c r="N121" t="n">
        <v>0</v>
      </c>
      <c r="O121" t="n">
        <v>0</v>
      </c>
      <c r="P121" t="n">
        <v>0</v>
      </c>
      <c r="Q121" t="n">
        <v>0</v>
      </c>
      <c r="R121" s="2" t="inlineStr"/>
    </row>
    <row r="122" ht="15" customHeight="1">
      <c r="A122" t="inlineStr">
        <is>
          <t>A 40472-2022</t>
        </is>
      </c>
      <c r="B122" s="1" t="n">
        <v>44823</v>
      </c>
      <c r="C122" s="1" t="n">
        <v>46191</v>
      </c>
      <c r="D122" t="inlineStr">
        <is>
          <t>KALMAR LÄN</t>
        </is>
      </c>
      <c r="E122" t="inlineStr">
        <is>
          <t>VIMMERBY</t>
        </is>
      </c>
      <c r="G122" t="n">
        <v>2</v>
      </c>
      <c r="H122" t="n">
        <v>0</v>
      </c>
      <c r="I122" t="n">
        <v>0</v>
      </c>
      <c r="J122" t="n">
        <v>0</v>
      </c>
      <c r="K122" t="n">
        <v>0</v>
      </c>
      <c r="L122" t="n">
        <v>0</v>
      </c>
      <c r="M122" t="n">
        <v>0</v>
      </c>
      <c r="N122" t="n">
        <v>0</v>
      </c>
      <c r="O122" t="n">
        <v>0</v>
      </c>
      <c r="P122" t="n">
        <v>0</v>
      </c>
      <c r="Q122" t="n">
        <v>0</v>
      </c>
      <c r="R122" s="2" t="inlineStr"/>
    </row>
    <row r="123" ht="15" customHeight="1">
      <c r="A123" t="inlineStr">
        <is>
          <t>A 35316-2021</t>
        </is>
      </c>
      <c r="B123" s="1" t="n">
        <v>44384</v>
      </c>
      <c r="C123" s="1" t="n">
        <v>46191</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33831-2022</t>
        </is>
      </c>
      <c r="B124" s="1" t="n">
        <v>44790</v>
      </c>
      <c r="C124" s="1" t="n">
        <v>46191</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47708-2022</t>
        </is>
      </c>
      <c r="B125" s="1" t="n">
        <v>44854</v>
      </c>
      <c r="C125" s="1" t="n">
        <v>46191</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9918-2022</t>
        </is>
      </c>
      <c r="B126" s="1" t="n">
        <v>44620</v>
      </c>
      <c r="C126" s="1" t="n">
        <v>46191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23825-2022</t>
        </is>
      </c>
      <c r="B127" s="1" t="n">
        <v>44722</v>
      </c>
      <c r="C127" s="1" t="n">
        <v>46191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41056-2022</t>
        </is>
      </c>
      <c r="B128" s="1" t="n">
        <v>44824</v>
      </c>
      <c r="C128" s="1" t="n">
        <v>46191</v>
      </c>
      <c r="D128" t="inlineStr">
        <is>
          <t>KALMAR LÄN</t>
        </is>
      </c>
      <c r="E128" t="inlineStr">
        <is>
          <t>VIMMERBY</t>
        </is>
      </c>
      <c r="G128" t="n">
        <v>0.8</v>
      </c>
      <c r="H128" t="n">
        <v>0</v>
      </c>
      <c r="I128" t="n">
        <v>0</v>
      </c>
      <c r="J128" t="n">
        <v>0</v>
      </c>
      <c r="K128" t="n">
        <v>0</v>
      </c>
      <c r="L128" t="n">
        <v>0</v>
      </c>
      <c r="M128" t="n">
        <v>0</v>
      </c>
      <c r="N128" t="n">
        <v>0</v>
      </c>
      <c r="O128" t="n">
        <v>0</v>
      </c>
      <c r="P128" t="n">
        <v>0</v>
      </c>
      <c r="Q128" t="n">
        <v>0</v>
      </c>
      <c r="R128" s="2" t="inlineStr"/>
    </row>
    <row r="129" ht="15" customHeight="1">
      <c r="A129" t="inlineStr">
        <is>
          <t>A 31660-2021</t>
        </is>
      </c>
      <c r="B129" s="1" t="n">
        <v>44369</v>
      </c>
      <c r="C129" s="1" t="n">
        <v>46191</v>
      </c>
      <c r="D129" t="inlineStr">
        <is>
          <t>KALMAR LÄN</t>
        </is>
      </c>
      <c r="E129" t="inlineStr">
        <is>
          <t>VIMMERBY</t>
        </is>
      </c>
      <c r="G129" t="n">
        <v>4.2</v>
      </c>
      <c r="H129" t="n">
        <v>0</v>
      </c>
      <c r="I129" t="n">
        <v>0</v>
      </c>
      <c r="J129" t="n">
        <v>0</v>
      </c>
      <c r="K129" t="n">
        <v>0</v>
      </c>
      <c r="L129" t="n">
        <v>0</v>
      </c>
      <c r="M129" t="n">
        <v>0</v>
      </c>
      <c r="N129" t="n">
        <v>0</v>
      </c>
      <c r="O129" t="n">
        <v>0</v>
      </c>
      <c r="P129" t="n">
        <v>0</v>
      </c>
      <c r="Q129" t="n">
        <v>0</v>
      </c>
      <c r="R129" s="2" t="inlineStr"/>
    </row>
    <row r="130" ht="15" customHeight="1">
      <c r="A130" t="inlineStr">
        <is>
          <t>A 27455-2022</t>
        </is>
      </c>
      <c r="B130" s="1" t="n">
        <v>44742</v>
      </c>
      <c r="C130" s="1" t="n">
        <v>46191</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36117-2021</t>
        </is>
      </c>
      <c r="B131" s="1" t="n">
        <v>44386</v>
      </c>
      <c r="C131" s="1" t="n">
        <v>46191</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42521-2021</t>
        </is>
      </c>
      <c r="B132" s="1" t="n">
        <v>44427</v>
      </c>
      <c r="C132" s="1" t="n">
        <v>46191</v>
      </c>
      <c r="D132" t="inlineStr">
        <is>
          <t>KALMAR LÄN</t>
        </is>
      </c>
      <c r="E132" t="inlineStr">
        <is>
          <t>VIMMERBY</t>
        </is>
      </c>
      <c r="G132" t="n">
        <v>5.4</v>
      </c>
      <c r="H132" t="n">
        <v>0</v>
      </c>
      <c r="I132" t="n">
        <v>0</v>
      </c>
      <c r="J132" t="n">
        <v>0</v>
      </c>
      <c r="K132" t="n">
        <v>0</v>
      </c>
      <c r="L132" t="n">
        <v>0</v>
      </c>
      <c r="M132" t="n">
        <v>0</v>
      </c>
      <c r="N132" t="n">
        <v>0</v>
      </c>
      <c r="O132" t="n">
        <v>0</v>
      </c>
      <c r="P132" t="n">
        <v>0</v>
      </c>
      <c r="Q132" t="n">
        <v>0</v>
      </c>
      <c r="R132" s="2" t="inlineStr"/>
    </row>
    <row r="133" ht="15" customHeight="1">
      <c r="A133" t="inlineStr">
        <is>
          <t>A 32603-2021</t>
        </is>
      </c>
      <c r="B133" s="1" t="n">
        <v>44375</v>
      </c>
      <c r="C133" s="1" t="n">
        <v>46191</v>
      </c>
      <c r="D133" t="inlineStr">
        <is>
          <t>KALMAR LÄN</t>
        </is>
      </c>
      <c r="E133" t="inlineStr">
        <is>
          <t>VIMMERBY</t>
        </is>
      </c>
      <c r="G133" t="n">
        <v>0.8</v>
      </c>
      <c r="H133" t="n">
        <v>0</v>
      </c>
      <c r="I133" t="n">
        <v>0</v>
      </c>
      <c r="J133" t="n">
        <v>0</v>
      </c>
      <c r="K133" t="n">
        <v>0</v>
      </c>
      <c r="L133" t="n">
        <v>0</v>
      </c>
      <c r="M133" t="n">
        <v>0</v>
      </c>
      <c r="N133" t="n">
        <v>0</v>
      </c>
      <c r="O133" t="n">
        <v>0</v>
      </c>
      <c r="P133" t="n">
        <v>0</v>
      </c>
      <c r="Q133" t="n">
        <v>0</v>
      </c>
      <c r="R133" s="2" t="inlineStr"/>
    </row>
    <row r="134" ht="15" customHeight="1">
      <c r="A134" t="inlineStr">
        <is>
          <t>A 46964-2022</t>
        </is>
      </c>
      <c r="B134" s="1" t="n">
        <v>44851</v>
      </c>
      <c r="C134" s="1" t="n">
        <v>46191</v>
      </c>
      <c r="D134" t="inlineStr">
        <is>
          <t>KALMAR LÄN</t>
        </is>
      </c>
      <c r="E134" t="inlineStr">
        <is>
          <t>VIMMERBY</t>
        </is>
      </c>
      <c r="G134" t="n">
        <v>0.2</v>
      </c>
      <c r="H134" t="n">
        <v>0</v>
      </c>
      <c r="I134" t="n">
        <v>0</v>
      </c>
      <c r="J134" t="n">
        <v>0</v>
      </c>
      <c r="K134" t="n">
        <v>0</v>
      </c>
      <c r="L134" t="n">
        <v>0</v>
      </c>
      <c r="M134" t="n">
        <v>0</v>
      </c>
      <c r="N134" t="n">
        <v>0</v>
      </c>
      <c r="O134" t="n">
        <v>0</v>
      </c>
      <c r="P134" t="n">
        <v>0</v>
      </c>
      <c r="Q134" t="n">
        <v>0</v>
      </c>
      <c r="R134" s="2" t="inlineStr"/>
    </row>
    <row r="135" ht="15" customHeight="1">
      <c r="A135" t="inlineStr">
        <is>
          <t>A 13180-2022</t>
        </is>
      </c>
      <c r="B135" s="1" t="n">
        <v>44644</v>
      </c>
      <c r="C135" s="1" t="n">
        <v>46191</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10086-2022</t>
        </is>
      </c>
      <c r="B136" s="1" t="n">
        <v>44621</v>
      </c>
      <c r="C136" s="1" t="n">
        <v>46191</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37187-2024</t>
        </is>
      </c>
      <c r="B137" s="1" t="n">
        <v>45539</v>
      </c>
      <c r="C137" s="1" t="n">
        <v>46191</v>
      </c>
      <c r="D137" t="inlineStr">
        <is>
          <t>KALMAR LÄN</t>
        </is>
      </c>
      <c r="E137" t="inlineStr">
        <is>
          <t>VIMMERBY</t>
        </is>
      </c>
      <c r="G137" t="n">
        <v>2.7</v>
      </c>
      <c r="H137" t="n">
        <v>0</v>
      </c>
      <c r="I137" t="n">
        <v>0</v>
      </c>
      <c r="J137" t="n">
        <v>0</v>
      </c>
      <c r="K137" t="n">
        <v>0</v>
      </c>
      <c r="L137" t="n">
        <v>0</v>
      </c>
      <c r="M137" t="n">
        <v>0</v>
      </c>
      <c r="N137" t="n">
        <v>0</v>
      </c>
      <c r="O137" t="n">
        <v>0</v>
      </c>
      <c r="P137" t="n">
        <v>0</v>
      </c>
      <c r="Q137" t="n">
        <v>0</v>
      </c>
      <c r="R137" s="2" t="inlineStr"/>
    </row>
    <row r="138" ht="15" customHeight="1">
      <c r="A138" t="inlineStr">
        <is>
          <t>A 38604-2025</t>
        </is>
      </c>
      <c r="B138" s="1" t="n">
        <v>45884</v>
      </c>
      <c r="C138" s="1" t="n">
        <v>46191</v>
      </c>
      <c r="D138" t="inlineStr">
        <is>
          <t>KALMAR LÄN</t>
        </is>
      </c>
      <c r="E138" t="inlineStr">
        <is>
          <t>VIMMERBY</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53145-2022</t>
        </is>
      </c>
      <c r="B139" s="1" t="n">
        <v>44876</v>
      </c>
      <c r="C139" s="1" t="n">
        <v>46191</v>
      </c>
      <c r="D139" t="inlineStr">
        <is>
          <t>KALMAR LÄN</t>
        </is>
      </c>
      <c r="E139" t="inlineStr">
        <is>
          <t>VIMMERBY</t>
        </is>
      </c>
      <c r="G139" t="n">
        <v>0.4</v>
      </c>
      <c r="H139" t="n">
        <v>0</v>
      </c>
      <c r="I139" t="n">
        <v>0</v>
      </c>
      <c r="J139" t="n">
        <v>0</v>
      </c>
      <c r="K139" t="n">
        <v>0</v>
      </c>
      <c r="L139" t="n">
        <v>0</v>
      </c>
      <c r="M139" t="n">
        <v>0</v>
      </c>
      <c r="N139" t="n">
        <v>0</v>
      </c>
      <c r="O139" t="n">
        <v>0</v>
      </c>
      <c r="P139" t="n">
        <v>0</v>
      </c>
      <c r="Q139" t="n">
        <v>0</v>
      </c>
      <c r="R139" s="2" t="inlineStr"/>
    </row>
    <row r="140" ht="15" customHeight="1">
      <c r="A140" t="inlineStr">
        <is>
          <t>A 25738-2022</t>
        </is>
      </c>
      <c r="B140" s="1" t="n">
        <v>44733</v>
      </c>
      <c r="C140" s="1" t="n">
        <v>46191</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8194-2022</t>
        </is>
      </c>
      <c r="B141" s="1" t="n">
        <v>44609</v>
      </c>
      <c r="C141" s="1" t="n">
        <v>46191</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40971-2021</t>
        </is>
      </c>
      <c r="B142" s="1" t="n">
        <v>44421</v>
      </c>
      <c r="C142" s="1" t="n">
        <v>46191</v>
      </c>
      <c r="D142" t="inlineStr">
        <is>
          <t>KALMAR LÄN</t>
        </is>
      </c>
      <c r="E142" t="inlineStr">
        <is>
          <t>VIMMERBY</t>
        </is>
      </c>
      <c r="G142" t="n">
        <v>1.1</v>
      </c>
      <c r="H142" t="n">
        <v>0</v>
      </c>
      <c r="I142" t="n">
        <v>0</v>
      </c>
      <c r="J142" t="n">
        <v>0</v>
      </c>
      <c r="K142" t="n">
        <v>0</v>
      </c>
      <c r="L142" t="n">
        <v>0</v>
      </c>
      <c r="M142" t="n">
        <v>0</v>
      </c>
      <c r="N142" t="n">
        <v>0</v>
      </c>
      <c r="O142" t="n">
        <v>0</v>
      </c>
      <c r="P142" t="n">
        <v>0</v>
      </c>
      <c r="Q142" t="n">
        <v>0</v>
      </c>
      <c r="R142" s="2" t="inlineStr"/>
    </row>
    <row r="143" ht="15" customHeight="1">
      <c r="A143" t="inlineStr">
        <is>
          <t>A 8453-2022</t>
        </is>
      </c>
      <c r="B143" s="1" t="n">
        <v>44612</v>
      </c>
      <c r="C143" s="1" t="n">
        <v>46191</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52433-2021</t>
        </is>
      </c>
      <c r="B144" s="1" t="n">
        <v>44466</v>
      </c>
      <c r="C144" s="1" t="n">
        <v>46191</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50621-2022</t>
        </is>
      </c>
      <c r="B145" s="1" t="n">
        <v>44866</v>
      </c>
      <c r="C145" s="1" t="n">
        <v>46191</v>
      </c>
      <c r="D145" t="inlineStr">
        <is>
          <t>KALMAR LÄN</t>
        </is>
      </c>
      <c r="E145" t="inlineStr">
        <is>
          <t>VIMMERBY</t>
        </is>
      </c>
      <c r="F145" t="inlineStr">
        <is>
          <t>Övriga Aktiebolag</t>
        </is>
      </c>
      <c r="G145" t="n">
        <v>5.1</v>
      </c>
      <c r="H145" t="n">
        <v>0</v>
      </c>
      <c r="I145" t="n">
        <v>0</v>
      </c>
      <c r="J145" t="n">
        <v>0</v>
      </c>
      <c r="K145" t="n">
        <v>0</v>
      </c>
      <c r="L145" t="n">
        <v>0</v>
      </c>
      <c r="M145" t="n">
        <v>0</v>
      </c>
      <c r="N145" t="n">
        <v>0</v>
      </c>
      <c r="O145" t="n">
        <v>0</v>
      </c>
      <c r="P145" t="n">
        <v>0</v>
      </c>
      <c r="Q145" t="n">
        <v>0</v>
      </c>
      <c r="R145" s="2" t="inlineStr"/>
    </row>
    <row r="146" ht="15" customHeight="1">
      <c r="A146" t="inlineStr">
        <is>
          <t>A 54065-2021</t>
        </is>
      </c>
      <c r="B146" s="1" t="n">
        <v>44470</v>
      </c>
      <c r="C146" s="1" t="n">
        <v>46191</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31824-2022</t>
        </is>
      </c>
      <c r="B147" s="1" t="n">
        <v>44776</v>
      </c>
      <c r="C147" s="1" t="n">
        <v>46191</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11733-2022</t>
        </is>
      </c>
      <c r="B148" s="1" t="n">
        <v>44634</v>
      </c>
      <c r="C148" s="1" t="n">
        <v>46191</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12630-2023</t>
        </is>
      </c>
      <c r="B149" s="1" t="n">
        <v>45000</v>
      </c>
      <c r="C149" s="1" t="n">
        <v>46191</v>
      </c>
      <c r="D149" t="inlineStr">
        <is>
          <t>KALMAR LÄN</t>
        </is>
      </c>
      <c r="E149" t="inlineStr">
        <is>
          <t>VIMMERBY</t>
        </is>
      </c>
      <c r="G149" t="n">
        <v>2.1</v>
      </c>
      <c r="H149" t="n">
        <v>0</v>
      </c>
      <c r="I149" t="n">
        <v>0</v>
      </c>
      <c r="J149" t="n">
        <v>0</v>
      </c>
      <c r="K149" t="n">
        <v>0</v>
      </c>
      <c r="L149" t="n">
        <v>0</v>
      </c>
      <c r="M149" t="n">
        <v>0</v>
      </c>
      <c r="N149" t="n">
        <v>0</v>
      </c>
      <c r="O149" t="n">
        <v>0</v>
      </c>
      <c r="P149" t="n">
        <v>0</v>
      </c>
      <c r="Q149" t="n">
        <v>0</v>
      </c>
      <c r="R149" s="2" t="inlineStr"/>
    </row>
    <row r="150" ht="15" customHeight="1">
      <c r="A150" t="inlineStr">
        <is>
          <t>A 39584-2024</t>
        </is>
      </c>
      <c r="B150" s="1" t="n">
        <v>45552</v>
      </c>
      <c r="C150" s="1" t="n">
        <v>46191</v>
      </c>
      <c r="D150" t="inlineStr">
        <is>
          <t>KALMAR LÄN</t>
        </is>
      </c>
      <c r="E150" t="inlineStr">
        <is>
          <t>VIMMERBY</t>
        </is>
      </c>
      <c r="G150" t="n">
        <v>1.9</v>
      </c>
      <c r="H150" t="n">
        <v>0</v>
      </c>
      <c r="I150" t="n">
        <v>0</v>
      </c>
      <c r="J150" t="n">
        <v>0</v>
      </c>
      <c r="K150" t="n">
        <v>0</v>
      </c>
      <c r="L150" t="n">
        <v>0</v>
      </c>
      <c r="M150" t="n">
        <v>0</v>
      </c>
      <c r="N150" t="n">
        <v>0</v>
      </c>
      <c r="O150" t="n">
        <v>0</v>
      </c>
      <c r="P150" t="n">
        <v>0</v>
      </c>
      <c r="Q150" t="n">
        <v>0</v>
      </c>
      <c r="R150" s="2" t="inlineStr"/>
    </row>
    <row r="151" ht="15" customHeight="1">
      <c r="A151" t="inlineStr">
        <is>
          <t>A 27705-2023</t>
        </is>
      </c>
      <c r="B151" s="1" t="n">
        <v>45098</v>
      </c>
      <c r="C151" s="1" t="n">
        <v>46191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7804-2022</t>
        </is>
      </c>
      <c r="B152" s="1" t="n">
        <v>44608</v>
      </c>
      <c r="C152" s="1" t="n">
        <v>46191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39042-2022</t>
        </is>
      </c>
      <c r="B153" s="1" t="n">
        <v>44817</v>
      </c>
      <c r="C153" s="1" t="n">
        <v>46191</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31013-2023</t>
        </is>
      </c>
      <c r="B154" s="1" t="n">
        <v>45113</v>
      </c>
      <c r="C154" s="1" t="n">
        <v>46191</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29441-2024</t>
        </is>
      </c>
      <c r="B155" s="1" t="n">
        <v>45483</v>
      </c>
      <c r="C155" s="1" t="n">
        <v>46191</v>
      </c>
      <c r="D155" t="inlineStr">
        <is>
          <t>KALMAR LÄN</t>
        </is>
      </c>
      <c r="E155" t="inlineStr">
        <is>
          <t>VIMMERBY</t>
        </is>
      </c>
      <c r="G155" t="n">
        <v>1.3</v>
      </c>
      <c r="H155" t="n">
        <v>0</v>
      </c>
      <c r="I155" t="n">
        <v>0</v>
      </c>
      <c r="J155" t="n">
        <v>0</v>
      </c>
      <c r="K155" t="n">
        <v>0</v>
      </c>
      <c r="L155" t="n">
        <v>0</v>
      </c>
      <c r="M155" t="n">
        <v>0</v>
      </c>
      <c r="N155" t="n">
        <v>0</v>
      </c>
      <c r="O155" t="n">
        <v>0</v>
      </c>
      <c r="P155" t="n">
        <v>0</v>
      </c>
      <c r="Q155" t="n">
        <v>0</v>
      </c>
      <c r="R155" s="2" t="inlineStr"/>
    </row>
    <row r="156" ht="15" customHeight="1">
      <c r="A156" t="inlineStr">
        <is>
          <t>A 25728-2023</t>
        </is>
      </c>
      <c r="B156" s="1" t="n">
        <v>45090</v>
      </c>
      <c r="C156" s="1" t="n">
        <v>46191</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33352-2022</t>
        </is>
      </c>
      <c r="B157" s="1" t="n">
        <v>44788</v>
      </c>
      <c r="C157" s="1" t="n">
        <v>46191</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46234-2024</t>
        </is>
      </c>
      <c r="B158" s="1" t="n">
        <v>45581</v>
      </c>
      <c r="C158" s="1" t="n">
        <v>46191</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39053-2024</t>
        </is>
      </c>
      <c r="B159" s="1" t="n">
        <v>45548</v>
      </c>
      <c r="C159" s="1" t="n">
        <v>46191</v>
      </c>
      <c r="D159" t="inlineStr">
        <is>
          <t>KALMAR LÄN</t>
        </is>
      </c>
      <c r="E159" t="inlineStr">
        <is>
          <t>VIMMERBY</t>
        </is>
      </c>
      <c r="G159" t="n">
        <v>5</v>
      </c>
      <c r="H159" t="n">
        <v>0</v>
      </c>
      <c r="I159" t="n">
        <v>0</v>
      </c>
      <c r="J159" t="n">
        <v>0</v>
      </c>
      <c r="K159" t="n">
        <v>0</v>
      </c>
      <c r="L159" t="n">
        <v>0</v>
      </c>
      <c r="M159" t="n">
        <v>0</v>
      </c>
      <c r="N159" t="n">
        <v>0</v>
      </c>
      <c r="O159" t="n">
        <v>0</v>
      </c>
      <c r="P159" t="n">
        <v>0</v>
      </c>
      <c r="Q159" t="n">
        <v>0</v>
      </c>
      <c r="R159" s="2" t="inlineStr"/>
    </row>
    <row r="160" ht="15" customHeight="1">
      <c r="A160" t="inlineStr">
        <is>
          <t>A 52435-2021</t>
        </is>
      </c>
      <c r="B160" s="1" t="n">
        <v>44466</v>
      </c>
      <c r="C160" s="1" t="n">
        <v>46191</v>
      </c>
      <c r="D160" t="inlineStr">
        <is>
          <t>KALMAR LÄN</t>
        </is>
      </c>
      <c r="E160" t="inlineStr">
        <is>
          <t>VIMMERBY</t>
        </is>
      </c>
      <c r="G160" t="n">
        <v>2.8</v>
      </c>
      <c r="H160" t="n">
        <v>0</v>
      </c>
      <c r="I160" t="n">
        <v>0</v>
      </c>
      <c r="J160" t="n">
        <v>0</v>
      </c>
      <c r="K160" t="n">
        <v>0</v>
      </c>
      <c r="L160" t="n">
        <v>0</v>
      </c>
      <c r="M160" t="n">
        <v>0</v>
      </c>
      <c r="N160" t="n">
        <v>0</v>
      </c>
      <c r="O160" t="n">
        <v>0</v>
      </c>
      <c r="P160" t="n">
        <v>0</v>
      </c>
      <c r="Q160" t="n">
        <v>0</v>
      </c>
      <c r="R160" s="2" t="inlineStr"/>
    </row>
    <row r="161" ht="15" customHeight="1">
      <c r="A161" t="inlineStr">
        <is>
          <t>A 29093-2023</t>
        </is>
      </c>
      <c r="B161" s="1" t="n">
        <v>45105</v>
      </c>
      <c r="C161" s="1" t="n">
        <v>46191</v>
      </c>
      <c r="D161" t="inlineStr">
        <is>
          <t>KALMAR LÄN</t>
        </is>
      </c>
      <c r="E161" t="inlineStr">
        <is>
          <t>VIMMERBY</t>
        </is>
      </c>
      <c r="G161" t="n">
        <v>2.9</v>
      </c>
      <c r="H161" t="n">
        <v>0</v>
      </c>
      <c r="I161" t="n">
        <v>0</v>
      </c>
      <c r="J161" t="n">
        <v>0</v>
      </c>
      <c r="K161" t="n">
        <v>0</v>
      </c>
      <c r="L161" t="n">
        <v>0</v>
      </c>
      <c r="M161" t="n">
        <v>0</v>
      </c>
      <c r="N161" t="n">
        <v>0</v>
      </c>
      <c r="O161" t="n">
        <v>0</v>
      </c>
      <c r="P161" t="n">
        <v>0</v>
      </c>
      <c r="Q161" t="n">
        <v>0</v>
      </c>
      <c r="R161" s="2" t="inlineStr"/>
    </row>
    <row r="162" ht="15" customHeight="1">
      <c r="A162" t="inlineStr">
        <is>
          <t>A 15449-2023</t>
        </is>
      </c>
      <c r="B162" s="1" t="n">
        <v>45020</v>
      </c>
      <c r="C162" s="1" t="n">
        <v>46191</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43594-2024</t>
        </is>
      </c>
      <c r="B163" s="1" t="n">
        <v>45569</v>
      </c>
      <c r="C163" s="1" t="n">
        <v>46191</v>
      </c>
      <c r="D163" t="inlineStr">
        <is>
          <t>KALMAR LÄN</t>
        </is>
      </c>
      <c r="E163" t="inlineStr">
        <is>
          <t>VIMMERBY</t>
        </is>
      </c>
      <c r="G163" t="n">
        <v>3.9</v>
      </c>
      <c r="H163" t="n">
        <v>0</v>
      </c>
      <c r="I163" t="n">
        <v>0</v>
      </c>
      <c r="J163" t="n">
        <v>0</v>
      </c>
      <c r="K163" t="n">
        <v>0</v>
      </c>
      <c r="L163" t="n">
        <v>0</v>
      </c>
      <c r="M163" t="n">
        <v>0</v>
      </c>
      <c r="N163" t="n">
        <v>0</v>
      </c>
      <c r="O163" t="n">
        <v>0</v>
      </c>
      <c r="P163" t="n">
        <v>0</v>
      </c>
      <c r="Q163" t="n">
        <v>0</v>
      </c>
      <c r="R163" s="2" t="inlineStr"/>
    </row>
    <row r="164" ht="15" customHeight="1">
      <c r="A164" t="inlineStr">
        <is>
          <t>A 17486-2024</t>
        </is>
      </c>
      <c r="B164" s="1" t="n">
        <v>45415</v>
      </c>
      <c r="C164" s="1" t="n">
        <v>46191</v>
      </c>
      <c r="D164" t="inlineStr">
        <is>
          <t>KALMAR LÄN</t>
        </is>
      </c>
      <c r="E164" t="inlineStr">
        <is>
          <t>VIMMERBY</t>
        </is>
      </c>
      <c r="G164" t="n">
        <v>2.6</v>
      </c>
      <c r="H164" t="n">
        <v>0</v>
      </c>
      <c r="I164" t="n">
        <v>0</v>
      </c>
      <c r="J164" t="n">
        <v>0</v>
      </c>
      <c r="K164" t="n">
        <v>0</v>
      </c>
      <c r="L164" t="n">
        <v>0</v>
      </c>
      <c r="M164" t="n">
        <v>0</v>
      </c>
      <c r="N164" t="n">
        <v>0</v>
      </c>
      <c r="O164" t="n">
        <v>0</v>
      </c>
      <c r="P164" t="n">
        <v>0</v>
      </c>
      <c r="Q164" t="n">
        <v>0</v>
      </c>
      <c r="R164" s="2" t="inlineStr"/>
    </row>
    <row r="165" ht="15" customHeight="1">
      <c r="A165" t="inlineStr">
        <is>
          <t>A 14248-2023</t>
        </is>
      </c>
      <c r="B165" s="1" t="n">
        <v>45009</v>
      </c>
      <c r="C165" s="1" t="n">
        <v>46191</v>
      </c>
      <c r="D165" t="inlineStr">
        <is>
          <t>KALMAR LÄN</t>
        </is>
      </c>
      <c r="E165" t="inlineStr">
        <is>
          <t>VIMMERBY</t>
        </is>
      </c>
      <c r="G165" t="n">
        <v>2.6</v>
      </c>
      <c r="H165" t="n">
        <v>0</v>
      </c>
      <c r="I165" t="n">
        <v>0</v>
      </c>
      <c r="J165" t="n">
        <v>0</v>
      </c>
      <c r="K165" t="n">
        <v>0</v>
      </c>
      <c r="L165" t="n">
        <v>0</v>
      </c>
      <c r="M165" t="n">
        <v>0</v>
      </c>
      <c r="N165" t="n">
        <v>0</v>
      </c>
      <c r="O165" t="n">
        <v>0</v>
      </c>
      <c r="P165" t="n">
        <v>0</v>
      </c>
      <c r="Q165" t="n">
        <v>0</v>
      </c>
      <c r="R165" s="2" t="inlineStr"/>
    </row>
    <row r="166" ht="15" customHeight="1">
      <c r="A166" t="inlineStr">
        <is>
          <t>A 33359-2021</t>
        </is>
      </c>
      <c r="B166" s="1" t="n">
        <v>44377</v>
      </c>
      <c r="C166" s="1" t="n">
        <v>46191</v>
      </c>
      <c r="D166" t="inlineStr">
        <is>
          <t>KALMAR LÄN</t>
        </is>
      </c>
      <c r="E166" t="inlineStr">
        <is>
          <t>VIMMERBY</t>
        </is>
      </c>
      <c r="F166" t="inlineStr">
        <is>
          <t>Kommuner</t>
        </is>
      </c>
      <c r="G166" t="n">
        <v>8</v>
      </c>
      <c r="H166" t="n">
        <v>0</v>
      </c>
      <c r="I166" t="n">
        <v>0</v>
      </c>
      <c r="J166" t="n">
        <v>0</v>
      </c>
      <c r="K166" t="n">
        <v>0</v>
      </c>
      <c r="L166" t="n">
        <v>0</v>
      </c>
      <c r="M166" t="n">
        <v>0</v>
      </c>
      <c r="N166" t="n">
        <v>0</v>
      </c>
      <c r="O166" t="n">
        <v>0</v>
      </c>
      <c r="P166" t="n">
        <v>0</v>
      </c>
      <c r="Q166" t="n">
        <v>0</v>
      </c>
      <c r="R166" s="2" t="inlineStr"/>
    </row>
    <row r="167" ht="15" customHeight="1">
      <c r="A167" t="inlineStr">
        <is>
          <t>A 43038-2022</t>
        </is>
      </c>
      <c r="B167" s="1" t="n">
        <v>44833</v>
      </c>
      <c r="C167" s="1" t="n">
        <v>46191</v>
      </c>
      <c r="D167" t="inlineStr">
        <is>
          <t>KALMAR LÄN</t>
        </is>
      </c>
      <c r="E167" t="inlineStr">
        <is>
          <t>VIMMERBY</t>
        </is>
      </c>
      <c r="G167" t="n">
        <v>4.2</v>
      </c>
      <c r="H167" t="n">
        <v>0</v>
      </c>
      <c r="I167" t="n">
        <v>0</v>
      </c>
      <c r="J167" t="n">
        <v>0</v>
      </c>
      <c r="K167" t="n">
        <v>0</v>
      </c>
      <c r="L167" t="n">
        <v>0</v>
      </c>
      <c r="M167" t="n">
        <v>0</v>
      </c>
      <c r="N167" t="n">
        <v>0</v>
      </c>
      <c r="O167" t="n">
        <v>0</v>
      </c>
      <c r="P167" t="n">
        <v>0</v>
      </c>
      <c r="Q167" t="n">
        <v>0</v>
      </c>
      <c r="R167" s="2" t="inlineStr"/>
    </row>
    <row r="168" ht="15" customHeight="1">
      <c r="A168" t="inlineStr">
        <is>
          <t>A 50087-2023</t>
        </is>
      </c>
      <c r="B168" s="1" t="n">
        <v>45215</v>
      </c>
      <c r="C168" s="1" t="n">
        <v>46191</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30400-2023</t>
        </is>
      </c>
      <c r="B169" s="1" t="n">
        <v>45111</v>
      </c>
      <c r="C169" s="1" t="n">
        <v>46191</v>
      </c>
      <c r="D169" t="inlineStr">
        <is>
          <t>KALMAR LÄN</t>
        </is>
      </c>
      <c r="E169" t="inlineStr">
        <is>
          <t>VIMMERBY</t>
        </is>
      </c>
      <c r="G169" t="n">
        <v>2.7</v>
      </c>
      <c r="H169" t="n">
        <v>0</v>
      </c>
      <c r="I169" t="n">
        <v>0</v>
      </c>
      <c r="J169" t="n">
        <v>0</v>
      </c>
      <c r="K169" t="n">
        <v>0</v>
      </c>
      <c r="L169" t="n">
        <v>0</v>
      </c>
      <c r="M169" t="n">
        <v>0</v>
      </c>
      <c r="N169" t="n">
        <v>0</v>
      </c>
      <c r="O169" t="n">
        <v>0</v>
      </c>
      <c r="P169" t="n">
        <v>0</v>
      </c>
      <c r="Q169" t="n">
        <v>0</v>
      </c>
      <c r="R169" s="2" t="inlineStr"/>
    </row>
    <row r="170" ht="15" customHeight="1">
      <c r="A170" t="inlineStr">
        <is>
          <t>A 30404-2023</t>
        </is>
      </c>
      <c r="B170" s="1" t="n">
        <v>45111</v>
      </c>
      <c r="C170" s="1" t="n">
        <v>46191</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33681-2022</t>
        </is>
      </c>
      <c r="B171" s="1" t="n">
        <v>44789</v>
      </c>
      <c r="C171" s="1" t="n">
        <v>46191</v>
      </c>
      <c r="D171" t="inlineStr">
        <is>
          <t>KALMAR LÄN</t>
        </is>
      </c>
      <c r="E171" t="inlineStr">
        <is>
          <t>VIMMERBY</t>
        </is>
      </c>
      <c r="G171" t="n">
        <v>3.2</v>
      </c>
      <c r="H171" t="n">
        <v>0</v>
      </c>
      <c r="I171" t="n">
        <v>0</v>
      </c>
      <c r="J171" t="n">
        <v>0</v>
      </c>
      <c r="K171" t="n">
        <v>0</v>
      </c>
      <c r="L171" t="n">
        <v>0</v>
      </c>
      <c r="M171" t="n">
        <v>0</v>
      </c>
      <c r="N171" t="n">
        <v>0</v>
      </c>
      <c r="O171" t="n">
        <v>0</v>
      </c>
      <c r="P171" t="n">
        <v>0</v>
      </c>
      <c r="Q171" t="n">
        <v>0</v>
      </c>
      <c r="R171" s="2" t="inlineStr"/>
    </row>
    <row r="172" ht="15" customHeight="1">
      <c r="A172" t="inlineStr">
        <is>
          <t>A 55123-2024</t>
        </is>
      </c>
      <c r="B172" s="1" t="n">
        <v>45621</v>
      </c>
      <c r="C172" s="1" t="n">
        <v>46191</v>
      </c>
      <c r="D172" t="inlineStr">
        <is>
          <t>KALMAR LÄN</t>
        </is>
      </c>
      <c r="E172" t="inlineStr">
        <is>
          <t>VIMMERBY</t>
        </is>
      </c>
      <c r="G172" t="n">
        <v>3.1</v>
      </c>
      <c r="H172" t="n">
        <v>0</v>
      </c>
      <c r="I172" t="n">
        <v>0</v>
      </c>
      <c r="J172" t="n">
        <v>0</v>
      </c>
      <c r="K172" t="n">
        <v>0</v>
      </c>
      <c r="L172" t="n">
        <v>0</v>
      </c>
      <c r="M172" t="n">
        <v>0</v>
      </c>
      <c r="N172" t="n">
        <v>0</v>
      </c>
      <c r="O172" t="n">
        <v>0</v>
      </c>
      <c r="P172" t="n">
        <v>0</v>
      </c>
      <c r="Q172" t="n">
        <v>0</v>
      </c>
      <c r="R172" s="2" t="inlineStr"/>
    </row>
    <row r="173" ht="15" customHeight="1">
      <c r="A173" t="inlineStr">
        <is>
          <t>A 31405-2023</t>
        </is>
      </c>
      <c r="B173" s="1" t="n">
        <v>45114</v>
      </c>
      <c r="C173" s="1" t="n">
        <v>46191</v>
      </c>
      <c r="D173" t="inlineStr">
        <is>
          <t>KALMAR LÄN</t>
        </is>
      </c>
      <c r="E173" t="inlineStr">
        <is>
          <t>VIMMERBY</t>
        </is>
      </c>
      <c r="G173" t="n">
        <v>2.6</v>
      </c>
      <c r="H173" t="n">
        <v>0</v>
      </c>
      <c r="I173" t="n">
        <v>0</v>
      </c>
      <c r="J173" t="n">
        <v>0</v>
      </c>
      <c r="K173" t="n">
        <v>0</v>
      </c>
      <c r="L173" t="n">
        <v>0</v>
      </c>
      <c r="M173" t="n">
        <v>0</v>
      </c>
      <c r="N173" t="n">
        <v>0</v>
      </c>
      <c r="O173" t="n">
        <v>0</v>
      </c>
      <c r="P173" t="n">
        <v>0</v>
      </c>
      <c r="Q173" t="n">
        <v>0</v>
      </c>
      <c r="R173" s="2" t="inlineStr"/>
    </row>
    <row r="174" ht="15" customHeight="1">
      <c r="A174" t="inlineStr">
        <is>
          <t>A 24707-2024</t>
        </is>
      </c>
      <c r="B174" s="1" t="n">
        <v>45460</v>
      </c>
      <c r="C174" s="1" t="n">
        <v>46191</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39807-2025</t>
        </is>
      </c>
      <c r="B175" s="1" t="n">
        <v>45891</v>
      </c>
      <c r="C175" s="1" t="n">
        <v>46191</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36049-2024</t>
        </is>
      </c>
      <c r="B176" s="1" t="n">
        <v>45533</v>
      </c>
      <c r="C176" s="1" t="n">
        <v>46191</v>
      </c>
      <c r="D176" t="inlineStr">
        <is>
          <t>KALMAR LÄN</t>
        </is>
      </c>
      <c r="E176" t="inlineStr">
        <is>
          <t>VIMMERBY</t>
        </is>
      </c>
      <c r="F176" t="inlineStr">
        <is>
          <t>Kommuner</t>
        </is>
      </c>
      <c r="G176" t="n">
        <v>2.6</v>
      </c>
      <c r="H176" t="n">
        <v>0</v>
      </c>
      <c r="I176" t="n">
        <v>0</v>
      </c>
      <c r="J176" t="n">
        <v>0</v>
      </c>
      <c r="K176" t="n">
        <v>0</v>
      </c>
      <c r="L176" t="n">
        <v>0</v>
      </c>
      <c r="M176" t="n">
        <v>0</v>
      </c>
      <c r="N176" t="n">
        <v>0</v>
      </c>
      <c r="O176" t="n">
        <v>0</v>
      </c>
      <c r="P176" t="n">
        <v>0</v>
      </c>
      <c r="Q176" t="n">
        <v>0</v>
      </c>
      <c r="R176" s="2" t="inlineStr"/>
    </row>
    <row r="177" ht="15" customHeight="1">
      <c r="A177" t="inlineStr">
        <is>
          <t>A 39736-2025</t>
        </is>
      </c>
      <c r="B177" s="1" t="n">
        <v>45891</v>
      </c>
      <c r="C177" s="1" t="n">
        <v>46191</v>
      </c>
      <c r="D177" t="inlineStr">
        <is>
          <t>KALMAR LÄN</t>
        </is>
      </c>
      <c r="E177" t="inlineStr">
        <is>
          <t>VIMMERBY</t>
        </is>
      </c>
      <c r="G177" t="n">
        <v>12.8</v>
      </c>
      <c r="H177" t="n">
        <v>0</v>
      </c>
      <c r="I177" t="n">
        <v>0</v>
      </c>
      <c r="J177" t="n">
        <v>0</v>
      </c>
      <c r="K177" t="n">
        <v>0</v>
      </c>
      <c r="L177" t="n">
        <v>0</v>
      </c>
      <c r="M177" t="n">
        <v>0</v>
      </c>
      <c r="N177" t="n">
        <v>0</v>
      </c>
      <c r="O177" t="n">
        <v>0</v>
      </c>
      <c r="P177" t="n">
        <v>0</v>
      </c>
      <c r="Q177" t="n">
        <v>0</v>
      </c>
      <c r="R177" s="2" t="inlineStr"/>
    </row>
    <row r="178" ht="15" customHeight="1">
      <c r="A178" t="inlineStr">
        <is>
          <t>A 39803-2025</t>
        </is>
      </c>
      <c r="B178" s="1" t="n">
        <v>45891</v>
      </c>
      <c r="C178" s="1" t="n">
        <v>46191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2523-2026</t>
        </is>
      </c>
      <c r="B179" s="1" t="n">
        <v>46037</v>
      </c>
      <c r="C179" s="1" t="n">
        <v>46191</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2514-2026</t>
        </is>
      </c>
      <c r="B180" s="1" t="n">
        <v>46037</v>
      </c>
      <c r="C180" s="1" t="n">
        <v>46191</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2518-2026</t>
        </is>
      </c>
      <c r="B181" s="1" t="n">
        <v>46037</v>
      </c>
      <c r="C181" s="1" t="n">
        <v>46191</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40970-2025</t>
        </is>
      </c>
      <c r="B182" s="1" t="n">
        <v>45897</v>
      </c>
      <c r="C182" s="1" t="n">
        <v>46191</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40973-2025</t>
        </is>
      </c>
      <c r="B183" s="1" t="n">
        <v>45897</v>
      </c>
      <c r="C183" s="1" t="n">
        <v>46191</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14359-2025</t>
        </is>
      </c>
      <c r="B184" s="1" t="n">
        <v>45741</v>
      </c>
      <c r="C184" s="1" t="n">
        <v>46191</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3266-2026</t>
        </is>
      </c>
      <c r="B185" s="1" t="n">
        <v>46041</v>
      </c>
      <c r="C185" s="1" t="n">
        <v>46191</v>
      </c>
      <c r="D185" t="inlineStr">
        <is>
          <t>KALMAR LÄN</t>
        </is>
      </c>
      <c r="E185" t="inlineStr">
        <is>
          <t>VIMMERBY</t>
        </is>
      </c>
      <c r="G185" t="n">
        <v>1.2</v>
      </c>
      <c r="H185" t="n">
        <v>0</v>
      </c>
      <c r="I185" t="n">
        <v>0</v>
      </c>
      <c r="J185" t="n">
        <v>0</v>
      </c>
      <c r="K185" t="n">
        <v>0</v>
      </c>
      <c r="L185" t="n">
        <v>0</v>
      </c>
      <c r="M185" t="n">
        <v>0</v>
      </c>
      <c r="N185" t="n">
        <v>0</v>
      </c>
      <c r="O185" t="n">
        <v>0</v>
      </c>
      <c r="P185" t="n">
        <v>0</v>
      </c>
      <c r="Q185" t="n">
        <v>0</v>
      </c>
      <c r="R185" s="2" t="inlineStr"/>
    </row>
    <row r="186" ht="15" customHeight="1">
      <c r="A186" t="inlineStr">
        <is>
          <t>A 39578-2024</t>
        </is>
      </c>
      <c r="B186" s="1" t="n">
        <v>45552</v>
      </c>
      <c r="C186" s="1" t="n">
        <v>46191</v>
      </c>
      <c r="D186" t="inlineStr">
        <is>
          <t>KALMAR LÄN</t>
        </is>
      </c>
      <c r="E186" t="inlineStr">
        <is>
          <t>VIMMERBY</t>
        </is>
      </c>
      <c r="G186" t="n">
        <v>1.5</v>
      </c>
      <c r="H186" t="n">
        <v>0</v>
      </c>
      <c r="I186" t="n">
        <v>0</v>
      </c>
      <c r="J186" t="n">
        <v>0</v>
      </c>
      <c r="K186" t="n">
        <v>0</v>
      </c>
      <c r="L186" t="n">
        <v>0</v>
      </c>
      <c r="M186" t="n">
        <v>0</v>
      </c>
      <c r="N186" t="n">
        <v>0</v>
      </c>
      <c r="O186" t="n">
        <v>0</v>
      </c>
      <c r="P186" t="n">
        <v>0</v>
      </c>
      <c r="Q186" t="n">
        <v>0</v>
      </c>
      <c r="R186" s="2" t="inlineStr"/>
    </row>
    <row r="187" ht="15" customHeight="1">
      <c r="A187" t="inlineStr">
        <is>
          <t>A 3965-2026</t>
        </is>
      </c>
      <c r="B187" s="1" t="n">
        <v>46044</v>
      </c>
      <c r="C187" s="1" t="n">
        <v>46191</v>
      </c>
      <c r="D187" t="inlineStr">
        <is>
          <t>KALMAR LÄN</t>
        </is>
      </c>
      <c r="E187" t="inlineStr">
        <is>
          <t>VIMMERBY</t>
        </is>
      </c>
      <c r="G187" t="n">
        <v>2.6</v>
      </c>
      <c r="H187" t="n">
        <v>0</v>
      </c>
      <c r="I187" t="n">
        <v>0</v>
      </c>
      <c r="J187" t="n">
        <v>0</v>
      </c>
      <c r="K187" t="n">
        <v>0</v>
      </c>
      <c r="L187" t="n">
        <v>0</v>
      </c>
      <c r="M187" t="n">
        <v>0</v>
      </c>
      <c r="N187" t="n">
        <v>0</v>
      </c>
      <c r="O187" t="n">
        <v>0</v>
      </c>
      <c r="P187" t="n">
        <v>0</v>
      </c>
      <c r="Q187" t="n">
        <v>0</v>
      </c>
      <c r="R187" s="2" t="inlineStr"/>
    </row>
    <row r="188" ht="15" customHeight="1">
      <c r="A188" t="inlineStr">
        <is>
          <t>A 40971-2025</t>
        </is>
      </c>
      <c r="B188" s="1" t="n">
        <v>45897</v>
      </c>
      <c r="C188" s="1" t="n">
        <v>46191</v>
      </c>
      <c r="D188" t="inlineStr">
        <is>
          <t>KALMAR LÄN</t>
        </is>
      </c>
      <c r="E188" t="inlineStr">
        <is>
          <t>VIMMERBY</t>
        </is>
      </c>
      <c r="G188" t="n">
        <v>1.5</v>
      </c>
      <c r="H188" t="n">
        <v>0</v>
      </c>
      <c r="I188" t="n">
        <v>0</v>
      </c>
      <c r="J188" t="n">
        <v>0</v>
      </c>
      <c r="K188" t="n">
        <v>0</v>
      </c>
      <c r="L188" t="n">
        <v>0</v>
      </c>
      <c r="M188" t="n">
        <v>0</v>
      </c>
      <c r="N188" t="n">
        <v>0</v>
      </c>
      <c r="O188" t="n">
        <v>0</v>
      </c>
      <c r="P188" t="n">
        <v>0</v>
      </c>
      <c r="Q188" t="n">
        <v>0</v>
      </c>
      <c r="R188" s="2" t="inlineStr"/>
    </row>
    <row r="189" ht="15" customHeight="1">
      <c r="A189" t="inlineStr">
        <is>
          <t>A 3868-2026</t>
        </is>
      </c>
      <c r="B189" s="1" t="n">
        <v>46043</v>
      </c>
      <c r="C189" s="1" t="n">
        <v>46191</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3869-2026</t>
        </is>
      </c>
      <c r="B190" s="1" t="n">
        <v>46043</v>
      </c>
      <c r="C190" s="1" t="n">
        <v>46191</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41591-2025</t>
        </is>
      </c>
      <c r="B191" s="1" t="n">
        <v>45901</v>
      </c>
      <c r="C191" s="1" t="n">
        <v>46191</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41589-2025</t>
        </is>
      </c>
      <c r="B192" s="1" t="n">
        <v>45901</v>
      </c>
      <c r="C192" s="1" t="n">
        <v>46191</v>
      </c>
      <c r="D192" t="inlineStr">
        <is>
          <t>KALMAR LÄN</t>
        </is>
      </c>
      <c r="E192" t="inlineStr">
        <is>
          <t>VIMMERBY</t>
        </is>
      </c>
      <c r="G192" t="n">
        <v>1.7</v>
      </c>
      <c r="H192" t="n">
        <v>0</v>
      </c>
      <c r="I192" t="n">
        <v>0</v>
      </c>
      <c r="J192" t="n">
        <v>0</v>
      </c>
      <c r="K192" t="n">
        <v>0</v>
      </c>
      <c r="L192" t="n">
        <v>0</v>
      </c>
      <c r="M192" t="n">
        <v>0</v>
      </c>
      <c r="N192" t="n">
        <v>0</v>
      </c>
      <c r="O192" t="n">
        <v>0</v>
      </c>
      <c r="P192" t="n">
        <v>0</v>
      </c>
      <c r="Q192" t="n">
        <v>0</v>
      </c>
      <c r="R192" s="2" t="inlineStr"/>
    </row>
    <row r="193" ht="15" customHeight="1">
      <c r="A193" t="inlineStr">
        <is>
          <t>A 62779-2023</t>
        </is>
      </c>
      <c r="B193" s="1" t="n">
        <v>45271</v>
      </c>
      <c r="C193" s="1" t="n">
        <v>46191</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v>
      </c>
      <c r="C194" s="1" t="n">
        <v>46191</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34090-2025</t>
        </is>
      </c>
      <c r="B195" s="1" t="n">
        <v>45845</v>
      </c>
      <c r="C195" s="1" t="n">
        <v>46191</v>
      </c>
      <c r="D195" t="inlineStr">
        <is>
          <t>KALMAR LÄN</t>
        </is>
      </c>
      <c r="E195" t="inlineStr">
        <is>
          <t>VIMMERBY</t>
        </is>
      </c>
      <c r="G195" t="n">
        <v>2.8</v>
      </c>
      <c r="H195" t="n">
        <v>0</v>
      </c>
      <c r="I195" t="n">
        <v>0</v>
      </c>
      <c r="J195" t="n">
        <v>0</v>
      </c>
      <c r="K195" t="n">
        <v>0</v>
      </c>
      <c r="L195" t="n">
        <v>0</v>
      </c>
      <c r="M195" t="n">
        <v>0</v>
      </c>
      <c r="N195" t="n">
        <v>0</v>
      </c>
      <c r="O195" t="n">
        <v>0</v>
      </c>
      <c r="P195" t="n">
        <v>0</v>
      </c>
      <c r="Q195" t="n">
        <v>0</v>
      </c>
      <c r="R195" s="2" t="inlineStr"/>
    </row>
    <row r="196" ht="15" customHeight="1">
      <c r="A196" t="inlineStr">
        <is>
          <t>A 3425-2022</t>
        </is>
      </c>
      <c r="B196" s="1" t="n">
        <v>44585</v>
      </c>
      <c r="C196" s="1" t="n">
        <v>46191</v>
      </c>
      <c r="D196" t="inlineStr">
        <is>
          <t>KALMAR LÄN</t>
        </is>
      </c>
      <c r="E196" t="inlineStr">
        <is>
          <t>VIMMERBY</t>
        </is>
      </c>
      <c r="G196" t="n">
        <v>1.3</v>
      </c>
      <c r="H196" t="n">
        <v>0</v>
      </c>
      <c r="I196" t="n">
        <v>0</v>
      </c>
      <c r="J196" t="n">
        <v>0</v>
      </c>
      <c r="K196" t="n">
        <v>0</v>
      </c>
      <c r="L196" t="n">
        <v>0</v>
      </c>
      <c r="M196" t="n">
        <v>0</v>
      </c>
      <c r="N196" t="n">
        <v>0</v>
      </c>
      <c r="O196" t="n">
        <v>0</v>
      </c>
      <c r="P196" t="n">
        <v>0</v>
      </c>
      <c r="Q196" t="n">
        <v>0</v>
      </c>
      <c r="R196" s="2" t="inlineStr"/>
    </row>
    <row r="197" ht="15" customHeight="1">
      <c r="A197" t="inlineStr">
        <is>
          <t>A 43962-2024</t>
        </is>
      </c>
      <c r="B197" s="1" t="n">
        <v>45572</v>
      </c>
      <c r="C197" s="1" t="n">
        <v>46191</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12810-2023</t>
        </is>
      </c>
      <c r="B198" s="1" t="n">
        <v>45001</v>
      </c>
      <c r="C198" s="1" t="n">
        <v>46191</v>
      </c>
      <c r="D198" t="inlineStr">
        <is>
          <t>KALMAR LÄN</t>
        </is>
      </c>
      <c r="E198" t="inlineStr">
        <is>
          <t>VIMMERBY</t>
        </is>
      </c>
      <c r="G198" t="n">
        <v>1.5</v>
      </c>
      <c r="H198" t="n">
        <v>0</v>
      </c>
      <c r="I198" t="n">
        <v>0</v>
      </c>
      <c r="J198" t="n">
        <v>0</v>
      </c>
      <c r="K198" t="n">
        <v>0</v>
      </c>
      <c r="L198" t="n">
        <v>0</v>
      </c>
      <c r="M198" t="n">
        <v>0</v>
      </c>
      <c r="N198" t="n">
        <v>0</v>
      </c>
      <c r="O198" t="n">
        <v>0</v>
      </c>
      <c r="P198" t="n">
        <v>0</v>
      </c>
      <c r="Q198" t="n">
        <v>0</v>
      </c>
      <c r="R198" s="2" t="inlineStr"/>
    </row>
    <row r="199" ht="15" customHeight="1">
      <c r="A199" t="inlineStr">
        <is>
          <t>A 43068-2023</t>
        </is>
      </c>
      <c r="B199" s="1" t="n">
        <v>45182</v>
      </c>
      <c r="C199" s="1" t="n">
        <v>46191</v>
      </c>
      <c r="D199" t="inlineStr">
        <is>
          <t>KALMAR LÄN</t>
        </is>
      </c>
      <c r="E199" t="inlineStr">
        <is>
          <t>VIMMERBY</t>
        </is>
      </c>
      <c r="G199" t="n">
        <v>1.5</v>
      </c>
      <c r="H199" t="n">
        <v>0</v>
      </c>
      <c r="I199" t="n">
        <v>0</v>
      </c>
      <c r="J199" t="n">
        <v>0</v>
      </c>
      <c r="K199" t="n">
        <v>0</v>
      </c>
      <c r="L199" t="n">
        <v>0</v>
      </c>
      <c r="M199" t="n">
        <v>0</v>
      </c>
      <c r="N199" t="n">
        <v>0</v>
      </c>
      <c r="O199" t="n">
        <v>0</v>
      </c>
      <c r="P199" t="n">
        <v>0</v>
      </c>
      <c r="Q199" t="n">
        <v>0</v>
      </c>
      <c r="R199" s="2" t="inlineStr"/>
    </row>
    <row r="200" ht="15" customHeight="1">
      <c r="A200" t="inlineStr">
        <is>
          <t>A 12075-2024</t>
        </is>
      </c>
      <c r="B200" s="1" t="n">
        <v>45377</v>
      </c>
      <c r="C200" s="1" t="n">
        <v>46191</v>
      </c>
      <c r="D200" t="inlineStr">
        <is>
          <t>KALMAR LÄN</t>
        </is>
      </c>
      <c r="E200" t="inlineStr">
        <is>
          <t>VIMMERBY</t>
        </is>
      </c>
      <c r="G200" t="n">
        <v>3.7</v>
      </c>
      <c r="H200" t="n">
        <v>0</v>
      </c>
      <c r="I200" t="n">
        <v>0</v>
      </c>
      <c r="J200" t="n">
        <v>0</v>
      </c>
      <c r="K200" t="n">
        <v>0</v>
      </c>
      <c r="L200" t="n">
        <v>0</v>
      </c>
      <c r="M200" t="n">
        <v>0</v>
      </c>
      <c r="N200" t="n">
        <v>0</v>
      </c>
      <c r="O200" t="n">
        <v>0</v>
      </c>
      <c r="P200" t="n">
        <v>0</v>
      </c>
      <c r="Q200" t="n">
        <v>0</v>
      </c>
      <c r="R200" s="2" t="inlineStr"/>
    </row>
    <row r="201" ht="15" customHeight="1">
      <c r="A201" t="inlineStr">
        <is>
          <t>A 12033-2024</t>
        </is>
      </c>
      <c r="B201" s="1" t="n">
        <v>45377</v>
      </c>
      <c r="C201" s="1" t="n">
        <v>46191</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2462-2022</t>
        </is>
      </c>
      <c r="B202" s="1" t="n">
        <v>44579</v>
      </c>
      <c r="C202" s="1" t="n">
        <v>46191</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49408-2023</t>
        </is>
      </c>
      <c r="B203" s="1" t="n">
        <v>45211</v>
      </c>
      <c r="C203" s="1" t="n">
        <v>46191</v>
      </c>
      <c r="D203" t="inlineStr">
        <is>
          <t>KALMAR LÄN</t>
        </is>
      </c>
      <c r="E203" t="inlineStr">
        <is>
          <t>VIMMERBY</t>
        </is>
      </c>
      <c r="G203" t="n">
        <v>13.1</v>
      </c>
      <c r="H203" t="n">
        <v>0</v>
      </c>
      <c r="I203" t="n">
        <v>0</v>
      </c>
      <c r="J203" t="n">
        <v>0</v>
      </c>
      <c r="K203" t="n">
        <v>0</v>
      </c>
      <c r="L203" t="n">
        <v>0</v>
      </c>
      <c r="M203" t="n">
        <v>0</v>
      </c>
      <c r="N203" t="n">
        <v>0</v>
      </c>
      <c r="O203" t="n">
        <v>0</v>
      </c>
      <c r="P203" t="n">
        <v>0</v>
      </c>
      <c r="Q203" t="n">
        <v>0</v>
      </c>
      <c r="R203" s="2" t="inlineStr"/>
    </row>
    <row r="204" ht="15" customHeight="1">
      <c r="A204" t="inlineStr">
        <is>
          <t>A 27443-2023</t>
        </is>
      </c>
      <c r="B204" s="1" t="n">
        <v>45097</v>
      </c>
      <c r="C204" s="1" t="n">
        <v>46191</v>
      </c>
      <c r="D204" t="inlineStr">
        <is>
          <t>KALMAR LÄN</t>
        </is>
      </c>
      <c r="E204" t="inlineStr">
        <is>
          <t>VIMMERBY</t>
        </is>
      </c>
      <c r="F204" t="inlineStr">
        <is>
          <t>Övriga Aktiebolag</t>
        </is>
      </c>
      <c r="G204" t="n">
        <v>2.3</v>
      </c>
      <c r="H204" t="n">
        <v>0</v>
      </c>
      <c r="I204" t="n">
        <v>0</v>
      </c>
      <c r="J204" t="n">
        <v>0</v>
      </c>
      <c r="K204" t="n">
        <v>0</v>
      </c>
      <c r="L204" t="n">
        <v>0</v>
      </c>
      <c r="M204" t="n">
        <v>0</v>
      </c>
      <c r="N204" t="n">
        <v>0</v>
      </c>
      <c r="O204" t="n">
        <v>0</v>
      </c>
      <c r="P204" t="n">
        <v>0</v>
      </c>
      <c r="Q204" t="n">
        <v>0</v>
      </c>
      <c r="R204" s="2" t="inlineStr"/>
    </row>
    <row r="205" ht="15" customHeight="1">
      <c r="A205" t="inlineStr">
        <is>
          <t>A 13015-2022</t>
        </is>
      </c>
      <c r="B205" s="1" t="n">
        <v>44643</v>
      </c>
      <c r="C205" s="1" t="n">
        <v>46191</v>
      </c>
      <c r="D205" t="inlineStr">
        <is>
          <t>KALMAR LÄN</t>
        </is>
      </c>
      <c r="E205" t="inlineStr">
        <is>
          <t>VIMMERBY</t>
        </is>
      </c>
      <c r="G205" t="n">
        <v>2.4</v>
      </c>
      <c r="H205" t="n">
        <v>0</v>
      </c>
      <c r="I205" t="n">
        <v>0</v>
      </c>
      <c r="J205" t="n">
        <v>0</v>
      </c>
      <c r="K205" t="n">
        <v>0</v>
      </c>
      <c r="L205" t="n">
        <v>0</v>
      </c>
      <c r="M205" t="n">
        <v>0</v>
      </c>
      <c r="N205" t="n">
        <v>0</v>
      </c>
      <c r="O205" t="n">
        <v>0</v>
      </c>
      <c r="P205" t="n">
        <v>0</v>
      </c>
      <c r="Q205" t="n">
        <v>0</v>
      </c>
      <c r="R205" s="2" t="inlineStr"/>
    </row>
    <row r="206" ht="15" customHeight="1">
      <c r="A206" t="inlineStr">
        <is>
          <t>A 4624-2024</t>
        </is>
      </c>
      <c r="B206" s="1" t="n">
        <v>45328</v>
      </c>
      <c r="C206" s="1" t="n">
        <v>46191</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9129-2025</t>
        </is>
      </c>
      <c r="B207" s="1" t="n">
        <v>45713</v>
      </c>
      <c r="C207" s="1" t="n">
        <v>46191</v>
      </c>
      <c r="D207" t="inlineStr">
        <is>
          <t>KALMAR LÄN</t>
        </is>
      </c>
      <c r="E207" t="inlineStr">
        <is>
          <t>VIMMERBY</t>
        </is>
      </c>
      <c r="G207" t="n">
        <v>2.8</v>
      </c>
      <c r="H207" t="n">
        <v>0</v>
      </c>
      <c r="I207" t="n">
        <v>0</v>
      </c>
      <c r="J207" t="n">
        <v>0</v>
      </c>
      <c r="K207" t="n">
        <v>0</v>
      </c>
      <c r="L207" t="n">
        <v>0</v>
      </c>
      <c r="M207" t="n">
        <v>0</v>
      </c>
      <c r="N207" t="n">
        <v>0</v>
      </c>
      <c r="O207" t="n">
        <v>0</v>
      </c>
      <c r="P207" t="n">
        <v>0</v>
      </c>
      <c r="Q207" t="n">
        <v>0</v>
      </c>
      <c r="R207" s="2" t="inlineStr"/>
    </row>
    <row r="208" ht="15" customHeight="1">
      <c r="A208" t="inlineStr">
        <is>
          <t>A 28395-2023</t>
        </is>
      </c>
      <c r="B208" s="1" t="n">
        <v>45100</v>
      </c>
      <c r="C208" s="1" t="n">
        <v>46191</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18501-2024</t>
        </is>
      </c>
      <c r="B209" s="1" t="n">
        <v>45425</v>
      </c>
      <c r="C209" s="1" t="n">
        <v>46191</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44091-2025</t>
        </is>
      </c>
      <c r="B210" s="1" t="n">
        <v>45915</v>
      </c>
      <c r="C210" s="1" t="n">
        <v>46191</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22643-2023</t>
        </is>
      </c>
      <c r="B211" s="1" t="n">
        <v>45071</v>
      </c>
      <c r="C211" s="1" t="n">
        <v>46191</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44095-2025</t>
        </is>
      </c>
      <c r="B212" s="1" t="n">
        <v>45915</v>
      </c>
      <c r="C212" s="1" t="n">
        <v>46191</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25799-2023</t>
        </is>
      </c>
      <c r="B213" s="1" t="n">
        <v>45090</v>
      </c>
      <c r="C213" s="1" t="n">
        <v>46191</v>
      </c>
      <c r="D213" t="inlineStr">
        <is>
          <t>KALMAR LÄN</t>
        </is>
      </c>
      <c r="E213" t="inlineStr">
        <is>
          <t>VIMMERBY</t>
        </is>
      </c>
      <c r="G213" t="n">
        <v>7.7</v>
      </c>
      <c r="H213" t="n">
        <v>0</v>
      </c>
      <c r="I213" t="n">
        <v>0</v>
      </c>
      <c r="J213" t="n">
        <v>0</v>
      </c>
      <c r="K213" t="n">
        <v>0</v>
      </c>
      <c r="L213" t="n">
        <v>0</v>
      </c>
      <c r="M213" t="n">
        <v>0</v>
      </c>
      <c r="N213" t="n">
        <v>0</v>
      </c>
      <c r="O213" t="n">
        <v>0</v>
      </c>
      <c r="P213" t="n">
        <v>0</v>
      </c>
      <c r="Q213" t="n">
        <v>0</v>
      </c>
      <c r="R213" s="2" t="inlineStr"/>
    </row>
    <row r="214" ht="15" customHeight="1">
      <c r="A214" t="inlineStr">
        <is>
          <t>A 57256-2023</t>
        </is>
      </c>
      <c r="B214" s="1" t="n">
        <v>45245</v>
      </c>
      <c r="C214" s="1" t="n">
        <v>46191</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23088-2024</t>
        </is>
      </c>
      <c r="B215" s="1" t="n">
        <v>45450</v>
      </c>
      <c r="C215" s="1" t="n">
        <v>46191</v>
      </c>
      <c r="D215" t="inlineStr">
        <is>
          <t>KALMAR LÄN</t>
        </is>
      </c>
      <c r="E215" t="inlineStr">
        <is>
          <t>VIMMERBY</t>
        </is>
      </c>
      <c r="G215" t="n">
        <v>1.9</v>
      </c>
      <c r="H215" t="n">
        <v>0</v>
      </c>
      <c r="I215" t="n">
        <v>0</v>
      </c>
      <c r="J215" t="n">
        <v>0</v>
      </c>
      <c r="K215" t="n">
        <v>0</v>
      </c>
      <c r="L215" t="n">
        <v>0</v>
      </c>
      <c r="M215" t="n">
        <v>0</v>
      </c>
      <c r="N215" t="n">
        <v>0</v>
      </c>
      <c r="O215" t="n">
        <v>0</v>
      </c>
      <c r="P215" t="n">
        <v>0</v>
      </c>
      <c r="Q215" t="n">
        <v>0</v>
      </c>
      <c r="R215" s="2" t="inlineStr"/>
    </row>
    <row r="216" ht="15" customHeight="1">
      <c r="A216" t="inlineStr">
        <is>
          <t>A 34597-2022</t>
        </is>
      </c>
      <c r="B216" s="1" t="n">
        <v>44795</v>
      </c>
      <c r="C216" s="1" t="n">
        <v>46191</v>
      </c>
      <c r="D216" t="inlineStr">
        <is>
          <t>KALMAR LÄN</t>
        </is>
      </c>
      <c r="E216" t="inlineStr">
        <is>
          <t>VIMMERBY</t>
        </is>
      </c>
      <c r="G216" t="n">
        <v>2.2</v>
      </c>
      <c r="H216" t="n">
        <v>0</v>
      </c>
      <c r="I216" t="n">
        <v>0</v>
      </c>
      <c r="J216" t="n">
        <v>0</v>
      </c>
      <c r="K216" t="n">
        <v>0</v>
      </c>
      <c r="L216" t="n">
        <v>0</v>
      </c>
      <c r="M216" t="n">
        <v>0</v>
      </c>
      <c r="N216" t="n">
        <v>0</v>
      </c>
      <c r="O216" t="n">
        <v>0</v>
      </c>
      <c r="P216" t="n">
        <v>0</v>
      </c>
      <c r="Q216" t="n">
        <v>0</v>
      </c>
      <c r="R216" s="2" t="inlineStr"/>
    </row>
    <row r="217" ht="15" customHeight="1">
      <c r="A217" t="inlineStr">
        <is>
          <t>A 40079-2023</t>
        </is>
      </c>
      <c r="B217" s="1" t="n">
        <v>45168</v>
      </c>
      <c r="C217" s="1" t="n">
        <v>46191</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6817-2026</t>
        </is>
      </c>
      <c r="B218" s="1" t="n">
        <v>46057</v>
      </c>
      <c r="C218" s="1" t="n">
        <v>46191</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19833-2023</t>
        </is>
      </c>
      <c r="B219" s="1" t="n">
        <v>45052</v>
      </c>
      <c r="C219" s="1" t="n">
        <v>46191</v>
      </c>
      <c r="D219" t="inlineStr">
        <is>
          <t>KALMAR LÄN</t>
        </is>
      </c>
      <c r="E219" t="inlineStr">
        <is>
          <t>VIMMERBY</t>
        </is>
      </c>
      <c r="G219" t="n">
        <v>6.7</v>
      </c>
      <c r="H219" t="n">
        <v>0</v>
      </c>
      <c r="I219" t="n">
        <v>0</v>
      </c>
      <c r="J219" t="n">
        <v>0</v>
      </c>
      <c r="K219" t="n">
        <v>0</v>
      </c>
      <c r="L219" t="n">
        <v>0</v>
      </c>
      <c r="M219" t="n">
        <v>0</v>
      </c>
      <c r="N219" t="n">
        <v>0</v>
      </c>
      <c r="O219" t="n">
        <v>0</v>
      </c>
      <c r="P219" t="n">
        <v>0</v>
      </c>
      <c r="Q219" t="n">
        <v>0</v>
      </c>
      <c r="R219" s="2" t="inlineStr"/>
    </row>
    <row r="220" ht="15" customHeight="1">
      <c r="A220" t="inlineStr">
        <is>
          <t>A 57189-2022</t>
        </is>
      </c>
      <c r="B220" s="1" t="n">
        <v>44895</v>
      </c>
      <c r="C220" s="1" t="n">
        <v>46191</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17084-2025</t>
        </is>
      </c>
      <c r="B221" s="1" t="n">
        <v>45755</v>
      </c>
      <c r="C221" s="1" t="n">
        <v>46191</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56022-2024</t>
        </is>
      </c>
      <c r="B222" s="1" t="n">
        <v>45623</v>
      </c>
      <c r="C222" s="1" t="n">
        <v>46191</v>
      </c>
      <c r="D222" t="inlineStr">
        <is>
          <t>KALMAR LÄN</t>
        </is>
      </c>
      <c r="E222" t="inlineStr">
        <is>
          <t>VIMMERBY</t>
        </is>
      </c>
      <c r="G222" t="n">
        <v>0.3</v>
      </c>
      <c r="H222" t="n">
        <v>0</v>
      </c>
      <c r="I222" t="n">
        <v>0</v>
      </c>
      <c r="J222" t="n">
        <v>0</v>
      </c>
      <c r="K222" t="n">
        <v>0</v>
      </c>
      <c r="L222" t="n">
        <v>0</v>
      </c>
      <c r="M222" t="n">
        <v>0</v>
      </c>
      <c r="N222" t="n">
        <v>0</v>
      </c>
      <c r="O222" t="n">
        <v>0</v>
      </c>
      <c r="P222" t="n">
        <v>0</v>
      </c>
      <c r="Q222" t="n">
        <v>0</v>
      </c>
      <c r="R222" s="2" t="inlineStr"/>
    </row>
    <row r="223" ht="15" customHeight="1">
      <c r="A223" t="inlineStr">
        <is>
          <t>A 11928-2022</t>
        </is>
      </c>
      <c r="B223" s="1" t="n">
        <v>44635</v>
      </c>
      <c r="C223" s="1" t="n">
        <v>46191</v>
      </c>
      <c r="D223" t="inlineStr">
        <is>
          <t>KALMAR LÄN</t>
        </is>
      </c>
      <c r="E223" t="inlineStr">
        <is>
          <t>VIMMERBY</t>
        </is>
      </c>
      <c r="G223" t="n">
        <v>2.8</v>
      </c>
      <c r="H223" t="n">
        <v>0</v>
      </c>
      <c r="I223" t="n">
        <v>0</v>
      </c>
      <c r="J223" t="n">
        <v>0</v>
      </c>
      <c r="K223" t="n">
        <v>0</v>
      </c>
      <c r="L223" t="n">
        <v>0</v>
      </c>
      <c r="M223" t="n">
        <v>0</v>
      </c>
      <c r="N223" t="n">
        <v>0</v>
      </c>
      <c r="O223" t="n">
        <v>0</v>
      </c>
      <c r="P223" t="n">
        <v>0</v>
      </c>
      <c r="Q223" t="n">
        <v>0</v>
      </c>
      <c r="R223" s="2" t="inlineStr"/>
    </row>
    <row r="224" ht="15" customHeight="1">
      <c r="A224" t="inlineStr">
        <is>
          <t>A 1987-2024</t>
        </is>
      </c>
      <c r="B224" s="1" t="n">
        <v>45308</v>
      </c>
      <c r="C224" s="1" t="n">
        <v>46191</v>
      </c>
      <c r="D224" t="inlineStr">
        <is>
          <t>KALMAR LÄN</t>
        </is>
      </c>
      <c r="E224" t="inlineStr">
        <is>
          <t>VIMMERBY</t>
        </is>
      </c>
      <c r="G224" t="n">
        <v>3</v>
      </c>
      <c r="H224" t="n">
        <v>0</v>
      </c>
      <c r="I224" t="n">
        <v>0</v>
      </c>
      <c r="J224" t="n">
        <v>0</v>
      </c>
      <c r="K224" t="n">
        <v>0</v>
      </c>
      <c r="L224" t="n">
        <v>0</v>
      </c>
      <c r="M224" t="n">
        <v>0</v>
      </c>
      <c r="N224" t="n">
        <v>0</v>
      </c>
      <c r="O224" t="n">
        <v>0</v>
      </c>
      <c r="P224" t="n">
        <v>0</v>
      </c>
      <c r="Q224" t="n">
        <v>0</v>
      </c>
      <c r="R224" s="2" t="inlineStr"/>
    </row>
    <row r="225" ht="15" customHeight="1">
      <c r="A225" t="inlineStr">
        <is>
          <t>A 527-2024</t>
        </is>
      </c>
      <c r="B225" s="1" t="n">
        <v>45299</v>
      </c>
      <c r="C225" s="1" t="n">
        <v>46191</v>
      </c>
      <c r="D225" t="inlineStr">
        <is>
          <t>KALMAR LÄN</t>
        </is>
      </c>
      <c r="E225" t="inlineStr">
        <is>
          <t>VIMMERBY</t>
        </is>
      </c>
      <c r="G225" t="n">
        <v>2.2</v>
      </c>
      <c r="H225" t="n">
        <v>0</v>
      </c>
      <c r="I225" t="n">
        <v>0</v>
      </c>
      <c r="J225" t="n">
        <v>0</v>
      </c>
      <c r="K225" t="n">
        <v>0</v>
      </c>
      <c r="L225" t="n">
        <v>0</v>
      </c>
      <c r="M225" t="n">
        <v>0</v>
      </c>
      <c r="N225" t="n">
        <v>0</v>
      </c>
      <c r="O225" t="n">
        <v>0</v>
      </c>
      <c r="P225" t="n">
        <v>0</v>
      </c>
      <c r="Q225" t="n">
        <v>0</v>
      </c>
      <c r="R225" s="2" t="inlineStr"/>
    </row>
    <row r="226" ht="15" customHeight="1">
      <c r="A226" t="inlineStr">
        <is>
          <t>A 8595-2026</t>
        </is>
      </c>
      <c r="B226" s="1" t="n">
        <v>46065</v>
      </c>
      <c r="C226" s="1" t="n">
        <v>46191</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47227-2025</t>
        </is>
      </c>
      <c r="B227" s="1" t="n">
        <v>45930</v>
      </c>
      <c r="C227" s="1" t="n">
        <v>46191</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49461-2023</t>
        </is>
      </c>
      <c r="B228" s="1" t="n">
        <v>45211</v>
      </c>
      <c r="C228" s="1" t="n">
        <v>46191</v>
      </c>
      <c r="D228" t="inlineStr">
        <is>
          <t>KALMAR LÄN</t>
        </is>
      </c>
      <c r="E228" t="inlineStr">
        <is>
          <t>VIMMERBY</t>
        </is>
      </c>
      <c r="G228" t="n">
        <v>1.5</v>
      </c>
      <c r="H228" t="n">
        <v>0</v>
      </c>
      <c r="I228" t="n">
        <v>0</v>
      </c>
      <c r="J228" t="n">
        <v>0</v>
      </c>
      <c r="K228" t="n">
        <v>0</v>
      </c>
      <c r="L228" t="n">
        <v>0</v>
      </c>
      <c r="M228" t="n">
        <v>0</v>
      </c>
      <c r="N228" t="n">
        <v>0</v>
      </c>
      <c r="O228" t="n">
        <v>0</v>
      </c>
      <c r="P228" t="n">
        <v>0</v>
      </c>
      <c r="Q228" t="n">
        <v>0</v>
      </c>
      <c r="R228" s="2" t="inlineStr"/>
    </row>
    <row r="229" ht="15" customHeight="1">
      <c r="A229" t="inlineStr">
        <is>
          <t>A 49474-2023</t>
        </is>
      </c>
      <c r="B229" s="1" t="n">
        <v>45211</v>
      </c>
      <c r="C229" s="1" t="n">
        <v>46191</v>
      </c>
      <c r="D229" t="inlineStr">
        <is>
          <t>KALMAR LÄN</t>
        </is>
      </c>
      <c r="E229" t="inlineStr">
        <is>
          <t>VIMMERBY</t>
        </is>
      </c>
      <c r="G229" t="n">
        <v>3.6</v>
      </c>
      <c r="H229" t="n">
        <v>0</v>
      </c>
      <c r="I229" t="n">
        <v>0</v>
      </c>
      <c r="J229" t="n">
        <v>0</v>
      </c>
      <c r="K229" t="n">
        <v>0</v>
      </c>
      <c r="L229" t="n">
        <v>0</v>
      </c>
      <c r="M229" t="n">
        <v>0</v>
      </c>
      <c r="N229" t="n">
        <v>0</v>
      </c>
      <c r="O229" t="n">
        <v>0</v>
      </c>
      <c r="P229" t="n">
        <v>0</v>
      </c>
      <c r="Q229" t="n">
        <v>0</v>
      </c>
      <c r="R229" s="2" t="inlineStr"/>
    </row>
    <row r="230" ht="15" customHeight="1">
      <c r="A230" t="inlineStr">
        <is>
          <t>A 61861-2024</t>
        </is>
      </c>
      <c r="B230" s="1" t="n">
        <v>45650</v>
      </c>
      <c r="C230" s="1" t="n">
        <v>46191</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37192-2024</t>
        </is>
      </c>
      <c r="B231" s="1" t="n">
        <v>45539</v>
      </c>
      <c r="C231" s="1" t="n">
        <v>46191</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45846-2023</t>
        </is>
      </c>
      <c r="B232" s="1" t="n">
        <v>45195</v>
      </c>
      <c r="C232" s="1" t="n">
        <v>46191</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8167-2024</t>
        </is>
      </c>
      <c r="B233" s="1" t="n">
        <v>45351</v>
      </c>
      <c r="C233" s="1" t="n">
        <v>46191</v>
      </c>
      <c r="D233" t="inlineStr">
        <is>
          <t>KALMAR LÄN</t>
        </is>
      </c>
      <c r="E233" t="inlineStr">
        <is>
          <t>VIMMERBY</t>
        </is>
      </c>
      <c r="G233" t="n">
        <v>3.8</v>
      </c>
      <c r="H233" t="n">
        <v>0</v>
      </c>
      <c r="I233" t="n">
        <v>0</v>
      </c>
      <c r="J233" t="n">
        <v>0</v>
      </c>
      <c r="K233" t="n">
        <v>0</v>
      </c>
      <c r="L233" t="n">
        <v>0</v>
      </c>
      <c r="M233" t="n">
        <v>0</v>
      </c>
      <c r="N233" t="n">
        <v>0</v>
      </c>
      <c r="O233" t="n">
        <v>0</v>
      </c>
      <c r="P233" t="n">
        <v>0</v>
      </c>
      <c r="Q233" t="n">
        <v>0</v>
      </c>
      <c r="R233" s="2" t="inlineStr"/>
    </row>
    <row r="234" ht="15" customHeight="1">
      <c r="A234" t="inlineStr">
        <is>
          <t>A 49382-2023</t>
        </is>
      </c>
      <c r="B234" s="1" t="n">
        <v>45208</v>
      </c>
      <c r="C234" s="1" t="n">
        <v>46191</v>
      </c>
      <c r="D234" t="inlineStr">
        <is>
          <t>KALMAR LÄN</t>
        </is>
      </c>
      <c r="E234" t="inlineStr">
        <is>
          <t>VIMMERBY</t>
        </is>
      </c>
      <c r="G234" t="n">
        <v>2.2</v>
      </c>
      <c r="H234" t="n">
        <v>0</v>
      </c>
      <c r="I234" t="n">
        <v>0</v>
      </c>
      <c r="J234" t="n">
        <v>0</v>
      </c>
      <c r="K234" t="n">
        <v>0</v>
      </c>
      <c r="L234" t="n">
        <v>0</v>
      </c>
      <c r="M234" t="n">
        <v>0</v>
      </c>
      <c r="N234" t="n">
        <v>0</v>
      </c>
      <c r="O234" t="n">
        <v>0</v>
      </c>
      <c r="P234" t="n">
        <v>0</v>
      </c>
      <c r="Q234" t="n">
        <v>0</v>
      </c>
      <c r="R234" s="2" t="inlineStr"/>
    </row>
    <row r="235" ht="15" customHeight="1">
      <c r="A235" t="inlineStr">
        <is>
          <t>A 35846-2023</t>
        </is>
      </c>
      <c r="B235" s="1" t="n">
        <v>45148</v>
      </c>
      <c r="C235" s="1" t="n">
        <v>46191</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35913-2023</t>
        </is>
      </c>
      <c r="B236" s="1" t="n">
        <v>45148</v>
      </c>
      <c r="C236" s="1" t="n">
        <v>46191</v>
      </c>
      <c r="D236" t="inlineStr">
        <is>
          <t>KALMAR LÄN</t>
        </is>
      </c>
      <c r="E236" t="inlineStr">
        <is>
          <t>VIMMERBY</t>
        </is>
      </c>
      <c r="G236" t="n">
        <v>6.9</v>
      </c>
      <c r="H236" t="n">
        <v>0</v>
      </c>
      <c r="I236" t="n">
        <v>0</v>
      </c>
      <c r="J236" t="n">
        <v>0</v>
      </c>
      <c r="K236" t="n">
        <v>0</v>
      </c>
      <c r="L236" t="n">
        <v>0</v>
      </c>
      <c r="M236" t="n">
        <v>0</v>
      </c>
      <c r="N236" t="n">
        <v>0</v>
      </c>
      <c r="O236" t="n">
        <v>0</v>
      </c>
      <c r="P236" t="n">
        <v>0</v>
      </c>
      <c r="Q236" t="n">
        <v>0</v>
      </c>
      <c r="R236" s="2" t="inlineStr"/>
    </row>
    <row r="237" ht="15" customHeight="1">
      <c r="A237" t="inlineStr">
        <is>
          <t>A 38757-2023</t>
        </is>
      </c>
      <c r="B237" s="1" t="n">
        <v>45163</v>
      </c>
      <c r="C237" s="1" t="n">
        <v>46191</v>
      </c>
      <c r="D237" t="inlineStr">
        <is>
          <t>KALMAR LÄN</t>
        </is>
      </c>
      <c r="E237" t="inlineStr">
        <is>
          <t>VIMMERBY</t>
        </is>
      </c>
      <c r="G237" t="n">
        <v>2.5</v>
      </c>
      <c r="H237" t="n">
        <v>0</v>
      </c>
      <c r="I237" t="n">
        <v>0</v>
      </c>
      <c r="J237" t="n">
        <v>0</v>
      </c>
      <c r="K237" t="n">
        <v>0</v>
      </c>
      <c r="L237" t="n">
        <v>0</v>
      </c>
      <c r="M237" t="n">
        <v>0</v>
      </c>
      <c r="N237" t="n">
        <v>0</v>
      </c>
      <c r="O237" t="n">
        <v>0</v>
      </c>
      <c r="P237" t="n">
        <v>0</v>
      </c>
      <c r="Q237" t="n">
        <v>0</v>
      </c>
      <c r="R237" s="2" t="inlineStr"/>
    </row>
    <row r="238" ht="15" customHeight="1">
      <c r="A238" t="inlineStr">
        <is>
          <t>A 24283-2023</t>
        </is>
      </c>
      <c r="B238" s="1" t="n">
        <v>45079</v>
      </c>
      <c r="C238" s="1" t="n">
        <v>46191</v>
      </c>
      <c r="D238" t="inlineStr">
        <is>
          <t>KALMAR LÄN</t>
        </is>
      </c>
      <c r="E238" t="inlineStr">
        <is>
          <t>VIMMERBY</t>
        </is>
      </c>
      <c r="G238" t="n">
        <v>2</v>
      </c>
      <c r="H238" t="n">
        <v>0</v>
      </c>
      <c r="I238" t="n">
        <v>0</v>
      </c>
      <c r="J238" t="n">
        <v>0</v>
      </c>
      <c r="K238" t="n">
        <v>0</v>
      </c>
      <c r="L238" t="n">
        <v>0</v>
      </c>
      <c r="M238" t="n">
        <v>0</v>
      </c>
      <c r="N238" t="n">
        <v>0</v>
      </c>
      <c r="O238" t="n">
        <v>0</v>
      </c>
      <c r="P238" t="n">
        <v>0</v>
      </c>
      <c r="Q238" t="n">
        <v>0</v>
      </c>
      <c r="R238" s="2" t="inlineStr"/>
    </row>
    <row r="239" ht="15" customHeight="1">
      <c r="A239" t="inlineStr">
        <is>
          <t>A 47063-2022</t>
        </is>
      </c>
      <c r="B239" s="1" t="n">
        <v>44852</v>
      </c>
      <c r="C239" s="1" t="n">
        <v>46191</v>
      </c>
      <c r="D239" t="inlineStr">
        <is>
          <t>KALMAR LÄN</t>
        </is>
      </c>
      <c r="E239" t="inlineStr">
        <is>
          <t>VIMMERBY</t>
        </is>
      </c>
      <c r="G239" t="n">
        <v>2.5</v>
      </c>
      <c r="H239" t="n">
        <v>0</v>
      </c>
      <c r="I239" t="n">
        <v>0</v>
      </c>
      <c r="J239" t="n">
        <v>0</v>
      </c>
      <c r="K239" t="n">
        <v>0</v>
      </c>
      <c r="L239" t="n">
        <v>0</v>
      </c>
      <c r="M239" t="n">
        <v>0</v>
      </c>
      <c r="N239" t="n">
        <v>0</v>
      </c>
      <c r="O239" t="n">
        <v>0</v>
      </c>
      <c r="P239" t="n">
        <v>0</v>
      </c>
      <c r="Q239" t="n">
        <v>0</v>
      </c>
      <c r="R239" s="2" t="inlineStr"/>
    </row>
    <row r="240" ht="15" customHeight="1">
      <c r="A240" t="inlineStr">
        <is>
          <t>A 12819-2024</t>
        </is>
      </c>
      <c r="B240" s="1" t="n">
        <v>45384</v>
      </c>
      <c r="C240" s="1" t="n">
        <v>46191</v>
      </c>
      <c r="D240" t="inlineStr">
        <is>
          <t>KALMAR LÄN</t>
        </is>
      </c>
      <c r="E240" t="inlineStr">
        <is>
          <t>VIMMERBY</t>
        </is>
      </c>
      <c r="G240" t="n">
        <v>5.1</v>
      </c>
      <c r="H240" t="n">
        <v>0</v>
      </c>
      <c r="I240" t="n">
        <v>0</v>
      </c>
      <c r="J240" t="n">
        <v>0</v>
      </c>
      <c r="K240" t="n">
        <v>0</v>
      </c>
      <c r="L240" t="n">
        <v>0</v>
      </c>
      <c r="M240" t="n">
        <v>0</v>
      </c>
      <c r="N240" t="n">
        <v>0</v>
      </c>
      <c r="O240" t="n">
        <v>0</v>
      </c>
      <c r="P240" t="n">
        <v>0</v>
      </c>
      <c r="Q240" t="n">
        <v>0</v>
      </c>
      <c r="R240" s="2" t="inlineStr"/>
    </row>
    <row r="241" ht="15" customHeight="1">
      <c r="A241" t="inlineStr">
        <is>
          <t>A 48408-2025</t>
        </is>
      </c>
      <c r="B241" s="1" t="n">
        <v>45934</v>
      </c>
      <c r="C241" s="1" t="n">
        <v>46191</v>
      </c>
      <c r="D241" t="inlineStr">
        <is>
          <t>KALMAR LÄN</t>
        </is>
      </c>
      <c r="E241" t="inlineStr">
        <is>
          <t>VIMMERBY</t>
        </is>
      </c>
      <c r="G241" t="n">
        <v>2.4</v>
      </c>
      <c r="H241" t="n">
        <v>0</v>
      </c>
      <c r="I241" t="n">
        <v>0</v>
      </c>
      <c r="J241" t="n">
        <v>0</v>
      </c>
      <c r="K241" t="n">
        <v>0</v>
      </c>
      <c r="L241" t="n">
        <v>0</v>
      </c>
      <c r="M241" t="n">
        <v>0</v>
      </c>
      <c r="N241" t="n">
        <v>0</v>
      </c>
      <c r="O241" t="n">
        <v>0</v>
      </c>
      <c r="P241" t="n">
        <v>0</v>
      </c>
      <c r="Q241" t="n">
        <v>0</v>
      </c>
      <c r="R241" s="2" t="inlineStr"/>
    </row>
    <row r="242" ht="15" customHeight="1">
      <c r="A242" t="inlineStr">
        <is>
          <t>A 59598-2023</t>
        </is>
      </c>
      <c r="B242" s="1" t="n">
        <v>45254</v>
      </c>
      <c r="C242" s="1" t="n">
        <v>46191</v>
      </c>
      <c r="D242" t="inlineStr">
        <is>
          <t>KALMAR LÄN</t>
        </is>
      </c>
      <c r="E242" t="inlineStr">
        <is>
          <t>VIMMERBY</t>
        </is>
      </c>
      <c r="F242" t="inlineStr">
        <is>
          <t>Övriga Aktiebolag</t>
        </is>
      </c>
      <c r="G242" t="n">
        <v>4</v>
      </c>
      <c r="H242" t="n">
        <v>0</v>
      </c>
      <c r="I242" t="n">
        <v>0</v>
      </c>
      <c r="J242" t="n">
        <v>0</v>
      </c>
      <c r="K242" t="n">
        <v>0</v>
      </c>
      <c r="L242" t="n">
        <v>0</v>
      </c>
      <c r="M242" t="n">
        <v>0</v>
      </c>
      <c r="N242" t="n">
        <v>0</v>
      </c>
      <c r="O242" t="n">
        <v>0</v>
      </c>
      <c r="P242" t="n">
        <v>0</v>
      </c>
      <c r="Q242" t="n">
        <v>0</v>
      </c>
      <c r="R242" s="2" t="inlineStr"/>
    </row>
    <row r="243" ht="15" customHeight="1">
      <c r="A243" t="inlineStr">
        <is>
          <t>A 30920-2023</t>
        </is>
      </c>
      <c r="B243" s="1" t="n">
        <v>45113</v>
      </c>
      <c r="C243" s="1" t="n">
        <v>46191</v>
      </c>
      <c r="D243" t="inlineStr">
        <is>
          <t>KALMAR LÄN</t>
        </is>
      </c>
      <c r="E243" t="inlineStr">
        <is>
          <t>VIMMERBY</t>
        </is>
      </c>
      <c r="G243" t="n">
        <v>3.1</v>
      </c>
      <c r="H243" t="n">
        <v>0</v>
      </c>
      <c r="I243" t="n">
        <v>0</v>
      </c>
      <c r="J243" t="n">
        <v>0</v>
      </c>
      <c r="K243" t="n">
        <v>0</v>
      </c>
      <c r="L243" t="n">
        <v>0</v>
      </c>
      <c r="M243" t="n">
        <v>0</v>
      </c>
      <c r="N243" t="n">
        <v>0</v>
      </c>
      <c r="O243" t="n">
        <v>0</v>
      </c>
      <c r="P243" t="n">
        <v>0</v>
      </c>
      <c r="Q243" t="n">
        <v>0</v>
      </c>
      <c r="R243" s="2" t="inlineStr"/>
    </row>
    <row r="244" ht="15" customHeight="1">
      <c r="A244" t="inlineStr">
        <is>
          <t>A 31382-2023</t>
        </is>
      </c>
      <c r="B244" s="1" t="n">
        <v>45114</v>
      </c>
      <c r="C244" s="1" t="n">
        <v>46191</v>
      </c>
      <c r="D244" t="inlineStr">
        <is>
          <t>KALMAR LÄN</t>
        </is>
      </c>
      <c r="E244" t="inlineStr">
        <is>
          <t>VIMMERBY</t>
        </is>
      </c>
      <c r="G244" t="n">
        <v>3.7</v>
      </c>
      <c r="H244" t="n">
        <v>0</v>
      </c>
      <c r="I244" t="n">
        <v>0</v>
      </c>
      <c r="J244" t="n">
        <v>0</v>
      </c>
      <c r="K244" t="n">
        <v>0</v>
      </c>
      <c r="L244" t="n">
        <v>0</v>
      </c>
      <c r="M244" t="n">
        <v>0</v>
      </c>
      <c r="N244" t="n">
        <v>0</v>
      </c>
      <c r="O244" t="n">
        <v>0</v>
      </c>
      <c r="P244" t="n">
        <v>0</v>
      </c>
      <c r="Q244" t="n">
        <v>0</v>
      </c>
      <c r="R244" s="2" t="inlineStr"/>
    </row>
    <row r="245" ht="15" customHeight="1">
      <c r="A245" t="inlineStr">
        <is>
          <t>A 11073-2023</t>
        </is>
      </c>
      <c r="B245" s="1" t="n">
        <v>44992</v>
      </c>
      <c r="C245" s="1" t="n">
        <v>46191</v>
      </c>
      <c r="D245" t="inlineStr">
        <is>
          <t>KALMAR LÄN</t>
        </is>
      </c>
      <c r="E245" t="inlineStr">
        <is>
          <t>VIMMERBY</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59955-2023</t>
        </is>
      </c>
      <c r="B246" s="1" t="n">
        <v>45257</v>
      </c>
      <c r="C246" s="1" t="n">
        <v>46191</v>
      </c>
      <c r="D246" t="inlineStr">
        <is>
          <t>KALMAR LÄN</t>
        </is>
      </c>
      <c r="E246" t="inlineStr">
        <is>
          <t>VIMMERBY</t>
        </is>
      </c>
      <c r="G246" t="n">
        <v>13.8</v>
      </c>
      <c r="H246" t="n">
        <v>0</v>
      </c>
      <c r="I246" t="n">
        <v>0</v>
      </c>
      <c r="J246" t="n">
        <v>0</v>
      </c>
      <c r="K246" t="n">
        <v>0</v>
      </c>
      <c r="L246" t="n">
        <v>0</v>
      </c>
      <c r="M246" t="n">
        <v>0</v>
      </c>
      <c r="N246" t="n">
        <v>0</v>
      </c>
      <c r="O246" t="n">
        <v>0</v>
      </c>
      <c r="P246" t="n">
        <v>0</v>
      </c>
      <c r="Q246" t="n">
        <v>0</v>
      </c>
      <c r="R246" s="2" t="inlineStr"/>
    </row>
    <row r="247" ht="15" customHeight="1">
      <c r="A247" t="inlineStr">
        <is>
          <t>A 40929-2022</t>
        </is>
      </c>
      <c r="B247" s="1" t="n">
        <v>44825</v>
      </c>
      <c r="C247" s="1" t="n">
        <v>46191</v>
      </c>
      <c r="D247" t="inlineStr">
        <is>
          <t>KALMAR LÄN</t>
        </is>
      </c>
      <c r="E247" t="inlineStr">
        <is>
          <t>VIMMERBY</t>
        </is>
      </c>
      <c r="G247" t="n">
        <v>2.5</v>
      </c>
      <c r="H247" t="n">
        <v>0</v>
      </c>
      <c r="I247" t="n">
        <v>0</v>
      </c>
      <c r="J247" t="n">
        <v>0</v>
      </c>
      <c r="K247" t="n">
        <v>0</v>
      </c>
      <c r="L247" t="n">
        <v>0</v>
      </c>
      <c r="M247" t="n">
        <v>0</v>
      </c>
      <c r="N247" t="n">
        <v>0</v>
      </c>
      <c r="O247" t="n">
        <v>0</v>
      </c>
      <c r="P247" t="n">
        <v>0</v>
      </c>
      <c r="Q247" t="n">
        <v>0</v>
      </c>
      <c r="R247" s="2" t="inlineStr"/>
    </row>
    <row r="248" ht="15" customHeight="1">
      <c r="A248" t="inlineStr">
        <is>
          <t>A 11407-2026</t>
        </is>
      </c>
      <c r="B248" s="1" t="n">
        <v>46083</v>
      </c>
      <c r="C248" s="1" t="n">
        <v>46191</v>
      </c>
      <c r="D248" t="inlineStr">
        <is>
          <t>KALMAR LÄN</t>
        </is>
      </c>
      <c r="E248" t="inlineStr">
        <is>
          <t>VIMMERBY</t>
        </is>
      </c>
      <c r="G248" t="n">
        <v>2.3</v>
      </c>
      <c r="H248" t="n">
        <v>0</v>
      </c>
      <c r="I248" t="n">
        <v>0</v>
      </c>
      <c r="J248" t="n">
        <v>0</v>
      </c>
      <c r="K248" t="n">
        <v>0</v>
      </c>
      <c r="L248" t="n">
        <v>0</v>
      </c>
      <c r="M248" t="n">
        <v>0</v>
      </c>
      <c r="N248" t="n">
        <v>0</v>
      </c>
      <c r="O248" t="n">
        <v>0</v>
      </c>
      <c r="P248" t="n">
        <v>0</v>
      </c>
      <c r="Q248" t="n">
        <v>0</v>
      </c>
      <c r="R248" s="2" t="inlineStr"/>
    </row>
    <row r="249" ht="15" customHeight="1">
      <c r="A249" t="inlineStr">
        <is>
          <t>A 11415-2026</t>
        </is>
      </c>
      <c r="B249" s="1" t="n">
        <v>46083</v>
      </c>
      <c r="C249" s="1" t="n">
        <v>46191</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33380-2023</t>
        </is>
      </c>
      <c r="B250" s="1" t="n">
        <v>45128</v>
      </c>
      <c r="C250" s="1" t="n">
        <v>46191</v>
      </c>
      <c r="D250" t="inlineStr">
        <is>
          <t>KALMAR LÄN</t>
        </is>
      </c>
      <c r="E250" t="inlineStr">
        <is>
          <t>VIMMERBY</t>
        </is>
      </c>
      <c r="G250" t="n">
        <v>5.2</v>
      </c>
      <c r="H250" t="n">
        <v>0</v>
      </c>
      <c r="I250" t="n">
        <v>0</v>
      </c>
      <c r="J250" t="n">
        <v>0</v>
      </c>
      <c r="K250" t="n">
        <v>0</v>
      </c>
      <c r="L250" t="n">
        <v>0</v>
      </c>
      <c r="M250" t="n">
        <v>0</v>
      </c>
      <c r="N250" t="n">
        <v>0</v>
      </c>
      <c r="O250" t="n">
        <v>0</v>
      </c>
      <c r="P250" t="n">
        <v>0</v>
      </c>
      <c r="Q250" t="n">
        <v>0</v>
      </c>
      <c r="R250" s="2" t="inlineStr"/>
    </row>
    <row r="251" ht="15" customHeight="1">
      <c r="A251" t="inlineStr">
        <is>
          <t>A 46144-2023</t>
        </is>
      </c>
      <c r="B251" s="1" t="n">
        <v>45196</v>
      </c>
      <c r="C251" s="1" t="n">
        <v>46191</v>
      </c>
      <c r="D251" t="inlineStr">
        <is>
          <t>KALMAR LÄN</t>
        </is>
      </c>
      <c r="E251" t="inlineStr">
        <is>
          <t>VIMMERBY</t>
        </is>
      </c>
      <c r="G251" t="n">
        <v>6.5</v>
      </c>
      <c r="H251" t="n">
        <v>0</v>
      </c>
      <c r="I251" t="n">
        <v>0</v>
      </c>
      <c r="J251" t="n">
        <v>0</v>
      </c>
      <c r="K251" t="n">
        <v>0</v>
      </c>
      <c r="L251" t="n">
        <v>0</v>
      </c>
      <c r="M251" t="n">
        <v>0</v>
      </c>
      <c r="N251" t="n">
        <v>0</v>
      </c>
      <c r="O251" t="n">
        <v>0</v>
      </c>
      <c r="P251" t="n">
        <v>0</v>
      </c>
      <c r="Q251" t="n">
        <v>0</v>
      </c>
      <c r="R251" s="2" t="inlineStr"/>
    </row>
    <row r="252" ht="15" customHeight="1">
      <c r="A252" t="inlineStr">
        <is>
          <t>A 36802-2021</t>
        </is>
      </c>
      <c r="B252" s="1" t="n">
        <v>44392</v>
      </c>
      <c r="C252" s="1" t="n">
        <v>46191</v>
      </c>
      <c r="D252" t="inlineStr">
        <is>
          <t>KALMAR LÄN</t>
        </is>
      </c>
      <c r="E252" t="inlineStr">
        <is>
          <t>VIMMERBY</t>
        </is>
      </c>
      <c r="F252" t="inlineStr">
        <is>
          <t>Sveaskog</t>
        </is>
      </c>
      <c r="G252" t="n">
        <v>4.6</v>
      </c>
      <c r="H252" t="n">
        <v>0</v>
      </c>
      <c r="I252" t="n">
        <v>0</v>
      </c>
      <c r="J252" t="n">
        <v>0</v>
      </c>
      <c r="K252" t="n">
        <v>0</v>
      </c>
      <c r="L252" t="n">
        <v>0</v>
      </c>
      <c r="M252" t="n">
        <v>0</v>
      </c>
      <c r="N252" t="n">
        <v>0</v>
      </c>
      <c r="O252" t="n">
        <v>0</v>
      </c>
      <c r="P252" t="n">
        <v>0</v>
      </c>
      <c r="Q252" t="n">
        <v>0</v>
      </c>
      <c r="R252" s="2" t="inlineStr"/>
    </row>
    <row r="253" ht="15" customHeight="1">
      <c r="A253" t="inlineStr">
        <is>
          <t>A 54787-2023</t>
        </is>
      </c>
      <c r="B253" s="1" t="n">
        <v>45236</v>
      </c>
      <c r="C253" s="1" t="n">
        <v>46191</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15715-2022</t>
        </is>
      </c>
      <c r="B254" s="1" t="n">
        <v>44663</v>
      </c>
      <c r="C254" s="1" t="n">
        <v>46191</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43774-2023</t>
        </is>
      </c>
      <c r="B255" s="1" t="n">
        <v>45187</v>
      </c>
      <c r="C255" s="1" t="n">
        <v>46191</v>
      </c>
      <c r="D255" t="inlineStr">
        <is>
          <t>KALMAR LÄN</t>
        </is>
      </c>
      <c r="E255" t="inlineStr">
        <is>
          <t>VIMMERBY</t>
        </is>
      </c>
      <c r="G255" t="n">
        <v>3.4</v>
      </c>
      <c r="H255" t="n">
        <v>0</v>
      </c>
      <c r="I255" t="n">
        <v>0</v>
      </c>
      <c r="J255" t="n">
        <v>0</v>
      </c>
      <c r="K255" t="n">
        <v>0</v>
      </c>
      <c r="L255" t="n">
        <v>0</v>
      </c>
      <c r="M255" t="n">
        <v>0</v>
      </c>
      <c r="N255" t="n">
        <v>0</v>
      </c>
      <c r="O255" t="n">
        <v>0</v>
      </c>
      <c r="P255" t="n">
        <v>0</v>
      </c>
      <c r="Q255" t="n">
        <v>0</v>
      </c>
      <c r="R255" s="2" t="inlineStr"/>
    </row>
    <row r="256" ht="15" customHeight="1">
      <c r="A256" t="inlineStr">
        <is>
          <t>A 43705-2023</t>
        </is>
      </c>
      <c r="B256" s="1" t="n">
        <v>45187</v>
      </c>
      <c r="C256" s="1" t="n">
        <v>46191</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7932-2025</t>
        </is>
      </c>
      <c r="B257" s="1" t="n">
        <v>45707</v>
      </c>
      <c r="C257" s="1" t="n">
        <v>46191</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61820-2023</t>
        </is>
      </c>
      <c r="B258" s="1" t="n">
        <v>45266</v>
      </c>
      <c r="C258" s="1" t="n">
        <v>46191</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3269-2024</t>
        </is>
      </c>
      <c r="B259" s="1" t="n">
        <v>45317</v>
      </c>
      <c r="C259" s="1" t="n">
        <v>46191</v>
      </c>
      <c r="D259" t="inlineStr">
        <is>
          <t>KALMAR LÄN</t>
        </is>
      </c>
      <c r="E259" t="inlineStr">
        <is>
          <t>VIMMERBY</t>
        </is>
      </c>
      <c r="F259" t="inlineStr">
        <is>
          <t>Övriga Aktiebolag</t>
        </is>
      </c>
      <c r="G259" t="n">
        <v>1.7</v>
      </c>
      <c r="H259" t="n">
        <v>0</v>
      </c>
      <c r="I259" t="n">
        <v>0</v>
      </c>
      <c r="J259" t="n">
        <v>0</v>
      </c>
      <c r="K259" t="n">
        <v>0</v>
      </c>
      <c r="L259" t="n">
        <v>0</v>
      </c>
      <c r="M259" t="n">
        <v>0</v>
      </c>
      <c r="N259" t="n">
        <v>0</v>
      </c>
      <c r="O259" t="n">
        <v>0</v>
      </c>
      <c r="P259" t="n">
        <v>0</v>
      </c>
      <c r="Q259" t="n">
        <v>0</v>
      </c>
      <c r="R259" s="2" t="inlineStr"/>
    </row>
    <row r="260" ht="15" customHeight="1">
      <c r="A260" t="inlineStr">
        <is>
          <t>A 2157-2024</t>
        </is>
      </c>
      <c r="B260" s="1" t="n">
        <v>45309</v>
      </c>
      <c r="C260" s="1" t="n">
        <v>46191</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9416-2024</t>
        </is>
      </c>
      <c r="B261" s="1" t="n">
        <v>45359</v>
      </c>
      <c r="C261" s="1" t="n">
        <v>46191</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58318-2021</t>
        </is>
      </c>
      <c r="B262" s="1" t="n">
        <v>44488</v>
      </c>
      <c r="C262" s="1" t="n">
        <v>46191</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53083-2021</t>
        </is>
      </c>
      <c r="B263" s="1" t="n">
        <v>44467</v>
      </c>
      <c r="C263" s="1" t="n">
        <v>46191</v>
      </c>
      <c r="D263" t="inlineStr">
        <is>
          <t>KALMAR LÄN</t>
        </is>
      </c>
      <c r="E263" t="inlineStr">
        <is>
          <t>VIMMERBY</t>
        </is>
      </c>
      <c r="G263" t="n">
        <v>6.8</v>
      </c>
      <c r="H263" t="n">
        <v>0</v>
      </c>
      <c r="I263" t="n">
        <v>0</v>
      </c>
      <c r="J263" t="n">
        <v>0</v>
      </c>
      <c r="K263" t="n">
        <v>0</v>
      </c>
      <c r="L263" t="n">
        <v>0</v>
      </c>
      <c r="M263" t="n">
        <v>0</v>
      </c>
      <c r="N263" t="n">
        <v>0</v>
      </c>
      <c r="O263" t="n">
        <v>0</v>
      </c>
      <c r="P263" t="n">
        <v>0</v>
      </c>
      <c r="Q263" t="n">
        <v>0</v>
      </c>
      <c r="R263" s="2" t="inlineStr"/>
    </row>
    <row r="264" ht="15" customHeight="1">
      <c r="A264" t="inlineStr">
        <is>
          <t>A 29173-2024</t>
        </is>
      </c>
      <c r="B264" s="1" t="n">
        <v>45482</v>
      </c>
      <c r="C264" s="1" t="n">
        <v>46191</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51062-2025</t>
        </is>
      </c>
      <c r="B265" s="1" t="n">
        <v>45947</v>
      </c>
      <c r="C265" s="1" t="n">
        <v>46191</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11111-2024</t>
        </is>
      </c>
      <c r="B266" s="1" t="n">
        <v>45371</v>
      </c>
      <c r="C266" s="1" t="n">
        <v>46191</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11141-2024</t>
        </is>
      </c>
      <c r="B267" s="1" t="n">
        <v>45371</v>
      </c>
      <c r="C267" s="1" t="n">
        <v>46191</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9418-2024</t>
        </is>
      </c>
      <c r="B268" s="1" t="n">
        <v>45359</v>
      </c>
      <c r="C268" s="1" t="n">
        <v>46191</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1978-2024</t>
        </is>
      </c>
      <c r="B269" s="1" t="n">
        <v>45308</v>
      </c>
      <c r="C269" s="1" t="n">
        <v>46191</v>
      </c>
      <c r="D269" t="inlineStr">
        <is>
          <t>KALMAR LÄN</t>
        </is>
      </c>
      <c r="E269" t="inlineStr">
        <is>
          <t>VIMMERBY</t>
        </is>
      </c>
      <c r="G269" t="n">
        <v>0.9</v>
      </c>
      <c r="H269" t="n">
        <v>0</v>
      </c>
      <c r="I269" t="n">
        <v>0</v>
      </c>
      <c r="J269" t="n">
        <v>0</v>
      </c>
      <c r="K269" t="n">
        <v>0</v>
      </c>
      <c r="L269" t="n">
        <v>0</v>
      </c>
      <c r="M269" t="n">
        <v>0</v>
      </c>
      <c r="N269" t="n">
        <v>0</v>
      </c>
      <c r="O269" t="n">
        <v>0</v>
      </c>
      <c r="P269" t="n">
        <v>0</v>
      </c>
      <c r="Q269" t="n">
        <v>0</v>
      </c>
      <c r="R269" s="2" t="inlineStr"/>
    </row>
    <row r="270" ht="15" customHeight="1">
      <c r="A270" t="inlineStr">
        <is>
          <t>A 6399-2025</t>
        </is>
      </c>
      <c r="B270" s="1" t="n">
        <v>45699</v>
      </c>
      <c r="C270" s="1" t="n">
        <v>46191</v>
      </c>
      <c r="D270" t="inlineStr">
        <is>
          <t>KALMAR LÄN</t>
        </is>
      </c>
      <c r="E270" t="inlineStr">
        <is>
          <t>VIMMERBY</t>
        </is>
      </c>
      <c r="G270" t="n">
        <v>3.1</v>
      </c>
      <c r="H270" t="n">
        <v>0</v>
      </c>
      <c r="I270" t="n">
        <v>0</v>
      </c>
      <c r="J270" t="n">
        <v>0</v>
      </c>
      <c r="K270" t="n">
        <v>0</v>
      </c>
      <c r="L270" t="n">
        <v>0</v>
      </c>
      <c r="M270" t="n">
        <v>0</v>
      </c>
      <c r="N270" t="n">
        <v>0</v>
      </c>
      <c r="O270" t="n">
        <v>0</v>
      </c>
      <c r="P270" t="n">
        <v>0</v>
      </c>
      <c r="Q270" t="n">
        <v>0</v>
      </c>
      <c r="R270" s="2" t="inlineStr"/>
    </row>
    <row r="271" ht="15" customHeight="1">
      <c r="A271" t="inlineStr">
        <is>
          <t>A 41311-2023</t>
        </is>
      </c>
      <c r="B271" s="1" t="n">
        <v>45174</v>
      </c>
      <c r="C271" s="1" t="n">
        <v>46191</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12730-2026</t>
        </is>
      </c>
      <c r="B272" s="1" t="n">
        <v>46091</v>
      </c>
      <c r="C272" s="1" t="n">
        <v>46191</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49313-2022</t>
        </is>
      </c>
      <c r="B273" s="1" t="n">
        <v>44861</v>
      </c>
      <c r="C273" s="1" t="n">
        <v>46191</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35998-2024</t>
        </is>
      </c>
      <c r="B274" s="1" t="n">
        <v>45533</v>
      </c>
      <c r="C274" s="1" t="n">
        <v>46191</v>
      </c>
      <c r="D274" t="inlineStr">
        <is>
          <t>KALMAR LÄN</t>
        </is>
      </c>
      <c r="E274" t="inlineStr">
        <is>
          <t>VIMMERBY</t>
        </is>
      </c>
      <c r="G274" t="n">
        <v>8.6</v>
      </c>
      <c r="H274" t="n">
        <v>0</v>
      </c>
      <c r="I274" t="n">
        <v>0</v>
      </c>
      <c r="J274" t="n">
        <v>0</v>
      </c>
      <c r="K274" t="n">
        <v>0</v>
      </c>
      <c r="L274" t="n">
        <v>0</v>
      </c>
      <c r="M274" t="n">
        <v>0</v>
      </c>
      <c r="N274" t="n">
        <v>0</v>
      </c>
      <c r="O274" t="n">
        <v>0</v>
      </c>
      <c r="P274" t="n">
        <v>0</v>
      </c>
      <c r="Q274" t="n">
        <v>0</v>
      </c>
      <c r="R274" s="2" t="inlineStr"/>
    </row>
    <row r="275" ht="15" customHeight="1">
      <c r="A275" t="inlineStr">
        <is>
          <t>A 36040-2024</t>
        </is>
      </c>
      <c r="B275" s="1" t="n">
        <v>45533</v>
      </c>
      <c r="C275" s="1" t="n">
        <v>46191</v>
      </c>
      <c r="D275" t="inlineStr">
        <is>
          <t>KALMAR LÄN</t>
        </is>
      </c>
      <c r="E275" t="inlineStr">
        <is>
          <t>VIMMERBY</t>
        </is>
      </c>
      <c r="F275" t="inlineStr">
        <is>
          <t>Kommuner</t>
        </is>
      </c>
      <c r="G275" t="n">
        <v>3.6</v>
      </c>
      <c r="H275" t="n">
        <v>0</v>
      </c>
      <c r="I275" t="n">
        <v>0</v>
      </c>
      <c r="J275" t="n">
        <v>0</v>
      </c>
      <c r="K275" t="n">
        <v>0</v>
      </c>
      <c r="L275" t="n">
        <v>0</v>
      </c>
      <c r="M275" t="n">
        <v>0</v>
      </c>
      <c r="N275" t="n">
        <v>0</v>
      </c>
      <c r="O275" t="n">
        <v>0</v>
      </c>
      <c r="P275" t="n">
        <v>0</v>
      </c>
      <c r="Q275" t="n">
        <v>0</v>
      </c>
      <c r="R275" s="2" t="inlineStr"/>
    </row>
    <row r="276" ht="15" customHeight="1">
      <c r="A276" t="inlineStr">
        <is>
          <t>A 36043-2024</t>
        </is>
      </c>
      <c r="B276" s="1" t="n">
        <v>45533</v>
      </c>
      <c r="C276" s="1" t="n">
        <v>46191</v>
      </c>
      <c r="D276" t="inlineStr">
        <is>
          <t>KALMAR LÄN</t>
        </is>
      </c>
      <c r="E276" t="inlineStr">
        <is>
          <t>VIMMERBY</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10785-2025</t>
        </is>
      </c>
      <c r="B277" s="1" t="n">
        <v>45722</v>
      </c>
      <c r="C277" s="1" t="n">
        <v>46191</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51990-2025</t>
        </is>
      </c>
      <c r="B278" s="1" t="n">
        <v>45952</v>
      </c>
      <c r="C278" s="1" t="n">
        <v>46191</v>
      </c>
      <c r="D278" t="inlineStr">
        <is>
          <t>KALMAR LÄN</t>
        </is>
      </c>
      <c r="E278" t="inlineStr">
        <is>
          <t>VIMMERBY</t>
        </is>
      </c>
      <c r="G278" t="n">
        <v>2.4</v>
      </c>
      <c r="H278" t="n">
        <v>0</v>
      </c>
      <c r="I278" t="n">
        <v>0</v>
      </c>
      <c r="J278" t="n">
        <v>0</v>
      </c>
      <c r="K278" t="n">
        <v>0</v>
      </c>
      <c r="L278" t="n">
        <v>0</v>
      </c>
      <c r="M278" t="n">
        <v>0</v>
      </c>
      <c r="N278" t="n">
        <v>0</v>
      </c>
      <c r="O278" t="n">
        <v>0</v>
      </c>
      <c r="P278" t="n">
        <v>0</v>
      </c>
      <c r="Q278" t="n">
        <v>0</v>
      </c>
      <c r="R278" s="2" t="inlineStr"/>
    </row>
    <row r="279" ht="15" customHeight="1">
      <c r="A279" t="inlineStr">
        <is>
          <t>A 18020-2025</t>
        </is>
      </c>
      <c r="B279" s="1" t="n">
        <v>45761</v>
      </c>
      <c r="C279" s="1" t="n">
        <v>46191</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12820-2026</t>
        </is>
      </c>
      <c r="B280" s="1" t="n">
        <v>46092</v>
      </c>
      <c r="C280" s="1" t="n">
        <v>46191</v>
      </c>
      <c r="D280" t="inlineStr">
        <is>
          <t>KALMAR LÄN</t>
        </is>
      </c>
      <c r="E280" t="inlineStr">
        <is>
          <t>VIMMERBY</t>
        </is>
      </c>
      <c r="G280" t="n">
        <v>4.3</v>
      </c>
      <c r="H280" t="n">
        <v>0</v>
      </c>
      <c r="I280" t="n">
        <v>0</v>
      </c>
      <c r="J280" t="n">
        <v>0</v>
      </c>
      <c r="K280" t="n">
        <v>0</v>
      </c>
      <c r="L280" t="n">
        <v>0</v>
      </c>
      <c r="M280" t="n">
        <v>0</v>
      </c>
      <c r="N280" t="n">
        <v>0</v>
      </c>
      <c r="O280" t="n">
        <v>0</v>
      </c>
      <c r="P280" t="n">
        <v>0</v>
      </c>
      <c r="Q280" t="n">
        <v>0</v>
      </c>
      <c r="R280" s="2" t="inlineStr"/>
    </row>
    <row r="281" ht="15" customHeight="1">
      <c r="A281" t="inlineStr">
        <is>
          <t>A 12821-2026</t>
        </is>
      </c>
      <c r="B281" s="1" t="n">
        <v>46092</v>
      </c>
      <c r="C281" s="1" t="n">
        <v>46191</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12825-2026</t>
        </is>
      </c>
      <c r="B282" s="1" t="n">
        <v>46092</v>
      </c>
      <c r="C282" s="1" t="n">
        <v>46191</v>
      </c>
      <c r="D282" t="inlineStr">
        <is>
          <t>KALMAR LÄN</t>
        </is>
      </c>
      <c r="E282" t="inlineStr">
        <is>
          <t>VIMMERBY</t>
        </is>
      </c>
      <c r="G282" t="n">
        <v>2.6</v>
      </c>
      <c r="H282" t="n">
        <v>0</v>
      </c>
      <c r="I282" t="n">
        <v>0</v>
      </c>
      <c r="J282" t="n">
        <v>0</v>
      </c>
      <c r="K282" t="n">
        <v>0</v>
      </c>
      <c r="L282" t="n">
        <v>0</v>
      </c>
      <c r="M282" t="n">
        <v>0</v>
      </c>
      <c r="N282" t="n">
        <v>0</v>
      </c>
      <c r="O282" t="n">
        <v>0</v>
      </c>
      <c r="P282" t="n">
        <v>0</v>
      </c>
      <c r="Q282" t="n">
        <v>0</v>
      </c>
      <c r="R282" s="2" t="inlineStr"/>
    </row>
    <row r="283" ht="15" customHeight="1">
      <c r="A283" t="inlineStr">
        <is>
          <t>A 52466-2025</t>
        </is>
      </c>
      <c r="B283" s="1" t="n">
        <v>45954</v>
      </c>
      <c r="C283" s="1" t="n">
        <v>46191</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585-2024</t>
        </is>
      </c>
      <c r="B284" s="1" t="n">
        <v>45299</v>
      </c>
      <c r="C284" s="1" t="n">
        <v>46191</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35710-2023</t>
        </is>
      </c>
      <c r="B285" s="1" t="n">
        <v>45147</v>
      </c>
      <c r="C285" s="1" t="n">
        <v>46191</v>
      </c>
      <c r="D285" t="inlineStr">
        <is>
          <t>KALMAR LÄN</t>
        </is>
      </c>
      <c r="E285" t="inlineStr">
        <is>
          <t>VIMMERBY</t>
        </is>
      </c>
      <c r="G285" t="n">
        <v>3.1</v>
      </c>
      <c r="H285" t="n">
        <v>0</v>
      </c>
      <c r="I285" t="n">
        <v>0</v>
      </c>
      <c r="J285" t="n">
        <v>0</v>
      </c>
      <c r="K285" t="n">
        <v>0</v>
      </c>
      <c r="L285" t="n">
        <v>0</v>
      </c>
      <c r="M285" t="n">
        <v>0</v>
      </c>
      <c r="N285" t="n">
        <v>0</v>
      </c>
      <c r="O285" t="n">
        <v>0</v>
      </c>
      <c r="P285" t="n">
        <v>0</v>
      </c>
      <c r="Q285" t="n">
        <v>0</v>
      </c>
      <c r="R285" s="2" t="inlineStr"/>
    </row>
    <row r="286" ht="15" customHeight="1">
      <c r="A286" t="inlineStr">
        <is>
          <t>A 35711-2023</t>
        </is>
      </c>
      <c r="B286" s="1" t="n">
        <v>45147</v>
      </c>
      <c r="C286" s="1" t="n">
        <v>46191</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6802-2025</t>
        </is>
      </c>
      <c r="B287" s="1" t="n">
        <v>45700</v>
      </c>
      <c r="C287" s="1" t="n">
        <v>46191</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13667-2026</t>
        </is>
      </c>
      <c r="B288" s="1" t="n">
        <v>46097</v>
      </c>
      <c r="C288" s="1" t="n">
        <v>46191</v>
      </c>
      <c r="D288" t="inlineStr">
        <is>
          <t>KALMAR LÄN</t>
        </is>
      </c>
      <c r="E288" t="inlineStr">
        <is>
          <t>VIMMERBY</t>
        </is>
      </c>
      <c r="G288" t="n">
        <v>6.8</v>
      </c>
      <c r="H288" t="n">
        <v>0</v>
      </c>
      <c r="I288" t="n">
        <v>0</v>
      </c>
      <c r="J288" t="n">
        <v>0</v>
      </c>
      <c r="K288" t="n">
        <v>0</v>
      </c>
      <c r="L288" t="n">
        <v>0</v>
      </c>
      <c r="M288" t="n">
        <v>0</v>
      </c>
      <c r="N288" t="n">
        <v>0</v>
      </c>
      <c r="O288" t="n">
        <v>0</v>
      </c>
      <c r="P288" t="n">
        <v>0</v>
      </c>
      <c r="Q288" t="n">
        <v>0</v>
      </c>
      <c r="R288" s="2" t="inlineStr"/>
    </row>
    <row r="289" ht="15" customHeight="1">
      <c r="A289" t="inlineStr">
        <is>
          <t>A 56020-2024</t>
        </is>
      </c>
      <c r="B289" s="1" t="n">
        <v>45623</v>
      </c>
      <c r="C289" s="1" t="n">
        <v>46191</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33842-2022</t>
        </is>
      </c>
      <c r="B290" s="1" t="n">
        <v>44790</v>
      </c>
      <c r="C290" s="1" t="n">
        <v>46191</v>
      </c>
      <c r="D290" t="inlineStr">
        <is>
          <t>KALMAR LÄN</t>
        </is>
      </c>
      <c r="E290" t="inlineStr">
        <is>
          <t>VIMMERBY</t>
        </is>
      </c>
      <c r="G290" t="n">
        <v>1.6</v>
      </c>
      <c r="H290" t="n">
        <v>0</v>
      </c>
      <c r="I290" t="n">
        <v>0</v>
      </c>
      <c r="J290" t="n">
        <v>0</v>
      </c>
      <c r="K290" t="n">
        <v>0</v>
      </c>
      <c r="L290" t="n">
        <v>0</v>
      </c>
      <c r="M290" t="n">
        <v>0</v>
      </c>
      <c r="N290" t="n">
        <v>0</v>
      </c>
      <c r="O290" t="n">
        <v>0</v>
      </c>
      <c r="P290" t="n">
        <v>0</v>
      </c>
      <c r="Q290" t="n">
        <v>0</v>
      </c>
      <c r="R290" s="2" t="inlineStr"/>
    </row>
    <row r="291" ht="15" customHeight="1">
      <c r="A291" t="inlineStr">
        <is>
          <t>A 60675-2023</t>
        </is>
      </c>
      <c r="B291" s="1" t="n">
        <v>45260</v>
      </c>
      <c r="C291" s="1" t="n">
        <v>46191</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13793-2026</t>
        </is>
      </c>
      <c r="B292" s="1" t="n">
        <v>46097</v>
      </c>
      <c r="C292" s="1" t="n">
        <v>46191</v>
      </c>
      <c r="D292" t="inlineStr">
        <is>
          <t>KALMAR LÄN</t>
        </is>
      </c>
      <c r="E292" t="inlineStr">
        <is>
          <t>VIMMERBY</t>
        </is>
      </c>
      <c r="G292" t="n">
        <v>2.9</v>
      </c>
      <c r="H292" t="n">
        <v>0</v>
      </c>
      <c r="I292" t="n">
        <v>0</v>
      </c>
      <c r="J292" t="n">
        <v>0</v>
      </c>
      <c r="K292" t="n">
        <v>0</v>
      </c>
      <c r="L292" t="n">
        <v>0</v>
      </c>
      <c r="M292" t="n">
        <v>0</v>
      </c>
      <c r="N292" t="n">
        <v>0</v>
      </c>
      <c r="O292" t="n">
        <v>0</v>
      </c>
      <c r="P292" t="n">
        <v>0</v>
      </c>
      <c r="Q292" t="n">
        <v>0</v>
      </c>
      <c r="R292" s="2" t="inlineStr"/>
    </row>
    <row r="293" ht="15" customHeight="1">
      <c r="A293" t="inlineStr">
        <is>
          <t>A 14279-2026</t>
        </is>
      </c>
      <c r="B293" s="1" t="n">
        <v>46099</v>
      </c>
      <c r="C293" s="1" t="n">
        <v>46191</v>
      </c>
      <c r="D293" t="inlineStr">
        <is>
          <t>KALMAR LÄN</t>
        </is>
      </c>
      <c r="E293" t="inlineStr">
        <is>
          <t>VIMMERBY</t>
        </is>
      </c>
      <c r="G293" t="n">
        <v>2.8</v>
      </c>
      <c r="H293" t="n">
        <v>0</v>
      </c>
      <c r="I293" t="n">
        <v>0</v>
      </c>
      <c r="J293" t="n">
        <v>0</v>
      </c>
      <c r="K293" t="n">
        <v>0</v>
      </c>
      <c r="L293" t="n">
        <v>0</v>
      </c>
      <c r="M293" t="n">
        <v>0</v>
      </c>
      <c r="N293" t="n">
        <v>0</v>
      </c>
      <c r="O293" t="n">
        <v>0</v>
      </c>
      <c r="P293" t="n">
        <v>0</v>
      </c>
      <c r="Q293" t="n">
        <v>0</v>
      </c>
      <c r="R293" s="2" t="inlineStr"/>
    </row>
    <row r="294" ht="15" customHeight="1">
      <c r="A294" t="inlineStr">
        <is>
          <t>A 40095-2022</t>
        </is>
      </c>
      <c r="B294" s="1" t="n">
        <v>44820</v>
      </c>
      <c r="C294" s="1" t="n">
        <v>46191</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52475-2025</t>
        </is>
      </c>
      <c r="B295" s="1" t="n">
        <v>45954</v>
      </c>
      <c r="C295" s="1" t="n">
        <v>46191</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19537-2022</t>
        </is>
      </c>
      <c r="B296" s="1" t="n">
        <v>44693</v>
      </c>
      <c r="C296" s="1" t="n">
        <v>46191</v>
      </c>
      <c r="D296" t="inlineStr">
        <is>
          <t>KALMAR LÄN</t>
        </is>
      </c>
      <c r="E296" t="inlineStr">
        <is>
          <t>VIMMERBY</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53398-2025</t>
        </is>
      </c>
      <c r="B297" s="1" t="n">
        <v>45959</v>
      </c>
      <c r="C297" s="1" t="n">
        <v>46191</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53397-2025</t>
        </is>
      </c>
      <c r="B298" s="1" t="n">
        <v>45959</v>
      </c>
      <c r="C298" s="1" t="n">
        <v>46191</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57311-2023</t>
        </is>
      </c>
      <c r="B299" s="1" t="n">
        <v>45245</v>
      </c>
      <c r="C299" s="1" t="n">
        <v>46191</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64428-2023</t>
        </is>
      </c>
      <c r="B300" s="1" t="n">
        <v>45280</v>
      </c>
      <c r="C300" s="1" t="n">
        <v>46191</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4527-2023</t>
        </is>
      </c>
      <c r="B301" s="1" t="n">
        <v>44956</v>
      </c>
      <c r="C301" s="1" t="n">
        <v>46191</v>
      </c>
      <c r="D301" t="inlineStr">
        <is>
          <t>KALMAR LÄN</t>
        </is>
      </c>
      <c r="E301" t="inlineStr">
        <is>
          <t>VIMMERBY</t>
        </is>
      </c>
      <c r="F301" t="inlineStr">
        <is>
          <t>Kommuner</t>
        </is>
      </c>
      <c r="G301" t="n">
        <v>8.5</v>
      </c>
      <c r="H301" t="n">
        <v>0</v>
      </c>
      <c r="I301" t="n">
        <v>0</v>
      </c>
      <c r="J301" t="n">
        <v>0</v>
      </c>
      <c r="K301" t="n">
        <v>0</v>
      </c>
      <c r="L301" t="n">
        <v>0</v>
      </c>
      <c r="M301" t="n">
        <v>0</v>
      </c>
      <c r="N301" t="n">
        <v>0</v>
      </c>
      <c r="O301" t="n">
        <v>0</v>
      </c>
      <c r="P301" t="n">
        <v>0</v>
      </c>
      <c r="Q301" t="n">
        <v>0</v>
      </c>
      <c r="R301" s="2" t="inlineStr"/>
    </row>
    <row r="302" ht="15" customHeight="1">
      <c r="A302" t="inlineStr">
        <is>
          <t>A 14320-2026</t>
        </is>
      </c>
      <c r="B302" s="1" t="n">
        <v>46099</v>
      </c>
      <c r="C302" s="1" t="n">
        <v>46191</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3268-2024</t>
        </is>
      </c>
      <c r="B303" s="1" t="n">
        <v>45317</v>
      </c>
      <c r="C303" s="1" t="n">
        <v>46191</v>
      </c>
      <c r="D303" t="inlineStr">
        <is>
          <t>KALMAR LÄN</t>
        </is>
      </c>
      <c r="E303" t="inlineStr">
        <is>
          <t>VIMMERBY</t>
        </is>
      </c>
      <c r="F303" t="inlineStr">
        <is>
          <t>Övriga Aktiebolag</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51408-2023</t>
        </is>
      </c>
      <c r="B304" s="1" t="n">
        <v>45219</v>
      </c>
      <c r="C304" s="1" t="n">
        <v>46191</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53396-2025</t>
        </is>
      </c>
      <c r="B305" s="1" t="n">
        <v>45959</v>
      </c>
      <c r="C305" s="1" t="n">
        <v>46191</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53933-2025</t>
        </is>
      </c>
      <c r="B306" s="1" t="n">
        <v>45961</v>
      </c>
      <c r="C306" s="1" t="n">
        <v>46191</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14318-2026</t>
        </is>
      </c>
      <c r="B307" s="1" t="n">
        <v>46099</v>
      </c>
      <c r="C307" s="1" t="n">
        <v>46191</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54236-2025</t>
        </is>
      </c>
      <c r="B308" s="1" t="n">
        <v>45964</v>
      </c>
      <c r="C308" s="1" t="n">
        <v>46191</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53920-2025</t>
        </is>
      </c>
      <c r="B309" s="1" t="n">
        <v>45961</v>
      </c>
      <c r="C309" s="1" t="n">
        <v>46191</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34588-2024</t>
        </is>
      </c>
      <c r="B310" s="1" t="n">
        <v>45526</v>
      </c>
      <c r="C310" s="1" t="n">
        <v>46191</v>
      </c>
      <c r="D310" t="inlineStr">
        <is>
          <t>KALMAR LÄN</t>
        </is>
      </c>
      <c r="E310" t="inlineStr">
        <is>
          <t>VIMMERBY</t>
        </is>
      </c>
      <c r="F310" t="inlineStr">
        <is>
          <t>Övriga Aktiebolag</t>
        </is>
      </c>
      <c r="G310" t="n">
        <v>3.3</v>
      </c>
      <c r="H310" t="n">
        <v>0</v>
      </c>
      <c r="I310" t="n">
        <v>0</v>
      </c>
      <c r="J310" t="n">
        <v>0</v>
      </c>
      <c r="K310" t="n">
        <v>0</v>
      </c>
      <c r="L310" t="n">
        <v>0</v>
      </c>
      <c r="M310" t="n">
        <v>0</v>
      </c>
      <c r="N310" t="n">
        <v>0</v>
      </c>
      <c r="O310" t="n">
        <v>0</v>
      </c>
      <c r="P310" t="n">
        <v>0</v>
      </c>
      <c r="Q310" t="n">
        <v>0</v>
      </c>
      <c r="R310" s="2" t="inlineStr"/>
    </row>
    <row r="311" ht="15" customHeight="1">
      <c r="A311" t="inlineStr">
        <is>
          <t>A 54234-2025</t>
        </is>
      </c>
      <c r="B311" s="1" t="n">
        <v>45964</v>
      </c>
      <c r="C311" s="1" t="n">
        <v>46191</v>
      </c>
      <c r="D311" t="inlineStr">
        <is>
          <t>KALMAR LÄN</t>
        </is>
      </c>
      <c r="E311" t="inlineStr">
        <is>
          <t>VIMMERBY</t>
        </is>
      </c>
      <c r="G311" t="n">
        <v>4.1</v>
      </c>
      <c r="H311" t="n">
        <v>0</v>
      </c>
      <c r="I311" t="n">
        <v>0</v>
      </c>
      <c r="J311" t="n">
        <v>0</v>
      </c>
      <c r="K311" t="n">
        <v>0</v>
      </c>
      <c r="L311" t="n">
        <v>0</v>
      </c>
      <c r="M311" t="n">
        <v>0</v>
      </c>
      <c r="N311" t="n">
        <v>0</v>
      </c>
      <c r="O311" t="n">
        <v>0</v>
      </c>
      <c r="P311" t="n">
        <v>0</v>
      </c>
      <c r="Q311" t="n">
        <v>0</v>
      </c>
      <c r="R311" s="2" t="inlineStr"/>
    </row>
    <row r="312" ht="15" customHeight="1">
      <c r="A312" t="inlineStr">
        <is>
          <t>A 15205-2026</t>
        </is>
      </c>
      <c r="B312" s="1" t="n">
        <v>46105</v>
      </c>
      <c r="C312" s="1" t="n">
        <v>46191</v>
      </c>
      <c r="D312" t="inlineStr">
        <is>
          <t>KALMAR LÄN</t>
        </is>
      </c>
      <c r="E312" t="inlineStr">
        <is>
          <t>VIMMERBY</t>
        </is>
      </c>
      <c r="G312" t="n">
        <v>2.1</v>
      </c>
      <c r="H312" t="n">
        <v>0</v>
      </c>
      <c r="I312" t="n">
        <v>0</v>
      </c>
      <c r="J312" t="n">
        <v>0</v>
      </c>
      <c r="K312" t="n">
        <v>0</v>
      </c>
      <c r="L312" t="n">
        <v>0</v>
      </c>
      <c r="M312" t="n">
        <v>0</v>
      </c>
      <c r="N312" t="n">
        <v>0</v>
      </c>
      <c r="O312" t="n">
        <v>0</v>
      </c>
      <c r="P312" t="n">
        <v>0</v>
      </c>
      <c r="Q312" t="n">
        <v>0</v>
      </c>
      <c r="R312" s="2" t="inlineStr"/>
    </row>
    <row r="313" ht="15" customHeight="1">
      <c r="A313" t="inlineStr">
        <is>
          <t>A 52588-2023</t>
        </is>
      </c>
      <c r="B313" s="1" t="n">
        <v>45225</v>
      </c>
      <c r="C313" s="1" t="n">
        <v>46191</v>
      </c>
      <c r="D313" t="inlineStr">
        <is>
          <t>KALMAR LÄN</t>
        </is>
      </c>
      <c r="E313" t="inlineStr">
        <is>
          <t>VIMMERBY</t>
        </is>
      </c>
      <c r="G313" t="n">
        <v>2.9</v>
      </c>
      <c r="H313" t="n">
        <v>0</v>
      </c>
      <c r="I313" t="n">
        <v>0</v>
      </c>
      <c r="J313" t="n">
        <v>0</v>
      </c>
      <c r="K313" t="n">
        <v>0</v>
      </c>
      <c r="L313" t="n">
        <v>0</v>
      </c>
      <c r="M313" t="n">
        <v>0</v>
      </c>
      <c r="N313" t="n">
        <v>0</v>
      </c>
      <c r="O313" t="n">
        <v>0</v>
      </c>
      <c r="P313" t="n">
        <v>0</v>
      </c>
      <c r="Q313" t="n">
        <v>0</v>
      </c>
      <c r="R313" s="2" t="inlineStr"/>
    </row>
    <row r="314" ht="15" customHeight="1">
      <c r="A314" t="inlineStr">
        <is>
          <t>A 55236-2023</t>
        </is>
      </c>
      <c r="B314" s="1" t="n">
        <v>45237</v>
      </c>
      <c r="C314" s="1" t="n">
        <v>46191</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55245-2023</t>
        </is>
      </c>
      <c r="B315" s="1" t="n">
        <v>45237</v>
      </c>
      <c r="C315" s="1" t="n">
        <v>46191</v>
      </c>
      <c r="D315" t="inlineStr">
        <is>
          <t>KALMAR LÄN</t>
        </is>
      </c>
      <c r="E315" t="inlineStr">
        <is>
          <t>VIMMERBY</t>
        </is>
      </c>
      <c r="G315" t="n">
        <v>1.3</v>
      </c>
      <c r="H315" t="n">
        <v>0</v>
      </c>
      <c r="I315" t="n">
        <v>0</v>
      </c>
      <c r="J315" t="n">
        <v>0</v>
      </c>
      <c r="K315" t="n">
        <v>0</v>
      </c>
      <c r="L315" t="n">
        <v>0</v>
      </c>
      <c r="M315" t="n">
        <v>0</v>
      </c>
      <c r="N315" t="n">
        <v>0</v>
      </c>
      <c r="O315" t="n">
        <v>0</v>
      </c>
      <c r="P315" t="n">
        <v>0</v>
      </c>
      <c r="Q315" t="n">
        <v>0</v>
      </c>
      <c r="R315" s="2" t="inlineStr"/>
    </row>
    <row r="316" ht="15" customHeight="1">
      <c r="A316" t="inlineStr">
        <is>
          <t>A 56659-2023</t>
        </is>
      </c>
      <c r="B316" s="1" t="n">
        <v>45243</v>
      </c>
      <c r="C316" s="1" t="n">
        <v>46191</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15054-2026</t>
        </is>
      </c>
      <c r="B317" s="1" t="n">
        <v>46104</v>
      </c>
      <c r="C317" s="1" t="n">
        <v>46191</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14793-2026</t>
        </is>
      </c>
      <c r="B318" s="1" t="n">
        <v>46101</v>
      </c>
      <c r="C318" s="1" t="n">
        <v>46191</v>
      </c>
      <c r="D318" t="inlineStr">
        <is>
          <t>KALMAR LÄN</t>
        </is>
      </c>
      <c r="E318" t="inlineStr">
        <is>
          <t>VIMMERBY</t>
        </is>
      </c>
      <c r="G318" t="n">
        <v>5.7</v>
      </c>
      <c r="H318" t="n">
        <v>0</v>
      </c>
      <c r="I318" t="n">
        <v>0</v>
      </c>
      <c r="J318" t="n">
        <v>0</v>
      </c>
      <c r="K318" t="n">
        <v>0</v>
      </c>
      <c r="L318" t="n">
        <v>0</v>
      </c>
      <c r="M318" t="n">
        <v>0</v>
      </c>
      <c r="N318" t="n">
        <v>0</v>
      </c>
      <c r="O318" t="n">
        <v>0</v>
      </c>
      <c r="P318" t="n">
        <v>0</v>
      </c>
      <c r="Q318" t="n">
        <v>0</v>
      </c>
      <c r="R318" s="2" t="inlineStr"/>
    </row>
    <row r="319" ht="15" customHeight="1">
      <c r="A319" t="inlineStr">
        <is>
          <t>A 14792-2026</t>
        </is>
      </c>
      <c r="B319" s="1" t="n">
        <v>46101</v>
      </c>
      <c r="C319" s="1" t="n">
        <v>46191</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25370-2022</t>
        </is>
      </c>
      <c r="B320" s="1" t="n">
        <v>44732</v>
      </c>
      <c r="C320" s="1" t="n">
        <v>46191</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33838-2022</t>
        </is>
      </c>
      <c r="B321" s="1" t="n">
        <v>44790</v>
      </c>
      <c r="C321" s="1" t="n">
        <v>46191</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4058-2024</t>
        </is>
      </c>
      <c r="B322" s="1" t="n">
        <v>45323</v>
      </c>
      <c r="C322" s="1" t="n">
        <v>46191</v>
      </c>
      <c r="D322" t="inlineStr">
        <is>
          <t>KALMAR LÄN</t>
        </is>
      </c>
      <c r="E322" t="inlineStr">
        <is>
          <t>VIMMERBY</t>
        </is>
      </c>
      <c r="G322" t="n">
        <v>6.5</v>
      </c>
      <c r="H322" t="n">
        <v>0</v>
      </c>
      <c r="I322" t="n">
        <v>0</v>
      </c>
      <c r="J322" t="n">
        <v>0</v>
      </c>
      <c r="K322" t="n">
        <v>0</v>
      </c>
      <c r="L322" t="n">
        <v>0</v>
      </c>
      <c r="M322" t="n">
        <v>0</v>
      </c>
      <c r="N322" t="n">
        <v>0</v>
      </c>
      <c r="O322" t="n">
        <v>0</v>
      </c>
      <c r="P322" t="n">
        <v>0</v>
      </c>
      <c r="Q322" t="n">
        <v>0</v>
      </c>
      <c r="R322" s="2" t="inlineStr"/>
    </row>
    <row r="323" ht="15" customHeight="1">
      <c r="A323" t="inlineStr">
        <is>
          <t>A 36008-2024</t>
        </is>
      </c>
      <c r="B323" s="1" t="n">
        <v>45533</v>
      </c>
      <c r="C323" s="1" t="n">
        <v>46191</v>
      </c>
      <c r="D323" t="inlineStr">
        <is>
          <t>KALMAR LÄN</t>
        </is>
      </c>
      <c r="E323" t="inlineStr">
        <is>
          <t>VIMMERBY</t>
        </is>
      </c>
      <c r="G323" t="n">
        <v>3.7</v>
      </c>
      <c r="H323" t="n">
        <v>0</v>
      </c>
      <c r="I323" t="n">
        <v>0</v>
      </c>
      <c r="J323" t="n">
        <v>0</v>
      </c>
      <c r="K323" t="n">
        <v>0</v>
      </c>
      <c r="L323" t="n">
        <v>0</v>
      </c>
      <c r="M323" t="n">
        <v>0</v>
      </c>
      <c r="N323" t="n">
        <v>0</v>
      </c>
      <c r="O323" t="n">
        <v>0</v>
      </c>
      <c r="P323" t="n">
        <v>0</v>
      </c>
      <c r="Q323" t="n">
        <v>0</v>
      </c>
      <c r="R323" s="2" t="inlineStr"/>
    </row>
    <row r="324" ht="15" customHeight="1">
      <c r="A324" t="inlineStr">
        <is>
          <t>A 3331-2023</t>
        </is>
      </c>
      <c r="B324" s="1" t="n">
        <v>44949</v>
      </c>
      <c r="C324" s="1" t="n">
        <v>46191</v>
      </c>
      <c r="D324" t="inlineStr">
        <is>
          <t>KALMAR LÄN</t>
        </is>
      </c>
      <c r="E324" t="inlineStr">
        <is>
          <t>VIMMERBY</t>
        </is>
      </c>
      <c r="G324" t="n">
        <v>6.2</v>
      </c>
      <c r="H324" t="n">
        <v>0</v>
      </c>
      <c r="I324" t="n">
        <v>0</v>
      </c>
      <c r="J324" t="n">
        <v>0</v>
      </c>
      <c r="K324" t="n">
        <v>0</v>
      </c>
      <c r="L324" t="n">
        <v>0</v>
      </c>
      <c r="M324" t="n">
        <v>0</v>
      </c>
      <c r="N324" t="n">
        <v>0</v>
      </c>
      <c r="O324" t="n">
        <v>0</v>
      </c>
      <c r="P324" t="n">
        <v>0</v>
      </c>
      <c r="Q324" t="n">
        <v>0</v>
      </c>
      <c r="R324" s="2" t="inlineStr"/>
    </row>
    <row r="325" ht="15" customHeight="1">
      <c r="A325" t="inlineStr">
        <is>
          <t>A 8540-2024</t>
        </is>
      </c>
      <c r="B325" s="1" t="n">
        <v>45355</v>
      </c>
      <c r="C325" s="1" t="n">
        <v>46191</v>
      </c>
      <c r="D325" t="inlineStr">
        <is>
          <t>KALMAR LÄN</t>
        </is>
      </c>
      <c r="E325" t="inlineStr">
        <is>
          <t>VIMMERBY</t>
        </is>
      </c>
      <c r="G325" t="n">
        <v>1.9</v>
      </c>
      <c r="H325" t="n">
        <v>0</v>
      </c>
      <c r="I325" t="n">
        <v>0</v>
      </c>
      <c r="J325" t="n">
        <v>0</v>
      </c>
      <c r="K325" t="n">
        <v>0</v>
      </c>
      <c r="L325" t="n">
        <v>0</v>
      </c>
      <c r="M325" t="n">
        <v>0</v>
      </c>
      <c r="N325" t="n">
        <v>0</v>
      </c>
      <c r="O325" t="n">
        <v>0</v>
      </c>
      <c r="P325" t="n">
        <v>0</v>
      </c>
      <c r="Q325" t="n">
        <v>0</v>
      </c>
      <c r="R325" s="2" t="inlineStr"/>
    </row>
    <row r="326" ht="15" customHeight="1">
      <c r="A326" t="inlineStr">
        <is>
          <t>A 9623-2024</t>
        </is>
      </c>
      <c r="B326" s="1" t="n">
        <v>45361</v>
      </c>
      <c r="C326" s="1" t="n">
        <v>46191</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5146-2024</t>
        </is>
      </c>
      <c r="B327" s="1" t="n">
        <v>45330</v>
      </c>
      <c r="C327" s="1" t="n">
        <v>46191</v>
      </c>
      <c r="D327" t="inlineStr">
        <is>
          <t>KALMAR LÄN</t>
        </is>
      </c>
      <c r="E327" t="inlineStr">
        <is>
          <t>VIMMERBY</t>
        </is>
      </c>
      <c r="G327" t="n">
        <v>5.3</v>
      </c>
      <c r="H327" t="n">
        <v>0</v>
      </c>
      <c r="I327" t="n">
        <v>0</v>
      </c>
      <c r="J327" t="n">
        <v>0</v>
      </c>
      <c r="K327" t="n">
        <v>0</v>
      </c>
      <c r="L327" t="n">
        <v>0</v>
      </c>
      <c r="M327" t="n">
        <v>0</v>
      </c>
      <c r="N327" t="n">
        <v>0</v>
      </c>
      <c r="O327" t="n">
        <v>0</v>
      </c>
      <c r="P327" t="n">
        <v>0</v>
      </c>
      <c r="Q327" t="n">
        <v>0</v>
      </c>
      <c r="R327" s="2" t="inlineStr"/>
    </row>
    <row r="328" ht="15" customHeight="1">
      <c r="A328" t="inlineStr">
        <is>
          <t>A 5148-2024</t>
        </is>
      </c>
      <c r="B328" s="1" t="n">
        <v>45330</v>
      </c>
      <c r="C328" s="1" t="n">
        <v>46191</v>
      </c>
      <c r="D328" t="inlineStr">
        <is>
          <t>KALMAR LÄN</t>
        </is>
      </c>
      <c r="E328" t="inlineStr">
        <is>
          <t>VIMMERBY</t>
        </is>
      </c>
      <c r="G328" t="n">
        <v>5.6</v>
      </c>
      <c r="H328" t="n">
        <v>0</v>
      </c>
      <c r="I328" t="n">
        <v>0</v>
      </c>
      <c r="J328" t="n">
        <v>0</v>
      </c>
      <c r="K328" t="n">
        <v>0</v>
      </c>
      <c r="L328" t="n">
        <v>0</v>
      </c>
      <c r="M328" t="n">
        <v>0</v>
      </c>
      <c r="N328" t="n">
        <v>0</v>
      </c>
      <c r="O328" t="n">
        <v>0</v>
      </c>
      <c r="P328" t="n">
        <v>0</v>
      </c>
      <c r="Q328" t="n">
        <v>0</v>
      </c>
      <c r="R328" s="2" t="inlineStr"/>
    </row>
    <row r="329" ht="15" customHeight="1">
      <c r="A329" t="inlineStr">
        <is>
          <t>A 55385-2025</t>
        </is>
      </c>
      <c r="B329" s="1" t="n">
        <v>45971</v>
      </c>
      <c r="C329" s="1" t="n">
        <v>46191</v>
      </c>
      <c r="D329" t="inlineStr">
        <is>
          <t>KALMAR LÄN</t>
        </is>
      </c>
      <c r="E329" t="inlineStr">
        <is>
          <t>VIMMERBY</t>
        </is>
      </c>
      <c r="G329" t="n">
        <v>5</v>
      </c>
      <c r="H329" t="n">
        <v>0</v>
      </c>
      <c r="I329" t="n">
        <v>0</v>
      </c>
      <c r="J329" t="n">
        <v>0</v>
      </c>
      <c r="K329" t="n">
        <v>0</v>
      </c>
      <c r="L329" t="n">
        <v>0</v>
      </c>
      <c r="M329" t="n">
        <v>0</v>
      </c>
      <c r="N329" t="n">
        <v>0</v>
      </c>
      <c r="O329" t="n">
        <v>0</v>
      </c>
      <c r="P329" t="n">
        <v>0</v>
      </c>
      <c r="Q329" t="n">
        <v>0</v>
      </c>
      <c r="R329" s="2" t="inlineStr"/>
    </row>
    <row r="330" ht="15" customHeight="1">
      <c r="A330" t="inlineStr">
        <is>
          <t>A 44179-2022</t>
        </is>
      </c>
      <c r="B330" s="1" t="n">
        <v>44839</v>
      </c>
      <c r="C330" s="1" t="n">
        <v>46191</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21882-2026</t>
        </is>
      </c>
      <c r="B331" s="1" t="n">
        <v>46150</v>
      </c>
      <c r="C331" s="1" t="n">
        <v>46191</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50648-2023</t>
        </is>
      </c>
      <c r="B332" s="1" t="n">
        <v>45217</v>
      </c>
      <c r="C332" s="1" t="n">
        <v>46191</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55603-2025</t>
        </is>
      </c>
      <c r="B333" s="1" t="n">
        <v>45971</v>
      </c>
      <c r="C333" s="1" t="n">
        <v>46191</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2121-2022</t>
        </is>
      </c>
      <c r="B334" s="1" t="n">
        <v>44578</v>
      </c>
      <c r="C334" s="1" t="n">
        <v>46191</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57799-2022</t>
        </is>
      </c>
      <c r="B335" s="1" t="n">
        <v>44897</v>
      </c>
      <c r="C335" s="1" t="n">
        <v>46191</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16183-2026</t>
        </is>
      </c>
      <c r="B336" s="1" t="n">
        <v>46111</v>
      </c>
      <c r="C336" s="1" t="n">
        <v>46191</v>
      </c>
      <c r="D336" t="inlineStr">
        <is>
          <t>KALMAR LÄN</t>
        </is>
      </c>
      <c r="E336" t="inlineStr">
        <is>
          <t>VIMMERBY</t>
        </is>
      </c>
      <c r="G336" t="n">
        <v>1.7</v>
      </c>
      <c r="H336" t="n">
        <v>0</v>
      </c>
      <c r="I336" t="n">
        <v>0</v>
      </c>
      <c r="J336" t="n">
        <v>0</v>
      </c>
      <c r="K336" t="n">
        <v>0</v>
      </c>
      <c r="L336" t="n">
        <v>0</v>
      </c>
      <c r="M336" t="n">
        <v>0</v>
      </c>
      <c r="N336" t="n">
        <v>0</v>
      </c>
      <c r="O336" t="n">
        <v>0</v>
      </c>
      <c r="P336" t="n">
        <v>0</v>
      </c>
      <c r="Q336" t="n">
        <v>0</v>
      </c>
      <c r="R336" s="2" t="inlineStr"/>
    </row>
    <row r="337" ht="15" customHeight="1">
      <c r="A337" t="inlineStr">
        <is>
          <t>A 26318-2023</t>
        </is>
      </c>
      <c r="B337" s="1" t="n">
        <v>45091</v>
      </c>
      <c r="C337" s="1" t="n">
        <v>46191</v>
      </c>
      <c r="D337" t="inlineStr">
        <is>
          <t>KALMAR LÄN</t>
        </is>
      </c>
      <c r="E337" t="inlineStr">
        <is>
          <t>VIMMERBY</t>
        </is>
      </c>
      <c r="G337" t="n">
        <v>3.8</v>
      </c>
      <c r="H337" t="n">
        <v>0</v>
      </c>
      <c r="I337" t="n">
        <v>0</v>
      </c>
      <c r="J337" t="n">
        <v>0</v>
      </c>
      <c r="K337" t="n">
        <v>0</v>
      </c>
      <c r="L337" t="n">
        <v>0</v>
      </c>
      <c r="M337" t="n">
        <v>0</v>
      </c>
      <c r="N337" t="n">
        <v>0</v>
      </c>
      <c r="O337" t="n">
        <v>0</v>
      </c>
      <c r="P337" t="n">
        <v>0</v>
      </c>
      <c r="Q337" t="n">
        <v>0</v>
      </c>
      <c r="R337" s="2" t="inlineStr"/>
    </row>
    <row r="338" ht="15" customHeight="1">
      <c r="A338" t="inlineStr">
        <is>
          <t>A 60437-2023</t>
        </is>
      </c>
      <c r="B338" s="1" t="n">
        <v>45259</v>
      </c>
      <c r="C338" s="1" t="n">
        <v>46191</v>
      </c>
      <c r="D338" t="inlineStr">
        <is>
          <t>KALMAR LÄN</t>
        </is>
      </c>
      <c r="E338" t="inlineStr">
        <is>
          <t>VIMMERBY</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60438-2023</t>
        </is>
      </c>
      <c r="B339" s="1" t="n">
        <v>45259</v>
      </c>
      <c r="C339" s="1" t="n">
        <v>46191</v>
      </c>
      <c r="D339" t="inlineStr">
        <is>
          <t>KALMAR LÄN</t>
        </is>
      </c>
      <c r="E339" t="inlineStr">
        <is>
          <t>VIMMERBY</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40828-2023</t>
        </is>
      </c>
      <c r="B340" s="1" t="n">
        <v>45171</v>
      </c>
      <c r="C340" s="1" t="n">
        <v>46191</v>
      </c>
      <c r="D340" t="inlineStr">
        <is>
          <t>KALMAR LÄN</t>
        </is>
      </c>
      <c r="E340" t="inlineStr">
        <is>
          <t>VIMMERBY</t>
        </is>
      </c>
      <c r="G340" t="n">
        <v>0.6</v>
      </c>
      <c r="H340" t="n">
        <v>0</v>
      </c>
      <c r="I340" t="n">
        <v>0</v>
      </c>
      <c r="J340" t="n">
        <v>0</v>
      </c>
      <c r="K340" t="n">
        <v>0</v>
      </c>
      <c r="L340" t="n">
        <v>0</v>
      </c>
      <c r="M340" t="n">
        <v>0</v>
      </c>
      <c r="N340" t="n">
        <v>0</v>
      </c>
      <c r="O340" t="n">
        <v>0</v>
      </c>
      <c r="P340" t="n">
        <v>0</v>
      </c>
      <c r="Q340" t="n">
        <v>0</v>
      </c>
      <c r="R340" s="2" t="inlineStr"/>
    </row>
    <row r="341" ht="15" customHeight="1">
      <c r="A341" t="inlineStr">
        <is>
          <t>A 7758-2024</t>
        </is>
      </c>
      <c r="B341" s="1" t="n">
        <v>45349</v>
      </c>
      <c r="C341" s="1" t="n">
        <v>46191</v>
      </c>
      <c r="D341" t="inlineStr">
        <is>
          <t>KALMAR LÄN</t>
        </is>
      </c>
      <c r="E341" t="inlineStr">
        <is>
          <t>VIMMERBY</t>
        </is>
      </c>
      <c r="G341" t="n">
        <v>3.5</v>
      </c>
      <c r="H341" t="n">
        <v>0</v>
      </c>
      <c r="I341" t="n">
        <v>0</v>
      </c>
      <c r="J341" t="n">
        <v>0</v>
      </c>
      <c r="K341" t="n">
        <v>0</v>
      </c>
      <c r="L341" t="n">
        <v>0</v>
      </c>
      <c r="M341" t="n">
        <v>0</v>
      </c>
      <c r="N341" t="n">
        <v>0</v>
      </c>
      <c r="O341" t="n">
        <v>0</v>
      </c>
      <c r="P341" t="n">
        <v>0</v>
      </c>
      <c r="Q341" t="n">
        <v>0</v>
      </c>
      <c r="R341" s="2" t="inlineStr"/>
    </row>
    <row r="342" ht="15" customHeight="1">
      <c r="A342" t="inlineStr">
        <is>
          <t>A 16632-2026</t>
        </is>
      </c>
      <c r="B342" s="1" t="n">
        <v>46112</v>
      </c>
      <c r="C342" s="1" t="n">
        <v>46191</v>
      </c>
      <c r="D342" t="inlineStr">
        <is>
          <t>KALMAR LÄN</t>
        </is>
      </c>
      <c r="E342" t="inlineStr">
        <is>
          <t>VIMMERBY</t>
        </is>
      </c>
      <c r="G342" t="n">
        <v>2.1</v>
      </c>
      <c r="H342" t="n">
        <v>0</v>
      </c>
      <c r="I342" t="n">
        <v>0</v>
      </c>
      <c r="J342" t="n">
        <v>0</v>
      </c>
      <c r="K342" t="n">
        <v>0</v>
      </c>
      <c r="L342" t="n">
        <v>0</v>
      </c>
      <c r="M342" t="n">
        <v>0</v>
      </c>
      <c r="N342" t="n">
        <v>0</v>
      </c>
      <c r="O342" t="n">
        <v>0</v>
      </c>
      <c r="P342" t="n">
        <v>0</v>
      </c>
      <c r="Q342" t="n">
        <v>0</v>
      </c>
      <c r="R342" s="2" t="inlineStr"/>
    </row>
    <row r="343" ht="15" customHeight="1">
      <c r="A343" t="inlineStr">
        <is>
          <t>A 16653-2026</t>
        </is>
      </c>
      <c r="B343" s="1" t="n">
        <v>46112</v>
      </c>
      <c r="C343" s="1" t="n">
        <v>46191</v>
      </c>
      <c r="D343" t="inlineStr">
        <is>
          <t>KALMAR LÄN</t>
        </is>
      </c>
      <c r="E343" t="inlineStr">
        <is>
          <t>VIMMERBY</t>
        </is>
      </c>
      <c r="F343" t="inlineStr">
        <is>
          <t>Kommuner</t>
        </is>
      </c>
      <c r="G343" t="n">
        <v>4.4</v>
      </c>
      <c r="H343" t="n">
        <v>0</v>
      </c>
      <c r="I343" t="n">
        <v>0</v>
      </c>
      <c r="J343" t="n">
        <v>0</v>
      </c>
      <c r="K343" t="n">
        <v>0</v>
      </c>
      <c r="L343" t="n">
        <v>0</v>
      </c>
      <c r="M343" t="n">
        <v>0</v>
      </c>
      <c r="N343" t="n">
        <v>0</v>
      </c>
      <c r="O343" t="n">
        <v>0</v>
      </c>
      <c r="P343" t="n">
        <v>0</v>
      </c>
      <c r="Q343" t="n">
        <v>0</v>
      </c>
      <c r="R343" s="2" t="inlineStr"/>
    </row>
    <row r="344" ht="15" customHeight="1">
      <c r="A344" t="inlineStr">
        <is>
          <t>A 6082-2022</t>
        </is>
      </c>
      <c r="B344" s="1" t="n">
        <v>44599</v>
      </c>
      <c r="C344" s="1" t="n">
        <v>46191</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16672-2026</t>
        </is>
      </c>
      <c r="B345" s="1" t="n">
        <v>46112</v>
      </c>
      <c r="C345" s="1" t="n">
        <v>46191</v>
      </c>
      <c r="D345" t="inlineStr">
        <is>
          <t>KALMAR LÄN</t>
        </is>
      </c>
      <c r="E345" t="inlineStr">
        <is>
          <t>VIMMERBY</t>
        </is>
      </c>
      <c r="F345" t="inlineStr">
        <is>
          <t>Kommuner</t>
        </is>
      </c>
      <c r="G345" t="n">
        <v>1.4</v>
      </c>
      <c r="H345" t="n">
        <v>0</v>
      </c>
      <c r="I345" t="n">
        <v>0</v>
      </c>
      <c r="J345" t="n">
        <v>0</v>
      </c>
      <c r="K345" t="n">
        <v>0</v>
      </c>
      <c r="L345" t="n">
        <v>0</v>
      </c>
      <c r="M345" t="n">
        <v>0</v>
      </c>
      <c r="N345" t="n">
        <v>0</v>
      </c>
      <c r="O345" t="n">
        <v>0</v>
      </c>
      <c r="P345" t="n">
        <v>0</v>
      </c>
      <c r="Q345" t="n">
        <v>0</v>
      </c>
      <c r="R345" s="2" t="inlineStr"/>
    </row>
    <row r="346" ht="15" customHeight="1">
      <c r="A346" t="inlineStr">
        <is>
          <t>A 46979-2023</t>
        </is>
      </c>
      <c r="B346" s="1" t="n">
        <v>45201</v>
      </c>
      <c r="C346" s="1" t="n">
        <v>46191</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2596-2025</t>
        </is>
      </c>
      <c r="B347" s="1" t="n">
        <v>45674</v>
      </c>
      <c r="C347" s="1" t="n">
        <v>46191</v>
      </c>
      <c r="D347" t="inlineStr">
        <is>
          <t>KALMAR LÄN</t>
        </is>
      </c>
      <c r="E347" t="inlineStr">
        <is>
          <t>VIMMERBY</t>
        </is>
      </c>
      <c r="G347" t="n">
        <v>9</v>
      </c>
      <c r="H347" t="n">
        <v>0</v>
      </c>
      <c r="I347" t="n">
        <v>0</v>
      </c>
      <c r="J347" t="n">
        <v>0</v>
      </c>
      <c r="K347" t="n">
        <v>0</v>
      </c>
      <c r="L347" t="n">
        <v>0</v>
      </c>
      <c r="M347" t="n">
        <v>0</v>
      </c>
      <c r="N347" t="n">
        <v>0</v>
      </c>
      <c r="O347" t="n">
        <v>0</v>
      </c>
      <c r="P347" t="n">
        <v>0</v>
      </c>
      <c r="Q347" t="n">
        <v>0</v>
      </c>
      <c r="R347" s="2" t="inlineStr"/>
    </row>
    <row r="348" ht="15" customHeight="1">
      <c r="A348" t="inlineStr">
        <is>
          <t>A 16870-2026</t>
        </is>
      </c>
      <c r="B348" s="1" t="n">
        <v>46113</v>
      </c>
      <c r="C348" s="1" t="n">
        <v>46191</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47855-2024</t>
        </is>
      </c>
      <c r="B349" s="1" t="n">
        <v>45588</v>
      </c>
      <c r="C349" s="1" t="n">
        <v>46191</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63583-2023</t>
        </is>
      </c>
      <c r="B350" s="1" t="n">
        <v>45275</v>
      </c>
      <c r="C350" s="1" t="n">
        <v>46191</v>
      </c>
      <c r="D350" t="inlineStr">
        <is>
          <t>KALMAR LÄN</t>
        </is>
      </c>
      <c r="E350" t="inlineStr">
        <is>
          <t>VIMMERBY</t>
        </is>
      </c>
      <c r="G350" t="n">
        <v>1.4</v>
      </c>
      <c r="H350" t="n">
        <v>0</v>
      </c>
      <c r="I350" t="n">
        <v>0</v>
      </c>
      <c r="J350" t="n">
        <v>0</v>
      </c>
      <c r="K350" t="n">
        <v>0</v>
      </c>
      <c r="L350" t="n">
        <v>0</v>
      </c>
      <c r="M350" t="n">
        <v>0</v>
      </c>
      <c r="N350" t="n">
        <v>0</v>
      </c>
      <c r="O350" t="n">
        <v>0</v>
      </c>
      <c r="P350" t="n">
        <v>0</v>
      </c>
      <c r="Q350" t="n">
        <v>0</v>
      </c>
      <c r="R350" s="2" t="inlineStr"/>
    </row>
    <row r="351" ht="15" customHeight="1">
      <c r="A351" t="inlineStr">
        <is>
          <t>A 16734-2023</t>
        </is>
      </c>
      <c r="B351" s="1" t="n">
        <v>45030</v>
      </c>
      <c r="C351" s="1" t="n">
        <v>46191</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16795-2026</t>
        </is>
      </c>
      <c r="B352" s="1" t="n">
        <v>46113</v>
      </c>
      <c r="C352" s="1" t="n">
        <v>46191</v>
      </c>
      <c r="D352" t="inlineStr">
        <is>
          <t>KALMAR LÄN</t>
        </is>
      </c>
      <c r="E352" t="inlineStr">
        <is>
          <t>VIMMERBY</t>
        </is>
      </c>
      <c r="G352" t="n">
        <v>2.1</v>
      </c>
      <c r="H352" t="n">
        <v>0</v>
      </c>
      <c r="I352" t="n">
        <v>0</v>
      </c>
      <c r="J352" t="n">
        <v>0</v>
      </c>
      <c r="K352" t="n">
        <v>0</v>
      </c>
      <c r="L352" t="n">
        <v>0</v>
      </c>
      <c r="M352" t="n">
        <v>0</v>
      </c>
      <c r="N352" t="n">
        <v>0</v>
      </c>
      <c r="O352" t="n">
        <v>0</v>
      </c>
      <c r="P352" t="n">
        <v>0</v>
      </c>
      <c r="Q352" t="n">
        <v>0</v>
      </c>
      <c r="R352" s="2" t="inlineStr"/>
    </row>
    <row r="353" ht="15" customHeight="1">
      <c r="A353" t="inlineStr">
        <is>
          <t>A 16799-2026</t>
        </is>
      </c>
      <c r="B353" s="1" t="n">
        <v>46113</v>
      </c>
      <c r="C353" s="1" t="n">
        <v>46191</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60228-2021</t>
        </is>
      </c>
      <c r="B354" s="1" t="n">
        <v>44495</v>
      </c>
      <c r="C354" s="1" t="n">
        <v>46191</v>
      </c>
      <c r="D354" t="inlineStr">
        <is>
          <t>KALMAR LÄN</t>
        </is>
      </c>
      <c r="E354" t="inlineStr">
        <is>
          <t>VIMMERBY</t>
        </is>
      </c>
      <c r="G354" t="n">
        <v>4.1</v>
      </c>
      <c r="H354" t="n">
        <v>0</v>
      </c>
      <c r="I354" t="n">
        <v>0</v>
      </c>
      <c r="J354" t="n">
        <v>0</v>
      </c>
      <c r="K354" t="n">
        <v>0</v>
      </c>
      <c r="L354" t="n">
        <v>0</v>
      </c>
      <c r="M354" t="n">
        <v>0</v>
      </c>
      <c r="N354" t="n">
        <v>0</v>
      </c>
      <c r="O354" t="n">
        <v>0</v>
      </c>
      <c r="P354" t="n">
        <v>0</v>
      </c>
      <c r="Q354" t="n">
        <v>0</v>
      </c>
      <c r="R354" s="2" t="inlineStr"/>
    </row>
    <row r="355" ht="15" customHeight="1">
      <c r="A355" t="inlineStr">
        <is>
          <t>A 16801-2026</t>
        </is>
      </c>
      <c r="B355" s="1" t="n">
        <v>46113</v>
      </c>
      <c r="C355" s="1" t="n">
        <v>46191</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16675-2026</t>
        </is>
      </c>
      <c r="B356" s="1" t="n">
        <v>46112</v>
      </c>
      <c r="C356" s="1" t="n">
        <v>46191</v>
      </c>
      <c r="D356" t="inlineStr">
        <is>
          <t>KALMAR LÄN</t>
        </is>
      </c>
      <c r="E356" t="inlineStr">
        <is>
          <t>VIMMERBY</t>
        </is>
      </c>
      <c r="F356" t="inlineStr">
        <is>
          <t>Kommuner</t>
        </is>
      </c>
      <c r="G356" t="n">
        <v>0.8</v>
      </c>
      <c r="H356" t="n">
        <v>0</v>
      </c>
      <c r="I356" t="n">
        <v>0</v>
      </c>
      <c r="J356" t="n">
        <v>0</v>
      </c>
      <c r="K356" t="n">
        <v>0</v>
      </c>
      <c r="L356" t="n">
        <v>0</v>
      </c>
      <c r="M356" t="n">
        <v>0</v>
      </c>
      <c r="N356" t="n">
        <v>0</v>
      </c>
      <c r="O356" t="n">
        <v>0</v>
      </c>
      <c r="P356" t="n">
        <v>0</v>
      </c>
      <c r="Q356" t="n">
        <v>0</v>
      </c>
      <c r="R356" s="2" t="inlineStr"/>
    </row>
    <row r="357" ht="15" customHeight="1">
      <c r="A357" t="inlineStr">
        <is>
          <t>A 16678-2026</t>
        </is>
      </c>
      <c r="B357" s="1" t="n">
        <v>46112</v>
      </c>
      <c r="C357" s="1" t="n">
        <v>46191</v>
      </c>
      <c r="D357" t="inlineStr">
        <is>
          <t>KALMAR LÄN</t>
        </is>
      </c>
      <c r="E357" t="inlineStr">
        <is>
          <t>VIMMERBY</t>
        </is>
      </c>
      <c r="F357" t="inlineStr">
        <is>
          <t>Kommuner</t>
        </is>
      </c>
      <c r="G357" t="n">
        <v>1.6</v>
      </c>
      <c r="H357" t="n">
        <v>0</v>
      </c>
      <c r="I357" t="n">
        <v>0</v>
      </c>
      <c r="J357" t="n">
        <v>0</v>
      </c>
      <c r="K357" t="n">
        <v>0</v>
      </c>
      <c r="L357" t="n">
        <v>0</v>
      </c>
      <c r="M357" t="n">
        <v>0</v>
      </c>
      <c r="N357" t="n">
        <v>0</v>
      </c>
      <c r="O357" t="n">
        <v>0</v>
      </c>
      <c r="P357" t="n">
        <v>0</v>
      </c>
      <c r="Q357" t="n">
        <v>0</v>
      </c>
      <c r="R357" s="2" t="inlineStr"/>
    </row>
    <row r="358" ht="15" customHeight="1">
      <c r="A358" t="inlineStr">
        <is>
          <t>A 16648-2026</t>
        </is>
      </c>
      <c r="B358" s="1" t="n">
        <v>46112</v>
      </c>
      <c r="C358" s="1" t="n">
        <v>46191</v>
      </c>
      <c r="D358" t="inlineStr">
        <is>
          <t>KALMAR LÄN</t>
        </is>
      </c>
      <c r="E358" t="inlineStr">
        <is>
          <t>VIMMERBY</t>
        </is>
      </c>
      <c r="F358" t="inlineStr">
        <is>
          <t>Kommuner</t>
        </is>
      </c>
      <c r="G358" t="n">
        <v>0.9</v>
      </c>
      <c r="H358" t="n">
        <v>0</v>
      </c>
      <c r="I358" t="n">
        <v>0</v>
      </c>
      <c r="J358" t="n">
        <v>0</v>
      </c>
      <c r="K358" t="n">
        <v>0</v>
      </c>
      <c r="L358" t="n">
        <v>0</v>
      </c>
      <c r="M358" t="n">
        <v>0</v>
      </c>
      <c r="N358" t="n">
        <v>0</v>
      </c>
      <c r="O358" t="n">
        <v>0</v>
      </c>
      <c r="P358" t="n">
        <v>0</v>
      </c>
      <c r="Q358" t="n">
        <v>0</v>
      </c>
      <c r="R358" s="2" t="inlineStr"/>
    </row>
    <row r="359" ht="15" customHeight="1">
      <c r="A359" t="inlineStr">
        <is>
          <t>A 16656-2026</t>
        </is>
      </c>
      <c r="B359" s="1" t="n">
        <v>46112</v>
      </c>
      <c r="C359" s="1" t="n">
        <v>46191</v>
      </c>
      <c r="D359" t="inlineStr">
        <is>
          <t>KALMAR LÄN</t>
        </is>
      </c>
      <c r="E359" t="inlineStr">
        <is>
          <t>VIMMERBY</t>
        </is>
      </c>
      <c r="F359" t="inlineStr">
        <is>
          <t>Kommuner</t>
        </is>
      </c>
      <c r="G359" t="n">
        <v>5.5</v>
      </c>
      <c r="H359" t="n">
        <v>0</v>
      </c>
      <c r="I359" t="n">
        <v>0</v>
      </c>
      <c r="J359" t="n">
        <v>0</v>
      </c>
      <c r="K359" t="n">
        <v>0</v>
      </c>
      <c r="L359" t="n">
        <v>0</v>
      </c>
      <c r="M359" t="n">
        <v>0</v>
      </c>
      <c r="N359" t="n">
        <v>0</v>
      </c>
      <c r="O359" t="n">
        <v>0</v>
      </c>
      <c r="P359" t="n">
        <v>0</v>
      </c>
      <c r="Q359" t="n">
        <v>0</v>
      </c>
      <c r="R359" s="2" t="inlineStr"/>
    </row>
    <row r="360" ht="15" customHeight="1">
      <c r="A360" t="inlineStr">
        <is>
          <t>A 46522-2022</t>
        </is>
      </c>
      <c r="B360" s="1" t="n">
        <v>44848</v>
      </c>
      <c r="C360" s="1" t="n">
        <v>46191</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21109-2024</t>
        </is>
      </c>
      <c r="B361" s="1" t="n">
        <v>45440</v>
      </c>
      <c r="C361" s="1" t="n">
        <v>46191</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33815-2022</t>
        </is>
      </c>
      <c r="B362" s="1" t="n">
        <v>44790</v>
      </c>
      <c r="C362" s="1" t="n">
        <v>46191</v>
      </c>
      <c r="D362" t="inlineStr">
        <is>
          <t>KALMAR LÄN</t>
        </is>
      </c>
      <c r="E362" t="inlineStr">
        <is>
          <t>VIMMERBY</t>
        </is>
      </c>
      <c r="G362" t="n">
        <v>0.9</v>
      </c>
      <c r="H362" t="n">
        <v>0</v>
      </c>
      <c r="I362" t="n">
        <v>0</v>
      </c>
      <c r="J362" t="n">
        <v>0</v>
      </c>
      <c r="K362" t="n">
        <v>0</v>
      </c>
      <c r="L362" t="n">
        <v>0</v>
      </c>
      <c r="M362" t="n">
        <v>0</v>
      </c>
      <c r="N362" t="n">
        <v>0</v>
      </c>
      <c r="O362" t="n">
        <v>0</v>
      </c>
      <c r="P362" t="n">
        <v>0</v>
      </c>
      <c r="Q362" t="n">
        <v>0</v>
      </c>
      <c r="R362" s="2" t="inlineStr"/>
    </row>
    <row r="363" ht="15" customHeight="1">
      <c r="A363" t="inlineStr">
        <is>
          <t>A 16823-2026</t>
        </is>
      </c>
      <c r="B363" s="1" t="n">
        <v>46113</v>
      </c>
      <c r="C363" s="1" t="n">
        <v>46191</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49461-2022</t>
        </is>
      </c>
      <c r="B364" s="1" t="n">
        <v>44861</v>
      </c>
      <c r="C364" s="1" t="n">
        <v>46191</v>
      </c>
      <c r="D364" t="inlineStr">
        <is>
          <t>KALMAR LÄN</t>
        </is>
      </c>
      <c r="E364" t="inlineStr">
        <is>
          <t>VIMMERBY</t>
        </is>
      </c>
      <c r="G364" t="n">
        <v>3.2</v>
      </c>
      <c r="H364" t="n">
        <v>0</v>
      </c>
      <c r="I364" t="n">
        <v>0</v>
      </c>
      <c r="J364" t="n">
        <v>0</v>
      </c>
      <c r="K364" t="n">
        <v>0</v>
      </c>
      <c r="L364" t="n">
        <v>0</v>
      </c>
      <c r="M364" t="n">
        <v>0</v>
      </c>
      <c r="N364" t="n">
        <v>0</v>
      </c>
      <c r="O364" t="n">
        <v>0</v>
      </c>
      <c r="P364" t="n">
        <v>0</v>
      </c>
      <c r="Q364" t="n">
        <v>0</v>
      </c>
      <c r="R364" s="2" t="inlineStr"/>
    </row>
    <row r="365" ht="15" customHeight="1">
      <c r="A365" t="inlineStr">
        <is>
          <t>A 16617-2026</t>
        </is>
      </c>
      <c r="B365" s="1" t="n">
        <v>46112</v>
      </c>
      <c r="C365" s="1" t="n">
        <v>46191</v>
      </c>
      <c r="D365" t="inlineStr">
        <is>
          <t>KALMAR LÄN</t>
        </is>
      </c>
      <c r="E365" t="inlineStr">
        <is>
          <t>VIMMERBY</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53542-2022</t>
        </is>
      </c>
      <c r="B366" s="1" t="n">
        <v>44879</v>
      </c>
      <c r="C366" s="1" t="n">
        <v>46191</v>
      </c>
      <c r="D366" t="inlineStr">
        <is>
          <t>KALMAR LÄN</t>
        </is>
      </c>
      <c r="E366" t="inlineStr">
        <is>
          <t>VIMMERBY</t>
        </is>
      </c>
      <c r="G366" t="n">
        <v>2.6</v>
      </c>
      <c r="H366" t="n">
        <v>0</v>
      </c>
      <c r="I366" t="n">
        <v>0</v>
      </c>
      <c r="J366" t="n">
        <v>0</v>
      </c>
      <c r="K366" t="n">
        <v>0</v>
      </c>
      <c r="L366" t="n">
        <v>0</v>
      </c>
      <c r="M366" t="n">
        <v>0</v>
      </c>
      <c r="N366" t="n">
        <v>0</v>
      </c>
      <c r="O366" t="n">
        <v>0</v>
      </c>
      <c r="P366" t="n">
        <v>0</v>
      </c>
      <c r="Q366" t="n">
        <v>0</v>
      </c>
      <c r="R366" s="2" t="inlineStr"/>
    </row>
    <row r="367" ht="15" customHeight="1">
      <c r="A367" t="inlineStr">
        <is>
          <t>A 64143-2021</t>
        </is>
      </c>
      <c r="B367" s="1" t="n">
        <v>44510</v>
      </c>
      <c r="C367" s="1" t="n">
        <v>46191</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35713-2023</t>
        </is>
      </c>
      <c r="B368" s="1" t="n">
        <v>45147</v>
      </c>
      <c r="C368" s="1" t="n">
        <v>46191</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10424-2023</t>
        </is>
      </c>
      <c r="B369" s="1" t="n">
        <v>44987</v>
      </c>
      <c r="C369" s="1" t="n">
        <v>46191</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9720-2023</t>
        </is>
      </c>
      <c r="B370" s="1" t="n">
        <v>44984</v>
      </c>
      <c r="C370" s="1" t="n">
        <v>46191</v>
      </c>
      <c r="D370" t="inlineStr">
        <is>
          <t>KALMAR LÄN</t>
        </is>
      </c>
      <c r="E370" t="inlineStr">
        <is>
          <t>VIMMERBY</t>
        </is>
      </c>
      <c r="G370" t="n">
        <v>4.4</v>
      </c>
      <c r="H370" t="n">
        <v>0</v>
      </c>
      <c r="I370" t="n">
        <v>0</v>
      </c>
      <c r="J370" t="n">
        <v>0</v>
      </c>
      <c r="K370" t="n">
        <v>0</v>
      </c>
      <c r="L370" t="n">
        <v>0</v>
      </c>
      <c r="M370" t="n">
        <v>0</v>
      </c>
      <c r="N370" t="n">
        <v>0</v>
      </c>
      <c r="O370" t="n">
        <v>0</v>
      </c>
      <c r="P370" t="n">
        <v>0</v>
      </c>
      <c r="Q370" t="n">
        <v>0</v>
      </c>
      <c r="R370" s="2" t="inlineStr"/>
    </row>
    <row r="371" ht="15" customHeight="1">
      <c r="A371" t="inlineStr">
        <is>
          <t>A 5938-2022</t>
        </is>
      </c>
      <c r="B371" s="1" t="n">
        <v>44598</v>
      </c>
      <c r="C371" s="1" t="n">
        <v>46191</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1687-2023</t>
        </is>
      </c>
      <c r="B372" s="1" t="n">
        <v>44938</v>
      </c>
      <c r="C372" s="1" t="n">
        <v>46191</v>
      </c>
      <c r="D372" t="inlineStr">
        <is>
          <t>KALMAR LÄN</t>
        </is>
      </c>
      <c r="E372" t="inlineStr">
        <is>
          <t>VIMMERBY</t>
        </is>
      </c>
      <c r="F372" t="inlineStr">
        <is>
          <t>Kommuner</t>
        </is>
      </c>
      <c r="G372" t="n">
        <v>2.5</v>
      </c>
      <c r="H372" t="n">
        <v>0</v>
      </c>
      <c r="I372" t="n">
        <v>0</v>
      </c>
      <c r="J372" t="n">
        <v>0</v>
      </c>
      <c r="K372" t="n">
        <v>0</v>
      </c>
      <c r="L372" t="n">
        <v>0</v>
      </c>
      <c r="M372" t="n">
        <v>0</v>
      </c>
      <c r="N372" t="n">
        <v>0</v>
      </c>
      <c r="O372" t="n">
        <v>0</v>
      </c>
      <c r="P372" t="n">
        <v>0</v>
      </c>
      <c r="Q372" t="n">
        <v>0</v>
      </c>
      <c r="R372" s="2" t="inlineStr"/>
    </row>
    <row r="373" ht="15" customHeight="1">
      <c r="A373" t="inlineStr">
        <is>
          <t>A 29440-2024</t>
        </is>
      </c>
      <c r="B373" s="1" t="n">
        <v>45483</v>
      </c>
      <c r="C373" s="1" t="n">
        <v>46191</v>
      </c>
      <c r="D373" t="inlineStr">
        <is>
          <t>KALMAR LÄN</t>
        </is>
      </c>
      <c r="E373" t="inlineStr">
        <is>
          <t>VIMMERBY</t>
        </is>
      </c>
      <c r="G373" t="n">
        <v>4.5</v>
      </c>
      <c r="H373" t="n">
        <v>0</v>
      </c>
      <c r="I373" t="n">
        <v>0</v>
      </c>
      <c r="J373" t="n">
        <v>0</v>
      </c>
      <c r="K373" t="n">
        <v>0</v>
      </c>
      <c r="L373" t="n">
        <v>0</v>
      </c>
      <c r="M373" t="n">
        <v>0</v>
      </c>
      <c r="N373" t="n">
        <v>0</v>
      </c>
      <c r="O373" t="n">
        <v>0</v>
      </c>
      <c r="P373" t="n">
        <v>0</v>
      </c>
      <c r="Q373" t="n">
        <v>0</v>
      </c>
      <c r="R373" s="2" t="inlineStr"/>
    </row>
    <row r="374" ht="15" customHeight="1">
      <c r="A374" t="inlineStr">
        <is>
          <t>A 30921-2024</t>
        </is>
      </c>
      <c r="B374" s="1" t="n">
        <v>45498</v>
      </c>
      <c r="C374" s="1" t="n">
        <v>46191</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57728-2025</t>
        </is>
      </c>
      <c r="B375" s="1" t="n">
        <v>45981</v>
      </c>
      <c r="C375" s="1" t="n">
        <v>46191</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53482-2022</t>
        </is>
      </c>
      <c r="B376" s="1" t="n">
        <v>44879</v>
      </c>
      <c r="C376" s="1" t="n">
        <v>46191</v>
      </c>
      <c r="D376" t="inlineStr">
        <is>
          <t>KALMAR LÄN</t>
        </is>
      </c>
      <c r="E376" t="inlineStr">
        <is>
          <t>VIMMERBY</t>
        </is>
      </c>
      <c r="G376" t="n">
        <v>10.1</v>
      </c>
      <c r="H376" t="n">
        <v>0</v>
      </c>
      <c r="I376" t="n">
        <v>0</v>
      </c>
      <c r="J376" t="n">
        <v>0</v>
      </c>
      <c r="K376" t="n">
        <v>0</v>
      </c>
      <c r="L376" t="n">
        <v>0</v>
      </c>
      <c r="M376" t="n">
        <v>0</v>
      </c>
      <c r="N376" t="n">
        <v>0</v>
      </c>
      <c r="O376" t="n">
        <v>0</v>
      </c>
      <c r="P376" t="n">
        <v>0</v>
      </c>
      <c r="Q376" t="n">
        <v>0</v>
      </c>
      <c r="R376" s="2" t="inlineStr"/>
    </row>
    <row r="377" ht="15" customHeight="1">
      <c r="A377" t="inlineStr">
        <is>
          <t>A 33340-2023</t>
        </is>
      </c>
      <c r="B377" s="1" t="n">
        <v>45128</v>
      </c>
      <c r="C377" s="1" t="n">
        <v>46191</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29017-2024</t>
        </is>
      </c>
      <c r="B378" s="1" t="n">
        <v>45481</v>
      </c>
      <c r="C378" s="1" t="n">
        <v>46191</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58046-2022</t>
        </is>
      </c>
      <c r="B379" s="1" t="n">
        <v>44900</v>
      </c>
      <c r="C379" s="1" t="n">
        <v>46191</v>
      </c>
      <c r="D379" t="inlineStr">
        <is>
          <t>KALMAR LÄN</t>
        </is>
      </c>
      <c r="E379" t="inlineStr">
        <is>
          <t>VIMMERBY</t>
        </is>
      </c>
      <c r="G379" t="n">
        <v>2.5</v>
      </c>
      <c r="H379" t="n">
        <v>0</v>
      </c>
      <c r="I379" t="n">
        <v>0</v>
      </c>
      <c r="J379" t="n">
        <v>0</v>
      </c>
      <c r="K379" t="n">
        <v>0</v>
      </c>
      <c r="L379" t="n">
        <v>0</v>
      </c>
      <c r="M379" t="n">
        <v>0</v>
      </c>
      <c r="N379" t="n">
        <v>0</v>
      </c>
      <c r="O379" t="n">
        <v>0</v>
      </c>
      <c r="P379" t="n">
        <v>0</v>
      </c>
      <c r="Q379" t="n">
        <v>0</v>
      </c>
      <c r="R379" s="2" t="inlineStr"/>
    </row>
    <row r="380" ht="15" customHeight="1">
      <c r="A380" t="inlineStr">
        <is>
          <t>A 14548-2024</t>
        </is>
      </c>
      <c r="B380" s="1" t="n">
        <v>45394</v>
      </c>
      <c r="C380" s="1" t="n">
        <v>46191</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58498-2025</t>
        </is>
      </c>
      <c r="B381" s="1" t="n">
        <v>45985</v>
      </c>
      <c r="C381" s="1" t="n">
        <v>46191</v>
      </c>
      <c r="D381" t="inlineStr">
        <is>
          <t>KALMAR LÄN</t>
        </is>
      </c>
      <c r="E381" t="inlineStr">
        <is>
          <t>VIMMERBY</t>
        </is>
      </c>
      <c r="G381" t="n">
        <v>2.1</v>
      </c>
      <c r="H381" t="n">
        <v>0</v>
      </c>
      <c r="I381" t="n">
        <v>0</v>
      </c>
      <c r="J381" t="n">
        <v>0</v>
      </c>
      <c r="K381" t="n">
        <v>0</v>
      </c>
      <c r="L381" t="n">
        <v>0</v>
      </c>
      <c r="M381" t="n">
        <v>0</v>
      </c>
      <c r="N381" t="n">
        <v>0</v>
      </c>
      <c r="O381" t="n">
        <v>0</v>
      </c>
      <c r="P381" t="n">
        <v>0</v>
      </c>
      <c r="Q381" t="n">
        <v>0</v>
      </c>
      <c r="R381" s="2" t="inlineStr"/>
    </row>
    <row r="382" ht="15" customHeight="1">
      <c r="A382" t="inlineStr">
        <is>
          <t>A 58501-2025</t>
        </is>
      </c>
      <c r="B382" s="1" t="n">
        <v>45985</v>
      </c>
      <c r="C382" s="1" t="n">
        <v>46191</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58503-2025</t>
        </is>
      </c>
      <c r="B383" s="1" t="n">
        <v>45985</v>
      </c>
      <c r="C383" s="1" t="n">
        <v>46191</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58446-2025</t>
        </is>
      </c>
      <c r="B384" s="1" t="n">
        <v>45985</v>
      </c>
      <c r="C384" s="1" t="n">
        <v>46191</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58500-2025</t>
        </is>
      </c>
      <c r="B385" s="1" t="n">
        <v>45985</v>
      </c>
      <c r="C385" s="1" t="n">
        <v>46191</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48120-2022</t>
        </is>
      </c>
      <c r="B386" s="1" t="n">
        <v>44857</v>
      </c>
      <c r="C386" s="1" t="n">
        <v>46191</v>
      </c>
      <c r="D386" t="inlineStr">
        <is>
          <t>KALMAR LÄN</t>
        </is>
      </c>
      <c r="E386" t="inlineStr">
        <is>
          <t>VIMMERBY</t>
        </is>
      </c>
      <c r="G386" t="n">
        <v>1.7</v>
      </c>
      <c r="H386" t="n">
        <v>0</v>
      </c>
      <c r="I386" t="n">
        <v>0</v>
      </c>
      <c r="J386" t="n">
        <v>0</v>
      </c>
      <c r="K386" t="n">
        <v>0</v>
      </c>
      <c r="L386" t="n">
        <v>0</v>
      </c>
      <c r="M386" t="n">
        <v>0</v>
      </c>
      <c r="N386" t="n">
        <v>0</v>
      </c>
      <c r="O386" t="n">
        <v>0</v>
      </c>
      <c r="P386" t="n">
        <v>0</v>
      </c>
      <c r="Q386" t="n">
        <v>0</v>
      </c>
      <c r="R386" s="2" t="inlineStr"/>
    </row>
    <row r="387" ht="15" customHeight="1">
      <c r="A387" t="inlineStr">
        <is>
          <t>A 3423-2022</t>
        </is>
      </c>
      <c r="B387" s="1" t="n">
        <v>44585</v>
      </c>
      <c r="C387" s="1" t="n">
        <v>46191</v>
      </c>
      <c r="D387" t="inlineStr">
        <is>
          <t>KALMAR LÄN</t>
        </is>
      </c>
      <c r="E387" t="inlineStr">
        <is>
          <t>VIMMERBY</t>
        </is>
      </c>
      <c r="G387" t="n">
        <v>1.7</v>
      </c>
      <c r="H387" t="n">
        <v>0</v>
      </c>
      <c r="I387" t="n">
        <v>0</v>
      </c>
      <c r="J387" t="n">
        <v>0</v>
      </c>
      <c r="K387" t="n">
        <v>0</v>
      </c>
      <c r="L387" t="n">
        <v>0</v>
      </c>
      <c r="M387" t="n">
        <v>0</v>
      </c>
      <c r="N387" t="n">
        <v>0</v>
      </c>
      <c r="O387" t="n">
        <v>0</v>
      </c>
      <c r="P387" t="n">
        <v>0</v>
      </c>
      <c r="Q387" t="n">
        <v>0</v>
      </c>
      <c r="R387" s="2" t="inlineStr"/>
    </row>
    <row r="388" ht="15" customHeight="1">
      <c r="A388" t="inlineStr">
        <is>
          <t>A 11074-2023</t>
        </is>
      </c>
      <c r="B388" s="1" t="n">
        <v>44992</v>
      </c>
      <c r="C388" s="1" t="n">
        <v>46191</v>
      </c>
      <c r="D388" t="inlineStr">
        <is>
          <t>KALMAR LÄN</t>
        </is>
      </c>
      <c r="E388" t="inlineStr">
        <is>
          <t>VIMMERBY</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71631-2021</t>
        </is>
      </c>
      <c r="B389" s="1" t="n">
        <v>44542</v>
      </c>
      <c r="C389" s="1" t="n">
        <v>46191</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59037-2025</t>
        </is>
      </c>
      <c r="B390" s="1" t="n">
        <v>45988</v>
      </c>
      <c r="C390" s="1" t="n">
        <v>46191</v>
      </c>
      <c r="D390" t="inlineStr">
        <is>
          <t>KALMAR LÄN</t>
        </is>
      </c>
      <c r="E390" t="inlineStr">
        <is>
          <t>VIMMERBY</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59034-2025</t>
        </is>
      </c>
      <c r="B391" s="1" t="n">
        <v>45988</v>
      </c>
      <c r="C391" s="1" t="n">
        <v>46191</v>
      </c>
      <c r="D391" t="inlineStr">
        <is>
          <t>KALMAR LÄN</t>
        </is>
      </c>
      <c r="E391" t="inlineStr">
        <is>
          <t>VIMMERBY</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49039-2021</t>
        </is>
      </c>
      <c r="B392" s="1" t="n">
        <v>44453</v>
      </c>
      <c r="C392" s="1" t="n">
        <v>46191</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58858-2025</t>
        </is>
      </c>
      <c r="B393" s="1" t="n">
        <v>45987</v>
      </c>
      <c r="C393" s="1" t="n">
        <v>46191</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59039-2025</t>
        </is>
      </c>
      <c r="B394" s="1" t="n">
        <v>45988</v>
      </c>
      <c r="C394" s="1" t="n">
        <v>46191</v>
      </c>
      <c r="D394" t="inlineStr">
        <is>
          <t>KALMAR LÄN</t>
        </is>
      </c>
      <c r="E394" t="inlineStr">
        <is>
          <t>VIMMERBY</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42918-2021</t>
        </is>
      </c>
      <c r="B395" s="1" t="n">
        <v>44431</v>
      </c>
      <c r="C395" s="1" t="n">
        <v>46191</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529-2022</t>
        </is>
      </c>
      <c r="B396" s="1" t="n">
        <v>44566</v>
      </c>
      <c r="C396" s="1" t="n">
        <v>46191</v>
      </c>
      <c r="D396" t="inlineStr">
        <is>
          <t>KALMAR LÄN</t>
        </is>
      </c>
      <c r="E396" t="inlineStr">
        <is>
          <t>VIMMERBY</t>
        </is>
      </c>
      <c r="G396" t="n">
        <v>1.5</v>
      </c>
      <c r="H396" t="n">
        <v>0</v>
      </c>
      <c r="I396" t="n">
        <v>0</v>
      </c>
      <c r="J396" t="n">
        <v>0</v>
      </c>
      <c r="K396" t="n">
        <v>0</v>
      </c>
      <c r="L396" t="n">
        <v>0</v>
      </c>
      <c r="M396" t="n">
        <v>0</v>
      </c>
      <c r="N396" t="n">
        <v>0</v>
      </c>
      <c r="O396" t="n">
        <v>0</v>
      </c>
      <c r="P396" t="n">
        <v>0</v>
      </c>
      <c r="Q396" t="n">
        <v>0</v>
      </c>
      <c r="R396" s="2" t="inlineStr"/>
    </row>
    <row r="397" ht="15" customHeight="1">
      <c r="A397" t="inlineStr">
        <is>
          <t>A 58841-2025</t>
        </is>
      </c>
      <c r="B397" s="1" t="n">
        <v>45987</v>
      </c>
      <c r="C397" s="1" t="n">
        <v>46191</v>
      </c>
      <c r="D397" t="inlineStr">
        <is>
          <t>KALMAR LÄN</t>
        </is>
      </c>
      <c r="E397" t="inlineStr">
        <is>
          <t>VIMMERBY</t>
        </is>
      </c>
      <c r="G397" t="n">
        <v>3.5</v>
      </c>
      <c r="H397" t="n">
        <v>0</v>
      </c>
      <c r="I397" t="n">
        <v>0</v>
      </c>
      <c r="J397" t="n">
        <v>0</v>
      </c>
      <c r="K397" t="n">
        <v>0</v>
      </c>
      <c r="L397" t="n">
        <v>0</v>
      </c>
      <c r="M397" t="n">
        <v>0</v>
      </c>
      <c r="N397" t="n">
        <v>0</v>
      </c>
      <c r="O397" t="n">
        <v>0</v>
      </c>
      <c r="P397" t="n">
        <v>0</v>
      </c>
      <c r="Q397" t="n">
        <v>0</v>
      </c>
      <c r="R397" s="2" t="inlineStr"/>
    </row>
    <row r="398" ht="15" customHeight="1">
      <c r="A398" t="inlineStr">
        <is>
          <t>A 14855-2025</t>
        </is>
      </c>
      <c r="B398" s="1" t="n">
        <v>45743</v>
      </c>
      <c r="C398" s="1" t="n">
        <v>46191</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60951-2023</t>
        </is>
      </c>
      <c r="B399" s="1" t="n">
        <v>45261</v>
      </c>
      <c r="C399" s="1" t="n">
        <v>46191</v>
      </c>
      <c r="D399" t="inlineStr">
        <is>
          <t>KALMAR LÄN</t>
        </is>
      </c>
      <c r="E399" t="inlineStr">
        <is>
          <t>VIMMERBY</t>
        </is>
      </c>
      <c r="G399" t="n">
        <v>4.3</v>
      </c>
      <c r="H399" t="n">
        <v>0</v>
      </c>
      <c r="I399" t="n">
        <v>0</v>
      </c>
      <c r="J399" t="n">
        <v>0</v>
      </c>
      <c r="K399" t="n">
        <v>0</v>
      </c>
      <c r="L399" t="n">
        <v>0</v>
      </c>
      <c r="M399" t="n">
        <v>0</v>
      </c>
      <c r="N399" t="n">
        <v>0</v>
      </c>
      <c r="O399" t="n">
        <v>0</v>
      </c>
      <c r="P399" t="n">
        <v>0</v>
      </c>
      <c r="Q399" t="n">
        <v>0</v>
      </c>
      <c r="R399" s="2" t="inlineStr"/>
    </row>
    <row r="400" ht="15" customHeight="1">
      <c r="A400" t="inlineStr">
        <is>
          <t>A 17713-2026</t>
        </is>
      </c>
      <c r="B400" s="1" t="n">
        <v>46121</v>
      </c>
      <c r="C400" s="1" t="n">
        <v>46191</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19162-2023</t>
        </is>
      </c>
      <c r="B401" s="1" t="n">
        <v>45048</v>
      </c>
      <c r="C401" s="1" t="n">
        <v>46191</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31209-2024</t>
        </is>
      </c>
      <c r="B402" s="1" t="n">
        <v>45503</v>
      </c>
      <c r="C402" s="1" t="n">
        <v>46191</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5864-2022</t>
        </is>
      </c>
      <c r="B403" s="1" t="n">
        <v>44596</v>
      </c>
      <c r="C403" s="1" t="n">
        <v>46191</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3938-2023</t>
        </is>
      </c>
      <c r="B404" s="1" t="n">
        <v>44952</v>
      </c>
      <c r="C404" s="1" t="n">
        <v>46191</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18122-2026</t>
        </is>
      </c>
      <c r="B405" s="1" t="n">
        <v>46125</v>
      </c>
      <c r="C405" s="1" t="n">
        <v>46191</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60180-2025</t>
        </is>
      </c>
      <c r="B406" s="1" t="n">
        <v>45994</v>
      </c>
      <c r="C406" s="1" t="n">
        <v>46191</v>
      </c>
      <c r="D406" t="inlineStr">
        <is>
          <t>KALMAR LÄN</t>
        </is>
      </c>
      <c r="E406" t="inlineStr">
        <is>
          <t>VIMMERBY</t>
        </is>
      </c>
      <c r="G406" t="n">
        <v>6.8</v>
      </c>
      <c r="H406" t="n">
        <v>0</v>
      </c>
      <c r="I406" t="n">
        <v>0</v>
      </c>
      <c r="J406" t="n">
        <v>0</v>
      </c>
      <c r="K406" t="n">
        <v>0</v>
      </c>
      <c r="L406" t="n">
        <v>0</v>
      </c>
      <c r="M406" t="n">
        <v>0</v>
      </c>
      <c r="N406" t="n">
        <v>0</v>
      </c>
      <c r="O406" t="n">
        <v>0</v>
      </c>
      <c r="P406" t="n">
        <v>0</v>
      </c>
      <c r="Q406" t="n">
        <v>0</v>
      </c>
      <c r="R406" s="2" t="inlineStr"/>
    </row>
    <row r="407" ht="15" customHeight="1">
      <c r="A407" t="inlineStr">
        <is>
          <t>A 29180-2024</t>
        </is>
      </c>
      <c r="B407" s="1" t="n">
        <v>45482</v>
      </c>
      <c r="C407" s="1" t="n">
        <v>46191</v>
      </c>
      <c r="D407" t="inlineStr">
        <is>
          <t>KALMAR LÄN</t>
        </is>
      </c>
      <c r="E407" t="inlineStr">
        <is>
          <t>VIMMERBY</t>
        </is>
      </c>
      <c r="G407" t="n">
        <v>3.8</v>
      </c>
      <c r="H407" t="n">
        <v>0</v>
      </c>
      <c r="I407" t="n">
        <v>0</v>
      </c>
      <c r="J407" t="n">
        <v>0</v>
      </c>
      <c r="K407" t="n">
        <v>0</v>
      </c>
      <c r="L407" t="n">
        <v>0</v>
      </c>
      <c r="M407" t="n">
        <v>0</v>
      </c>
      <c r="N407" t="n">
        <v>0</v>
      </c>
      <c r="O407" t="n">
        <v>0</v>
      </c>
      <c r="P407" t="n">
        <v>0</v>
      </c>
      <c r="Q407" t="n">
        <v>0</v>
      </c>
      <c r="R407" s="2" t="inlineStr"/>
    </row>
    <row r="408" ht="15" customHeight="1">
      <c r="A408" t="inlineStr">
        <is>
          <t>A 50085-2023</t>
        </is>
      </c>
      <c r="B408" s="1" t="n">
        <v>45215</v>
      </c>
      <c r="C408" s="1" t="n">
        <v>46191</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60297-2025</t>
        </is>
      </c>
      <c r="B409" s="1" t="n">
        <v>45994</v>
      </c>
      <c r="C409" s="1" t="n">
        <v>46191</v>
      </c>
      <c r="D409" t="inlineStr">
        <is>
          <t>KALMAR LÄN</t>
        </is>
      </c>
      <c r="E409" t="inlineStr">
        <is>
          <t>VIMMERBY</t>
        </is>
      </c>
      <c r="G409" t="n">
        <v>4.2</v>
      </c>
      <c r="H409" t="n">
        <v>0</v>
      </c>
      <c r="I409" t="n">
        <v>0</v>
      </c>
      <c r="J409" t="n">
        <v>0</v>
      </c>
      <c r="K409" t="n">
        <v>0</v>
      </c>
      <c r="L409" t="n">
        <v>0</v>
      </c>
      <c r="M409" t="n">
        <v>0</v>
      </c>
      <c r="N409" t="n">
        <v>0</v>
      </c>
      <c r="O409" t="n">
        <v>0</v>
      </c>
      <c r="P409" t="n">
        <v>0</v>
      </c>
      <c r="Q409" t="n">
        <v>0</v>
      </c>
      <c r="R409" s="2" t="inlineStr"/>
    </row>
    <row r="410" ht="15" customHeight="1">
      <c r="A410" t="inlineStr">
        <is>
          <t>A 11219-2023</t>
        </is>
      </c>
      <c r="B410" s="1" t="n">
        <v>44992</v>
      </c>
      <c r="C410" s="1" t="n">
        <v>46191</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6850-2023</t>
        </is>
      </c>
      <c r="B411" s="1" t="n">
        <v>44967</v>
      </c>
      <c r="C411" s="1" t="n">
        <v>46191</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43853-2023</t>
        </is>
      </c>
      <c r="B412" s="1" t="n">
        <v>45187</v>
      </c>
      <c r="C412" s="1" t="n">
        <v>46191</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48673-2021</t>
        </is>
      </c>
      <c r="B413" s="1" t="n">
        <v>44452</v>
      </c>
      <c r="C413" s="1" t="n">
        <v>46191</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14137-2023</t>
        </is>
      </c>
      <c r="B414" s="1" t="n">
        <v>45009</v>
      </c>
      <c r="C414" s="1" t="n">
        <v>46191</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24932-2026</t>
        </is>
      </c>
      <c r="B415" s="1" t="n">
        <v>46174</v>
      </c>
      <c r="C415" s="1" t="n">
        <v>46191</v>
      </c>
      <c r="D415" t="inlineStr">
        <is>
          <t>KALMAR LÄN</t>
        </is>
      </c>
      <c r="E415" t="inlineStr">
        <is>
          <t>VIMMERBY</t>
        </is>
      </c>
      <c r="G415" t="n">
        <v>2.3</v>
      </c>
      <c r="H415" t="n">
        <v>0</v>
      </c>
      <c r="I415" t="n">
        <v>0</v>
      </c>
      <c r="J415" t="n">
        <v>0</v>
      </c>
      <c r="K415" t="n">
        <v>0</v>
      </c>
      <c r="L415" t="n">
        <v>0</v>
      </c>
      <c r="M415" t="n">
        <v>0</v>
      </c>
      <c r="N415" t="n">
        <v>0</v>
      </c>
      <c r="O415" t="n">
        <v>0</v>
      </c>
      <c r="P415" t="n">
        <v>0</v>
      </c>
      <c r="Q415" t="n">
        <v>0</v>
      </c>
      <c r="R415" s="2" t="inlineStr"/>
    </row>
    <row r="416" ht="15" customHeight="1">
      <c r="A416" t="inlineStr">
        <is>
          <t>A 61790-2025</t>
        </is>
      </c>
      <c r="B416" s="1" t="n">
        <v>46002</v>
      </c>
      <c r="C416" s="1" t="n">
        <v>46191</v>
      </c>
      <c r="D416" t="inlineStr">
        <is>
          <t>KALMAR LÄN</t>
        </is>
      </c>
      <c r="E416" t="inlineStr">
        <is>
          <t>VIMMERBY</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61726-2025</t>
        </is>
      </c>
      <c r="B417" s="1" t="n">
        <v>46002</v>
      </c>
      <c r="C417" s="1" t="n">
        <v>46191</v>
      </c>
      <c r="D417" t="inlineStr">
        <is>
          <t>KALMAR LÄN</t>
        </is>
      </c>
      <c r="E417" t="inlineStr">
        <is>
          <t>VIMMERBY</t>
        </is>
      </c>
      <c r="F417" t="inlineStr">
        <is>
          <t>Sveaskog</t>
        </is>
      </c>
      <c r="G417" t="n">
        <v>0.2</v>
      </c>
      <c r="H417" t="n">
        <v>0</v>
      </c>
      <c r="I417" t="n">
        <v>0</v>
      </c>
      <c r="J417" t="n">
        <v>0</v>
      </c>
      <c r="K417" t="n">
        <v>0</v>
      </c>
      <c r="L417" t="n">
        <v>0</v>
      </c>
      <c r="M417" t="n">
        <v>0</v>
      </c>
      <c r="N417" t="n">
        <v>0</v>
      </c>
      <c r="O417" t="n">
        <v>0</v>
      </c>
      <c r="P417" t="n">
        <v>0</v>
      </c>
      <c r="Q417" t="n">
        <v>0</v>
      </c>
      <c r="R417" s="2" t="inlineStr"/>
    </row>
    <row r="418" ht="15" customHeight="1">
      <c r="A418" t="inlineStr">
        <is>
          <t>A 38780-2021</t>
        </is>
      </c>
      <c r="B418" s="1" t="n">
        <v>44410</v>
      </c>
      <c r="C418" s="1" t="n">
        <v>46191</v>
      </c>
      <c r="D418" t="inlineStr">
        <is>
          <t>KALMAR LÄN</t>
        </is>
      </c>
      <c r="E418" t="inlineStr">
        <is>
          <t>VIMMERBY</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30503-2023</t>
        </is>
      </c>
      <c r="B419" s="1" t="n">
        <v>45111</v>
      </c>
      <c r="C419" s="1" t="n">
        <v>46191</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61725-2025</t>
        </is>
      </c>
      <c r="B420" s="1" t="n">
        <v>46002</v>
      </c>
      <c r="C420" s="1" t="n">
        <v>46191</v>
      </c>
      <c r="D420" t="inlineStr">
        <is>
          <t>KALMAR LÄN</t>
        </is>
      </c>
      <c r="E420" t="inlineStr">
        <is>
          <t>VIMMERBY</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18633-2026</t>
        </is>
      </c>
      <c r="B421" s="1" t="n">
        <v>46128</v>
      </c>
      <c r="C421" s="1" t="n">
        <v>46191</v>
      </c>
      <c r="D421" t="inlineStr">
        <is>
          <t>KALMAR LÄN</t>
        </is>
      </c>
      <c r="E421" t="inlineStr">
        <is>
          <t>VIMMERBY</t>
        </is>
      </c>
      <c r="G421" t="n">
        <v>2</v>
      </c>
      <c r="H421" t="n">
        <v>0</v>
      </c>
      <c r="I421" t="n">
        <v>0</v>
      </c>
      <c r="J421" t="n">
        <v>0</v>
      </c>
      <c r="K421" t="n">
        <v>0</v>
      </c>
      <c r="L421" t="n">
        <v>0</v>
      </c>
      <c r="M421" t="n">
        <v>0</v>
      </c>
      <c r="N421" t="n">
        <v>0</v>
      </c>
      <c r="O421" t="n">
        <v>0</v>
      </c>
      <c r="P421" t="n">
        <v>0</v>
      </c>
      <c r="Q421" t="n">
        <v>0</v>
      </c>
      <c r="R421" s="2" t="inlineStr"/>
    </row>
    <row r="422" ht="15" customHeight="1">
      <c r="A422" t="inlineStr">
        <is>
          <t>A 60110-2022</t>
        </is>
      </c>
      <c r="B422" s="1" t="n">
        <v>44909</v>
      </c>
      <c r="C422" s="1" t="n">
        <v>46191</v>
      </c>
      <c r="D422" t="inlineStr">
        <is>
          <t>KALMAR LÄN</t>
        </is>
      </c>
      <c r="E422" t="inlineStr">
        <is>
          <t>VIMMERBY</t>
        </is>
      </c>
      <c r="G422" t="n">
        <v>1.7</v>
      </c>
      <c r="H422" t="n">
        <v>0</v>
      </c>
      <c r="I422" t="n">
        <v>0</v>
      </c>
      <c r="J422" t="n">
        <v>0</v>
      </c>
      <c r="K422" t="n">
        <v>0</v>
      </c>
      <c r="L422" t="n">
        <v>0</v>
      </c>
      <c r="M422" t="n">
        <v>0</v>
      </c>
      <c r="N422" t="n">
        <v>0</v>
      </c>
      <c r="O422" t="n">
        <v>0</v>
      </c>
      <c r="P422" t="n">
        <v>0</v>
      </c>
      <c r="Q422" t="n">
        <v>0</v>
      </c>
      <c r="R422" s="2" t="inlineStr"/>
    </row>
    <row r="423" ht="15" customHeight="1">
      <c r="A423" t="inlineStr">
        <is>
          <t>A 59300-2024</t>
        </is>
      </c>
      <c r="B423" s="1" t="n">
        <v>45637</v>
      </c>
      <c r="C423" s="1" t="n">
        <v>46191</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18329-2023</t>
        </is>
      </c>
      <c r="B424" s="1" t="n">
        <v>45041</v>
      </c>
      <c r="C424" s="1" t="n">
        <v>46191</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5720-2023</t>
        </is>
      </c>
      <c r="B425" s="1" t="n">
        <v>44961</v>
      </c>
      <c r="C425" s="1" t="n">
        <v>46191</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61538-2022</t>
        </is>
      </c>
      <c r="B426" s="1" t="n">
        <v>44916</v>
      </c>
      <c r="C426" s="1" t="n">
        <v>46191</v>
      </c>
      <c r="D426" t="inlineStr">
        <is>
          <t>KALMAR LÄN</t>
        </is>
      </c>
      <c r="E426" t="inlineStr">
        <is>
          <t>VIMMERBY</t>
        </is>
      </c>
      <c r="G426" t="n">
        <v>1.5</v>
      </c>
      <c r="H426" t="n">
        <v>0</v>
      </c>
      <c r="I426" t="n">
        <v>0</v>
      </c>
      <c r="J426" t="n">
        <v>0</v>
      </c>
      <c r="K426" t="n">
        <v>0</v>
      </c>
      <c r="L426" t="n">
        <v>0</v>
      </c>
      <c r="M426" t="n">
        <v>0</v>
      </c>
      <c r="N426" t="n">
        <v>0</v>
      </c>
      <c r="O426" t="n">
        <v>0</v>
      </c>
      <c r="P426" t="n">
        <v>0</v>
      </c>
      <c r="Q426" t="n">
        <v>0</v>
      </c>
      <c r="R426" s="2" t="inlineStr"/>
    </row>
    <row r="427" ht="15" customHeight="1">
      <c r="A427" t="inlineStr">
        <is>
          <t>A 24930-2026</t>
        </is>
      </c>
      <c r="B427" s="1" t="n">
        <v>46174</v>
      </c>
      <c r="C427" s="1" t="n">
        <v>46191</v>
      </c>
      <c r="D427" t="inlineStr">
        <is>
          <t>KALMAR LÄN</t>
        </is>
      </c>
      <c r="E427" t="inlineStr">
        <is>
          <t>VIMMERBY</t>
        </is>
      </c>
      <c r="G427" t="n">
        <v>0.8</v>
      </c>
      <c r="H427" t="n">
        <v>0</v>
      </c>
      <c r="I427" t="n">
        <v>0</v>
      </c>
      <c r="J427" t="n">
        <v>0</v>
      </c>
      <c r="K427" t="n">
        <v>0</v>
      </c>
      <c r="L427" t="n">
        <v>0</v>
      </c>
      <c r="M427" t="n">
        <v>0</v>
      </c>
      <c r="N427" t="n">
        <v>0</v>
      </c>
      <c r="O427" t="n">
        <v>0</v>
      </c>
      <c r="P427" t="n">
        <v>0</v>
      </c>
      <c r="Q427" t="n">
        <v>0</v>
      </c>
      <c r="R427" s="2" t="inlineStr"/>
    </row>
    <row r="428" ht="15" customHeight="1">
      <c r="A428" t="inlineStr">
        <is>
          <t>A 25194-2026</t>
        </is>
      </c>
      <c r="B428" s="1" t="n">
        <v>46175</v>
      </c>
      <c r="C428" s="1" t="n">
        <v>46191</v>
      </c>
      <c r="D428" t="inlineStr">
        <is>
          <t>KALMAR LÄN</t>
        </is>
      </c>
      <c r="E428" t="inlineStr">
        <is>
          <t>VIMMERBY</t>
        </is>
      </c>
      <c r="G428" t="n">
        <v>3.4</v>
      </c>
      <c r="H428" t="n">
        <v>0</v>
      </c>
      <c r="I428" t="n">
        <v>0</v>
      </c>
      <c r="J428" t="n">
        <v>0</v>
      </c>
      <c r="K428" t="n">
        <v>0</v>
      </c>
      <c r="L428" t="n">
        <v>0</v>
      </c>
      <c r="M428" t="n">
        <v>0</v>
      </c>
      <c r="N428" t="n">
        <v>0</v>
      </c>
      <c r="O428" t="n">
        <v>0</v>
      </c>
      <c r="P428" t="n">
        <v>0</v>
      </c>
      <c r="Q428" t="n">
        <v>0</v>
      </c>
      <c r="R428" s="2" t="inlineStr"/>
    </row>
    <row r="429" ht="15" customHeight="1">
      <c r="A429" t="inlineStr">
        <is>
          <t>A 25106-2026</t>
        </is>
      </c>
      <c r="B429" s="1" t="n">
        <v>46175</v>
      </c>
      <c r="C429" s="1" t="n">
        <v>46191</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694-2024</t>
        </is>
      </c>
      <c r="B430" s="1" t="n">
        <v>45300</v>
      </c>
      <c r="C430" s="1" t="n">
        <v>46191</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25284-2026</t>
        </is>
      </c>
      <c r="B431" s="1" t="n">
        <v>46176</v>
      </c>
      <c r="C431" s="1" t="n">
        <v>46191</v>
      </c>
      <c r="D431" t="inlineStr">
        <is>
          <t>KALMAR LÄN</t>
        </is>
      </c>
      <c r="E431" t="inlineStr">
        <is>
          <t>VIMMERBY</t>
        </is>
      </c>
      <c r="G431" t="n">
        <v>1.6</v>
      </c>
      <c r="H431" t="n">
        <v>0</v>
      </c>
      <c r="I431" t="n">
        <v>0</v>
      </c>
      <c r="J431" t="n">
        <v>0</v>
      </c>
      <c r="K431" t="n">
        <v>0</v>
      </c>
      <c r="L431" t="n">
        <v>0</v>
      </c>
      <c r="M431" t="n">
        <v>0</v>
      </c>
      <c r="N431" t="n">
        <v>0</v>
      </c>
      <c r="O431" t="n">
        <v>0</v>
      </c>
      <c r="P431" t="n">
        <v>0</v>
      </c>
      <c r="Q431" t="n">
        <v>0</v>
      </c>
      <c r="R431" s="2" t="inlineStr"/>
    </row>
    <row r="432" ht="15" customHeight="1">
      <c r="A432" t="inlineStr">
        <is>
          <t>A 57114-2023</t>
        </is>
      </c>
      <c r="B432" s="1" t="n">
        <v>45245</v>
      </c>
      <c r="C432" s="1" t="n">
        <v>46191</v>
      </c>
      <c r="D432" t="inlineStr">
        <is>
          <t>KALMAR LÄN</t>
        </is>
      </c>
      <c r="E432" t="inlineStr">
        <is>
          <t>VIMMERBY</t>
        </is>
      </c>
      <c r="G432" t="n">
        <v>1.5</v>
      </c>
      <c r="H432" t="n">
        <v>0</v>
      </c>
      <c r="I432" t="n">
        <v>0</v>
      </c>
      <c r="J432" t="n">
        <v>0</v>
      </c>
      <c r="K432" t="n">
        <v>0</v>
      </c>
      <c r="L432" t="n">
        <v>0</v>
      </c>
      <c r="M432" t="n">
        <v>0</v>
      </c>
      <c r="N432" t="n">
        <v>0</v>
      </c>
      <c r="O432" t="n">
        <v>0</v>
      </c>
      <c r="P432" t="n">
        <v>0</v>
      </c>
      <c r="Q432" t="n">
        <v>0</v>
      </c>
      <c r="R432" s="2" t="inlineStr"/>
    </row>
    <row r="433" ht="15" customHeight="1">
      <c r="A433" t="inlineStr">
        <is>
          <t>A 12327-2023</t>
        </is>
      </c>
      <c r="B433" s="1" t="n">
        <v>44999</v>
      </c>
      <c r="C433" s="1" t="n">
        <v>46191</v>
      </c>
      <c r="D433" t="inlineStr">
        <is>
          <t>KALMAR LÄN</t>
        </is>
      </c>
      <c r="E433" t="inlineStr">
        <is>
          <t>VIMMERBY</t>
        </is>
      </c>
      <c r="G433" t="n">
        <v>1.2</v>
      </c>
      <c r="H433" t="n">
        <v>0</v>
      </c>
      <c r="I433" t="n">
        <v>0</v>
      </c>
      <c r="J433" t="n">
        <v>0</v>
      </c>
      <c r="K433" t="n">
        <v>0</v>
      </c>
      <c r="L433" t="n">
        <v>0</v>
      </c>
      <c r="M433" t="n">
        <v>0</v>
      </c>
      <c r="N433" t="n">
        <v>0</v>
      </c>
      <c r="O433" t="n">
        <v>0</v>
      </c>
      <c r="P433" t="n">
        <v>0</v>
      </c>
      <c r="Q433" t="n">
        <v>0</v>
      </c>
      <c r="R433" s="2" t="inlineStr"/>
    </row>
    <row r="434" ht="15" customHeight="1">
      <c r="A434" t="inlineStr">
        <is>
          <t>A 25192-2026</t>
        </is>
      </c>
      <c r="B434" s="1" t="n">
        <v>46175</v>
      </c>
      <c r="C434" s="1" t="n">
        <v>46191</v>
      </c>
      <c r="D434" t="inlineStr">
        <is>
          <t>KALMAR LÄN</t>
        </is>
      </c>
      <c r="E434" t="inlineStr">
        <is>
          <t>VIMMERBY</t>
        </is>
      </c>
      <c r="G434" t="n">
        <v>3.2</v>
      </c>
      <c r="H434" t="n">
        <v>0</v>
      </c>
      <c r="I434" t="n">
        <v>0</v>
      </c>
      <c r="J434" t="n">
        <v>0</v>
      </c>
      <c r="K434" t="n">
        <v>0</v>
      </c>
      <c r="L434" t="n">
        <v>0</v>
      </c>
      <c r="M434" t="n">
        <v>0</v>
      </c>
      <c r="N434" t="n">
        <v>0</v>
      </c>
      <c r="O434" t="n">
        <v>0</v>
      </c>
      <c r="P434" t="n">
        <v>0</v>
      </c>
      <c r="Q434" t="n">
        <v>0</v>
      </c>
      <c r="R434" s="2" t="inlineStr"/>
    </row>
    <row r="435" ht="15" customHeight="1">
      <c r="A435" t="inlineStr">
        <is>
          <t>A 25105-2026</t>
        </is>
      </c>
      <c r="B435" s="1" t="n">
        <v>46175</v>
      </c>
      <c r="C435" s="1" t="n">
        <v>46191</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25345-2026</t>
        </is>
      </c>
      <c r="B436" s="1" t="n">
        <v>46176</v>
      </c>
      <c r="C436" s="1" t="n">
        <v>46191</v>
      </c>
      <c r="D436" t="inlineStr">
        <is>
          <t>KALMAR LÄN</t>
        </is>
      </c>
      <c r="E436" t="inlineStr">
        <is>
          <t>VIMMERBY</t>
        </is>
      </c>
      <c r="G436" t="n">
        <v>1.9</v>
      </c>
      <c r="H436" t="n">
        <v>0</v>
      </c>
      <c r="I436" t="n">
        <v>0</v>
      </c>
      <c r="J436" t="n">
        <v>0</v>
      </c>
      <c r="K436" t="n">
        <v>0</v>
      </c>
      <c r="L436" t="n">
        <v>0</v>
      </c>
      <c r="M436" t="n">
        <v>0</v>
      </c>
      <c r="N436" t="n">
        <v>0</v>
      </c>
      <c r="O436" t="n">
        <v>0</v>
      </c>
      <c r="P436" t="n">
        <v>0</v>
      </c>
      <c r="Q436" t="n">
        <v>0</v>
      </c>
      <c r="R436" s="2" t="inlineStr"/>
    </row>
    <row r="437" ht="15" customHeight="1">
      <c r="A437" t="inlineStr">
        <is>
          <t>A 25395-2026</t>
        </is>
      </c>
      <c r="B437" s="1" t="n">
        <v>46176</v>
      </c>
      <c r="C437" s="1" t="n">
        <v>46191</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30633-2024</t>
        </is>
      </c>
      <c r="B438" s="1" t="n">
        <v>45495</v>
      </c>
      <c r="C438" s="1" t="n">
        <v>46191</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33424-2023</t>
        </is>
      </c>
      <c r="B439" s="1" t="n">
        <v>45128</v>
      </c>
      <c r="C439" s="1" t="n">
        <v>46191</v>
      </c>
      <c r="D439" t="inlineStr">
        <is>
          <t>KALMAR LÄN</t>
        </is>
      </c>
      <c r="E439" t="inlineStr">
        <is>
          <t>VIMMERBY</t>
        </is>
      </c>
      <c r="G439" t="n">
        <v>2.4</v>
      </c>
      <c r="H439" t="n">
        <v>0</v>
      </c>
      <c r="I439" t="n">
        <v>0</v>
      </c>
      <c r="J439" t="n">
        <v>0</v>
      </c>
      <c r="K439" t="n">
        <v>0</v>
      </c>
      <c r="L439" t="n">
        <v>0</v>
      </c>
      <c r="M439" t="n">
        <v>0</v>
      </c>
      <c r="N439" t="n">
        <v>0</v>
      </c>
      <c r="O439" t="n">
        <v>0</v>
      </c>
      <c r="P439" t="n">
        <v>0</v>
      </c>
      <c r="Q439" t="n">
        <v>0</v>
      </c>
      <c r="R439" s="2" t="inlineStr"/>
    </row>
    <row r="440" ht="15" customHeight="1">
      <c r="A440" t="inlineStr">
        <is>
          <t>A 33425-2023</t>
        </is>
      </c>
      <c r="B440" s="1" t="n">
        <v>45128</v>
      </c>
      <c r="C440" s="1" t="n">
        <v>46191</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3609-2024</t>
        </is>
      </c>
      <c r="B441" s="1" t="n">
        <v>45320</v>
      </c>
      <c r="C441" s="1" t="n">
        <v>46191</v>
      </c>
      <c r="D441" t="inlineStr">
        <is>
          <t>KALMAR LÄN</t>
        </is>
      </c>
      <c r="E441" t="inlineStr">
        <is>
          <t>VIMMERBY</t>
        </is>
      </c>
      <c r="G441" t="n">
        <v>1.7</v>
      </c>
      <c r="H441" t="n">
        <v>0</v>
      </c>
      <c r="I441" t="n">
        <v>0</v>
      </c>
      <c r="J441" t="n">
        <v>0</v>
      </c>
      <c r="K441" t="n">
        <v>0</v>
      </c>
      <c r="L441" t="n">
        <v>0</v>
      </c>
      <c r="M441" t="n">
        <v>0</v>
      </c>
      <c r="N441" t="n">
        <v>0</v>
      </c>
      <c r="O441" t="n">
        <v>0</v>
      </c>
      <c r="P441" t="n">
        <v>0</v>
      </c>
      <c r="Q441" t="n">
        <v>0</v>
      </c>
      <c r="R441" s="2" t="inlineStr"/>
    </row>
    <row r="442" ht="15" customHeight="1">
      <c r="A442" t="inlineStr">
        <is>
          <t>A 25158-2026</t>
        </is>
      </c>
      <c r="B442" s="1" t="n">
        <v>46175</v>
      </c>
      <c r="C442" s="1" t="n">
        <v>46191</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37866-2025</t>
        </is>
      </c>
      <c r="B443" s="1" t="n">
        <v>45881</v>
      </c>
      <c r="C443" s="1" t="n">
        <v>46191</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54838-2024</t>
        </is>
      </c>
      <c r="B444" s="1" t="n">
        <v>45618</v>
      </c>
      <c r="C444" s="1" t="n">
        <v>46191</v>
      </c>
      <c r="D444" t="inlineStr">
        <is>
          <t>KALMAR LÄN</t>
        </is>
      </c>
      <c r="E444" t="inlineStr">
        <is>
          <t>VIMMERBY</t>
        </is>
      </c>
      <c r="G444" t="n">
        <v>3.3</v>
      </c>
      <c r="H444" t="n">
        <v>0</v>
      </c>
      <c r="I444" t="n">
        <v>0</v>
      </c>
      <c r="J444" t="n">
        <v>0</v>
      </c>
      <c r="K444" t="n">
        <v>0</v>
      </c>
      <c r="L444" t="n">
        <v>0</v>
      </c>
      <c r="M444" t="n">
        <v>0</v>
      </c>
      <c r="N444" t="n">
        <v>0</v>
      </c>
      <c r="O444" t="n">
        <v>0</v>
      </c>
      <c r="P444" t="n">
        <v>0</v>
      </c>
      <c r="Q444" t="n">
        <v>0</v>
      </c>
      <c r="R444" s="2" t="inlineStr"/>
    </row>
    <row r="445" ht="15" customHeight="1">
      <c r="A445" t="inlineStr">
        <is>
          <t>A 20018-2026</t>
        </is>
      </c>
      <c r="B445" s="1" t="n">
        <v>46136</v>
      </c>
      <c r="C445" s="1" t="n">
        <v>46191</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63848-2025</t>
        </is>
      </c>
      <c r="B446" s="1" t="n">
        <v>46020</v>
      </c>
      <c r="C446" s="1" t="n">
        <v>46191</v>
      </c>
      <c r="D446" t="inlineStr">
        <is>
          <t>KALMAR LÄN</t>
        </is>
      </c>
      <c r="E446" t="inlineStr">
        <is>
          <t>VIMMERBY</t>
        </is>
      </c>
      <c r="G446" t="n">
        <v>3.4</v>
      </c>
      <c r="H446" t="n">
        <v>0</v>
      </c>
      <c r="I446" t="n">
        <v>0</v>
      </c>
      <c r="J446" t="n">
        <v>0</v>
      </c>
      <c r="K446" t="n">
        <v>0</v>
      </c>
      <c r="L446" t="n">
        <v>0</v>
      </c>
      <c r="M446" t="n">
        <v>0</v>
      </c>
      <c r="N446" t="n">
        <v>0</v>
      </c>
      <c r="O446" t="n">
        <v>0</v>
      </c>
      <c r="P446" t="n">
        <v>0</v>
      </c>
      <c r="Q446" t="n">
        <v>0</v>
      </c>
      <c r="R446" s="2" t="inlineStr"/>
    </row>
    <row r="447" ht="15" customHeight="1">
      <c r="A447" t="inlineStr">
        <is>
          <t>A 45114-2025</t>
        </is>
      </c>
      <c r="B447" s="1" t="n">
        <v>45919</v>
      </c>
      <c r="C447" s="1" t="n">
        <v>46191</v>
      </c>
      <c r="D447" t="inlineStr">
        <is>
          <t>KALMAR LÄN</t>
        </is>
      </c>
      <c r="E447" t="inlineStr">
        <is>
          <t>VIMMERBY</t>
        </is>
      </c>
      <c r="G447" t="n">
        <v>2.7</v>
      </c>
      <c r="H447" t="n">
        <v>0</v>
      </c>
      <c r="I447" t="n">
        <v>0</v>
      </c>
      <c r="J447" t="n">
        <v>0</v>
      </c>
      <c r="K447" t="n">
        <v>0</v>
      </c>
      <c r="L447" t="n">
        <v>0</v>
      </c>
      <c r="M447" t="n">
        <v>0</v>
      </c>
      <c r="N447" t="n">
        <v>0</v>
      </c>
      <c r="O447" t="n">
        <v>0</v>
      </c>
      <c r="P447" t="n">
        <v>0</v>
      </c>
      <c r="Q447" t="n">
        <v>0</v>
      </c>
      <c r="R447" s="2" t="inlineStr"/>
    </row>
    <row r="448" ht="15" customHeight="1">
      <c r="A448" t="inlineStr">
        <is>
          <t>A 63758-2025</t>
        </is>
      </c>
      <c r="B448" s="1" t="n">
        <v>46018</v>
      </c>
      <c r="C448" s="1" t="n">
        <v>46191</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52294-2023</t>
        </is>
      </c>
      <c r="B449" s="1" t="n">
        <v>45224</v>
      </c>
      <c r="C449" s="1" t="n">
        <v>46191</v>
      </c>
      <c r="D449" t="inlineStr">
        <is>
          <t>KALMAR LÄN</t>
        </is>
      </c>
      <c r="E449" t="inlineStr">
        <is>
          <t>VIMMERBY</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25830-2025</t>
        </is>
      </c>
      <c r="B450" s="1" t="n">
        <v>45804</v>
      </c>
      <c r="C450" s="1" t="n">
        <v>46191</v>
      </c>
      <c r="D450" t="inlineStr">
        <is>
          <t>KALMAR LÄN</t>
        </is>
      </c>
      <c r="E450" t="inlineStr">
        <is>
          <t>VIMMERBY</t>
        </is>
      </c>
      <c r="G450" t="n">
        <v>4.9</v>
      </c>
      <c r="H450" t="n">
        <v>0</v>
      </c>
      <c r="I450" t="n">
        <v>0</v>
      </c>
      <c r="J450" t="n">
        <v>0</v>
      </c>
      <c r="K450" t="n">
        <v>0</v>
      </c>
      <c r="L450" t="n">
        <v>0</v>
      </c>
      <c r="M450" t="n">
        <v>0</v>
      </c>
      <c r="N450" t="n">
        <v>0</v>
      </c>
      <c r="O450" t="n">
        <v>0</v>
      </c>
      <c r="P450" t="n">
        <v>0</v>
      </c>
      <c r="Q450" t="n">
        <v>0</v>
      </c>
      <c r="R450" s="2" t="inlineStr"/>
    </row>
    <row r="451" ht="15" customHeight="1">
      <c r="A451" t="inlineStr">
        <is>
          <t>A 25987-2024</t>
        </is>
      </c>
      <c r="B451" s="1" t="n">
        <v>45467</v>
      </c>
      <c r="C451" s="1" t="n">
        <v>46191</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8650-2022</t>
        </is>
      </c>
      <c r="B452" s="1" t="n">
        <v>44613</v>
      </c>
      <c r="C452" s="1" t="n">
        <v>46191</v>
      </c>
      <c r="D452" t="inlineStr">
        <is>
          <t>KALMAR LÄN</t>
        </is>
      </c>
      <c r="E452" t="inlineStr">
        <is>
          <t>VIMMERBY</t>
        </is>
      </c>
      <c r="G452" t="n">
        <v>1.4</v>
      </c>
      <c r="H452" t="n">
        <v>0</v>
      </c>
      <c r="I452" t="n">
        <v>0</v>
      </c>
      <c r="J452" t="n">
        <v>0</v>
      </c>
      <c r="K452" t="n">
        <v>0</v>
      </c>
      <c r="L452" t="n">
        <v>0</v>
      </c>
      <c r="M452" t="n">
        <v>0</v>
      </c>
      <c r="N452" t="n">
        <v>0</v>
      </c>
      <c r="O452" t="n">
        <v>0</v>
      </c>
      <c r="P452" t="n">
        <v>0</v>
      </c>
      <c r="Q452" t="n">
        <v>0</v>
      </c>
      <c r="R452" s="2" t="inlineStr"/>
    </row>
    <row r="453" ht="15" customHeight="1">
      <c r="A453" t="inlineStr">
        <is>
          <t>A 36273-2025</t>
        </is>
      </c>
      <c r="B453" s="1" t="n">
        <v>45867</v>
      </c>
      <c r="C453" s="1" t="n">
        <v>46191</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36282-2025</t>
        </is>
      </c>
      <c r="B454" s="1" t="n">
        <v>45867</v>
      </c>
      <c r="C454" s="1" t="n">
        <v>46191</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31876-2025</t>
        </is>
      </c>
      <c r="B455" s="1" t="n">
        <v>45834</v>
      </c>
      <c r="C455" s="1" t="n">
        <v>46191</v>
      </c>
      <c r="D455" t="inlineStr">
        <is>
          <t>KALMAR LÄN</t>
        </is>
      </c>
      <c r="E455" t="inlineStr">
        <is>
          <t>VIMMERBY</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58159-2024</t>
        </is>
      </c>
      <c r="B456" s="1" t="n">
        <v>45632</v>
      </c>
      <c r="C456" s="1" t="n">
        <v>46191</v>
      </c>
      <c r="D456" t="inlineStr">
        <is>
          <t>KALMAR LÄN</t>
        </is>
      </c>
      <c r="E456" t="inlineStr">
        <is>
          <t>VIMMERBY</t>
        </is>
      </c>
      <c r="G456" t="n">
        <v>7.5</v>
      </c>
      <c r="H456" t="n">
        <v>0</v>
      </c>
      <c r="I456" t="n">
        <v>0</v>
      </c>
      <c r="J456" t="n">
        <v>0</v>
      </c>
      <c r="K456" t="n">
        <v>0</v>
      </c>
      <c r="L456" t="n">
        <v>0</v>
      </c>
      <c r="M456" t="n">
        <v>0</v>
      </c>
      <c r="N456" t="n">
        <v>0</v>
      </c>
      <c r="O456" t="n">
        <v>0</v>
      </c>
      <c r="P456" t="n">
        <v>0</v>
      </c>
      <c r="Q456" t="n">
        <v>0</v>
      </c>
      <c r="R456" s="2" t="inlineStr"/>
    </row>
    <row r="457" ht="15" customHeight="1">
      <c r="A457" t="inlineStr">
        <is>
          <t>A 409-2026</t>
        </is>
      </c>
      <c r="B457" s="1" t="n">
        <v>46028</v>
      </c>
      <c r="C457" s="1" t="n">
        <v>46191</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20017-2026</t>
        </is>
      </c>
      <c r="B458" s="1" t="n">
        <v>46136</v>
      </c>
      <c r="C458" s="1" t="n">
        <v>46191</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25109-2023</t>
        </is>
      </c>
      <c r="B459" s="1" t="n">
        <v>45086</v>
      </c>
      <c r="C459" s="1" t="n">
        <v>46191</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28282-2025</t>
        </is>
      </c>
      <c r="B460" s="1" t="n">
        <v>45818</v>
      </c>
      <c r="C460" s="1" t="n">
        <v>46191</v>
      </c>
      <c r="D460" t="inlineStr">
        <is>
          <t>KALMAR LÄN</t>
        </is>
      </c>
      <c r="E460" t="inlineStr">
        <is>
          <t>VIMMERBY</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406-2026</t>
        </is>
      </c>
      <c r="B461" s="1" t="n">
        <v>46028</v>
      </c>
      <c r="C461" s="1" t="n">
        <v>46191</v>
      </c>
      <c r="D461" t="inlineStr">
        <is>
          <t>KALMAR LÄN</t>
        </is>
      </c>
      <c r="E461" t="inlineStr">
        <is>
          <t>VIMMERBY</t>
        </is>
      </c>
      <c r="G461" t="n">
        <v>1.8</v>
      </c>
      <c r="H461" t="n">
        <v>0</v>
      </c>
      <c r="I461" t="n">
        <v>0</v>
      </c>
      <c r="J461" t="n">
        <v>0</v>
      </c>
      <c r="K461" t="n">
        <v>0</v>
      </c>
      <c r="L461" t="n">
        <v>0</v>
      </c>
      <c r="M461" t="n">
        <v>0</v>
      </c>
      <c r="N461" t="n">
        <v>0</v>
      </c>
      <c r="O461" t="n">
        <v>0</v>
      </c>
      <c r="P461" t="n">
        <v>0</v>
      </c>
      <c r="Q461" t="n">
        <v>0</v>
      </c>
      <c r="R461" s="2" t="inlineStr"/>
    </row>
    <row r="462" ht="15" customHeight="1">
      <c r="A462" t="inlineStr">
        <is>
          <t>A 11147-2023</t>
        </is>
      </c>
      <c r="B462" s="1" t="n">
        <v>44992</v>
      </c>
      <c r="C462" s="1" t="n">
        <v>46191</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16015-2025</t>
        </is>
      </c>
      <c r="B463" s="1" t="n">
        <v>45749</v>
      </c>
      <c r="C463" s="1" t="n">
        <v>46191</v>
      </c>
      <c r="D463" t="inlineStr">
        <is>
          <t>KALMAR LÄN</t>
        </is>
      </c>
      <c r="E463" t="inlineStr">
        <is>
          <t>VIMMERBY</t>
        </is>
      </c>
      <c r="F463" t="inlineStr">
        <is>
          <t>Kyrkan</t>
        </is>
      </c>
      <c r="G463" t="n">
        <v>2.7</v>
      </c>
      <c r="H463" t="n">
        <v>0</v>
      </c>
      <c r="I463" t="n">
        <v>0</v>
      </c>
      <c r="J463" t="n">
        <v>0</v>
      </c>
      <c r="K463" t="n">
        <v>0</v>
      </c>
      <c r="L463" t="n">
        <v>0</v>
      </c>
      <c r="M463" t="n">
        <v>0</v>
      </c>
      <c r="N463" t="n">
        <v>0</v>
      </c>
      <c r="O463" t="n">
        <v>0</v>
      </c>
      <c r="P463" t="n">
        <v>0</v>
      </c>
      <c r="Q463" t="n">
        <v>0</v>
      </c>
      <c r="R463" s="2" t="inlineStr"/>
    </row>
    <row r="464" ht="15" customHeight="1">
      <c r="A464" t="inlineStr">
        <is>
          <t>A 579-2026</t>
        </is>
      </c>
      <c r="B464" s="1" t="n">
        <v>46029</v>
      </c>
      <c r="C464" s="1" t="n">
        <v>46191</v>
      </c>
      <c r="D464" t="inlineStr">
        <is>
          <t>KALMAR LÄN</t>
        </is>
      </c>
      <c r="E464" t="inlineStr">
        <is>
          <t>VIMMERBY</t>
        </is>
      </c>
      <c r="G464" t="n">
        <v>3</v>
      </c>
      <c r="H464" t="n">
        <v>0</v>
      </c>
      <c r="I464" t="n">
        <v>0</v>
      </c>
      <c r="J464" t="n">
        <v>0</v>
      </c>
      <c r="K464" t="n">
        <v>0</v>
      </c>
      <c r="L464" t="n">
        <v>0</v>
      </c>
      <c r="M464" t="n">
        <v>0</v>
      </c>
      <c r="N464" t="n">
        <v>0</v>
      </c>
      <c r="O464" t="n">
        <v>0</v>
      </c>
      <c r="P464" t="n">
        <v>0</v>
      </c>
      <c r="Q464" t="n">
        <v>0</v>
      </c>
      <c r="R464" s="2" t="inlineStr"/>
    </row>
    <row r="465" ht="15" customHeight="1">
      <c r="A465" t="inlineStr">
        <is>
          <t>A 842-2026</t>
        </is>
      </c>
      <c r="B465" s="1" t="n">
        <v>46030</v>
      </c>
      <c r="C465" s="1" t="n">
        <v>46191</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38969-2023</t>
        </is>
      </c>
      <c r="B466" s="1" t="n">
        <v>45163</v>
      </c>
      <c r="C466" s="1" t="n">
        <v>46191</v>
      </c>
      <c r="D466" t="inlineStr">
        <is>
          <t>KALMAR LÄN</t>
        </is>
      </c>
      <c r="E466" t="inlineStr">
        <is>
          <t>VIMMERBY</t>
        </is>
      </c>
      <c r="F466" t="inlineStr">
        <is>
          <t>Sveaskog</t>
        </is>
      </c>
      <c r="G466" t="n">
        <v>2.4</v>
      </c>
      <c r="H466" t="n">
        <v>0</v>
      </c>
      <c r="I466" t="n">
        <v>0</v>
      </c>
      <c r="J466" t="n">
        <v>0</v>
      </c>
      <c r="K466" t="n">
        <v>0</v>
      </c>
      <c r="L466" t="n">
        <v>0</v>
      </c>
      <c r="M466" t="n">
        <v>0</v>
      </c>
      <c r="N466" t="n">
        <v>0</v>
      </c>
      <c r="O466" t="n">
        <v>0</v>
      </c>
      <c r="P466" t="n">
        <v>0</v>
      </c>
      <c r="Q466" t="n">
        <v>0</v>
      </c>
      <c r="R466" s="2" t="inlineStr"/>
    </row>
    <row r="467" ht="15" customHeight="1">
      <c r="A467" t="inlineStr">
        <is>
          <t>A 16676-2023</t>
        </is>
      </c>
      <c r="B467" s="1" t="n">
        <v>45028</v>
      </c>
      <c r="C467" s="1" t="n">
        <v>46191</v>
      </c>
      <c r="D467" t="inlineStr">
        <is>
          <t>KALMAR LÄN</t>
        </is>
      </c>
      <c r="E467" t="inlineStr">
        <is>
          <t>VIMMERBY</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1069-2026</t>
        </is>
      </c>
      <c r="B468" s="1" t="n">
        <v>46030</v>
      </c>
      <c r="C468" s="1" t="n">
        <v>46191</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23263-2024</t>
        </is>
      </c>
      <c r="B469" s="1" t="n">
        <v>45453</v>
      </c>
      <c r="C469" s="1" t="n">
        <v>46191</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29727-2025</t>
        </is>
      </c>
      <c r="B470" s="1" t="n">
        <v>45825</v>
      </c>
      <c r="C470" s="1" t="n">
        <v>46191</v>
      </c>
      <c r="D470" t="inlineStr">
        <is>
          <t>KALMAR LÄN</t>
        </is>
      </c>
      <c r="E470" t="inlineStr">
        <is>
          <t>VIMMERBY</t>
        </is>
      </c>
      <c r="G470" t="n">
        <v>1.3</v>
      </c>
      <c r="H470" t="n">
        <v>0</v>
      </c>
      <c r="I470" t="n">
        <v>0</v>
      </c>
      <c r="J470" t="n">
        <v>0</v>
      </c>
      <c r="K470" t="n">
        <v>0</v>
      </c>
      <c r="L470" t="n">
        <v>0</v>
      </c>
      <c r="M470" t="n">
        <v>0</v>
      </c>
      <c r="N470" t="n">
        <v>0</v>
      </c>
      <c r="O470" t="n">
        <v>0</v>
      </c>
      <c r="P470" t="n">
        <v>0</v>
      </c>
      <c r="Q470" t="n">
        <v>0</v>
      </c>
      <c r="R470" s="2" t="inlineStr"/>
    </row>
    <row r="471" ht="15" customHeight="1">
      <c r="A471" t="inlineStr">
        <is>
          <t>A 49488-2023</t>
        </is>
      </c>
      <c r="B471" s="1" t="n">
        <v>45211</v>
      </c>
      <c r="C471" s="1" t="n">
        <v>46191</v>
      </c>
      <c r="D471" t="inlineStr">
        <is>
          <t>KALMAR LÄN</t>
        </is>
      </c>
      <c r="E471" t="inlineStr">
        <is>
          <t>VIMMERBY</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29783-2024</t>
        </is>
      </c>
      <c r="B472" s="1" t="n">
        <v>45485</v>
      </c>
      <c r="C472" s="1" t="n">
        <v>46191</v>
      </c>
      <c r="D472" t="inlineStr">
        <is>
          <t>KALMAR LÄN</t>
        </is>
      </c>
      <c r="E472" t="inlineStr">
        <is>
          <t>VIMMERBY</t>
        </is>
      </c>
      <c r="G472" t="n">
        <v>3.1</v>
      </c>
      <c r="H472" t="n">
        <v>0</v>
      </c>
      <c r="I472" t="n">
        <v>0</v>
      </c>
      <c r="J472" t="n">
        <v>0</v>
      </c>
      <c r="K472" t="n">
        <v>0</v>
      </c>
      <c r="L472" t="n">
        <v>0</v>
      </c>
      <c r="M472" t="n">
        <v>0</v>
      </c>
      <c r="N472" t="n">
        <v>0</v>
      </c>
      <c r="O472" t="n">
        <v>0</v>
      </c>
      <c r="P472" t="n">
        <v>0</v>
      </c>
      <c r="Q472" t="n">
        <v>0</v>
      </c>
      <c r="R472" s="2" t="inlineStr"/>
    </row>
    <row r="473" ht="15" customHeight="1">
      <c r="A473" t="inlineStr">
        <is>
          <t>A 46118-2025</t>
        </is>
      </c>
      <c r="B473" s="1" t="n">
        <v>45924</v>
      </c>
      <c r="C473" s="1" t="n">
        <v>46191</v>
      </c>
      <c r="D473" t="inlineStr">
        <is>
          <t>KALMAR LÄN</t>
        </is>
      </c>
      <c r="E473" t="inlineStr">
        <is>
          <t>VIMMERBY</t>
        </is>
      </c>
      <c r="G473" t="n">
        <v>2.9</v>
      </c>
      <c r="H473" t="n">
        <v>0</v>
      </c>
      <c r="I473" t="n">
        <v>0</v>
      </c>
      <c r="J473" t="n">
        <v>0</v>
      </c>
      <c r="K473" t="n">
        <v>0</v>
      </c>
      <c r="L473" t="n">
        <v>0</v>
      </c>
      <c r="M473" t="n">
        <v>0</v>
      </c>
      <c r="N473" t="n">
        <v>0</v>
      </c>
      <c r="O473" t="n">
        <v>0</v>
      </c>
      <c r="P473" t="n">
        <v>0</v>
      </c>
      <c r="Q473" t="n">
        <v>0</v>
      </c>
      <c r="R473" s="2" t="inlineStr"/>
    </row>
    <row r="474" ht="15" customHeight="1">
      <c r="A474" t="inlineStr">
        <is>
          <t>A 62023-2022</t>
        </is>
      </c>
      <c r="B474" s="1" t="n">
        <v>44918</v>
      </c>
      <c r="C474" s="1" t="n">
        <v>46191</v>
      </c>
      <c r="D474" t="inlineStr">
        <is>
          <t>KALMAR LÄN</t>
        </is>
      </c>
      <c r="E474" t="inlineStr">
        <is>
          <t>VIMMERBY</t>
        </is>
      </c>
      <c r="G474" t="n">
        <v>0.3</v>
      </c>
      <c r="H474" t="n">
        <v>0</v>
      </c>
      <c r="I474" t="n">
        <v>0</v>
      </c>
      <c r="J474" t="n">
        <v>0</v>
      </c>
      <c r="K474" t="n">
        <v>0</v>
      </c>
      <c r="L474" t="n">
        <v>0</v>
      </c>
      <c r="M474" t="n">
        <v>0</v>
      </c>
      <c r="N474" t="n">
        <v>0</v>
      </c>
      <c r="O474" t="n">
        <v>0</v>
      </c>
      <c r="P474" t="n">
        <v>0</v>
      </c>
      <c r="Q474" t="n">
        <v>0</v>
      </c>
      <c r="R474" s="2" t="inlineStr"/>
    </row>
    <row r="475" ht="15" customHeight="1">
      <c r="A475" t="inlineStr">
        <is>
          <t>A 1743-2026</t>
        </is>
      </c>
      <c r="B475" s="1" t="n">
        <v>46034</v>
      </c>
      <c r="C475" s="1" t="n">
        <v>46191</v>
      </c>
      <c r="D475" t="inlineStr">
        <is>
          <t>KALMAR LÄN</t>
        </is>
      </c>
      <c r="E475" t="inlineStr">
        <is>
          <t>VIMMERBY</t>
        </is>
      </c>
      <c r="G475" t="n">
        <v>0.9</v>
      </c>
      <c r="H475" t="n">
        <v>0</v>
      </c>
      <c r="I475" t="n">
        <v>0</v>
      </c>
      <c r="J475" t="n">
        <v>0</v>
      </c>
      <c r="K475" t="n">
        <v>0</v>
      </c>
      <c r="L475" t="n">
        <v>0</v>
      </c>
      <c r="M475" t="n">
        <v>0</v>
      </c>
      <c r="N475" t="n">
        <v>0</v>
      </c>
      <c r="O475" t="n">
        <v>0</v>
      </c>
      <c r="P475" t="n">
        <v>0</v>
      </c>
      <c r="Q475" t="n">
        <v>0</v>
      </c>
      <c r="R475" s="2" t="inlineStr"/>
    </row>
    <row r="476" ht="15" customHeight="1">
      <c r="A476" t="inlineStr">
        <is>
          <t>A 45854-2025</t>
        </is>
      </c>
      <c r="B476" s="1" t="n">
        <v>45923</v>
      </c>
      <c r="C476" s="1" t="n">
        <v>46191</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72067-2021</t>
        </is>
      </c>
      <c r="B477" s="1" t="n">
        <v>44540</v>
      </c>
      <c r="C477" s="1" t="n">
        <v>46191</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1748-2026</t>
        </is>
      </c>
      <c r="B478" s="1" t="n">
        <v>46034</v>
      </c>
      <c r="C478" s="1" t="n">
        <v>46191</v>
      </c>
      <c r="D478" t="inlineStr">
        <is>
          <t>KALMAR LÄN</t>
        </is>
      </c>
      <c r="E478" t="inlineStr">
        <is>
          <t>VIMMERBY</t>
        </is>
      </c>
      <c r="G478" t="n">
        <v>0.9</v>
      </c>
      <c r="H478" t="n">
        <v>0</v>
      </c>
      <c r="I478" t="n">
        <v>0</v>
      </c>
      <c r="J478" t="n">
        <v>0</v>
      </c>
      <c r="K478" t="n">
        <v>0</v>
      </c>
      <c r="L478" t="n">
        <v>0</v>
      </c>
      <c r="M478" t="n">
        <v>0</v>
      </c>
      <c r="N478" t="n">
        <v>0</v>
      </c>
      <c r="O478" t="n">
        <v>0</v>
      </c>
      <c r="P478" t="n">
        <v>0</v>
      </c>
      <c r="Q478" t="n">
        <v>0</v>
      </c>
      <c r="R478" s="2" t="inlineStr"/>
    </row>
    <row r="479" ht="15" customHeight="1">
      <c r="A479" t="inlineStr">
        <is>
          <t>A 60215-2022</t>
        </is>
      </c>
      <c r="B479" s="1" t="n">
        <v>44910</v>
      </c>
      <c r="C479" s="1" t="n">
        <v>46191</v>
      </c>
      <c r="D479" t="inlineStr">
        <is>
          <t>KALMAR LÄN</t>
        </is>
      </c>
      <c r="E479" t="inlineStr">
        <is>
          <t>VIMMERBY</t>
        </is>
      </c>
      <c r="G479" t="n">
        <v>1.1</v>
      </c>
      <c r="H479" t="n">
        <v>0</v>
      </c>
      <c r="I479" t="n">
        <v>0</v>
      </c>
      <c r="J479" t="n">
        <v>0</v>
      </c>
      <c r="K479" t="n">
        <v>0</v>
      </c>
      <c r="L479" t="n">
        <v>0</v>
      </c>
      <c r="M479" t="n">
        <v>0</v>
      </c>
      <c r="N479" t="n">
        <v>0</v>
      </c>
      <c r="O479" t="n">
        <v>0</v>
      </c>
      <c r="P479" t="n">
        <v>0</v>
      </c>
      <c r="Q479" t="n">
        <v>0</v>
      </c>
      <c r="R479" s="2" t="inlineStr"/>
    </row>
    <row r="480" ht="15" customHeight="1">
      <c r="A480" t="inlineStr">
        <is>
          <t>A 58104-2024</t>
        </is>
      </c>
      <c r="B480" s="1" t="n">
        <v>45632</v>
      </c>
      <c r="C480" s="1" t="n">
        <v>46191</v>
      </c>
      <c r="D480" t="inlineStr">
        <is>
          <t>KALMAR LÄN</t>
        </is>
      </c>
      <c r="E480" t="inlineStr">
        <is>
          <t>VIMMERBY</t>
        </is>
      </c>
      <c r="G480" t="n">
        <v>5</v>
      </c>
      <c r="H480" t="n">
        <v>0</v>
      </c>
      <c r="I480" t="n">
        <v>0</v>
      </c>
      <c r="J480" t="n">
        <v>0</v>
      </c>
      <c r="K480" t="n">
        <v>0</v>
      </c>
      <c r="L480" t="n">
        <v>0</v>
      </c>
      <c r="M480" t="n">
        <v>0</v>
      </c>
      <c r="N480" t="n">
        <v>0</v>
      </c>
      <c r="O480" t="n">
        <v>0</v>
      </c>
      <c r="P480" t="n">
        <v>0</v>
      </c>
      <c r="Q480" t="n">
        <v>0</v>
      </c>
      <c r="R480" s="2" t="inlineStr"/>
    </row>
    <row r="481" ht="15" customHeight="1">
      <c r="A481" t="inlineStr">
        <is>
          <t>A 41158-2023</t>
        </is>
      </c>
      <c r="B481" s="1" t="n">
        <v>45174</v>
      </c>
      <c r="C481" s="1" t="n">
        <v>46191</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12215-2024</t>
        </is>
      </c>
      <c r="B482" s="1" t="n">
        <v>45378</v>
      </c>
      <c r="C482" s="1" t="n">
        <v>46191</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30920-2024</t>
        </is>
      </c>
      <c r="B483" s="1" t="n">
        <v>45498</v>
      </c>
      <c r="C483" s="1" t="n">
        <v>46191</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56536-2022</t>
        </is>
      </c>
      <c r="B484" s="1" t="n">
        <v>44893</v>
      </c>
      <c r="C484" s="1" t="n">
        <v>46191</v>
      </c>
      <c r="D484" t="inlineStr">
        <is>
          <t>KALMAR LÄN</t>
        </is>
      </c>
      <c r="E484" t="inlineStr">
        <is>
          <t>VIMMERBY</t>
        </is>
      </c>
      <c r="G484" t="n">
        <v>3.2</v>
      </c>
      <c r="H484" t="n">
        <v>0</v>
      </c>
      <c r="I484" t="n">
        <v>0</v>
      </c>
      <c r="J484" t="n">
        <v>0</v>
      </c>
      <c r="K484" t="n">
        <v>0</v>
      </c>
      <c r="L484" t="n">
        <v>0</v>
      </c>
      <c r="M484" t="n">
        <v>0</v>
      </c>
      <c r="N484" t="n">
        <v>0</v>
      </c>
      <c r="O484" t="n">
        <v>0</v>
      </c>
      <c r="P484" t="n">
        <v>0</v>
      </c>
      <c r="Q484" t="n">
        <v>0</v>
      </c>
      <c r="R484" s="2" t="inlineStr"/>
    </row>
    <row r="485" ht="15" customHeight="1">
      <c r="A485" t="inlineStr">
        <is>
          <t>A 63541-2023</t>
        </is>
      </c>
      <c r="B485" s="1" t="n">
        <v>45275</v>
      </c>
      <c r="C485" s="1" t="n">
        <v>46191</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37323-2024</t>
        </is>
      </c>
      <c r="B486" s="1" t="n">
        <v>45540</v>
      </c>
      <c r="C486" s="1" t="n">
        <v>46191</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1862-2026</t>
        </is>
      </c>
      <c r="B487" s="1" t="n">
        <v>46035</v>
      </c>
      <c r="C487" s="1" t="n">
        <v>46191</v>
      </c>
      <c r="D487" t="inlineStr">
        <is>
          <t>KALMAR LÄN</t>
        </is>
      </c>
      <c r="E487" t="inlineStr">
        <is>
          <t>VIMMERBY</t>
        </is>
      </c>
      <c r="G487" t="n">
        <v>3.1</v>
      </c>
      <c r="H487" t="n">
        <v>0</v>
      </c>
      <c r="I487" t="n">
        <v>0</v>
      </c>
      <c r="J487" t="n">
        <v>0</v>
      </c>
      <c r="K487" t="n">
        <v>0</v>
      </c>
      <c r="L487" t="n">
        <v>0</v>
      </c>
      <c r="M487" t="n">
        <v>0</v>
      </c>
      <c r="N487" t="n">
        <v>0</v>
      </c>
      <c r="O487" t="n">
        <v>0</v>
      </c>
      <c r="P487" t="n">
        <v>0</v>
      </c>
      <c r="Q487" t="n">
        <v>0</v>
      </c>
      <c r="R487" s="2" t="inlineStr"/>
    </row>
    <row r="488" ht="15" customHeight="1">
      <c r="A488" t="inlineStr">
        <is>
          <t>A 20-2025</t>
        </is>
      </c>
      <c r="B488" s="1" t="n">
        <v>45658</v>
      </c>
      <c r="C488" s="1" t="n">
        <v>46191</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9511-2023</t>
        </is>
      </c>
      <c r="B489" s="1" t="n">
        <v>44981</v>
      </c>
      <c r="C489" s="1" t="n">
        <v>46191</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6028-2023</t>
        </is>
      </c>
      <c r="B490" s="1" t="n">
        <v>44964</v>
      </c>
      <c r="C490" s="1" t="n">
        <v>46191</v>
      </c>
      <c r="D490" t="inlineStr">
        <is>
          <t>KALMAR LÄN</t>
        </is>
      </c>
      <c r="E490" t="inlineStr">
        <is>
          <t>VIMMERBY</t>
        </is>
      </c>
      <c r="G490" t="n">
        <v>2.5</v>
      </c>
      <c r="H490" t="n">
        <v>0</v>
      </c>
      <c r="I490" t="n">
        <v>0</v>
      </c>
      <c r="J490" t="n">
        <v>0</v>
      </c>
      <c r="K490" t="n">
        <v>0</v>
      </c>
      <c r="L490" t="n">
        <v>0</v>
      </c>
      <c r="M490" t="n">
        <v>0</v>
      </c>
      <c r="N490" t="n">
        <v>0</v>
      </c>
      <c r="O490" t="n">
        <v>0</v>
      </c>
      <c r="P490" t="n">
        <v>0</v>
      </c>
      <c r="Q490" t="n">
        <v>0</v>
      </c>
      <c r="R490" s="2" t="inlineStr"/>
    </row>
    <row r="491" ht="15" customHeight="1">
      <c r="A491" t="inlineStr">
        <is>
          <t>A 11429-2022</t>
        </is>
      </c>
      <c r="B491" s="1" t="n">
        <v>44630</v>
      </c>
      <c r="C491" s="1" t="n">
        <v>46191</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56582-2022</t>
        </is>
      </c>
      <c r="B492" s="1" t="n">
        <v>44893</v>
      </c>
      <c r="C492" s="1" t="n">
        <v>46191</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6408-2025</t>
        </is>
      </c>
      <c r="B493" s="1" t="n">
        <v>45699</v>
      </c>
      <c r="C493" s="1" t="n">
        <v>46191</v>
      </c>
      <c r="D493" t="inlineStr">
        <is>
          <t>KALMAR LÄN</t>
        </is>
      </c>
      <c r="E493" t="inlineStr">
        <is>
          <t>VIMMERBY</t>
        </is>
      </c>
      <c r="G493" t="n">
        <v>1</v>
      </c>
      <c r="H493" t="n">
        <v>0</v>
      </c>
      <c r="I493" t="n">
        <v>0</v>
      </c>
      <c r="J493" t="n">
        <v>0</v>
      </c>
      <c r="K493" t="n">
        <v>0</v>
      </c>
      <c r="L493" t="n">
        <v>0</v>
      </c>
      <c r="M493" t="n">
        <v>0</v>
      </c>
      <c r="N493" t="n">
        <v>0</v>
      </c>
      <c r="O493" t="n">
        <v>0</v>
      </c>
      <c r="P493" t="n">
        <v>0</v>
      </c>
      <c r="Q493" t="n">
        <v>0</v>
      </c>
      <c r="R493" s="2" t="inlineStr"/>
    </row>
    <row r="494" ht="15" customHeight="1">
      <c r="A494" t="inlineStr">
        <is>
          <t>A 11609-2023</t>
        </is>
      </c>
      <c r="B494" s="1" t="n">
        <v>44994</v>
      </c>
      <c r="C494" s="1" t="n">
        <v>46191</v>
      </c>
      <c r="D494" t="inlineStr">
        <is>
          <t>KALMAR LÄN</t>
        </is>
      </c>
      <c r="E494" t="inlineStr">
        <is>
          <t>VIMMERBY</t>
        </is>
      </c>
      <c r="G494" t="n">
        <v>4.9</v>
      </c>
      <c r="H494" t="n">
        <v>0</v>
      </c>
      <c r="I494" t="n">
        <v>0</v>
      </c>
      <c r="J494" t="n">
        <v>0</v>
      </c>
      <c r="K494" t="n">
        <v>0</v>
      </c>
      <c r="L494" t="n">
        <v>0</v>
      </c>
      <c r="M494" t="n">
        <v>0</v>
      </c>
      <c r="N494" t="n">
        <v>0</v>
      </c>
      <c r="O494" t="n">
        <v>0</v>
      </c>
      <c r="P494" t="n">
        <v>0</v>
      </c>
      <c r="Q494" t="n">
        <v>0</v>
      </c>
      <c r="R494" s="2" t="inlineStr"/>
    </row>
    <row r="495" ht="15" customHeight="1">
      <c r="A495" t="inlineStr">
        <is>
          <t>A 44464-2024</t>
        </is>
      </c>
      <c r="B495" s="1" t="n">
        <v>45574</v>
      </c>
      <c r="C495" s="1" t="n">
        <v>46191</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41066-2024</t>
        </is>
      </c>
      <c r="B496" s="1" t="n">
        <v>45559</v>
      </c>
      <c r="C496" s="1" t="n">
        <v>46191</v>
      </c>
      <c r="D496" t="inlineStr">
        <is>
          <t>KALMAR LÄN</t>
        </is>
      </c>
      <c r="E496" t="inlineStr">
        <is>
          <t>VIMMERBY</t>
        </is>
      </c>
      <c r="G496" t="n">
        <v>2.4</v>
      </c>
      <c r="H496" t="n">
        <v>0</v>
      </c>
      <c r="I496" t="n">
        <v>0</v>
      </c>
      <c r="J496" t="n">
        <v>0</v>
      </c>
      <c r="K496" t="n">
        <v>0</v>
      </c>
      <c r="L496" t="n">
        <v>0</v>
      </c>
      <c r="M496" t="n">
        <v>0</v>
      </c>
      <c r="N496" t="n">
        <v>0</v>
      </c>
      <c r="O496" t="n">
        <v>0</v>
      </c>
      <c r="P496" t="n">
        <v>0</v>
      </c>
      <c r="Q496" t="n">
        <v>0</v>
      </c>
      <c r="R496" s="2" t="inlineStr"/>
    </row>
    <row r="497" ht="15" customHeight="1">
      <c r="A497" t="inlineStr">
        <is>
          <t>A 3816-2022</t>
        </is>
      </c>
      <c r="B497" s="1" t="n">
        <v>44587</v>
      </c>
      <c r="C497" s="1" t="n">
        <v>46191</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1081-2023</t>
        </is>
      </c>
      <c r="B498" s="1" t="n">
        <v>44935</v>
      </c>
      <c r="C498" s="1" t="n">
        <v>46191</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7047-2022</t>
        </is>
      </c>
      <c r="B499" s="1" t="n">
        <v>44603</v>
      </c>
      <c r="C499" s="1" t="n">
        <v>46191</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12499-2023</t>
        </is>
      </c>
      <c r="B500" s="1" t="n">
        <v>44999</v>
      </c>
      <c r="C500" s="1" t="n">
        <v>46191</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12500-2023</t>
        </is>
      </c>
      <c r="B501" s="1" t="n">
        <v>44999</v>
      </c>
      <c r="C501" s="1" t="n">
        <v>46191</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6066-2023</t>
        </is>
      </c>
      <c r="B502" s="1" t="n">
        <v>44964</v>
      </c>
      <c r="C502" s="1" t="n">
        <v>46191</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33103-2024</t>
        </is>
      </c>
      <c r="B503" s="1" t="n">
        <v>45517</v>
      </c>
      <c r="C503" s="1" t="n">
        <v>46191</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12510-2022</t>
        </is>
      </c>
      <c r="B504" s="1" t="n">
        <v>44638</v>
      </c>
      <c r="C504" s="1" t="n">
        <v>46191</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1146-2025</t>
        </is>
      </c>
      <c r="B505" s="1" t="n">
        <v>45666</v>
      </c>
      <c r="C505" s="1" t="n">
        <v>46191</v>
      </c>
      <c r="D505" t="inlineStr">
        <is>
          <t>KALMAR LÄN</t>
        </is>
      </c>
      <c r="E505" t="inlineStr">
        <is>
          <t>VIMMERBY</t>
        </is>
      </c>
      <c r="G505" t="n">
        <v>4</v>
      </c>
      <c r="H505" t="n">
        <v>0</v>
      </c>
      <c r="I505" t="n">
        <v>0</v>
      </c>
      <c r="J505" t="n">
        <v>0</v>
      </c>
      <c r="K505" t="n">
        <v>0</v>
      </c>
      <c r="L505" t="n">
        <v>0</v>
      </c>
      <c r="M505" t="n">
        <v>0</v>
      </c>
      <c r="N505" t="n">
        <v>0</v>
      </c>
      <c r="O505" t="n">
        <v>0</v>
      </c>
      <c r="P505" t="n">
        <v>0</v>
      </c>
      <c r="Q505" t="n">
        <v>0</v>
      </c>
      <c r="R505" s="2" t="inlineStr"/>
    </row>
    <row r="506" ht="15" customHeight="1">
      <c r="A506" t="inlineStr">
        <is>
          <t>A 12890-2023</t>
        </is>
      </c>
      <c r="B506" s="1" t="n">
        <v>45001</v>
      </c>
      <c r="C506" s="1" t="n">
        <v>46191</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42850-2022</t>
        </is>
      </c>
      <c r="B507" s="1" t="n">
        <v>44832</v>
      </c>
      <c r="C507" s="1" t="n">
        <v>46191</v>
      </c>
      <c r="D507" t="inlineStr">
        <is>
          <t>KALMAR LÄN</t>
        </is>
      </c>
      <c r="E507" t="inlineStr">
        <is>
          <t>VIMMERBY</t>
        </is>
      </c>
      <c r="G507" t="n">
        <v>5.9</v>
      </c>
      <c r="H507" t="n">
        <v>0</v>
      </c>
      <c r="I507" t="n">
        <v>0</v>
      </c>
      <c r="J507" t="n">
        <v>0</v>
      </c>
      <c r="K507" t="n">
        <v>0</v>
      </c>
      <c r="L507" t="n">
        <v>0</v>
      </c>
      <c r="M507" t="n">
        <v>0</v>
      </c>
      <c r="N507" t="n">
        <v>0</v>
      </c>
      <c r="O507" t="n">
        <v>0</v>
      </c>
      <c r="P507" t="n">
        <v>0</v>
      </c>
      <c r="Q507" t="n">
        <v>0</v>
      </c>
      <c r="R507" s="2" t="inlineStr"/>
    </row>
    <row r="508" ht="15" customHeight="1">
      <c r="A508" t="inlineStr">
        <is>
          <t>A 34205-2023</t>
        </is>
      </c>
      <c r="B508" s="1" t="n">
        <v>45138</v>
      </c>
      <c r="C508" s="1" t="n">
        <v>46191</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3902-2022</t>
        </is>
      </c>
      <c r="B509" s="1" t="n">
        <v>44587</v>
      </c>
      <c r="C509" s="1" t="n">
        <v>46191</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89-2023</t>
        </is>
      </c>
      <c r="B510" s="1" t="n">
        <v>44918</v>
      </c>
      <c r="C510" s="1" t="n">
        <v>46191</v>
      </c>
      <c r="D510" t="inlineStr">
        <is>
          <t>KALMAR LÄN</t>
        </is>
      </c>
      <c r="E510" t="inlineStr">
        <is>
          <t>VIMMERBY</t>
        </is>
      </c>
      <c r="G510" t="n">
        <v>16.1</v>
      </c>
      <c r="H510" t="n">
        <v>0</v>
      </c>
      <c r="I510" t="n">
        <v>0</v>
      </c>
      <c r="J510" t="n">
        <v>0</v>
      </c>
      <c r="K510" t="n">
        <v>0</v>
      </c>
      <c r="L510" t="n">
        <v>0</v>
      </c>
      <c r="M510" t="n">
        <v>0</v>
      </c>
      <c r="N510" t="n">
        <v>0</v>
      </c>
      <c r="O510" t="n">
        <v>0</v>
      </c>
      <c r="P510" t="n">
        <v>0</v>
      </c>
      <c r="Q510" t="n">
        <v>0</v>
      </c>
      <c r="R510" s="2" t="inlineStr"/>
    </row>
    <row r="511" ht="15" customHeight="1">
      <c r="A511" t="inlineStr">
        <is>
          <t>A 5382-2023</t>
        </is>
      </c>
      <c r="B511" s="1" t="n">
        <v>44959</v>
      </c>
      <c r="C511" s="1" t="n">
        <v>46191</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6668-2023</t>
        </is>
      </c>
      <c r="B512" s="1" t="n">
        <v>44966</v>
      </c>
      <c r="C512" s="1" t="n">
        <v>46191</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26254-2025</t>
        </is>
      </c>
      <c r="B513" s="1" t="n">
        <v>45805</v>
      </c>
      <c r="C513" s="1" t="n">
        <v>46191</v>
      </c>
      <c r="D513" t="inlineStr">
        <is>
          <t>KALMAR LÄN</t>
        </is>
      </c>
      <c r="E513" t="inlineStr">
        <is>
          <t>VIMMERBY</t>
        </is>
      </c>
      <c r="G513" t="n">
        <v>2</v>
      </c>
      <c r="H513" t="n">
        <v>0</v>
      </c>
      <c r="I513" t="n">
        <v>0</v>
      </c>
      <c r="J513" t="n">
        <v>0</v>
      </c>
      <c r="K513" t="n">
        <v>0</v>
      </c>
      <c r="L513" t="n">
        <v>0</v>
      </c>
      <c r="M513" t="n">
        <v>0</v>
      </c>
      <c r="N513" t="n">
        <v>0</v>
      </c>
      <c r="O513" t="n">
        <v>0</v>
      </c>
      <c r="P513" t="n">
        <v>0</v>
      </c>
      <c r="Q513" t="n">
        <v>0</v>
      </c>
      <c r="R513" s="2" t="inlineStr"/>
    </row>
    <row r="514" ht="15" customHeight="1">
      <c r="A514" t="inlineStr">
        <is>
          <t>A 30634-2024</t>
        </is>
      </c>
      <c r="B514" s="1" t="n">
        <v>45495</v>
      </c>
      <c r="C514" s="1" t="n">
        <v>46191</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6355-2022</t>
        </is>
      </c>
      <c r="B515" s="1" t="n">
        <v>44600</v>
      </c>
      <c r="C515" s="1" t="n">
        <v>46191</v>
      </c>
      <c r="D515" t="inlineStr">
        <is>
          <t>KALMAR LÄN</t>
        </is>
      </c>
      <c r="E515" t="inlineStr">
        <is>
          <t>VIMMERBY</t>
        </is>
      </c>
      <c r="G515" t="n">
        <v>4.9</v>
      </c>
      <c r="H515" t="n">
        <v>0</v>
      </c>
      <c r="I515" t="n">
        <v>0</v>
      </c>
      <c r="J515" t="n">
        <v>0</v>
      </c>
      <c r="K515" t="n">
        <v>0</v>
      </c>
      <c r="L515" t="n">
        <v>0</v>
      </c>
      <c r="M515" t="n">
        <v>0</v>
      </c>
      <c r="N515" t="n">
        <v>0</v>
      </c>
      <c r="O515" t="n">
        <v>0</v>
      </c>
      <c r="P515" t="n">
        <v>0</v>
      </c>
      <c r="Q515" t="n">
        <v>0</v>
      </c>
      <c r="R515" s="2" t="inlineStr"/>
    </row>
    <row r="516" ht="15" customHeight="1">
      <c r="A516" t="inlineStr">
        <is>
          <t>A 16020-2023</t>
        </is>
      </c>
      <c r="B516" s="1" t="n">
        <v>45026</v>
      </c>
      <c r="C516" s="1" t="n">
        <v>46191</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57091-2022</t>
        </is>
      </c>
      <c r="B517" s="1" t="n">
        <v>44895</v>
      </c>
      <c r="C517" s="1" t="n">
        <v>46191</v>
      </c>
      <c r="D517" t="inlineStr">
        <is>
          <t>KALMAR LÄN</t>
        </is>
      </c>
      <c r="E517" t="inlineStr">
        <is>
          <t>VIMMERBY</t>
        </is>
      </c>
      <c r="G517" t="n">
        <v>2.6</v>
      </c>
      <c r="H517" t="n">
        <v>0</v>
      </c>
      <c r="I517" t="n">
        <v>0</v>
      </c>
      <c r="J517" t="n">
        <v>0</v>
      </c>
      <c r="K517" t="n">
        <v>0</v>
      </c>
      <c r="L517" t="n">
        <v>0</v>
      </c>
      <c r="M517" t="n">
        <v>0</v>
      </c>
      <c r="N517" t="n">
        <v>0</v>
      </c>
      <c r="O517" t="n">
        <v>0</v>
      </c>
      <c r="P517" t="n">
        <v>0</v>
      </c>
      <c r="Q517" t="n">
        <v>0</v>
      </c>
      <c r="R517" s="2" t="inlineStr"/>
    </row>
    <row r="518" ht="15" customHeight="1">
      <c r="A518" t="inlineStr">
        <is>
          <t>A 60292-2022</t>
        </is>
      </c>
      <c r="B518" s="1" t="n">
        <v>44910</v>
      </c>
      <c r="C518" s="1" t="n">
        <v>46191</v>
      </c>
      <c r="D518" t="inlineStr">
        <is>
          <t>KALMAR LÄN</t>
        </is>
      </c>
      <c r="E518" t="inlineStr">
        <is>
          <t>VIMMERBY</t>
        </is>
      </c>
      <c r="G518" t="n">
        <v>4.4</v>
      </c>
      <c r="H518" t="n">
        <v>0</v>
      </c>
      <c r="I518" t="n">
        <v>0</v>
      </c>
      <c r="J518" t="n">
        <v>0</v>
      </c>
      <c r="K518" t="n">
        <v>0</v>
      </c>
      <c r="L518" t="n">
        <v>0</v>
      </c>
      <c r="M518" t="n">
        <v>0</v>
      </c>
      <c r="N518" t="n">
        <v>0</v>
      </c>
      <c r="O518" t="n">
        <v>0</v>
      </c>
      <c r="P518" t="n">
        <v>0</v>
      </c>
      <c r="Q518" t="n">
        <v>0</v>
      </c>
      <c r="R518" s="2" t="inlineStr"/>
    </row>
    <row r="519" ht="15" customHeight="1">
      <c r="A519" t="inlineStr">
        <is>
          <t>A 6807-2025</t>
        </is>
      </c>
      <c r="B519" s="1" t="n">
        <v>45700</v>
      </c>
      <c r="C519" s="1" t="n">
        <v>46191</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38851-2023</t>
        </is>
      </c>
      <c r="B520" s="1" t="n">
        <v>45163</v>
      </c>
      <c r="C520" s="1" t="n">
        <v>46191</v>
      </c>
      <c r="D520" t="inlineStr">
        <is>
          <t>KALMAR LÄN</t>
        </is>
      </c>
      <c r="E520" t="inlineStr">
        <is>
          <t>VIMMERBY</t>
        </is>
      </c>
      <c r="G520" t="n">
        <v>4.3</v>
      </c>
      <c r="H520" t="n">
        <v>0</v>
      </c>
      <c r="I520" t="n">
        <v>0</v>
      </c>
      <c r="J520" t="n">
        <v>0</v>
      </c>
      <c r="K520" t="n">
        <v>0</v>
      </c>
      <c r="L520" t="n">
        <v>0</v>
      </c>
      <c r="M520" t="n">
        <v>0</v>
      </c>
      <c r="N520" t="n">
        <v>0</v>
      </c>
      <c r="O520" t="n">
        <v>0</v>
      </c>
      <c r="P520" t="n">
        <v>0</v>
      </c>
      <c r="Q520" t="n">
        <v>0</v>
      </c>
      <c r="R520" s="2" t="inlineStr"/>
    </row>
    <row r="521" ht="15" customHeight="1">
      <c r="A521" t="inlineStr">
        <is>
          <t>A 43034-2024</t>
        </is>
      </c>
      <c r="B521" s="1" t="n">
        <v>45567</v>
      </c>
      <c r="C521" s="1" t="n">
        <v>46191</v>
      </c>
      <c r="D521" t="inlineStr">
        <is>
          <t>KALMAR LÄN</t>
        </is>
      </c>
      <c r="E521" t="inlineStr">
        <is>
          <t>VIMMERBY</t>
        </is>
      </c>
      <c r="G521" t="n">
        <v>1.8</v>
      </c>
      <c r="H521" t="n">
        <v>0</v>
      </c>
      <c r="I521" t="n">
        <v>0</v>
      </c>
      <c r="J521" t="n">
        <v>0</v>
      </c>
      <c r="K521" t="n">
        <v>0</v>
      </c>
      <c r="L521" t="n">
        <v>0</v>
      </c>
      <c r="M521" t="n">
        <v>0</v>
      </c>
      <c r="N521" t="n">
        <v>0</v>
      </c>
      <c r="O521" t="n">
        <v>0</v>
      </c>
      <c r="P521" t="n">
        <v>0</v>
      </c>
      <c r="Q521" t="n">
        <v>0</v>
      </c>
      <c r="R521" s="2" t="inlineStr"/>
    </row>
    <row r="522" ht="15" customHeight="1">
      <c r="A522" t="inlineStr">
        <is>
          <t>A 40256-2024</t>
        </is>
      </c>
      <c r="B522" s="1" t="n">
        <v>45554</v>
      </c>
      <c r="C522" s="1" t="n">
        <v>46191</v>
      </c>
      <c r="D522" t="inlineStr">
        <is>
          <t>KALMAR LÄN</t>
        </is>
      </c>
      <c r="E522" t="inlineStr">
        <is>
          <t>VIMMERBY</t>
        </is>
      </c>
      <c r="G522" t="n">
        <v>0.9</v>
      </c>
      <c r="H522" t="n">
        <v>0</v>
      </c>
      <c r="I522" t="n">
        <v>0</v>
      </c>
      <c r="J522" t="n">
        <v>0</v>
      </c>
      <c r="K522" t="n">
        <v>0</v>
      </c>
      <c r="L522" t="n">
        <v>0</v>
      </c>
      <c r="M522" t="n">
        <v>0</v>
      </c>
      <c r="N522" t="n">
        <v>0</v>
      </c>
      <c r="O522" t="n">
        <v>0</v>
      </c>
      <c r="P522" t="n">
        <v>0</v>
      </c>
      <c r="Q522" t="n">
        <v>0</v>
      </c>
      <c r="R522" s="2" t="inlineStr"/>
    </row>
    <row r="523" ht="15" customHeight="1">
      <c r="A523" t="inlineStr">
        <is>
          <t>A 23252-2024</t>
        </is>
      </c>
      <c r="B523" s="1" t="n">
        <v>45453</v>
      </c>
      <c r="C523" s="1" t="n">
        <v>46191</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43093-2024</t>
        </is>
      </c>
      <c r="B524" s="1" t="n">
        <v>45567</v>
      </c>
      <c r="C524" s="1" t="n">
        <v>46191</v>
      </c>
      <c r="D524" t="inlineStr">
        <is>
          <t>KALMAR LÄN</t>
        </is>
      </c>
      <c r="E524" t="inlineStr">
        <is>
          <t>VIMMERBY</t>
        </is>
      </c>
      <c r="G524" t="n">
        <v>0.7</v>
      </c>
      <c r="H524" t="n">
        <v>0</v>
      </c>
      <c r="I524" t="n">
        <v>0</v>
      </c>
      <c r="J524" t="n">
        <v>0</v>
      </c>
      <c r="K524" t="n">
        <v>0</v>
      </c>
      <c r="L524" t="n">
        <v>0</v>
      </c>
      <c r="M524" t="n">
        <v>0</v>
      </c>
      <c r="N524" t="n">
        <v>0</v>
      </c>
      <c r="O524" t="n">
        <v>0</v>
      </c>
      <c r="P524" t="n">
        <v>0</v>
      </c>
      <c r="Q524" t="n">
        <v>0</v>
      </c>
      <c r="R524" s="2" t="inlineStr"/>
    </row>
    <row r="525" ht="15" customHeight="1">
      <c r="A525" t="inlineStr">
        <is>
          <t>A 5792-2023</t>
        </is>
      </c>
      <c r="B525" s="1" t="n">
        <v>44963</v>
      </c>
      <c r="C525" s="1" t="n">
        <v>46191</v>
      </c>
      <c r="D525" t="inlineStr">
        <is>
          <t>KALMAR LÄN</t>
        </is>
      </c>
      <c r="E525" t="inlineStr">
        <is>
          <t>VIMMERBY</t>
        </is>
      </c>
      <c r="G525" t="n">
        <v>0.5</v>
      </c>
      <c r="H525" t="n">
        <v>0</v>
      </c>
      <c r="I525" t="n">
        <v>0</v>
      </c>
      <c r="J525" t="n">
        <v>0</v>
      </c>
      <c r="K525" t="n">
        <v>0</v>
      </c>
      <c r="L525" t="n">
        <v>0</v>
      </c>
      <c r="M525" t="n">
        <v>0</v>
      </c>
      <c r="N525" t="n">
        <v>0</v>
      </c>
      <c r="O525" t="n">
        <v>0</v>
      </c>
      <c r="P525" t="n">
        <v>0</v>
      </c>
      <c r="Q525" t="n">
        <v>0</v>
      </c>
      <c r="R525" s="2" t="inlineStr"/>
    </row>
    <row r="526" ht="15" customHeight="1">
      <c r="A526" t="inlineStr">
        <is>
          <t>A 2797-2023</t>
        </is>
      </c>
      <c r="B526" s="1" t="n">
        <v>44944</v>
      </c>
      <c r="C526" s="1" t="n">
        <v>46191</v>
      </c>
      <c r="D526" t="inlineStr">
        <is>
          <t>KALMAR LÄN</t>
        </is>
      </c>
      <c r="E526" t="inlineStr">
        <is>
          <t>VIMMERBY</t>
        </is>
      </c>
      <c r="G526" t="n">
        <v>3.4</v>
      </c>
      <c r="H526" t="n">
        <v>0</v>
      </c>
      <c r="I526" t="n">
        <v>0</v>
      </c>
      <c r="J526" t="n">
        <v>0</v>
      </c>
      <c r="K526" t="n">
        <v>0</v>
      </c>
      <c r="L526" t="n">
        <v>0</v>
      </c>
      <c r="M526" t="n">
        <v>0</v>
      </c>
      <c r="N526" t="n">
        <v>0</v>
      </c>
      <c r="O526" t="n">
        <v>0</v>
      </c>
      <c r="P526" t="n">
        <v>0</v>
      </c>
      <c r="Q526" t="n">
        <v>0</v>
      </c>
      <c r="R526" s="2" t="inlineStr"/>
    </row>
    <row r="527" ht="15" customHeight="1">
      <c r="A527" t="inlineStr">
        <is>
          <t>A 2799-2023</t>
        </is>
      </c>
      <c r="B527" s="1" t="n">
        <v>44944</v>
      </c>
      <c r="C527" s="1" t="n">
        <v>46191</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35198-2023</t>
        </is>
      </c>
      <c r="B528" s="1" t="n">
        <v>45145</v>
      </c>
      <c r="C528" s="1" t="n">
        <v>46191</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58278-2023</t>
        </is>
      </c>
      <c r="B529" s="1" t="n">
        <v>45250</v>
      </c>
      <c r="C529" s="1" t="n">
        <v>46191</v>
      </c>
      <c r="D529" t="inlineStr">
        <is>
          <t>KALMAR LÄN</t>
        </is>
      </c>
      <c r="E529" t="inlineStr">
        <is>
          <t>VIMMERBY</t>
        </is>
      </c>
      <c r="G529" t="n">
        <v>1.8</v>
      </c>
      <c r="H529" t="n">
        <v>0</v>
      </c>
      <c r="I529" t="n">
        <v>0</v>
      </c>
      <c r="J529" t="n">
        <v>0</v>
      </c>
      <c r="K529" t="n">
        <v>0</v>
      </c>
      <c r="L529" t="n">
        <v>0</v>
      </c>
      <c r="M529" t="n">
        <v>0</v>
      </c>
      <c r="N529" t="n">
        <v>0</v>
      </c>
      <c r="O529" t="n">
        <v>0</v>
      </c>
      <c r="P529" t="n">
        <v>0</v>
      </c>
      <c r="Q529" t="n">
        <v>0</v>
      </c>
      <c r="R529" s="2" t="inlineStr"/>
    </row>
    <row r="530" ht="15" customHeight="1">
      <c r="A530" t="inlineStr">
        <is>
          <t>A 36259-2022</t>
        </is>
      </c>
      <c r="B530" s="1" t="n">
        <v>44803</v>
      </c>
      <c r="C530" s="1" t="n">
        <v>46191</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36526-2023</t>
        </is>
      </c>
      <c r="B531" s="1" t="n">
        <v>45153</v>
      </c>
      <c r="C531" s="1" t="n">
        <v>46191</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29350-2023</t>
        </is>
      </c>
      <c r="B532" s="1" t="n">
        <v>45106</v>
      </c>
      <c r="C532" s="1" t="n">
        <v>46191</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29351-2023</t>
        </is>
      </c>
      <c r="B533" s="1" t="n">
        <v>45106</v>
      </c>
      <c r="C533" s="1" t="n">
        <v>46191</v>
      </c>
      <c r="D533" t="inlineStr">
        <is>
          <t>KALMAR LÄN</t>
        </is>
      </c>
      <c r="E533" t="inlineStr">
        <is>
          <t>VIMMERBY</t>
        </is>
      </c>
      <c r="G533" t="n">
        <v>0.4</v>
      </c>
      <c r="H533" t="n">
        <v>0</v>
      </c>
      <c r="I533" t="n">
        <v>0</v>
      </c>
      <c r="J533" t="n">
        <v>0</v>
      </c>
      <c r="K533" t="n">
        <v>0</v>
      </c>
      <c r="L533" t="n">
        <v>0</v>
      </c>
      <c r="M533" t="n">
        <v>0</v>
      </c>
      <c r="N533" t="n">
        <v>0</v>
      </c>
      <c r="O533" t="n">
        <v>0</v>
      </c>
      <c r="P533" t="n">
        <v>0</v>
      </c>
      <c r="Q533" t="n">
        <v>0</v>
      </c>
      <c r="R533" s="2" t="inlineStr"/>
    </row>
    <row r="534" ht="15" customHeight="1">
      <c r="A534" t="inlineStr">
        <is>
          <t>A 52465-2025</t>
        </is>
      </c>
      <c r="B534" s="1" t="n">
        <v>45954</v>
      </c>
      <c r="C534" s="1" t="n">
        <v>46191</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26029-2026</t>
        </is>
      </c>
      <c r="B535" s="1" t="n">
        <v>46181</v>
      </c>
      <c r="C535" s="1" t="n">
        <v>46191</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55300-2021</t>
        </is>
      </c>
      <c r="B536" s="1" t="n">
        <v>44475</v>
      </c>
      <c r="C536" s="1" t="n">
        <v>46191</v>
      </c>
      <c r="D536" t="inlineStr">
        <is>
          <t>KALMAR LÄN</t>
        </is>
      </c>
      <c r="E536" t="inlineStr">
        <is>
          <t>VIMMERBY</t>
        </is>
      </c>
      <c r="G536" t="n">
        <v>3.4</v>
      </c>
      <c r="H536" t="n">
        <v>0</v>
      </c>
      <c r="I536" t="n">
        <v>0</v>
      </c>
      <c r="J536" t="n">
        <v>0</v>
      </c>
      <c r="K536" t="n">
        <v>0</v>
      </c>
      <c r="L536" t="n">
        <v>0</v>
      </c>
      <c r="M536" t="n">
        <v>0</v>
      </c>
      <c r="N536" t="n">
        <v>0</v>
      </c>
      <c r="O536" t="n">
        <v>0</v>
      </c>
      <c r="P536" t="n">
        <v>0</v>
      </c>
      <c r="Q536" t="n">
        <v>0</v>
      </c>
      <c r="R536" s="2" t="inlineStr"/>
    </row>
    <row r="537" ht="15" customHeight="1">
      <c r="A537" t="inlineStr">
        <is>
          <t>A 6474-2025</t>
        </is>
      </c>
      <c r="B537" s="1" t="n">
        <v>45699</v>
      </c>
      <c r="C537" s="1" t="n">
        <v>46191</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47263-2023</t>
        </is>
      </c>
      <c r="B538" s="1" t="n">
        <v>45202</v>
      </c>
      <c r="C538" s="1" t="n">
        <v>46191</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57555-2024</t>
        </is>
      </c>
      <c r="B539" s="1" t="n">
        <v>45630</v>
      </c>
      <c r="C539" s="1" t="n">
        <v>46191</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52279-2023</t>
        </is>
      </c>
      <c r="B540" s="1" t="n">
        <v>45224</v>
      </c>
      <c r="C540" s="1" t="n">
        <v>46191</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52324-2023</t>
        </is>
      </c>
      <c r="B541" s="1" t="n">
        <v>45224</v>
      </c>
      <c r="C541" s="1" t="n">
        <v>46191</v>
      </c>
      <c r="D541" t="inlineStr">
        <is>
          <t>KALMAR LÄN</t>
        </is>
      </c>
      <c r="E541" t="inlineStr">
        <is>
          <t>VIMMERBY</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2536-2023</t>
        </is>
      </c>
      <c r="B542" s="1" t="n">
        <v>44943</v>
      </c>
      <c r="C542" s="1" t="n">
        <v>46191</v>
      </c>
      <c r="D542" t="inlineStr">
        <is>
          <t>KALMAR LÄN</t>
        </is>
      </c>
      <c r="E542" t="inlineStr">
        <is>
          <t>VIMMERBY</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2801-2023</t>
        </is>
      </c>
      <c r="B543" s="1" t="n">
        <v>44944</v>
      </c>
      <c r="C543" s="1" t="n">
        <v>46191</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40730-2024</t>
        </is>
      </c>
      <c r="B544" s="1" t="n">
        <v>45558</v>
      </c>
      <c r="C544" s="1" t="n">
        <v>46191</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59579-2025</t>
        </is>
      </c>
      <c r="B545" s="1" t="n">
        <v>45992</v>
      </c>
      <c r="C545" s="1" t="n">
        <v>46191</v>
      </c>
      <c r="D545" t="inlineStr">
        <is>
          <t>KALMAR LÄN</t>
        </is>
      </c>
      <c r="E545" t="inlineStr">
        <is>
          <t>VIMMERBY</t>
        </is>
      </c>
      <c r="G545" t="n">
        <v>1.3</v>
      </c>
      <c r="H545" t="n">
        <v>0</v>
      </c>
      <c r="I545" t="n">
        <v>0</v>
      </c>
      <c r="J545" t="n">
        <v>0</v>
      </c>
      <c r="K545" t="n">
        <v>0</v>
      </c>
      <c r="L545" t="n">
        <v>0</v>
      </c>
      <c r="M545" t="n">
        <v>0</v>
      </c>
      <c r="N545" t="n">
        <v>0</v>
      </c>
      <c r="O545" t="n">
        <v>0</v>
      </c>
      <c r="P545" t="n">
        <v>0</v>
      </c>
      <c r="Q545" t="n">
        <v>0</v>
      </c>
      <c r="R545" s="2" t="inlineStr"/>
    </row>
    <row r="546" ht="15" customHeight="1">
      <c r="A546" t="inlineStr">
        <is>
          <t>A 9643-2023</t>
        </is>
      </c>
      <c r="B546" s="1" t="n">
        <v>44984</v>
      </c>
      <c r="C546" s="1" t="n">
        <v>46191</v>
      </c>
      <c r="D546" t="inlineStr">
        <is>
          <t>KALMAR LÄN</t>
        </is>
      </c>
      <c r="E546" t="inlineStr">
        <is>
          <t>VIMMERBY</t>
        </is>
      </c>
      <c r="G546" t="n">
        <v>2</v>
      </c>
      <c r="H546" t="n">
        <v>0</v>
      </c>
      <c r="I546" t="n">
        <v>0</v>
      </c>
      <c r="J546" t="n">
        <v>0</v>
      </c>
      <c r="K546" t="n">
        <v>0</v>
      </c>
      <c r="L546" t="n">
        <v>0</v>
      </c>
      <c r="M546" t="n">
        <v>0</v>
      </c>
      <c r="N546" t="n">
        <v>0</v>
      </c>
      <c r="O546" t="n">
        <v>0</v>
      </c>
      <c r="P546" t="n">
        <v>0</v>
      </c>
      <c r="Q546" t="n">
        <v>0</v>
      </c>
      <c r="R546" s="2" t="inlineStr"/>
    </row>
    <row r="547" ht="15" customHeight="1">
      <c r="A547" t="inlineStr">
        <is>
          <t>A 56213-2024</t>
        </is>
      </c>
      <c r="B547" s="1" t="n">
        <v>45624</v>
      </c>
      <c r="C547" s="1" t="n">
        <v>46191</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9694-2023</t>
        </is>
      </c>
      <c r="B548" s="1" t="n">
        <v>44984</v>
      </c>
      <c r="C548" s="1" t="n">
        <v>46191</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9710-2023</t>
        </is>
      </c>
      <c r="B549" s="1" t="n">
        <v>44984</v>
      </c>
      <c r="C549" s="1" t="n">
        <v>46191</v>
      </c>
      <c r="D549" t="inlineStr">
        <is>
          <t>KALMAR LÄN</t>
        </is>
      </c>
      <c r="E549" t="inlineStr">
        <is>
          <t>VIMMERBY</t>
        </is>
      </c>
      <c r="G549" t="n">
        <v>3.7</v>
      </c>
      <c r="H549" t="n">
        <v>0</v>
      </c>
      <c r="I549" t="n">
        <v>0</v>
      </c>
      <c r="J549" t="n">
        <v>0</v>
      </c>
      <c r="K549" t="n">
        <v>0</v>
      </c>
      <c r="L549" t="n">
        <v>0</v>
      </c>
      <c r="M549" t="n">
        <v>0</v>
      </c>
      <c r="N549" t="n">
        <v>0</v>
      </c>
      <c r="O549" t="n">
        <v>0</v>
      </c>
      <c r="P549" t="n">
        <v>0</v>
      </c>
      <c r="Q549" t="n">
        <v>0</v>
      </c>
      <c r="R549" s="2" t="inlineStr"/>
    </row>
    <row r="550" ht="15" customHeight="1">
      <c r="A550" t="inlineStr">
        <is>
          <t>A 37088-2025</t>
        </is>
      </c>
      <c r="B550" s="1" t="n">
        <v>45875</v>
      </c>
      <c r="C550" s="1" t="n">
        <v>46191</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37102-2025</t>
        </is>
      </c>
      <c r="B551" s="1" t="n">
        <v>45875</v>
      </c>
      <c r="C551" s="1" t="n">
        <v>46191</v>
      </c>
      <c r="D551" t="inlineStr">
        <is>
          <t>KALMAR LÄN</t>
        </is>
      </c>
      <c r="E551" t="inlineStr">
        <is>
          <t>VIMMERBY</t>
        </is>
      </c>
      <c r="G551" t="n">
        <v>1.3</v>
      </c>
      <c r="H551" t="n">
        <v>0</v>
      </c>
      <c r="I551" t="n">
        <v>0</v>
      </c>
      <c r="J551" t="n">
        <v>0</v>
      </c>
      <c r="K551" t="n">
        <v>0</v>
      </c>
      <c r="L551" t="n">
        <v>0</v>
      </c>
      <c r="M551" t="n">
        <v>0</v>
      </c>
      <c r="N551" t="n">
        <v>0</v>
      </c>
      <c r="O551" t="n">
        <v>0</v>
      </c>
      <c r="P551" t="n">
        <v>0</v>
      </c>
      <c r="Q551" t="n">
        <v>0</v>
      </c>
      <c r="R551" s="2" t="inlineStr"/>
    </row>
    <row r="552" ht="15" customHeight="1">
      <c r="A552" t="inlineStr">
        <is>
          <t>A 19111-2025</t>
        </is>
      </c>
      <c r="B552" s="1" t="n">
        <v>45768</v>
      </c>
      <c r="C552" s="1" t="n">
        <v>46191</v>
      </c>
      <c r="D552" t="inlineStr">
        <is>
          <t>KALMAR LÄN</t>
        </is>
      </c>
      <c r="E552" t="inlineStr">
        <is>
          <t>VIMMERBY</t>
        </is>
      </c>
      <c r="G552" t="n">
        <v>6.2</v>
      </c>
      <c r="H552" t="n">
        <v>0</v>
      </c>
      <c r="I552" t="n">
        <v>0</v>
      </c>
      <c r="J552" t="n">
        <v>0</v>
      </c>
      <c r="K552" t="n">
        <v>0</v>
      </c>
      <c r="L552" t="n">
        <v>0</v>
      </c>
      <c r="M552" t="n">
        <v>0</v>
      </c>
      <c r="N552" t="n">
        <v>0</v>
      </c>
      <c r="O552" t="n">
        <v>0</v>
      </c>
      <c r="P552" t="n">
        <v>0</v>
      </c>
      <c r="Q552" t="n">
        <v>0</v>
      </c>
      <c r="R552" s="2" t="inlineStr"/>
    </row>
    <row r="553" ht="15" customHeight="1">
      <c r="A553" t="inlineStr">
        <is>
          <t>A 23394-2025</t>
        </is>
      </c>
      <c r="B553" s="1" t="n">
        <v>45791</v>
      </c>
      <c r="C553" s="1" t="n">
        <v>46191</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7944-2024</t>
        </is>
      </c>
      <c r="B554" s="1" t="n">
        <v>45350</v>
      </c>
      <c r="C554" s="1" t="n">
        <v>46191</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10807-2024</t>
        </is>
      </c>
      <c r="B555" s="1" t="n">
        <v>45369</v>
      </c>
      <c r="C555" s="1" t="n">
        <v>46191</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14451-2024</t>
        </is>
      </c>
      <c r="B556" s="1" t="n">
        <v>45394</v>
      </c>
      <c r="C556" s="1" t="n">
        <v>46191</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40260-2024</t>
        </is>
      </c>
      <c r="B557" s="1" t="n">
        <v>45554</v>
      </c>
      <c r="C557" s="1" t="n">
        <v>46191</v>
      </c>
      <c r="D557" t="inlineStr">
        <is>
          <t>KALMAR LÄN</t>
        </is>
      </c>
      <c r="E557" t="inlineStr">
        <is>
          <t>VIMMERBY</t>
        </is>
      </c>
      <c r="G557" t="n">
        <v>1.2</v>
      </c>
      <c r="H557" t="n">
        <v>0</v>
      </c>
      <c r="I557" t="n">
        <v>0</v>
      </c>
      <c r="J557" t="n">
        <v>0</v>
      </c>
      <c r="K557" t="n">
        <v>0</v>
      </c>
      <c r="L557" t="n">
        <v>0</v>
      </c>
      <c r="M557" t="n">
        <v>0</v>
      </c>
      <c r="N557" t="n">
        <v>0</v>
      </c>
      <c r="O557" t="n">
        <v>0</v>
      </c>
      <c r="P557" t="n">
        <v>0</v>
      </c>
      <c r="Q557" t="n">
        <v>0</v>
      </c>
      <c r="R557" s="2" t="inlineStr"/>
    </row>
    <row r="558" ht="15" customHeight="1">
      <c r="A558" t="inlineStr">
        <is>
          <t>A 10787-2025</t>
        </is>
      </c>
      <c r="B558" s="1" t="n">
        <v>45722</v>
      </c>
      <c r="C558" s="1" t="n">
        <v>46191</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58577-2024</t>
        </is>
      </c>
      <c r="B559" s="1" t="n">
        <v>45635</v>
      </c>
      <c r="C559" s="1" t="n">
        <v>46191</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38198-2024</t>
        </is>
      </c>
      <c r="B560" s="1" t="n">
        <v>45545</v>
      </c>
      <c r="C560" s="1" t="n">
        <v>46191</v>
      </c>
      <c r="D560" t="inlineStr">
        <is>
          <t>KALMAR LÄN</t>
        </is>
      </c>
      <c r="E560" t="inlineStr">
        <is>
          <t>VIMMERBY</t>
        </is>
      </c>
      <c r="G560" t="n">
        <v>7.9</v>
      </c>
      <c r="H560" t="n">
        <v>0</v>
      </c>
      <c r="I560" t="n">
        <v>0</v>
      </c>
      <c r="J560" t="n">
        <v>0</v>
      </c>
      <c r="K560" t="n">
        <v>0</v>
      </c>
      <c r="L560" t="n">
        <v>0</v>
      </c>
      <c r="M560" t="n">
        <v>0</v>
      </c>
      <c r="N560" t="n">
        <v>0</v>
      </c>
      <c r="O560" t="n">
        <v>0</v>
      </c>
      <c r="P560" t="n">
        <v>0</v>
      </c>
      <c r="Q560" t="n">
        <v>0</v>
      </c>
      <c r="R560" s="2" t="inlineStr"/>
    </row>
    <row r="561" ht="15" customHeight="1">
      <c r="A561" t="inlineStr">
        <is>
          <t>A 50993-2022</t>
        </is>
      </c>
      <c r="B561" s="1" t="n">
        <v>44867</v>
      </c>
      <c r="C561" s="1" t="n">
        <v>46191</v>
      </c>
      <c r="D561" t="inlineStr">
        <is>
          <t>KALMAR LÄN</t>
        </is>
      </c>
      <c r="E561" t="inlineStr">
        <is>
          <t>VIMMERBY</t>
        </is>
      </c>
      <c r="G561" t="n">
        <v>1.7</v>
      </c>
      <c r="H561" t="n">
        <v>0</v>
      </c>
      <c r="I561" t="n">
        <v>0</v>
      </c>
      <c r="J561" t="n">
        <v>0</v>
      </c>
      <c r="K561" t="n">
        <v>0</v>
      </c>
      <c r="L561" t="n">
        <v>0</v>
      </c>
      <c r="M561" t="n">
        <v>0</v>
      </c>
      <c r="N561" t="n">
        <v>0</v>
      </c>
      <c r="O561" t="n">
        <v>0</v>
      </c>
      <c r="P561" t="n">
        <v>0</v>
      </c>
      <c r="Q561" t="n">
        <v>0</v>
      </c>
      <c r="R561" s="2" t="inlineStr"/>
    </row>
    <row r="562" ht="15" customHeight="1">
      <c r="A562" t="inlineStr">
        <is>
          <t>A 46225-2024</t>
        </is>
      </c>
      <c r="B562" s="1" t="n">
        <v>45581</v>
      </c>
      <c r="C562" s="1" t="n">
        <v>46191</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36055-2024</t>
        </is>
      </c>
      <c r="B563" s="1" t="n">
        <v>45533</v>
      </c>
      <c r="C563" s="1" t="n">
        <v>46191</v>
      </c>
      <c r="D563" t="inlineStr">
        <is>
          <t>KALMAR LÄN</t>
        </is>
      </c>
      <c r="E563" t="inlineStr">
        <is>
          <t>VIMMERBY</t>
        </is>
      </c>
      <c r="F563" t="inlineStr">
        <is>
          <t>Kommuner</t>
        </is>
      </c>
      <c r="G563" t="n">
        <v>1.9</v>
      </c>
      <c r="H563" t="n">
        <v>0</v>
      </c>
      <c r="I563" t="n">
        <v>0</v>
      </c>
      <c r="J563" t="n">
        <v>0</v>
      </c>
      <c r="K563" t="n">
        <v>0</v>
      </c>
      <c r="L563" t="n">
        <v>0</v>
      </c>
      <c r="M563" t="n">
        <v>0</v>
      </c>
      <c r="N563" t="n">
        <v>0</v>
      </c>
      <c r="O563" t="n">
        <v>0</v>
      </c>
      <c r="P563" t="n">
        <v>0</v>
      </c>
      <c r="Q563" t="n">
        <v>0</v>
      </c>
      <c r="R563" s="2" t="inlineStr"/>
    </row>
    <row r="564" ht="15" customHeight="1">
      <c r="A564" t="inlineStr">
        <is>
          <t>A 22264-2023</t>
        </is>
      </c>
      <c r="B564" s="1" t="n">
        <v>45070</v>
      </c>
      <c r="C564" s="1" t="n">
        <v>46191</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50091-2023</t>
        </is>
      </c>
      <c r="B565" s="1" t="n">
        <v>45215</v>
      </c>
      <c r="C565" s="1" t="n">
        <v>46191</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10303-2025</t>
        </is>
      </c>
      <c r="B566" s="1" t="n">
        <v>45720</v>
      </c>
      <c r="C566" s="1" t="n">
        <v>46191</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11027-2023</t>
        </is>
      </c>
      <c r="B567" s="1" t="n">
        <v>44991</v>
      </c>
      <c r="C567" s="1" t="n">
        <v>46191</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47859-2024</t>
        </is>
      </c>
      <c r="B568" s="1" t="n">
        <v>45588</v>
      </c>
      <c r="C568" s="1" t="n">
        <v>46191</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26768-2026</t>
        </is>
      </c>
      <c r="B569" s="1" t="n">
        <v>46184</v>
      </c>
      <c r="C569" s="1" t="n">
        <v>46191</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32835-2022</t>
        </is>
      </c>
      <c r="B570" s="1" t="n">
        <v>44784</v>
      </c>
      <c r="C570" s="1" t="n">
        <v>46191</v>
      </c>
      <c r="D570" t="inlineStr">
        <is>
          <t>KALMAR LÄN</t>
        </is>
      </c>
      <c r="E570" t="inlineStr">
        <is>
          <t>VIMMERBY</t>
        </is>
      </c>
      <c r="G570" t="n">
        <v>1.6</v>
      </c>
      <c r="H570" t="n">
        <v>0</v>
      </c>
      <c r="I570" t="n">
        <v>0</v>
      </c>
      <c r="J570" t="n">
        <v>0</v>
      </c>
      <c r="K570" t="n">
        <v>0</v>
      </c>
      <c r="L570" t="n">
        <v>0</v>
      </c>
      <c r="M570" t="n">
        <v>0</v>
      </c>
      <c r="N570" t="n">
        <v>0</v>
      </c>
      <c r="O570" t="n">
        <v>0</v>
      </c>
      <c r="P570" t="n">
        <v>0</v>
      </c>
      <c r="Q570" t="n">
        <v>0</v>
      </c>
      <c r="R570" s="2" t="inlineStr"/>
    </row>
    <row r="571" ht="15" customHeight="1">
      <c r="A571" t="inlineStr">
        <is>
          <t>A 26722-2026</t>
        </is>
      </c>
      <c r="B571" s="1" t="n">
        <v>46184</v>
      </c>
      <c r="C571" s="1" t="n">
        <v>46191</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11661-2023</t>
        </is>
      </c>
      <c r="B572" s="1" t="n">
        <v>44994</v>
      </c>
      <c r="C572" s="1" t="n">
        <v>46191</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36155-2023</t>
        </is>
      </c>
      <c r="B573" s="1" t="n">
        <v>45149</v>
      </c>
      <c r="C573" s="1" t="n">
        <v>46191</v>
      </c>
      <c r="D573" t="inlineStr">
        <is>
          <t>KALMAR LÄN</t>
        </is>
      </c>
      <c r="E573" t="inlineStr">
        <is>
          <t>VIMMERBY</t>
        </is>
      </c>
      <c r="G573" t="n">
        <v>5</v>
      </c>
      <c r="H573" t="n">
        <v>0</v>
      </c>
      <c r="I573" t="n">
        <v>0</v>
      </c>
      <c r="J573" t="n">
        <v>0</v>
      </c>
      <c r="K573" t="n">
        <v>0</v>
      </c>
      <c r="L573" t="n">
        <v>0</v>
      </c>
      <c r="M573" t="n">
        <v>0</v>
      </c>
      <c r="N573" t="n">
        <v>0</v>
      </c>
      <c r="O573" t="n">
        <v>0</v>
      </c>
      <c r="P573" t="n">
        <v>0</v>
      </c>
      <c r="Q573" t="n">
        <v>0</v>
      </c>
      <c r="R573" s="2" t="inlineStr"/>
    </row>
    <row r="574" ht="15" customHeight="1">
      <c r="A574" t="inlineStr">
        <is>
          <t>A 26734-2026</t>
        </is>
      </c>
      <c r="B574" s="1" t="n">
        <v>46184</v>
      </c>
      <c r="C574" s="1" t="n">
        <v>46191</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40147-2023</t>
        </is>
      </c>
      <c r="B575" s="1" t="n">
        <v>45169</v>
      </c>
      <c r="C575" s="1" t="n">
        <v>46191</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63950-2023</t>
        </is>
      </c>
      <c r="B576" s="1" t="n">
        <v>45278</v>
      </c>
      <c r="C576" s="1" t="n">
        <v>46191</v>
      </c>
      <c r="D576" t="inlineStr">
        <is>
          <t>KALMAR LÄN</t>
        </is>
      </c>
      <c r="E576" t="inlineStr">
        <is>
          <t>VIMMERBY</t>
        </is>
      </c>
      <c r="F576" t="inlineStr">
        <is>
          <t>Kyrkan</t>
        </is>
      </c>
      <c r="G576" t="n">
        <v>2.7</v>
      </c>
      <c r="H576" t="n">
        <v>0</v>
      </c>
      <c r="I576" t="n">
        <v>0</v>
      </c>
      <c r="J576" t="n">
        <v>0</v>
      </c>
      <c r="K576" t="n">
        <v>0</v>
      </c>
      <c r="L576" t="n">
        <v>0</v>
      </c>
      <c r="M576" t="n">
        <v>0</v>
      </c>
      <c r="N576" t="n">
        <v>0</v>
      </c>
      <c r="O576" t="n">
        <v>0</v>
      </c>
      <c r="P576" t="n">
        <v>0</v>
      </c>
      <c r="Q576" t="n">
        <v>0</v>
      </c>
      <c r="R576" s="2" t="inlineStr"/>
    </row>
    <row r="577" ht="15" customHeight="1">
      <c r="A577" t="inlineStr">
        <is>
          <t>A 24096-2024</t>
        </is>
      </c>
      <c r="B577" s="1" t="n">
        <v>45456</v>
      </c>
      <c r="C577" s="1" t="n">
        <v>46191</v>
      </c>
      <c r="D577" t="inlineStr">
        <is>
          <t>KALMAR LÄN</t>
        </is>
      </c>
      <c r="E577" t="inlineStr">
        <is>
          <t>VIMMERBY</t>
        </is>
      </c>
      <c r="G577" t="n">
        <v>2.3</v>
      </c>
      <c r="H577" t="n">
        <v>0</v>
      </c>
      <c r="I577" t="n">
        <v>0</v>
      </c>
      <c r="J577" t="n">
        <v>0</v>
      </c>
      <c r="K577" t="n">
        <v>0</v>
      </c>
      <c r="L577" t="n">
        <v>0</v>
      </c>
      <c r="M577" t="n">
        <v>0</v>
      </c>
      <c r="N577" t="n">
        <v>0</v>
      </c>
      <c r="O577" t="n">
        <v>0</v>
      </c>
      <c r="P577" t="n">
        <v>0</v>
      </c>
      <c r="Q577" t="n">
        <v>0</v>
      </c>
      <c r="R577" s="2" t="inlineStr"/>
    </row>
    <row r="578" ht="15" customHeight="1">
      <c r="A578" t="inlineStr">
        <is>
          <t>A 26462-2026</t>
        </is>
      </c>
      <c r="B578" s="1" t="n">
        <v>46183</v>
      </c>
      <c r="C578" s="1" t="n">
        <v>46191</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41896-2023</t>
        </is>
      </c>
      <c r="B579" s="1" t="n">
        <v>45176</v>
      </c>
      <c r="C579" s="1" t="n">
        <v>46191</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41199-2023</t>
        </is>
      </c>
      <c r="B580" s="1" t="n">
        <v>45174</v>
      </c>
      <c r="C580" s="1" t="n">
        <v>46191</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36014-2024</t>
        </is>
      </c>
      <c r="B581" s="1" t="n">
        <v>45533</v>
      </c>
      <c r="C581" s="1" t="n">
        <v>46191</v>
      </c>
      <c r="D581" t="inlineStr">
        <is>
          <t>KALMAR LÄN</t>
        </is>
      </c>
      <c r="E581" t="inlineStr">
        <is>
          <t>VIMMERBY</t>
        </is>
      </c>
      <c r="G581" t="n">
        <v>2.3</v>
      </c>
      <c r="H581" t="n">
        <v>0</v>
      </c>
      <c r="I581" t="n">
        <v>0</v>
      </c>
      <c r="J581" t="n">
        <v>0</v>
      </c>
      <c r="K581" t="n">
        <v>0</v>
      </c>
      <c r="L581" t="n">
        <v>0</v>
      </c>
      <c r="M581" t="n">
        <v>0</v>
      </c>
      <c r="N581" t="n">
        <v>0</v>
      </c>
      <c r="O581" t="n">
        <v>0</v>
      </c>
      <c r="P581" t="n">
        <v>0</v>
      </c>
      <c r="Q581" t="n">
        <v>0</v>
      </c>
      <c r="R581" s="2" t="inlineStr"/>
    </row>
    <row r="582" ht="15" customHeight="1">
      <c r="A582" t="inlineStr">
        <is>
          <t>A 36030-2024</t>
        </is>
      </c>
      <c r="B582" s="1" t="n">
        <v>45533</v>
      </c>
      <c r="C582" s="1" t="n">
        <v>46191</v>
      </c>
      <c r="D582" t="inlineStr">
        <is>
          <t>KALMAR LÄN</t>
        </is>
      </c>
      <c r="E582" t="inlineStr">
        <is>
          <t>VIMMERBY</t>
        </is>
      </c>
      <c r="F582" t="inlineStr">
        <is>
          <t>Kommuner</t>
        </is>
      </c>
      <c r="G582" t="n">
        <v>4</v>
      </c>
      <c r="H582" t="n">
        <v>0</v>
      </c>
      <c r="I582" t="n">
        <v>0</v>
      </c>
      <c r="J582" t="n">
        <v>0</v>
      </c>
      <c r="K582" t="n">
        <v>0</v>
      </c>
      <c r="L582" t="n">
        <v>0</v>
      </c>
      <c r="M582" t="n">
        <v>0</v>
      </c>
      <c r="N582" t="n">
        <v>0</v>
      </c>
      <c r="O582" t="n">
        <v>0</v>
      </c>
      <c r="P582" t="n">
        <v>0</v>
      </c>
      <c r="Q582" t="n">
        <v>0</v>
      </c>
      <c r="R582" s="2" t="inlineStr"/>
    </row>
    <row r="583" ht="15" customHeight="1">
      <c r="A583" t="inlineStr">
        <is>
          <t>A 6321-2023</t>
        </is>
      </c>
      <c r="B583" s="1" t="n">
        <v>44965</v>
      </c>
      <c r="C583" s="1" t="n">
        <v>46191</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43606-2024</t>
        </is>
      </c>
      <c r="B584" s="1" t="n">
        <v>45569</v>
      </c>
      <c r="C584" s="1" t="n">
        <v>46191</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26762-2026</t>
        </is>
      </c>
      <c r="B585" s="1" t="n">
        <v>46184</v>
      </c>
      <c r="C585" s="1" t="n">
        <v>46191</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12325-2023</t>
        </is>
      </c>
      <c r="B586" s="1" t="n">
        <v>44999</v>
      </c>
      <c r="C586" s="1" t="n">
        <v>46191</v>
      </c>
      <c r="D586" t="inlineStr">
        <is>
          <t>KALMAR LÄN</t>
        </is>
      </c>
      <c r="E586" t="inlineStr">
        <is>
          <t>VIMMERBY</t>
        </is>
      </c>
      <c r="G586" t="n">
        <v>3.4</v>
      </c>
      <c r="H586" t="n">
        <v>0</v>
      </c>
      <c r="I586" t="n">
        <v>0</v>
      </c>
      <c r="J586" t="n">
        <v>0</v>
      </c>
      <c r="K586" t="n">
        <v>0</v>
      </c>
      <c r="L586" t="n">
        <v>0</v>
      </c>
      <c r="M586" t="n">
        <v>0</v>
      </c>
      <c r="N586" t="n">
        <v>0</v>
      </c>
      <c r="O586" t="n">
        <v>0</v>
      </c>
      <c r="P586" t="n">
        <v>0</v>
      </c>
      <c r="Q586" t="n">
        <v>0</v>
      </c>
      <c r="R586" s="2" t="inlineStr"/>
    </row>
    <row r="587" ht="15" customHeight="1">
      <c r="A587" t="inlineStr">
        <is>
          <t>A 52755-2022</t>
        </is>
      </c>
      <c r="B587" s="1" t="n">
        <v>44875</v>
      </c>
      <c r="C587" s="1" t="n">
        <v>46191</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26704-2026</t>
        </is>
      </c>
      <c r="B588" s="1" t="n">
        <v>46184</v>
      </c>
      <c r="C588" s="1" t="n">
        <v>46191</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40823-2023</t>
        </is>
      </c>
      <c r="B589" s="1" t="n">
        <v>45171</v>
      </c>
      <c r="C589" s="1" t="n">
        <v>46191</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40665-2023</t>
        </is>
      </c>
      <c r="B590" s="1" t="n">
        <v>45170</v>
      </c>
      <c r="C590" s="1" t="n">
        <v>46191</v>
      </c>
      <c r="D590" t="inlineStr">
        <is>
          <t>KALMAR LÄN</t>
        </is>
      </c>
      <c r="E590" t="inlineStr">
        <is>
          <t>VIMMERBY</t>
        </is>
      </c>
      <c r="G590" t="n">
        <v>2.6</v>
      </c>
      <c r="H590" t="n">
        <v>0</v>
      </c>
      <c r="I590" t="n">
        <v>0</v>
      </c>
      <c r="J590" t="n">
        <v>0</v>
      </c>
      <c r="K590" t="n">
        <v>0</v>
      </c>
      <c r="L590" t="n">
        <v>0</v>
      </c>
      <c r="M590" t="n">
        <v>0</v>
      </c>
      <c r="N590" t="n">
        <v>0</v>
      </c>
      <c r="O590" t="n">
        <v>0</v>
      </c>
      <c r="P590" t="n">
        <v>0</v>
      </c>
      <c r="Q590" t="n">
        <v>0</v>
      </c>
      <c r="R590" s="2" t="inlineStr"/>
    </row>
    <row r="591" ht="15" customHeight="1">
      <c r="A591" t="inlineStr">
        <is>
          <t>A 27761-2024</t>
        </is>
      </c>
      <c r="B591" s="1" t="n">
        <v>45475</v>
      </c>
      <c r="C591" s="1" t="n">
        <v>46191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21028-2023</t>
        </is>
      </c>
      <c r="B592" s="1" t="n">
        <v>45061</v>
      </c>
      <c r="C592" s="1" t="n">
        <v>46191</v>
      </c>
      <c r="D592" t="inlineStr">
        <is>
          <t>KALMAR LÄN</t>
        </is>
      </c>
      <c r="E592" t="inlineStr">
        <is>
          <t>VIMMERBY</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64203-2021</t>
        </is>
      </c>
      <c r="B593" s="1" t="n">
        <v>44510</v>
      </c>
      <c r="C593" s="1" t="n">
        <v>46191</v>
      </c>
      <c r="D593" t="inlineStr">
        <is>
          <t>KALMAR LÄN</t>
        </is>
      </c>
      <c r="E593" t="inlineStr">
        <is>
          <t>VIMMERBY</t>
        </is>
      </c>
      <c r="F593" t="inlineStr">
        <is>
          <t>Övriga Aktiebolag</t>
        </is>
      </c>
      <c r="G593" t="n">
        <v>5.4</v>
      </c>
      <c r="H593" t="n">
        <v>0</v>
      </c>
      <c r="I593" t="n">
        <v>0</v>
      </c>
      <c r="J593" t="n">
        <v>0</v>
      </c>
      <c r="K593" t="n">
        <v>0</v>
      </c>
      <c r="L593" t="n">
        <v>0</v>
      </c>
      <c r="M593" t="n">
        <v>0</v>
      </c>
      <c r="N593" t="n">
        <v>0</v>
      </c>
      <c r="O593" t="n">
        <v>0</v>
      </c>
      <c r="P593" t="n">
        <v>0</v>
      </c>
      <c r="Q593" t="n">
        <v>0</v>
      </c>
      <c r="R593" s="2" t="inlineStr"/>
    </row>
    <row r="594" ht="15" customHeight="1">
      <c r="A594" t="inlineStr">
        <is>
          <t>A 28034-2022</t>
        </is>
      </c>
      <c r="B594" s="1" t="n">
        <v>44746</v>
      </c>
      <c r="C594" s="1" t="n">
        <v>46191</v>
      </c>
      <c r="D594" t="inlineStr">
        <is>
          <t>KALMAR LÄN</t>
        </is>
      </c>
      <c r="E594" t="inlineStr">
        <is>
          <t>VIMMERBY</t>
        </is>
      </c>
      <c r="G594" t="n">
        <v>2</v>
      </c>
      <c r="H594" t="n">
        <v>0</v>
      </c>
      <c r="I594" t="n">
        <v>0</v>
      </c>
      <c r="J594" t="n">
        <v>0</v>
      </c>
      <c r="K594" t="n">
        <v>0</v>
      </c>
      <c r="L594" t="n">
        <v>0</v>
      </c>
      <c r="M594" t="n">
        <v>0</v>
      </c>
      <c r="N594" t="n">
        <v>0</v>
      </c>
      <c r="O594" t="n">
        <v>0</v>
      </c>
      <c r="P594" t="n">
        <v>0</v>
      </c>
      <c r="Q594" t="n">
        <v>0</v>
      </c>
      <c r="R594" s="2" t="inlineStr"/>
    </row>
    <row r="595" ht="15" customHeight="1">
      <c r="A595" t="inlineStr">
        <is>
          <t>A 1016-2024</t>
        </is>
      </c>
      <c r="B595" s="1" t="n">
        <v>45301</v>
      </c>
      <c r="C595" s="1" t="n">
        <v>46191</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1024-2024</t>
        </is>
      </c>
      <c r="B596" s="1" t="n">
        <v>45301</v>
      </c>
      <c r="C596" s="1" t="n">
        <v>46191</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27758-2024</t>
        </is>
      </c>
      <c r="B597" s="1" t="n">
        <v>45475</v>
      </c>
      <c r="C597" s="1" t="n">
        <v>46191</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32865-2023</t>
        </is>
      </c>
      <c r="B598" s="1" t="n">
        <v>45124</v>
      </c>
      <c r="C598" s="1" t="n">
        <v>46191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17926-2025</t>
        </is>
      </c>
      <c r="B599" s="1" t="n">
        <v>45759</v>
      </c>
      <c r="C599" s="1" t="n">
        <v>46191</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27074-2026</t>
        </is>
      </c>
      <c r="B600" s="1" t="n">
        <v>46186</v>
      </c>
      <c r="C600" s="1" t="n">
        <v>46191</v>
      </c>
      <c r="D600" t="inlineStr">
        <is>
          <t>KALMAR LÄN</t>
        </is>
      </c>
      <c r="E600" t="inlineStr">
        <is>
          <t>VIMMERBY</t>
        </is>
      </c>
      <c r="G600" t="n">
        <v>1</v>
      </c>
      <c r="H600" t="n">
        <v>0</v>
      </c>
      <c r="I600" t="n">
        <v>0</v>
      </c>
      <c r="J600" t="n">
        <v>0</v>
      </c>
      <c r="K600" t="n">
        <v>0</v>
      </c>
      <c r="L600" t="n">
        <v>0</v>
      </c>
      <c r="M600" t="n">
        <v>0</v>
      </c>
      <c r="N600" t="n">
        <v>0</v>
      </c>
      <c r="O600" t="n">
        <v>0</v>
      </c>
      <c r="P600" t="n">
        <v>0</v>
      </c>
      <c r="Q600" t="n">
        <v>0</v>
      </c>
      <c r="R600" s="2" t="inlineStr"/>
    </row>
    <row r="601" ht="15" customHeight="1">
      <c r="A601" t="inlineStr">
        <is>
          <t>A 35127-2024</t>
        </is>
      </c>
      <c r="B601" s="1" t="n">
        <v>45530</v>
      </c>
      <c r="C601" s="1" t="n">
        <v>46191</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55605-2024</t>
        </is>
      </c>
      <c r="B602" s="1" t="n">
        <v>45622</v>
      </c>
      <c r="C602" s="1" t="n">
        <v>46191</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42165-2024</t>
        </is>
      </c>
      <c r="B603" s="1" t="n">
        <v>45562</v>
      </c>
      <c r="C603" s="1" t="n">
        <v>46191</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33383-2023</t>
        </is>
      </c>
      <c r="B604" s="1" t="n">
        <v>45128</v>
      </c>
      <c r="C604" s="1" t="n">
        <v>46191</v>
      </c>
      <c r="D604" t="inlineStr">
        <is>
          <t>KALMAR LÄN</t>
        </is>
      </c>
      <c r="E604" t="inlineStr">
        <is>
          <t>VIMMERBY</t>
        </is>
      </c>
      <c r="G604" t="n">
        <v>2.3</v>
      </c>
      <c r="H604" t="n">
        <v>0</v>
      </c>
      <c r="I604" t="n">
        <v>0</v>
      </c>
      <c r="J604" t="n">
        <v>0</v>
      </c>
      <c r="K604" t="n">
        <v>0</v>
      </c>
      <c r="L604" t="n">
        <v>0</v>
      </c>
      <c r="M604" t="n">
        <v>0</v>
      </c>
      <c r="N604" t="n">
        <v>0</v>
      </c>
      <c r="O604" t="n">
        <v>0</v>
      </c>
      <c r="P604" t="n">
        <v>0</v>
      </c>
      <c r="Q604" t="n">
        <v>0</v>
      </c>
      <c r="R604" s="2" t="inlineStr"/>
    </row>
    <row r="605" ht="15" customHeight="1">
      <c r="A605" t="inlineStr">
        <is>
          <t>A 23095-2023</t>
        </is>
      </c>
      <c r="B605" s="1" t="n">
        <v>45075</v>
      </c>
      <c r="C605" s="1" t="n">
        <v>46191</v>
      </c>
      <c r="D605" t="inlineStr">
        <is>
          <t>KALMAR LÄN</t>
        </is>
      </c>
      <c r="E605" t="inlineStr">
        <is>
          <t>VIMMERBY</t>
        </is>
      </c>
      <c r="G605" t="n">
        <v>1</v>
      </c>
      <c r="H605" t="n">
        <v>0</v>
      </c>
      <c r="I605" t="n">
        <v>0</v>
      </c>
      <c r="J605" t="n">
        <v>0</v>
      </c>
      <c r="K605" t="n">
        <v>0</v>
      </c>
      <c r="L605" t="n">
        <v>0</v>
      </c>
      <c r="M605" t="n">
        <v>0</v>
      </c>
      <c r="N605" t="n">
        <v>0</v>
      </c>
      <c r="O605" t="n">
        <v>0</v>
      </c>
      <c r="P605" t="n">
        <v>0</v>
      </c>
      <c r="Q605" t="n">
        <v>0</v>
      </c>
      <c r="R605" s="2" t="inlineStr"/>
    </row>
    <row r="606" ht="15" customHeight="1">
      <c r="A606" t="inlineStr">
        <is>
          <t>A 32919-2022</t>
        </is>
      </c>
      <c r="B606" s="1" t="n">
        <v>44784</v>
      </c>
      <c r="C606" s="1" t="n">
        <v>46191</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55716-2023</t>
        </is>
      </c>
      <c r="B607" s="1" t="n">
        <v>45232</v>
      </c>
      <c r="C607" s="1" t="n">
        <v>46191</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34386-2024</t>
        </is>
      </c>
      <c r="B608" s="1" t="n">
        <v>45525</v>
      </c>
      <c r="C608" s="1" t="n">
        <v>46191</v>
      </c>
      <c r="D608" t="inlineStr">
        <is>
          <t>KALMAR LÄN</t>
        </is>
      </c>
      <c r="E608" t="inlineStr">
        <is>
          <t>VIMMERBY</t>
        </is>
      </c>
      <c r="G608" t="n">
        <v>0.3</v>
      </c>
      <c r="H608" t="n">
        <v>0</v>
      </c>
      <c r="I608" t="n">
        <v>0</v>
      </c>
      <c r="J608" t="n">
        <v>0</v>
      </c>
      <c r="K608" t="n">
        <v>0</v>
      </c>
      <c r="L608" t="n">
        <v>0</v>
      </c>
      <c r="M608" t="n">
        <v>0</v>
      </c>
      <c r="N608" t="n">
        <v>0</v>
      </c>
      <c r="O608" t="n">
        <v>0</v>
      </c>
      <c r="P608" t="n">
        <v>0</v>
      </c>
      <c r="Q608" t="n">
        <v>0</v>
      </c>
      <c r="R608" s="2" t="inlineStr"/>
    </row>
    <row r="609" ht="15" customHeight="1">
      <c r="A609" t="inlineStr">
        <is>
          <t>A 42429-2024</t>
        </is>
      </c>
      <c r="B609" s="1" t="n">
        <v>45565</v>
      </c>
      <c r="C609" s="1" t="n">
        <v>46191</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59943-2023</t>
        </is>
      </c>
      <c r="B610" s="1" t="n">
        <v>45257</v>
      </c>
      <c r="C610" s="1" t="n">
        <v>46191</v>
      </c>
      <c r="D610" t="inlineStr">
        <is>
          <t>KALMAR LÄN</t>
        </is>
      </c>
      <c r="E610" t="inlineStr">
        <is>
          <t>VIMMERBY</t>
        </is>
      </c>
      <c r="G610" t="n">
        <v>6.4</v>
      </c>
      <c r="H610" t="n">
        <v>0</v>
      </c>
      <c r="I610" t="n">
        <v>0</v>
      </c>
      <c r="J610" t="n">
        <v>0</v>
      </c>
      <c r="K610" t="n">
        <v>0</v>
      </c>
      <c r="L610" t="n">
        <v>0</v>
      </c>
      <c r="M610" t="n">
        <v>0</v>
      </c>
      <c r="N610" t="n">
        <v>0</v>
      </c>
      <c r="O610" t="n">
        <v>0</v>
      </c>
      <c r="P610" t="n">
        <v>0</v>
      </c>
      <c r="Q610" t="n">
        <v>0</v>
      </c>
      <c r="R610" s="2" t="inlineStr"/>
    </row>
    <row r="611" ht="15" customHeight="1">
      <c r="A611" t="inlineStr">
        <is>
          <t>A 7068-2024</t>
        </is>
      </c>
      <c r="B611" s="1" t="n">
        <v>45343</v>
      </c>
      <c r="C611" s="1" t="n">
        <v>46191</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15493-2023</t>
        </is>
      </c>
      <c r="B612" s="1" t="n">
        <v>45018</v>
      </c>
      <c r="C612" s="1" t="n">
        <v>46191</v>
      </c>
      <c r="D612" t="inlineStr">
        <is>
          <t>KALMAR LÄN</t>
        </is>
      </c>
      <c r="E612" t="inlineStr">
        <is>
          <t>VIMMERBY</t>
        </is>
      </c>
      <c r="G612" t="n">
        <v>1</v>
      </c>
      <c r="H612" t="n">
        <v>0</v>
      </c>
      <c r="I612" t="n">
        <v>0</v>
      </c>
      <c r="J612" t="n">
        <v>0</v>
      </c>
      <c r="K612" t="n">
        <v>0</v>
      </c>
      <c r="L612" t="n">
        <v>0</v>
      </c>
      <c r="M612" t="n">
        <v>0</v>
      </c>
      <c r="N612" t="n">
        <v>0</v>
      </c>
      <c r="O612" t="n">
        <v>0</v>
      </c>
      <c r="P612" t="n">
        <v>0</v>
      </c>
      <c r="Q612" t="n">
        <v>0</v>
      </c>
      <c r="R612" s="2" t="inlineStr"/>
    </row>
    <row r="613" ht="15" customHeight="1">
      <c r="A613" t="inlineStr">
        <is>
          <t>A 51881-2024</t>
        </is>
      </c>
      <c r="B613" s="1" t="n">
        <v>45607</v>
      </c>
      <c r="C613" s="1" t="n">
        <v>46191</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1021-2024</t>
        </is>
      </c>
      <c r="B614" s="1" t="n">
        <v>45301</v>
      </c>
      <c r="C614" s="1" t="n">
        <v>46191</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32569-2024</t>
        </is>
      </c>
      <c r="B615" s="1" t="n">
        <v>45513</v>
      </c>
      <c r="C615" s="1" t="n">
        <v>46191</v>
      </c>
      <c r="D615" t="inlineStr">
        <is>
          <t>KALMAR LÄN</t>
        </is>
      </c>
      <c r="E615" t="inlineStr">
        <is>
          <t>VIMMERBY</t>
        </is>
      </c>
      <c r="G615" t="n">
        <v>3.7</v>
      </c>
      <c r="H615" t="n">
        <v>0</v>
      </c>
      <c r="I615" t="n">
        <v>0</v>
      </c>
      <c r="J615" t="n">
        <v>0</v>
      </c>
      <c r="K615" t="n">
        <v>0</v>
      </c>
      <c r="L615" t="n">
        <v>0</v>
      </c>
      <c r="M615" t="n">
        <v>0</v>
      </c>
      <c r="N615" t="n">
        <v>0</v>
      </c>
      <c r="O615" t="n">
        <v>0</v>
      </c>
      <c r="P615" t="n">
        <v>0</v>
      </c>
      <c r="Q615" t="n">
        <v>0</v>
      </c>
      <c r="R615" s="2" t="inlineStr"/>
    </row>
    <row r="616" ht="15" customHeight="1">
      <c r="A616" t="inlineStr">
        <is>
          <t>A 32575-2024</t>
        </is>
      </c>
      <c r="B616" s="1" t="n">
        <v>45513</v>
      </c>
      <c r="C616" s="1" t="n">
        <v>46191</v>
      </c>
      <c r="D616" t="inlineStr">
        <is>
          <t>KALMAR LÄN</t>
        </is>
      </c>
      <c r="E616" t="inlineStr">
        <is>
          <t>VIMMERBY</t>
        </is>
      </c>
      <c r="G616" t="n">
        <v>1.5</v>
      </c>
      <c r="H616" t="n">
        <v>0</v>
      </c>
      <c r="I616" t="n">
        <v>0</v>
      </c>
      <c r="J616" t="n">
        <v>0</v>
      </c>
      <c r="K616" t="n">
        <v>0</v>
      </c>
      <c r="L616" t="n">
        <v>0</v>
      </c>
      <c r="M616" t="n">
        <v>0</v>
      </c>
      <c r="N616" t="n">
        <v>0</v>
      </c>
      <c r="O616" t="n">
        <v>0</v>
      </c>
      <c r="P616" t="n">
        <v>0</v>
      </c>
      <c r="Q616" t="n">
        <v>0</v>
      </c>
      <c r="R616" s="2" t="inlineStr"/>
    </row>
    <row r="617" ht="15" customHeight="1">
      <c r="A617" t="inlineStr">
        <is>
          <t>A 30063-2023</t>
        </is>
      </c>
      <c r="B617" s="1" t="n">
        <v>45110</v>
      </c>
      <c r="C617" s="1" t="n">
        <v>46191</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17482-2024</t>
        </is>
      </c>
      <c r="B618" s="1" t="n">
        <v>45415</v>
      </c>
      <c r="C618" s="1" t="n">
        <v>46191</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13817-2024</t>
        </is>
      </c>
      <c r="B619" s="1" t="n">
        <v>45391</v>
      </c>
      <c r="C619" s="1" t="n">
        <v>46191</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30406-2023</t>
        </is>
      </c>
      <c r="B620" s="1" t="n">
        <v>45111</v>
      </c>
      <c r="C620" s="1" t="n">
        <v>46191</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29020-2024</t>
        </is>
      </c>
      <c r="B621" s="1" t="n">
        <v>45481</v>
      </c>
      <c r="C621" s="1" t="n">
        <v>46191</v>
      </c>
      <c r="D621" t="inlineStr">
        <is>
          <t>KALMAR LÄN</t>
        </is>
      </c>
      <c r="E621" t="inlineStr">
        <is>
          <t>VIMMERBY</t>
        </is>
      </c>
      <c r="G621" t="n">
        <v>2.3</v>
      </c>
      <c r="H621" t="n">
        <v>0</v>
      </c>
      <c r="I621" t="n">
        <v>0</v>
      </c>
      <c r="J621" t="n">
        <v>0</v>
      </c>
      <c r="K621" t="n">
        <v>0</v>
      </c>
      <c r="L621" t="n">
        <v>0</v>
      </c>
      <c r="M621" t="n">
        <v>0</v>
      </c>
      <c r="N621" t="n">
        <v>0</v>
      </c>
      <c r="O621" t="n">
        <v>0</v>
      </c>
      <c r="P621" t="n">
        <v>0</v>
      </c>
      <c r="Q621" t="n">
        <v>0</v>
      </c>
      <c r="R621" s="2" t="inlineStr"/>
    </row>
    <row r="622" ht="15" customHeight="1">
      <c r="A622" t="inlineStr">
        <is>
          <t>A 32655-2023</t>
        </is>
      </c>
      <c r="B622" s="1" t="n">
        <v>45121</v>
      </c>
      <c r="C622" s="1" t="n">
        <v>46191</v>
      </c>
      <c r="D622" t="inlineStr">
        <is>
          <t>KALMAR LÄN</t>
        </is>
      </c>
      <c r="E622" t="inlineStr">
        <is>
          <t>VIMMERBY</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54409-2024</t>
        </is>
      </c>
      <c r="B623" s="1" t="n">
        <v>45617</v>
      </c>
      <c r="C623" s="1" t="n">
        <v>46191</v>
      </c>
      <c r="D623" t="inlineStr">
        <is>
          <t>KALMAR LÄN</t>
        </is>
      </c>
      <c r="E623" t="inlineStr">
        <is>
          <t>VIMMERBY</t>
        </is>
      </c>
      <c r="G623" t="n">
        <v>4.3</v>
      </c>
      <c r="H623" t="n">
        <v>0</v>
      </c>
      <c r="I623" t="n">
        <v>0</v>
      </c>
      <c r="J623" t="n">
        <v>0</v>
      </c>
      <c r="K623" t="n">
        <v>0</v>
      </c>
      <c r="L623" t="n">
        <v>0</v>
      </c>
      <c r="M623" t="n">
        <v>0</v>
      </c>
      <c r="N623" t="n">
        <v>0</v>
      </c>
      <c r="O623" t="n">
        <v>0</v>
      </c>
      <c r="P623" t="n">
        <v>0</v>
      </c>
      <c r="Q623" t="n">
        <v>0</v>
      </c>
      <c r="R623" s="2" t="inlineStr"/>
    </row>
    <row r="624" ht="15" customHeight="1">
      <c r="A624" t="inlineStr">
        <is>
          <t>A 9475-2023</t>
        </is>
      </c>
      <c r="B624" s="1" t="n">
        <v>44981</v>
      </c>
      <c r="C624" s="1" t="n">
        <v>46191</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25582-2024</t>
        </is>
      </c>
      <c r="B625" s="1" t="n">
        <v>45463</v>
      </c>
      <c r="C625" s="1" t="n">
        <v>46191</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57578-2024</t>
        </is>
      </c>
      <c r="B626" s="1" t="n">
        <v>45630</v>
      </c>
      <c r="C626" s="1" t="n">
        <v>46191</v>
      </c>
      <c r="D626" t="inlineStr">
        <is>
          <t>KALMAR LÄN</t>
        </is>
      </c>
      <c r="E626" t="inlineStr">
        <is>
          <t>VIMMERBY</t>
        </is>
      </c>
      <c r="G626" t="n">
        <v>2.6</v>
      </c>
      <c r="H626" t="n">
        <v>0</v>
      </c>
      <c r="I626" t="n">
        <v>0</v>
      </c>
      <c r="J626" t="n">
        <v>0</v>
      </c>
      <c r="K626" t="n">
        <v>0</v>
      </c>
      <c r="L626" t="n">
        <v>0</v>
      </c>
      <c r="M626" t="n">
        <v>0</v>
      </c>
      <c r="N626" t="n">
        <v>0</v>
      </c>
      <c r="O626" t="n">
        <v>0</v>
      </c>
      <c r="P626" t="n">
        <v>0</v>
      </c>
      <c r="Q626" t="n">
        <v>0</v>
      </c>
      <c r="R626" s="2" t="inlineStr"/>
    </row>
    <row r="627" ht="15" customHeight="1">
      <c r="A627" t="inlineStr">
        <is>
          <t>A 11619-2023</t>
        </is>
      </c>
      <c r="B627" s="1" t="n">
        <v>44994</v>
      </c>
      <c r="C627" s="1" t="n">
        <v>46191</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5074-2023</t>
        </is>
      </c>
      <c r="B628" s="1" t="n">
        <v>44958</v>
      </c>
      <c r="C628" s="1" t="n">
        <v>46191</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6368-2023</t>
        </is>
      </c>
      <c r="B629" s="1" t="n">
        <v>44965</v>
      </c>
      <c r="C629" s="1" t="n">
        <v>46191</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5701-2024</t>
        </is>
      </c>
      <c r="B630" s="1" t="n">
        <v>45334</v>
      </c>
      <c r="C630" s="1" t="n">
        <v>46191</v>
      </c>
      <c r="D630" t="inlineStr">
        <is>
          <t>KALMAR LÄN</t>
        </is>
      </c>
      <c r="E630" t="inlineStr">
        <is>
          <t>VIMMERBY</t>
        </is>
      </c>
      <c r="G630" t="n">
        <v>2.3</v>
      </c>
      <c r="H630" t="n">
        <v>0</v>
      </c>
      <c r="I630" t="n">
        <v>0</v>
      </c>
      <c r="J630" t="n">
        <v>0</v>
      </c>
      <c r="K630" t="n">
        <v>0</v>
      </c>
      <c r="L630" t="n">
        <v>0</v>
      </c>
      <c r="M630" t="n">
        <v>0</v>
      </c>
      <c r="N630" t="n">
        <v>0</v>
      </c>
      <c r="O630" t="n">
        <v>0</v>
      </c>
      <c r="P630" t="n">
        <v>0</v>
      </c>
      <c r="Q630" t="n">
        <v>0</v>
      </c>
      <c r="R630" s="2" t="inlineStr"/>
    </row>
    <row r="631" ht="15" customHeight="1">
      <c r="A631" t="inlineStr">
        <is>
          <t>A 7797-2023</t>
        </is>
      </c>
      <c r="B631" s="1" t="n">
        <v>44973</v>
      </c>
      <c r="C631" s="1" t="n">
        <v>46191</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11442-2025</t>
        </is>
      </c>
      <c r="B632" s="1" t="n">
        <v>45726</v>
      </c>
      <c r="C632" s="1" t="n">
        <v>46191</v>
      </c>
      <c r="D632" t="inlineStr">
        <is>
          <t>KALMAR LÄN</t>
        </is>
      </c>
      <c r="E632" t="inlineStr">
        <is>
          <t>VIMMERBY</t>
        </is>
      </c>
      <c r="G632" t="n">
        <v>2.6</v>
      </c>
      <c r="H632" t="n">
        <v>0</v>
      </c>
      <c r="I632" t="n">
        <v>0</v>
      </c>
      <c r="J632" t="n">
        <v>0</v>
      </c>
      <c r="K632" t="n">
        <v>0</v>
      </c>
      <c r="L632" t="n">
        <v>0</v>
      </c>
      <c r="M632" t="n">
        <v>0</v>
      </c>
      <c r="N632" t="n">
        <v>0</v>
      </c>
      <c r="O632" t="n">
        <v>0</v>
      </c>
      <c r="P632" t="n">
        <v>0</v>
      </c>
      <c r="Q632" t="n">
        <v>0</v>
      </c>
      <c r="R632" s="2" t="inlineStr"/>
    </row>
    <row r="633" ht="15" customHeight="1">
      <c r="A633" t="inlineStr">
        <is>
          <t>A 8410-2023</t>
        </is>
      </c>
      <c r="B633" s="1" t="n">
        <v>44977</v>
      </c>
      <c r="C633" s="1" t="n">
        <v>46191</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6307-2025</t>
        </is>
      </c>
      <c r="B634" s="1" t="n">
        <v>45698</v>
      </c>
      <c r="C634" s="1" t="n">
        <v>46191</v>
      </c>
      <c r="D634" t="inlineStr">
        <is>
          <t>KALMAR LÄN</t>
        </is>
      </c>
      <c r="E634" t="inlineStr">
        <is>
          <t>VIMMERBY</t>
        </is>
      </c>
      <c r="G634" t="n">
        <v>3</v>
      </c>
      <c r="H634" t="n">
        <v>0</v>
      </c>
      <c r="I634" t="n">
        <v>0</v>
      </c>
      <c r="J634" t="n">
        <v>0</v>
      </c>
      <c r="K634" t="n">
        <v>0</v>
      </c>
      <c r="L634" t="n">
        <v>0</v>
      </c>
      <c r="M634" t="n">
        <v>0</v>
      </c>
      <c r="N634" t="n">
        <v>0</v>
      </c>
      <c r="O634" t="n">
        <v>0</v>
      </c>
      <c r="P634" t="n">
        <v>0</v>
      </c>
      <c r="Q634" t="n">
        <v>0</v>
      </c>
      <c r="R634" s="2" t="inlineStr"/>
    </row>
    <row r="635" ht="15" customHeight="1">
      <c r="A635" t="inlineStr">
        <is>
          <t>A 52823-2024</t>
        </is>
      </c>
      <c r="B635" s="1" t="n">
        <v>45610</v>
      </c>
      <c r="C635" s="1" t="n">
        <v>46191</v>
      </c>
      <c r="D635" t="inlineStr">
        <is>
          <t>KALMAR LÄN</t>
        </is>
      </c>
      <c r="E635" t="inlineStr">
        <is>
          <t>VIMMERBY</t>
        </is>
      </c>
      <c r="G635" t="n">
        <v>0.6</v>
      </c>
      <c r="H635" t="n">
        <v>0</v>
      </c>
      <c r="I635" t="n">
        <v>0</v>
      </c>
      <c r="J635" t="n">
        <v>0</v>
      </c>
      <c r="K635" t="n">
        <v>0</v>
      </c>
      <c r="L635" t="n">
        <v>0</v>
      </c>
      <c r="M635" t="n">
        <v>0</v>
      </c>
      <c r="N635" t="n">
        <v>0</v>
      </c>
      <c r="O635" t="n">
        <v>0</v>
      </c>
      <c r="P635" t="n">
        <v>0</v>
      </c>
      <c r="Q635" t="n">
        <v>0</v>
      </c>
      <c r="R635" s="2" t="inlineStr"/>
    </row>
    <row r="636" ht="15" customHeight="1">
      <c r="A636" t="inlineStr">
        <is>
          <t>A 56853-2022</t>
        </is>
      </c>
      <c r="B636" s="1" t="n">
        <v>44894</v>
      </c>
      <c r="C636" s="1" t="n">
        <v>46191</v>
      </c>
      <c r="D636" t="inlineStr">
        <is>
          <t>KALMAR LÄN</t>
        </is>
      </c>
      <c r="E636" t="inlineStr">
        <is>
          <t>VIMMERBY</t>
        </is>
      </c>
      <c r="G636" t="n">
        <v>4.3</v>
      </c>
      <c r="H636" t="n">
        <v>0</v>
      </c>
      <c r="I636" t="n">
        <v>0</v>
      </c>
      <c r="J636" t="n">
        <v>0</v>
      </c>
      <c r="K636" t="n">
        <v>0</v>
      </c>
      <c r="L636" t="n">
        <v>0</v>
      </c>
      <c r="M636" t="n">
        <v>0</v>
      </c>
      <c r="N636" t="n">
        <v>0</v>
      </c>
      <c r="O636" t="n">
        <v>0</v>
      </c>
      <c r="P636" t="n">
        <v>0</v>
      </c>
      <c r="Q636" t="n">
        <v>0</v>
      </c>
      <c r="R636" s="2" t="inlineStr"/>
    </row>
    <row r="637" ht="15" customHeight="1">
      <c r="A637" t="inlineStr">
        <is>
          <t>A 11152-2023</t>
        </is>
      </c>
      <c r="B637" s="1" t="n">
        <v>44992</v>
      </c>
      <c r="C637" s="1" t="n">
        <v>46191</v>
      </c>
      <c r="D637" t="inlineStr">
        <is>
          <t>KALMAR LÄN</t>
        </is>
      </c>
      <c r="E637" t="inlineStr">
        <is>
          <t>VIMMERBY</t>
        </is>
      </c>
      <c r="G637" t="n">
        <v>10.6</v>
      </c>
      <c r="H637" t="n">
        <v>0</v>
      </c>
      <c r="I637" t="n">
        <v>0</v>
      </c>
      <c r="J637" t="n">
        <v>0</v>
      </c>
      <c r="K637" t="n">
        <v>0</v>
      </c>
      <c r="L637" t="n">
        <v>0</v>
      </c>
      <c r="M637" t="n">
        <v>0</v>
      </c>
      <c r="N637" t="n">
        <v>0</v>
      </c>
      <c r="O637" t="n">
        <v>0</v>
      </c>
      <c r="P637" t="n">
        <v>0</v>
      </c>
      <c r="Q637" t="n">
        <v>0</v>
      </c>
      <c r="R637" s="2" t="inlineStr"/>
    </row>
    <row r="638" ht="15" customHeight="1">
      <c r="A638" t="inlineStr">
        <is>
          <t>A 15550-2023</t>
        </is>
      </c>
      <c r="B638" s="1" t="n">
        <v>45020</v>
      </c>
      <c r="C638" s="1" t="n">
        <v>46191</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31355-2023</t>
        </is>
      </c>
      <c r="B639" s="1" t="n">
        <v>45114</v>
      </c>
      <c r="C639" s="1" t="n">
        <v>46191</v>
      </c>
      <c r="D639" t="inlineStr">
        <is>
          <t>KALMAR LÄN</t>
        </is>
      </c>
      <c r="E639" t="inlineStr">
        <is>
          <t>VIMMERBY</t>
        </is>
      </c>
      <c r="G639" t="n">
        <v>1.3</v>
      </c>
      <c r="H639" t="n">
        <v>0</v>
      </c>
      <c r="I639" t="n">
        <v>0</v>
      </c>
      <c r="J639" t="n">
        <v>0</v>
      </c>
      <c r="K639" t="n">
        <v>0</v>
      </c>
      <c r="L639" t="n">
        <v>0</v>
      </c>
      <c r="M639" t="n">
        <v>0</v>
      </c>
      <c r="N639" t="n">
        <v>0</v>
      </c>
      <c r="O639" t="n">
        <v>0</v>
      </c>
      <c r="P639" t="n">
        <v>0</v>
      </c>
      <c r="Q639" t="n">
        <v>0</v>
      </c>
      <c r="R639" s="2" t="inlineStr"/>
    </row>
    <row r="640" ht="15" customHeight="1">
      <c r="A640" t="inlineStr">
        <is>
          <t>A 18330-2023</t>
        </is>
      </c>
      <c r="B640" s="1" t="n">
        <v>45041</v>
      </c>
      <c r="C640" s="1" t="n">
        <v>46191</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58100-2024</t>
        </is>
      </c>
      <c r="B641" s="1" t="n">
        <v>45632</v>
      </c>
      <c r="C641" s="1" t="n">
        <v>46191</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46191</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23984-2025</t>
        </is>
      </c>
      <c r="B643" s="1" t="n">
        <v>45796</v>
      </c>
      <c r="C643" s="1" t="n">
        <v>46191</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53752-2024</t>
        </is>
      </c>
      <c r="B644" s="1" t="n">
        <v>45615</v>
      </c>
      <c r="C644" s="1" t="n">
        <v>46191</v>
      </c>
      <c r="D644" t="inlineStr">
        <is>
          <t>KALMAR LÄN</t>
        </is>
      </c>
      <c r="E644" t="inlineStr">
        <is>
          <t>VIMMERBY</t>
        </is>
      </c>
      <c r="G644" t="n">
        <v>2.4</v>
      </c>
      <c r="H644" t="n">
        <v>0</v>
      </c>
      <c r="I644" t="n">
        <v>0</v>
      </c>
      <c r="J644" t="n">
        <v>0</v>
      </c>
      <c r="K644" t="n">
        <v>0</v>
      </c>
      <c r="L644" t="n">
        <v>0</v>
      </c>
      <c r="M644" t="n">
        <v>0</v>
      </c>
      <c r="N644" t="n">
        <v>0</v>
      </c>
      <c r="O644" t="n">
        <v>0</v>
      </c>
      <c r="P644" t="n">
        <v>0</v>
      </c>
      <c r="Q644" t="n">
        <v>0</v>
      </c>
      <c r="R644" s="2" t="inlineStr"/>
    </row>
    <row r="645" ht="15" customHeight="1">
      <c r="A645" t="inlineStr">
        <is>
          <t>A 58728-2024</t>
        </is>
      </c>
      <c r="B645" s="1" t="n">
        <v>45635</v>
      </c>
      <c r="C645" s="1" t="n">
        <v>46191</v>
      </c>
      <c r="D645" t="inlineStr">
        <is>
          <t>KALMAR LÄN</t>
        </is>
      </c>
      <c r="E645" t="inlineStr">
        <is>
          <t>VIMMERBY</t>
        </is>
      </c>
      <c r="G645" t="n">
        <v>0.4</v>
      </c>
      <c r="H645" t="n">
        <v>0</v>
      </c>
      <c r="I645" t="n">
        <v>0</v>
      </c>
      <c r="J645" t="n">
        <v>0</v>
      </c>
      <c r="K645" t="n">
        <v>0</v>
      </c>
      <c r="L645" t="n">
        <v>0</v>
      </c>
      <c r="M645" t="n">
        <v>0</v>
      </c>
      <c r="N645" t="n">
        <v>0</v>
      </c>
      <c r="O645" t="n">
        <v>0</v>
      </c>
      <c r="P645" t="n">
        <v>0</v>
      </c>
      <c r="Q645" t="n">
        <v>0</v>
      </c>
      <c r="R645" s="2" t="inlineStr"/>
    </row>
    <row r="646" ht="15" customHeight="1">
      <c r="A646" t="inlineStr">
        <is>
          <t>A 43242-2024</t>
        </is>
      </c>
      <c r="B646" s="1" t="n">
        <v>45568</v>
      </c>
      <c r="C646" s="1" t="n">
        <v>46191</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16983-2023</t>
        </is>
      </c>
      <c r="B647" s="1" t="n">
        <v>45033</v>
      </c>
      <c r="C647" s="1" t="n">
        <v>46191</v>
      </c>
      <c r="D647" t="inlineStr">
        <is>
          <t>KALMAR LÄN</t>
        </is>
      </c>
      <c r="E647" t="inlineStr">
        <is>
          <t>VIMMERBY</t>
        </is>
      </c>
      <c r="G647" t="n">
        <v>0.6</v>
      </c>
      <c r="H647" t="n">
        <v>0</v>
      </c>
      <c r="I647" t="n">
        <v>0</v>
      </c>
      <c r="J647" t="n">
        <v>0</v>
      </c>
      <c r="K647" t="n">
        <v>0</v>
      </c>
      <c r="L647" t="n">
        <v>0</v>
      </c>
      <c r="M647" t="n">
        <v>0</v>
      </c>
      <c r="N647" t="n">
        <v>0</v>
      </c>
      <c r="O647" t="n">
        <v>0</v>
      </c>
      <c r="P647" t="n">
        <v>0</v>
      </c>
      <c r="Q647" t="n">
        <v>0</v>
      </c>
      <c r="R647" s="2" t="inlineStr"/>
    </row>
    <row r="648" ht="15" customHeight="1">
      <c r="A648" t="inlineStr">
        <is>
          <t>A 6405-2025</t>
        </is>
      </c>
      <c r="B648" s="1" t="n">
        <v>45699</v>
      </c>
      <c r="C648" s="1" t="n">
        <v>46191</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36843-2023</t>
        </is>
      </c>
      <c r="B649" s="1" t="n">
        <v>45154</v>
      </c>
      <c r="C649" s="1" t="n">
        <v>46191</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57486-2024</t>
        </is>
      </c>
      <c r="B650" s="1" t="n">
        <v>45630</v>
      </c>
      <c r="C650" s="1" t="n">
        <v>46191</v>
      </c>
      <c r="D650" t="inlineStr">
        <is>
          <t>KALMAR LÄN</t>
        </is>
      </c>
      <c r="E650" t="inlineStr">
        <is>
          <t>VIMMERBY</t>
        </is>
      </c>
      <c r="G650" t="n">
        <v>0.4</v>
      </c>
      <c r="H650" t="n">
        <v>0</v>
      </c>
      <c r="I650" t="n">
        <v>0</v>
      </c>
      <c r="J650" t="n">
        <v>0</v>
      </c>
      <c r="K650" t="n">
        <v>0</v>
      </c>
      <c r="L650" t="n">
        <v>0</v>
      </c>
      <c r="M650" t="n">
        <v>0</v>
      </c>
      <c r="N650" t="n">
        <v>0</v>
      </c>
      <c r="O650" t="n">
        <v>0</v>
      </c>
      <c r="P650" t="n">
        <v>0</v>
      </c>
      <c r="Q650" t="n">
        <v>0</v>
      </c>
      <c r="R650" s="2" t="inlineStr"/>
    </row>
    <row r="651" ht="15" customHeight="1">
      <c r="A651" t="inlineStr">
        <is>
          <t>A 44423-2023</t>
        </is>
      </c>
      <c r="B651" s="1" t="n">
        <v>45189</v>
      </c>
      <c r="C651" s="1" t="n">
        <v>46191</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51278-2024</t>
        </is>
      </c>
      <c r="B652" s="1" t="n">
        <v>45603</v>
      </c>
      <c r="C652" s="1" t="n">
        <v>46191</v>
      </c>
      <c r="D652" t="inlineStr">
        <is>
          <t>KALMAR LÄN</t>
        </is>
      </c>
      <c r="E652" t="inlineStr">
        <is>
          <t>VIMMERBY</t>
        </is>
      </c>
      <c r="G652" t="n">
        <v>3.4</v>
      </c>
      <c r="H652" t="n">
        <v>0</v>
      </c>
      <c r="I652" t="n">
        <v>0</v>
      </c>
      <c r="J652" t="n">
        <v>0</v>
      </c>
      <c r="K652" t="n">
        <v>0</v>
      </c>
      <c r="L652" t="n">
        <v>0</v>
      </c>
      <c r="M652" t="n">
        <v>0</v>
      </c>
      <c r="N652" t="n">
        <v>0</v>
      </c>
      <c r="O652" t="n">
        <v>0</v>
      </c>
      <c r="P652" t="n">
        <v>0</v>
      </c>
      <c r="Q652" t="n">
        <v>0</v>
      </c>
      <c r="R652" s="2" t="inlineStr"/>
    </row>
    <row r="653" ht="15" customHeight="1">
      <c r="A653" t="inlineStr">
        <is>
          <t>A 21496-2023</t>
        </is>
      </c>
      <c r="B653" s="1" t="n">
        <v>45063</v>
      </c>
      <c r="C653" s="1" t="n">
        <v>46191</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31056-2022</t>
        </is>
      </c>
      <c r="B654" s="1" t="n">
        <v>44769</v>
      </c>
      <c r="C654" s="1" t="n">
        <v>46191</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35082-2024</t>
        </is>
      </c>
      <c r="B655" s="1" t="n">
        <v>45527</v>
      </c>
      <c r="C655" s="1" t="n">
        <v>46191</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44582-2024</t>
        </is>
      </c>
      <c r="B656" s="1" t="n">
        <v>45574</v>
      </c>
      <c r="C656" s="1" t="n">
        <v>46191</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9456-2025</t>
        </is>
      </c>
      <c r="B657" s="1" t="n">
        <v>45715</v>
      </c>
      <c r="C657" s="1" t="n">
        <v>46191</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72701-2021</t>
        </is>
      </c>
      <c r="B658" s="1" t="n">
        <v>44546</v>
      </c>
      <c r="C658" s="1" t="n">
        <v>46191</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61355-2024</t>
        </is>
      </c>
      <c r="B659" s="1" t="n">
        <v>45646</v>
      </c>
      <c r="C659" s="1" t="n">
        <v>46191</v>
      </c>
      <c r="D659" t="inlineStr">
        <is>
          <t>KALMAR LÄN</t>
        </is>
      </c>
      <c r="E659" t="inlineStr">
        <is>
          <t>VIMMERBY</t>
        </is>
      </c>
      <c r="G659" t="n">
        <v>2.7</v>
      </c>
      <c r="H659" t="n">
        <v>0</v>
      </c>
      <c r="I659" t="n">
        <v>0</v>
      </c>
      <c r="J659" t="n">
        <v>0</v>
      </c>
      <c r="K659" t="n">
        <v>0</v>
      </c>
      <c r="L659" t="n">
        <v>0</v>
      </c>
      <c r="M659" t="n">
        <v>0</v>
      </c>
      <c r="N659" t="n">
        <v>0</v>
      </c>
      <c r="O659" t="n">
        <v>0</v>
      </c>
      <c r="P659" t="n">
        <v>0</v>
      </c>
      <c r="Q659" t="n">
        <v>0</v>
      </c>
      <c r="R659" s="2" t="inlineStr"/>
    </row>
    <row r="660" ht="15" customHeight="1">
      <c r="A660" t="inlineStr">
        <is>
          <t>A 11111-2023</t>
        </is>
      </c>
      <c r="B660" s="1" t="n">
        <v>44992</v>
      </c>
      <c r="C660" s="1" t="n">
        <v>46191</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33374-2021</t>
        </is>
      </c>
      <c r="B661" s="1" t="n">
        <v>44377</v>
      </c>
      <c r="C661" s="1" t="n">
        <v>46191</v>
      </c>
      <c r="D661" t="inlineStr">
        <is>
          <t>KALMAR LÄN</t>
        </is>
      </c>
      <c r="E661" t="inlineStr">
        <is>
          <t>VIMMERBY</t>
        </is>
      </c>
      <c r="G661" t="n">
        <v>3.3</v>
      </c>
      <c r="H661" t="n">
        <v>0</v>
      </c>
      <c r="I661" t="n">
        <v>0</v>
      </c>
      <c r="J661" t="n">
        <v>0</v>
      </c>
      <c r="K661" t="n">
        <v>0</v>
      </c>
      <c r="L661" t="n">
        <v>0</v>
      </c>
      <c r="M661" t="n">
        <v>0</v>
      </c>
      <c r="N661" t="n">
        <v>0</v>
      </c>
      <c r="O661" t="n">
        <v>0</v>
      </c>
      <c r="P661" t="n">
        <v>0</v>
      </c>
      <c r="Q661" t="n">
        <v>0</v>
      </c>
      <c r="R661" s="2" t="inlineStr"/>
    </row>
    <row r="662" ht="15" customHeight="1">
      <c r="A662" t="inlineStr">
        <is>
          <t>A 58724-2024</t>
        </is>
      </c>
      <c r="B662" s="1" t="n">
        <v>45635</v>
      </c>
      <c r="C662" s="1" t="n">
        <v>46191</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15494-2024</t>
        </is>
      </c>
      <c r="B663" s="1" t="n">
        <v>45401</v>
      </c>
      <c r="C663" s="1" t="n">
        <v>46191</v>
      </c>
      <c r="D663" t="inlineStr">
        <is>
          <t>KALMAR LÄN</t>
        </is>
      </c>
      <c r="E663" t="inlineStr">
        <is>
          <t>VIMMERBY</t>
        </is>
      </c>
      <c r="G663" t="n">
        <v>3.2</v>
      </c>
      <c r="H663" t="n">
        <v>0</v>
      </c>
      <c r="I663" t="n">
        <v>0</v>
      </c>
      <c r="J663" t="n">
        <v>0</v>
      </c>
      <c r="K663" t="n">
        <v>0</v>
      </c>
      <c r="L663" t="n">
        <v>0</v>
      </c>
      <c r="M663" t="n">
        <v>0</v>
      </c>
      <c r="N663" t="n">
        <v>0</v>
      </c>
      <c r="O663" t="n">
        <v>0</v>
      </c>
      <c r="P663" t="n">
        <v>0</v>
      </c>
      <c r="Q663" t="n">
        <v>0</v>
      </c>
      <c r="R663" s="2" t="inlineStr"/>
    </row>
    <row r="664" ht="15" customHeight="1">
      <c r="A664" t="inlineStr">
        <is>
          <t>A 10759-2023</t>
        </is>
      </c>
      <c r="B664" s="1" t="n">
        <v>44988</v>
      </c>
      <c r="C664" s="1" t="n">
        <v>46191</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26046-2025</t>
        </is>
      </c>
      <c r="B665" s="1" t="n">
        <v>45804</v>
      </c>
      <c r="C665" s="1" t="n">
        <v>46191</v>
      </c>
      <c r="D665" t="inlineStr">
        <is>
          <t>KALMAR LÄN</t>
        </is>
      </c>
      <c r="E665" t="inlineStr">
        <is>
          <t>VIMMERBY</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25792-2025</t>
        </is>
      </c>
      <c r="B666" s="1" t="n">
        <v>45804</v>
      </c>
      <c r="C666" s="1" t="n">
        <v>46191</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32614-2023</t>
        </is>
      </c>
      <c r="B667" s="1" t="n">
        <v>45121</v>
      </c>
      <c r="C667" s="1" t="n">
        <v>46191</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61939-2021</t>
        </is>
      </c>
      <c r="B668" s="1" t="n">
        <v>44502</v>
      </c>
      <c r="C668" s="1" t="n">
        <v>46191</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26207-2025</t>
        </is>
      </c>
      <c r="B669" s="1" t="n">
        <v>45805</v>
      </c>
      <c r="C669" s="1" t="n">
        <v>46191</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40076-2021</t>
        </is>
      </c>
      <c r="B670" s="1" t="n">
        <v>44418</v>
      </c>
      <c r="C670" s="1" t="n">
        <v>46191</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12588-2025</t>
        </is>
      </c>
      <c r="B671" s="1" t="n">
        <v>45732</v>
      </c>
      <c r="C671" s="1" t="n">
        <v>46191</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25979-2023</t>
        </is>
      </c>
      <c r="B672" s="1" t="n">
        <v>45090</v>
      </c>
      <c r="C672" s="1" t="n">
        <v>46191</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25980-2023</t>
        </is>
      </c>
      <c r="B673" s="1" t="n">
        <v>45090</v>
      </c>
      <c r="C673" s="1" t="n">
        <v>46191</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46921-2023</t>
        </is>
      </c>
      <c r="B674" s="1" t="n">
        <v>45201</v>
      </c>
      <c r="C674" s="1" t="n">
        <v>46191</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10837-2023</t>
        </is>
      </c>
      <c r="B675" s="1" t="n">
        <v>44991</v>
      </c>
      <c r="C675" s="1" t="n">
        <v>46191</v>
      </c>
      <c r="D675" t="inlineStr">
        <is>
          <t>KALMAR LÄN</t>
        </is>
      </c>
      <c r="E675" t="inlineStr">
        <is>
          <t>VIMMERBY</t>
        </is>
      </c>
      <c r="G675" t="n">
        <v>7.3</v>
      </c>
      <c r="H675" t="n">
        <v>0</v>
      </c>
      <c r="I675" t="n">
        <v>0</v>
      </c>
      <c r="J675" t="n">
        <v>0</v>
      </c>
      <c r="K675" t="n">
        <v>0</v>
      </c>
      <c r="L675" t="n">
        <v>0</v>
      </c>
      <c r="M675" t="n">
        <v>0</v>
      </c>
      <c r="N675" t="n">
        <v>0</v>
      </c>
      <c r="O675" t="n">
        <v>0</v>
      </c>
      <c r="P675" t="n">
        <v>0</v>
      </c>
      <c r="Q675" t="n">
        <v>0</v>
      </c>
      <c r="R675" s="2" t="inlineStr"/>
    </row>
    <row r="676" ht="15" customHeight="1">
      <c r="A676" t="inlineStr">
        <is>
          <t>A 10838-2023</t>
        </is>
      </c>
      <c r="B676" s="1" t="n">
        <v>44991</v>
      </c>
      <c r="C676" s="1" t="n">
        <v>46191</v>
      </c>
      <c r="D676" t="inlineStr">
        <is>
          <t>KALMAR LÄN</t>
        </is>
      </c>
      <c r="E676" t="inlineStr">
        <is>
          <t>VIMMERBY</t>
        </is>
      </c>
      <c r="G676" t="n">
        <v>5.1</v>
      </c>
      <c r="H676" t="n">
        <v>0</v>
      </c>
      <c r="I676" t="n">
        <v>0</v>
      </c>
      <c r="J676" t="n">
        <v>0</v>
      </c>
      <c r="K676" t="n">
        <v>0</v>
      </c>
      <c r="L676" t="n">
        <v>0</v>
      </c>
      <c r="M676" t="n">
        <v>0</v>
      </c>
      <c r="N676" t="n">
        <v>0</v>
      </c>
      <c r="O676" t="n">
        <v>0</v>
      </c>
      <c r="P676" t="n">
        <v>0</v>
      </c>
      <c r="Q676" t="n">
        <v>0</v>
      </c>
      <c r="R676" s="2" t="inlineStr"/>
    </row>
    <row r="677" ht="15" customHeight="1">
      <c r="A677" t="inlineStr">
        <is>
          <t>A 30912-2023</t>
        </is>
      </c>
      <c r="B677" s="1" t="n">
        <v>45113</v>
      </c>
      <c r="C677" s="1" t="n">
        <v>46191</v>
      </c>
      <c r="D677" t="inlineStr">
        <is>
          <t>KALMAR LÄN</t>
        </is>
      </c>
      <c r="E677" t="inlineStr">
        <is>
          <t>VIMMERBY</t>
        </is>
      </c>
      <c r="G677" t="n">
        <v>5</v>
      </c>
      <c r="H677" t="n">
        <v>0</v>
      </c>
      <c r="I677" t="n">
        <v>0</v>
      </c>
      <c r="J677" t="n">
        <v>0</v>
      </c>
      <c r="K677" t="n">
        <v>0</v>
      </c>
      <c r="L677" t="n">
        <v>0</v>
      </c>
      <c r="M677" t="n">
        <v>0</v>
      </c>
      <c r="N677" t="n">
        <v>0</v>
      </c>
      <c r="O677" t="n">
        <v>0</v>
      </c>
      <c r="P677" t="n">
        <v>0</v>
      </c>
      <c r="Q677" t="n">
        <v>0</v>
      </c>
      <c r="R677" s="2" t="inlineStr"/>
    </row>
    <row r="678" ht="15" customHeight="1">
      <c r="A678" t="inlineStr">
        <is>
          <t>A 55436-2023</t>
        </is>
      </c>
      <c r="B678" s="1" t="n">
        <v>45238</v>
      </c>
      <c r="C678" s="1" t="n">
        <v>46191</v>
      </c>
      <c r="D678" t="inlineStr">
        <is>
          <t>KALMAR LÄN</t>
        </is>
      </c>
      <c r="E678" t="inlineStr">
        <is>
          <t>VIMMERBY</t>
        </is>
      </c>
      <c r="G678" t="n">
        <v>5.6</v>
      </c>
      <c r="H678" t="n">
        <v>0</v>
      </c>
      <c r="I678" t="n">
        <v>0</v>
      </c>
      <c r="J678" t="n">
        <v>0</v>
      </c>
      <c r="K678" t="n">
        <v>0</v>
      </c>
      <c r="L678" t="n">
        <v>0</v>
      </c>
      <c r="M678" t="n">
        <v>0</v>
      </c>
      <c r="N678" t="n">
        <v>0</v>
      </c>
      <c r="O678" t="n">
        <v>0</v>
      </c>
      <c r="P678" t="n">
        <v>0</v>
      </c>
      <c r="Q678" t="n">
        <v>0</v>
      </c>
      <c r="R678" s="2" t="inlineStr"/>
    </row>
    <row r="679" ht="15" customHeight="1">
      <c r="A679" t="inlineStr">
        <is>
          <t>A 21507-2023</t>
        </is>
      </c>
      <c r="B679" s="1" t="n">
        <v>45063</v>
      </c>
      <c r="C679" s="1" t="n">
        <v>46191</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51187-2023</t>
        </is>
      </c>
      <c r="B680" s="1" t="n">
        <v>45219</v>
      </c>
      <c r="C680" s="1" t="n">
        <v>46191</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28290-2025</t>
        </is>
      </c>
      <c r="B681" s="1" t="n">
        <v>45818</v>
      </c>
      <c r="C681" s="1" t="n">
        <v>46191</v>
      </c>
      <c r="D681" t="inlineStr">
        <is>
          <t>KALMAR LÄN</t>
        </is>
      </c>
      <c r="E681" t="inlineStr">
        <is>
          <t>VIMMERBY</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45560-2021</t>
        </is>
      </c>
      <c r="B682" s="1" t="n">
        <v>44440</v>
      </c>
      <c r="C682" s="1" t="n">
        <v>46191</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16622-2025</t>
        </is>
      </c>
      <c r="B683" s="1" t="n">
        <v>45754</v>
      </c>
      <c r="C683" s="1" t="n">
        <v>46191</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28294-2025</t>
        </is>
      </c>
      <c r="B684" s="1" t="n">
        <v>45818</v>
      </c>
      <c r="C684" s="1" t="n">
        <v>46191</v>
      </c>
      <c r="D684" t="inlineStr">
        <is>
          <t>KALMAR LÄN</t>
        </is>
      </c>
      <c r="E684" t="inlineStr">
        <is>
          <t>VIMMERBY</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28713-2025</t>
        </is>
      </c>
      <c r="B685" s="1" t="n">
        <v>45820</v>
      </c>
      <c r="C685" s="1" t="n">
        <v>46191</v>
      </c>
      <c r="D685" t="inlineStr">
        <is>
          <t>KALMAR LÄN</t>
        </is>
      </c>
      <c r="E685" t="inlineStr">
        <is>
          <t>VIMMERBY</t>
        </is>
      </c>
      <c r="G685" t="n">
        <v>2.3</v>
      </c>
      <c r="H685" t="n">
        <v>0</v>
      </c>
      <c r="I685" t="n">
        <v>0</v>
      </c>
      <c r="J685" t="n">
        <v>0</v>
      </c>
      <c r="K685" t="n">
        <v>0</v>
      </c>
      <c r="L685" t="n">
        <v>0</v>
      </c>
      <c r="M685" t="n">
        <v>0</v>
      </c>
      <c r="N685" t="n">
        <v>0</v>
      </c>
      <c r="O685" t="n">
        <v>0</v>
      </c>
      <c r="P685" t="n">
        <v>0</v>
      </c>
      <c r="Q685" t="n">
        <v>0</v>
      </c>
      <c r="R685" s="2" t="inlineStr"/>
    </row>
    <row r="686" ht="15" customHeight="1">
      <c r="A686" t="inlineStr">
        <is>
          <t>A 31340-2023</t>
        </is>
      </c>
      <c r="B686" s="1" t="n">
        <v>45114</v>
      </c>
      <c r="C686" s="1" t="n">
        <v>46191</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29168-2024</t>
        </is>
      </c>
      <c r="B687" s="1" t="n">
        <v>45482</v>
      </c>
      <c r="C687" s="1" t="n">
        <v>46191</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29186-2024</t>
        </is>
      </c>
      <c r="B688" s="1" t="n">
        <v>45482</v>
      </c>
      <c r="C688" s="1" t="n">
        <v>46191</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35895-2024</t>
        </is>
      </c>
      <c r="B689" s="1" t="n">
        <v>45533</v>
      </c>
      <c r="C689" s="1" t="n">
        <v>46191</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12590-2025</t>
        </is>
      </c>
      <c r="B690" s="1" t="n">
        <v>45732</v>
      </c>
      <c r="C690" s="1" t="n">
        <v>46191</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30318-2023</t>
        </is>
      </c>
      <c r="B691" s="1" t="n">
        <v>45111</v>
      </c>
      <c r="C691" s="1" t="n">
        <v>46191</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43186-2021</t>
        </is>
      </c>
      <c r="B692" s="1" t="n">
        <v>44431</v>
      </c>
      <c r="C692" s="1" t="n">
        <v>46191</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60230-2022</t>
        </is>
      </c>
      <c r="B693" s="1" t="n">
        <v>44910</v>
      </c>
      <c r="C693" s="1" t="n">
        <v>46191</v>
      </c>
      <c r="D693" t="inlineStr">
        <is>
          <t>KALMAR LÄN</t>
        </is>
      </c>
      <c r="E693" t="inlineStr">
        <is>
          <t>VIMMERBY</t>
        </is>
      </c>
      <c r="G693" t="n">
        <v>11.3</v>
      </c>
      <c r="H693" t="n">
        <v>0</v>
      </c>
      <c r="I693" t="n">
        <v>0</v>
      </c>
      <c r="J693" t="n">
        <v>0</v>
      </c>
      <c r="K693" t="n">
        <v>0</v>
      </c>
      <c r="L693" t="n">
        <v>0</v>
      </c>
      <c r="M693" t="n">
        <v>0</v>
      </c>
      <c r="N693" t="n">
        <v>0</v>
      </c>
      <c r="O693" t="n">
        <v>0</v>
      </c>
      <c r="P693" t="n">
        <v>0</v>
      </c>
      <c r="Q693" t="n">
        <v>0</v>
      </c>
      <c r="R693" s="2" t="inlineStr"/>
    </row>
    <row r="694" ht="15" customHeight="1">
      <c r="A694" t="inlineStr">
        <is>
          <t>A 29737-2025</t>
        </is>
      </c>
      <c r="B694" s="1" t="n">
        <v>45825</v>
      </c>
      <c r="C694" s="1" t="n">
        <v>46191</v>
      </c>
      <c r="D694" t="inlineStr">
        <is>
          <t>KALMAR LÄN</t>
        </is>
      </c>
      <c r="E694" t="inlineStr">
        <is>
          <t>VIMMERBY</t>
        </is>
      </c>
      <c r="G694" t="n">
        <v>1.2</v>
      </c>
      <c r="H694" t="n">
        <v>0</v>
      </c>
      <c r="I694" t="n">
        <v>0</v>
      </c>
      <c r="J694" t="n">
        <v>0</v>
      </c>
      <c r="K694" t="n">
        <v>0</v>
      </c>
      <c r="L694" t="n">
        <v>0</v>
      </c>
      <c r="M694" t="n">
        <v>0</v>
      </c>
      <c r="N694" t="n">
        <v>0</v>
      </c>
      <c r="O694" t="n">
        <v>0</v>
      </c>
      <c r="P694" t="n">
        <v>0</v>
      </c>
      <c r="Q694" t="n">
        <v>0</v>
      </c>
      <c r="R694" s="2" t="inlineStr"/>
    </row>
    <row r="695" ht="15" customHeight="1">
      <c r="A695" t="inlineStr">
        <is>
          <t>A 5925-2022</t>
        </is>
      </c>
      <c r="B695" s="1" t="n">
        <v>44598</v>
      </c>
      <c r="C695" s="1" t="n">
        <v>46191</v>
      </c>
      <c r="D695" t="inlineStr">
        <is>
          <t>KALMAR LÄN</t>
        </is>
      </c>
      <c r="E695" t="inlineStr">
        <is>
          <t>VIMMERBY</t>
        </is>
      </c>
      <c r="G695" t="n">
        <v>2.1</v>
      </c>
      <c r="H695" t="n">
        <v>0</v>
      </c>
      <c r="I695" t="n">
        <v>0</v>
      </c>
      <c r="J695" t="n">
        <v>0</v>
      </c>
      <c r="K695" t="n">
        <v>0</v>
      </c>
      <c r="L695" t="n">
        <v>0</v>
      </c>
      <c r="M695" t="n">
        <v>0</v>
      </c>
      <c r="N695" t="n">
        <v>0</v>
      </c>
      <c r="O695" t="n">
        <v>0</v>
      </c>
      <c r="P695" t="n">
        <v>0</v>
      </c>
      <c r="Q695" t="n">
        <v>0</v>
      </c>
      <c r="R695" s="2" t="inlineStr"/>
    </row>
    <row r="696" ht="15" customHeight="1">
      <c r="A696" t="inlineStr">
        <is>
          <t>A 845-2023</t>
        </is>
      </c>
      <c r="B696" s="1" t="n">
        <v>44931</v>
      </c>
      <c r="C696" s="1" t="n">
        <v>46191</v>
      </c>
      <c r="D696" t="inlineStr">
        <is>
          <t>KALMAR LÄN</t>
        </is>
      </c>
      <c r="E696" t="inlineStr">
        <is>
          <t>VIMMERBY</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16119-2023</t>
        </is>
      </c>
      <c r="B697" s="1" t="n">
        <v>45027</v>
      </c>
      <c r="C697" s="1" t="n">
        <v>46191</v>
      </c>
      <c r="D697" t="inlineStr">
        <is>
          <t>KALMAR LÄN</t>
        </is>
      </c>
      <c r="E697" t="inlineStr">
        <is>
          <t>VIMMERBY</t>
        </is>
      </c>
      <c r="F697" t="inlineStr">
        <is>
          <t>Kommuner</t>
        </is>
      </c>
      <c r="G697" t="n">
        <v>4.4</v>
      </c>
      <c r="H697" t="n">
        <v>0</v>
      </c>
      <c r="I697" t="n">
        <v>0</v>
      </c>
      <c r="J697" t="n">
        <v>0</v>
      </c>
      <c r="K697" t="n">
        <v>0</v>
      </c>
      <c r="L697" t="n">
        <v>0</v>
      </c>
      <c r="M697" t="n">
        <v>0</v>
      </c>
      <c r="N697" t="n">
        <v>0</v>
      </c>
      <c r="O697" t="n">
        <v>0</v>
      </c>
      <c r="P697" t="n">
        <v>0</v>
      </c>
      <c r="Q697" t="n">
        <v>0</v>
      </c>
      <c r="R697" s="2" t="inlineStr"/>
    </row>
    <row r="698" ht="15" customHeight="1">
      <c r="A698" t="inlineStr">
        <is>
          <t>A 30588-2023</t>
        </is>
      </c>
      <c r="B698" s="1" t="n">
        <v>45112</v>
      </c>
      <c r="C698" s="1" t="n">
        <v>46191</v>
      </c>
      <c r="D698" t="inlineStr">
        <is>
          <t>KALMAR LÄN</t>
        </is>
      </c>
      <c r="E698" t="inlineStr">
        <is>
          <t>VIMMERBY</t>
        </is>
      </c>
      <c r="G698" t="n">
        <v>2.7</v>
      </c>
      <c r="H698" t="n">
        <v>0</v>
      </c>
      <c r="I698" t="n">
        <v>0</v>
      </c>
      <c r="J698" t="n">
        <v>0</v>
      </c>
      <c r="K698" t="n">
        <v>0</v>
      </c>
      <c r="L698" t="n">
        <v>0</v>
      </c>
      <c r="M698" t="n">
        <v>0</v>
      </c>
      <c r="N698" t="n">
        <v>0</v>
      </c>
      <c r="O698" t="n">
        <v>0</v>
      </c>
      <c r="P698" t="n">
        <v>0</v>
      </c>
      <c r="Q698" t="n">
        <v>0</v>
      </c>
      <c r="R698" s="2" t="inlineStr"/>
    </row>
    <row r="699" ht="15" customHeight="1">
      <c r="A699" t="inlineStr">
        <is>
          <t>A 30293-2025</t>
        </is>
      </c>
      <c r="B699" s="1" t="n">
        <v>45827</v>
      </c>
      <c r="C699" s="1" t="n">
        <v>46191</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45528-2021</t>
        </is>
      </c>
      <c r="B700" s="1" t="n">
        <v>44440</v>
      </c>
      <c r="C700" s="1" t="n">
        <v>46191</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16516-2023</t>
        </is>
      </c>
      <c r="B701" s="1" t="n">
        <v>45029</v>
      </c>
      <c r="C701" s="1" t="n">
        <v>46191</v>
      </c>
      <c r="D701" t="inlineStr">
        <is>
          <t>KALMAR LÄN</t>
        </is>
      </c>
      <c r="E701" t="inlineStr">
        <is>
          <t>VIMMERBY</t>
        </is>
      </c>
      <c r="G701" t="n">
        <v>4.3</v>
      </c>
      <c r="H701" t="n">
        <v>0</v>
      </c>
      <c r="I701" t="n">
        <v>0</v>
      </c>
      <c r="J701" t="n">
        <v>0</v>
      </c>
      <c r="K701" t="n">
        <v>0</v>
      </c>
      <c r="L701" t="n">
        <v>0</v>
      </c>
      <c r="M701" t="n">
        <v>0</v>
      </c>
      <c r="N701" t="n">
        <v>0</v>
      </c>
      <c r="O701" t="n">
        <v>0</v>
      </c>
      <c r="P701" t="n">
        <v>0</v>
      </c>
      <c r="Q701" t="n">
        <v>0</v>
      </c>
      <c r="R701" s="2" t="inlineStr"/>
    </row>
    <row r="702" ht="15" customHeight="1">
      <c r="A702" t="inlineStr">
        <is>
          <t>A 30882-2025</t>
        </is>
      </c>
      <c r="B702" s="1" t="n">
        <v>45832</v>
      </c>
      <c r="C702" s="1" t="n">
        <v>46191</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30971-2025</t>
        </is>
      </c>
      <c r="B703" s="1" t="n">
        <v>45832</v>
      </c>
      <c r="C703" s="1" t="n">
        <v>46191</v>
      </c>
      <c r="D703" t="inlineStr">
        <is>
          <t>KALMAR LÄN</t>
        </is>
      </c>
      <c r="E703" t="inlineStr">
        <is>
          <t>VIMMERBY</t>
        </is>
      </c>
      <c r="G703" t="n">
        <v>1.2</v>
      </c>
      <c r="H703" t="n">
        <v>0</v>
      </c>
      <c r="I703" t="n">
        <v>0</v>
      </c>
      <c r="J703" t="n">
        <v>0</v>
      </c>
      <c r="K703" t="n">
        <v>0</v>
      </c>
      <c r="L703" t="n">
        <v>0</v>
      </c>
      <c r="M703" t="n">
        <v>0</v>
      </c>
      <c r="N703" t="n">
        <v>0</v>
      </c>
      <c r="O703" t="n">
        <v>0</v>
      </c>
      <c r="P703" t="n">
        <v>0</v>
      </c>
      <c r="Q703" t="n">
        <v>0</v>
      </c>
      <c r="R703" s="2" t="inlineStr"/>
    </row>
    <row r="704" ht="15" customHeight="1">
      <c r="A704" t="inlineStr">
        <is>
          <t>A 48373-2021</t>
        </is>
      </c>
      <c r="B704" s="1" t="n">
        <v>44451</v>
      </c>
      <c r="C704" s="1" t="n">
        <v>46191</v>
      </c>
      <c r="D704" t="inlineStr">
        <is>
          <t>KALMAR LÄN</t>
        </is>
      </c>
      <c r="E704" t="inlineStr">
        <is>
          <t>VIMMERBY</t>
        </is>
      </c>
      <c r="G704" t="n">
        <v>2.2</v>
      </c>
      <c r="H704" t="n">
        <v>0</v>
      </c>
      <c r="I704" t="n">
        <v>0</v>
      </c>
      <c r="J704" t="n">
        <v>0</v>
      </c>
      <c r="K704" t="n">
        <v>0</v>
      </c>
      <c r="L704" t="n">
        <v>0</v>
      </c>
      <c r="M704" t="n">
        <v>0</v>
      </c>
      <c r="N704" t="n">
        <v>0</v>
      </c>
      <c r="O704" t="n">
        <v>0</v>
      </c>
      <c r="P704" t="n">
        <v>0</v>
      </c>
      <c r="Q704" t="n">
        <v>0</v>
      </c>
      <c r="R704" s="2" t="inlineStr"/>
    </row>
    <row r="705" ht="15" customHeight="1">
      <c r="A705" t="inlineStr">
        <is>
          <t>A 7485-2024</t>
        </is>
      </c>
      <c r="B705" s="1" t="n">
        <v>45346</v>
      </c>
      <c r="C705" s="1" t="n">
        <v>46191</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8559-2025</t>
        </is>
      </c>
      <c r="B706" s="1" t="n">
        <v>45709</v>
      </c>
      <c r="C706" s="1" t="n">
        <v>46191</v>
      </c>
      <c r="D706" t="inlineStr">
        <is>
          <t>KALMAR LÄN</t>
        </is>
      </c>
      <c r="E706" t="inlineStr">
        <is>
          <t>VIMMERBY</t>
        </is>
      </c>
      <c r="G706" t="n">
        <v>8.9</v>
      </c>
      <c r="H706" t="n">
        <v>0</v>
      </c>
      <c r="I706" t="n">
        <v>0</v>
      </c>
      <c r="J706" t="n">
        <v>0</v>
      </c>
      <c r="K706" t="n">
        <v>0</v>
      </c>
      <c r="L706" t="n">
        <v>0</v>
      </c>
      <c r="M706" t="n">
        <v>0</v>
      </c>
      <c r="N706" t="n">
        <v>0</v>
      </c>
      <c r="O706" t="n">
        <v>0</v>
      </c>
      <c r="P706" t="n">
        <v>0</v>
      </c>
      <c r="Q706" t="n">
        <v>0</v>
      </c>
      <c r="R706" s="2" t="inlineStr"/>
    </row>
    <row r="707" ht="15" customHeight="1">
      <c r="A707" t="inlineStr">
        <is>
          <t>A 31551-2025</t>
        </is>
      </c>
      <c r="B707" s="1" t="n">
        <v>45833</v>
      </c>
      <c r="C707" s="1" t="n">
        <v>46191</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32116-2025</t>
        </is>
      </c>
      <c r="B708" s="1" t="n">
        <v>45835</v>
      </c>
      <c r="C708" s="1" t="n">
        <v>46191</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6574-2023</t>
        </is>
      </c>
      <c r="B709" s="1" t="n">
        <v>44966</v>
      </c>
      <c r="C709" s="1" t="n">
        <v>46191</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32380-2025</t>
        </is>
      </c>
      <c r="B710" s="1" t="n">
        <v>45837</v>
      </c>
      <c r="C710" s="1" t="n">
        <v>46191</v>
      </c>
      <c r="D710" t="inlineStr">
        <is>
          <t>KALMAR LÄN</t>
        </is>
      </c>
      <c r="E710" t="inlineStr">
        <is>
          <t>VIMMERBY</t>
        </is>
      </c>
      <c r="G710" t="n">
        <v>3.1</v>
      </c>
      <c r="H710" t="n">
        <v>0</v>
      </c>
      <c r="I710" t="n">
        <v>0</v>
      </c>
      <c r="J710" t="n">
        <v>0</v>
      </c>
      <c r="K710" t="n">
        <v>0</v>
      </c>
      <c r="L710" t="n">
        <v>0</v>
      </c>
      <c r="M710" t="n">
        <v>0</v>
      </c>
      <c r="N710" t="n">
        <v>0</v>
      </c>
      <c r="O710" t="n">
        <v>0</v>
      </c>
      <c r="P710" t="n">
        <v>0</v>
      </c>
      <c r="Q710" t="n">
        <v>0</v>
      </c>
      <c r="R710" s="2" t="inlineStr"/>
    </row>
    <row r="711" ht="15" customHeight="1">
      <c r="A711" t="inlineStr">
        <is>
          <t>A 32077-2025</t>
        </is>
      </c>
      <c r="B711" s="1" t="n">
        <v>45835</v>
      </c>
      <c r="C711" s="1" t="n">
        <v>46191</v>
      </c>
      <c r="D711" t="inlineStr">
        <is>
          <t>KALMAR LÄN</t>
        </is>
      </c>
      <c r="E711" t="inlineStr">
        <is>
          <t>VIMMERBY</t>
        </is>
      </c>
      <c r="G711" t="n">
        <v>1.8</v>
      </c>
      <c r="H711" t="n">
        <v>0</v>
      </c>
      <c r="I711" t="n">
        <v>0</v>
      </c>
      <c r="J711" t="n">
        <v>0</v>
      </c>
      <c r="K711" t="n">
        <v>0</v>
      </c>
      <c r="L711" t="n">
        <v>0</v>
      </c>
      <c r="M711" t="n">
        <v>0</v>
      </c>
      <c r="N711" t="n">
        <v>0</v>
      </c>
      <c r="O711" t="n">
        <v>0</v>
      </c>
      <c r="P711" t="n">
        <v>0</v>
      </c>
      <c r="Q711" t="n">
        <v>0</v>
      </c>
      <c r="R711" s="2" t="inlineStr"/>
    </row>
    <row r="712" ht="15" customHeight="1">
      <c r="A712" t="inlineStr">
        <is>
          <t>A 58750-2022</t>
        </is>
      </c>
      <c r="B712" s="1" t="n">
        <v>44903</v>
      </c>
      <c r="C712" s="1" t="n">
        <v>46191</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33186-2025</t>
        </is>
      </c>
      <c r="B713" s="1" t="n">
        <v>45840</v>
      </c>
      <c r="C713" s="1" t="n">
        <v>46191</v>
      </c>
      <c r="D713" t="inlineStr">
        <is>
          <t>KALMAR LÄN</t>
        </is>
      </c>
      <c r="E713" t="inlineStr">
        <is>
          <t>VIMMERBY</t>
        </is>
      </c>
      <c r="G713" t="n">
        <v>2.6</v>
      </c>
      <c r="H713" t="n">
        <v>0</v>
      </c>
      <c r="I713" t="n">
        <v>0</v>
      </c>
      <c r="J713" t="n">
        <v>0</v>
      </c>
      <c r="K713" t="n">
        <v>0</v>
      </c>
      <c r="L713" t="n">
        <v>0</v>
      </c>
      <c r="M713" t="n">
        <v>0</v>
      </c>
      <c r="N713" t="n">
        <v>0</v>
      </c>
      <c r="O713" t="n">
        <v>0</v>
      </c>
      <c r="P713" t="n">
        <v>0</v>
      </c>
      <c r="Q713" t="n">
        <v>0</v>
      </c>
      <c r="R713" s="2" t="inlineStr"/>
    </row>
    <row r="714" ht="15" customHeight="1">
      <c r="A714" t="inlineStr">
        <is>
          <t>A 30977-2025</t>
        </is>
      </c>
      <c r="B714" s="1" t="n">
        <v>45832</v>
      </c>
      <c r="C714" s="1" t="n">
        <v>46191</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2260-2022</t>
        </is>
      </c>
      <c r="B715" s="1" t="n">
        <v>44578</v>
      </c>
      <c r="C715" s="1" t="n">
        <v>46191</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50860-2022</t>
        </is>
      </c>
      <c r="B716" s="1" t="n">
        <v>44867</v>
      </c>
      <c r="C716" s="1" t="n">
        <v>46191</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53483-2022</t>
        </is>
      </c>
      <c r="B717" s="1" t="n">
        <v>44879</v>
      </c>
      <c r="C717" s="1" t="n">
        <v>46191</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58962-2022</t>
        </is>
      </c>
      <c r="B718" s="1" t="n">
        <v>44903</v>
      </c>
      <c r="C718" s="1" t="n">
        <v>46191</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28702-2025</t>
        </is>
      </c>
      <c r="B719" s="1" t="n">
        <v>45820</v>
      </c>
      <c r="C719" s="1" t="n">
        <v>46191</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58967-2022</t>
        </is>
      </c>
      <c r="B720" s="1" t="n">
        <v>44896</v>
      </c>
      <c r="C720" s="1" t="n">
        <v>46191</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46191</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26956-2025</t>
        </is>
      </c>
      <c r="B722" s="1" t="n">
        <v>45811</v>
      </c>
      <c r="C722" s="1" t="n">
        <v>46191</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4076-2022</t>
        </is>
      </c>
      <c r="B723" s="1" t="n">
        <v>44588</v>
      </c>
      <c r="C723" s="1" t="n">
        <v>46191</v>
      </c>
      <c r="D723" t="inlineStr">
        <is>
          <t>KALMAR LÄN</t>
        </is>
      </c>
      <c r="E723" t="inlineStr">
        <is>
          <t>VIMMERBY</t>
        </is>
      </c>
      <c r="G723" t="n">
        <v>3</v>
      </c>
      <c r="H723" t="n">
        <v>0</v>
      </c>
      <c r="I723" t="n">
        <v>0</v>
      </c>
      <c r="J723" t="n">
        <v>0</v>
      </c>
      <c r="K723" t="n">
        <v>0</v>
      </c>
      <c r="L723" t="n">
        <v>0</v>
      </c>
      <c r="M723" t="n">
        <v>0</v>
      </c>
      <c r="N723" t="n">
        <v>0</v>
      </c>
      <c r="O723" t="n">
        <v>0</v>
      </c>
      <c r="P723" t="n">
        <v>0</v>
      </c>
      <c r="Q723" t="n">
        <v>0</v>
      </c>
      <c r="R723" s="2" t="inlineStr"/>
    </row>
    <row r="724" ht="15" customHeight="1">
      <c r="A724" t="inlineStr">
        <is>
          <t>A 4122-2022</t>
        </is>
      </c>
      <c r="B724" s="1" t="n">
        <v>44588</v>
      </c>
      <c r="C724" s="1" t="n">
        <v>46191</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34628-2025</t>
        </is>
      </c>
      <c r="B725" s="1" t="n">
        <v>45847</v>
      </c>
      <c r="C725" s="1" t="n">
        <v>46191</v>
      </c>
      <c r="D725" t="inlineStr">
        <is>
          <t>KALMAR LÄN</t>
        </is>
      </c>
      <c r="E725" t="inlineStr">
        <is>
          <t>VIMMERBY</t>
        </is>
      </c>
      <c r="G725" t="n">
        <v>4.2</v>
      </c>
      <c r="H725" t="n">
        <v>0</v>
      </c>
      <c r="I725" t="n">
        <v>0</v>
      </c>
      <c r="J725" t="n">
        <v>0</v>
      </c>
      <c r="K725" t="n">
        <v>0</v>
      </c>
      <c r="L725" t="n">
        <v>0</v>
      </c>
      <c r="M725" t="n">
        <v>0</v>
      </c>
      <c r="N725" t="n">
        <v>0</v>
      </c>
      <c r="O725" t="n">
        <v>0</v>
      </c>
      <c r="P725" t="n">
        <v>0</v>
      </c>
      <c r="Q725" t="n">
        <v>0</v>
      </c>
      <c r="R725" s="2" t="inlineStr"/>
    </row>
    <row r="726" ht="15" customHeight="1">
      <c r="A726" t="inlineStr">
        <is>
          <t>A 9624-2024</t>
        </is>
      </c>
      <c r="B726" s="1" t="n">
        <v>45361</v>
      </c>
      <c r="C726" s="1" t="n">
        <v>46191</v>
      </c>
      <c r="D726" t="inlineStr">
        <is>
          <t>KALMAR LÄN</t>
        </is>
      </c>
      <c r="E726" t="inlineStr">
        <is>
          <t>VIMMERBY</t>
        </is>
      </c>
      <c r="G726" t="n">
        <v>3.8</v>
      </c>
      <c r="H726" t="n">
        <v>0</v>
      </c>
      <c r="I726" t="n">
        <v>0</v>
      </c>
      <c r="J726" t="n">
        <v>0</v>
      </c>
      <c r="K726" t="n">
        <v>0</v>
      </c>
      <c r="L726" t="n">
        <v>0</v>
      </c>
      <c r="M726" t="n">
        <v>0</v>
      </c>
      <c r="N726" t="n">
        <v>0</v>
      </c>
      <c r="O726" t="n">
        <v>0</v>
      </c>
      <c r="P726" t="n">
        <v>0</v>
      </c>
      <c r="Q726" t="n">
        <v>0</v>
      </c>
      <c r="R726" s="2" t="inlineStr"/>
    </row>
    <row r="727" ht="15" customHeight="1">
      <c r="A727" t="inlineStr">
        <is>
          <t>A 52327-2023</t>
        </is>
      </c>
      <c r="B727" s="1" t="n">
        <v>45224</v>
      </c>
      <c r="C727" s="1" t="n">
        <v>46191</v>
      </c>
      <c r="D727" t="inlineStr">
        <is>
          <t>KALMAR LÄN</t>
        </is>
      </c>
      <c r="E727" t="inlineStr">
        <is>
          <t>VIMMERBY</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29616-2022</t>
        </is>
      </c>
      <c r="B728" s="1" t="n">
        <v>44754</v>
      </c>
      <c r="C728" s="1" t="n">
        <v>46191</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28403-2023</t>
        </is>
      </c>
      <c r="B729" s="1" t="n">
        <v>45100</v>
      </c>
      <c r="C729" s="1" t="n">
        <v>46191</v>
      </c>
      <c r="D729" t="inlineStr">
        <is>
          <t>KALMAR LÄN</t>
        </is>
      </c>
      <c r="E729" t="inlineStr">
        <is>
          <t>VIMMERBY</t>
        </is>
      </c>
      <c r="G729" t="n">
        <v>1.8</v>
      </c>
      <c r="H729" t="n">
        <v>0</v>
      </c>
      <c r="I729" t="n">
        <v>0</v>
      </c>
      <c r="J729" t="n">
        <v>0</v>
      </c>
      <c r="K729" t="n">
        <v>0</v>
      </c>
      <c r="L729" t="n">
        <v>0</v>
      </c>
      <c r="M729" t="n">
        <v>0</v>
      </c>
      <c r="N729" t="n">
        <v>0</v>
      </c>
      <c r="O729" t="n">
        <v>0</v>
      </c>
      <c r="P729" t="n">
        <v>0</v>
      </c>
      <c r="Q729" t="n">
        <v>0</v>
      </c>
      <c r="R729" s="2" t="inlineStr"/>
    </row>
    <row r="730" ht="15" customHeight="1">
      <c r="A730" t="inlineStr">
        <is>
          <t>A 35271-2025</t>
        </is>
      </c>
      <c r="B730" s="1" t="n">
        <v>45853</v>
      </c>
      <c r="C730" s="1" t="n">
        <v>46191</v>
      </c>
      <c r="D730" t="inlineStr">
        <is>
          <t>KALMAR LÄN</t>
        </is>
      </c>
      <c r="E730" t="inlineStr">
        <is>
          <t>VIMMERBY</t>
        </is>
      </c>
      <c r="G730" t="n">
        <v>0.4</v>
      </c>
      <c r="H730" t="n">
        <v>0</v>
      </c>
      <c r="I730" t="n">
        <v>0</v>
      </c>
      <c r="J730" t="n">
        <v>0</v>
      </c>
      <c r="K730" t="n">
        <v>0</v>
      </c>
      <c r="L730" t="n">
        <v>0</v>
      </c>
      <c r="M730" t="n">
        <v>0</v>
      </c>
      <c r="N730" t="n">
        <v>0</v>
      </c>
      <c r="O730" t="n">
        <v>0</v>
      </c>
      <c r="P730" t="n">
        <v>0</v>
      </c>
      <c r="Q730" t="n">
        <v>0</v>
      </c>
      <c r="R730" s="2" t="inlineStr"/>
    </row>
    <row r="731" ht="15" customHeight="1">
      <c r="A731" t="inlineStr">
        <is>
          <t>A 16953-2025</t>
        </is>
      </c>
      <c r="B731" s="1" t="n">
        <v>45755</v>
      </c>
      <c r="C731" s="1" t="n">
        <v>46191</v>
      </c>
      <c r="D731" t="inlineStr">
        <is>
          <t>KALMAR LÄN</t>
        </is>
      </c>
      <c r="E731" t="inlineStr">
        <is>
          <t>VIMMERBY</t>
        </is>
      </c>
      <c r="G731" t="n">
        <v>2</v>
      </c>
      <c r="H731" t="n">
        <v>0</v>
      </c>
      <c r="I731" t="n">
        <v>0</v>
      </c>
      <c r="J731" t="n">
        <v>0</v>
      </c>
      <c r="K731" t="n">
        <v>0</v>
      </c>
      <c r="L731" t="n">
        <v>0</v>
      </c>
      <c r="M731" t="n">
        <v>0</v>
      </c>
      <c r="N731" t="n">
        <v>0</v>
      </c>
      <c r="O731" t="n">
        <v>0</v>
      </c>
      <c r="P731" t="n">
        <v>0</v>
      </c>
      <c r="Q731" t="n">
        <v>0</v>
      </c>
      <c r="R731" s="2" t="inlineStr"/>
    </row>
    <row r="732" ht="15" customHeight="1">
      <c r="A732" t="inlineStr">
        <is>
          <t>A 66022-2021</t>
        </is>
      </c>
      <c r="B732" s="1" t="n">
        <v>44517</v>
      </c>
      <c r="C732" s="1" t="n">
        <v>46191</v>
      </c>
      <c r="D732" t="inlineStr">
        <is>
          <t>KALMAR LÄN</t>
        </is>
      </c>
      <c r="E732" t="inlineStr">
        <is>
          <t>VIMMERBY</t>
        </is>
      </c>
      <c r="G732" t="n">
        <v>0.5</v>
      </c>
      <c r="H732" t="n">
        <v>0</v>
      </c>
      <c r="I732" t="n">
        <v>0</v>
      </c>
      <c r="J732" t="n">
        <v>0</v>
      </c>
      <c r="K732" t="n">
        <v>0</v>
      </c>
      <c r="L732" t="n">
        <v>0</v>
      </c>
      <c r="M732" t="n">
        <v>0</v>
      </c>
      <c r="N732" t="n">
        <v>0</v>
      </c>
      <c r="O732" t="n">
        <v>0</v>
      </c>
      <c r="P732" t="n">
        <v>0</v>
      </c>
      <c r="Q732" t="n">
        <v>0</v>
      </c>
      <c r="R732" s="2" t="inlineStr"/>
    </row>
    <row r="733" ht="15" customHeight="1">
      <c r="A733" t="inlineStr">
        <is>
          <t>A 30070-2023</t>
        </is>
      </c>
      <c r="B733" s="1" t="n">
        <v>45110</v>
      </c>
      <c r="C733" s="1" t="n">
        <v>46191</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46078-2023</t>
        </is>
      </c>
      <c r="B734" s="1" t="n">
        <v>45196</v>
      </c>
      <c r="C734" s="1" t="n">
        <v>46191</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7643-2022</t>
        </is>
      </c>
      <c r="B735" s="1" t="n">
        <v>44607</v>
      </c>
      <c r="C735" s="1" t="n">
        <v>46191</v>
      </c>
      <c r="D735" t="inlineStr">
        <is>
          <t>KALMAR LÄN</t>
        </is>
      </c>
      <c r="E735" t="inlineStr">
        <is>
          <t>VIMMERBY</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3494-2023</t>
        </is>
      </c>
      <c r="B736" s="1" t="n">
        <v>44949</v>
      </c>
      <c r="C736" s="1" t="n">
        <v>46191</v>
      </c>
      <c r="D736" t="inlineStr">
        <is>
          <t>KALMAR LÄN</t>
        </is>
      </c>
      <c r="E736" t="inlineStr">
        <is>
          <t>VIMMERBY</t>
        </is>
      </c>
      <c r="F736" t="inlineStr">
        <is>
          <t>Kyrkan</t>
        </is>
      </c>
      <c r="G736" t="n">
        <v>0.8</v>
      </c>
      <c r="H736" t="n">
        <v>0</v>
      </c>
      <c r="I736" t="n">
        <v>0</v>
      </c>
      <c r="J736" t="n">
        <v>0</v>
      </c>
      <c r="K736" t="n">
        <v>0</v>
      </c>
      <c r="L736" t="n">
        <v>0</v>
      </c>
      <c r="M736" t="n">
        <v>0</v>
      </c>
      <c r="N736" t="n">
        <v>0</v>
      </c>
      <c r="O736" t="n">
        <v>0</v>
      </c>
      <c r="P736" t="n">
        <v>0</v>
      </c>
      <c r="Q736" t="n">
        <v>0</v>
      </c>
      <c r="R736" s="2" t="inlineStr"/>
    </row>
    <row r="737" ht="15" customHeight="1">
      <c r="A737" t="inlineStr">
        <is>
          <t>A 19502-2025</t>
        </is>
      </c>
      <c r="B737" s="1" t="n">
        <v>45769</v>
      </c>
      <c r="C737" s="1" t="n">
        <v>46191</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32633-2023</t>
        </is>
      </c>
      <c r="B738" s="1" t="n">
        <v>45121</v>
      </c>
      <c r="C738" s="1" t="n">
        <v>46191</v>
      </c>
      <c r="D738" t="inlineStr">
        <is>
          <t>KALMAR LÄN</t>
        </is>
      </c>
      <c r="E738" t="inlineStr">
        <is>
          <t>VIMMERBY</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43601-2024</t>
        </is>
      </c>
      <c r="B739" s="1" t="n">
        <v>45569</v>
      </c>
      <c r="C739" s="1" t="n">
        <v>46191</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36299-2025</t>
        </is>
      </c>
      <c r="B740" s="1" t="n">
        <v>45867</v>
      </c>
      <c r="C740" s="1" t="n">
        <v>46191</v>
      </c>
      <c r="D740" t="inlineStr">
        <is>
          <t>KALMAR LÄN</t>
        </is>
      </c>
      <c r="E740" t="inlineStr">
        <is>
          <t>VIMMERBY</t>
        </is>
      </c>
      <c r="G740" t="n">
        <v>7.6</v>
      </c>
      <c r="H740" t="n">
        <v>0</v>
      </c>
      <c r="I740" t="n">
        <v>0</v>
      </c>
      <c r="J740" t="n">
        <v>0</v>
      </c>
      <c r="K740" t="n">
        <v>0</v>
      </c>
      <c r="L740" t="n">
        <v>0</v>
      </c>
      <c r="M740" t="n">
        <v>0</v>
      </c>
      <c r="N740" t="n">
        <v>0</v>
      </c>
      <c r="O740" t="n">
        <v>0</v>
      </c>
      <c r="P740" t="n">
        <v>0</v>
      </c>
      <c r="Q740" t="n">
        <v>0</v>
      </c>
      <c r="R740" s="2" t="inlineStr"/>
    </row>
    <row r="741" ht="15" customHeight="1">
      <c r="A741" t="inlineStr">
        <is>
          <t>A 13813-2024</t>
        </is>
      </c>
      <c r="B741" s="1" t="n">
        <v>45391</v>
      </c>
      <c r="C741" s="1" t="n">
        <v>46191</v>
      </c>
      <c r="D741" t="inlineStr">
        <is>
          <t>KALMAR LÄN</t>
        </is>
      </c>
      <c r="E741" t="inlineStr">
        <is>
          <t>VIMMERBY</t>
        </is>
      </c>
      <c r="G741" t="n">
        <v>0.4</v>
      </c>
      <c r="H741" t="n">
        <v>0</v>
      </c>
      <c r="I741" t="n">
        <v>0</v>
      </c>
      <c r="J741" t="n">
        <v>0</v>
      </c>
      <c r="K741" t="n">
        <v>0</v>
      </c>
      <c r="L741" t="n">
        <v>0</v>
      </c>
      <c r="M741" t="n">
        <v>0</v>
      </c>
      <c r="N741" t="n">
        <v>0</v>
      </c>
      <c r="O741" t="n">
        <v>0</v>
      </c>
      <c r="P741" t="n">
        <v>0</v>
      </c>
      <c r="Q741" t="n">
        <v>0</v>
      </c>
      <c r="R741" s="2" t="inlineStr"/>
    </row>
    <row r="742" ht="15" customHeight="1">
      <c r="A742" t="inlineStr">
        <is>
          <t>A 25234-2023</t>
        </is>
      </c>
      <c r="B742" s="1" t="n">
        <v>45086</v>
      </c>
      <c r="C742" s="1" t="n">
        <v>46191</v>
      </c>
      <c r="D742" t="inlineStr">
        <is>
          <t>KALMAR LÄN</t>
        </is>
      </c>
      <c r="E742" t="inlineStr">
        <is>
          <t>VIMMERBY</t>
        </is>
      </c>
      <c r="G742" t="n">
        <v>2.1</v>
      </c>
      <c r="H742" t="n">
        <v>0</v>
      </c>
      <c r="I742" t="n">
        <v>0</v>
      </c>
      <c r="J742" t="n">
        <v>0</v>
      </c>
      <c r="K742" t="n">
        <v>0</v>
      </c>
      <c r="L742" t="n">
        <v>0</v>
      </c>
      <c r="M742" t="n">
        <v>0</v>
      </c>
      <c r="N742" t="n">
        <v>0</v>
      </c>
      <c r="O742" t="n">
        <v>0</v>
      </c>
      <c r="P742" t="n">
        <v>0</v>
      </c>
      <c r="Q742" t="n">
        <v>0</v>
      </c>
      <c r="R742" s="2" t="inlineStr"/>
    </row>
    <row r="743" ht="15" customHeight="1">
      <c r="A743" t="inlineStr">
        <is>
          <t>A 25236-2023</t>
        </is>
      </c>
      <c r="B743" s="1" t="n">
        <v>45086</v>
      </c>
      <c r="C743" s="1" t="n">
        <v>46191</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36297-2025</t>
        </is>
      </c>
      <c r="B744" s="1" t="n">
        <v>45867</v>
      </c>
      <c r="C744" s="1" t="n">
        <v>46191</v>
      </c>
      <c r="D744" t="inlineStr">
        <is>
          <t>KALMAR LÄN</t>
        </is>
      </c>
      <c r="E744" t="inlineStr">
        <is>
          <t>VIMMERBY</t>
        </is>
      </c>
      <c r="G744" t="n">
        <v>4.9</v>
      </c>
      <c r="H744" t="n">
        <v>0</v>
      </c>
      <c r="I744" t="n">
        <v>0</v>
      </c>
      <c r="J744" t="n">
        <v>0</v>
      </c>
      <c r="K744" t="n">
        <v>0</v>
      </c>
      <c r="L744" t="n">
        <v>0</v>
      </c>
      <c r="M744" t="n">
        <v>0</v>
      </c>
      <c r="N744" t="n">
        <v>0</v>
      </c>
      <c r="O744" t="n">
        <v>0</v>
      </c>
      <c r="P744" t="n">
        <v>0</v>
      </c>
      <c r="Q744" t="n">
        <v>0</v>
      </c>
      <c r="R744" s="2" t="inlineStr"/>
    </row>
    <row r="745" ht="15" customHeight="1">
      <c r="A745" t="inlineStr">
        <is>
          <t>A 36246-2025</t>
        </is>
      </c>
      <c r="B745" s="1" t="n">
        <v>45867</v>
      </c>
      <c r="C745" s="1" t="n">
        <v>46191</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36538-2025</t>
        </is>
      </c>
      <c r="B746" s="1" t="n">
        <v>45869</v>
      </c>
      <c r="C746" s="1" t="n">
        <v>46191</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25244-2023</t>
        </is>
      </c>
      <c r="B747" s="1" t="n">
        <v>45086</v>
      </c>
      <c r="C747" s="1" t="n">
        <v>46191</v>
      </c>
      <c r="D747" t="inlineStr">
        <is>
          <t>KALMAR LÄN</t>
        </is>
      </c>
      <c r="E747" t="inlineStr">
        <is>
          <t>VIMMERBY</t>
        </is>
      </c>
      <c r="G747" t="n">
        <v>4.7</v>
      </c>
      <c r="H747" t="n">
        <v>0</v>
      </c>
      <c r="I747" t="n">
        <v>0</v>
      </c>
      <c r="J747" t="n">
        <v>0</v>
      </c>
      <c r="K747" t="n">
        <v>0</v>
      </c>
      <c r="L747" t="n">
        <v>0</v>
      </c>
      <c r="M747" t="n">
        <v>0</v>
      </c>
      <c r="N747" t="n">
        <v>0</v>
      </c>
      <c r="O747" t="n">
        <v>0</v>
      </c>
      <c r="P747" t="n">
        <v>0</v>
      </c>
      <c r="Q747" t="n">
        <v>0</v>
      </c>
      <c r="R747" s="2" t="inlineStr"/>
    </row>
    <row r="748" ht="15" customHeight="1">
      <c r="A748" t="inlineStr">
        <is>
          <t>A 36601-2025</t>
        </is>
      </c>
      <c r="B748" s="1" t="n">
        <v>45870</v>
      </c>
      <c r="C748" s="1" t="n">
        <v>46191</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36603-2025</t>
        </is>
      </c>
      <c r="B749" s="1" t="n">
        <v>45870</v>
      </c>
      <c r="C749" s="1" t="n">
        <v>46191</v>
      </c>
      <c r="D749" t="inlineStr">
        <is>
          <t>KALMAR LÄN</t>
        </is>
      </c>
      <c r="E749" t="inlineStr">
        <is>
          <t>VIMMERBY</t>
        </is>
      </c>
      <c r="G749" t="n">
        <v>1.6</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46191</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71793-2021</t>
        </is>
      </c>
      <c r="B751" s="1" t="n">
        <v>44539</v>
      </c>
      <c r="C751" s="1" t="n">
        <v>46191</v>
      </c>
      <c r="D751" t="inlineStr">
        <is>
          <t>KALMAR LÄN</t>
        </is>
      </c>
      <c r="E751" t="inlineStr">
        <is>
          <t>VIMMERBY</t>
        </is>
      </c>
      <c r="G751" t="n">
        <v>2.7</v>
      </c>
      <c r="H751" t="n">
        <v>0</v>
      </c>
      <c r="I751" t="n">
        <v>0</v>
      </c>
      <c r="J751" t="n">
        <v>0</v>
      </c>
      <c r="K751" t="n">
        <v>0</v>
      </c>
      <c r="L751" t="n">
        <v>0</v>
      </c>
      <c r="M751" t="n">
        <v>0</v>
      </c>
      <c r="N751" t="n">
        <v>0</v>
      </c>
      <c r="O751" t="n">
        <v>0</v>
      </c>
      <c r="P751" t="n">
        <v>0</v>
      </c>
      <c r="Q751" t="n">
        <v>0</v>
      </c>
      <c r="R751" s="2" t="inlineStr"/>
    </row>
    <row r="752" ht="15" customHeight="1">
      <c r="A752" t="inlineStr">
        <is>
          <t>A 73938-2021</t>
        </is>
      </c>
      <c r="B752" s="1" t="n">
        <v>44553</v>
      </c>
      <c r="C752" s="1" t="n">
        <v>46191</v>
      </c>
      <c r="D752" t="inlineStr">
        <is>
          <t>KALMAR LÄN</t>
        </is>
      </c>
      <c r="E752" t="inlineStr">
        <is>
          <t>VIMMERBY</t>
        </is>
      </c>
      <c r="G752" t="n">
        <v>3.2</v>
      </c>
      <c r="H752" t="n">
        <v>0</v>
      </c>
      <c r="I752" t="n">
        <v>0</v>
      </c>
      <c r="J752" t="n">
        <v>0</v>
      </c>
      <c r="K752" t="n">
        <v>0</v>
      </c>
      <c r="L752" t="n">
        <v>0</v>
      </c>
      <c r="M752" t="n">
        <v>0</v>
      </c>
      <c r="N752" t="n">
        <v>0</v>
      </c>
      <c r="O752" t="n">
        <v>0</v>
      </c>
      <c r="P752" t="n">
        <v>0</v>
      </c>
      <c r="Q752" t="n">
        <v>0</v>
      </c>
      <c r="R752" s="2" t="inlineStr"/>
    </row>
    <row r="753" ht="15" customHeight="1">
      <c r="A753" t="inlineStr">
        <is>
          <t>A 6069-2023</t>
        </is>
      </c>
      <c r="B753" s="1" t="n">
        <v>44964</v>
      </c>
      <c r="C753" s="1" t="n">
        <v>46191</v>
      </c>
      <c r="D753" t="inlineStr">
        <is>
          <t>KALMAR LÄN</t>
        </is>
      </c>
      <c r="E753" t="inlineStr">
        <is>
          <t>VIMMERBY</t>
        </is>
      </c>
      <c r="G753" t="n">
        <v>1.1</v>
      </c>
      <c r="H753" t="n">
        <v>0</v>
      </c>
      <c r="I753" t="n">
        <v>0</v>
      </c>
      <c r="J753" t="n">
        <v>0</v>
      </c>
      <c r="K753" t="n">
        <v>0</v>
      </c>
      <c r="L753" t="n">
        <v>0</v>
      </c>
      <c r="M753" t="n">
        <v>0</v>
      </c>
      <c r="N753" t="n">
        <v>0</v>
      </c>
      <c r="O753" t="n">
        <v>0</v>
      </c>
      <c r="P753" t="n">
        <v>0</v>
      </c>
      <c r="Q753" t="n">
        <v>0</v>
      </c>
      <c r="R753" s="2" t="inlineStr"/>
    </row>
    <row r="754" ht="15" customHeight="1">
      <c r="A754" t="inlineStr">
        <is>
          <t>A 50995-2022</t>
        </is>
      </c>
      <c r="B754" s="1" t="n">
        <v>44867</v>
      </c>
      <c r="C754" s="1" t="n">
        <v>46191</v>
      </c>
      <c r="D754" t="inlineStr">
        <is>
          <t>KALMAR LÄN</t>
        </is>
      </c>
      <c r="E754" t="inlineStr">
        <is>
          <t>VIMMERBY</t>
        </is>
      </c>
      <c r="G754" t="n">
        <v>2.4</v>
      </c>
      <c r="H754" t="n">
        <v>0</v>
      </c>
      <c r="I754" t="n">
        <v>0</v>
      </c>
      <c r="J754" t="n">
        <v>0</v>
      </c>
      <c r="K754" t="n">
        <v>0</v>
      </c>
      <c r="L754" t="n">
        <v>0</v>
      </c>
      <c r="M754" t="n">
        <v>0</v>
      </c>
      <c r="N754" t="n">
        <v>0</v>
      </c>
      <c r="O754" t="n">
        <v>0</v>
      </c>
      <c r="P754" t="n">
        <v>0</v>
      </c>
      <c r="Q754" t="n">
        <v>0</v>
      </c>
      <c r="R754" s="2" t="inlineStr"/>
    </row>
    <row r="755" ht="15" customHeight="1">
      <c r="A755" t="inlineStr">
        <is>
          <t>A 37668-2025</t>
        </is>
      </c>
      <c r="B755" s="1" t="n">
        <v>45880</v>
      </c>
      <c r="C755" s="1" t="n">
        <v>46191</v>
      </c>
      <c r="D755" t="inlineStr">
        <is>
          <t>KALMAR LÄN</t>
        </is>
      </c>
      <c r="E755" t="inlineStr">
        <is>
          <t>VIMMERBY</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27122-2023</t>
        </is>
      </c>
      <c r="B756" s="1" t="n">
        <v>45096</v>
      </c>
      <c r="C756" s="1" t="n">
        <v>46191</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37578-2025</t>
        </is>
      </c>
      <c r="B757" s="1" t="n">
        <v>45880</v>
      </c>
      <c r="C757" s="1" t="n">
        <v>46191</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30402-2023</t>
        </is>
      </c>
      <c r="B758" s="1" t="n">
        <v>45111</v>
      </c>
      <c r="C758" s="1" t="n">
        <v>46191</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47842-2024</t>
        </is>
      </c>
      <c r="B759" s="1" t="n">
        <v>45588</v>
      </c>
      <c r="C759" s="1" t="n">
        <v>46191</v>
      </c>
      <c r="D759" t="inlineStr">
        <is>
          <t>KALMAR LÄN</t>
        </is>
      </c>
      <c r="E759" t="inlineStr">
        <is>
          <t>VIMMERBY</t>
        </is>
      </c>
      <c r="G759" t="n">
        <v>2.4</v>
      </c>
      <c r="H759" t="n">
        <v>0</v>
      </c>
      <c r="I759" t="n">
        <v>0</v>
      </c>
      <c r="J759" t="n">
        <v>0</v>
      </c>
      <c r="K759" t="n">
        <v>0</v>
      </c>
      <c r="L759" t="n">
        <v>0</v>
      </c>
      <c r="M759" t="n">
        <v>0</v>
      </c>
      <c r="N759" t="n">
        <v>0</v>
      </c>
      <c r="O759" t="n">
        <v>0</v>
      </c>
      <c r="P759" t="n">
        <v>0</v>
      </c>
      <c r="Q759" t="n">
        <v>0</v>
      </c>
      <c r="R759" s="2" t="inlineStr"/>
    </row>
    <row r="760" ht="15" customHeight="1">
      <c r="A760" t="inlineStr">
        <is>
          <t>A 6857-2023</t>
        </is>
      </c>
      <c r="B760" s="1" t="n">
        <v>44967</v>
      </c>
      <c r="C760" s="1" t="n">
        <v>46191</v>
      </c>
      <c r="D760" t="inlineStr">
        <is>
          <t>KALMAR LÄN</t>
        </is>
      </c>
      <c r="E760" t="inlineStr">
        <is>
          <t>VIMMERBY</t>
        </is>
      </c>
      <c r="G760" t="n">
        <v>2.1</v>
      </c>
      <c r="H760" t="n">
        <v>0</v>
      </c>
      <c r="I760" t="n">
        <v>0</v>
      </c>
      <c r="J760" t="n">
        <v>0</v>
      </c>
      <c r="K760" t="n">
        <v>0</v>
      </c>
      <c r="L760" t="n">
        <v>0</v>
      </c>
      <c r="M760" t="n">
        <v>0</v>
      </c>
      <c r="N760" t="n">
        <v>0</v>
      </c>
      <c r="O760" t="n">
        <v>0</v>
      </c>
      <c r="P760" t="n">
        <v>0</v>
      </c>
      <c r="Q760" t="n">
        <v>0</v>
      </c>
      <c r="R760" s="2" t="inlineStr"/>
    </row>
    <row r="761" ht="15" customHeight="1">
      <c r="A761" t="inlineStr">
        <is>
          <t>A 46224-2024</t>
        </is>
      </c>
      <c r="B761" s="1" t="n">
        <v>45581</v>
      </c>
      <c r="C761" s="1" t="n">
        <v>46191</v>
      </c>
      <c r="D761" t="inlineStr">
        <is>
          <t>KALMAR LÄN</t>
        </is>
      </c>
      <c r="E761" t="inlineStr">
        <is>
          <t>VIMMERBY</t>
        </is>
      </c>
      <c r="G761" t="n">
        <v>3.1</v>
      </c>
      <c r="H761" t="n">
        <v>0</v>
      </c>
      <c r="I761" t="n">
        <v>0</v>
      </c>
      <c r="J761" t="n">
        <v>0</v>
      </c>
      <c r="K761" t="n">
        <v>0</v>
      </c>
      <c r="L761" t="n">
        <v>0</v>
      </c>
      <c r="M761" t="n">
        <v>0</v>
      </c>
      <c r="N761" t="n">
        <v>0</v>
      </c>
      <c r="O761" t="n">
        <v>0</v>
      </c>
      <c r="P761" t="n">
        <v>0</v>
      </c>
      <c r="Q761" t="n">
        <v>0</v>
      </c>
      <c r="R761" s="2" t="inlineStr"/>
    </row>
    <row r="762" ht="15" customHeight="1">
      <c r="A762" t="inlineStr">
        <is>
          <t>A 29013-2024</t>
        </is>
      </c>
      <c r="B762" s="1" t="n">
        <v>45481</v>
      </c>
      <c r="C762" s="1" t="n">
        <v>46191</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c r="A763" t="inlineStr">
        <is>
          <t>A 37028-2024</t>
        </is>
      </c>
      <c r="B763" s="1" t="n">
        <v>45539</v>
      </c>
      <c r="C763" s="1" t="n">
        <v>46191</v>
      </c>
      <c r="D763" t="inlineStr">
        <is>
          <t>KALMAR LÄN</t>
        </is>
      </c>
      <c r="E763" t="inlineStr">
        <is>
          <t>VIMMERBY</t>
        </is>
      </c>
      <c r="G763" t="n">
        <v>5.2</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2026-06-18T13:18:11Z</dcterms:created>
  <dcterms:modified xmlns:dcterms="http://purl.org/dc/terms/" xmlns:xsi="http://www.w3.org/2001/XMLSchema-instance" xsi:type="dcterms:W3CDTF">2026-06-18T13:18:12Z</dcterms:modified>
</cp:coreProperties>
</file>