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45575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45575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45575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45575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45575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45575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45575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45575</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45575</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45575</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45575</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45575</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45575</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45575</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45575</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45575</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45575</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45575</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45575</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45575</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45575</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45575</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45575</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45575</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45575</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45575</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45575</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45575</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45575</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45575</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45575</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45575</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45575</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45575</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45575</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45575</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45575</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45575</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45575</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45575</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45575</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45575</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45575</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45575</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45575</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45575</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45575</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45575</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45575</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45575</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45575</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45575</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45575</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45575</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45575</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45575</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45575</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45575</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45575</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45575</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45575</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45575</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45575</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45575</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4359-2024</t>
        </is>
      </c>
      <c r="B66" s="1" t="n">
        <v>45325</v>
      </c>
      <c r="C66" s="1" t="n">
        <v>45575</v>
      </c>
      <c r="D66" t="inlineStr">
        <is>
          <t>KALMAR LÄN</t>
        </is>
      </c>
      <c r="E66" t="inlineStr">
        <is>
          <t>VIMMERBY</t>
        </is>
      </c>
      <c r="G66" t="n">
        <v>3.6</v>
      </c>
      <c r="H66" t="n">
        <v>0</v>
      </c>
      <c r="I66" t="n">
        <v>0</v>
      </c>
      <c r="J66" t="n">
        <v>1</v>
      </c>
      <c r="K66" t="n">
        <v>0</v>
      </c>
      <c r="L66" t="n">
        <v>0</v>
      </c>
      <c r="M66" t="n">
        <v>0</v>
      </c>
      <c r="N66" t="n">
        <v>0</v>
      </c>
      <c r="O66" t="n">
        <v>1</v>
      </c>
      <c r="P66" t="n">
        <v>0</v>
      </c>
      <c r="Q66" t="n">
        <v>1</v>
      </c>
      <c r="R66" s="2" t="inlineStr">
        <is>
          <t>Kandelabersvamp</t>
        </is>
      </c>
      <c r="S66">
        <f>HYPERLINK("https://klasma.github.io/Logging_0884/artfynd/A 4359-2024 artfynd.xlsx", "A 4359-2024")</f>
        <v/>
      </c>
      <c r="T66">
        <f>HYPERLINK("https://klasma.github.io/Logging_0884/kartor/A 4359-2024 karta.png", "A 4359-2024")</f>
        <v/>
      </c>
      <c r="V66">
        <f>HYPERLINK("https://klasma.github.io/Logging_0884/klagomål/A 4359-2024 FSC-klagomål.docx", "A 4359-2024")</f>
        <v/>
      </c>
      <c r="W66">
        <f>HYPERLINK("https://klasma.github.io/Logging_0884/klagomålsmail/A 4359-2024 FSC-klagomål mail.docx", "A 4359-2024")</f>
        <v/>
      </c>
      <c r="X66">
        <f>HYPERLINK("https://klasma.github.io/Logging_0884/tillsyn/A 4359-2024 tillsynsbegäran.docx", "A 4359-2024")</f>
        <v/>
      </c>
      <c r="Y66">
        <f>HYPERLINK("https://klasma.github.io/Logging_0884/tillsynsmail/A 4359-2024 tillsynsbegäran mail.docx", "A 4359-2024")</f>
        <v/>
      </c>
    </row>
    <row r="67" ht="15" customHeight="1">
      <c r="A67" t="inlineStr">
        <is>
          <t>A 10016-2024</t>
        </is>
      </c>
      <c r="B67" s="1" t="n">
        <v>45363</v>
      </c>
      <c r="C67" s="1" t="n">
        <v>45575</v>
      </c>
      <c r="D67" t="inlineStr">
        <is>
          <t>KALMAR LÄN</t>
        </is>
      </c>
      <c r="E67" t="inlineStr">
        <is>
          <t>VIMMERBY</t>
        </is>
      </c>
      <c r="G67" t="n">
        <v>1.5</v>
      </c>
      <c r="H67" t="n">
        <v>1</v>
      </c>
      <c r="I67" t="n">
        <v>0</v>
      </c>
      <c r="J67" t="n">
        <v>1</v>
      </c>
      <c r="K67" t="n">
        <v>0</v>
      </c>
      <c r="L67" t="n">
        <v>0</v>
      </c>
      <c r="M67" t="n">
        <v>0</v>
      </c>
      <c r="N67" t="n">
        <v>0</v>
      </c>
      <c r="O67" t="n">
        <v>1</v>
      </c>
      <c r="P67" t="n">
        <v>0</v>
      </c>
      <c r="Q67" t="n">
        <v>1</v>
      </c>
      <c r="R67" s="2" t="inlineStr">
        <is>
          <t>Röd skogslilja</t>
        </is>
      </c>
      <c r="S67">
        <f>HYPERLINK("https://klasma.github.io/Logging_0884/artfynd/A 10016-2024 artfynd.xlsx", "A 10016-2024")</f>
        <v/>
      </c>
      <c r="T67">
        <f>HYPERLINK("https://klasma.github.io/Logging_0884/kartor/A 10016-2024 karta.png", "A 10016-2024")</f>
        <v/>
      </c>
      <c r="V67">
        <f>HYPERLINK("https://klasma.github.io/Logging_0884/klagomål/A 10016-2024 FSC-klagomål.docx", "A 10016-2024")</f>
        <v/>
      </c>
      <c r="W67">
        <f>HYPERLINK("https://klasma.github.io/Logging_0884/klagomålsmail/A 10016-2024 FSC-klagomål mail.docx", "A 10016-2024")</f>
        <v/>
      </c>
      <c r="X67">
        <f>HYPERLINK("https://klasma.github.io/Logging_0884/tillsyn/A 10016-2024 tillsynsbegäran.docx", "A 10016-2024")</f>
        <v/>
      </c>
      <c r="Y67">
        <f>HYPERLINK("https://klasma.github.io/Logging_0884/tillsynsmail/A 10016-2024 tillsynsbegäran mail.docx", "A 10016-2024")</f>
        <v/>
      </c>
    </row>
    <row r="68" ht="15" customHeight="1">
      <c r="A68" t="inlineStr">
        <is>
          <t>A 15122-2024</t>
        </is>
      </c>
      <c r="B68" s="1" t="n">
        <v>45399</v>
      </c>
      <c r="C68" s="1" t="n">
        <v>45575</v>
      </c>
      <c r="D68" t="inlineStr">
        <is>
          <t>KALMAR LÄN</t>
        </is>
      </c>
      <c r="E68" t="inlineStr">
        <is>
          <t>VIMMERBY</t>
        </is>
      </c>
      <c r="G68" t="n">
        <v>1.7</v>
      </c>
      <c r="H68" t="n">
        <v>0</v>
      </c>
      <c r="I68" t="n">
        <v>0</v>
      </c>
      <c r="J68" t="n">
        <v>0</v>
      </c>
      <c r="K68" t="n">
        <v>1</v>
      </c>
      <c r="L68" t="n">
        <v>0</v>
      </c>
      <c r="M68" t="n">
        <v>0</v>
      </c>
      <c r="N68" t="n">
        <v>0</v>
      </c>
      <c r="O68" t="n">
        <v>1</v>
      </c>
      <c r="P68" t="n">
        <v>1</v>
      </c>
      <c r="Q68" t="n">
        <v>1</v>
      </c>
      <c r="R68" s="2" t="inlineStr">
        <is>
          <t>Sågfibbla</t>
        </is>
      </c>
      <c r="S68">
        <f>HYPERLINK("https://klasma.github.io/Logging_0884/artfynd/A 15122-2024 artfynd.xlsx", "A 15122-2024")</f>
        <v/>
      </c>
      <c r="T68">
        <f>HYPERLINK("https://klasma.github.io/Logging_0884/kartor/A 15122-2024 karta.png", "A 15122-2024")</f>
        <v/>
      </c>
      <c r="V68">
        <f>HYPERLINK("https://klasma.github.io/Logging_0884/klagomål/A 15122-2024 FSC-klagomål.docx", "A 15122-2024")</f>
        <v/>
      </c>
      <c r="W68">
        <f>HYPERLINK("https://klasma.github.io/Logging_0884/klagomålsmail/A 15122-2024 FSC-klagomål mail.docx", "A 15122-2024")</f>
        <v/>
      </c>
      <c r="X68">
        <f>HYPERLINK("https://klasma.github.io/Logging_0884/tillsyn/A 15122-2024 tillsynsbegäran.docx", "A 15122-2024")</f>
        <v/>
      </c>
      <c r="Y68">
        <f>HYPERLINK("https://klasma.github.io/Logging_0884/tillsynsmail/A 15122-2024 tillsynsbegäran mail.docx", "A 15122-2024")</f>
        <v/>
      </c>
    </row>
    <row r="69" ht="15" customHeight="1">
      <c r="A69" t="inlineStr">
        <is>
          <t>A 15627-2024</t>
        </is>
      </c>
      <c r="B69" s="1" t="n">
        <v>45402</v>
      </c>
      <c r="C69" s="1" t="n">
        <v>45575</v>
      </c>
      <c r="D69" t="inlineStr">
        <is>
          <t>KALMAR LÄN</t>
        </is>
      </c>
      <c r="E69" t="inlineStr">
        <is>
          <t>VIMMERBY</t>
        </is>
      </c>
      <c r="G69" t="n">
        <v>3.2</v>
      </c>
      <c r="H69" t="n">
        <v>1</v>
      </c>
      <c r="I69" t="n">
        <v>1</v>
      </c>
      <c r="J69" t="n">
        <v>0</v>
      </c>
      <c r="K69" t="n">
        <v>0</v>
      </c>
      <c r="L69" t="n">
        <v>0</v>
      </c>
      <c r="M69" t="n">
        <v>0</v>
      </c>
      <c r="N69" t="n">
        <v>0</v>
      </c>
      <c r="O69" t="n">
        <v>0</v>
      </c>
      <c r="P69" t="n">
        <v>0</v>
      </c>
      <c r="Q69" t="n">
        <v>1</v>
      </c>
      <c r="R69" s="2" t="inlineStr">
        <is>
          <t>Plattlummer</t>
        </is>
      </c>
      <c r="S69">
        <f>HYPERLINK("https://klasma.github.io/Logging_0884/artfynd/A 15627-2024 artfynd.xlsx", "A 15627-2024")</f>
        <v/>
      </c>
      <c r="T69">
        <f>HYPERLINK("https://klasma.github.io/Logging_0884/kartor/A 15627-2024 karta.png", "A 15627-2024")</f>
        <v/>
      </c>
      <c r="V69">
        <f>HYPERLINK("https://klasma.github.io/Logging_0884/klagomål/A 15627-2024 FSC-klagomål.docx", "A 15627-2024")</f>
        <v/>
      </c>
      <c r="W69">
        <f>HYPERLINK("https://klasma.github.io/Logging_0884/klagomålsmail/A 15627-2024 FSC-klagomål mail.docx", "A 15627-2024")</f>
        <v/>
      </c>
      <c r="X69">
        <f>HYPERLINK("https://klasma.github.io/Logging_0884/tillsyn/A 15627-2024 tillsynsbegäran.docx", "A 15627-2024")</f>
        <v/>
      </c>
      <c r="Y69">
        <f>HYPERLINK("https://klasma.github.io/Logging_0884/tillsynsmail/A 15627-2024 tillsynsbegäran mail.docx", "A 15627-2024")</f>
        <v/>
      </c>
    </row>
    <row r="70" ht="15" customHeight="1">
      <c r="A70" t="inlineStr">
        <is>
          <t>A 37199-2024</t>
        </is>
      </c>
      <c r="B70" s="1" t="n">
        <v>45539</v>
      </c>
      <c r="C70" s="1" t="n">
        <v>45575</v>
      </c>
      <c r="D70" t="inlineStr">
        <is>
          <t>KALMAR LÄN</t>
        </is>
      </c>
      <c r="E70" t="inlineStr">
        <is>
          <t>VIMMERBY</t>
        </is>
      </c>
      <c r="G70" t="n">
        <v>0.6</v>
      </c>
      <c r="H70" t="n">
        <v>1</v>
      </c>
      <c r="I70" t="n">
        <v>1</v>
      </c>
      <c r="J70" t="n">
        <v>0</v>
      </c>
      <c r="K70" t="n">
        <v>0</v>
      </c>
      <c r="L70" t="n">
        <v>0</v>
      </c>
      <c r="M70" t="n">
        <v>0</v>
      </c>
      <c r="N70" t="n">
        <v>0</v>
      </c>
      <c r="O70" t="n">
        <v>0</v>
      </c>
      <c r="P70" t="n">
        <v>0</v>
      </c>
      <c r="Q70" t="n">
        <v>1</v>
      </c>
      <c r="R70" s="2" t="inlineStr">
        <is>
          <t>Purpurknipprot</t>
        </is>
      </c>
      <c r="S70">
        <f>HYPERLINK("https://klasma.github.io/Logging_0884/artfynd/A 37199-2024 artfynd.xlsx", "A 37199-2024")</f>
        <v/>
      </c>
      <c r="T70">
        <f>HYPERLINK("https://klasma.github.io/Logging_0884/kartor/A 37199-2024 karta.png", "A 37199-2024")</f>
        <v/>
      </c>
      <c r="V70">
        <f>HYPERLINK("https://klasma.github.io/Logging_0884/klagomål/A 37199-2024 FSC-klagomål.docx", "A 37199-2024")</f>
        <v/>
      </c>
      <c r="W70">
        <f>HYPERLINK("https://klasma.github.io/Logging_0884/klagomålsmail/A 37199-2024 FSC-klagomål mail.docx", "A 37199-2024")</f>
        <v/>
      </c>
      <c r="X70">
        <f>HYPERLINK("https://klasma.github.io/Logging_0884/tillsyn/A 37199-2024 tillsynsbegäran.docx", "A 37199-2024")</f>
        <v/>
      </c>
      <c r="Y70">
        <f>HYPERLINK("https://klasma.github.io/Logging_0884/tillsynsmail/A 37199-2024 tillsynsbegäran mail.docx", "A 37199-2024")</f>
        <v/>
      </c>
    </row>
    <row r="71" ht="15" customHeight="1">
      <c r="A71" t="inlineStr">
        <is>
          <t>A 38208-2024</t>
        </is>
      </c>
      <c r="B71" s="1" t="n">
        <v>45545</v>
      </c>
      <c r="C71" s="1" t="n">
        <v>45575</v>
      </c>
      <c r="D71" t="inlineStr">
        <is>
          <t>KALMAR LÄN</t>
        </is>
      </c>
      <c r="E71" t="inlineStr">
        <is>
          <t>VIMMERBY</t>
        </is>
      </c>
      <c r="G71" t="n">
        <v>5.2</v>
      </c>
      <c r="H71" t="n">
        <v>0</v>
      </c>
      <c r="I71" t="n">
        <v>0</v>
      </c>
      <c r="J71" t="n">
        <v>1</v>
      </c>
      <c r="K71" t="n">
        <v>0</v>
      </c>
      <c r="L71" t="n">
        <v>0</v>
      </c>
      <c r="M71" t="n">
        <v>0</v>
      </c>
      <c r="N71" t="n">
        <v>0</v>
      </c>
      <c r="O71" t="n">
        <v>1</v>
      </c>
      <c r="P71" t="n">
        <v>0</v>
      </c>
      <c r="Q71" t="n">
        <v>1</v>
      </c>
      <c r="R71" s="2" t="inlineStr">
        <is>
          <t>Solvända</t>
        </is>
      </c>
      <c r="S71">
        <f>HYPERLINK("https://klasma.github.io/Logging_0884/artfynd/A 38208-2024 artfynd.xlsx", "A 38208-2024")</f>
        <v/>
      </c>
      <c r="T71">
        <f>HYPERLINK("https://klasma.github.io/Logging_0884/kartor/A 38208-2024 karta.png", "A 38208-2024")</f>
        <v/>
      </c>
      <c r="V71">
        <f>HYPERLINK("https://klasma.github.io/Logging_0884/klagomål/A 38208-2024 FSC-klagomål.docx", "A 38208-2024")</f>
        <v/>
      </c>
      <c r="W71">
        <f>HYPERLINK("https://klasma.github.io/Logging_0884/klagomålsmail/A 38208-2024 FSC-klagomål mail.docx", "A 38208-2024")</f>
        <v/>
      </c>
      <c r="X71">
        <f>HYPERLINK("https://klasma.github.io/Logging_0884/tillsyn/A 38208-2024 tillsynsbegäran.docx", "A 38208-2024")</f>
        <v/>
      </c>
      <c r="Y71">
        <f>HYPERLINK("https://klasma.github.io/Logging_0884/tillsynsmail/A 38208-2024 tillsynsbegäran mail.docx", "A 38208-2024")</f>
        <v/>
      </c>
    </row>
    <row r="72" ht="15" customHeight="1">
      <c r="A72" t="inlineStr">
        <is>
          <t>A 44684-2024</t>
        </is>
      </c>
      <c r="B72" s="1" t="n">
        <v>45574</v>
      </c>
      <c r="C72" s="1" t="n">
        <v>45575</v>
      </c>
      <c r="D72" t="inlineStr">
        <is>
          <t>KALMAR LÄN</t>
        </is>
      </c>
      <c r="E72" t="inlineStr">
        <is>
          <t>VIMMERBY</t>
        </is>
      </c>
      <c r="G72" t="n">
        <v>2.8</v>
      </c>
      <c r="H72" t="n">
        <v>0</v>
      </c>
      <c r="I72" t="n">
        <v>1</v>
      </c>
      <c r="J72" t="n">
        <v>0</v>
      </c>
      <c r="K72" t="n">
        <v>0</v>
      </c>
      <c r="L72" t="n">
        <v>0</v>
      </c>
      <c r="M72" t="n">
        <v>0</v>
      </c>
      <c r="N72" t="n">
        <v>0</v>
      </c>
      <c r="O72" t="n">
        <v>0</v>
      </c>
      <c r="P72" t="n">
        <v>0</v>
      </c>
      <c r="Q72" t="n">
        <v>1</v>
      </c>
      <c r="R72" s="2" t="inlineStr">
        <is>
          <t>Blåmossa</t>
        </is>
      </c>
      <c r="S72">
        <f>HYPERLINK("https://klasma.github.io/Logging_0884/artfynd/A 44684-2024 artfynd.xlsx", "A 44684-2024")</f>
        <v/>
      </c>
      <c r="T72">
        <f>HYPERLINK("https://klasma.github.io/Logging_0884/kartor/A 44684-2024 karta.png", "A 44684-2024")</f>
        <v/>
      </c>
      <c r="U72">
        <f>HYPERLINK("https://klasma.github.io/Logging_0884/knärot/A 44684-2024 karta knärot.png", "A 44684-2024")</f>
        <v/>
      </c>
      <c r="V72">
        <f>HYPERLINK("https://klasma.github.io/Logging_0884/klagomål/A 44684-2024 FSC-klagomål.docx", "A 44684-2024")</f>
        <v/>
      </c>
      <c r="W72">
        <f>HYPERLINK("https://klasma.github.io/Logging_0884/klagomålsmail/A 44684-2024 FSC-klagomål mail.docx", "A 44684-2024")</f>
        <v/>
      </c>
      <c r="X72">
        <f>HYPERLINK("https://klasma.github.io/Logging_0884/tillsyn/A 44684-2024 tillsynsbegäran.docx", "A 44684-2024")</f>
        <v/>
      </c>
      <c r="Y72">
        <f>HYPERLINK("https://klasma.github.io/Logging_0884/tillsynsmail/A 44684-2024 tillsynsbegäran mail.docx", "A 44684-2024")</f>
        <v/>
      </c>
    </row>
    <row r="73" ht="15" customHeight="1">
      <c r="A73" t="inlineStr">
        <is>
          <t>A 44651-2024</t>
        </is>
      </c>
      <c r="B73" s="1" t="n">
        <v>45574</v>
      </c>
      <c r="C73" s="1" t="n">
        <v>45575</v>
      </c>
      <c r="D73" t="inlineStr">
        <is>
          <t>KALMAR LÄN</t>
        </is>
      </c>
      <c r="E73" t="inlineStr">
        <is>
          <t>VIMMERBY</t>
        </is>
      </c>
      <c r="G73" t="n">
        <v>3</v>
      </c>
      <c r="H73" t="n">
        <v>0</v>
      </c>
      <c r="I73" t="n">
        <v>0</v>
      </c>
      <c r="J73" t="n">
        <v>0</v>
      </c>
      <c r="K73" t="n">
        <v>0</v>
      </c>
      <c r="L73" t="n">
        <v>1</v>
      </c>
      <c r="M73" t="n">
        <v>0</v>
      </c>
      <c r="N73" t="n">
        <v>0</v>
      </c>
      <c r="O73" t="n">
        <v>1</v>
      </c>
      <c r="P73" t="n">
        <v>1</v>
      </c>
      <c r="Q73" t="n">
        <v>1</v>
      </c>
      <c r="R73" s="2" t="inlineStr">
        <is>
          <t>Ryl</t>
        </is>
      </c>
      <c r="S73">
        <f>HYPERLINK("https://klasma.github.io/Logging_0884/artfynd/A 44651-2024 artfynd.xlsx", "A 44651-2024")</f>
        <v/>
      </c>
      <c r="T73">
        <f>HYPERLINK("https://klasma.github.io/Logging_0884/kartor/A 44651-2024 karta.png", "A 44651-2024")</f>
        <v/>
      </c>
      <c r="V73">
        <f>HYPERLINK("https://klasma.github.io/Logging_0884/klagomål/A 44651-2024 FSC-klagomål.docx", "A 44651-2024")</f>
        <v/>
      </c>
      <c r="W73">
        <f>HYPERLINK("https://klasma.github.io/Logging_0884/klagomålsmail/A 44651-2024 FSC-klagomål mail.docx", "A 44651-2024")</f>
        <v/>
      </c>
      <c r="X73">
        <f>HYPERLINK("https://klasma.github.io/Logging_0884/tillsyn/A 44651-2024 tillsynsbegäran.docx", "A 44651-2024")</f>
        <v/>
      </c>
      <c r="Y73">
        <f>HYPERLINK("https://klasma.github.io/Logging_0884/tillsynsmail/A 44651-2024 tillsynsbegäran mail.docx", "A 44651-2024")</f>
        <v/>
      </c>
    </row>
    <row r="74" ht="15" customHeight="1">
      <c r="A74" t="inlineStr">
        <is>
          <t>A 44515-2024</t>
        </is>
      </c>
      <c r="B74" s="1" t="n">
        <v>45574</v>
      </c>
      <c r="C74" s="1" t="n">
        <v>45575</v>
      </c>
      <c r="D74" t="inlineStr">
        <is>
          <t>KALMAR LÄN</t>
        </is>
      </c>
      <c r="E74" t="inlineStr">
        <is>
          <t>VIMMERBY</t>
        </is>
      </c>
      <c r="G74" t="n">
        <v>1.4</v>
      </c>
      <c r="H74" t="n">
        <v>1</v>
      </c>
      <c r="I74" t="n">
        <v>0</v>
      </c>
      <c r="J74" t="n">
        <v>0</v>
      </c>
      <c r="K74" t="n">
        <v>1</v>
      </c>
      <c r="L74" t="n">
        <v>0</v>
      </c>
      <c r="M74" t="n">
        <v>0</v>
      </c>
      <c r="N74" t="n">
        <v>0</v>
      </c>
      <c r="O74" t="n">
        <v>1</v>
      </c>
      <c r="P74" t="n">
        <v>1</v>
      </c>
      <c r="Q74" t="n">
        <v>1</v>
      </c>
      <c r="R74" s="2" t="inlineStr">
        <is>
          <t>Knärot</t>
        </is>
      </c>
      <c r="S74">
        <f>HYPERLINK("https://klasma.github.io/Logging_0884/artfynd/A 44515-2024 artfynd.xlsx", "A 44515-2024")</f>
        <v/>
      </c>
      <c r="T74">
        <f>HYPERLINK("https://klasma.github.io/Logging_0884/kartor/A 44515-2024 karta.png", "A 44515-2024")</f>
        <v/>
      </c>
      <c r="U74">
        <f>HYPERLINK("https://klasma.github.io/Logging_0884/knärot/A 44515-2024 karta knärot.png", "A 44515-2024")</f>
        <v/>
      </c>
      <c r="V74">
        <f>HYPERLINK("https://klasma.github.io/Logging_0884/klagomål/A 44515-2024 FSC-klagomål.docx", "A 44515-2024")</f>
        <v/>
      </c>
      <c r="W74">
        <f>HYPERLINK("https://klasma.github.io/Logging_0884/klagomålsmail/A 44515-2024 FSC-klagomål mail.docx", "A 44515-2024")</f>
        <v/>
      </c>
      <c r="X74">
        <f>HYPERLINK("https://klasma.github.io/Logging_0884/tillsyn/A 44515-2024 tillsynsbegäran.docx", "A 44515-2024")</f>
        <v/>
      </c>
      <c r="Y74">
        <f>HYPERLINK("https://klasma.github.io/Logging_0884/tillsynsmail/A 44515-2024 tillsynsbegäran mail.docx", "A 44515-2024")</f>
        <v/>
      </c>
    </row>
    <row r="75" ht="15" customHeight="1">
      <c r="A75" t="inlineStr">
        <is>
          <t>A 44723-2024</t>
        </is>
      </c>
      <c r="B75" s="1" t="n">
        <v>45574</v>
      </c>
      <c r="C75" s="1" t="n">
        <v>45575</v>
      </c>
      <c r="D75" t="inlineStr">
        <is>
          <t>KALMAR LÄN</t>
        </is>
      </c>
      <c r="E75" t="inlineStr">
        <is>
          <t>VIMMERBY</t>
        </is>
      </c>
      <c r="G75" t="n">
        <v>6.9</v>
      </c>
      <c r="H75" t="n">
        <v>0</v>
      </c>
      <c r="I75" t="n">
        <v>1</v>
      </c>
      <c r="J75" t="n">
        <v>0</v>
      </c>
      <c r="K75" t="n">
        <v>0</v>
      </c>
      <c r="L75" t="n">
        <v>0</v>
      </c>
      <c r="M75" t="n">
        <v>0</v>
      </c>
      <c r="N75" t="n">
        <v>0</v>
      </c>
      <c r="O75" t="n">
        <v>0</v>
      </c>
      <c r="P75" t="n">
        <v>0</v>
      </c>
      <c r="Q75" t="n">
        <v>1</v>
      </c>
      <c r="R75" s="2" t="inlineStr">
        <is>
          <t>Dropptaggsvamp</t>
        </is>
      </c>
      <c r="S75">
        <f>HYPERLINK("https://klasma.github.io/Logging_0884/artfynd/A 44723-2024 artfynd.xlsx", "A 44723-2024")</f>
        <v/>
      </c>
      <c r="T75">
        <f>HYPERLINK("https://klasma.github.io/Logging_0884/kartor/A 44723-2024 karta.png", "A 44723-2024")</f>
        <v/>
      </c>
      <c r="V75">
        <f>HYPERLINK("https://klasma.github.io/Logging_0884/klagomål/A 44723-2024 FSC-klagomål.docx", "A 44723-2024")</f>
        <v/>
      </c>
      <c r="W75">
        <f>HYPERLINK("https://klasma.github.io/Logging_0884/klagomålsmail/A 44723-2024 FSC-klagomål mail.docx", "A 44723-2024")</f>
        <v/>
      </c>
      <c r="X75">
        <f>HYPERLINK("https://klasma.github.io/Logging_0884/tillsyn/A 44723-2024 tillsynsbegäran.docx", "A 44723-2024")</f>
        <v/>
      </c>
      <c r="Y75">
        <f>HYPERLINK("https://klasma.github.io/Logging_0884/tillsynsmail/A 44723-2024 tillsynsbegäran mail.docx", "A 44723-2024")</f>
        <v/>
      </c>
    </row>
    <row r="76" ht="15" customHeight="1">
      <c r="A76" t="inlineStr">
        <is>
          <t>A 18658-2019</t>
        </is>
      </c>
      <c r="B76" s="1" t="n">
        <v>43559</v>
      </c>
      <c r="C76" s="1" t="n">
        <v>45575</v>
      </c>
      <c r="D76" t="inlineStr">
        <is>
          <t>KALMAR LÄN</t>
        </is>
      </c>
      <c r="E76" t="inlineStr">
        <is>
          <t>VIMMERBY</t>
        </is>
      </c>
      <c r="G76" t="n">
        <v>2.5</v>
      </c>
      <c r="H76" t="n">
        <v>0</v>
      </c>
      <c r="I76" t="n">
        <v>0</v>
      </c>
      <c r="J76" t="n">
        <v>0</v>
      </c>
      <c r="K76" t="n">
        <v>0</v>
      </c>
      <c r="L76" t="n">
        <v>0</v>
      </c>
      <c r="M76" t="n">
        <v>0</v>
      </c>
      <c r="N76" t="n">
        <v>0</v>
      </c>
      <c r="O76" t="n">
        <v>0</v>
      </c>
      <c r="P76" t="n">
        <v>0</v>
      </c>
      <c r="Q76" t="n">
        <v>0</v>
      </c>
      <c r="R76" s="2" t="inlineStr"/>
    </row>
    <row r="77" ht="15" customHeight="1">
      <c r="A77" t="inlineStr">
        <is>
          <t>A 18656-2019</t>
        </is>
      </c>
      <c r="B77" s="1" t="n">
        <v>43559</v>
      </c>
      <c r="C77" s="1" t="n">
        <v>45575</v>
      </c>
      <c r="D77" t="inlineStr">
        <is>
          <t>KALMAR LÄN</t>
        </is>
      </c>
      <c r="E77" t="inlineStr">
        <is>
          <t>VIMMERBY</t>
        </is>
      </c>
      <c r="G77" t="n">
        <v>2.1</v>
      </c>
      <c r="H77" t="n">
        <v>0</v>
      </c>
      <c r="I77" t="n">
        <v>0</v>
      </c>
      <c r="J77" t="n">
        <v>0</v>
      </c>
      <c r="K77" t="n">
        <v>0</v>
      </c>
      <c r="L77" t="n">
        <v>0</v>
      </c>
      <c r="M77" t="n">
        <v>0</v>
      </c>
      <c r="N77" t="n">
        <v>0</v>
      </c>
      <c r="O77" t="n">
        <v>0</v>
      </c>
      <c r="P77" t="n">
        <v>0</v>
      </c>
      <c r="Q77" t="n">
        <v>0</v>
      </c>
      <c r="R77" s="2" t="inlineStr"/>
    </row>
    <row r="78" ht="15" customHeight="1">
      <c r="A78" t="inlineStr">
        <is>
          <t>A 18755-2019</t>
        </is>
      </c>
      <c r="B78" s="1" t="n">
        <v>43560</v>
      </c>
      <c r="C78" s="1" t="n">
        <v>45575</v>
      </c>
      <c r="D78" t="inlineStr">
        <is>
          <t>KALMAR LÄN</t>
        </is>
      </c>
      <c r="E78" t="inlineStr">
        <is>
          <t>VIMMERBY</t>
        </is>
      </c>
      <c r="G78" t="n">
        <v>1.6</v>
      </c>
      <c r="H78" t="n">
        <v>0</v>
      </c>
      <c r="I78" t="n">
        <v>0</v>
      </c>
      <c r="J78" t="n">
        <v>0</v>
      </c>
      <c r="K78" t="n">
        <v>0</v>
      </c>
      <c r="L78" t="n">
        <v>0</v>
      </c>
      <c r="M78" t="n">
        <v>0</v>
      </c>
      <c r="N78" t="n">
        <v>0</v>
      </c>
      <c r="O78" t="n">
        <v>0</v>
      </c>
      <c r="P78" t="n">
        <v>0</v>
      </c>
      <c r="Q78" t="n">
        <v>0</v>
      </c>
      <c r="R78" s="2" t="inlineStr"/>
    </row>
    <row r="79" ht="15" customHeight="1">
      <c r="A79" t="inlineStr">
        <is>
          <t>A 19057-2019</t>
        </is>
      </c>
      <c r="B79" s="1" t="n">
        <v>43563</v>
      </c>
      <c r="C79" s="1" t="n">
        <v>45575</v>
      </c>
      <c r="D79" t="inlineStr">
        <is>
          <t>KALMAR LÄN</t>
        </is>
      </c>
      <c r="E79" t="inlineStr">
        <is>
          <t>VIMMERBY</t>
        </is>
      </c>
      <c r="G79" t="n">
        <v>10.1</v>
      </c>
      <c r="H79" t="n">
        <v>0</v>
      </c>
      <c r="I79" t="n">
        <v>0</v>
      </c>
      <c r="J79" t="n">
        <v>0</v>
      </c>
      <c r="K79" t="n">
        <v>0</v>
      </c>
      <c r="L79" t="n">
        <v>0</v>
      </c>
      <c r="M79" t="n">
        <v>0</v>
      </c>
      <c r="N79" t="n">
        <v>0</v>
      </c>
      <c r="O79" t="n">
        <v>0</v>
      </c>
      <c r="P79" t="n">
        <v>0</v>
      </c>
      <c r="Q79" t="n">
        <v>0</v>
      </c>
      <c r="R79" s="2" t="inlineStr"/>
    </row>
    <row r="80" ht="15" customHeight="1">
      <c r="A80" t="inlineStr">
        <is>
          <t>A 19056-2019</t>
        </is>
      </c>
      <c r="B80" s="1" t="n">
        <v>43563</v>
      </c>
      <c r="C80" s="1" t="n">
        <v>45575</v>
      </c>
      <c r="D80" t="inlineStr">
        <is>
          <t>KALMAR LÄN</t>
        </is>
      </c>
      <c r="E80" t="inlineStr">
        <is>
          <t>VIMMERBY</t>
        </is>
      </c>
      <c r="G80" t="n">
        <v>3.2</v>
      </c>
      <c r="H80" t="n">
        <v>0</v>
      </c>
      <c r="I80" t="n">
        <v>0</v>
      </c>
      <c r="J80" t="n">
        <v>0</v>
      </c>
      <c r="K80" t="n">
        <v>0</v>
      </c>
      <c r="L80" t="n">
        <v>0</v>
      </c>
      <c r="M80" t="n">
        <v>0</v>
      </c>
      <c r="N80" t="n">
        <v>0</v>
      </c>
      <c r="O80" t="n">
        <v>0</v>
      </c>
      <c r="P80" t="n">
        <v>0</v>
      </c>
      <c r="Q80" t="n">
        <v>0</v>
      </c>
      <c r="R80" s="2" t="inlineStr"/>
    </row>
    <row r="81" ht="15" customHeight="1">
      <c r="A81" t="inlineStr">
        <is>
          <t>A 19054-2019</t>
        </is>
      </c>
      <c r="B81" s="1" t="n">
        <v>43563</v>
      </c>
      <c r="C81" s="1" t="n">
        <v>45575</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19616-2019</t>
        </is>
      </c>
      <c r="B82" s="1" t="n">
        <v>43566</v>
      </c>
      <c r="C82" s="1" t="n">
        <v>45575</v>
      </c>
      <c r="D82" t="inlineStr">
        <is>
          <t>KALMAR LÄN</t>
        </is>
      </c>
      <c r="E82" t="inlineStr">
        <is>
          <t>VIMMERBY</t>
        </is>
      </c>
      <c r="G82" t="n">
        <v>1</v>
      </c>
      <c r="H82" t="n">
        <v>0</v>
      </c>
      <c r="I82" t="n">
        <v>0</v>
      </c>
      <c r="J82" t="n">
        <v>0</v>
      </c>
      <c r="K82" t="n">
        <v>0</v>
      </c>
      <c r="L82" t="n">
        <v>0</v>
      </c>
      <c r="M82" t="n">
        <v>0</v>
      </c>
      <c r="N82" t="n">
        <v>0</v>
      </c>
      <c r="O82" t="n">
        <v>0</v>
      </c>
      <c r="P82" t="n">
        <v>0</v>
      </c>
      <c r="Q82" t="n">
        <v>0</v>
      </c>
      <c r="R82" s="2" t="inlineStr"/>
    </row>
    <row r="83" ht="15" customHeight="1">
      <c r="A83" t="inlineStr">
        <is>
          <t>A 19632-2019</t>
        </is>
      </c>
      <c r="B83" s="1" t="n">
        <v>43566</v>
      </c>
      <c r="C83" s="1" t="n">
        <v>45575</v>
      </c>
      <c r="D83" t="inlineStr">
        <is>
          <t>KALMAR LÄN</t>
        </is>
      </c>
      <c r="E83" t="inlineStr">
        <is>
          <t>VIMMERBY</t>
        </is>
      </c>
      <c r="G83" t="n">
        <v>4.1</v>
      </c>
      <c r="H83" t="n">
        <v>0</v>
      </c>
      <c r="I83" t="n">
        <v>0</v>
      </c>
      <c r="J83" t="n">
        <v>0</v>
      </c>
      <c r="K83" t="n">
        <v>0</v>
      </c>
      <c r="L83" t="n">
        <v>0</v>
      </c>
      <c r="M83" t="n">
        <v>0</v>
      </c>
      <c r="N83" t="n">
        <v>0</v>
      </c>
      <c r="O83" t="n">
        <v>0</v>
      </c>
      <c r="P83" t="n">
        <v>0</v>
      </c>
      <c r="Q83" t="n">
        <v>0</v>
      </c>
      <c r="R83" s="2" t="inlineStr"/>
    </row>
    <row r="84" ht="15" customHeight="1">
      <c r="A84" t="inlineStr">
        <is>
          <t>A 19899-2019</t>
        </is>
      </c>
      <c r="B84" s="1" t="n">
        <v>43567</v>
      </c>
      <c r="C84" s="1" t="n">
        <v>45575</v>
      </c>
      <c r="D84" t="inlineStr">
        <is>
          <t>KALMAR LÄN</t>
        </is>
      </c>
      <c r="E84" t="inlineStr">
        <is>
          <t>VIMMERBY</t>
        </is>
      </c>
      <c r="F84" t="inlineStr">
        <is>
          <t>Övriga Aktiebolag</t>
        </is>
      </c>
      <c r="G84" t="n">
        <v>2.6</v>
      </c>
      <c r="H84" t="n">
        <v>0</v>
      </c>
      <c r="I84" t="n">
        <v>0</v>
      </c>
      <c r="J84" t="n">
        <v>0</v>
      </c>
      <c r="K84" t="n">
        <v>0</v>
      </c>
      <c r="L84" t="n">
        <v>0</v>
      </c>
      <c r="M84" t="n">
        <v>0</v>
      </c>
      <c r="N84" t="n">
        <v>0</v>
      </c>
      <c r="O84" t="n">
        <v>0</v>
      </c>
      <c r="P84" t="n">
        <v>0</v>
      </c>
      <c r="Q84" t="n">
        <v>0</v>
      </c>
      <c r="R84" s="2" t="inlineStr"/>
    </row>
    <row r="85" ht="15" customHeight="1">
      <c r="A85" t="inlineStr">
        <is>
          <t>A 20035-2019</t>
        </is>
      </c>
      <c r="B85" s="1" t="n">
        <v>43570</v>
      </c>
      <c r="C85" s="1" t="n">
        <v>45575</v>
      </c>
      <c r="D85" t="inlineStr">
        <is>
          <t>KALMAR LÄN</t>
        </is>
      </c>
      <c r="E85" t="inlineStr">
        <is>
          <t>VIMMERBY</t>
        </is>
      </c>
      <c r="G85" t="n">
        <v>1.5</v>
      </c>
      <c r="H85" t="n">
        <v>0</v>
      </c>
      <c r="I85" t="n">
        <v>0</v>
      </c>
      <c r="J85" t="n">
        <v>0</v>
      </c>
      <c r="K85" t="n">
        <v>0</v>
      </c>
      <c r="L85" t="n">
        <v>0</v>
      </c>
      <c r="M85" t="n">
        <v>0</v>
      </c>
      <c r="N85" t="n">
        <v>0</v>
      </c>
      <c r="O85" t="n">
        <v>0</v>
      </c>
      <c r="P85" t="n">
        <v>0</v>
      </c>
      <c r="Q85" t="n">
        <v>0</v>
      </c>
      <c r="R85" s="2" t="inlineStr"/>
    </row>
    <row r="86" ht="15" customHeight="1">
      <c r="A86" t="inlineStr">
        <is>
          <t>A 19983-2019</t>
        </is>
      </c>
      <c r="B86" s="1" t="n">
        <v>43570</v>
      </c>
      <c r="C86" s="1" t="n">
        <v>45575</v>
      </c>
      <c r="D86" t="inlineStr">
        <is>
          <t>KALMAR LÄN</t>
        </is>
      </c>
      <c r="E86" t="inlineStr">
        <is>
          <t>VIMMERBY</t>
        </is>
      </c>
      <c r="G86" t="n">
        <v>0.8</v>
      </c>
      <c r="H86" t="n">
        <v>0</v>
      </c>
      <c r="I86" t="n">
        <v>0</v>
      </c>
      <c r="J86" t="n">
        <v>0</v>
      </c>
      <c r="K86" t="n">
        <v>0</v>
      </c>
      <c r="L86" t="n">
        <v>0</v>
      </c>
      <c r="M86" t="n">
        <v>0</v>
      </c>
      <c r="N86" t="n">
        <v>0</v>
      </c>
      <c r="O86" t="n">
        <v>0</v>
      </c>
      <c r="P86" t="n">
        <v>0</v>
      </c>
      <c r="Q86" t="n">
        <v>0</v>
      </c>
      <c r="R86" s="2" t="inlineStr"/>
    </row>
    <row r="87" ht="15" customHeight="1">
      <c r="A87" t="inlineStr">
        <is>
          <t>A 20080-2019</t>
        </is>
      </c>
      <c r="B87" s="1" t="n">
        <v>43570</v>
      </c>
      <c r="C87" s="1" t="n">
        <v>45575</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20069-2019</t>
        </is>
      </c>
      <c r="B88" s="1" t="n">
        <v>43570</v>
      </c>
      <c r="C88" s="1" t="n">
        <v>45575</v>
      </c>
      <c r="D88" t="inlineStr">
        <is>
          <t>KALMAR LÄN</t>
        </is>
      </c>
      <c r="E88" t="inlineStr">
        <is>
          <t>VIMMERBY</t>
        </is>
      </c>
      <c r="G88" t="n">
        <v>4.9</v>
      </c>
      <c r="H88" t="n">
        <v>0</v>
      </c>
      <c r="I88" t="n">
        <v>0</v>
      </c>
      <c r="J88" t="n">
        <v>0</v>
      </c>
      <c r="K88" t="n">
        <v>0</v>
      </c>
      <c r="L88" t="n">
        <v>0</v>
      </c>
      <c r="M88" t="n">
        <v>0</v>
      </c>
      <c r="N88" t="n">
        <v>0</v>
      </c>
      <c r="O88" t="n">
        <v>0</v>
      </c>
      <c r="P88" t="n">
        <v>0</v>
      </c>
      <c r="Q88" t="n">
        <v>0</v>
      </c>
      <c r="R88" s="2" t="inlineStr"/>
    </row>
    <row r="89" ht="15" customHeight="1">
      <c r="A89" t="inlineStr">
        <is>
          <t>A 20314-2019</t>
        </is>
      </c>
      <c r="B89" s="1" t="n">
        <v>43571</v>
      </c>
      <c r="C89" s="1" t="n">
        <v>45575</v>
      </c>
      <c r="D89" t="inlineStr">
        <is>
          <t>KALMAR LÄN</t>
        </is>
      </c>
      <c r="E89" t="inlineStr">
        <is>
          <t>VIMMERBY</t>
        </is>
      </c>
      <c r="G89" t="n">
        <v>2.2</v>
      </c>
      <c r="H89" t="n">
        <v>0</v>
      </c>
      <c r="I89" t="n">
        <v>0</v>
      </c>
      <c r="J89" t="n">
        <v>0</v>
      </c>
      <c r="K89" t="n">
        <v>0</v>
      </c>
      <c r="L89" t="n">
        <v>0</v>
      </c>
      <c r="M89" t="n">
        <v>0</v>
      </c>
      <c r="N89" t="n">
        <v>0</v>
      </c>
      <c r="O89" t="n">
        <v>0</v>
      </c>
      <c r="P89" t="n">
        <v>0</v>
      </c>
      <c r="Q89" t="n">
        <v>0</v>
      </c>
      <c r="R89" s="2" t="inlineStr"/>
    </row>
    <row r="90" ht="15" customHeight="1">
      <c r="A90" t="inlineStr">
        <is>
          <t>A 20312-2019</t>
        </is>
      </c>
      <c r="B90" s="1" t="n">
        <v>43571</v>
      </c>
      <c r="C90" s="1" t="n">
        <v>45575</v>
      </c>
      <c r="D90" t="inlineStr">
        <is>
          <t>KALMAR LÄN</t>
        </is>
      </c>
      <c r="E90" t="inlineStr">
        <is>
          <t>VIMMERBY</t>
        </is>
      </c>
      <c r="G90" t="n">
        <v>4.2</v>
      </c>
      <c r="H90" t="n">
        <v>0</v>
      </c>
      <c r="I90" t="n">
        <v>0</v>
      </c>
      <c r="J90" t="n">
        <v>0</v>
      </c>
      <c r="K90" t="n">
        <v>0</v>
      </c>
      <c r="L90" t="n">
        <v>0</v>
      </c>
      <c r="M90" t="n">
        <v>0</v>
      </c>
      <c r="N90" t="n">
        <v>0</v>
      </c>
      <c r="O90" t="n">
        <v>0</v>
      </c>
      <c r="P90" t="n">
        <v>0</v>
      </c>
      <c r="Q90" t="n">
        <v>0</v>
      </c>
      <c r="R90" s="2" t="inlineStr"/>
    </row>
    <row r="91" ht="15" customHeight="1">
      <c r="A91" t="inlineStr">
        <is>
          <t>A 20565-2019</t>
        </is>
      </c>
      <c r="B91" s="1" t="n">
        <v>43572</v>
      </c>
      <c r="C91" s="1" t="n">
        <v>45575</v>
      </c>
      <c r="D91" t="inlineStr">
        <is>
          <t>KALMAR LÄN</t>
        </is>
      </c>
      <c r="E91" t="inlineStr">
        <is>
          <t>VIMMERBY</t>
        </is>
      </c>
      <c r="G91" t="n">
        <v>5.5</v>
      </c>
      <c r="H91" t="n">
        <v>0</v>
      </c>
      <c r="I91" t="n">
        <v>0</v>
      </c>
      <c r="J91" t="n">
        <v>0</v>
      </c>
      <c r="K91" t="n">
        <v>0</v>
      </c>
      <c r="L91" t="n">
        <v>0</v>
      </c>
      <c r="M91" t="n">
        <v>0</v>
      </c>
      <c r="N91" t="n">
        <v>0</v>
      </c>
      <c r="O91" t="n">
        <v>0</v>
      </c>
      <c r="P91" t="n">
        <v>0</v>
      </c>
      <c r="Q91" t="n">
        <v>0</v>
      </c>
      <c r="R91" s="2" t="inlineStr"/>
    </row>
    <row r="92" ht="15" customHeight="1">
      <c r="A92" t="inlineStr">
        <is>
          <t>A 20856-2019</t>
        </is>
      </c>
      <c r="B92" s="1" t="n">
        <v>43578</v>
      </c>
      <c r="C92" s="1" t="n">
        <v>45575</v>
      </c>
      <c r="D92" t="inlineStr">
        <is>
          <t>KALMAR LÄN</t>
        </is>
      </c>
      <c r="E92" t="inlineStr">
        <is>
          <t>VIMMERBY</t>
        </is>
      </c>
      <c r="G92" t="n">
        <v>0.8</v>
      </c>
      <c r="H92" t="n">
        <v>0</v>
      </c>
      <c r="I92" t="n">
        <v>0</v>
      </c>
      <c r="J92" t="n">
        <v>0</v>
      </c>
      <c r="K92" t="n">
        <v>0</v>
      </c>
      <c r="L92" t="n">
        <v>0</v>
      </c>
      <c r="M92" t="n">
        <v>0</v>
      </c>
      <c r="N92" t="n">
        <v>0</v>
      </c>
      <c r="O92" t="n">
        <v>0</v>
      </c>
      <c r="P92" t="n">
        <v>0</v>
      </c>
      <c r="Q92" t="n">
        <v>0</v>
      </c>
      <c r="R92" s="2" t="inlineStr"/>
    </row>
    <row r="93" ht="15" customHeight="1">
      <c r="A93" t="inlineStr">
        <is>
          <t>A 21557-2019</t>
        </is>
      </c>
      <c r="B93" s="1" t="n">
        <v>43580</v>
      </c>
      <c r="C93" s="1" t="n">
        <v>45575</v>
      </c>
      <c r="D93" t="inlineStr">
        <is>
          <t>KALMAR LÄN</t>
        </is>
      </c>
      <c r="E93" t="inlineStr">
        <is>
          <t>VIMMERBY</t>
        </is>
      </c>
      <c r="G93" t="n">
        <v>13.8</v>
      </c>
      <c r="H93" t="n">
        <v>0</v>
      </c>
      <c r="I93" t="n">
        <v>0</v>
      </c>
      <c r="J93" t="n">
        <v>0</v>
      </c>
      <c r="K93" t="n">
        <v>0</v>
      </c>
      <c r="L93" t="n">
        <v>0</v>
      </c>
      <c r="M93" t="n">
        <v>0</v>
      </c>
      <c r="N93" t="n">
        <v>0</v>
      </c>
      <c r="O93" t="n">
        <v>0</v>
      </c>
      <c r="P93" t="n">
        <v>0</v>
      </c>
      <c r="Q93" t="n">
        <v>0</v>
      </c>
      <c r="R93" s="2" t="inlineStr"/>
    </row>
    <row r="94" ht="15" customHeight="1">
      <c r="A94" t="inlineStr">
        <is>
          <t>A 21500-2019</t>
        </is>
      </c>
      <c r="B94" s="1" t="n">
        <v>43580</v>
      </c>
      <c r="C94" s="1" t="n">
        <v>45575</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21688-2019</t>
        </is>
      </c>
      <c r="B95" s="1" t="n">
        <v>43581</v>
      </c>
      <c r="C95" s="1" t="n">
        <v>45575</v>
      </c>
      <c r="D95" t="inlineStr">
        <is>
          <t>KALMAR LÄN</t>
        </is>
      </c>
      <c r="E95" t="inlineStr">
        <is>
          <t>VIMMERBY</t>
        </is>
      </c>
      <c r="G95" t="n">
        <v>1.2</v>
      </c>
      <c r="H95" t="n">
        <v>0</v>
      </c>
      <c r="I95" t="n">
        <v>0</v>
      </c>
      <c r="J95" t="n">
        <v>0</v>
      </c>
      <c r="K95" t="n">
        <v>0</v>
      </c>
      <c r="L95" t="n">
        <v>0</v>
      </c>
      <c r="M95" t="n">
        <v>0</v>
      </c>
      <c r="N95" t="n">
        <v>0</v>
      </c>
      <c r="O95" t="n">
        <v>0</v>
      </c>
      <c r="P95" t="n">
        <v>0</v>
      </c>
      <c r="Q95" t="n">
        <v>0</v>
      </c>
      <c r="R95" s="2" t="inlineStr"/>
    </row>
    <row r="96" ht="15" customHeight="1">
      <c r="A96" t="inlineStr">
        <is>
          <t>A 22372-2019</t>
        </is>
      </c>
      <c r="B96" s="1" t="n">
        <v>43587</v>
      </c>
      <c r="C96" s="1" t="n">
        <v>45575</v>
      </c>
      <c r="D96" t="inlineStr">
        <is>
          <t>KALMAR LÄN</t>
        </is>
      </c>
      <c r="E96" t="inlineStr">
        <is>
          <t>VIMMERBY</t>
        </is>
      </c>
      <c r="G96" t="n">
        <v>0.3</v>
      </c>
      <c r="H96" t="n">
        <v>0</v>
      </c>
      <c r="I96" t="n">
        <v>0</v>
      </c>
      <c r="J96" t="n">
        <v>0</v>
      </c>
      <c r="K96" t="n">
        <v>0</v>
      </c>
      <c r="L96" t="n">
        <v>0</v>
      </c>
      <c r="M96" t="n">
        <v>0</v>
      </c>
      <c r="N96" t="n">
        <v>0</v>
      </c>
      <c r="O96" t="n">
        <v>0</v>
      </c>
      <c r="P96" t="n">
        <v>0</v>
      </c>
      <c r="Q96" t="n">
        <v>0</v>
      </c>
      <c r="R96" s="2" t="inlineStr"/>
    </row>
    <row r="97" ht="15" customHeight="1">
      <c r="A97" t="inlineStr">
        <is>
          <t>A 22659-2019</t>
        </is>
      </c>
      <c r="B97" s="1" t="n">
        <v>43588</v>
      </c>
      <c r="C97" s="1" t="n">
        <v>45575</v>
      </c>
      <c r="D97" t="inlineStr">
        <is>
          <t>KALMAR LÄN</t>
        </is>
      </c>
      <c r="E97" t="inlineStr">
        <is>
          <t>VIMMERBY</t>
        </is>
      </c>
      <c r="G97" t="n">
        <v>3.5</v>
      </c>
      <c r="H97" t="n">
        <v>0</v>
      </c>
      <c r="I97" t="n">
        <v>0</v>
      </c>
      <c r="J97" t="n">
        <v>0</v>
      </c>
      <c r="K97" t="n">
        <v>0</v>
      </c>
      <c r="L97" t="n">
        <v>0</v>
      </c>
      <c r="M97" t="n">
        <v>0</v>
      </c>
      <c r="N97" t="n">
        <v>0</v>
      </c>
      <c r="O97" t="n">
        <v>0</v>
      </c>
      <c r="P97" t="n">
        <v>0</v>
      </c>
      <c r="Q97" t="n">
        <v>0</v>
      </c>
      <c r="R97" s="2" t="inlineStr"/>
    </row>
    <row r="98" ht="15" customHeight="1">
      <c r="A98" t="inlineStr">
        <is>
          <t>A 23498-2019</t>
        </is>
      </c>
      <c r="B98" s="1" t="n">
        <v>43593</v>
      </c>
      <c r="C98" s="1" t="n">
        <v>45575</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24254-2019</t>
        </is>
      </c>
      <c r="B99" s="1" t="n">
        <v>43599</v>
      </c>
      <c r="C99" s="1" t="n">
        <v>45575</v>
      </c>
      <c r="D99" t="inlineStr">
        <is>
          <t>KALMAR LÄN</t>
        </is>
      </c>
      <c r="E99" t="inlineStr">
        <is>
          <t>VIMMERBY</t>
        </is>
      </c>
      <c r="G99" t="n">
        <v>1.7</v>
      </c>
      <c r="H99" t="n">
        <v>0</v>
      </c>
      <c r="I99" t="n">
        <v>0</v>
      </c>
      <c r="J99" t="n">
        <v>0</v>
      </c>
      <c r="K99" t="n">
        <v>0</v>
      </c>
      <c r="L99" t="n">
        <v>0</v>
      </c>
      <c r="M99" t="n">
        <v>0</v>
      </c>
      <c r="N99" t="n">
        <v>0</v>
      </c>
      <c r="O99" t="n">
        <v>0</v>
      </c>
      <c r="P99" t="n">
        <v>0</v>
      </c>
      <c r="Q99" t="n">
        <v>0</v>
      </c>
      <c r="R99" s="2" t="inlineStr"/>
    </row>
    <row r="100" ht="15" customHeight="1">
      <c r="A100" t="inlineStr">
        <is>
          <t>A 24937-2019</t>
        </is>
      </c>
      <c r="B100" s="1" t="n">
        <v>43602</v>
      </c>
      <c r="C100" s="1" t="n">
        <v>45575</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26073-2019</t>
        </is>
      </c>
      <c r="B101" s="1" t="n">
        <v>43609</v>
      </c>
      <c r="C101" s="1" t="n">
        <v>45575</v>
      </c>
      <c r="D101" t="inlineStr">
        <is>
          <t>KALMAR LÄN</t>
        </is>
      </c>
      <c r="E101" t="inlineStr">
        <is>
          <t>VIMMERBY</t>
        </is>
      </c>
      <c r="G101" t="n">
        <v>0.4</v>
      </c>
      <c r="H101" t="n">
        <v>0</v>
      </c>
      <c r="I101" t="n">
        <v>0</v>
      </c>
      <c r="J101" t="n">
        <v>0</v>
      </c>
      <c r="K101" t="n">
        <v>0</v>
      </c>
      <c r="L101" t="n">
        <v>0</v>
      </c>
      <c r="M101" t="n">
        <v>0</v>
      </c>
      <c r="N101" t="n">
        <v>0</v>
      </c>
      <c r="O101" t="n">
        <v>0</v>
      </c>
      <c r="P101" t="n">
        <v>0</v>
      </c>
      <c r="Q101" t="n">
        <v>0</v>
      </c>
      <c r="R101" s="2" t="inlineStr"/>
    </row>
    <row r="102" ht="15" customHeight="1">
      <c r="A102" t="inlineStr">
        <is>
          <t>A 26660-2019</t>
        </is>
      </c>
      <c r="B102" s="1" t="n">
        <v>43613</v>
      </c>
      <c r="C102" s="1" t="n">
        <v>45575</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28013-2019</t>
        </is>
      </c>
      <c r="B103" s="1" t="n">
        <v>43621</v>
      </c>
      <c r="C103" s="1" t="n">
        <v>45575</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28348-2019</t>
        </is>
      </c>
      <c r="B104" s="1" t="n">
        <v>43624</v>
      </c>
      <c r="C104" s="1" t="n">
        <v>45575</v>
      </c>
      <c r="D104" t="inlineStr">
        <is>
          <t>KALMAR LÄN</t>
        </is>
      </c>
      <c r="E104" t="inlineStr">
        <is>
          <t>VIMMERBY</t>
        </is>
      </c>
      <c r="G104" t="n">
        <v>1</v>
      </c>
      <c r="H104" t="n">
        <v>0</v>
      </c>
      <c r="I104" t="n">
        <v>0</v>
      </c>
      <c r="J104" t="n">
        <v>0</v>
      </c>
      <c r="K104" t="n">
        <v>0</v>
      </c>
      <c r="L104" t="n">
        <v>0</v>
      </c>
      <c r="M104" t="n">
        <v>0</v>
      </c>
      <c r="N104" t="n">
        <v>0</v>
      </c>
      <c r="O104" t="n">
        <v>0</v>
      </c>
      <c r="P104" t="n">
        <v>0</v>
      </c>
      <c r="Q104" t="n">
        <v>0</v>
      </c>
      <c r="R104" s="2" t="inlineStr"/>
    </row>
    <row r="105" ht="15" customHeight="1">
      <c r="A105" t="inlineStr">
        <is>
          <t>A 28414-2019</t>
        </is>
      </c>
      <c r="B105" s="1" t="n">
        <v>43626</v>
      </c>
      <c r="C105" s="1" t="n">
        <v>45575</v>
      </c>
      <c r="D105" t="inlineStr">
        <is>
          <t>KALMAR LÄN</t>
        </is>
      </c>
      <c r="E105" t="inlineStr">
        <is>
          <t>VIMMERBY</t>
        </is>
      </c>
      <c r="G105" t="n">
        <v>1.4</v>
      </c>
      <c r="H105" t="n">
        <v>0</v>
      </c>
      <c r="I105" t="n">
        <v>0</v>
      </c>
      <c r="J105" t="n">
        <v>0</v>
      </c>
      <c r="K105" t="n">
        <v>0</v>
      </c>
      <c r="L105" t="n">
        <v>0</v>
      </c>
      <c r="M105" t="n">
        <v>0</v>
      </c>
      <c r="N105" t="n">
        <v>0</v>
      </c>
      <c r="O105" t="n">
        <v>0</v>
      </c>
      <c r="P105" t="n">
        <v>0</v>
      </c>
      <c r="Q105" t="n">
        <v>0</v>
      </c>
      <c r="R105" s="2" t="inlineStr"/>
    </row>
    <row r="106" ht="15" customHeight="1">
      <c r="A106" t="inlineStr">
        <is>
          <t>A 29004-2019</t>
        </is>
      </c>
      <c r="B106" s="1" t="n">
        <v>43628</v>
      </c>
      <c r="C106" s="1" t="n">
        <v>45575</v>
      </c>
      <c r="D106" t="inlineStr">
        <is>
          <t>KALMAR LÄN</t>
        </is>
      </c>
      <c r="E106" t="inlineStr">
        <is>
          <t>VIMMERBY</t>
        </is>
      </c>
      <c r="G106" t="n">
        <v>1.1</v>
      </c>
      <c r="H106" t="n">
        <v>0</v>
      </c>
      <c r="I106" t="n">
        <v>0</v>
      </c>
      <c r="J106" t="n">
        <v>0</v>
      </c>
      <c r="K106" t="n">
        <v>0</v>
      </c>
      <c r="L106" t="n">
        <v>0</v>
      </c>
      <c r="M106" t="n">
        <v>0</v>
      </c>
      <c r="N106" t="n">
        <v>0</v>
      </c>
      <c r="O106" t="n">
        <v>0</v>
      </c>
      <c r="P106" t="n">
        <v>0</v>
      </c>
      <c r="Q106" t="n">
        <v>0</v>
      </c>
      <c r="R106" s="2" t="inlineStr"/>
    </row>
    <row r="107" ht="15" customHeight="1">
      <c r="A107" t="inlineStr">
        <is>
          <t>A 29228-2019</t>
        </is>
      </c>
      <c r="B107" s="1" t="n">
        <v>43629</v>
      </c>
      <c r="C107" s="1" t="n">
        <v>45575</v>
      </c>
      <c r="D107" t="inlineStr">
        <is>
          <t>KALMAR LÄN</t>
        </is>
      </c>
      <c r="E107" t="inlineStr">
        <is>
          <t>VIMMERBY</t>
        </is>
      </c>
      <c r="G107" t="n">
        <v>3.5</v>
      </c>
      <c r="H107" t="n">
        <v>0</v>
      </c>
      <c r="I107" t="n">
        <v>0</v>
      </c>
      <c r="J107" t="n">
        <v>0</v>
      </c>
      <c r="K107" t="n">
        <v>0</v>
      </c>
      <c r="L107" t="n">
        <v>0</v>
      </c>
      <c r="M107" t="n">
        <v>0</v>
      </c>
      <c r="N107" t="n">
        <v>0</v>
      </c>
      <c r="O107" t="n">
        <v>0</v>
      </c>
      <c r="P107" t="n">
        <v>0</v>
      </c>
      <c r="Q107" t="n">
        <v>0</v>
      </c>
      <c r="R107" s="2" t="inlineStr"/>
    </row>
    <row r="108" ht="15" customHeight="1">
      <c r="A108" t="inlineStr">
        <is>
          <t>A 29408-2019</t>
        </is>
      </c>
      <c r="B108" s="1" t="n">
        <v>43629</v>
      </c>
      <c r="C108" s="1" t="n">
        <v>45575</v>
      </c>
      <c r="D108" t="inlineStr">
        <is>
          <t>KALMAR LÄN</t>
        </is>
      </c>
      <c r="E108" t="inlineStr">
        <is>
          <t>VIMMERBY</t>
        </is>
      </c>
      <c r="G108" t="n">
        <v>10.2</v>
      </c>
      <c r="H108" t="n">
        <v>0</v>
      </c>
      <c r="I108" t="n">
        <v>0</v>
      </c>
      <c r="J108" t="n">
        <v>0</v>
      </c>
      <c r="K108" t="n">
        <v>0</v>
      </c>
      <c r="L108" t="n">
        <v>0</v>
      </c>
      <c r="M108" t="n">
        <v>0</v>
      </c>
      <c r="N108" t="n">
        <v>0</v>
      </c>
      <c r="O108" t="n">
        <v>0</v>
      </c>
      <c r="P108" t="n">
        <v>0</v>
      </c>
      <c r="Q108" t="n">
        <v>0</v>
      </c>
      <c r="R108" s="2" t="inlineStr"/>
    </row>
    <row r="109" ht="15" customHeight="1">
      <c r="A109" t="inlineStr">
        <is>
          <t>A 29693-2019</t>
        </is>
      </c>
      <c r="B109" s="1" t="n">
        <v>43630</v>
      </c>
      <c r="C109" s="1" t="n">
        <v>45575</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29675-2019</t>
        </is>
      </c>
      <c r="B110" s="1" t="n">
        <v>43630</v>
      </c>
      <c r="C110" s="1" t="n">
        <v>45575</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29775-2019</t>
        </is>
      </c>
      <c r="B111" s="1" t="n">
        <v>43632</v>
      </c>
      <c r="C111" s="1" t="n">
        <v>45575</v>
      </c>
      <c r="D111" t="inlineStr">
        <is>
          <t>KALMAR LÄN</t>
        </is>
      </c>
      <c r="E111" t="inlineStr">
        <is>
          <t>VIMMERBY</t>
        </is>
      </c>
      <c r="G111" t="n">
        <v>2</v>
      </c>
      <c r="H111" t="n">
        <v>0</v>
      </c>
      <c r="I111" t="n">
        <v>0</v>
      </c>
      <c r="J111" t="n">
        <v>0</v>
      </c>
      <c r="K111" t="n">
        <v>0</v>
      </c>
      <c r="L111" t="n">
        <v>0</v>
      </c>
      <c r="M111" t="n">
        <v>0</v>
      </c>
      <c r="N111" t="n">
        <v>0</v>
      </c>
      <c r="O111" t="n">
        <v>0</v>
      </c>
      <c r="P111" t="n">
        <v>0</v>
      </c>
      <c r="Q111" t="n">
        <v>0</v>
      </c>
      <c r="R111" s="2" t="inlineStr"/>
    </row>
    <row r="112" ht="15" customHeight="1">
      <c r="A112" t="inlineStr">
        <is>
          <t>A 29773-2019</t>
        </is>
      </c>
      <c r="B112" s="1" t="n">
        <v>43632</v>
      </c>
      <c r="C112" s="1" t="n">
        <v>45575</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31027-2019</t>
        </is>
      </c>
      <c r="B113" s="1" t="n">
        <v>43636</v>
      </c>
      <c r="C113" s="1" t="n">
        <v>45575</v>
      </c>
      <c r="D113" t="inlineStr">
        <is>
          <t>KALMAR LÄN</t>
        </is>
      </c>
      <c r="E113" t="inlineStr">
        <is>
          <t>VIMMERBY</t>
        </is>
      </c>
      <c r="F113" t="inlineStr">
        <is>
          <t>Övriga statliga verk och myndigheter</t>
        </is>
      </c>
      <c r="G113" t="n">
        <v>0.5</v>
      </c>
      <c r="H113" t="n">
        <v>0</v>
      </c>
      <c r="I113" t="n">
        <v>0</v>
      </c>
      <c r="J113" t="n">
        <v>0</v>
      </c>
      <c r="K113" t="n">
        <v>0</v>
      </c>
      <c r="L113" t="n">
        <v>0</v>
      </c>
      <c r="M113" t="n">
        <v>0</v>
      </c>
      <c r="N113" t="n">
        <v>0</v>
      </c>
      <c r="O113" t="n">
        <v>0</v>
      </c>
      <c r="P113" t="n">
        <v>0</v>
      </c>
      <c r="Q113" t="n">
        <v>0</v>
      </c>
      <c r="R113" s="2" t="inlineStr"/>
    </row>
    <row r="114" ht="15" customHeight="1">
      <c r="A114" t="inlineStr">
        <is>
          <t>A 30994-2019</t>
        </is>
      </c>
      <c r="B114" s="1" t="n">
        <v>43640</v>
      </c>
      <c r="C114" s="1" t="n">
        <v>45575</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31859-2019</t>
        </is>
      </c>
      <c r="B115" s="1" t="n">
        <v>43642</v>
      </c>
      <c r="C115" s="1" t="n">
        <v>45575</v>
      </c>
      <c r="D115" t="inlineStr">
        <is>
          <t>KALMAR LÄN</t>
        </is>
      </c>
      <c r="E115" t="inlineStr">
        <is>
          <t>VIMMERBY</t>
        </is>
      </c>
      <c r="G115" t="n">
        <v>2.1</v>
      </c>
      <c r="H115" t="n">
        <v>0</v>
      </c>
      <c r="I115" t="n">
        <v>0</v>
      </c>
      <c r="J115" t="n">
        <v>0</v>
      </c>
      <c r="K115" t="n">
        <v>0</v>
      </c>
      <c r="L115" t="n">
        <v>0</v>
      </c>
      <c r="M115" t="n">
        <v>0</v>
      </c>
      <c r="N115" t="n">
        <v>0</v>
      </c>
      <c r="O115" t="n">
        <v>0</v>
      </c>
      <c r="P115" t="n">
        <v>0</v>
      </c>
      <c r="Q115" t="n">
        <v>0</v>
      </c>
      <c r="R115" s="2" t="inlineStr"/>
    </row>
    <row r="116" ht="15" customHeight="1">
      <c r="A116" t="inlineStr">
        <is>
          <t>A 32911-2019</t>
        </is>
      </c>
      <c r="B116" s="1" t="n">
        <v>43648</v>
      </c>
      <c r="C116" s="1" t="n">
        <v>45575</v>
      </c>
      <c r="D116" t="inlineStr">
        <is>
          <t>KALMAR LÄN</t>
        </is>
      </c>
      <c r="E116" t="inlineStr">
        <is>
          <t>VIMMERBY</t>
        </is>
      </c>
      <c r="G116" t="n">
        <v>5</v>
      </c>
      <c r="H116" t="n">
        <v>0</v>
      </c>
      <c r="I116" t="n">
        <v>0</v>
      </c>
      <c r="J116" t="n">
        <v>0</v>
      </c>
      <c r="K116" t="n">
        <v>0</v>
      </c>
      <c r="L116" t="n">
        <v>0</v>
      </c>
      <c r="M116" t="n">
        <v>0</v>
      </c>
      <c r="N116" t="n">
        <v>0</v>
      </c>
      <c r="O116" t="n">
        <v>0</v>
      </c>
      <c r="P116" t="n">
        <v>0</v>
      </c>
      <c r="Q116" t="n">
        <v>0</v>
      </c>
      <c r="R116" s="2" t="inlineStr"/>
    </row>
    <row r="117" ht="15" customHeight="1">
      <c r="A117" t="inlineStr">
        <is>
          <t>A 32924-2019</t>
        </is>
      </c>
      <c r="B117" s="1" t="n">
        <v>43648</v>
      </c>
      <c r="C117" s="1" t="n">
        <v>45575</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32918-2019</t>
        </is>
      </c>
      <c r="B118" s="1" t="n">
        <v>43648</v>
      </c>
      <c r="C118" s="1" t="n">
        <v>45575</v>
      </c>
      <c r="D118" t="inlineStr">
        <is>
          <t>KALMAR LÄN</t>
        </is>
      </c>
      <c r="E118" t="inlineStr">
        <is>
          <t>VIMMERBY</t>
        </is>
      </c>
      <c r="G118" t="n">
        <v>4.1</v>
      </c>
      <c r="H118" t="n">
        <v>0</v>
      </c>
      <c r="I118" t="n">
        <v>0</v>
      </c>
      <c r="J118" t="n">
        <v>0</v>
      </c>
      <c r="K118" t="n">
        <v>0</v>
      </c>
      <c r="L118" t="n">
        <v>0</v>
      </c>
      <c r="M118" t="n">
        <v>0</v>
      </c>
      <c r="N118" t="n">
        <v>0</v>
      </c>
      <c r="O118" t="n">
        <v>0</v>
      </c>
      <c r="P118" t="n">
        <v>0</v>
      </c>
      <c r="Q118" t="n">
        <v>0</v>
      </c>
      <c r="R118" s="2" t="inlineStr"/>
    </row>
    <row r="119" ht="15" customHeight="1">
      <c r="A119" t="inlineStr">
        <is>
          <t>A 32910-2019</t>
        </is>
      </c>
      <c r="B119" s="1" t="n">
        <v>43648</v>
      </c>
      <c r="C119" s="1" t="n">
        <v>45575</v>
      </c>
      <c r="D119" t="inlineStr">
        <is>
          <t>KALMAR LÄN</t>
        </is>
      </c>
      <c r="E119" t="inlineStr">
        <is>
          <t>VIMMERBY</t>
        </is>
      </c>
      <c r="G119" t="n">
        <v>6</v>
      </c>
      <c r="H119" t="n">
        <v>0</v>
      </c>
      <c r="I119" t="n">
        <v>0</v>
      </c>
      <c r="J119" t="n">
        <v>0</v>
      </c>
      <c r="K119" t="n">
        <v>0</v>
      </c>
      <c r="L119" t="n">
        <v>0</v>
      </c>
      <c r="M119" t="n">
        <v>0</v>
      </c>
      <c r="N119" t="n">
        <v>0</v>
      </c>
      <c r="O119" t="n">
        <v>0</v>
      </c>
      <c r="P119" t="n">
        <v>0</v>
      </c>
      <c r="Q119" t="n">
        <v>0</v>
      </c>
      <c r="R119" s="2" t="inlineStr"/>
    </row>
    <row r="120" ht="15" customHeight="1">
      <c r="A120" t="inlineStr">
        <is>
          <t>A 34765-2019</t>
        </is>
      </c>
      <c r="B120" s="1" t="n">
        <v>43649</v>
      </c>
      <c r="C120" s="1" t="n">
        <v>45575</v>
      </c>
      <c r="D120" t="inlineStr">
        <is>
          <t>KALMAR LÄN</t>
        </is>
      </c>
      <c r="E120" t="inlineStr">
        <is>
          <t>VIMMERBY</t>
        </is>
      </c>
      <c r="G120" t="n">
        <v>6.9</v>
      </c>
      <c r="H120" t="n">
        <v>0</v>
      </c>
      <c r="I120" t="n">
        <v>0</v>
      </c>
      <c r="J120" t="n">
        <v>0</v>
      </c>
      <c r="K120" t="n">
        <v>0</v>
      </c>
      <c r="L120" t="n">
        <v>0</v>
      </c>
      <c r="M120" t="n">
        <v>0</v>
      </c>
      <c r="N120" t="n">
        <v>0</v>
      </c>
      <c r="O120" t="n">
        <v>0</v>
      </c>
      <c r="P120" t="n">
        <v>0</v>
      </c>
      <c r="Q120" t="n">
        <v>0</v>
      </c>
      <c r="R120" s="2" t="inlineStr"/>
    </row>
    <row r="121" ht="15" customHeight="1">
      <c r="A121" t="inlineStr">
        <is>
          <t>A 33411-2019</t>
        </is>
      </c>
      <c r="B121" s="1" t="n">
        <v>43650</v>
      </c>
      <c r="C121" s="1" t="n">
        <v>45575</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33410-2019</t>
        </is>
      </c>
      <c r="B122" s="1" t="n">
        <v>43650</v>
      </c>
      <c r="C122" s="1" t="n">
        <v>45575</v>
      </c>
      <c r="D122" t="inlineStr">
        <is>
          <t>KALMAR LÄN</t>
        </is>
      </c>
      <c r="E122" t="inlineStr">
        <is>
          <t>VIMMERBY</t>
        </is>
      </c>
      <c r="G122" t="n">
        <v>4.4</v>
      </c>
      <c r="H122" t="n">
        <v>0</v>
      </c>
      <c r="I122" t="n">
        <v>0</v>
      </c>
      <c r="J122" t="n">
        <v>0</v>
      </c>
      <c r="K122" t="n">
        <v>0</v>
      </c>
      <c r="L122" t="n">
        <v>0</v>
      </c>
      <c r="M122" t="n">
        <v>0</v>
      </c>
      <c r="N122" t="n">
        <v>0</v>
      </c>
      <c r="O122" t="n">
        <v>0</v>
      </c>
      <c r="P122" t="n">
        <v>0</v>
      </c>
      <c r="Q122" t="n">
        <v>0</v>
      </c>
      <c r="R122" s="2" t="inlineStr"/>
    </row>
    <row r="123" ht="15" customHeight="1">
      <c r="A123" t="inlineStr">
        <is>
          <t>A 35259-2019</t>
        </is>
      </c>
      <c r="B123" s="1" t="n">
        <v>43651</v>
      </c>
      <c r="C123" s="1" t="n">
        <v>45575</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33869-2019</t>
        </is>
      </c>
      <c r="B124" s="1" t="n">
        <v>43652</v>
      </c>
      <c r="C124" s="1" t="n">
        <v>45575</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34241-2019</t>
        </is>
      </c>
      <c r="B125" s="1" t="n">
        <v>43655</v>
      </c>
      <c r="C125" s="1" t="n">
        <v>45575</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34244-2019</t>
        </is>
      </c>
      <c r="B126" s="1" t="n">
        <v>43655</v>
      </c>
      <c r="C126" s="1" t="n">
        <v>45575</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34273-2019</t>
        </is>
      </c>
      <c r="B127" s="1" t="n">
        <v>43655</v>
      </c>
      <c r="C127" s="1" t="n">
        <v>45575</v>
      </c>
      <c r="D127" t="inlineStr">
        <is>
          <t>KALMAR LÄN</t>
        </is>
      </c>
      <c r="E127" t="inlineStr">
        <is>
          <t>VIMMERBY</t>
        </is>
      </c>
      <c r="G127" t="n">
        <v>3.1</v>
      </c>
      <c r="H127" t="n">
        <v>0</v>
      </c>
      <c r="I127" t="n">
        <v>0</v>
      </c>
      <c r="J127" t="n">
        <v>0</v>
      </c>
      <c r="K127" t="n">
        <v>0</v>
      </c>
      <c r="L127" t="n">
        <v>0</v>
      </c>
      <c r="M127" t="n">
        <v>0</v>
      </c>
      <c r="N127" t="n">
        <v>0</v>
      </c>
      <c r="O127" t="n">
        <v>0</v>
      </c>
      <c r="P127" t="n">
        <v>0</v>
      </c>
      <c r="Q127" t="n">
        <v>0</v>
      </c>
      <c r="R127" s="2" t="inlineStr"/>
    </row>
    <row r="128" ht="15" customHeight="1">
      <c r="A128" t="inlineStr">
        <is>
          <t>A 35701-2019</t>
        </is>
      </c>
      <c r="B128" s="1" t="n">
        <v>43655</v>
      </c>
      <c r="C128" s="1" t="n">
        <v>45575</v>
      </c>
      <c r="D128" t="inlineStr">
        <is>
          <t>KALMAR LÄN</t>
        </is>
      </c>
      <c r="E128" t="inlineStr">
        <is>
          <t>VIMMERBY</t>
        </is>
      </c>
      <c r="G128" t="n">
        <v>1.3</v>
      </c>
      <c r="H128" t="n">
        <v>0</v>
      </c>
      <c r="I128" t="n">
        <v>0</v>
      </c>
      <c r="J128" t="n">
        <v>0</v>
      </c>
      <c r="K128" t="n">
        <v>0</v>
      </c>
      <c r="L128" t="n">
        <v>0</v>
      </c>
      <c r="M128" t="n">
        <v>0</v>
      </c>
      <c r="N128" t="n">
        <v>0</v>
      </c>
      <c r="O128" t="n">
        <v>0</v>
      </c>
      <c r="P128" t="n">
        <v>0</v>
      </c>
      <c r="Q128" t="n">
        <v>0</v>
      </c>
      <c r="R128" s="2" t="inlineStr"/>
    </row>
    <row r="129" ht="15" customHeight="1">
      <c r="A129" t="inlineStr">
        <is>
          <t>A 34672-2019</t>
        </is>
      </c>
      <c r="B129" s="1" t="n">
        <v>43657</v>
      </c>
      <c r="C129" s="1" t="n">
        <v>45575</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35780-2019</t>
        </is>
      </c>
      <c r="B130" s="1" t="n">
        <v>43665</v>
      </c>
      <c r="C130" s="1" t="n">
        <v>45575</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35834-2019</t>
        </is>
      </c>
      <c r="B131" s="1" t="n">
        <v>43665</v>
      </c>
      <c r="C131" s="1" t="n">
        <v>45575</v>
      </c>
      <c r="D131" t="inlineStr">
        <is>
          <t>KALMAR LÄN</t>
        </is>
      </c>
      <c r="E131" t="inlineStr">
        <is>
          <t>VIMMERBY</t>
        </is>
      </c>
      <c r="G131" t="n">
        <v>0.2</v>
      </c>
      <c r="H131" t="n">
        <v>0</v>
      </c>
      <c r="I131" t="n">
        <v>0</v>
      </c>
      <c r="J131" t="n">
        <v>0</v>
      </c>
      <c r="K131" t="n">
        <v>0</v>
      </c>
      <c r="L131" t="n">
        <v>0</v>
      </c>
      <c r="M131" t="n">
        <v>0</v>
      </c>
      <c r="N131" t="n">
        <v>0</v>
      </c>
      <c r="O131" t="n">
        <v>0</v>
      </c>
      <c r="P131" t="n">
        <v>0</v>
      </c>
      <c r="Q131" t="n">
        <v>0</v>
      </c>
      <c r="R131" s="2" t="inlineStr"/>
    </row>
    <row r="132" ht="15" customHeight="1">
      <c r="A132" t="inlineStr">
        <is>
          <t>A 35829-2019</t>
        </is>
      </c>
      <c r="B132" s="1" t="n">
        <v>43665</v>
      </c>
      <c r="C132" s="1" t="n">
        <v>45575</v>
      </c>
      <c r="D132" t="inlineStr">
        <is>
          <t>KALMAR LÄN</t>
        </is>
      </c>
      <c r="E132" t="inlineStr">
        <is>
          <t>VIMMERBY</t>
        </is>
      </c>
      <c r="G132" t="n">
        <v>1.2</v>
      </c>
      <c r="H132" t="n">
        <v>0</v>
      </c>
      <c r="I132" t="n">
        <v>0</v>
      </c>
      <c r="J132" t="n">
        <v>0</v>
      </c>
      <c r="K132" t="n">
        <v>0</v>
      </c>
      <c r="L132" t="n">
        <v>0</v>
      </c>
      <c r="M132" t="n">
        <v>0</v>
      </c>
      <c r="N132" t="n">
        <v>0</v>
      </c>
      <c r="O132" t="n">
        <v>0</v>
      </c>
      <c r="P132" t="n">
        <v>0</v>
      </c>
      <c r="Q132" t="n">
        <v>0</v>
      </c>
      <c r="R132" s="2" t="inlineStr"/>
    </row>
    <row r="133" ht="15" customHeight="1">
      <c r="A133" t="inlineStr">
        <is>
          <t>A 35919-2019</t>
        </is>
      </c>
      <c r="B133" s="1" t="n">
        <v>43665</v>
      </c>
      <c r="C133" s="1" t="n">
        <v>45575</v>
      </c>
      <c r="D133" t="inlineStr">
        <is>
          <t>KALMAR LÄN</t>
        </is>
      </c>
      <c r="E133" t="inlineStr">
        <is>
          <t>VIMMERBY</t>
        </is>
      </c>
      <c r="G133" t="n">
        <v>7.1</v>
      </c>
      <c r="H133" t="n">
        <v>0</v>
      </c>
      <c r="I133" t="n">
        <v>0</v>
      </c>
      <c r="J133" t="n">
        <v>0</v>
      </c>
      <c r="K133" t="n">
        <v>0</v>
      </c>
      <c r="L133" t="n">
        <v>0</v>
      </c>
      <c r="M133" t="n">
        <v>0</v>
      </c>
      <c r="N133" t="n">
        <v>0</v>
      </c>
      <c r="O133" t="n">
        <v>0</v>
      </c>
      <c r="P133" t="n">
        <v>0</v>
      </c>
      <c r="Q133" t="n">
        <v>0</v>
      </c>
      <c r="R133" s="2" t="inlineStr"/>
    </row>
    <row r="134" ht="15" customHeight="1">
      <c r="A134" t="inlineStr">
        <is>
          <t>A 36027-2019</t>
        </is>
      </c>
      <c r="B134" s="1" t="n">
        <v>43668</v>
      </c>
      <c r="C134" s="1" t="n">
        <v>45575</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36024-2019</t>
        </is>
      </c>
      <c r="B135" s="1" t="n">
        <v>43668</v>
      </c>
      <c r="C135" s="1" t="n">
        <v>45575</v>
      </c>
      <c r="D135" t="inlineStr">
        <is>
          <t>KALMAR LÄN</t>
        </is>
      </c>
      <c r="E135" t="inlineStr">
        <is>
          <t>VIMMERBY</t>
        </is>
      </c>
      <c r="G135" t="n">
        <v>1</v>
      </c>
      <c r="H135" t="n">
        <v>0</v>
      </c>
      <c r="I135" t="n">
        <v>0</v>
      </c>
      <c r="J135" t="n">
        <v>0</v>
      </c>
      <c r="K135" t="n">
        <v>0</v>
      </c>
      <c r="L135" t="n">
        <v>0</v>
      </c>
      <c r="M135" t="n">
        <v>0</v>
      </c>
      <c r="N135" t="n">
        <v>0</v>
      </c>
      <c r="O135" t="n">
        <v>0</v>
      </c>
      <c r="P135" t="n">
        <v>0</v>
      </c>
      <c r="Q135" t="n">
        <v>0</v>
      </c>
      <c r="R135" s="2" t="inlineStr"/>
    </row>
    <row r="136" ht="15" customHeight="1">
      <c r="A136" t="inlineStr">
        <is>
          <t>A 36716-2019</t>
        </is>
      </c>
      <c r="B136" s="1" t="n">
        <v>43669</v>
      </c>
      <c r="C136" s="1" t="n">
        <v>45575</v>
      </c>
      <c r="D136" t="inlineStr">
        <is>
          <t>KALMAR LÄN</t>
        </is>
      </c>
      <c r="E136" t="inlineStr">
        <is>
          <t>VIMMERBY</t>
        </is>
      </c>
      <c r="G136" t="n">
        <v>3.6</v>
      </c>
      <c r="H136" t="n">
        <v>0</v>
      </c>
      <c r="I136" t="n">
        <v>0</v>
      </c>
      <c r="J136" t="n">
        <v>0</v>
      </c>
      <c r="K136" t="n">
        <v>0</v>
      </c>
      <c r="L136" t="n">
        <v>0</v>
      </c>
      <c r="M136" t="n">
        <v>0</v>
      </c>
      <c r="N136" t="n">
        <v>0</v>
      </c>
      <c r="O136" t="n">
        <v>0</v>
      </c>
      <c r="P136" t="n">
        <v>0</v>
      </c>
      <c r="Q136" t="n">
        <v>0</v>
      </c>
      <c r="R136" s="2" t="inlineStr"/>
    </row>
    <row r="137" ht="15" customHeight="1">
      <c r="A137" t="inlineStr">
        <is>
          <t>A 36454-2019</t>
        </is>
      </c>
      <c r="B137" s="1" t="n">
        <v>43670</v>
      </c>
      <c r="C137" s="1" t="n">
        <v>45575</v>
      </c>
      <c r="D137" t="inlineStr">
        <is>
          <t>KALMAR LÄN</t>
        </is>
      </c>
      <c r="E137" t="inlineStr">
        <is>
          <t>VIMMERBY</t>
        </is>
      </c>
      <c r="G137" t="n">
        <v>2.1</v>
      </c>
      <c r="H137" t="n">
        <v>0</v>
      </c>
      <c r="I137" t="n">
        <v>0</v>
      </c>
      <c r="J137" t="n">
        <v>0</v>
      </c>
      <c r="K137" t="n">
        <v>0</v>
      </c>
      <c r="L137" t="n">
        <v>0</v>
      </c>
      <c r="M137" t="n">
        <v>0</v>
      </c>
      <c r="N137" t="n">
        <v>0</v>
      </c>
      <c r="O137" t="n">
        <v>0</v>
      </c>
      <c r="P137" t="n">
        <v>0</v>
      </c>
      <c r="Q137" t="n">
        <v>0</v>
      </c>
      <c r="R137" s="2" t="inlineStr"/>
    </row>
    <row r="138" ht="15" customHeight="1">
      <c r="A138" t="inlineStr">
        <is>
          <t>A 37031-2019</t>
        </is>
      </c>
      <c r="B138" s="1" t="n">
        <v>43672</v>
      </c>
      <c r="C138" s="1" t="n">
        <v>45575</v>
      </c>
      <c r="D138" t="inlineStr">
        <is>
          <t>KALMAR LÄN</t>
        </is>
      </c>
      <c r="E138" t="inlineStr">
        <is>
          <t>VIMMERBY</t>
        </is>
      </c>
      <c r="G138" t="n">
        <v>16.8</v>
      </c>
      <c r="H138" t="n">
        <v>0</v>
      </c>
      <c r="I138" t="n">
        <v>0</v>
      </c>
      <c r="J138" t="n">
        <v>0</v>
      </c>
      <c r="K138" t="n">
        <v>0</v>
      </c>
      <c r="L138" t="n">
        <v>0</v>
      </c>
      <c r="M138" t="n">
        <v>0</v>
      </c>
      <c r="N138" t="n">
        <v>0</v>
      </c>
      <c r="O138" t="n">
        <v>0</v>
      </c>
      <c r="P138" t="n">
        <v>0</v>
      </c>
      <c r="Q138" t="n">
        <v>0</v>
      </c>
      <c r="R138" s="2" t="inlineStr"/>
    </row>
    <row r="139" ht="15" customHeight="1">
      <c r="A139" t="inlineStr">
        <is>
          <t>A 36830-2019</t>
        </is>
      </c>
      <c r="B139" s="1" t="n">
        <v>43674</v>
      </c>
      <c r="C139" s="1" t="n">
        <v>45575</v>
      </c>
      <c r="D139" t="inlineStr">
        <is>
          <t>KALMAR LÄN</t>
        </is>
      </c>
      <c r="E139" t="inlineStr">
        <is>
          <t>VIMMERBY</t>
        </is>
      </c>
      <c r="G139" t="n">
        <v>7.2</v>
      </c>
      <c r="H139" t="n">
        <v>0</v>
      </c>
      <c r="I139" t="n">
        <v>0</v>
      </c>
      <c r="J139" t="n">
        <v>0</v>
      </c>
      <c r="K139" t="n">
        <v>0</v>
      </c>
      <c r="L139" t="n">
        <v>0</v>
      </c>
      <c r="M139" t="n">
        <v>0</v>
      </c>
      <c r="N139" t="n">
        <v>0</v>
      </c>
      <c r="O139" t="n">
        <v>0</v>
      </c>
      <c r="P139" t="n">
        <v>0</v>
      </c>
      <c r="Q139" t="n">
        <v>0</v>
      </c>
      <c r="R139" s="2" t="inlineStr"/>
    </row>
    <row r="140" ht="15" customHeight="1">
      <c r="A140" t="inlineStr">
        <is>
          <t>A 36936-2019</t>
        </is>
      </c>
      <c r="B140" s="1" t="n">
        <v>43675</v>
      </c>
      <c r="C140" s="1" t="n">
        <v>45575</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37063-2019</t>
        </is>
      </c>
      <c r="B141" s="1" t="n">
        <v>43676</v>
      </c>
      <c r="C141" s="1" t="n">
        <v>45575</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37209-2019</t>
        </is>
      </c>
      <c r="B142" s="1" t="n">
        <v>43677</v>
      </c>
      <c r="C142" s="1" t="n">
        <v>45575</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37412-2019</t>
        </is>
      </c>
      <c r="B143" s="1" t="n">
        <v>43678</v>
      </c>
      <c r="C143" s="1" t="n">
        <v>45575</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38602-2019</t>
        </is>
      </c>
      <c r="B144" s="1" t="n">
        <v>43684</v>
      </c>
      <c r="C144" s="1" t="n">
        <v>45575</v>
      </c>
      <c r="D144" t="inlineStr">
        <is>
          <t>KALMAR LÄN</t>
        </is>
      </c>
      <c r="E144" t="inlineStr">
        <is>
          <t>VIMMERBY</t>
        </is>
      </c>
      <c r="G144" t="n">
        <v>2.7</v>
      </c>
      <c r="H144" t="n">
        <v>0</v>
      </c>
      <c r="I144" t="n">
        <v>0</v>
      </c>
      <c r="J144" t="n">
        <v>0</v>
      </c>
      <c r="K144" t="n">
        <v>0</v>
      </c>
      <c r="L144" t="n">
        <v>0</v>
      </c>
      <c r="M144" t="n">
        <v>0</v>
      </c>
      <c r="N144" t="n">
        <v>0</v>
      </c>
      <c r="O144" t="n">
        <v>0</v>
      </c>
      <c r="P144" t="n">
        <v>0</v>
      </c>
      <c r="Q144" t="n">
        <v>0</v>
      </c>
      <c r="R144" s="2" t="inlineStr"/>
    </row>
    <row r="145" ht="15" customHeight="1">
      <c r="A145" t="inlineStr">
        <is>
          <t>A 38866-2019</t>
        </is>
      </c>
      <c r="B145" s="1" t="n">
        <v>43685</v>
      </c>
      <c r="C145" s="1" t="n">
        <v>45575</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38789-2019</t>
        </is>
      </c>
      <c r="B146" s="1" t="n">
        <v>43687</v>
      </c>
      <c r="C146" s="1" t="n">
        <v>45575</v>
      </c>
      <c r="D146" t="inlineStr">
        <is>
          <t>KALMAR LÄN</t>
        </is>
      </c>
      <c r="E146" t="inlineStr">
        <is>
          <t>VIMMERBY</t>
        </is>
      </c>
      <c r="G146" t="n">
        <v>0.3</v>
      </c>
      <c r="H146" t="n">
        <v>0</v>
      </c>
      <c r="I146" t="n">
        <v>0</v>
      </c>
      <c r="J146" t="n">
        <v>0</v>
      </c>
      <c r="K146" t="n">
        <v>0</v>
      </c>
      <c r="L146" t="n">
        <v>0</v>
      </c>
      <c r="M146" t="n">
        <v>0</v>
      </c>
      <c r="N146" t="n">
        <v>0</v>
      </c>
      <c r="O146" t="n">
        <v>0</v>
      </c>
      <c r="P146" t="n">
        <v>0</v>
      </c>
      <c r="Q146" t="n">
        <v>0</v>
      </c>
      <c r="R146" s="2" t="inlineStr"/>
    </row>
    <row r="147" ht="15" customHeight="1">
      <c r="A147" t="inlineStr">
        <is>
          <t>A 38835-2019</t>
        </is>
      </c>
      <c r="B147" s="1" t="n">
        <v>43689</v>
      </c>
      <c r="C147" s="1" t="n">
        <v>45575</v>
      </c>
      <c r="D147" t="inlineStr">
        <is>
          <t>KALMAR LÄN</t>
        </is>
      </c>
      <c r="E147" t="inlineStr">
        <is>
          <t>VIMMERBY</t>
        </is>
      </c>
      <c r="G147" t="n">
        <v>3.8</v>
      </c>
      <c r="H147" t="n">
        <v>0</v>
      </c>
      <c r="I147" t="n">
        <v>0</v>
      </c>
      <c r="J147" t="n">
        <v>0</v>
      </c>
      <c r="K147" t="n">
        <v>0</v>
      </c>
      <c r="L147" t="n">
        <v>0</v>
      </c>
      <c r="M147" t="n">
        <v>0</v>
      </c>
      <c r="N147" t="n">
        <v>0</v>
      </c>
      <c r="O147" t="n">
        <v>0</v>
      </c>
      <c r="P147" t="n">
        <v>0</v>
      </c>
      <c r="Q147" t="n">
        <v>0</v>
      </c>
      <c r="R147" s="2" t="inlineStr"/>
    </row>
    <row r="148" ht="15" customHeight="1">
      <c r="A148" t="inlineStr">
        <is>
          <t>A 38823-2019</t>
        </is>
      </c>
      <c r="B148" s="1" t="n">
        <v>43689</v>
      </c>
      <c r="C148" s="1" t="n">
        <v>45575</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38837-2019</t>
        </is>
      </c>
      <c r="B149" s="1" t="n">
        <v>43689</v>
      </c>
      <c r="C149" s="1" t="n">
        <v>45575</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38831-2019</t>
        </is>
      </c>
      <c r="B150" s="1" t="n">
        <v>43689</v>
      </c>
      <c r="C150" s="1" t="n">
        <v>45575</v>
      </c>
      <c r="D150" t="inlineStr">
        <is>
          <t>KALMAR LÄN</t>
        </is>
      </c>
      <c r="E150" t="inlineStr">
        <is>
          <t>VIMMERBY</t>
        </is>
      </c>
      <c r="G150" t="n">
        <v>3</v>
      </c>
      <c r="H150" t="n">
        <v>0</v>
      </c>
      <c r="I150" t="n">
        <v>0</v>
      </c>
      <c r="J150" t="n">
        <v>0</v>
      </c>
      <c r="K150" t="n">
        <v>0</v>
      </c>
      <c r="L150" t="n">
        <v>0</v>
      </c>
      <c r="M150" t="n">
        <v>0</v>
      </c>
      <c r="N150" t="n">
        <v>0</v>
      </c>
      <c r="O150" t="n">
        <v>0</v>
      </c>
      <c r="P150" t="n">
        <v>0</v>
      </c>
      <c r="Q150" t="n">
        <v>0</v>
      </c>
      <c r="R150" s="2" t="inlineStr"/>
    </row>
    <row r="151" ht="15" customHeight="1">
      <c r="A151" t="inlineStr">
        <is>
          <t>A 39442-2019</t>
        </is>
      </c>
      <c r="B151" s="1" t="n">
        <v>43691</v>
      </c>
      <c r="C151" s="1" t="n">
        <v>45575</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39575-2019</t>
        </is>
      </c>
      <c r="B152" s="1" t="n">
        <v>43691</v>
      </c>
      <c r="C152" s="1" t="n">
        <v>45575</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39568-2019</t>
        </is>
      </c>
      <c r="B153" s="1" t="n">
        <v>43691</v>
      </c>
      <c r="C153" s="1" t="n">
        <v>45575</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39564-2019</t>
        </is>
      </c>
      <c r="B154" s="1" t="n">
        <v>43691</v>
      </c>
      <c r="C154" s="1" t="n">
        <v>45575</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39577-2019</t>
        </is>
      </c>
      <c r="B155" s="1" t="n">
        <v>43691</v>
      </c>
      <c r="C155" s="1" t="n">
        <v>45575</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39856-2019</t>
        </is>
      </c>
      <c r="B156" s="1" t="n">
        <v>43692</v>
      </c>
      <c r="C156" s="1" t="n">
        <v>45575</v>
      </c>
      <c r="D156" t="inlineStr">
        <is>
          <t>KALMAR LÄN</t>
        </is>
      </c>
      <c r="E156" t="inlineStr">
        <is>
          <t>VIMMERBY</t>
        </is>
      </c>
      <c r="G156" t="n">
        <v>1.9</v>
      </c>
      <c r="H156" t="n">
        <v>0</v>
      </c>
      <c r="I156" t="n">
        <v>0</v>
      </c>
      <c r="J156" t="n">
        <v>0</v>
      </c>
      <c r="K156" t="n">
        <v>0</v>
      </c>
      <c r="L156" t="n">
        <v>0</v>
      </c>
      <c r="M156" t="n">
        <v>0</v>
      </c>
      <c r="N156" t="n">
        <v>0</v>
      </c>
      <c r="O156" t="n">
        <v>0</v>
      </c>
      <c r="P156" t="n">
        <v>0</v>
      </c>
      <c r="Q156" t="n">
        <v>0</v>
      </c>
      <c r="R156" s="2" t="inlineStr"/>
    </row>
    <row r="157" ht="15" customHeight="1">
      <c r="A157" t="inlineStr">
        <is>
          <t>A 39901-2019</t>
        </is>
      </c>
      <c r="B157" s="1" t="n">
        <v>43692</v>
      </c>
      <c r="C157" s="1" t="n">
        <v>45575</v>
      </c>
      <c r="D157" t="inlineStr">
        <is>
          <t>KALMAR LÄN</t>
        </is>
      </c>
      <c r="E157" t="inlineStr">
        <is>
          <t>VIMMERBY</t>
        </is>
      </c>
      <c r="G157" t="n">
        <v>1.5</v>
      </c>
      <c r="H157" t="n">
        <v>0</v>
      </c>
      <c r="I157" t="n">
        <v>0</v>
      </c>
      <c r="J157" t="n">
        <v>0</v>
      </c>
      <c r="K157" t="n">
        <v>0</v>
      </c>
      <c r="L157" t="n">
        <v>0</v>
      </c>
      <c r="M157" t="n">
        <v>0</v>
      </c>
      <c r="N157" t="n">
        <v>0</v>
      </c>
      <c r="O157" t="n">
        <v>0</v>
      </c>
      <c r="P157" t="n">
        <v>0</v>
      </c>
      <c r="Q157" t="n">
        <v>0</v>
      </c>
      <c r="R157" s="2" t="inlineStr"/>
    </row>
    <row r="158" ht="15" customHeight="1">
      <c r="A158" t="inlineStr">
        <is>
          <t>A 39962-2019</t>
        </is>
      </c>
      <c r="B158" s="1" t="n">
        <v>43692</v>
      </c>
      <c r="C158" s="1" t="n">
        <v>45575</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39899-2019</t>
        </is>
      </c>
      <c r="B159" s="1" t="n">
        <v>43692</v>
      </c>
      <c r="C159" s="1" t="n">
        <v>45575</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39894-2019</t>
        </is>
      </c>
      <c r="B160" s="1" t="n">
        <v>43692</v>
      </c>
      <c r="C160" s="1" t="n">
        <v>45575</v>
      </c>
      <c r="D160" t="inlineStr">
        <is>
          <t>KALMAR LÄN</t>
        </is>
      </c>
      <c r="E160" t="inlineStr">
        <is>
          <t>VIMMERBY</t>
        </is>
      </c>
      <c r="G160" t="n">
        <v>3.3</v>
      </c>
      <c r="H160" t="n">
        <v>0</v>
      </c>
      <c r="I160" t="n">
        <v>0</v>
      </c>
      <c r="J160" t="n">
        <v>0</v>
      </c>
      <c r="K160" t="n">
        <v>0</v>
      </c>
      <c r="L160" t="n">
        <v>0</v>
      </c>
      <c r="M160" t="n">
        <v>0</v>
      </c>
      <c r="N160" t="n">
        <v>0</v>
      </c>
      <c r="O160" t="n">
        <v>0</v>
      </c>
      <c r="P160" t="n">
        <v>0</v>
      </c>
      <c r="Q160" t="n">
        <v>0</v>
      </c>
      <c r="R160" s="2" t="inlineStr"/>
    </row>
    <row r="161" ht="15" customHeight="1">
      <c r="A161" t="inlineStr">
        <is>
          <t>A 39920-2019</t>
        </is>
      </c>
      <c r="B161" s="1" t="n">
        <v>43692</v>
      </c>
      <c r="C161" s="1" t="n">
        <v>45575</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39897-2019</t>
        </is>
      </c>
      <c r="B162" s="1" t="n">
        <v>43692</v>
      </c>
      <c r="C162" s="1" t="n">
        <v>45575</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40140-2019</t>
        </is>
      </c>
      <c r="B163" s="1" t="n">
        <v>43693</v>
      </c>
      <c r="C163" s="1" t="n">
        <v>45575</v>
      </c>
      <c r="D163" t="inlineStr">
        <is>
          <t>KALMAR LÄN</t>
        </is>
      </c>
      <c r="E163" t="inlineStr">
        <is>
          <t>VIMMERBY</t>
        </is>
      </c>
      <c r="F163" t="inlineStr">
        <is>
          <t>Kommuner</t>
        </is>
      </c>
      <c r="G163" t="n">
        <v>1.3</v>
      </c>
      <c r="H163" t="n">
        <v>0</v>
      </c>
      <c r="I163" t="n">
        <v>0</v>
      </c>
      <c r="J163" t="n">
        <v>0</v>
      </c>
      <c r="K163" t="n">
        <v>0</v>
      </c>
      <c r="L163" t="n">
        <v>0</v>
      </c>
      <c r="M163" t="n">
        <v>0</v>
      </c>
      <c r="N163" t="n">
        <v>0</v>
      </c>
      <c r="O163" t="n">
        <v>0</v>
      </c>
      <c r="P163" t="n">
        <v>0</v>
      </c>
      <c r="Q163" t="n">
        <v>0</v>
      </c>
      <c r="R163" s="2" t="inlineStr"/>
    </row>
    <row r="164" ht="15" customHeight="1">
      <c r="A164" t="inlineStr">
        <is>
          <t>A 40691-2019</t>
        </is>
      </c>
      <c r="B164" s="1" t="n">
        <v>43696</v>
      </c>
      <c r="C164" s="1" t="n">
        <v>45575</v>
      </c>
      <c r="D164" t="inlineStr">
        <is>
          <t>KALMAR LÄN</t>
        </is>
      </c>
      <c r="E164" t="inlineStr">
        <is>
          <t>VIMMERBY</t>
        </is>
      </c>
      <c r="G164" t="n">
        <v>10.9</v>
      </c>
      <c r="H164" t="n">
        <v>0</v>
      </c>
      <c r="I164" t="n">
        <v>0</v>
      </c>
      <c r="J164" t="n">
        <v>0</v>
      </c>
      <c r="K164" t="n">
        <v>0</v>
      </c>
      <c r="L164" t="n">
        <v>0</v>
      </c>
      <c r="M164" t="n">
        <v>0</v>
      </c>
      <c r="N164" t="n">
        <v>0</v>
      </c>
      <c r="O164" t="n">
        <v>0</v>
      </c>
      <c r="P164" t="n">
        <v>0</v>
      </c>
      <c r="Q164" t="n">
        <v>0</v>
      </c>
      <c r="R164" s="2" t="inlineStr"/>
    </row>
    <row r="165" ht="15" customHeight="1">
      <c r="A165" t="inlineStr">
        <is>
          <t>A 40692-2019</t>
        </is>
      </c>
      <c r="B165" s="1" t="n">
        <v>43696</v>
      </c>
      <c r="C165" s="1" t="n">
        <v>45575</v>
      </c>
      <c r="D165" t="inlineStr">
        <is>
          <t>KALMAR LÄN</t>
        </is>
      </c>
      <c r="E165" t="inlineStr">
        <is>
          <t>VIMMERBY</t>
        </is>
      </c>
      <c r="G165" t="n">
        <v>1.4</v>
      </c>
      <c r="H165" t="n">
        <v>0</v>
      </c>
      <c r="I165" t="n">
        <v>0</v>
      </c>
      <c r="J165" t="n">
        <v>0</v>
      </c>
      <c r="K165" t="n">
        <v>0</v>
      </c>
      <c r="L165" t="n">
        <v>0</v>
      </c>
      <c r="M165" t="n">
        <v>0</v>
      </c>
      <c r="N165" t="n">
        <v>0</v>
      </c>
      <c r="O165" t="n">
        <v>0</v>
      </c>
      <c r="P165" t="n">
        <v>0</v>
      </c>
      <c r="Q165" t="n">
        <v>0</v>
      </c>
      <c r="R165" s="2" t="inlineStr"/>
    </row>
    <row r="166" ht="15" customHeight="1">
      <c r="A166" t="inlineStr">
        <is>
          <t>A 41347-2019</t>
        </is>
      </c>
      <c r="B166" s="1" t="n">
        <v>43698</v>
      </c>
      <c r="C166" s="1" t="n">
        <v>45575</v>
      </c>
      <c r="D166" t="inlineStr">
        <is>
          <t>KALMAR LÄN</t>
        </is>
      </c>
      <c r="E166" t="inlineStr">
        <is>
          <t>VIMMERBY</t>
        </is>
      </c>
      <c r="G166" t="n">
        <v>1.8</v>
      </c>
      <c r="H166" t="n">
        <v>0</v>
      </c>
      <c r="I166" t="n">
        <v>0</v>
      </c>
      <c r="J166" t="n">
        <v>0</v>
      </c>
      <c r="K166" t="n">
        <v>0</v>
      </c>
      <c r="L166" t="n">
        <v>0</v>
      </c>
      <c r="M166" t="n">
        <v>0</v>
      </c>
      <c r="N166" t="n">
        <v>0</v>
      </c>
      <c r="O166" t="n">
        <v>0</v>
      </c>
      <c r="P166" t="n">
        <v>0</v>
      </c>
      <c r="Q166" t="n">
        <v>0</v>
      </c>
      <c r="R166" s="2" t="inlineStr"/>
    </row>
    <row r="167" ht="15" customHeight="1">
      <c r="A167" t="inlineStr">
        <is>
          <t>A 42142-2019</t>
        </is>
      </c>
      <c r="B167" s="1" t="n">
        <v>43703</v>
      </c>
      <c r="C167" s="1" t="n">
        <v>45575</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42759-2019</t>
        </is>
      </c>
      <c r="B168" s="1" t="n">
        <v>43704</v>
      </c>
      <c r="C168" s="1" t="n">
        <v>45575</v>
      </c>
      <c r="D168" t="inlineStr">
        <is>
          <t>KALMAR LÄN</t>
        </is>
      </c>
      <c r="E168" t="inlineStr">
        <is>
          <t>VIMMERBY</t>
        </is>
      </c>
      <c r="G168" t="n">
        <v>4.6</v>
      </c>
      <c r="H168" t="n">
        <v>0</v>
      </c>
      <c r="I168" t="n">
        <v>0</v>
      </c>
      <c r="J168" t="n">
        <v>0</v>
      </c>
      <c r="K168" t="n">
        <v>0</v>
      </c>
      <c r="L168" t="n">
        <v>0</v>
      </c>
      <c r="M168" t="n">
        <v>0</v>
      </c>
      <c r="N168" t="n">
        <v>0</v>
      </c>
      <c r="O168" t="n">
        <v>0</v>
      </c>
      <c r="P168" t="n">
        <v>0</v>
      </c>
      <c r="Q168" t="n">
        <v>0</v>
      </c>
      <c r="R168" s="2" t="inlineStr"/>
    </row>
    <row r="169" ht="15" customHeight="1">
      <c r="A169" t="inlineStr">
        <is>
          <t>A 42758-2019</t>
        </is>
      </c>
      <c r="B169" s="1" t="n">
        <v>43704</v>
      </c>
      <c r="C169" s="1" t="n">
        <v>45575</v>
      </c>
      <c r="D169" t="inlineStr">
        <is>
          <t>KALMAR LÄN</t>
        </is>
      </c>
      <c r="E169" t="inlineStr">
        <is>
          <t>VIMMERBY</t>
        </is>
      </c>
      <c r="G169" t="n">
        <v>6.2</v>
      </c>
      <c r="H169" t="n">
        <v>0</v>
      </c>
      <c r="I169" t="n">
        <v>0</v>
      </c>
      <c r="J169" t="n">
        <v>0</v>
      </c>
      <c r="K169" t="n">
        <v>0</v>
      </c>
      <c r="L169" t="n">
        <v>0</v>
      </c>
      <c r="M169" t="n">
        <v>0</v>
      </c>
      <c r="N169" t="n">
        <v>0</v>
      </c>
      <c r="O169" t="n">
        <v>0</v>
      </c>
      <c r="P169" t="n">
        <v>0</v>
      </c>
      <c r="Q169" t="n">
        <v>0</v>
      </c>
      <c r="R169" s="2" t="inlineStr"/>
    </row>
    <row r="170" ht="15" customHeight="1">
      <c r="A170" t="inlineStr">
        <is>
          <t>A 42947-2019</t>
        </is>
      </c>
      <c r="B170" s="1" t="n">
        <v>43705</v>
      </c>
      <c r="C170" s="1" t="n">
        <v>45575</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42972-2019</t>
        </is>
      </c>
      <c r="B171" s="1" t="n">
        <v>43705</v>
      </c>
      <c r="C171" s="1" t="n">
        <v>45575</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44202-2019</t>
        </is>
      </c>
      <c r="B172" s="1" t="n">
        <v>43710</v>
      </c>
      <c r="C172" s="1" t="n">
        <v>45575</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44630-2019</t>
        </is>
      </c>
      <c r="B173" s="1" t="n">
        <v>43712</v>
      </c>
      <c r="C173" s="1" t="n">
        <v>45575</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45446-2019</t>
        </is>
      </c>
      <c r="B174" s="1" t="n">
        <v>43714</v>
      </c>
      <c r="C174" s="1" t="n">
        <v>45575</v>
      </c>
      <c r="D174" t="inlineStr">
        <is>
          <t>KALMAR LÄN</t>
        </is>
      </c>
      <c r="E174" t="inlineStr">
        <is>
          <t>VIMMERBY</t>
        </is>
      </c>
      <c r="G174" t="n">
        <v>3.8</v>
      </c>
      <c r="H174" t="n">
        <v>0</v>
      </c>
      <c r="I174" t="n">
        <v>0</v>
      </c>
      <c r="J174" t="n">
        <v>0</v>
      </c>
      <c r="K174" t="n">
        <v>0</v>
      </c>
      <c r="L174" t="n">
        <v>0</v>
      </c>
      <c r="M174" t="n">
        <v>0</v>
      </c>
      <c r="N174" t="n">
        <v>0</v>
      </c>
      <c r="O174" t="n">
        <v>0</v>
      </c>
      <c r="P174" t="n">
        <v>0</v>
      </c>
      <c r="Q174" t="n">
        <v>0</v>
      </c>
      <c r="R174" s="2" t="inlineStr"/>
    </row>
    <row r="175" ht="15" customHeight="1">
      <c r="A175" t="inlineStr">
        <is>
          <t>A 45413-2019</t>
        </is>
      </c>
      <c r="B175" s="1" t="n">
        <v>43714</v>
      </c>
      <c r="C175" s="1" t="n">
        <v>45575</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45515-2019</t>
        </is>
      </c>
      <c r="B176" s="1" t="n">
        <v>43714</v>
      </c>
      <c r="C176" s="1" t="n">
        <v>45575</v>
      </c>
      <c r="D176" t="inlineStr">
        <is>
          <t>KALMAR LÄN</t>
        </is>
      </c>
      <c r="E176" t="inlineStr">
        <is>
          <t>VIMMERBY</t>
        </is>
      </c>
      <c r="G176" t="n">
        <v>2.4</v>
      </c>
      <c r="H176" t="n">
        <v>0</v>
      </c>
      <c r="I176" t="n">
        <v>0</v>
      </c>
      <c r="J176" t="n">
        <v>0</v>
      </c>
      <c r="K176" t="n">
        <v>0</v>
      </c>
      <c r="L176" t="n">
        <v>0</v>
      </c>
      <c r="M176" t="n">
        <v>0</v>
      </c>
      <c r="N176" t="n">
        <v>0</v>
      </c>
      <c r="O176" t="n">
        <v>0</v>
      </c>
      <c r="P176" t="n">
        <v>0</v>
      </c>
      <c r="Q176" t="n">
        <v>0</v>
      </c>
      <c r="R176" s="2" t="inlineStr"/>
    </row>
    <row r="177" ht="15" customHeight="1">
      <c r="A177" t="inlineStr">
        <is>
          <t>A 46242-2019</t>
        </is>
      </c>
      <c r="B177" s="1" t="n">
        <v>43718</v>
      </c>
      <c r="C177" s="1" t="n">
        <v>45575</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46845-2019</t>
        </is>
      </c>
      <c r="B178" s="1" t="n">
        <v>43718</v>
      </c>
      <c r="C178" s="1" t="n">
        <v>45575</v>
      </c>
      <c r="D178" t="inlineStr">
        <is>
          <t>KALMAR LÄN</t>
        </is>
      </c>
      <c r="E178" t="inlineStr">
        <is>
          <t>VIMMERBY</t>
        </is>
      </c>
      <c r="G178" t="n">
        <v>2</v>
      </c>
      <c r="H178" t="n">
        <v>0</v>
      </c>
      <c r="I178" t="n">
        <v>0</v>
      </c>
      <c r="J178" t="n">
        <v>0</v>
      </c>
      <c r="K178" t="n">
        <v>0</v>
      </c>
      <c r="L178" t="n">
        <v>0</v>
      </c>
      <c r="M178" t="n">
        <v>0</v>
      </c>
      <c r="N178" t="n">
        <v>0</v>
      </c>
      <c r="O178" t="n">
        <v>0</v>
      </c>
      <c r="P178" t="n">
        <v>0</v>
      </c>
      <c r="Q178" t="n">
        <v>0</v>
      </c>
      <c r="R178" s="2" t="inlineStr"/>
    </row>
    <row r="179" ht="15" customHeight="1">
      <c r="A179" t="inlineStr">
        <is>
          <t>A 46291-2019</t>
        </is>
      </c>
      <c r="B179" s="1" t="n">
        <v>43718</v>
      </c>
      <c r="C179" s="1" t="n">
        <v>45575</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47187-2019</t>
        </is>
      </c>
      <c r="B180" s="1" t="n">
        <v>43719</v>
      </c>
      <c r="C180" s="1" t="n">
        <v>45575</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46619-2019</t>
        </is>
      </c>
      <c r="B181" s="1" t="n">
        <v>43719</v>
      </c>
      <c r="C181" s="1" t="n">
        <v>45575</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46988-2019</t>
        </is>
      </c>
      <c r="B182" s="1" t="n">
        <v>43720</v>
      </c>
      <c r="C182" s="1" t="n">
        <v>45575</v>
      </c>
      <c r="D182" t="inlineStr">
        <is>
          <t>KALMAR LÄN</t>
        </is>
      </c>
      <c r="E182" t="inlineStr">
        <is>
          <t>VIMMERBY</t>
        </is>
      </c>
      <c r="F182" t="inlineStr">
        <is>
          <t>Kommuner</t>
        </is>
      </c>
      <c r="G182" t="n">
        <v>0.5</v>
      </c>
      <c r="H182" t="n">
        <v>0</v>
      </c>
      <c r="I182" t="n">
        <v>0</v>
      </c>
      <c r="J182" t="n">
        <v>0</v>
      </c>
      <c r="K182" t="n">
        <v>0</v>
      </c>
      <c r="L182" t="n">
        <v>0</v>
      </c>
      <c r="M182" t="n">
        <v>0</v>
      </c>
      <c r="N182" t="n">
        <v>0</v>
      </c>
      <c r="O182" t="n">
        <v>0</v>
      </c>
      <c r="P182" t="n">
        <v>0</v>
      </c>
      <c r="Q182" t="n">
        <v>0</v>
      </c>
      <c r="R182" s="2" t="inlineStr"/>
    </row>
    <row r="183" ht="15" customHeight="1">
      <c r="A183" t="inlineStr">
        <is>
          <t>A 48029-2019</t>
        </is>
      </c>
      <c r="B183" s="1" t="n">
        <v>43725</v>
      </c>
      <c r="C183" s="1" t="n">
        <v>45575</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48051-2019</t>
        </is>
      </c>
      <c r="B184" s="1" t="n">
        <v>43725</v>
      </c>
      <c r="C184" s="1" t="n">
        <v>45575</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48164-2019</t>
        </is>
      </c>
      <c r="B185" s="1" t="n">
        <v>43726</v>
      </c>
      <c r="C185" s="1" t="n">
        <v>45575</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48381-2019</t>
        </is>
      </c>
      <c r="B186" s="1" t="n">
        <v>43726</v>
      </c>
      <c r="C186" s="1" t="n">
        <v>45575</v>
      </c>
      <c r="D186" t="inlineStr">
        <is>
          <t>KALMAR LÄN</t>
        </is>
      </c>
      <c r="E186" t="inlineStr">
        <is>
          <t>VIMMERBY</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48380-2019</t>
        </is>
      </c>
      <c r="B187" s="1" t="n">
        <v>43726</v>
      </c>
      <c r="C187" s="1" t="n">
        <v>45575</v>
      </c>
      <c r="D187" t="inlineStr">
        <is>
          <t>KALMAR LÄN</t>
        </is>
      </c>
      <c r="E187" t="inlineStr">
        <is>
          <t>VIMMERBY</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48834-2019</t>
        </is>
      </c>
      <c r="B188" s="1" t="n">
        <v>43728</v>
      </c>
      <c r="C188" s="1" t="n">
        <v>45575</v>
      </c>
      <c r="D188" t="inlineStr">
        <is>
          <t>KALMAR LÄN</t>
        </is>
      </c>
      <c r="E188" t="inlineStr">
        <is>
          <t>VIMMERBY</t>
        </is>
      </c>
      <c r="G188" t="n">
        <v>5.3</v>
      </c>
      <c r="H188" t="n">
        <v>0</v>
      </c>
      <c r="I188" t="n">
        <v>0</v>
      </c>
      <c r="J188" t="n">
        <v>0</v>
      </c>
      <c r="K188" t="n">
        <v>0</v>
      </c>
      <c r="L188" t="n">
        <v>0</v>
      </c>
      <c r="M188" t="n">
        <v>0</v>
      </c>
      <c r="N188" t="n">
        <v>0</v>
      </c>
      <c r="O188" t="n">
        <v>0</v>
      </c>
      <c r="P188" t="n">
        <v>0</v>
      </c>
      <c r="Q188" t="n">
        <v>0</v>
      </c>
      <c r="R188" s="2" t="inlineStr"/>
    </row>
    <row r="189" ht="15" customHeight="1">
      <c r="A189" t="inlineStr">
        <is>
          <t>A 48921-2019</t>
        </is>
      </c>
      <c r="B189" s="1" t="n">
        <v>43728</v>
      </c>
      <c r="C189" s="1" t="n">
        <v>45575</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49212-2019</t>
        </is>
      </c>
      <c r="B190" s="1" t="n">
        <v>43731</v>
      </c>
      <c r="C190" s="1" t="n">
        <v>45575</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49208-2019</t>
        </is>
      </c>
      <c r="B191" s="1" t="n">
        <v>43731</v>
      </c>
      <c r="C191" s="1" t="n">
        <v>45575</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49206-2019</t>
        </is>
      </c>
      <c r="B192" s="1" t="n">
        <v>43731</v>
      </c>
      <c r="C192" s="1" t="n">
        <v>45575</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49741-2019</t>
        </is>
      </c>
      <c r="B193" s="1" t="n">
        <v>43733</v>
      </c>
      <c r="C193" s="1" t="n">
        <v>45575</v>
      </c>
      <c r="D193" t="inlineStr">
        <is>
          <t>KALMAR LÄN</t>
        </is>
      </c>
      <c r="E193" t="inlineStr">
        <is>
          <t>VIMMERBY</t>
        </is>
      </c>
      <c r="G193" t="n">
        <v>2.2</v>
      </c>
      <c r="H193" t="n">
        <v>0</v>
      </c>
      <c r="I193" t="n">
        <v>0</v>
      </c>
      <c r="J193" t="n">
        <v>0</v>
      </c>
      <c r="K193" t="n">
        <v>0</v>
      </c>
      <c r="L193" t="n">
        <v>0</v>
      </c>
      <c r="M193" t="n">
        <v>0</v>
      </c>
      <c r="N193" t="n">
        <v>0</v>
      </c>
      <c r="O193" t="n">
        <v>0</v>
      </c>
      <c r="P193" t="n">
        <v>0</v>
      </c>
      <c r="Q193" t="n">
        <v>0</v>
      </c>
      <c r="R193" s="2" t="inlineStr"/>
    </row>
    <row r="194" ht="15" customHeight="1">
      <c r="A194" t="inlineStr">
        <is>
          <t>A 49760-2019</t>
        </is>
      </c>
      <c r="B194" s="1" t="n">
        <v>43733</v>
      </c>
      <c r="C194" s="1" t="n">
        <v>45575</v>
      </c>
      <c r="D194" t="inlineStr">
        <is>
          <t>KALMAR LÄN</t>
        </is>
      </c>
      <c r="E194" t="inlineStr">
        <is>
          <t>VIMMERBY</t>
        </is>
      </c>
      <c r="G194" t="n">
        <v>2.3</v>
      </c>
      <c r="H194" t="n">
        <v>0</v>
      </c>
      <c r="I194" t="n">
        <v>0</v>
      </c>
      <c r="J194" t="n">
        <v>0</v>
      </c>
      <c r="K194" t="n">
        <v>0</v>
      </c>
      <c r="L194" t="n">
        <v>0</v>
      </c>
      <c r="M194" t="n">
        <v>0</v>
      </c>
      <c r="N194" t="n">
        <v>0</v>
      </c>
      <c r="O194" t="n">
        <v>0</v>
      </c>
      <c r="P194" t="n">
        <v>0</v>
      </c>
      <c r="Q194" t="n">
        <v>0</v>
      </c>
      <c r="R194" s="2" t="inlineStr"/>
    </row>
    <row r="195" ht="15" customHeight="1">
      <c r="A195" t="inlineStr">
        <is>
          <t>A 49747-2019</t>
        </is>
      </c>
      <c r="B195" s="1" t="n">
        <v>43733</v>
      </c>
      <c r="C195" s="1" t="n">
        <v>45575</v>
      </c>
      <c r="D195" t="inlineStr">
        <is>
          <t>KALMAR LÄN</t>
        </is>
      </c>
      <c r="E195" t="inlineStr">
        <is>
          <t>VIMMERBY</t>
        </is>
      </c>
      <c r="G195" t="n">
        <v>4.9</v>
      </c>
      <c r="H195" t="n">
        <v>0</v>
      </c>
      <c r="I195" t="n">
        <v>0</v>
      </c>
      <c r="J195" t="n">
        <v>0</v>
      </c>
      <c r="K195" t="n">
        <v>0</v>
      </c>
      <c r="L195" t="n">
        <v>0</v>
      </c>
      <c r="M195" t="n">
        <v>0</v>
      </c>
      <c r="N195" t="n">
        <v>0</v>
      </c>
      <c r="O195" t="n">
        <v>0</v>
      </c>
      <c r="P195" t="n">
        <v>0</v>
      </c>
      <c r="Q195" t="n">
        <v>0</v>
      </c>
      <c r="R195" s="2" t="inlineStr"/>
    </row>
    <row r="196" ht="15" customHeight="1">
      <c r="A196" t="inlineStr">
        <is>
          <t>A 49855-2019</t>
        </is>
      </c>
      <c r="B196" s="1" t="n">
        <v>43733</v>
      </c>
      <c r="C196" s="1" t="n">
        <v>45575</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49871-2019</t>
        </is>
      </c>
      <c r="B197" s="1" t="n">
        <v>43733</v>
      </c>
      <c r="C197" s="1" t="n">
        <v>45575</v>
      </c>
      <c r="D197" t="inlineStr">
        <is>
          <t>KALMAR LÄN</t>
        </is>
      </c>
      <c r="E197" t="inlineStr">
        <is>
          <t>VIMMERBY</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49880-2019</t>
        </is>
      </c>
      <c r="B198" s="1" t="n">
        <v>43733</v>
      </c>
      <c r="C198" s="1" t="n">
        <v>45575</v>
      </c>
      <c r="D198" t="inlineStr">
        <is>
          <t>KALMAR LÄN</t>
        </is>
      </c>
      <c r="E198" t="inlineStr">
        <is>
          <t>VIMMERBY</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49885-2019</t>
        </is>
      </c>
      <c r="B199" s="1" t="n">
        <v>43733</v>
      </c>
      <c r="C199" s="1" t="n">
        <v>45575</v>
      </c>
      <c r="D199" t="inlineStr">
        <is>
          <t>KALMAR LÄN</t>
        </is>
      </c>
      <c r="E199" t="inlineStr">
        <is>
          <t>VIMMERBY</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49901-2019</t>
        </is>
      </c>
      <c r="B200" s="1" t="n">
        <v>43733</v>
      </c>
      <c r="C200" s="1" t="n">
        <v>45575</v>
      </c>
      <c r="D200" t="inlineStr">
        <is>
          <t>KALMAR LÄN</t>
        </is>
      </c>
      <c r="E200" t="inlineStr">
        <is>
          <t>VIMMERBY</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49891-2019</t>
        </is>
      </c>
      <c r="B201" s="1" t="n">
        <v>43733</v>
      </c>
      <c r="C201" s="1" t="n">
        <v>45575</v>
      </c>
      <c r="D201" t="inlineStr">
        <is>
          <t>KALMAR LÄN</t>
        </is>
      </c>
      <c r="E201" t="inlineStr">
        <is>
          <t>VIMMERBY</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49695-2019</t>
        </is>
      </c>
      <c r="B202" s="1" t="n">
        <v>43733</v>
      </c>
      <c r="C202" s="1" t="n">
        <v>45575</v>
      </c>
      <c r="D202" t="inlineStr">
        <is>
          <t>KALMAR LÄN</t>
        </is>
      </c>
      <c r="E202" t="inlineStr">
        <is>
          <t>VIMMERBY</t>
        </is>
      </c>
      <c r="G202" t="n">
        <v>4.6</v>
      </c>
      <c r="H202" t="n">
        <v>0</v>
      </c>
      <c r="I202" t="n">
        <v>0</v>
      </c>
      <c r="J202" t="n">
        <v>0</v>
      </c>
      <c r="K202" t="n">
        <v>0</v>
      </c>
      <c r="L202" t="n">
        <v>0</v>
      </c>
      <c r="M202" t="n">
        <v>0</v>
      </c>
      <c r="N202" t="n">
        <v>0</v>
      </c>
      <c r="O202" t="n">
        <v>0</v>
      </c>
      <c r="P202" t="n">
        <v>0</v>
      </c>
      <c r="Q202" t="n">
        <v>0</v>
      </c>
      <c r="R202" s="2" t="inlineStr"/>
    </row>
    <row r="203" ht="15" customHeight="1">
      <c r="A203" t="inlineStr">
        <is>
          <t>A 50214-2019</t>
        </is>
      </c>
      <c r="B203" s="1" t="n">
        <v>43734</v>
      </c>
      <c r="C203" s="1" t="n">
        <v>45575</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50317-2019</t>
        </is>
      </c>
      <c r="B204" s="1" t="n">
        <v>43735</v>
      </c>
      <c r="C204" s="1" t="n">
        <v>45575</v>
      </c>
      <c r="D204" t="inlineStr">
        <is>
          <t>KALMAR LÄN</t>
        </is>
      </c>
      <c r="E204" t="inlineStr">
        <is>
          <t>VIMMERBY</t>
        </is>
      </c>
      <c r="G204" t="n">
        <v>2</v>
      </c>
      <c r="H204" t="n">
        <v>0</v>
      </c>
      <c r="I204" t="n">
        <v>0</v>
      </c>
      <c r="J204" t="n">
        <v>0</v>
      </c>
      <c r="K204" t="n">
        <v>0</v>
      </c>
      <c r="L204" t="n">
        <v>0</v>
      </c>
      <c r="M204" t="n">
        <v>0</v>
      </c>
      <c r="N204" t="n">
        <v>0</v>
      </c>
      <c r="O204" t="n">
        <v>0</v>
      </c>
      <c r="P204" t="n">
        <v>0</v>
      </c>
      <c r="Q204" t="n">
        <v>0</v>
      </c>
      <c r="R204" s="2" t="inlineStr"/>
    </row>
    <row r="205" ht="15" customHeight="1">
      <c r="A205" t="inlineStr">
        <is>
          <t>A 50761-2019</t>
        </is>
      </c>
      <c r="B205" s="1" t="n">
        <v>43738</v>
      </c>
      <c r="C205" s="1" t="n">
        <v>45575</v>
      </c>
      <c r="D205" t="inlineStr">
        <is>
          <t>KALMAR LÄN</t>
        </is>
      </c>
      <c r="E205" t="inlineStr">
        <is>
          <t>VIMMERBY</t>
        </is>
      </c>
      <c r="G205" t="n">
        <v>3.9</v>
      </c>
      <c r="H205" t="n">
        <v>0</v>
      </c>
      <c r="I205" t="n">
        <v>0</v>
      </c>
      <c r="J205" t="n">
        <v>0</v>
      </c>
      <c r="K205" t="n">
        <v>0</v>
      </c>
      <c r="L205" t="n">
        <v>0</v>
      </c>
      <c r="M205" t="n">
        <v>0</v>
      </c>
      <c r="N205" t="n">
        <v>0</v>
      </c>
      <c r="O205" t="n">
        <v>0</v>
      </c>
      <c r="P205" t="n">
        <v>0</v>
      </c>
      <c r="Q205" t="n">
        <v>0</v>
      </c>
      <c r="R205" s="2" t="inlineStr"/>
    </row>
    <row r="206" ht="15" customHeight="1">
      <c r="A206" t="inlineStr">
        <is>
          <t>A 51273-2019</t>
        </is>
      </c>
      <c r="B206" s="1" t="n">
        <v>43739</v>
      </c>
      <c r="C206" s="1" t="n">
        <v>45575</v>
      </c>
      <c r="D206" t="inlineStr">
        <is>
          <t>KALMAR LÄN</t>
        </is>
      </c>
      <c r="E206" t="inlineStr">
        <is>
          <t>VIMMERBY</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51277-2019</t>
        </is>
      </c>
      <c r="B207" s="1" t="n">
        <v>43739</v>
      </c>
      <c r="C207" s="1" t="n">
        <v>45575</v>
      </c>
      <c r="D207" t="inlineStr">
        <is>
          <t>KALMAR LÄN</t>
        </is>
      </c>
      <c r="E207" t="inlineStr">
        <is>
          <t>VIMMERBY</t>
        </is>
      </c>
      <c r="F207" t="inlineStr">
        <is>
          <t>Sveaskog</t>
        </is>
      </c>
      <c r="G207" t="n">
        <v>7.9</v>
      </c>
      <c r="H207" t="n">
        <v>0</v>
      </c>
      <c r="I207" t="n">
        <v>0</v>
      </c>
      <c r="J207" t="n">
        <v>0</v>
      </c>
      <c r="K207" t="n">
        <v>0</v>
      </c>
      <c r="L207" t="n">
        <v>0</v>
      </c>
      <c r="M207" t="n">
        <v>0</v>
      </c>
      <c r="N207" t="n">
        <v>0</v>
      </c>
      <c r="O207" t="n">
        <v>0</v>
      </c>
      <c r="P207" t="n">
        <v>0</v>
      </c>
      <c r="Q207" t="n">
        <v>0</v>
      </c>
      <c r="R207" s="2" t="inlineStr"/>
    </row>
    <row r="208" ht="15" customHeight="1">
      <c r="A208" t="inlineStr">
        <is>
          <t>A 51362-2019</t>
        </is>
      </c>
      <c r="B208" s="1" t="n">
        <v>43740</v>
      </c>
      <c r="C208" s="1" t="n">
        <v>45575</v>
      </c>
      <c r="D208" t="inlineStr">
        <is>
          <t>KALMAR LÄN</t>
        </is>
      </c>
      <c r="E208" t="inlineStr">
        <is>
          <t>VIMMERBY</t>
        </is>
      </c>
      <c r="G208" t="n">
        <v>2.4</v>
      </c>
      <c r="H208" t="n">
        <v>0</v>
      </c>
      <c r="I208" t="n">
        <v>0</v>
      </c>
      <c r="J208" t="n">
        <v>0</v>
      </c>
      <c r="K208" t="n">
        <v>0</v>
      </c>
      <c r="L208" t="n">
        <v>0</v>
      </c>
      <c r="M208" t="n">
        <v>0</v>
      </c>
      <c r="N208" t="n">
        <v>0</v>
      </c>
      <c r="O208" t="n">
        <v>0</v>
      </c>
      <c r="P208" t="n">
        <v>0</v>
      </c>
      <c r="Q208" t="n">
        <v>0</v>
      </c>
      <c r="R208" s="2" t="inlineStr"/>
    </row>
    <row r="209" ht="15" customHeight="1">
      <c r="A209" t="inlineStr">
        <is>
          <t>A 51552-2019</t>
        </is>
      </c>
      <c r="B209" s="1" t="n">
        <v>43740</v>
      </c>
      <c r="C209" s="1" t="n">
        <v>45575</v>
      </c>
      <c r="D209" t="inlineStr">
        <is>
          <t>KALMAR LÄN</t>
        </is>
      </c>
      <c r="E209" t="inlineStr">
        <is>
          <t>VIMMERBY</t>
        </is>
      </c>
      <c r="G209" t="n">
        <v>1.2</v>
      </c>
      <c r="H209" t="n">
        <v>0</v>
      </c>
      <c r="I209" t="n">
        <v>0</v>
      </c>
      <c r="J209" t="n">
        <v>0</v>
      </c>
      <c r="K209" t="n">
        <v>0</v>
      </c>
      <c r="L209" t="n">
        <v>0</v>
      </c>
      <c r="M209" t="n">
        <v>0</v>
      </c>
      <c r="N209" t="n">
        <v>0</v>
      </c>
      <c r="O209" t="n">
        <v>0</v>
      </c>
      <c r="P209" t="n">
        <v>0</v>
      </c>
      <c r="Q209" t="n">
        <v>0</v>
      </c>
      <c r="R209" s="2" t="inlineStr"/>
    </row>
    <row r="210" ht="15" customHeight="1">
      <c r="A210" t="inlineStr">
        <is>
          <t>A 51719-2019</t>
        </is>
      </c>
      <c r="B210" s="1" t="n">
        <v>43741</v>
      </c>
      <c r="C210" s="1" t="n">
        <v>45575</v>
      </c>
      <c r="D210" t="inlineStr">
        <is>
          <t>KALMAR LÄN</t>
        </is>
      </c>
      <c r="E210" t="inlineStr">
        <is>
          <t>VIMMERBY</t>
        </is>
      </c>
      <c r="G210" t="n">
        <v>3</v>
      </c>
      <c r="H210" t="n">
        <v>0</v>
      </c>
      <c r="I210" t="n">
        <v>0</v>
      </c>
      <c r="J210" t="n">
        <v>0</v>
      </c>
      <c r="K210" t="n">
        <v>0</v>
      </c>
      <c r="L210" t="n">
        <v>0</v>
      </c>
      <c r="M210" t="n">
        <v>0</v>
      </c>
      <c r="N210" t="n">
        <v>0</v>
      </c>
      <c r="O210" t="n">
        <v>0</v>
      </c>
      <c r="P210" t="n">
        <v>0</v>
      </c>
      <c r="Q210" t="n">
        <v>0</v>
      </c>
      <c r="R210" s="2" t="inlineStr"/>
    </row>
    <row r="211" ht="15" customHeight="1">
      <c r="A211" t="inlineStr">
        <is>
          <t>A 52173-2019</t>
        </is>
      </c>
      <c r="B211" s="1" t="n">
        <v>43742</v>
      </c>
      <c r="C211" s="1" t="n">
        <v>45575</v>
      </c>
      <c r="D211" t="inlineStr">
        <is>
          <t>KALMAR LÄN</t>
        </is>
      </c>
      <c r="E211" t="inlineStr">
        <is>
          <t>VIMMERBY</t>
        </is>
      </c>
      <c r="G211" t="n">
        <v>3.9</v>
      </c>
      <c r="H211" t="n">
        <v>0</v>
      </c>
      <c r="I211" t="n">
        <v>0</v>
      </c>
      <c r="J211" t="n">
        <v>0</v>
      </c>
      <c r="K211" t="n">
        <v>0</v>
      </c>
      <c r="L211" t="n">
        <v>0</v>
      </c>
      <c r="M211" t="n">
        <v>0</v>
      </c>
      <c r="N211" t="n">
        <v>0</v>
      </c>
      <c r="O211" t="n">
        <v>0</v>
      </c>
      <c r="P211" t="n">
        <v>0</v>
      </c>
      <c r="Q211" t="n">
        <v>0</v>
      </c>
      <c r="R211" s="2" t="inlineStr"/>
    </row>
    <row r="212" ht="15" customHeight="1">
      <c r="A212" t="inlineStr">
        <is>
          <t>A 52356-2019</t>
        </is>
      </c>
      <c r="B212" s="1" t="n">
        <v>43745</v>
      </c>
      <c r="C212" s="1" t="n">
        <v>45575</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52909-2019</t>
        </is>
      </c>
      <c r="B213" s="1" t="n">
        <v>43746</v>
      </c>
      <c r="C213" s="1" t="n">
        <v>45575</v>
      </c>
      <c r="D213" t="inlineStr">
        <is>
          <t>KALMAR LÄN</t>
        </is>
      </c>
      <c r="E213" t="inlineStr">
        <is>
          <t>VIMMERBY</t>
        </is>
      </c>
      <c r="G213" t="n">
        <v>5.8</v>
      </c>
      <c r="H213" t="n">
        <v>0</v>
      </c>
      <c r="I213" t="n">
        <v>0</v>
      </c>
      <c r="J213" t="n">
        <v>0</v>
      </c>
      <c r="K213" t="n">
        <v>0</v>
      </c>
      <c r="L213" t="n">
        <v>0</v>
      </c>
      <c r="M213" t="n">
        <v>0</v>
      </c>
      <c r="N213" t="n">
        <v>0</v>
      </c>
      <c r="O213" t="n">
        <v>0</v>
      </c>
      <c r="P213" t="n">
        <v>0</v>
      </c>
      <c r="Q213" t="n">
        <v>0</v>
      </c>
      <c r="R213" s="2" t="inlineStr"/>
    </row>
    <row r="214" ht="15" customHeight="1">
      <c r="A214" t="inlineStr">
        <is>
          <t>A 52908-2019</t>
        </is>
      </c>
      <c r="B214" s="1" t="n">
        <v>43746</v>
      </c>
      <c r="C214" s="1" t="n">
        <v>45575</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52780-2019</t>
        </is>
      </c>
      <c r="B215" s="1" t="n">
        <v>43746</v>
      </c>
      <c r="C215" s="1" t="n">
        <v>45575</v>
      </c>
      <c r="D215" t="inlineStr">
        <is>
          <t>KALMAR LÄN</t>
        </is>
      </c>
      <c r="E215" t="inlineStr">
        <is>
          <t>VIMMERBY</t>
        </is>
      </c>
      <c r="G215" t="n">
        <v>1.1</v>
      </c>
      <c r="H215" t="n">
        <v>0</v>
      </c>
      <c r="I215" t="n">
        <v>0</v>
      </c>
      <c r="J215" t="n">
        <v>0</v>
      </c>
      <c r="K215" t="n">
        <v>0</v>
      </c>
      <c r="L215" t="n">
        <v>0</v>
      </c>
      <c r="M215" t="n">
        <v>0</v>
      </c>
      <c r="N215" t="n">
        <v>0</v>
      </c>
      <c r="O215" t="n">
        <v>0</v>
      </c>
      <c r="P215" t="n">
        <v>0</v>
      </c>
      <c r="Q215" t="n">
        <v>0</v>
      </c>
      <c r="R215" s="2" t="inlineStr"/>
    </row>
    <row r="216" ht="15" customHeight="1">
      <c r="A216" t="inlineStr">
        <is>
          <t>A 53691-2019</t>
        </is>
      </c>
      <c r="B216" s="1" t="n">
        <v>43749</v>
      </c>
      <c r="C216" s="1" t="n">
        <v>45575</v>
      </c>
      <c r="D216" t="inlineStr">
        <is>
          <t>KALMAR LÄN</t>
        </is>
      </c>
      <c r="E216" t="inlineStr">
        <is>
          <t>VIMMERBY</t>
        </is>
      </c>
      <c r="G216" t="n">
        <v>1</v>
      </c>
      <c r="H216" t="n">
        <v>0</v>
      </c>
      <c r="I216" t="n">
        <v>0</v>
      </c>
      <c r="J216" t="n">
        <v>0</v>
      </c>
      <c r="K216" t="n">
        <v>0</v>
      </c>
      <c r="L216" t="n">
        <v>0</v>
      </c>
      <c r="M216" t="n">
        <v>0</v>
      </c>
      <c r="N216" t="n">
        <v>0</v>
      </c>
      <c r="O216" t="n">
        <v>0</v>
      </c>
      <c r="P216" t="n">
        <v>0</v>
      </c>
      <c r="Q216" t="n">
        <v>0</v>
      </c>
      <c r="R216" s="2" t="inlineStr"/>
    </row>
    <row r="217" ht="15" customHeight="1">
      <c r="A217" t="inlineStr">
        <is>
          <t>A 54593-2019</t>
        </is>
      </c>
      <c r="B217" s="1" t="n">
        <v>43754</v>
      </c>
      <c r="C217" s="1" t="n">
        <v>45575</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54794-2019</t>
        </is>
      </c>
      <c r="B218" s="1" t="n">
        <v>43755</v>
      </c>
      <c r="C218" s="1" t="n">
        <v>45575</v>
      </c>
      <c r="D218" t="inlineStr">
        <is>
          <t>KALMAR LÄN</t>
        </is>
      </c>
      <c r="E218" t="inlineStr">
        <is>
          <t>VIMMERBY</t>
        </is>
      </c>
      <c r="G218" t="n">
        <v>3.2</v>
      </c>
      <c r="H218" t="n">
        <v>0</v>
      </c>
      <c r="I218" t="n">
        <v>0</v>
      </c>
      <c r="J218" t="n">
        <v>0</v>
      </c>
      <c r="K218" t="n">
        <v>0</v>
      </c>
      <c r="L218" t="n">
        <v>0</v>
      </c>
      <c r="M218" t="n">
        <v>0</v>
      </c>
      <c r="N218" t="n">
        <v>0</v>
      </c>
      <c r="O218" t="n">
        <v>0</v>
      </c>
      <c r="P218" t="n">
        <v>0</v>
      </c>
      <c r="Q218" t="n">
        <v>0</v>
      </c>
      <c r="R218" s="2" t="inlineStr"/>
    </row>
    <row r="219" ht="15" customHeight="1">
      <c r="A219" t="inlineStr">
        <is>
          <t>A 55757-2019</t>
        </is>
      </c>
      <c r="B219" s="1" t="n">
        <v>43759</v>
      </c>
      <c r="C219" s="1" t="n">
        <v>45575</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57998-2019</t>
        </is>
      </c>
      <c r="B220" s="1" t="n">
        <v>43762</v>
      </c>
      <c r="C220" s="1" t="n">
        <v>45575</v>
      </c>
      <c r="D220" t="inlineStr">
        <is>
          <t>KALMAR LÄN</t>
        </is>
      </c>
      <c r="E220" t="inlineStr">
        <is>
          <t>VIMMERBY</t>
        </is>
      </c>
      <c r="G220" t="n">
        <v>2.3</v>
      </c>
      <c r="H220" t="n">
        <v>0</v>
      </c>
      <c r="I220" t="n">
        <v>0</v>
      </c>
      <c r="J220" t="n">
        <v>0</v>
      </c>
      <c r="K220" t="n">
        <v>0</v>
      </c>
      <c r="L220" t="n">
        <v>0</v>
      </c>
      <c r="M220" t="n">
        <v>0</v>
      </c>
      <c r="N220" t="n">
        <v>0</v>
      </c>
      <c r="O220" t="n">
        <v>0</v>
      </c>
      <c r="P220" t="n">
        <v>0</v>
      </c>
      <c r="Q220" t="n">
        <v>0</v>
      </c>
      <c r="R220" s="2" t="inlineStr"/>
    </row>
    <row r="221" ht="15" customHeight="1">
      <c r="A221" t="inlineStr">
        <is>
          <t>A 57509-2019</t>
        </is>
      </c>
      <c r="B221" s="1" t="n">
        <v>43767</v>
      </c>
      <c r="C221" s="1" t="n">
        <v>45575</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57886-2019</t>
        </is>
      </c>
      <c r="B222" s="1" t="n">
        <v>43768</v>
      </c>
      <c r="C222" s="1" t="n">
        <v>45575</v>
      </c>
      <c r="D222" t="inlineStr">
        <is>
          <t>KALMAR LÄN</t>
        </is>
      </c>
      <c r="E222" t="inlineStr">
        <is>
          <t>VIMMERBY</t>
        </is>
      </c>
      <c r="G222" t="n">
        <v>1.3</v>
      </c>
      <c r="H222" t="n">
        <v>0</v>
      </c>
      <c r="I222" t="n">
        <v>0</v>
      </c>
      <c r="J222" t="n">
        <v>0</v>
      </c>
      <c r="K222" t="n">
        <v>0</v>
      </c>
      <c r="L222" t="n">
        <v>0</v>
      </c>
      <c r="M222" t="n">
        <v>0</v>
      </c>
      <c r="N222" t="n">
        <v>0</v>
      </c>
      <c r="O222" t="n">
        <v>0</v>
      </c>
      <c r="P222" t="n">
        <v>0</v>
      </c>
      <c r="Q222" t="n">
        <v>0</v>
      </c>
      <c r="R222" s="2" t="inlineStr"/>
    </row>
    <row r="223" ht="15" customHeight="1">
      <c r="A223" t="inlineStr">
        <is>
          <t>A 59256-2019</t>
        </is>
      </c>
      <c r="B223" s="1" t="n">
        <v>43773</v>
      </c>
      <c r="C223" s="1" t="n">
        <v>45575</v>
      </c>
      <c r="D223" t="inlineStr">
        <is>
          <t>KALMAR LÄN</t>
        </is>
      </c>
      <c r="E223" t="inlineStr">
        <is>
          <t>VIMMERBY</t>
        </is>
      </c>
      <c r="G223" t="n">
        <v>2.3</v>
      </c>
      <c r="H223" t="n">
        <v>0</v>
      </c>
      <c r="I223" t="n">
        <v>0</v>
      </c>
      <c r="J223" t="n">
        <v>0</v>
      </c>
      <c r="K223" t="n">
        <v>0</v>
      </c>
      <c r="L223" t="n">
        <v>0</v>
      </c>
      <c r="M223" t="n">
        <v>0</v>
      </c>
      <c r="N223" t="n">
        <v>0</v>
      </c>
      <c r="O223" t="n">
        <v>0</v>
      </c>
      <c r="P223" t="n">
        <v>0</v>
      </c>
      <c r="Q223" t="n">
        <v>0</v>
      </c>
      <c r="R223" s="2" t="inlineStr"/>
    </row>
    <row r="224" ht="15" customHeight="1">
      <c r="A224" t="inlineStr">
        <is>
          <t>A 58812-2019</t>
        </is>
      </c>
      <c r="B224" s="1" t="n">
        <v>43774</v>
      </c>
      <c r="C224" s="1" t="n">
        <v>45575</v>
      </c>
      <c r="D224" t="inlineStr">
        <is>
          <t>KALMAR LÄN</t>
        </is>
      </c>
      <c r="E224" t="inlineStr">
        <is>
          <t>VIMMERBY</t>
        </is>
      </c>
      <c r="G224" t="n">
        <v>1.4</v>
      </c>
      <c r="H224" t="n">
        <v>0</v>
      </c>
      <c r="I224" t="n">
        <v>0</v>
      </c>
      <c r="J224" t="n">
        <v>0</v>
      </c>
      <c r="K224" t="n">
        <v>0</v>
      </c>
      <c r="L224" t="n">
        <v>0</v>
      </c>
      <c r="M224" t="n">
        <v>0</v>
      </c>
      <c r="N224" t="n">
        <v>0</v>
      </c>
      <c r="O224" t="n">
        <v>0</v>
      </c>
      <c r="P224" t="n">
        <v>0</v>
      </c>
      <c r="Q224" t="n">
        <v>0</v>
      </c>
      <c r="R224" s="2" t="inlineStr"/>
    </row>
    <row r="225" ht="15" customHeight="1">
      <c r="A225" t="inlineStr">
        <is>
          <t>A 60253-2019</t>
        </is>
      </c>
      <c r="B225" s="1" t="n">
        <v>43780</v>
      </c>
      <c r="C225" s="1" t="n">
        <v>45575</v>
      </c>
      <c r="D225" t="inlineStr">
        <is>
          <t>KALMAR LÄN</t>
        </is>
      </c>
      <c r="E225" t="inlineStr">
        <is>
          <t>VIMMERBY</t>
        </is>
      </c>
      <c r="G225" t="n">
        <v>4.4</v>
      </c>
      <c r="H225" t="n">
        <v>0</v>
      </c>
      <c r="I225" t="n">
        <v>0</v>
      </c>
      <c r="J225" t="n">
        <v>0</v>
      </c>
      <c r="K225" t="n">
        <v>0</v>
      </c>
      <c r="L225" t="n">
        <v>0</v>
      </c>
      <c r="M225" t="n">
        <v>0</v>
      </c>
      <c r="N225" t="n">
        <v>0</v>
      </c>
      <c r="O225" t="n">
        <v>0</v>
      </c>
      <c r="P225" t="n">
        <v>0</v>
      </c>
      <c r="Q225" t="n">
        <v>0</v>
      </c>
      <c r="R225" s="2" t="inlineStr"/>
    </row>
    <row r="226" ht="15" customHeight="1">
      <c r="A226" t="inlineStr">
        <is>
          <t>A 60673-2019</t>
        </is>
      </c>
      <c r="B226" s="1" t="n">
        <v>43781</v>
      </c>
      <c r="C226" s="1" t="n">
        <v>45575</v>
      </c>
      <c r="D226" t="inlineStr">
        <is>
          <t>KALMAR LÄN</t>
        </is>
      </c>
      <c r="E226" t="inlineStr">
        <is>
          <t>VIMMERBY</t>
        </is>
      </c>
      <c r="G226" t="n">
        <v>2.3</v>
      </c>
      <c r="H226" t="n">
        <v>0</v>
      </c>
      <c r="I226" t="n">
        <v>0</v>
      </c>
      <c r="J226" t="n">
        <v>0</v>
      </c>
      <c r="K226" t="n">
        <v>0</v>
      </c>
      <c r="L226" t="n">
        <v>0</v>
      </c>
      <c r="M226" t="n">
        <v>0</v>
      </c>
      <c r="N226" t="n">
        <v>0</v>
      </c>
      <c r="O226" t="n">
        <v>0</v>
      </c>
      <c r="P226" t="n">
        <v>0</v>
      </c>
      <c r="Q226" t="n">
        <v>0</v>
      </c>
      <c r="R226" s="2" t="inlineStr"/>
    </row>
    <row r="227" ht="15" customHeight="1">
      <c r="A227" t="inlineStr">
        <is>
          <t>A 60802-2019</t>
        </is>
      </c>
      <c r="B227" s="1" t="n">
        <v>43781</v>
      </c>
      <c r="C227" s="1" t="n">
        <v>45575</v>
      </c>
      <c r="D227" t="inlineStr">
        <is>
          <t>KALMAR LÄN</t>
        </is>
      </c>
      <c r="E227" t="inlineStr">
        <is>
          <t>VIMMERBY</t>
        </is>
      </c>
      <c r="G227" t="n">
        <v>2.8</v>
      </c>
      <c r="H227" t="n">
        <v>0</v>
      </c>
      <c r="I227" t="n">
        <v>0</v>
      </c>
      <c r="J227" t="n">
        <v>0</v>
      </c>
      <c r="K227" t="n">
        <v>0</v>
      </c>
      <c r="L227" t="n">
        <v>0</v>
      </c>
      <c r="M227" t="n">
        <v>0</v>
      </c>
      <c r="N227" t="n">
        <v>0</v>
      </c>
      <c r="O227" t="n">
        <v>0</v>
      </c>
      <c r="P227" t="n">
        <v>0</v>
      </c>
      <c r="Q227" t="n">
        <v>0</v>
      </c>
      <c r="R227" s="2" t="inlineStr"/>
    </row>
    <row r="228" ht="15" customHeight="1">
      <c r="A228" t="inlineStr">
        <is>
          <t>A 61049-2019</t>
        </is>
      </c>
      <c r="B228" s="1" t="n">
        <v>43782</v>
      </c>
      <c r="C228" s="1" t="n">
        <v>45575</v>
      </c>
      <c r="D228" t="inlineStr">
        <is>
          <t>KALMAR LÄN</t>
        </is>
      </c>
      <c r="E228" t="inlineStr">
        <is>
          <t>VIMMERBY</t>
        </is>
      </c>
      <c r="G228" t="n">
        <v>4.1</v>
      </c>
      <c r="H228" t="n">
        <v>0</v>
      </c>
      <c r="I228" t="n">
        <v>0</v>
      </c>
      <c r="J228" t="n">
        <v>0</v>
      </c>
      <c r="K228" t="n">
        <v>0</v>
      </c>
      <c r="L228" t="n">
        <v>0</v>
      </c>
      <c r="M228" t="n">
        <v>0</v>
      </c>
      <c r="N228" t="n">
        <v>0</v>
      </c>
      <c r="O228" t="n">
        <v>0</v>
      </c>
      <c r="P228" t="n">
        <v>0</v>
      </c>
      <c r="Q228" t="n">
        <v>0</v>
      </c>
      <c r="R228" s="2" t="inlineStr"/>
    </row>
    <row r="229" ht="15" customHeight="1">
      <c r="A229" t="inlineStr">
        <is>
          <t>A 63362-2019</t>
        </is>
      </c>
      <c r="B229" s="1" t="n">
        <v>43787</v>
      </c>
      <c r="C229" s="1" t="n">
        <v>45575</v>
      </c>
      <c r="D229" t="inlineStr">
        <is>
          <t>KALMAR LÄN</t>
        </is>
      </c>
      <c r="E229" t="inlineStr">
        <is>
          <t>VIMMERBY</t>
        </is>
      </c>
      <c r="G229" t="n">
        <v>1.5</v>
      </c>
      <c r="H229" t="n">
        <v>0</v>
      </c>
      <c r="I229" t="n">
        <v>0</v>
      </c>
      <c r="J229" t="n">
        <v>0</v>
      </c>
      <c r="K229" t="n">
        <v>0</v>
      </c>
      <c r="L229" t="n">
        <v>0</v>
      </c>
      <c r="M229" t="n">
        <v>0</v>
      </c>
      <c r="N229" t="n">
        <v>0</v>
      </c>
      <c r="O229" t="n">
        <v>0</v>
      </c>
      <c r="P229" t="n">
        <v>0</v>
      </c>
      <c r="Q229" t="n">
        <v>0</v>
      </c>
      <c r="R229" s="2" t="inlineStr"/>
    </row>
    <row r="230" ht="15" customHeight="1">
      <c r="A230" t="inlineStr">
        <is>
          <t>A 62625-2019</t>
        </is>
      </c>
      <c r="B230" s="1" t="n">
        <v>43789</v>
      </c>
      <c r="C230" s="1" t="n">
        <v>45575</v>
      </c>
      <c r="D230" t="inlineStr">
        <is>
          <t>KALMAR LÄN</t>
        </is>
      </c>
      <c r="E230" t="inlineStr">
        <is>
          <t>VIMMERBY</t>
        </is>
      </c>
      <c r="F230" t="inlineStr">
        <is>
          <t>Övriga Aktiebolag</t>
        </is>
      </c>
      <c r="G230" t="n">
        <v>8.1</v>
      </c>
      <c r="H230" t="n">
        <v>0</v>
      </c>
      <c r="I230" t="n">
        <v>0</v>
      </c>
      <c r="J230" t="n">
        <v>0</v>
      </c>
      <c r="K230" t="n">
        <v>0</v>
      </c>
      <c r="L230" t="n">
        <v>0</v>
      </c>
      <c r="M230" t="n">
        <v>0</v>
      </c>
      <c r="N230" t="n">
        <v>0</v>
      </c>
      <c r="O230" t="n">
        <v>0</v>
      </c>
      <c r="P230" t="n">
        <v>0</v>
      </c>
      <c r="Q230" t="n">
        <v>0</v>
      </c>
      <c r="R230" s="2" t="inlineStr"/>
    </row>
    <row r="231" ht="15" customHeight="1">
      <c r="A231" t="inlineStr">
        <is>
          <t>A 63029-2019</t>
        </is>
      </c>
      <c r="B231" s="1" t="n">
        <v>43791</v>
      </c>
      <c r="C231" s="1" t="n">
        <v>45575</v>
      </c>
      <c r="D231" t="inlineStr">
        <is>
          <t>KALMAR LÄN</t>
        </is>
      </c>
      <c r="E231" t="inlineStr">
        <is>
          <t>VIMMERBY</t>
        </is>
      </c>
      <c r="F231" t="inlineStr">
        <is>
          <t>Kyrkan</t>
        </is>
      </c>
      <c r="G231" t="n">
        <v>3.1</v>
      </c>
      <c r="H231" t="n">
        <v>0</v>
      </c>
      <c r="I231" t="n">
        <v>0</v>
      </c>
      <c r="J231" t="n">
        <v>0</v>
      </c>
      <c r="K231" t="n">
        <v>0</v>
      </c>
      <c r="L231" t="n">
        <v>0</v>
      </c>
      <c r="M231" t="n">
        <v>0</v>
      </c>
      <c r="N231" t="n">
        <v>0</v>
      </c>
      <c r="O231" t="n">
        <v>0</v>
      </c>
      <c r="P231" t="n">
        <v>0</v>
      </c>
      <c r="Q231" t="n">
        <v>0</v>
      </c>
      <c r="R231" s="2" t="inlineStr"/>
    </row>
    <row r="232" ht="15" customHeight="1">
      <c r="A232" t="inlineStr">
        <is>
          <t>A 63746-2019</t>
        </is>
      </c>
      <c r="B232" s="1" t="n">
        <v>43795</v>
      </c>
      <c r="C232" s="1" t="n">
        <v>45575</v>
      </c>
      <c r="D232" t="inlineStr">
        <is>
          <t>KALMAR LÄN</t>
        </is>
      </c>
      <c r="E232" t="inlineStr">
        <is>
          <t>VIMMERBY</t>
        </is>
      </c>
      <c r="G232" t="n">
        <v>4.5</v>
      </c>
      <c r="H232" t="n">
        <v>0</v>
      </c>
      <c r="I232" t="n">
        <v>0</v>
      </c>
      <c r="J232" t="n">
        <v>0</v>
      </c>
      <c r="K232" t="n">
        <v>0</v>
      </c>
      <c r="L232" t="n">
        <v>0</v>
      </c>
      <c r="M232" t="n">
        <v>0</v>
      </c>
      <c r="N232" t="n">
        <v>0</v>
      </c>
      <c r="O232" t="n">
        <v>0</v>
      </c>
      <c r="P232" t="n">
        <v>0</v>
      </c>
      <c r="Q232" t="n">
        <v>0</v>
      </c>
      <c r="R232" s="2" t="inlineStr"/>
    </row>
    <row r="233" ht="15" customHeight="1">
      <c r="A233" t="inlineStr">
        <is>
          <t>A 64119-2019</t>
        </is>
      </c>
      <c r="B233" s="1" t="n">
        <v>43796</v>
      </c>
      <c r="C233" s="1" t="n">
        <v>45575</v>
      </c>
      <c r="D233" t="inlineStr">
        <is>
          <t>KALMAR LÄN</t>
        </is>
      </c>
      <c r="E233" t="inlineStr">
        <is>
          <t>VIMMERBY</t>
        </is>
      </c>
      <c r="G233" t="n">
        <v>4.6</v>
      </c>
      <c r="H233" t="n">
        <v>0</v>
      </c>
      <c r="I233" t="n">
        <v>0</v>
      </c>
      <c r="J233" t="n">
        <v>0</v>
      </c>
      <c r="K233" t="n">
        <v>0</v>
      </c>
      <c r="L233" t="n">
        <v>0</v>
      </c>
      <c r="M233" t="n">
        <v>0</v>
      </c>
      <c r="N233" t="n">
        <v>0</v>
      </c>
      <c r="O233" t="n">
        <v>0</v>
      </c>
      <c r="P233" t="n">
        <v>0</v>
      </c>
      <c r="Q233" t="n">
        <v>0</v>
      </c>
      <c r="R233" s="2" t="inlineStr"/>
    </row>
    <row r="234" ht="15" customHeight="1">
      <c r="A234" t="inlineStr">
        <is>
          <t>A 64345-2019</t>
        </is>
      </c>
      <c r="B234" s="1" t="n">
        <v>43797</v>
      </c>
      <c r="C234" s="1" t="n">
        <v>45575</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64334-2019</t>
        </is>
      </c>
      <c r="B235" s="1" t="n">
        <v>43797</v>
      </c>
      <c r="C235" s="1" t="n">
        <v>45575</v>
      </c>
      <c r="D235" t="inlineStr">
        <is>
          <t>KALMAR LÄN</t>
        </is>
      </c>
      <c r="E235" t="inlineStr">
        <is>
          <t>VIMMERBY</t>
        </is>
      </c>
      <c r="G235" t="n">
        <v>2</v>
      </c>
      <c r="H235" t="n">
        <v>0</v>
      </c>
      <c r="I235" t="n">
        <v>0</v>
      </c>
      <c r="J235" t="n">
        <v>0</v>
      </c>
      <c r="K235" t="n">
        <v>0</v>
      </c>
      <c r="L235" t="n">
        <v>0</v>
      </c>
      <c r="M235" t="n">
        <v>0</v>
      </c>
      <c r="N235" t="n">
        <v>0</v>
      </c>
      <c r="O235" t="n">
        <v>0</v>
      </c>
      <c r="P235" t="n">
        <v>0</v>
      </c>
      <c r="Q235" t="n">
        <v>0</v>
      </c>
      <c r="R235" s="2" t="inlineStr"/>
    </row>
    <row r="236" ht="15" customHeight="1">
      <c r="A236" t="inlineStr">
        <is>
          <t>A 65267-2019</t>
        </is>
      </c>
      <c r="B236" s="1" t="n">
        <v>43802</v>
      </c>
      <c r="C236" s="1" t="n">
        <v>45575</v>
      </c>
      <c r="D236" t="inlineStr">
        <is>
          <t>KALMAR LÄN</t>
        </is>
      </c>
      <c r="E236" t="inlineStr">
        <is>
          <t>VIMMERBY</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66169-2019</t>
        </is>
      </c>
      <c r="B237" s="1" t="n">
        <v>43808</v>
      </c>
      <c r="C237" s="1" t="n">
        <v>45575</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66172-2019</t>
        </is>
      </c>
      <c r="B238" s="1" t="n">
        <v>43808</v>
      </c>
      <c r="C238" s="1" t="n">
        <v>45575</v>
      </c>
      <c r="D238" t="inlineStr">
        <is>
          <t>KALMAR LÄN</t>
        </is>
      </c>
      <c r="E238" t="inlineStr">
        <is>
          <t>VIMMERBY</t>
        </is>
      </c>
      <c r="G238" t="n">
        <v>3.6</v>
      </c>
      <c r="H238" t="n">
        <v>0</v>
      </c>
      <c r="I238" t="n">
        <v>0</v>
      </c>
      <c r="J238" t="n">
        <v>0</v>
      </c>
      <c r="K238" t="n">
        <v>0</v>
      </c>
      <c r="L238" t="n">
        <v>0</v>
      </c>
      <c r="M238" t="n">
        <v>0</v>
      </c>
      <c r="N238" t="n">
        <v>0</v>
      </c>
      <c r="O238" t="n">
        <v>0</v>
      </c>
      <c r="P238" t="n">
        <v>0</v>
      </c>
      <c r="Q238" t="n">
        <v>0</v>
      </c>
      <c r="R238" s="2" t="inlineStr"/>
    </row>
    <row r="239" ht="15" customHeight="1">
      <c r="A239" t="inlineStr">
        <is>
          <t>A 66151-2019</t>
        </is>
      </c>
      <c r="B239" s="1" t="n">
        <v>43808</v>
      </c>
      <c r="C239" s="1" t="n">
        <v>45575</v>
      </c>
      <c r="D239" t="inlineStr">
        <is>
          <t>KALMAR LÄN</t>
        </is>
      </c>
      <c r="E239" t="inlineStr">
        <is>
          <t>VIMMERBY</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67293-2019</t>
        </is>
      </c>
      <c r="B240" s="1" t="n">
        <v>43812</v>
      </c>
      <c r="C240" s="1" t="n">
        <v>45575</v>
      </c>
      <c r="D240" t="inlineStr">
        <is>
          <t>KALMAR LÄN</t>
        </is>
      </c>
      <c r="E240" t="inlineStr">
        <is>
          <t>VIMMERBY</t>
        </is>
      </c>
      <c r="F240" t="inlineStr">
        <is>
          <t>Kommuner</t>
        </is>
      </c>
      <c r="G240" t="n">
        <v>1.2</v>
      </c>
      <c r="H240" t="n">
        <v>0</v>
      </c>
      <c r="I240" t="n">
        <v>0</v>
      </c>
      <c r="J240" t="n">
        <v>0</v>
      </c>
      <c r="K240" t="n">
        <v>0</v>
      </c>
      <c r="L240" t="n">
        <v>0</v>
      </c>
      <c r="M240" t="n">
        <v>0</v>
      </c>
      <c r="N240" t="n">
        <v>0</v>
      </c>
      <c r="O240" t="n">
        <v>0</v>
      </c>
      <c r="P240" t="n">
        <v>0</v>
      </c>
      <c r="Q240" t="n">
        <v>0</v>
      </c>
      <c r="R240" s="2" t="inlineStr"/>
    </row>
    <row r="241" ht="15" customHeight="1">
      <c r="A241" t="inlineStr">
        <is>
          <t>A 67359-2019</t>
        </is>
      </c>
      <c r="B241" s="1" t="n">
        <v>43812</v>
      </c>
      <c r="C241" s="1" t="n">
        <v>45575</v>
      </c>
      <c r="D241" t="inlineStr">
        <is>
          <t>KALMAR LÄN</t>
        </is>
      </c>
      <c r="E241" t="inlineStr">
        <is>
          <t>VIMMERBY</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67346-2019</t>
        </is>
      </c>
      <c r="B242" s="1" t="n">
        <v>43812</v>
      </c>
      <c r="C242" s="1" t="n">
        <v>45575</v>
      </c>
      <c r="D242" t="inlineStr">
        <is>
          <t>KALMAR LÄN</t>
        </is>
      </c>
      <c r="E242" t="inlineStr">
        <is>
          <t>VIMMERBY</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447-2020</t>
        </is>
      </c>
      <c r="B243" s="1" t="n">
        <v>43837</v>
      </c>
      <c r="C243" s="1" t="n">
        <v>45575</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306-2020</t>
        </is>
      </c>
      <c r="B244" s="1" t="n">
        <v>43837</v>
      </c>
      <c r="C244" s="1" t="n">
        <v>45575</v>
      </c>
      <c r="D244" t="inlineStr">
        <is>
          <t>KALMAR LÄN</t>
        </is>
      </c>
      <c r="E244" t="inlineStr">
        <is>
          <t>VIMMERBY</t>
        </is>
      </c>
      <c r="G244" t="n">
        <v>9.9</v>
      </c>
      <c r="H244" t="n">
        <v>0</v>
      </c>
      <c r="I244" t="n">
        <v>0</v>
      </c>
      <c r="J244" t="n">
        <v>0</v>
      </c>
      <c r="K244" t="n">
        <v>0</v>
      </c>
      <c r="L244" t="n">
        <v>0</v>
      </c>
      <c r="M244" t="n">
        <v>0</v>
      </c>
      <c r="N244" t="n">
        <v>0</v>
      </c>
      <c r="O244" t="n">
        <v>0</v>
      </c>
      <c r="P244" t="n">
        <v>0</v>
      </c>
      <c r="Q244" t="n">
        <v>0</v>
      </c>
      <c r="R244" s="2" t="inlineStr"/>
    </row>
    <row r="245" ht="15" customHeight="1">
      <c r="A245" t="inlineStr">
        <is>
          <t>A 593-2020</t>
        </is>
      </c>
      <c r="B245" s="1" t="n">
        <v>43838</v>
      </c>
      <c r="C245" s="1" t="n">
        <v>45575</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2473-2020</t>
        </is>
      </c>
      <c r="B246" s="1" t="n">
        <v>43840</v>
      </c>
      <c r="C246" s="1" t="n">
        <v>45575</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1967-2020</t>
        </is>
      </c>
      <c r="B247" s="1" t="n">
        <v>43845</v>
      </c>
      <c r="C247" s="1" t="n">
        <v>45575</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2070-2020</t>
        </is>
      </c>
      <c r="B248" s="1" t="n">
        <v>43845</v>
      </c>
      <c r="C248" s="1" t="n">
        <v>45575</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3434-2020</t>
        </is>
      </c>
      <c r="B249" s="1" t="n">
        <v>43845</v>
      </c>
      <c r="C249" s="1" t="n">
        <v>45575</v>
      </c>
      <c r="D249" t="inlineStr">
        <is>
          <t>KALMAR LÄN</t>
        </is>
      </c>
      <c r="E249" t="inlineStr">
        <is>
          <t>VIMMERBY</t>
        </is>
      </c>
      <c r="G249" t="n">
        <v>1.2</v>
      </c>
      <c r="H249" t="n">
        <v>0</v>
      </c>
      <c r="I249" t="n">
        <v>0</v>
      </c>
      <c r="J249" t="n">
        <v>0</v>
      </c>
      <c r="K249" t="n">
        <v>0</v>
      </c>
      <c r="L249" t="n">
        <v>0</v>
      </c>
      <c r="M249" t="n">
        <v>0</v>
      </c>
      <c r="N249" t="n">
        <v>0</v>
      </c>
      <c r="O249" t="n">
        <v>0</v>
      </c>
      <c r="P249" t="n">
        <v>0</v>
      </c>
      <c r="Q249" t="n">
        <v>0</v>
      </c>
      <c r="R249" s="2" t="inlineStr"/>
    </row>
    <row r="250" ht="15" customHeight="1">
      <c r="A250" t="inlineStr">
        <is>
          <t>A 2756-2020</t>
        </is>
      </c>
      <c r="B250" s="1" t="n">
        <v>43850</v>
      </c>
      <c r="C250" s="1" t="n">
        <v>45575</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2856-2020</t>
        </is>
      </c>
      <c r="B251" s="1" t="n">
        <v>43850</v>
      </c>
      <c r="C251" s="1" t="n">
        <v>45575</v>
      </c>
      <c r="D251" t="inlineStr">
        <is>
          <t>KALMAR LÄN</t>
        </is>
      </c>
      <c r="E251" t="inlineStr">
        <is>
          <t>VIMMERBY</t>
        </is>
      </c>
      <c r="G251" t="n">
        <v>3.2</v>
      </c>
      <c r="H251" t="n">
        <v>0</v>
      </c>
      <c r="I251" t="n">
        <v>0</v>
      </c>
      <c r="J251" t="n">
        <v>0</v>
      </c>
      <c r="K251" t="n">
        <v>0</v>
      </c>
      <c r="L251" t="n">
        <v>0</v>
      </c>
      <c r="M251" t="n">
        <v>0</v>
      </c>
      <c r="N251" t="n">
        <v>0</v>
      </c>
      <c r="O251" t="n">
        <v>0</v>
      </c>
      <c r="P251" t="n">
        <v>0</v>
      </c>
      <c r="Q251" t="n">
        <v>0</v>
      </c>
      <c r="R251" s="2" t="inlineStr"/>
    </row>
    <row r="252" ht="15" customHeight="1">
      <c r="A252" t="inlineStr">
        <is>
          <t>A 3211-2020</t>
        </is>
      </c>
      <c r="B252" s="1" t="n">
        <v>43851</v>
      </c>
      <c r="C252" s="1" t="n">
        <v>45575</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3414-2020</t>
        </is>
      </c>
      <c r="B253" s="1" t="n">
        <v>43852</v>
      </c>
      <c r="C253" s="1" t="n">
        <v>45575</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3672-2020</t>
        </is>
      </c>
      <c r="B254" s="1" t="n">
        <v>43853</v>
      </c>
      <c r="C254" s="1" t="n">
        <v>45575</v>
      </c>
      <c r="D254" t="inlineStr">
        <is>
          <t>KALMAR LÄN</t>
        </is>
      </c>
      <c r="E254" t="inlineStr">
        <is>
          <t>VIMMERBY</t>
        </is>
      </c>
      <c r="G254" t="n">
        <v>3.7</v>
      </c>
      <c r="H254" t="n">
        <v>0</v>
      </c>
      <c r="I254" t="n">
        <v>0</v>
      </c>
      <c r="J254" t="n">
        <v>0</v>
      </c>
      <c r="K254" t="n">
        <v>0</v>
      </c>
      <c r="L254" t="n">
        <v>0</v>
      </c>
      <c r="M254" t="n">
        <v>0</v>
      </c>
      <c r="N254" t="n">
        <v>0</v>
      </c>
      <c r="O254" t="n">
        <v>0</v>
      </c>
      <c r="P254" t="n">
        <v>0</v>
      </c>
      <c r="Q254" t="n">
        <v>0</v>
      </c>
      <c r="R254" s="2" t="inlineStr"/>
    </row>
    <row r="255" ht="15" customHeight="1">
      <c r="A255" t="inlineStr">
        <is>
          <t>A 5047-2020</t>
        </is>
      </c>
      <c r="B255" s="1" t="n">
        <v>43853</v>
      </c>
      <c r="C255" s="1" t="n">
        <v>45575</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5043-2020</t>
        </is>
      </c>
      <c r="B256" s="1" t="n">
        <v>43853</v>
      </c>
      <c r="C256" s="1" t="n">
        <v>45575</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4194-2020</t>
        </is>
      </c>
      <c r="B257" s="1" t="n">
        <v>43857</v>
      </c>
      <c r="C257" s="1" t="n">
        <v>45575</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5362-2020</t>
        </is>
      </c>
      <c r="B258" s="1" t="n">
        <v>43857</v>
      </c>
      <c r="C258" s="1" t="n">
        <v>45575</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4472-2020</t>
        </is>
      </c>
      <c r="B259" s="1" t="n">
        <v>43858</v>
      </c>
      <c r="C259" s="1" t="n">
        <v>45575</v>
      </c>
      <c r="D259" t="inlineStr">
        <is>
          <t>KALMAR LÄN</t>
        </is>
      </c>
      <c r="E259" t="inlineStr">
        <is>
          <t>VIMMERBY</t>
        </is>
      </c>
      <c r="G259" t="n">
        <v>0.9</v>
      </c>
      <c r="H259" t="n">
        <v>0</v>
      </c>
      <c r="I259" t="n">
        <v>0</v>
      </c>
      <c r="J259" t="n">
        <v>0</v>
      </c>
      <c r="K259" t="n">
        <v>0</v>
      </c>
      <c r="L259" t="n">
        <v>0</v>
      </c>
      <c r="M259" t="n">
        <v>0</v>
      </c>
      <c r="N259" t="n">
        <v>0</v>
      </c>
      <c r="O259" t="n">
        <v>0</v>
      </c>
      <c r="P259" t="n">
        <v>0</v>
      </c>
      <c r="Q259" t="n">
        <v>0</v>
      </c>
      <c r="R259" s="2" t="inlineStr"/>
    </row>
    <row r="260" ht="15" customHeight="1">
      <c r="A260" t="inlineStr">
        <is>
          <t>A 5548-2020</t>
        </is>
      </c>
      <c r="B260" s="1" t="n">
        <v>43861</v>
      </c>
      <c r="C260" s="1" t="n">
        <v>45575</v>
      </c>
      <c r="D260" t="inlineStr">
        <is>
          <t>KALMAR LÄN</t>
        </is>
      </c>
      <c r="E260" t="inlineStr">
        <is>
          <t>VIMMERBY</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6042-2020</t>
        </is>
      </c>
      <c r="B261" s="1" t="n">
        <v>43865</v>
      </c>
      <c r="C261" s="1" t="n">
        <v>45575</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7870-2020</t>
        </is>
      </c>
      <c r="B262" s="1" t="n">
        <v>43873</v>
      </c>
      <c r="C262" s="1" t="n">
        <v>45575</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8691-2020</t>
        </is>
      </c>
      <c r="B263" s="1" t="n">
        <v>43878</v>
      </c>
      <c r="C263" s="1" t="n">
        <v>45575</v>
      </c>
      <c r="D263" t="inlineStr">
        <is>
          <t>KALMAR LÄN</t>
        </is>
      </c>
      <c r="E263" t="inlineStr">
        <is>
          <t>VIMMERBY</t>
        </is>
      </c>
      <c r="G263" t="n">
        <v>5.1</v>
      </c>
      <c r="H263" t="n">
        <v>0</v>
      </c>
      <c r="I263" t="n">
        <v>0</v>
      </c>
      <c r="J263" t="n">
        <v>0</v>
      </c>
      <c r="K263" t="n">
        <v>0</v>
      </c>
      <c r="L263" t="n">
        <v>0</v>
      </c>
      <c r="M263" t="n">
        <v>0</v>
      </c>
      <c r="N263" t="n">
        <v>0</v>
      </c>
      <c r="O263" t="n">
        <v>0</v>
      </c>
      <c r="P263" t="n">
        <v>0</v>
      </c>
      <c r="Q263" t="n">
        <v>0</v>
      </c>
      <c r="R263" s="2" t="inlineStr"/>
    </row>
    <row r="264" ht="15" customHeight="1">
      <c r="A264" t="inlineStr">
        <is>
          <t>A 9151-2020</t>
        </is>
      </c>
      <c r="B264" s="1" t="n">
        <v>43879</v>
      </c>
      <c r="C264" s="1" t="n">
        <v>45575</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9382-2020</t>
        </is>
      </c>
      <c r="B265" s="1" t="n">
        <v>43880</v>
      </c>
      <c r="C265" s="1" t="n">
        <v>45575</v>
      </c>
      <c r="D265" t="inlineStr">
        <is>
          <t>KALMAR LÄN</t>
        </is>
      </c>
      <c r="E265" t="inlineStr">
        <is>
          <t>VIMMERBY</t>
        </is>
      </c>
      <c r="G265" t="n">
        <v>2.5</v>
      </c>
      <c r="H265" t="n">
        <v>0</v>
      </c>
      <c r="I265" t="n">
        <v>0</v>
      </c>
      <c r="J265" t="n">
        <v>0</v>
      </c>
      <c r="K265" t="n">
        <v>0</v>
      </c>
      <c r="L265" t="n">
        <v>0</v>
      </c>
      <c r="M265" t="n">
        <v>0</v>
      </c>
      <c r="N265" t="n">
        <v>0</v>
      </c>
      <c r="O265" t="n">
        <v>0</v>
      </c>
      <c r="P265" t="n">
        <v>0</v>
      </c>
      <c r="Q265" t="n">
        <v>0</v>
      </c>
      <c r="R265" s="2" t="inlineStr"/>
    </row>
    <row r="266" ht="15" customHeight="1">
      <c r="A266" t="inlineStr">
        <is>
          <t>A 9718-2020</t>
        </is>
      </c>
      <c r="B266" s="1" t="n">
        <v>43881</v>
      </c>
      <c r="C266" s="1" t="n">
        <v>45575</v>
      </c>
      <c r="D266" t="inlineStr">
        <is>
          <t>KALMAR LÄN</t>
        </is>
      </c>
      <c r="E266" t="inlineStr">
        <is>
          <t>VIMMERBY</t>
        </is>
      </c>
      <c r="G266" t="n">
        <v>1.9</v>
      </c>
      <c r="H266" t="n">
        <v>0</v>
      </c>
      <c r="I266" t="n">
        <v>0</v>
      </c>
      <c r="J266" t="n">
        <v>0</v>
      </c>
      <c r="K266" t="n">
        <v>0</v>
      </c>
      <c r="L266" t="n">
        <v>0</v>
      </c>
      <c r="M266" t="n">
        <v>0</v>
      </c>
      <c r="N266" t="n">
        <v>0</v>
      </c>
      <c r="O266" t="n">
        <v>0</v>
      </c>
      <c r="P266" t="n">
        <v>0</v>
      </c>
      <c r="Q266" t="n">
        <v>0</v>
      </c>
      <c r="R266" s="2" t="inlineStr"/>
    </row>
    <row r="267" ht="15" customHeight="1">
      <c r="A267" t="inlineStr">
        <is>
          <t>A 10474-2020</t>
        </is>
      </c>
      <c r="B267" s="1" t="n">
        <v>43887</v>
      </c>
      <c r="C267" s="1" t="n">
        <v>45575</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10484-2020</t>
        </is>
      </c>
      <c r="B268" s="1" t="n">
        <v>43887</v>
      </c>
      <c r="C268" s="1" t="n">
        <v>45575</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10923-2020</t>
        </is>
      </c>
      <c r="B269" s="1" t="n">
        <v>43889</v>
      </c>
      <c r="C269" s="1" t="n">
        <v>45575</v>
      </c>
      <c r="D269" t="inlineStr">
        <is>
          <t>KALMAR LÄN</t>
        </is>
      </c>
      <c r="E269" t="inlineStr">
        <is>
          <t>VIMMERBY</t>
        </is>
      </c>
      <c r="G269" t="n">
        <v>1.3</v>
      </c>
      <c r="H269" t="n">
        <v>0</v>
      </c>
      <c r="I269" t="n">
        <v>0</v>
      </c>
      <c r="J269" t="n">
        <v>0</v>
      </c>
      <c r="K269" t="n">
        <v>0</v>
      </c>
      <c r="L269" t="n">
        <v>0</v>
      </c>
      <c r="M269" t="n">
        <v>0</v>
      </c>
      <c r="N269" t="n">
        <v>0</v>
      </c>
      <c r="O269" t="n">
        <v>0</v>
      </c>
      <c r="P269" t="n">
        <v>0</v>
      </c>
      <c r="Q269" t="n">
        <v>0</v>
      </c>
      <c r="R269" s="2" t="inlineStr"/>
    </row>
    <row r="270" ht="15" customHeight="1">
      <c r="A270" t="inlineStr">
        <is>
          <t>A 11243-2020</t>
        </is>
      </c>
      <c r="B270" s="1" t="n">
        <v>43892</v>
      </c>
      <c r="C270" s="1" t="n">
        <v>45575</v>
      </c>
      <c r="D270" t="inlineStr">
        <is>
          <t>KALMAR LÄN</t>
        </is>
      </c>
      <c r="E270" t="inlineStr">
        <is>
          <t>VIMMERBY</t>
        </is>
      </c>
      <c r="G270" t="n">
        <v>1.8</v>
      </c>
      <c r="H270" t="n">
        <v>0</v>
      </c>
      <c r="I270" t="n">
        <v>0</v>
      </c>
      <c r="J270" t="n">
        <v>0</v>
      </c>
      <c r="K270" t="n">
        <v>0</v>
      </c>
      <c r="L270" t="n">
        <v>0</v>
      </c>
      <c r="M270" t="n">
        <v>0</v>
      </c>
      <c r="N270" t="n">
        <v>0</v>
      </c>
      <c r="O270" t="n">
        <v>0</v>
      </c>
      <c r="P270" t="n">
        <v>0</v>
      </c>
      <c r="Q270" t="n">
        <v>0</v>
      </c>
      <c r="R270" s="2" t="inlineStr"/>
    </row>
    <row r="271" ht="15" customHeight="1">
      <c r="A271" t="inlineStr">
        <is>
          <t>A 12823-2020</t>
        </is>
      </c>
      <c r="B271" s="1" t="n">
        <v>43899</v>
      </c>
      <c r="C271" s="1" t="n">
        <v>45575</v>
      </c>
      <c r="D271" t="inlineStr">
        <is>
          <t>KALMAR LÄN</t>
        </is>
      </c>
      <c r="E271" t="inlineStr">
        <is>
          <t>VIMMERBY</t>
        </is>
      </c>
      <c r="G271" t="n">
        <v>3.3</v>
      </c>
      <c r="H271" t="n">
        <v>0</v>
      </c>
      <c r="I271" t="n">
        <v>0</v>
      </c>
      <c r="J271" t="n">
        <v>0</v>
      </c>
      <c r="K271" t="n">
        <v>0</v>
      </c>
      <c r="L271" t="n">
        <v>0</v>
      </c>
      <c r="M271" t="n">
        <v>0</v>
      </c>
      <c r="N271" t="n">
        <v>0</v>
      </c>
      <c r="O271" t="n">
        <v>0</v>
      </c>
      <c r="P271" t="n">
        <v>0</v>
      </c>
      <c r="Q271" t="n">
        <v>0</v>
      </c>
      <c r="R271" s="2" t="inlineStr"/>
    </row>
    <row r="272" ht="15" customHeight="1">
      <c r="A272" t="inlineStr">
        <is>
          <t>A 13496-2020</t>
        </is>
      </c>
      <c r="B272" s="1" t="n">
        <v>43900</v>
      </c>
      <c r="C272" s="1" t="n">
        <v>45575</v>
      </c>
      <c r="D272" t="inlineStr">
        <is>
          <t>KALMAR LÄN</t>
        </is>
      </c>
      <c r="E272" t="inlineStr">
        <is>
          <t>VIMMERBY</t>
        </is>
      </c>
      <c r="G272" t="n">
        <v>2.8</v>
      </c>
      <c r="H272" t="n">
        <v>0</v>
      </c>
      <c r="I272" t="n">
        <v>0</v>
      </c>
      <c r="J272" t="n">
        <v>0</v>
      </c>
      <c r="K272" t="n">
        <v>0</v>
      </c>
      <c r="L272" t="n">
        <v>0</v>
      </c>
      <c r="M272" t="n">
        <v>0</v>
      </c>
      <c r="N272" t="n">
        <v>0</v>
      </c>
      <c r="O272" t="n">
        <v>0</v>
      </c>
      <c r="P272" t="n">
        <v>0</v>
      </c>
      <c r="Q272" t="n">
        <v>0</v>
      </c>
      <c r="R272" s="2" t="inlineStr"/>
    </row>
    <row r="273" ht="15" customHeight="1">
      <c r="A273" t="inlineStr">
        <is>
          <t>A 14410-2020</t>
        </is>
      </c>
      <c r="B273" s="1" t="n">
        <v>43902</v>
      </c>
      <c r="C273" s="1" t="n">
        <v>45575</v>
      </c>
      <c r="D273" t="inlineStr">
        <is>
          <t>KALMAR LÄN</t>
        </is>
      </c>
      <c r="E273" t="inlineStr">
        <is>
          <t>VIMMERBY</t>
        </is>
      </c>
      <c r="G273" t="n">
        <v>2.7</v>
      </c>
      <c r="H273" t="n">
        <v>0</v>
      </c>
      <c r="I273" t="n">
        <v>0</v>
      </c>
      <c r="J273" t="n">
        <v>0</v>
      </c>
      <c r="K273" t="n">
        <v>0</v>
      </c>
      <c r="L273" t="n">
        <v>0</v>
      </c>
      <c r="M273" t="n">
        <v>0</v>
      </c>
      <c r="N273" t="n">
        <v>0</v>
      </c>
      <c r="O273" t="n">
        <v>0</v>
      </c>
      <c r="P273" t="n">
        <v>0</v>
      </c>
      <c r="Q273" t="n">
        <v>0</v>
      </c>
      <c r="R273" s="2" t="inlineStr"/>
    </row>
    <row r="274" ht="15" customHeight="1">
      <c r="A274" t="inlineStr">
        <is>
          <t>A 13606-2020</t>
        </is>
      </c>
      <c r="B274" s="1" t="n">
        <v>43903</v>
      </c>
      <c r="C274" s="1" t="n">
        <v>45575</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14022-2020</t>
        </is>
      </c>
      <c r="B275" s="1" t="n">
        <v>43906</v>
      </c>
      <c r="C275" s="1" t="n">
        <v>45575</v>
      </c>
      <c r="D275" t="inlineStr">
        <is>
          <t>KALMAR LÄN</t>
        </is>
      </c>
      <c r="E275" t="inlineStr">
        <is>
          <t>VIMMERBY</t>
        </is>
      </c>
      <c r="F275" t="inlineStr">
        <is>
          <t>Kommuner</t>
        </is>
      </c>
      <c r="G275" t="n">
        <v>2</v>
      </c>
      <c r="H275" t="n">
        <v>0</v>
      </c>
      <c r="I275" t="n">
        <v>0</v>
      </c>
      <c r="J275" t="n">
        <v>0</v>
      </c>
      <c r="K275" t="n">
        <v>0</v>
      </c>
      <c r="L275" t="n">
        <v>0</v>
      </c>
      <c r="M275" t="n">
        <v>0</v>
      </c>
      <c r="N275" t="n">
        <v>0</v>
      </c>
      <c r="O275" t="n">
        <v>0</v>
      </c>
      <c r="P275" t="n">
        <v>0</v>
      </c>
      <c r="Q275" t="n">
        <v>0</v>
      </c>
      <c r="R275" s="2" t="inlineStr"/>
    </row>
    <row r="276" ht="15" customHeight="1">
      <c r="A276" t="inlineStr">
        <is>
          <t>A 16222-2020</t>
        </is>
      </c>
      <c r="B276" s="1" t="n">
        <v>43917</v>
      </c>
      <c r="C276" s="1" t="n">
        <v>45575</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18676-2020</t>
        </is>
      </c>
      <c r="B277" s="1" t="n">
        <v>43930</v>
      </c>
      <c r="C277" s="1" t="n">
        <v>45575</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18855-2020</t>
        </is>
      </c>
      <c r="B278" s="1" t="n">
        <v>43930</v>
      </c>
      <c r="C278" s="1" t="n">
        <v>45575</v>
      </c>
      <c r="D278" t="inlineStr">
        <is>
          <t>KALMAR LÄN</t>
        </is>
      </c>
      <c r="E278" t="inlineStr">
        <is>
          <t>VIMMERBY</t>
        </is>
      </c>
      <c r="G278" t="n">
        <v>2.9</v>
      </c>
      <c r="H278" t="n">
        <v>0</v>
      </c>
      <c r="I278" t="n">
        <v>0</v>
      </c>
      <c r="J278" t="n">
        <v>0</v>
      </c>
      <c r="K278" t="n">
        <v>0</v>
      </c>
      <c r="L278" t="n">
        <v>0</v>
      </c>
      <c r="M278" t="n">
        <v>0</v>
      </c>
      <c r="N278" t="n">
        <v>0</v>
      </c>
      <c r="O278" t="n">
        <v>0</v>
      </c>
      <c r="P278" t="n">
        <v>0</v>
      </c>
      <c r="Q278" t="n">
        <v>0</v>
      </c>
      <c r="R278" s="2" t="inlineStr"/>
    </row>
    <row r="279" ht="15" customHeight="1">
      <c r="A279" t="inlineStr">
        <is>
          <t>A 18885-2020</t>
        </is>
      </c>
      <c r="B279" s="1" t="n">
        <v>43935</v>
      </c>
      <c r="C279" s="1" t="n">
        <v>45575</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18909-2020</t>
        </is>
      </c>
      <c r="B280" s="1" t="n">
        <v>43935</v>
      </c>
      <c r="C280" s="1" t="n">
        <v>45575</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20291-2020</t>
        </is>
      </c>
      <c r="B281" s="1" t="n">
        <v>43945</v>
      </c>
      <c r="C281" s="1" t="n">
        <v>45575</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21408-2020</t>
        </is>
      </c>
      <c r="B282" s="1" t="n">
        <v>43955</v>
      </c>
      <c r="C282" s="1" t="n">
        <v>45575</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21581-2020</t>
        </is>
      </c>
      <c r="B283" s="1" t="n">
        <v>43956</v>
      </c>
      <c r="C283" s="1" t="n">
        <v>45575</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21891-2020</t>
        </is>
      </c>
      <c r="B284" s="1" t="n">
        <v>43958</v>
      </c>
      <c r="C284" s="1" t="n">
        <v>45575</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22267-2020</t>
        </is>
      </c>
      <c r="B285" s="1" t="n">
        <v>43962</v>
      </c>
      <c r="C285" s="1" t="n">
        <v>45575</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22574-2020</t>
        </is>
      </c>
      <c r="B286" s="1" t="n">
        <v>43963</v>
      </c>
      <c r="C286" s="1" t="n">
        <v>45575</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22637-2020</t>
        </is>
      </c>
      <c r="B287" s="1" t="n">
        <v>43963</v>
      </c>
      <c r="C287" s="1" t="n">
        <v>45575</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22828-2020</t>
        </is>
      </c>
      <c r="B288" s="1" t="n">
        <v>43964</v>
      </c>
      <c r="C288" s="1" t="n">
        <v>45575</v>
      </c>
      <c r="D288" t="inlineStr">
        <is>
          <t>KALMAR LÄN</t>
        </is>
      </c>
      <c r="E288" t="inlineStr">
        <is>
          <t>VIMMERBY</t>
        </is>
      </c>
      <c r="G288" t="n">
        <v>7.5</v>
      </c>
      <c r="H288" t="n">
        <v>0</v>
      </c>
      <c r="I288" t="n">
        <v>0</v>
      </c>
      <c r="J288" t="n">
        <v>0</v>
      </c>
      <c r="K288" t="n">
        <v>0</v>
      </c>
      <c r="L288" t="n">
        <v>0</v>
      </c>
      <c r="M288" t="n">
        <v>0</v>
      </c>
      <c r="N288" t="n">
        <v>0</v>
      </c>
      <c r="O288" t="n">
        <v>0</v>
      </c>
      <c r="P288" t="n">
        <v>0</v>
      </c>
      <c r="Q288" t="n">
        <v>0</v>
      </c>
      <c r="R288" s="2" t="inlineStr"/>
    </row>
    <row r="289" ht="15" customHeight="1">
      <c r="A289" t="inlineStr">
        <is>
          <t>A 23391-2020</t>
        </is>
      </c>
      <c r="B289" s="1" t="n">
        <v>43968</v>
      </c>
      <c r="C289" s="1" t="n">
        <v>45575</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23394-2020</t>
        </is>
      </c>
      <c r="B290" s="1" t="n">
        <v>43968</v>
      </c>
      <c r="C290" s="1" t="n">
        <v>45575</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23705-2020</t>
        </is>
      </c>
      <c r="B291" s="1" t="n">
        <v>43970</v>
      </c>
      <c r="C291" s="1" t="n">
        <v>45575</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23877-2020</t>
        </is>
      </c>
      <c r="B292" s="1" t="n">
        <v>43971</v>
      </c>
      <c r="C292" s="1" t="n">
        <v>45575</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24016-2020</t>
        </is>
      </c>
      <c r="B293" s="1" t="n">
        <v>43971</v>
      </c>
      <c r="C293" s="1" t="n">
        <v>45575</v>
      </c>
      <c r="D293" t="inlineStr">
        <is>
          <t>KALMAR LÄN</t>
        </is>
      </c>
      <c r="E293" t="inlineStr">
        <is>
          <t>VIMMERBY</t>
        </is>
      </c>
      <c r="G293" t="n">
        <v>4.5</v>
      </c>
      <c r="H293" t="n">
        <v>0</v>
      </c>
      <c r="I293" t="n">
        <v>0</v>
      </c>
      <c r="J293" t="n">
        <v>0</v>
      </c>
      <c r="K293" t="n">
        <v>0</v>
      </c>
      <c r="L293" t="n">
        <v>0</v>
      </c>
      <c r="M293" t="n">
        <v>0</v>
      </c>
      <c r="N293" t="n">
        <v>0</v>
      </c>
      <c r="O293" t="n">
        <v>0</v>
      </c>
      <c r="P293" t="n">
        <v>0</v>
      </c>
      <c r="Q293" t="n">
        <v>0</v>
      </c>
      <c r="R293" s="2" t="inlineStr"/>
    </row>
    <row r="294" ht="15" customHeight="1">
      <c r="A294" t="inlineStr">
        <is>
          <t>A 24770-2020</t>
        </is>
      </c>
      <c r="B294" s="1" t="n">
        <v>43978</v>
      </c>
      <c r="C294" s="1" t="n">
        <v>45575</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24784-2020</t>
        </is>
      </c>
      <c r="B295" s="1" t="n">
        <v>43978</v>
      </c>
      <c r="C295" s="1" t="n">
        <v>45575</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24782-2020</t>
        </is>
      </c>
      <c r="B296" s="1" t="n">
        <v>43978</v>
      </c>
      <c r="C296" s="1" t="n">
        <v>45575</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25761-2020</t>
        </is>
      </c>
      <c r="B297" s="1" t="n">
        <v>43984</v>
      </c>
      <c r="C297" s="1" t="n">
        <v>45575</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26723-2020</t>
        </is>
      </c>
      <c r="B298" s="1" t="n">
        <v>43990</v>
      </c>
      <c r="C298" s="1" t="n">
        <v>45575</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27104-2020</t>
        </is>
      </c>
      <c r="B299" s="1" t="n">
        <v>43991</v>
      </c>
      <c r="C299" s="1" t="n">
        <v>45575</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27212-2020</t>
        </is>
      </c>
      <c r="B300" s="1" t="n">
        <v>43992</v>
      </c>
      <c r="C300" s="1" t="n">
        <v>45575</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27316-2020</t>
        </is>
      </c>
      <c r="B301" s="1" t="n">
        <v>43992</v>
      </c>
      <c r="C301" s="1" t="n">
        <v>45575</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27214-2020</t>
        </is>
      </c>
      <c r="B302" s="1" t="n">
        <v>43992</v>
      </c>
      <c r="C302" s="1" t="n">
        <v>45575</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27213-2020</t>
        </is>
      </c>
      <c r="B303" s="1" t="n">
        <v>43992</v>
      </c>
      <c r="C303" s="1" t="n">
        <v>45575</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27236-2020</t>
        </is>
      </c>
      <c r="B304" s="1" t="n">
        <v>43992</v>
      </c>
      <c r="C304" s="1" t="n">
        <v>45575</v>
      </c>
      <c r="D304" t="inlineStr">
        <is>
          <t>KALMAR LÄN</t>
        </is>
      </c>
      <c r="E304" t="inlineStr">
        <is>
          <t>VIMMERBY</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28853-2020</t>
        </is>
      </c>
      <c r="B305" s="1" t="n">
        <v>44000</v>
      </c>
      <c r="C305" s="1" t="n">
        <v>45575</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28885-2020</t>
        </is>
      </c>
      <c r="B306" s="1" t="n">
        <v>44000</v>
      </c>
      <c r="C306" s="1" t="n">
        <v>45575</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28969-2020</t>
        </is>
      </c>
      <c r="B307" s="1" t="n">
        <v>44000</v>
      </c>
      <c r="C307" s="1" t="n">
        <v>45575</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29235-2020</t>
        </is>
      </c>
      <c r="B308" s="1" t="n">
        <v>44004</v>
      </c>
      <c r="C308" s="1" t="n">
        <v>45575</v>
      </c>
      <c r="D308" t="inlineStr">
        <is>
          <t>KALMAR LÄN</t>
        </is>
      </c>
      <c r="E308" t="inlineStr">
        <is>
          <t>VIMMERBY</t>
        </is>
      </c>
      <c r="G308" t="n">
        <v>3</v>
      </c>
      <c r="H308" t="n">
        <v>0</v>
      </c>
      <c r="I308" t="n">
        <v>0</v>
      </c>
      <c r="J308" t="n">
        <v>0</v>
      </c>
      <c r="K308" t="n">
        <v>0</v>
      </c>
      <c r="L308" t="n">
        <v>0</v>
      </c>
      <c r="M308" t="n">
        <v>0</v>
      </c>
      <c r="N308" t="n">
        <v>0</v>
      </c>
      <c r="O308" t="n">
        <v>0</v>
      </c>
      <c r="P308" t="n">
        <v>0</v>
      </c>
      <c r="Q308" t="n">
        <v>0</v>
      </c>
      <c r="R308" s="2" t="inlineStr"/>
    </row>
    <row r="309" ht="15" customHeight="1">
      <c r="A309" t="inlineStr">
        <is>
          <t>A 29913-2020</t>
        </is>
      </c>
      <c r="B309" s="1" t="n">
        <v>44006</v>
      </c>
      <c r="C309" s="1" t="n">
        <v>45575</v>
      </c>
      <c r="D309" t="inlineStr">
        <is>
          <t>KALMAR LÄN</t>
        </is>
      </c>
      <c r="E309" t="inlineStr">
        <is>
          <t>VIMMERBY</t>
        </is>
      </c>
      <c r="F309" t="inlineStr">
        <is>
          <t>Kommuner</t>
        </is>
      </c>
      <c r="G309" t="n">
        <v>3.8</v>
      </c>
      <c r="H309" t="n">
        <v>0</v>
      </c>
      <c r="I309" t="n">
        <v>0</v>
      </c>
      <c r="J309" t="n">
        <v>0</v>
      </c>
      <c r="K309" t="n">
        <v>0</v>
      </c>
      <c r="L309" t="n">
        <v>0</v>
      </c>
      <c r="M309" t="n">
        <v>0</v>
      </c>
      <c r="N309" t="n">
        <v>0</v>
      </c>
      <c r="O309" t="n">
        <v>0</v>
      </c>
      <c r="P309" t="n">
        <v>0</v>
      </c>
      <c r="Q309" t="n">
        <v>0</v>
      </c>
      <c r="R309" s="2" t="inlineStr"/>
    </row>
    <row r="310" ht="15" customHeight="1">
      <c r="A310" t="inlineStr">
        <is>
          <t>A 29918-2020</t>
        </is>
      </c>
      <c r="B310" s="1" t="n">
        <v>44006</v>
      </c>
      <c r="C310" s="1" t="n">
        <v>45575</v>
      </c>
      <c r="D310" t="inlineStr">
        <is>
          <t>KALMAR LÄN</t>
        </is>
      </c>
      <c r="E310" t="inlineStr">
        <is>
          <t>VIMMERBY</t>
        </is>
      </c>
      <c r="F310" t="inlineStr">
        <is>
          <t>Kommuner</t>
        </is>
      </c>
      <c r="G310" t="n">
        <v>2.5</v>
      </c>
      <c r="H310" t="n">
        <v>0</v>
      </c>
      <c r="I310" t="n">
        <v>0</v>
      </c>
      <c r="J310" t="n">
        <v>0</v>
      </c>
      <c r="K310" t="n">
        <v>0</v>
      </c>
      <c r="L310" t="n">
        <v>0</v>
      </c>
      <c r="M310" t="n">
        <v>0</v>
      </c>
      <c r="N310" t="n">
        <v>0</v>
      </c>
      <c r="O310" t="n">
        <v>0</v>
      </c>
      <c r="P310" t="n">
        <v>0</v>
      </c>
      <c r="Q310" t="n">
        <v>0</v>
      </c>
      <c r="R310" s="2" t="inlineStr"/>
    </row>
    <row r="311" ht="15" customHeight="1">
      <c r="A311" t="inlineStr">
        <is>
          <t>A 29979-2020</t>
        </is>
      </c>
      <c r="B311" s="1" t="n">
        <v>44006</v>
      </c>
      <c r="C311" s="1" t="n">
        <v>45575</v>
      </c>
      <c r="D311" t="inlineStr">
        <is>
          <t>KALMAR LÄN</t>
        </is>
      </c>
      <c r="E311" t="inlineStr">
        <is>
          <t>VIMMERBY</t>
        </is>
      </c>
      <c r="F311" t="inlineStr">
        <is>
          <t>Kommuner</t>
        </is>
      </c>
      <c r="G311" t="n">
        <v>1.4</v>
      </c>
      <c r="H311" t="n">
        <v>0</v>
      </c>
      <c r="I311" t="n">
        <v>0</v>
      </c>
      <c r="J311" t="n">
        <v>0</v>
      </c>
      <c r="K311" t="n">
        <v>0</v>
      </c>
      <c r="L311" t="n">
        <v>0</v>
      </c>
      <c r="M311" t="n">
        <v>0</v>
      </c>
      <c r="N311" t="n">
        <v>0</v>
      </c>
      <c r="O311" t="n">
        <v>0</v>
      </c>
      <c r="P311" t="n">
        <v>0</v>
      </c>
      <c r="Q311" t="n">
        <v>0</v>
      </c>
      <c r="R311" s="2" t="inlineStr"/>
    </row>
    <row r="312" ht="15" customHeight="1">
      <c r="A312" t="inlineStr">
        <is>
          <t>A 29935-2020</t>
        </is>
      </c>
      <c r="B312" s="1" t="n">
        <v>44006</v>
      </c>
      <c r="C312" s="1" t="n">
        <v>45575</v>
      </c>
      <c r="D312" t="inlineStr">
        <is>
          <t>KALMAR LÄN</t>
        </is>
      </c>
      <c r="E312" t="inlineStr">
        <is>
          <t>VIMMERBY</t>
        </is>
      </c>
      <c r="F312" t="inlineStr">
        <is>
          <t>Kommuner</t>
        </is>
      </c>
      <c r="G312" t="n">
        <v>0.7</v>
      </c>
      <c r="H312" t="n">
        <v>0</v>
      </c>
      <c r="I312" t="n">
        <v>0</v>
      </c>
      <c r="J312" t="n">
        <v>0</v>
      </c>
      <c r="K312" t="n">
        <v>0</v>
      </c>
      <c r="L312" t="n">
        <v>0</v>
      </c>
      <c r="M312" t="n">
        <v>0</v>
      </c>
      <c r="N312" t="n">
        <v>0</v>
      </c>
      <c r="O312" t="n">
        <v>0</v>
      </c>
      <c r="P312" t="n">
        <v>0</v>
      </c>
      <c r="Q312" t="n">
        <v>0</v>
      </c>
      <c r="R312" s="2" t="inlineStr"/>
    </row>
    <row r="313" ht="15" customHeight="1">
      <c r="A313" t="inlineStr">
        <is>
          <t>A 30206-2020</t>
        </is>
      </c>
      <c r="B313" s="1" t="n">
        <v>44007</v>
      </c>
      <c r="C313" s="1" t="n">
        <v>45575</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31289-2020</t>
        </is>
      </c>
      <c r="B314" s="1" t="n">
        <v>44012</v>
      </c>
      <c r="C314" s="1" t="n">
        <v>45575</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33159-2020</t>
        </is>
      </c>
      <c r="B315" s="1" t="n">
        <v>44021</v>
      </c>
      <c r="C315" s="1" t="n">
        <v>45575</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33279-2020</t>
        </is>
      </c>
      <c r="B316" s="1" t="n">
        <v>44022</v>
      </c>
      <c r="C316" s="1" t="n">
        <v>45575</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33856-2020</t>
        </is>
      </c>
      <c r="B317" s="1" t="n">
        <v>44027</v>
      </c>
      <c r="C317" s="1" t="n">
        <v>45575</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34350-2020</t>
        </is>
      </c>
      <c r="B318" s="1" t="n">
        <v>44028</v>
      </c>
      <c r="C318" s="1" t="n">
        <v>45575</v>
      </c>
      <c r="D318" t="inlineStr">
        <is>
          <t>KALMAR LÄN</t>
        </is>
      </c>
      <c r="E318" t="inlineStr">
        <is>
          <t>VIMMERBY</t>
        </is>
      </c>
      <c r="G318" t="n">
        <v>4.3</v>
      </c>
      <c r="H318" t="n">
        <v>0</v>
      </c>
      <c r="I318" t="n">
        <v>0</v>
      </c>
      <c r="J318" t="n">
        <v>0</v>
      </c>
      <c r="K318" t="n">
        <v>0</v>
      </c>
      <c r="L318" t="n">
        <v>0</v>
      </c>
      <c r="M318" t="n">
        <v>0</v>
      </c>
      <c r="N318" t="n">
        <v>0</v>
      </c>
      <c r="O318" t="n">
        <v>0</v>
      </c>
      <c r="P318" t="n">
        <v>0</v>
      </c>
      <c r="Q318" t="n">
        <v>0</v>
      </c>
      <c r="R318" s="2" t="inlineStr"/>
    </row>
    <row r="319" ht="15" customHeight="1">
      <c r="A319" t="inlineStr">
        <is>
          <t>A 34345-2020</t>
        </is>
      </c>
      <c r="B319" s="1" t="n">
        <v>44028</v>
      </c>
      <c r="C319" s="1" t="n">
        <v>45575</v>
      </c>
      <c r="D319" t="inlineStr">
        <is>
          <t>KALMAR LÄN</t>
        </is>
      </c>
      <c r="E319" t="inlineStr">
        <is>
          <t>VIMMERBY</t>
        </is>
      </c>
      <c r="G319" t="n">
        <v>5.1</v>
      </c>
      <c r="H319" t="n">
        <v>0</v>
      </c>
      <c r="I319" t="n">
        <v>0</v>
      </c>
      <c r="J319" t="n">
        <v>0</v>
      </c>
      <c r="K319" t="n">
        <v>0</v>
      </c>
      <c r="L319" t="n">
        <v>0</v>
      </c>
      <c r="M319" t="n">
        <v>0</v>
      </c>
      <c r="N319" t="n">
        <v>0</v>
      </c>
      <c r="O319" t="n">
        <v>0</v>
      </c>
      <c r="P319" t="n">
        <v>0</v>
      </c>
      <c r="Q319" t="n">
        <v>0</v>
      </c>
      <c r="R319" s="2" t="inlineStr"/>
    </row>
    <row r="320" ht="15" customHeight="1">
      <c r="A320" t="inlineStr">
        <is>
          <t>A 34719-2020</t>
        </is>
      </c>
      <c r="B320" s="1" t="n">
        <v>44035</v>
      </c>
      <c r="C320" s="1" t="n">
        <v>45575</v>
      </c>
      <c r="D320" t="inlineStr">
        <is>
          <t>KALMAR LÄN</t>
        </is>
      </c>
      <c r="E320" t="inlineStr">
        <is>
          <t>VIMMERBY</t>
        </is>
      </c>
      <c r="G320" t="n">
        <v>3.5</v>
      </c>
      <c r="H320" t="n">
        <v>0</v>
      </c>
      <c r="I320" t="n">
        <v>0</v>
      </c>
      <c r="J320" t="n">
        <v>0</v>
      </c>
      <c r="K320" t="n">
        <v>0</v>
      </c>
      <c r="L320" t="n">
        <v>0</v>
      </c>
      <c r="M320" t="n">
        <v>0</v>
      </c>
      <c r="N320" t="n">
        <v>0</v>
      </c>
      <c r="O320" t="n">
        <v>0</v>
      </c>
      <c r="P320" t="n">
        <v>0</v>
      </c>
      <c r="Q320" t="n">
        <v>0</v>
      </c>
      <c r="R320" s="2" t="inlineStr"/>
    </row>
    <row r="321" ht="15" customHeight="1">
      <c r="A321" t="inlineStr">
        <is>
          <t>A 34907-2020</t>
        </is>
      </c>
      <c r="B321" s="1" t="n">
        <v>44036</v>
      </c>
      <c r="C321" s="1" t="n">
        <v>45575</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35350-2020</t>
        </is>
      </c>
      <c r="B322" s="1" t="n">
        <v>44041</v>
      </c>
      <c r="C322" s="1" t="n">
        <v>45575</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35886-2020</t>
        </is>
      </c>
      <c r="B323" s="1" t="n">
        <v>44047</v>
      </c>
      <c r="C323" s="1" t="n">
        <v>45575</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36085-2020</t>
        </is>
      </c>
      <c r="B324" s="1" t="n">
        <v>44048</v>
      </c>
      <c r="C324" s="1" t="n">
        <v>45575</v>
      </c>
      <c r="D324" t="inlineStr">
        <is>
          <t>KALMAR LÄN</t>
        </is>
      </c>
      <c r="E324" t="inlineStr">
        <is>
          <t>VIMMERBY</t>
        </is>
      </c>
      <c r="G324" t="n">
        <v>2.5</v>
      </c>
      <c r="H324" t="n">
        <v>0</v>
      </c>
      <c r="I324" t="n">
        <v>0</v>
      </c>
      <c r="J324" t="n">
        <v>0</v>
      </c>
      <c r="K324" t="n">
        <v>0</v>
      </c>
      <c r="L324" t="n">
        <v>0</v>
      </c>
      <c r="M324" t="n">
        <v>0</v>
      </c>
      <c r="N324" t="n">
        <v>0</v>
      </c>
      <c r="O324" t="n">
        <v>0</v>
      </c>
      <c r="P324" t="n">
        <v>0</v>
      </c>
      <c r="Q324" t="n">
        <v>0</v>
      </c>
      <c r="R324" s="2" t="inlineStr"/>
    </row>
    <row r="325" ht="15" customHeight="1">
      <c r="A325" t="inlineStr">
        <is>
          <t>A 36161-2020</t>
        </is>
      </c>
      <c r="B325" s="1" t="n">
        <v>44048</v>
      </c>
      <c r="C325" s="1" t="n">
        <v>45575</v>
      </c>
      <c r="D325" t="inlineStr">
        <is>
          <t>KALMAR LÄN</t>
        </is>
      </c>
      <c r="E325" t="inlineStr">
        <is>
          <t>VIMMERBY</t>
        </is>
      </c>
      <c r="G325" t="n">
        <v>12.5</v>
      </c>
      <c r="H325" t="n">
        <v>0</v>
      </c>
      <c r="I325" t="n">
        <v>0</v>
      </c>
      <c r="J325" t="n">
        <v>0</v>
      </c>
      <c r="K325" t="n">
        <v>0</v>
      </c>
      <c r="L325" t="n">
        <v>0</v>
      </c>
      <c r="M325" t="n">
        <v>0</v>
      </c>
      <c r="N325" t="n">
        <v>0</v>
      </c>
      <c r="O325" t="n">
        <v>0</v>
      </c>
      <c r="P325" t="n">
        <v>0</v>
      </c>
      <c r="Q325" t="n">
        <v>0</v>
      </c>
      <c r="R325" s="2" t="inlineStr"/>
    </row>
    <row r="326" ht="15" customHeight="1">
      <c r="A326" t="inlineStr">
        <is>
          <t>A 37104-2020</t>
        </is>
      </c>
      <c r="B326" s="1" t="n">
        <v>44054</v>
      </c>
      <c r="C326" s="1" t="n">
        <v>45575</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37201-2020</t>
        </is>
      </c>
      <c r="B327" s="1" t="n">
        <v>44054</v>
      </c>
      <c r="C327" s="1" t="n">
        <v>45575</v>
      </c>
      <c r="D327" t="inlineStr">
        <is>
          <t>KALMAR LÄN</t>
        </is>
      </c>
      <c r="E327" t="inlineStr">
        <is>
          <t>VIMMERBY</t>
        </is>
      </c>
      <c r="G327" t="n">
        <v>3.6</v>
      </c>
      <c r="H327" t="n">
        <v>0</v>
      </c>
      <c r="I327" t="n">
        <v>0</v>
      </c>
      <c r="J327" t="n">
        <v>0</v>
      </c>
      <c r="K327" t="n">
        <v>0</v>
      </c>
      <c r="L327" t="n">
        <v>0</v>
      </c>
      <c r="M327" t="n">
        <v>0</v>
      </c>
      <c r="N327" t="n">
        <v>0</v>
      </c>
      <c r="O327" t="n">
        <v>0</v>
      </c>
      <c r="P327" t="n">
        <v>0</v>
      </c>
      <c r="Q327" t="n">
        <v>0</v>
      </c>
      <c r="R327" s="2" t="inlineStr"/>
    </row>
    <row r="328" ht="15" customHeight="1">
      <c r="A328" t="inlineStr">
        <is>
          <t>A 37078-2020</t>
        </is>
      </c>
      <c r="B328" s="1" t="n">
        <v>44054</v>
      </c>
      <c r="C328" s="1" t="n">
        <v>45575</v>
      </c>
      <c r="D328" t="inlineStr">
        <is>
          <t>KALMAR LÄN</t>
        </is>
      </c>
      <c r="E328" t="inlineStr">
        <is>
          <t>VIMMERBY</t>
        </is>
      </c>
      <c r="G328" t="n">
        <v>4.5</v>
      </c>
      <c r="H328" t="n">
        <v>0</v>
      </c>
      <c r="I328" t="n">
        <v>0</v>
      </c>
      <c r="J328" t="n">
        <v>0</v>
      </c>
      <c r="K328" t="n">
        <v>0</v>
      </c>
      <c r="L328" t="n">
        <v>0</v>
      </c>
      <c r="M328" t="n">
        <v>0</v>
      </c>
      <c r="N328" t="n">
        <v>0</v>
      </c>
      <c r="O328" t="n">
        <v>0</v>
      </c>
      <c r="P328" t="n">
        <v>0</v>
      </c>
      <c r="Q328" t="n">
        <v>0</v>
      </c>
      <c r="R328" s="2" t="inlineStr"/>
    </row>
    <row r="329" ht="15" customHeight="1">
      <c r="A329" t="inlineStr">
        <is>
          <t>A 37362-2020</t>
        </is>
      </c>
      <c r="B329" s="1" t="n">
        <v>44055</v>
      </c>
      <c r="C329" s="1" t="n">
        <v>45575</v>
      </c>
      <c r="D329" t="inlineStr">
        <is>
          <t>KALMAR LÄN</t>
        </is>
      </c>
      <c r="E329" t="inlineStr">
        <is>
          <t>VIMMERBY</t>
        </is>
      </c>
      <c r="F329" t="inlineStr">
        <is>
          <t>Övriga Aktiebolag</t>
        </is>
      </c>
      <c r="G329" t="n">
        <v>3</v>
      </c>
      <c r="H329" t="n">
        <v>0</v>
      </c>
      <c r="I329" t="n">
        <v>0</v>
      </c>
      <c r="J329" t="n">
        <v>0</v>
      </c>
      <c r="K329" t="n">
        <v>0</v>
      </c>
      <c r="L329" t="n">
        <v>0</v>
      </c>
      <c r="M329" t="n">
        <v>0</v>
      </c>
      <c r="N329" t="n">
        <v>0</v>
      </c>
      <c r="O329" t="n">
        <v>0</v>
      </c>
      <c r="P329" t="n">
        <v>0</v>
      </c>
      <c r="Q329" t="n">
        <v>0</v>
      </c>
      <c r="R329" s="2" t="inlineStr"/>
    </row>
    <row r="330" ht="15" customHeight="1">
      <c r="A330" t="inlineStr">
        <is>
          <t>A 37813-2020</t>
        </is>
      </c>
      <c r="B330" s="1" t="n">
        <v>44057</v>
      </c>
      <c r="C330" s="1" t="n">
        <v>45575</v>
      </c>
      <c r="D330" t="inlineStr">
        <is>
          <t>KALMAR LÄN</t>
        </is>
      </c>
      <c r="E330" t="inlineStr">
        <is>
          <t>VIMMERBY</t>
        </is>
      </c>
      <c r="G330" t="n">
        <v>2</v>
      </c>
      <c r="H330" t="n">
        <v>0</v>
      </c>
      <c r="I330" t="n">
        <v>0</v>
      </c>
      <c r="J330" t="n">
        <v>0</v>
      </c>
      <c r="K330" t="n">
        <v>0</v>
      </c>
      <c r="L330" t="n">
        <v>0</v>
      </c>
      <c r="M330" t="n">
        <v>0</v>
      </c>
      <c r="N330" t="n">
        <v>0</v>
      </c>
      <c r="O330" t="n">
        <v>0</v>
      </c>
      <c r="P330" t="n">
        <v>0</v>
      </c>
      <c r="Q330" t="n">
        <v>0</v>
      </c>
      <c r="R330" s="2" t="inlineStr"/>
    </row>
    <row r="331" ht="15" customHeight="1">
      <c r="A331" t="inlineStr">
        <is>
          <t>A 37973-2020</t>
        </is>
      </c>
      <c r="B331" s="1" t="n">
        <v>44057</v>
      </c>
      <c r="C331" s="1" t="n">
        <v>45575</v>
      </c>
      <c r="D331" t="inlineStr">
        <is>
          <t>KALMAR LÄN</t>
        </is>
      </c>
      <c r="E331" t="inlineStr">
        <is>
          <t>VIMMERBY</t>
        </is>
      </c>
      <c r="G331" t="n">
        <v>2.4</v>
      </c>
      <c r="H331" t="n">
        <v>0</v>
      </c>
      <c r="I331" t="n">
        <v>0</v>
      </c>
      <c r="J331" t="n">
        <v>0</v>
      </c>
      <c r="K331" t="n">
        <v>0</v>
      </c>
      <c r="L331" t="n">
        <v>0</v>
      </c>
      <c r="M331" t="n">
        <v>0</v>
      </c>
      <c r="N331" t="n">
        <v>0</v>
      </c>
      <c r="O331" t="n">
        <v>0</v>
      </c>
      <c r="P331" t="n">
        <v>0</v>
      </c>
      <c r="Q331" t="n">
        <v>0</v>
      </c>
      <c r="R331" s="2" t="inlineStr"/>
    </row>
    <row r="332" ht="15" customHeight="1">
      <c r="A332" t="inlineStr">
        <is>
          <t>A 38153-2020</t>
        </is>
      </c>
      <c r="B332" s="1" t="n">
        <v>44060</v>
      </c>
      <c r="C332" s="1" t="n">
        <v>45575</v>
      </c>
      <c r="D332" t="inlineStr">
        <is>
          <t>KALMAR LÄN</t>
        </is>
      </c>
      <c r="E332" t="inlineStr">
        <is>
          <t>VIMMERBY</t>
        </is>
      </c>
      <c r="G332" t="n">
        <v>6</v>
      </c>
      <c r="H332" t="n">
        <v>0</v>
      </c>
      <c r="I332" t="n">
        <v>0</v>
      </c>
      <c r="J332" t="n">
        <v>0</v>
      </c>
      <c r="K332" t="n">
        <v>0</v>
      </c>
      <c r="L332" t="n">
        <v>0</v>
      </c>
      <c r="M332" t="n">
        <v>0</v>
      </c>
      <c r="N332" t="n">
        <v>0</v>
      </c>
      <c r="O332" t="n">
        <v>0</v>
      </c>
      <c r="P332" t="n">
        <v>0</v>
      </c>
      <c r="Q332" t="n">
        <v>0</v>
      </c>
      <c r="R332" s="2" t="inlineStr"/>
    </row>
    <row r="333" ht="15" customHeight="1">
      <c r="A333" t="inlineStr">
        <is>
          <t>A 38397-2020</t>
        </is>
      </c>
      <c r="B333" s="1" t="n">
        <v>44060</v>
      </c>
      <c r="C333" s="1" t="n">
        <v>45575</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38530-2020</t>
        </is>
      </c>
      <c r="B334" s="1" t="n">
        <v>44061</v>
      </c>
      <c r="C334" s="1" t="n">
        <v>45575</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38710-2020</t>
        </is>
      </c>
      <c r="B335" s="1" t="n">
        <v>44061</v>
      </c>
      <c r="C335" s="1" t="n">
        <v>45575</v>
      </c>
      <c r="D335" t="inlineStr">
        <is>
          <t>KALMAR LÄN</t>
        </is>
      </c>
      <c r="E335" t="inlineStr">
        <is>
          <t>VIMMERBY</t>
        </is>
      </c>
      <c r="G335" t="n">
        <v>2.2</v>
      </c>
      <c r="H335" t="n">
        <v>0</v>
      </c>
      <c r="I335" t="n">
        <v>0</v>
      </c>
      <c r="J335" t="n">
        <v>0</v>
      </c>
      <c r="K335" t="n">
        <v>0</v>
      </c>
      <c r="L335" t="n">
        <v>0</v>
      </c>
      <c r="M335" t="n">
        <v>0</v>
      </c>
      <c r="N335" t="n">
        <v>0</v>
      </c>
      <c r="O335" t="n">
        <v>0</v>
      </c>
      <c r="P335" t="n">
        <v>0</v>
      </c>
      <c r="Q335" t="n">
        <v>0</v>
      </c>
      <c r="R335" s="2" t="inlineStr"/>
    </row>
    <row r="336" ht="15" customHeight="1">
      <c r="A336" t="inlineStr">
        <is>
          <t>A 38844-2020</t>
        </is>
      </c>
      <c r="B336" s="1" t="n">
        <v>44062</v>
      </c>
      <c r="C336" s="1" t="n">
        <v>45575</v>
      </c>
      <c r="D336" t="inlineStr">
        <is>
          <t>KALMAR LÄN</t>
        </is>
      </c>
      <c r="E336" t="inlineStr">
        <is>
          <t>VIMMERBY</t>
        </is>
      </c>
      <c r="G336" t="n">
        <v>3</v>
      </c>
      <c r="H336" t="n">
        <v>0</v>
      </c>
      <c r="I336" t="n">
        <v>0</v>
      </c>
      <c r="J336" t="n">
        <v>0</v>
      </c>
      <c r="K336" t="n">
        <v>0</v>
      </c>
      <c r="L336" t="n">
        <v>0</v>
      </c>
      <c r="M336" t="n">
        <v>0</v>
      </c>
      <c r="N336" t="n">
        <v>0</v>
      </c>
      <c r="O336" t="n">
        <v>0</v>
      </c>
      <c r="P336" t="n">
        <v>0</v>
      </c>
      <c r="Q336" t="n">
        <v>0</v>
      </c>
      <c r="R336" s="2" t="inlineStr"/>
    </row>
    <row r="337" ht="15" customHeight="1">
      <c r="A337" t="inlineStr">
        <is>
          <t>A 39191-2020</t>
        </is>
      </c>
      <c r="B337" s="1" t="n">
        <v>44063</v>
      </c>
      <c r="C337" s="1" t="n">
        <v>45575</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39251-2020</t>
        </is>
      </c>
      <c r="B338" s="1" t="n">
        <v>44063</v>
      </c>
      <c r="C338" s="1" t="n">
        <v>45575</v>
      </c>
      <c r="D338" t="inlineStr">
        <is>
          <t>KALMAR LÄN</t>
        </is>
      </c>
      <c r="E338" t="inlineStr">
        <is>
          <t>VIMMERBY</t>
        </is>
      </c>
      <c r="G338" t="n">
        <v>6.1</v>
      </c>
      <c r="H338" t="n">
        <v>0</v>
      </c>
      <c r="I338" t="n">
        <v>0</v>
      </c>
      <c r="J338" t="n">
        <v>0</v>
      </c>
      <c r="K338" t="n">
        <v>0</v>
      </c>
      <c r="L338" t="n">
        <v>0</v>
      </c>
      <c r="M338" t="n">
        <v>0</v>
      </c>
      <c r="N338" t="n">
        <v>0</v>
      </c>
      <c r="O338" t="n">
        <v>0</v>
      </c>
      <c r="P338" t="n">
        <v>0</v>
      </c>
      <c r="Q338" t="n">
        <v>0</v>
      </c>
      <c r="R338" s="2" t="inlineStr"/>
    </row>
    <row r="339" ht="15" customHeight="1">
      <c r="A339" t="inlineStr">
        <is>
          <t>A 39125-2020</t>
        </is>
      </c>
      <c r="B339" s="1" t="n">
        <v>44063</v>
      </c>
      <c r="C339" s="1" t="n">
        <v>45575</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39300-2020</t>
        </is>
      </c>
      <c r="B340" s="1" t="n">
        <v>44063</v>
      </c>
      <c r="C340" s="1" t="n">
        <v>45575</v>
      </c>
      <c r="D340" t="inlineStr">
        <is>
          <t>KALMAR LÄN</t>
        </is>
      </c>
      <c r="E340" t="inlineStr">
        <is>
          <t>VIMMERBY</t>
        </is>
      </c>
      <c r="G340" t="n">
        <v>5.1</v>
      </c>
      <c r="H340" t="n">
        <v>0</v>
      </c>
      <c r="I340" t="n">
        <v>0</v>
      </c>
      <c r="J340" t="n">
        <v>0</v>
      </c>
      <c r="K340" t="n">
        <v>0</v>
      </c>
      <c r="L340" t="n">
        <v>0</v>
      </c>
      <c r="M340" t="n">
        <v>0</v>
      </c>
      <c r="N340" t="n">
        <v>0</v>
      </c>
      <c r="O340" t="n">
        <v>0</v>
      </c>
      <c r="P340" t="n">
        <v>0</v>
      </c>
      <c r="Q340" t="n">
        <v>0</v>
      </c>
      <c r="R340" s="2" t="inlineStr"/>
    </row>
    <row r="341" ht="15" customHeight="1">
      <c r="A341" t="inlineStr">
        <is>
          <t>A 39288-2020</t>
        </is>
      </c>
      <c r="B341" s="1" t="n">
        <v>44063</v>
      </c>
      <c r="C341" s="1" t="n">
        <v>45575</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39508-2020</t>
        </is>
      </c>
      <c r="B342" s="1" t="n">
        <v>44064</v>
      </c>
      <c r="C342" s="1" t="n">
        <v>45575</v>
      </c>
      <c r="D342" t="inlineStr">
        <is>
          <t>KALMAR LÄN</t>
        </is>
      </c>
      <c r="E342" t="inlineStr">
        <is>
          <t>VIMMERBY</t>
        </is>
      </c>
      <c r="G342" t="n">
        <v>4.7</v>
      </c>
      <c r="H342" t="n">
        <v>0</v>
      </c>
      <c r="I342" t="n">
        <v>0</v>
      </c>
      <c r="J342" t="n">
        <v>0</v>
      </c>
      <c r="K342" t="n">
        <v>0</v>
      </c>
      <c r="L342" t="n">
        <v>0</v>
      </c>
      <c r="M342" t="n">
        <v>0</v>
      </c>
      <c r="N342" t="n">
        <v>0</v>
      </c>
      <c r="O342" t="n">
        <v>0</v>
      </c>
      <c r="P342" t="n">
        <v>0</v>
      </c>
      <c r="Q342" t="n">
        <v>0</v>
      </c>
      <c r="R342" s="2" t="inlineStr"/>
    </row>
    <row r="343" ht="15" customHeight="1">
      <c r="A343" t="inlineStr">
        <is>
          <t>A 39769-2020</t>
        </is>
      </c>
      <c r="B343" s="1" t="n">
        <v>44064</v>
      </c>
      <c r="C343" s="1" t="n">
        <v>45575</v>
      </c>
      <c r="D343" t="inlineStr">
        <is>
          <t>KALMAR LÄN</t>
        </is>
      </c>
      <c r="E343" t="inlineStr">
        <is>
          <t>VIMMERBY</t>
        </is>
      </c>
      <c r="G343" t="n">
        <v>24.6</v>
      </c>
      <c r="H343" t="n">
        <v>0</v>
      </c>
      <c r="I343" t="n">
        <v>0</v>
      </c>
      <c r="J343" t="n">
        <v>0</v>
      </c>
      <c r="K343" t="n">
        <v>0</v>
      </c>
      <c r="L343" t="n">
        <v>0</v>
      </c>
      <c r="M343" t="n">
        <v>0</v>
      </c>
      <c r="N343" t="n">
        <v>0</v>
      </c>
      <c r="O343" t="n">
        <v>0</v>
      </c>
      <c r="P343" t="n">
        <v>0</v>
      </c>
      <c r="Q343" t="n">
        <v>0</v>
      </c>
      <c r="R343" s="2" t="inlineStr"/>
    </row>
    <row r="344" ht="15" customHeight="1">
      <c r="A344" t="inlineStr">
        <is>
          <t>A 40239-2020</t>
        </is>
      </c>
      <c r="B344" s="1" t="n">
        <v>44068</v>
      </c>
      <c r="C344" s="1" t="n">
        <v>45575</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40766-2020</t>
        </is>
      </c>
      <c r="B345" s="1" t="n">
        <v>44070</v>
      </c>
      <c r="C345" s="1" t="n">
        <v>45575</v>
      </c>
      <c r="D345" t="inlineStr">
        <is>
          <t>KALMAR LÄN</t>
        </is>
      </c>
      <c r="E345" t="inlineStr">
        <is>
          <t>VIMMERBY</t>
        </is>
      </c>
      <c r="G345" t="n">
        <v>4.2</v>
      </c>
      <c r="H345" t="n">
        <v>0</v>
      </c>
      <c r="I345" t="n">
        <v>0</v>
      </c>
      <c r="J345" t="n">
        <v>0</v>
      </c>
      <c r="K345" t="n">
        <v>0</v>
      </c>
      <c r="L345" t="n">
        <v>0</v>
      </c>
      <c r="M345" t="n">
        <v>0</v>
      </c>
      <c r="N345" t="n">
        <v>0</v>
      </c>
      <c r="O345" t="n">
        <v>0</v>
      </c>
      <c r="P345" t="n">
        <v>0</v>
      </c>
      <c r="Q345" t="n">
        <v>0</v>
      </c>
      <c r="R345" s="2" t="inlineStr"/>
    </row>
    <row r="346" ht="15" customHeight="1">
      <c r="A346" t="inlineStr">
        <is>
          <t>A 40890-2020</t>
        </is>
      </c>
      <c r="B346" s="1" t="n">
        <v>44070</v>
      </c>
      <c r="C346" s="1" t="n">
        <v>45575</v>
      </c>
      <c r="D346" t="inlineStr">
        <is>
          <t>KALMAR LÄN</t>
        </is>
      </c>
      <c r="E346" t="inlineStr">
        <is>
          <t>VIMMERBY</t>
        </is>
      </c>
      <c r="G346" t="n">
        <v>1.6</v>
      </c>
      <c r="H346" t="n">
        <v>0</v>
      </c>
      <c r="I346" t="n">
        <v>0</v>
      </c>
      <c r="J346" t="n">
        <v>0</v>
      </c>
      <c r="K346" t="n">
        <v>0</v>
      </c>
      <c r="L346" t="n">
        <v>0</v>
      </c>
      <c r="M346" t="n">
        <v>0</v>
      </c>
      <c r="N346" t="n">
        <v>0</v>
      </c>
      <c r="O346" t="n">
        <v>0</v>
      </c>
      <c r="P346" t="n">
        <v>0</v>
      </c>
      <c r="Q346" t="n">
        <v>0</v>
      </c>
      <c r="R346" s="2" t="inlineStr"/>
    </row>
    <row r="347" ht="15" customHeight="1">
      <c r="A347" t="inlineStr">
        <is>
          <t>A 40812-2020</t>
        </is>
      </c>
      <c r="B347" s="1" t="n">
        <v>44070</v>
      </c>
      <c r="C347" s="1" t="n">
        <v>45575</v>
      </c>
      <c r="D347" t="inlineStr">
        <is>
          <t>KALMAR LÄN</t>
        </is>
      </c>
      <c r="E347" t="inlineStr">
        <is>
          <t>VIMMERBY</t>
        </is>
      </c>
      <c r="G347" t="n">
        <v>4.9</v>
      </c>
      <c r="H347" t="n">
        <v>0</v>
      </c>
      <c r="I347" t="n">
        <v>0</v>
      </c>
      <c r="J347" t="n">
        <v>0</v>
      </c>
      <c r="K347" t="n">
        <v>0</v>
      </c>
      <c r="L347" t="n">
        <v>0</v>
      </c>
      <c r="M347" t="n">
        <v>0</v>
      </c>
      <c r="N347" t="n">
        <v>0</v>
      </c>
      <c r="O347" t="n">
        <v>0</v>
      </c>
      <c r="P347" t="n">
        <v>0</v>
      </c>
      <c r="Q347" t="n">
        <v>0</v>
      </c>
      <c r="R347" s="2" t="inlineStr"/>
    </row>
    <row r="348" ht="15" customHeight="1">
      <c r="A348" t="inlineStr">
        <is>
          <t>A 40889-2020</t>
        </is>
      </c>
      <c r="B348" s="1" t="n">
        <v>44070</v>
      </c>
      <c r="C348" s="1" t="n">
        <v>45575</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40818-2020</t>
        </is>
      </c>
      <c r="B349" s="1" t="n">
        <v>44070</v>
      </c>
      <c r="C349" s="1" t="n">
        <v>45575</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40808-2020</t>
        </is>
      </c>
      <c r="B350" s="1" t="n">
        <v>44070</v>
      </c>
      <c r="C350" s="1" t="n">
        <v>45575</v>
      </c>
      <c r="D350" t="inlineStr">
        <is>
          <t>KALMAR LÄN</t>
        </is>
      </c>
      <c r="E350" t="inlineStr">
        <is>
          <t>VIMMERBY</t>
        </is>
      </c>
      <c r="G350" t="n">
        <v>2.8</v>
      </c>
      <c r="H350" t="n">
        <v>0</v>
      </c>
      <c r="I350" t="n">
        <v>0</v>
      </c>
      <c r="J350" t="n">
        <v>0</v>
      </c>
      <c r="K350" t="n">
        <v>0</v>
      </c>
      <c r="L350" t="n">
        <v>0</v>
      </c>
      <c r="M350" t="n">
        <v>0</v>
      </c>
      <c r="N350" t="n">
        <v>0</v>
      </c>
      <c r="O350" t="n">
        <v>0</v>
      </c>
      <c r="P350" t="n">
        <v>0</v>
      </c>
      <c r="Q350" t="n">
        <v>0</v>
      </c>
      <c r="R350" s="2" t="inlineStr"/>
    </row>
    <row r="351" ht="15" customHeight="1">
      <c r="A351" t="inlineStr">
        <is>
          <t>A 42067-2020</t>
        </is>
      </c>
      <c r="B351" s="1" t="n">
        <v>44075</v>
      </c>
      <c r="C351" s="1" t="n">
        <v>45575</v>
      </c>
      <c r="D351" t="inlineStr">
        <is>
          <t>KALMAR LÄN</t>
        </is>
      </c>
      <c r="E351" t="inlineStr">
        <is>
          <t>VIMMERBY</t>
        </is>
      </c>
      <c r="G351" t="n">
        <v>1.9</v>
      </c>
      <c r="H351" t="n">
        <v>0</v>
      </c>
      <c r="I351" t="n">
        <v>0</v>
      </c>
      <c r="J351" t="n">
        <v>0</v>
      </c>
      <c r="K351" t="n">
        <v>0</v>
      </c>
      <c r="L351" t="n">
        <v>0</v>
      </c>
      <c r="M351" t="n">
        <v>0</v>
      </c>
      <c r="N351" t="n">
        <v>0</v>
      </c>
      <c r="O351" t="n">
        <v>0</v>
      </c>
      <c r="P351" t="n">
        <v>0</v>
      </c>
      <c r="Q351" t="n">
        <v>0</v>
      </c>
      <c r="R351" s="2" t="inlineStr"/>
    </row>
    <row r="352" ht="15" customHeight="1">
      <c r="A352" t="inlineStr">
        <is>
          <t>A 42494-2020</t>
        </is>
      </c>
      <c r="B352" s="1" t="n">
        <v>44077</v>
      </c>
      <c r="C352" s="1" t="n">
        <v>45575</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44000-2020</t>
        </is>
      </c>
      <c r="B353" s="1" t="n">
        <v>44083</v>
      </c>
      <c r="C353" s="1" t="n">
        <v>45575</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43998-2020</t>
        </is>
      </c>
      <c r="B354" s="1" t="n">
        <v>44083</v>
      </c>
      <c r="C354" s="1" t="n">
        <v>45575</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44605-2020</t>
        </is>
      </c>
      <c r="B355" s="1" t="n">
        <v>44085</v>
      </c>
      <c r="C355" s="1" t="n">
        <v>45575</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45050-2020</t>
        </is>
      </c>
      <c r="B356" s="1" t="n">
        <v>44088</v>
      </c>
      <c r="C356" s="1" t="n">
        <v>45575</v>
      </c>
      <c r="D356" t="inlineStr">
        <is>
          <t>KALMAR LÄN</t>
        </is>
      </c>
      <c r="E356" t="inlineStr">
        <is>
          <t>VIMMERBY</t>
        </is>
      </c>
      <c r="G356" t="n">
        <v>1.7</v>
      </c>
      <c r="H356" t="n">
        <v>0</v>
      </c>
      <c r="I356" t="n">
        <v>0</v>
      </c>
      <c r="J356" t="n">
        <v>0</v>
      </c>
      <c r="K356" t="n">
        <v>0</v>
      </c>
      <c r="L356" t="n">
        <v>0</v>
      </c>
      <c r="M356" t="n">
        <v>0</v>
      </c>
      <c r="N356" t="n">
        <v>0</v>
      </c>
      <c r="O356" t="n">
        <v>0</v>
      </c>
      <c r="P356" t="n">
        <v>0</v>
      </c>
      <c r="Q356" t="n">
        <v>0</v>
      </c>
      <c r="R356" s="2" t="inlineStr"/>
    </row>
    <row r="357" ht="15" customHeight="1">
      <c r="A357" t="inlineStr">
        <is>
          <t>A 45054-2020</t>
        </is>
      </c>
      <c r="B357" s="1" t="n">
        <v>44088</v>
      </c>
      <c r="C357" s="1" t="n">
        <v>45575</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45528-2020</t>
        </is>
      </c>
      <c r="B358" s="1" t="n">
        <v>44089</v>
      </c>
      <c r="C358" s="1" t="n">
        <v>45575</v>
      </c>
      <c r="D358" t="inlineStr">
        <is>
          <t>KALMAR LÄN</t>
        </is>
      </c>
      <c r="E358" t="inlineStr">
        <is>
          <t>VIMMERBY</t>
        </is>
      </c>
      <c r="G358" t="n">
        <v>3.8</v>
      </c>
      <c r="H358" t="n">
        <v>0</v>
      </c>
      <c r="I358" t="n">
        <v>0</v>
      </c>
      <c r="J358" t="n">
        <v>0</v>
      </c>
      <c r="K358" t="n">
        <v>0</v>
      </c>
      <c r="L358" t="n">
        <v>0</v>
      </c>
      <c r="M358" t="n">
        <v>0</v>
      </c>
      <c r="N358" t="n">
        <v>0</v>
      </c>
      <c r="O358" t="n">
        <v>0</v>
      </c>
      <c r="P358" t="n">
        <v>0</v>
      </c>
      <c r="Q358" t="n">
        <v>0</v>
      </c>
      <c r="R358" s="2" t="inlineStr"/>
    </row>
    <row r="359" ht="15" customHeight="1">
      <c r="A359" t="inlineStr">
        <is>
          <t>A 45678-2020</t>
        </is>
      </c>
      <c r="B359" s="1" t="n">
        <v>44090</v>
      </c>
      <c r="C359" s="1" t="n">
        <v>45575</v>
      </c>
      <c r="D359" t="inlineStr">
        <is>
          <t>KALMAR LÄN</t>
        </is>
      </c>
      <c r="E359" t="inlineStr">
        <is>
          <t>VIMMERBY</t>
        </is>
      </c>
      <c r="G359" t="n">
        <v>4.3</v>
      </c>
      <c r="H359" t="n">
        <v>0</v>
      </c>
      <c r="I359" t="n">
        <v>0</v>
      </c>
      <c r="J359" t="n">
        <v>0</v>
      </c>
      <c r="K359" t="n">
        <v>0</v>
      </c>
      <c r="L359" t="n">
        <v>0</v>
      </c>
      <c r="M359" t="n">
        <v>0</v>
      </c>
      <c r="N359" t="n">
        <v>0</v>
      </c>
      <c r="O359" t="n">
        <v>0</v>
      </c>
      <c r="P359" t="n">
        <v>0</v>
      </c>
      <c r="Q359" t="n">
        <v>0</v>
      </c>
      <c r="R359" s="2" t="inlineStr"/>
    </row>
    <row r="360" ht="15" customHeight="1">
      <c r="A360" t="inlineStr">
        <is>
          <t>A 46085-2020</t>
        </is>
      </c>
      <c r="B360" s="1" t="n">
        <v>44091</v>
      </c>
      <c r="C360" s="1" t="n">
        <v>45575</v>
      </c>
      <c r="D360" t="inlineStr">
        <is>
          <t>KALMAR LÄN</t>
        </is>
      </c>
      <c r="E360" t="inlineStr">
        <is>
          <t>VIMMERBY</t>
        </is>
      </c>
      <c r="G360" t="n">
        <v>6.1</v>
      </c>
      <c r="H360" t="n">
        <v>0</v>
      </c>
      <c r="I360" t="n">
        <v>0</v>
      </c>
      <c r="J360" t="n">
        <v>0</v>
      </c>
      <c r="K360" t="n">
        <v>0</v>
      </c>
      <c r="L360" t="n">
        <v>0</v>
      </c>
      <c r="M360" t="n">
        <v>0</v>
      </c>
      <c r="N360" t="n">
        <v>0</v>
      </c>
      <c r="O360" t="n">
        <v>0</v>
      </c>
      <c r="P360" t="n">
        <v>0</v>
      </c>
      <c r="Q360" t="n">
        <v>0</v>
      </c>
      <c r="R360" s="2" t="inlineStr"/>
    </row>
    <row r="361" ht="15" customHeight="1">
      <c r="A361" t="inlineStr">
        <is>
          <t>A 46461-2020</t>
        </is>
      </c>
      <c r="B361" s="1" t="n">
        <v>44092</v>
      </c>
      <c r="C361" s="1" t="n">
        <v>45575</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46527-2020</t>
        </is>
      </c>
      <c r="B362" s="1" t="n">
        <v>44095</v>
      </c>
      <c r="C362" s="1" t="n">
        <v>45575</v>
      </c>
      <c r="D362" t="inlineStr">
        <is>
          <t>KALMAR LÄN</t>
        </is>
      </c>
      <c r="E362" t="inlineStr">
        <is>
          <t>VIMMERBY</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47295-2020</t>
        </is>
      </c>
      <c r="B363" s="1" t="n">
        <v>44097</v>
      </c>
      <c r="C363" s="1" t="n">
        <v>45575</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49059-2020</t>
        </is>
      </c>
      <c r="B364" s="1" t="n">
        <v>44102</v>
      </c>
      <c r="C364" s="1" t="n">
        <v>45575</v>
      </c>
      <c r="D364" t="inlineStr">
        <is>
          <t>KALMAR LÄN</t>
        </is>
      </c>
      <c r="E364" t="inlineStr">
        <is>
          <t>VIMMERBY</t>
        </is>
      </c>
      <c r="G364" t="n">
        <v>5.8</v>
      </c>
      <c r="H364" t="n">
        <v>0</v>
      </c>
      <c r="I364" t="n">
        <v>0</v>
      </c>
      <c r="J364" t="n">
        <v>0</v>
      </c>
      <c r="K364" t="n">
        <v>0</v>
      </c>
      <c r="L364" t="n">
        <v>0</v>
      </c>
      <c r="M364" t="n">
        <v>0</v>
      </c>
      <c r="N364" t="n">
        <v>0</v>
      </c>
      <c r="O364" t="n">
        <v>0</v>
      </c>
      <c r="P364" t="n">
        <v>0</v>
      </c>
      <c r="Q364" t="n">
        <v>0</v>
      </c>
      <c r="R364" s="2" t="inlineStr"/>
    </row>
    <row r="365" ht="15" customHeight="1">
      <c r="A365" t="inlineStr">
        <is>
          <t>A 48949-2020</t>
        </is>
      </c>
      <c r="B365" s="1" t="n">
        <v>44102</v>
      </c>
      <c r="C365" s="1" t="n">
        <v>45575</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49186-2020</t>
        </is>
      </c>
      <c r="B366" s="1" t="n">
        <v>44105</v>
      </c>
      <c r="C366" s="1" t="n">
        <v>45575</v>
      </c>
      <c r="D366" t="inlineStr">
        <is>
          <t>KALMAR LÄN</t>
        </is>
      </c>
      <c r="E366" t="inlineStr">
        <is>
          <t>VIMMERBY</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51571-2020</t>
        </is>
      </c>
      <c r="B367" s="1" t="n">
        <v>44109</v>
      </c>
      <c r="C367" s="1" t="n">
        <v>45575</v>
      </c>
      <c r="D367" t="inlineStr">
        <is>
          <t>KALMAR LÄN</t>
        </is>
      </c>
      <c r="E367" t="inlineStr">
        <is>
          <t>VIMMERBY</t>
        </is>
      </c>
      <c r="G367" t="n">
        <v>6.1</v>
      </c>
      <c r="H367" t="n">
        <v>0</v>
      </c>
      <c r="I367" t="n">
        <v>0</v>
      </c>
      <c r="J367" t="n">
        <v>0</v>
      </c>
      <c r="K367" t="n">
        <v>0</v>
      </c>
      <c r="L367" t="n">
        <v>0</v>
      </c>
      <c r="M367" t="n">
        <v>0</v>
      </c>
      <c r="N367" t="n">
        <v>0</v>
      </c>
      <c r="O367" t="n">
        <v>0</v>
      </c>
      <c r="P367" t="n">
        <v>0</v>
      </c>
      <c r="Q367" t="n">
        <v>0</v>
      </c>
      <c r="R367" s="2" t="inlineStr"/>
    </row>
    <row r="368" ht="15" customHeight="1">
      <c r="A368" t="inlineStr">
        <is>
          <t>A 51569-2020</t>
        </is>
      </c>
      <c r="B368" s="1" t="n">
        <v>44109</v>
      </c>
      <c r="C368" s="1" t="n">
        <v>45575</v>
      </c>
      <c r="D368" t="inlineStr">
        <is>
          <t>KALMAR LÄN</t>
        </is>
      </c>
      <c r="E368" t="inlineStr">
        <is>
          <t>VIMMERBY</t>
        </is>
      </c>
      <c r="G368" t="n">
        <v>2.3</v>
      </c>
      <c r="H368" t="n">
        <v>0</v>
      </c>
      <c r="I368" t="n">
        <v>0</v>
      </c>
      <c r="J368" t="n">
        <v>0</v>
      </c>
      <c r="K368" t="n">
        <v>0</v>
      </c>
      <c r="L368" t="n">
        <v>0</v>
      </c>
      <c r="M368" t="n">
        <v>0</v>
      </c>
      <c r="N368" t="n">
        <v>0</v>
      </c>
      <c r="O368" t="n">
        <v>0</v>
      </c>
      <c r="P368" t="n">
        <v>0</v>
      </c>
      <c r="Q368" t="n">
        <v>0</v>
      </c>
      <c r="R368" s="2" t="inlineStr"/>
    </row>
    <row r="369" ht="15" customHeight="1">
      <c r="A369" t="inlineStr">
        <is>
          <t>A 50764-2020</t>
        </is>
      </c>
      <c r="B369" s="1" t="n">
        <v>44111</v>
      </c>
      <c r="C369" s="1" t="n">
        <v>45575</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51977-2020</t>
        </is>
      </c>
      <c r="B370" s="1" t="n">
        <v>44116</v>
      </c>
      <c r="C370" s="1" t="n">
        <v>45575</v>
      </c>
      <c r="D370" t="inlineStr">
        <is>
          <t>KALMAR LÄN</t>
        </is>
      </c>
      <c r="E370" t="inlineStr">
        <is>
          <t>VIMMERBY</t>
        </is>
      </c>
      <c r="G370" t="n">
        <v>1.5</v>
      </c>
      <c r="H370" t="n">
        <v>0</v>
      </c>
      <c r="I370" t="n">
        <v>0</v>
      </c>
      <c r="J370" t="n">
        <v>0</v>
      </c>
      <c r="K370" t="n">
        <v>0</v>
      </c>
      <c r="L370" t="n">
        <v>0</v>
      </c>
      <c r="M370" t="n">
        <v>0</v>
      </c>
      <c r="N370" t="n">
        <v>0</v>
      </c>
      <c r="O370" t="n">
        <v>0</v>
      </c>
      <c r="P370" t="n">
        <v>0</v>
      </c>
      <c r="Q370" t="n">
        <v>0</v>
      </c>
      <c r="R370" s="2" t="inlineStr"/>
    </row>
    <row r="371" ht="15" customHeight="1">
      <c r="A371" t="inlineStr">
        <is>
          <t>A 52073-2020</t>
        </is>
      </c>
      <c r="B371" s="1" t="n">
        <v>44117</v>
      </c>
      <c r="C371" s="1" t="n">
        <v>45575</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53100-2020</t>
        </is>
      </c>
      <c r="B372" s="1" t="n">
        <v>44120</v>
      </c>
      <c r="C372" s="1" t="n">
        <v>45575</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53387-2020</t>
        </is>
      </c>
      <c r="B373" s="1" t="n">
        <v>44123</v>
      </c>
      <c r="C373" s="1" t="n">
        <v>45575</v>
      </c>
      <c r="D373" t="inlineStr">
        <is>
          <t>KALMAR LÄN</t>
        </is>
      </c>
      <c r="E373" t="inlineStr">
        <is>
          <t>VIMMERBY</t>
        </is>
      </c>
      <c r="G373" t="n">
        <v>7.2</v>
      </c>
      <c r="H373" t="n">
        <v>0</v>
      </c>
      <c r="I373" t="n">
        <v>0</v>
      </c>
      <c r="J373" t="n">
        <v>0</v>
      </c>
      <c r="K373" t="n">
        <v>0</v>
      </c>
      <c r="L373" t="n">
        <v>0</v>
      </c>
      <c r="M373" t="n">
        <v>0</v>
      </c>
      <c r="N373" t="n">
        <v>0</v>
      </c>
      <c r="O373" t="n">
        <v>0</v>
      </c>
      <c r="P373" t="n">
        <v>0</v>
      </c>
      <c r="Q373" t="n">
        <v>0</v>
      </c>
      <c r="R373" s="2" t="inlineStr"/>
    </row>
    <row r="374" ht="15" customHeight="1">
      <c r="A374" t="inlineStr">
        <is>
          <t>A 53711-2020</t>
        </is>
      </c>
      <c r="B374" s="1" t="n">
        <v>44124</v>
      </c>
      <c r="C374" s="1" t="n">
        <v>45575</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54917-2020</t>
        </is>
      </c>
      <c r="B375" s="1" t="n">
        <v>44127</v>
      </c>
      <c r="C375" s="1" t="n">
        <v>45575</v>
      </c>
      <c r="D375" t="inlineStr">
        <is>
          <t>KALMAR LÄN</t>
        </is>
      </c>
      <c r="E375" t="inlineStr">
        <is>
          <t>VIMMERBY</t>
        </is>
      </c>
      <c r="G375" t="n">
        <v>9.5</v>
      </c>
      <c r="H375" t="n">
        <v>0</v>
      </c>
      <c r="I375" t="n">
        <v>0</v>
      </c>
      <c r="J375" t="n">
        <v>0</v>
      </c>
      <c r="K375" t="n">
        <v>0</v>
      </c>
      <c r="L375" t="n">
        <v>0</v>
      </c>
      <c r="M375" t="n">
        <v>0</v>
      </c>
      <c r="N375" t="n">
        <v>0</v>
      </c>
      <c r="O375" t="n">
        <v>0</v>
      </c>
      <c r="P375" t="n">
        <v>0</v>
      </c>
      <c r="Q375" t="n">
        <v>0</v>
      </c>
      <c r="R375" s="2" t="inlineStr"/>
    </row>
    <row r="376" ht="15" customHeight="1">
      <c r="A376" t="inlineStr">
        <is>
          <t>A 55053-2020</t>
        </is>
      </c>
      <c r="B376" s="1" t="n">
        <v>44130</v>
      </c>
      <c r="C376" s="1" t="n">
        <v>45575</v>
      </c>
      <c r="D376" t="inlineStr">
        <is>
          <t>KALMAR LÄN</t>
        </is>
      </c>
      <c r="E376" t="inlineStr">
        <is>
          <t>VIMMERBY</t>
        </is>
      </c>
      <c r="G376" t="n">
        <v>1</v>
      </c>
      <c r="H376" t="n">
        <v>0</v>
      </c>
      <c r="I376" t="n">
        <v>0</v>
      </c>
      <c r="J376" t="n">
        <v>0</v>
      </c>
      <c r="K376" t="n">
        <v>0</v>
      </c>
      <c r="L376" t="n">
        <v>0</v>
      </c>
      <c r="M376" t="n">
        <v>0</v>
      </c>
      <c r="N376" t="n">
        <v>0</v>
      </c>
      <c r="O376" t="n">
        <v>0</v>
      </c>
      <c r="P376" t="n">
        <v>0</v>
      </c>
      <c r="Q376" t="n">
        <v>0</v>
      </c>
      <c r="R376" s="2" t="inlineStr"/>
    </row>
    <row r="377" ht="15" customHeight="1">
      <c r="A377" t="inlineStr">
        <is>
          <t>A 57948-2020</t>
        </is>
      </c>
      <c r="B377" s="1" t="n">
        <v>44142</v>
      </c>
      <c r="C377" s="1" t="n">
        <v>45575</v>
      </c>
      <c r="D377" t="inlineStr">
        <is>
          <t>KALMAR LÄN</t>
        </is>
      </c>
      <c r="E377" t="inlineStr">
        <is>
          <t>VIMMERBY</t>
        </is>
      </c>
      <c r="G377" t="n">
        <v>7.1</v>
      </c>
      <c r="H377" t="n">
        <v>0</v>
      </c>
      <c r="I377" t="n">
        <v>0</v>
      </c>
      <c r="J377" t="n">
        <v>0</v>
      </c>
      <c r="K377" t="n">
        <v>0</v>
      </c>
      <c r="L377" t="n">
        <v>0</v>
      </c>
      <c r="M377" t="n">
        <v>0</v>
      </c>
      <c r="N377" t="n">
        <v>0</v>
      </c>
      <c r="O377" t="n">
        <v>0</v>
      </c>
      <c r="P377" t="n">
        <v>0</v>
      </c>
      <c r="Q377" t="n">
        <v>0</v>
      </c>
      <c r="R377" s="2" t="inlineStr"/>
    </row>
    <row r="378" ht="15" customHeight="1">
      <c r="A378" t="inlineStr">
        <is>
          <t>A 58026-2020</t>
        </is>
      </c>
      <c r="B378" s="1" t="n">
        <v>44144</v>
      </c>
      <c r="C378" s="1" t="n">
        <v>45575</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58145-2020</t>
        </is>
      </c>
      <c r="B379" s="1" t="n">
        <v>44144</v>
      </c>
      <c r="C379" s="1" t="n">
        <v>45575</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60810-2020</t>
        </is>
      </c>
      <c r="B380" s="1" t="n">
        <v>44154</v>
      </c>
      <c r="C380" s="1" t="n">
        <v>45575</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61878-2020</t>
        </is>
      </c>
      <c r="B381" s="1" t="n">
        <v>44159</v>
      </c>
      <c r="C381" s="1" t="n">
        <v>45575</v>
      </c>
      <c r="D381" t="inlineStr">
        <is>
          <t>KALMAR LÄN</t>
        </is>
      </c>
      <c r="E381" t="inlineStr">
        <is>
          <t>VIMMERBY</t>
        </is>
      </c>
      <c r="G381" t="n">
        <v>0.5</v>
      </c>
      <c r="H381" t="n">
        <v>0</v>
      </c>
      <c r="I381" t="n">
        <v>0</v>
      </c>
      <c r="J381" t="n">
        <v>0</v>
      </c>
      <c r="K381" t="n">
        <v>0</v>
      </c>
      <c r="L381" t="n">
        <v>0</v>
      </c>
      <c r="M381" t="n">
        <v>0</v>
      </c>
      <c r="N381" t="n">
        <v>0</v>
      </c>
      <c r="O381" t="n">
        <v>0</v>
      </c>
      <c r="P381" t="n">
        <v>0</v>
      </c>
      <c r="Q381" t="n">
        <v>0</v>
      </c>
      <c r="R381" s="2" t="inlineStr"/>
    </row>
    <row r="382" ht="15" customHeight="1">
      <c r="A382" t="inlineStr">
        <is>
          <t>A 64707-2020</t>
        </is>
      </c>
      <c r="B382" s="1" t="n">
        <v>44169</v>
      </c>
      <c r="C382" s="1" t="n">
        <v>45575</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65049-2020</t>
        </is>
      </c>
      <c r="B383" s="1" t="n">
        <v>44172</v>
      </c>
      <c r="C383" s="1" t="n">
        <v>45575</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65564-2020</t>
        </is>
      </c>
      <c r="B384" s="1" t="n">
        <v>44172</v>
      </c>
      <c r="C384" s="1" t="n">
        <v>45575</v>
      </c>
      <c r="D384" t="inlineStr">
        <is>
          <t>KALMAR LÄN</t>
        </is>
      </c>
      <c r="E384" t="inlineStr">
        <is>
          <t>VIMMERBY</t>
        </is>
      </c>
      <c r="G384" t="n">
        <v>4.1</v>
      </c>
      <c r="H384" t="n">
        <v>0</v>
      </c>
      <c r="I384" t="n">
        <v>0</v>
      </c>
      <c r="J384" t="n">
        <v>0</v>
      </c>
      <c r="K384" t="n">
        <v>0</v>
      </c>
      <c r="L384" t="n">
        <v>0</v>
      </c>
      <c r="M384" t="n">
        <v>0</v>
      </c>
      <c r="N384" t="n">
        <v>0</v>
      </c>
      <c r="O384" t="n">
        <v>0</v>
      </c>
      <c r="P384" t="n">
        <v>0</v>
      </c>
      <c r="Q384" t="n">
        <v>0</v>
      </c>
      <c r="R384" s="2" t="inlineStr"/>
    </row>
    <row r="385" ht="15" customHeight="1">
      <c r="A385" t="inlineStr">
        <is>
          <t>A 65956-2020</t>
        </is>
      </c>
      <c r="B385" s="1" t="n">
        <v>44175</v>
      </c>
      <c r="C385" s="1" t="n">
        <v>45575</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65952-2020</t>
        </is>
      </c>
      <c r="B386" s="1" t="n">
        <v>44175</v>
      </c>
      <c r="C386" s="1" t="n">
        <v>45575</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65961-2020</t>
        </is>
      </c>
      <c r="B387" s="1" t="n">
        <v>44175</v>
      </c>
      <c r="C387" s="1" t="n">
        <v>45575</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65973-2020</t>
        </is>
      </c>
      <c r="B388" s="1" t="n">
        <v>44175</v>
      </c>
      <c r="C388" s="1" t="n">
        <v>45575</v>
      </c>
      <c r="D388" t="inlineStr">
        <is>
          <t>KALMAR LÄN</t>
        </is>
      </c>
      <c r="E388" t="inlineStr">
        <is>
          <t>VIMMERBY</t>
        </is>
      </c>
      <c r="G388" t="n">
        <v>0.9</v>
      </c>
      <c r="H388" t="n">
        <v>0</v>
      </c>
      <c r="I388" t="n">
        <v>0</v>
      </c>
      <c r="J388" t="n">
        <v>0</v>
      </c>
      <c r="K388" t="n">
        <v>0</v>
      </c>
      <c r="L388" t="n">
        <v>0</v>
      </c>
      <c r="M388" t="n">
        <v>0</v>
      </c>
      <c r="N388" t="n">
        <v>0</v>
      </c>
      <c r="O388" t="n">
        <v>0</v>
      </c>
      <c r="P388" t="n">
        <v>0</v>
      </c>
      <c r="Q388" t="n">
        <v>0</v>
      </c>
      <c r="R388" s="2" t="inlineStr"/>
    </row>
    <row r="389" ht="15" customHeight="1">
      <c r="A389" t="inlineStr">
        <is>
          <t>A 66913-2020</t>
        </is>
      </c>
      <c r="B389" s="1" t="n">
        <v>44175</v>
      </c>
      <c r="C389" s="1" t="n">
        <v>45575</v>
      </c>
      <c r="D389" t="inlineStr">
        <is>
          <t>KALMAR LÄN</t>
        </is>
      </c>
      <c r="E389" t="inlineStr">
        <is>
          <t>VIMMERBY</t>
        </is>
      </c>
      <c r="G389" t="n">
        <v>5.6</v>
      </c>
      <c r="H389" t="n">
        <v>0</v>
      </c>
      <c r="I389" t="n">
        <v>0</v>
      </c>
      <c r="J389" t="n">
        <v>0</v>
      </c>
      <c r="K389" t="n">
        <v>0</v>
      </c>
      <c r="L389" t="n">
        <v>0</v>
      </c>
      <c r="M389" t="n">
        <v>0</v>
      </c>
      <c r="N389" t="n">
        <v>0</v>
      </c>
      <c r="O389" t="n">
        <v>0</v>
      </c>
      <c r="P389" t="n">
        <v>0</v>
      </c>
      <c r="Q389" t="n">
        <v>0</v>
      </c>
      <c r="R389" s="2" t="inlineStr"/>
    </row>
    <row r="390" ht="15" customHeight="1">
      <c r="A390" t="inlineStr">
        <is>
          <t>A 66295-2020</t>
        </is>
      </c>
      <c r="B390" s="1" t="n">
        <v>44176</v>
      </c>
      <c r="C390" s="1" t="n">
        <v>45575</v>
      </c>
      <c r="D390" t="inlineStr">
        <is>
          <t>KALMAR LÄN</t>
        </is>
      </c>
      <c r="E390" t="inlineStr">
        <is>
          <t>VIMMERBY</t>
        </is>
      </c>
      <c r="G390" t="n">
        <v>4.1</v>
      </c>
      <c r="H390" t="n">
        <v>0</v>
      </c>
      <c r="I390" t="n">
        <v>0</v>
      </c>
      <c r="J390" t="n">
        <v>0</v>
      </c>
      <c r="K390" t="n">
        <v>0</v>
      </c>
      <c r="L390" t="n">
        <v>0</v>
      </c>
      <c r="M390" t="n">
        <v>0</v>
      </c>
      <c r="N390" t="n">
        <v>0</v>
      </c>
      <c r="O390" t="n">
        <v>0</v>
      </c>
      <c r="P390" t="n">
        <v>0</v>
      </c>
      <c r="Q390" t="n">
        <v>0</v>
      </c>
      <c r="R390" s="2" t="inlineStr"/>
    </row>
    <row r="391" ht="15" customHeight="1">
      <c r="A391" t="inlineStr">
        <is>
          <t>A 68744-2020</t>
        </is>
      </c>
      <c r="B391" s="1" t="n">
        <v>44186</v>
      </c>
      <c r="C391" s="1" t="n">
        <v>45575</v>
      </c>
      <c r="D391" t="inlineStr">
        <is>
          <t>KALMAR LÄN</t>
        </is>
      </c>
      <c r="E391" t="inlineStr">
        <is>
          <t>VIMMERBY</t>
        </is>
      </c>
      <c r="G391" t="n">
        <v>2.5</v>
      </c>
      <c r="H391" t="n">
        <v>0</v>
      </c>
      <c r="I391" t="n">
        <v>0</v>
      </c>
      <c r="J391" t="n">
        <v>0</v>
      </c>
      <c r="K391" t="n">
        <v>0</v>
      </c>
      <c r="L391" t="n">
        <v>0</v>
      </c>
      <c r="M391" t="n">
        <v>0</v>
      </c>
      <c r="N391" t="n">
        <v>0</v>
      </c>
      <c r="O391" t="n">
        <v>0</v>
      </c>
      <c r="P391" t="n">
        <v>0</v>
      </c>
      <c r="Q391" t="n">
        <v>0</v>
      </c>
      <c r="R391" s="2" t="inlineStr"/>
    </row>
    <row r="392" ht="15" customHeight="1">
      <c r="A392" t="inlineStr">
        <is>
          <t>A 68785-2020</t>
        </is>
      </c>
      <c r="B392" s="1" t="n">
        <v>44186</v>
      </c>
      <c r="C392" s="1" t="n">
        <v>45575</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618-2021</t>
        </is>
      </c>
      <c r="B393" s="1" t="n">
        <v>44203</v>
      </c>
      <c r="C393" s="1" t="n">
        <v>45575</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1929-2021</t>
        </is>
      </c>
      <c r="B394" s="1" t="n">
        <v>44210</v>
      </c>
      <c r="C394" s="1" t="n">
        <v>45575</v>
      </c>
      <c r="D394" t="inlineStr">
        <is>
          <t>KALMAR LÄN</t>
        </is>
      </c>
      <c r="E394" t="inlineStr">
        <is>
          <t>VIMMERBY</t>
        </is>
      </c>
      <c r="G394" t="n">
        <v>1.6</v>
      </c>
      <c r="H394" t="n">
        <v>0</v>
      </c>
      <c r="I394" t="n">
        <v>0</v>
      </c>
      <c r="J394" t="n">
        <v>0</v>
      </c>
      <c r="K394" t="n">
        <v>0</v>
      </c>
      <c r="L394" t="n">
        <v>0</v>
      </c>
      <c r="M394" t="n">
        <v>0</v>
      </c>
      <c r="N394" t="n">
        <v>0</v>
      </c>
      <c r="O394" t="n">
        <v>0</v>
      </c>
      <c r="P394" t="n">
        <v>0</v>
      </c>
      <c r="Q394" t="n">
        <v>0</v>
      </c>
      <c r="R394" s="2" t="inlineStr"/>
    </row>
    <row r="395" ht="15" customHeight="1">
      <c r="A395" t="inlineStr">
        <is>
          <t>A 2555-2021</t>
        </is>
      </c>
      <c r="B395" s="1" t="n">
        <v>44214</v>
      </c>
      <c r="C395" s="1" t="n">
        <v>45575</v>
      </c>
      <c r="D395" t="inlineStr">
        <is>
          <t>KALMAR LÄN</t>
        </is>
      </c>
      <c r="E395" t="inlineStr">
        <is>
          <t>VIMMERBY</t>
        </is>
      </c>
      <c r="G395" t="n">
        <v>7.3</v>
      </c>
      <c r="H395" t="n">
        <v>0</v>
      </c>
      <c r="I395" t="n">
        <v>0</v>
      </c>
      <c r="J395" t="n">
        <v>0</v>
      </c>
      <c r="K395" t="n">
        <v>0</v>
      </c>
      <c r="L395" t="n">
        <v>0</v>
      </c>
      <c r="M395" t="n">
        <v>0</v>
      </c>
      <c r="N395" t="n">
        <v>0</v>
      </c>
      <c r="O395" t="n">
        <v>0</v>
      </c>
      <c r="P395" t="n">
        <v>0</v>
      </c>
      <c r="Q395" t="n">
        <v>0</v>
      </c>
      <c r="R395" s="2" t="inlineStr"/>
    </row>
    <row r="396" ht="15" customHeight="1">
      <c r="A396" t="inlineStr">
        <is>
          <t>A 2654-2021</t>
        </is>
      </c>
      <c r="B396" s="1" t="n">
        <v>44215</v>
      </c>
      <c r="C396" s="1" t="n">
        <v>45575</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3330-2021</t>
        </is>
      </c>
      <c r="B397" s="1" t="n">
        <v>44217</v>
      </c>
      <c r="C397" s="1" t="n">
        <v>45575</v>
      </c>
      <c r="D397" t="inlineStr">
        <is>
          <t>KALMAR LÄN</t>
        </is>
      </c>
      <c r="E397" t="inlineStr">
        <is>
          <t>VIMMERBY</t>
        </is>
      </c>
      <c r="G397" t="n">
        <v>11.1</v>
      </c>
      <c r="H397" t="n">
        <v>0</v>
      </c>
      <c r="I397" t="n">
        <v>0</v>
      </c>
      <c r="J397" t="n">
        <v>0</v>
      </c>
      <c r="K397" t="n">
        <v>0</v>
      </c>
      <c r="L397" t="n">
        <v>0</v>
      </c>
      <c r="M397" t="n">
        <v>0</v>
      </c>
      <c r="N397" t="n">
        <v>0</v>
      </c>
      <c r="O397" t="n">
        <v>0</v>
      </c>
      <c r="P397" t="n">
        <v>0</v>
      </c>
      <c r="Q397" t="n">
        <v>0</v>
      </c>
      <c r="R397" s="2" t="inlineStr"/>
    </row>
    <row r="398" ht="15" customHeight="1">
      <c r="A398" t="inlineStr">
        <is>
          <t>A 3184-2021</t>
        </is>
      </c>
      <c r="B398" s="1" t="n">
        <v>44217</v>
      </c>
      <c r="C398" s="1" t="n">
        <v>45575</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3621-2021</t>
        </is>
      </c>
      <c r="B399" s="1" t="n">
        <v>44221</v>
      </c>
      <c r="C399" s="1" t="n">
        <v>45575</v>
      </c>
      <c r="D399" t="inlineStr">
        <is>
          <t>KALMAR LÄN</t>
        </is>
      </c>
      <c r="E399" t="inlineStr">
        <is>
          <t>VIMMERBY</t>
        </is>
      </c>
      <c r="G399" t="n">
        <v>0.7</v>
      </c>
      <c r="H399" t="n">
        <v>0</v>
      </c>
      <c r="I399" t="n">
        <v>0</v>
      </c>
      <c r="J399" t="n">
        <v>0</v>
      </c>
      <c r="K399" t="n">
        <v>0</v>
      </c>
      <c r="L399" t="n">
        <v>0</v>
      </c>
      <c r="M399" t="n">
        <v>0</v>
      </c>
      <c r="N399" t="n">
        <v>0</v>
      </c>
      <c r="O399" t="n">
        <v>0</v>
      </c>
      <c r="P399" t="n">
        <v>0</v>
      </c>
      <c r="Q399" t="n">
        <v>0</v>
      </c>
      <c r="R399" s="2" t="inlineStr"/>
    </row>
    <row r="400" ht="15" customHeight="1">
      <c r="A400" t="inlineStr">
        <is>
          <t>A 4762-2021</t>
        </is>
      </c>
      <c r="B400" s="1" t="n">
        <v>44225</v>
      </c>
      <c r="C400" s="1" t="n">
        <v>45575</v>
      </c>
      <c r="D400" t="inlineStr">
        <is>
          <t>KALMAR LÄN</t>
        </is>
      </c>
      <c r="E400" t="inlineStr">
        <is>
          <t>VIMMERBY</t>
        </is>
      </c>
      <c r="G400" t="n">
        <v>5.3</v>
      </c>
      <c r="H400" t="n">
        <v>0</v>
      </c>
      <c r="I400" t="n">
        <v>0</v>
      </c>
      <c r="J400" t="n">
        <v>0</v>
      </c>
      <c r="K400" t="n">
        <v>0</v>
      </c>
      <c r="L400" t="n">
        <v>0</v>
      </c>
      <c r="M400" t="n">
        <v>0</v>
      </c>
      <c r="N400" t="n">
        <v>0</v>
      </c>
      <c r="O400" t="n">
        <v>0</v>
      </c>
      <c r="P400" t="n">
        <v>0</v>
      </c>
      <c r="Q400" t="n">
        <v>0</v>
      </c>
      <c r="R400" s="2" t="inlineStr"/>
    </row>
    <row r="401" ht="15" customHeight="1">
      <c r="A401" t="inlineStr">
        <is>
          <t>A 5689-2021</t>
        </is>
      </c>
      <c r="B401" s="1" t="n">
        <v>44230</v>
      </c>
      <c r="C401" s="1" t="n">
        <v>45575</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5654-2021</t>
        </is>
      </c>
      <c r="B402" s="1" t="n">
        <v>44230</v>
      </c>
      <c r="C402" s="1" t="n">
        <v>45575</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7072-2021</t>
        </is>
      </c>
      <c r="B403" s="1" t="n">
        <v>44237</v>
      </c>
      <c r="C403" s="1" t="n">
        <v>45575</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7075-2021</t>
        </is>
      </c>
      <c r="B404" s="1" t="n">
        <v>44237</v>
      </c>
      <c r="C404" s="1" t="n">
        <v>45575</v>
      </c>
      <c r="D404" t="inlineStr">
        <is>
          <t>KALMAR LÄN</t>
        </is>
      </c>
      <c r="E404" t="inlineStr">
        <is>
          <t>VIMMERBY</t>
        </is>
      </c>
      <c r="G404" t="n">
        <v>3.6</v>
      </c>
      <c r="H404" t="n">
        <v>0</v>
      </c>
      <c r="I404" t="n">
        <v>0</v>
      </c>
      <c r="J404" t="n">
        <v>0</v>
      </c>
      <c r="K404" t="n">
        <v>0</v>
      </c>
      <c r="L404" t="n">
        <v>0</v>
      </c>
      <c r="M404" t="n">
        <v>0</v>
      </c>
      <c r="N404" t="n">
        <v>0</v>
      </c>
      <c r="O404" t="n">
        <v>0</v>
      </c>
      <c r="P404" t="n">
        <v>0</v>
      </c>
      <c r="Q404" t="n">
        <v>0</v>
      </c>
      <c r="R404" s="2" t="inlineStr"/>
    </row>
    <row r="405" ht="15" customHeight="1">
      <c r="A405" t="inlineStr">
        <is>
          <t>A 7515-2021</t>
        </is>
      </c>
      <c r="B405" s="1" t="n">
        <v>44238</v>
      </c>
      <c r="C405" s="1" t="n">
        <v>45575</v>
      </c>
      <c r="D405" t="inlineStr">
        <is>
          <t>KALMAR LÄN</t>
        </is>
      </c>
      <c r="E405" t="inlineStr">
        <is>
          <t>VIMMERBY</t>
        </is>
      </c>
      <c r="G405" t="n">
        <v>20.9</v>
      </c>
      <c r="H405" t="n">
        <v>0</v>
      </c>
      <c r="I405" t="n">
        <v>0</v>
      </c>
      <c r="J405" t="n">
        <v>0</v>
      </c>
      <c r="K405" t="n">
        <v>0</v>
      </c>
      <c r="L405" t="n">
        <v>0</v>
      </c>
      <c r="M405" t="n">
        <v>0</v>
      </c>
      <c r="N405" t="n">
        <v>0</v>
      </c>
      <c r="O405" t="n">
        <v>0</v>
      </c>
      <c r="P405" t="n">
        <v>0</v>
      </c>
      <c r="Q405" t="n">
        <v>0</v>
      </c>
      <c r="R405" s="2" t="inlineStr"/>
    </row>
    <row r="406" ht="15" customHeight="1">
      <c r="A406" t="inlineStr">
        <is>
          <t>A 7828-2021</t>
        </is>
      </c>
      <c r="B406" s="1" t="n">
        <v>44242</v>
      </c>
      <c r="C406" s="1" t="n">
        <v>45575</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8121-2021</t>
        </is>
      </c>
      <c r="B407" s="1" t="n">
        <v>44243</v>
      </c>
      <c r="C407" s="1" t="n">
        <v>45575</v>
      </c>
      <c r="D407" t="inlineStr">
        <is>
          <t>KALMAR LÄN</t>
        </is>
      </c>
      <c r="E407" t="inlineStr">
        <is>
          <t>VIMMERBY</t>
        </is>
      </c>
      <c r="G407" t="n">
        <v>1.2</v>
      </c>
      <c r="H407" t="n">
        <v>0</v>
      </c>
      <c r="I407" t="n">
        <v>0</v>
      </c>
      <c r="J407" t="n">
        <v>0</v>
      </c>
      <c r="K407" t="n">
        <v>0</v>
      </c>
      <c r="L407" t="n">
        <v>0</v>
      </c>
      <c r="M407" t="n">
        <v>0</v>
      </c>
      <c r="N407" t="n">
        <v>0</v>
      </c>
      <c r="O407" t="n">
        <v>0</v>
      </c>
      <c r="P407" t="n">
        <v>0</v>
      </c>
      <c r="Q407" t="n">
        <v>0</v>
      </c>
      <c r="R407" s="2" t="inlineStr"/>
    </row>
    <row r="408" ht="15" customHeight="1">
      <c r="A408" t="inlineStr">
        <is>
          <t>A 8086-2021</t>
        </is>
      </c>
      <c r="B408" s="1" t="n">
        <v>44243</v>
      </c>
      <c r="C408" s="1" t="n">
        <v>45575</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8415-2021</t>
        </is>
      </c>
      <c r="B409" s="1" t="n">
        <v>44245</v>
      </c>
      <c r="C409" s="1" t="n">
        <v>45575</v>
      </c>
      <c r="D409" t="inlineStr">
        <is>
          <t>KALMAR LÄN</t>
        </is>
      </c>
      <c r="E409" t="inlineStr">
        <is>
          <t>VIMMERBY</t>
        </is>
      </c>
      <c r="G409" t="n">
        <v>4.7</v>
      </c>
      <c r="H409" t="n">
        <v>0</v>
      </c>
      <c r="I409" t="n">
        <v>0</v>
      </c>
      <c r="J409" t="n">
        <v>0</v>
      </c>
      <c r="K409" t="n">
        <v>0</v>
      </c>
      <c r="L409" t="n">
        <v>0</v>
      </c>
      <c r="M409" t="n">
        <v>0</v>
      </c>
      <c r="N409" t="n">
        <v>0</v>
      </c>
      <c r="O409" t="n">
        <v>0</v>
      </c>
      <c r="P409" t="n">
        <v>0</v>
      </c>
      <c r="Q409" t="n">
        <v>0</v>
      </c>
      <c r="R409" s="2" t="inlineStr"/>
    </row>
    <row r="410" ht="15" customHeight="1">
      <c r="A410" t="inlineStr">
        <is>
          <t>A 9836-2021</t>
        </is>
      </c>
      <c r="B410" s="1" t="n">
        <v>44253</v>
      </c>
      <c r="C410" s="1" t="n">
        <v>45575</v>
      </c>
      <c r="D410" t="inlineStr">
        <is>
          <t>KALMAR LÄN</t>
        </is>
      </c>
      <c r="E410" t="inlineStr">
        <is>
          <t>VIMMERBY</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10674-2021</t>
        </is>
      </c>
      <c r="B411" s="1" t="n">
        <v>44258</v>
      </c>
      <c r="C411" s="1" t="n">
        <v>45575</v>
      </c>
      <c r="D411" t="inlineStr">
        <is>
          <t>KALMAR LÄN</t>
        </is>
      </c>
      <c r="E411" t="inlineStr">
        <is>
          <t>VIMMERBY</t>
        </is>
      </c>
      <c r="G411" t="n">
        <v>8.4</v>
      </c>
      <c r="H411" t="n">
        <v>0</v>
      </c>
      <c r="I411" t="n">
        <v>0</v>
      </c>
      <c r="J411" t="n">
        <v>0</v>
      </c>
      <c r="K411" t="n">
        <v>0</v>
      </c>
      <c r="L411" t="n">
        <v>0</v>
      </c>
      <c r="M411" t="n">
        <v>0</v>
      </c>
      <c r="N411" t="n">
        <v>0</v>
      </c>
      <c r="O411" t="n">
        <v>0</v>
      </c>
      <c r="P411" t="n">
        <v>0</v>
      </c>
      <c r="Q411" t="n">
        <v>0</v>
      </c>
      <c r="R411" s="2" t="inlineStr"/>
    </row>
    <row r="412" ht="15" customHeight="1">
      <c r="A412" t="inlineStr">
        <is>
          <t>A 10518-2021</t>
        </is>
      </c>
      <c r="B412" s="1" t="n">
        <v>44258</v>
      </c>
      <c r="C412" s="1" t="n">
        <v>45575</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10744-2021</t>
        </is>
      </c>
      <c r="B413" s="1" t="n">
        <v>44259</v>
      </c>
      <c r="C413" s="1" t="n">
        <v>45575</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10928-2021</t>
        </is>
      </c>
      <c r="B414" s="1" t="n">
        <v>44259</v>
      </c>
      <c r="C414" s="1" t="n">
        <v>45575</v>
      </c>
      <c r="D414" t="inlineStr">
        <is>
          <t>KALMAR LÄN</t>
        </is>
      </c>
      <c r="E414" t="inlineStr">
        <is>
          <t>VIMMERBY</t>
        </is>
      </c>
      <c r="G414" t="n">
        <v>2.5</v>
      </c>
      <c r="H414" t="n">
        <v>0</v>
      </c>
      <c r="I414" t="n">
        <v>0</v>
      </c>
      <c r="J414" t="n">
        <v>0</v>
      </c>
      <c r="K414" t="n">
        <v>0</v>
      </c>
      <c r="L414" t="n">
        <v>0</v>
      </c>
      <c r="M414" t="n">
        <v>0</v>
      </c>
      <c r="N414" t="n">
        <v>0</v>
      </c>
      <c r="O414" t="n">
        <v>0</v>
      </c>
      <c r="P414" t="n">
        <v>0</v>
      </c>
      <c r="Q414" t="n">
        <v>0</v>
      </c>
      <c r="R414" s="2" t="inlineStr"/>
    </row>
    <row r="415" ht="15" customHeight="1">
      <c r="A415" t="inlineStr">
        <is>
          <t>A 11011-2021</t>
        </is>
      </c>
      <c r="B415" s="1" t="n">
        <v>44260</v>
      </c>
      <c r="C415" s="1" t="n">
        <v>45575</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12241-2021</t>
        </is>
      </c>
      <c r="B416" s="1" t="n">
        <v>44266</v>
      </c>
      <c r="C416" s="1" t="n">
        <v>45575</v>
      </c>
      <c r="D416" t="inlineStr">
        <is>
          <t>KALMAR LÄN</t>
        </is>
      </c>
      <c r="E416" t="inlineStr">
        <is>
          <t>VIMMERBY</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12465-2021</t>
        </is>
      </c>
      <c r="B417" s="1" t="n">
        <v>44267</v>
      </c>
      <c r="C417" s="1" t="n">
        <v>45575</v>
      </c>
      <c r="D417" t="inlineStr">
        <is>
          <t>KALMAR LÄN</t>
        </is>
      </c>
      <c r="E417" t="inlineStr">
        <is>
          <t>VIMMERBY</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12467-2021</t>
        </is>
      </c>
      <c r="B418" s="1" t="n">
        <v>44267</v>
      </c>
      <c r="C418" s="1" t="n">
        <v>45575</v>
      </c>
      <c r="D418" t="inlineStr">
        <is>
          <t>KALMAR LÄN</t>
        </is>
      </c>
      <c r="E418" t="inlineStr">
        <is>
          <t>VIMMERBY</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12586-2021</t>
        </is>
      </c>
      <c r="B419" s="1" t="n">
        <v>44270</v>
      </c>
      <c r="C419" s="1" t="n">
        <v>45575</v>
      </c>
      <c r="D419" t="inlineStr">
        <is>
          <t>KALMAR LÄN</t>
        </is>
      </c>
      <c r="E419" t="inlineStr">
        <is>
          <t>VIMMERBY</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12661-2021</t>
        </is>
      </c>
      <c r="B420" s="1" t="n">
        <v>44270</v>
      </c>
      <c r="C420" s="1" t="n">
        <v>45575</v>
      </c>
      <c r="D420" t="inlineStr">
        <is>
          <t>KALMAR LÄN</t>
        </is>
      </c>
      <c r="E420" t="inlineStr">
        <is>
          <t>VIMMERBY</t>
        </is>
      </c>
      <c r="G420" t="n">
        <v>1.8</v>
      </c>
      <c r="H420" t="n">
        <v>0</v>
      </c>
      <c r="I420" t="n">
        <v>0</v>
      </c>
      <c r="J420" t="n">
        <v>0</v>
      </c>
      <c r="K420" t="n">
        <v>0</v>
      </c>
      <c r="L420" t="n">
        <v>0</v>
      </c>
      <c r="M420" t="n">
        <v>0</v>
      </c>
      <c r="N420" t="n">
        <v>0</v>
      </c>
      <c r="O420" t="n">
        <v>0</v>
      </c>
      <c r="P420" t="n">
        <v>0</v>
      </c>
      <c r="Q420" t="n">
        <v>0</v>
      </c>
      <c r="R420" s="2" t="inlineStr"/>
    </row>
    <row r="421" ht="15" customHeight="1">
      <c r="A421" t="inlineStr">
        <is>
          <t>A 12757-2021</t>
        </is>
      </c>
      <c r="B421" s="1" t="n">
        <v>44270</v>
      </c>
      <c r="C421" s="1" t="n">
        <v>45575</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12585-2021</t>
        </is>
      </c>
      <c r="B422" s="1" t="n">
        <v>44270</v>
      </c>
      <c r="C422" s="1" t="n">
        <v>45575</v>
      </c>
      <c r="D422" t="inlineStr">
        <is>
          <t>KALMAR LÄN</t>
        </is>
      </c>
      <c r="E422" t="inlineStr">
        <is>
          <t>VIMMERBY</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12597-2021</t>
        </is>
      </c>
      <c r="B423" s="1" t="n">
        <v>44270</v>
      </c>
      <c r="C423" s="1" t="n">
        <v>45575</v>
      </c>
      <c r="D423" t="inlineStr">
        <is>
          <t>KALMAR LÄN</t>
        </is>
      </c>
      <c r="E423" t="inlineStr">
        <is>
          <t>VIMMERBY</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12582-2021</t>
        </is>
      </c>
      <c r="B424" s="1" t="n">
        <v>44270</v>
      </c>
      <c r="C424" s="1" t="n">
        <v>45575</v>
      </c>
      <c r="D424" t="inlineStr">
        <is>
          <t>KALMAR LÄN</t>
        </is>
      </c>
      <c r="E424" t="inlineStr">
        <is>
          <t>VIMMERBY</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12596-2021</t>
        </is>
      </c>
      <c r="B425" s="1" t="n">
        <v>44270</v>
      </c>
      <c r="C425" s="1" t="n">
        <v>45575</v>
      </c>
      <c r="D425" t="inlineStr">
        <is>
          <t>KALMAR LÄN</t>
        </is>
      </c>
      <c r="E425" t="inlineStr">
        <is>
          <t>VIMMERBY</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12587-2021</t>
        </is>
      </c>
      <c r="B426" s="1" t="n">
        <v>44270</v>
      </c>
      <c r="C426" s="1" t="n">
        <v>45575</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12595-2021</t>
        </is>
      </c>
      <c r="B427" s="1" t="n">
        <v>44270</v>
      </c>
      <c r="C427" s="1" t="n">
        <v>45575</v>
      </c>
      <c r="D427" t="inlineStr">
        <is>
          <t>KALMAR LÄN</t>
        </is>
      </c>
      <c r="E427" t="inlineStr">
        <is>
          <t>VIMMERBY</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12662-2021</t>
        </is>
      </c>
      <c r="B428" s="1" t="n">
        <v>44270</v>
      </c>
      <c r="C428" s="1" t="n">
        <v>45575</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12848-2021</t>
        </is>
      </c>
      <c r="B429" s="1" t="n">
        <v>44271</v>
      </c>
      <c r="C429" s="1" t="n">
        <v>45575</v>
      </c>
      <c r="D429" t="inlineStr">
        <is>
          <t>KALMAR LÄN</t>
        </is>
      </c>
      <c r="E429" t="inlineStr">
        <is>
          <t>VIMMERBY</t>
        </is>
      </c>
      <c r="G429" t="n">
        <v>0.5</v>
      </c>
      <c r="H429" t="n">
        <v>0</v>
      </c>
      <c r="I429" t="n">
        <v>0</v>
      </c>
      <c r="J429" t="n">
        <v>0</v>
      </c>
      <c r="K429" t="n">
        <v>0</v>
      </c>
      <c r="L429" t="n">
        <v>0</v>
      </c>
      <c r="M429" t="n">
        <v>0</v>
      </c>
      <c r="N429" t="n">
        <v>0</v>
      </c>
      <c r="O429" t="n">
        <v>0</v>
      </c>
      <c r="P429" t="n">
        <v>0</v>
      </c>
      <c r="Q429" t="n">
        <v>0</v>
      </c>
      <c r="R429" s="2" t="inlineStr"/>
    </row>
    <row r="430" ht="15" customHeight="1">
      <c r="A430" t="inlineStr">
        <is>
          <t>A 13457-2021</t>
        </is>
      </c>
      <c r="B430" s="1" t="n">
        <v>44273</v>
      </c>
      <c r="C430" s="1" t="n">
        <v>45575</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13492-2021</t>
        </is>
      </c>
      <c r="B431" s="1" t="n">
        <v>44273</v>
      </c>
      <c r="C431" s="1" t="n">
        <v>45575</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14220-2021</t>
        </is>
      </c>
      <c r="B432" s="1" t="n">
        <v>44278</v>
      </c>
      <c r="C432" s="1" t="n">
        <v>45575</v>
      </c>
      <c r="D432" t="inlineStr">
        <is>
          <t>KALMAR LÄN</t>
        </is>
      </c>
      <c r="E432" t="inlineStr">
        <is>
          <t>VIMMERBY</t>
        </is>
      </c>
      <c r="G432" t="n">
        <v>0.3</v>
      </c>
      <c r="H432" t="n">
        <v>0</v>
      </c>
      <c r="I432" t="n">
        <v>0</v>
      </c>
      <c r="J432" t="n">
        <v>0</v>
      </c>
      <c r="K432" t="n">
        <v>0</v>
      </c>
      <c r="L432" t="n">
        <v>0</v>
      </c>
      <c r="M432" t="n">
        <v>0</v>
      </c>
      <c r="N432" t="n">
        <v>0</v>
      </c>
      <c r="O432" t="n">
        <v>0</v>
      </c>
      <c r="P432" t="n">
        <v>0</v>
      </c>
      <c r="Q432" t="n">
        <v>0</v>
      </c>
      <c r="R432" s="2" t="inlineStr"/>
    </row>
    <row r="433" ht="15" customHeight="1">
      <c r="A433" t="inlineStr">
        <is>
          <t>A 14278-2021</t>
        </is>
      </c>
      <c r="B433" s="1" t="n">
        <v>44278</v>
      </c>
      <c r="C433" s="1" t="n">
        <v>45575</v>
      </c>
      <c r="D433" t="inlineStr">
        <is>
          <t>KALMAR LÄN</t>
        </is>
      </c>
      <c r="E433" t="inlineStr">
        <is>
          <t>VIMMERBY</t>
        </is>
      </c>
      <c r="F433" t="inlineStr">
        <is>
          <t>Övriga statliga verk och myndigheter</t>
        </is>
      </c>
      <c r="G433" t="n">
        <v>0.8</v>
      </c>
      <c r="H433" t="n">
        <v>0</v>
      </c>
      <c r="I433" t="n">
        <v>0</v>
      </c>
      <c r="J433" t="n">
        <v>0</v>
      </c>
      <c r="K433" t="n">
        <v>0</v>
      </c>
      <c r="L433" t="n">
        <v>0</v>
      </c>
      <c r="M433" t="n">
        <v>0</v>
      </c>
      <c r="N433" t="n">
        <v>0</v>
      </c>
      <c r="O433" t="n">
        <v>0</v>
      </c>
      <c r="P433" t="n">
        <v>0</v>
      </c>
      <c r="Q433" t="n">
        <v>0</v>
      </c>
      <c r="R433" s="2" t="inlineStr"/>
    </row>
    <row r="434" ht="15" customHeight="1">
      <c r="A434" t="inlineStr">
        <is>
          <t>A 14347-2021</t>
        </is>
      </c>
      <c r="B434" s="1" t="n">
        <v>44279</v>
      </c>
      <c r="C434" s="1" t="n">
        <v>45575</v>
      </c>
      <c r="D434" t="inlineStr">
        <is>
          <t>KALMAR LÄN</t>
        </is>
      </c>
      <c r="E434" t="inlineStr">
        <is>
          <t>VIMMERBY</t>
        </is>
      </c>
      <c r="G434" t="n">
        <v>6.4</v>
      </c>
      <c r="H434" t="n">
        <v>0</v>
      </c>
      <c r="I434" t="n">
        <v>0</v>
      </c>
      <c r="J434" t="n">
        <v>0</v>
      </c>
      <c r="K434" t="n">
        <v>0</v>
      </c>
      <c r="L434" t="n">
        <v>0</v>
      </c>
      <c r="M434" t="n">
        <v>0</v>
      </c>
      <c r="N434" t="n">
        <v>0</v>
      </c>
      <c r="O434" t="n">
        <v>0</v>
      </c>
      <c r="P434" t="n">
        <v>0</v>
      </c>
      <c r="Q434" t="n">
        <v>0</v>
      </c>
      <c r="R434" s="2" t="inlineStr"/>
    </row>
    <row r="435" ht="15" customHeight="1">
      <c r="A435" t="inlineStr">
        <is>
          <t>A 14451-2021</t>
        </is>
      </c>
      <c r="B435" s="1" t="n">
        <v>44279</v>
      </c>
      <c r="C435" s="1" t="n">
        <v>45575</v>
      </c>
      <c r="D435" t="inlineStr">
        <is>
          <t>KALMAR LÄN</t>
        </is>
      </c>
      <c r="E435" t="inlineStr">
        <is>
          <t>VIMMERBY</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14521-2021</t>
        </is>
      </c>
      <c r="B436" s="1" t="n">
        <v>44279</v>
      </c>
      <c r="C436" s="1" t="n">
        <v>45575</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15092-2021</t>
        </is>
      </c>
      <c r="B437" s="1" t="n">
        <v>44281</v>
      </c>
      <c r="C437" s="1" t="n">
        <v>45575</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15188-2021</t>
        </is>
      </c>
      <c r="B438" s="1" t="n">
        <v>44284</v>
      </c>
      <c r="C438" s="1" t="n">
        <v>45575</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15191-2021</t>
        </is>
      </c>
      <c r="B439" s="1" t="n">
        <v>44284</v>
      </c>
      <c r="C439" s="1" t="n">
        <v>45575</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15200-2021</t>
        </is>
      </c>
      <c r="B440" s="1" t="n">
        <v>44284</v>
      </c>
      <c r="C440" s="1" t="n">
        <v>45575</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15903-2021</t>
        </is>
      </c>
      <c r="B441" s="1" t="n">
        <v>44287</v>
      </c>
      <c r="C441" s="1" t="n">
        <v>45575</v>
      </c>
      <c r="D441" t="inlineStr">
        <is>
          <t>KALMAR LÄN</t>
        </is>
      </c>
      <c r="E441" t="inlineStr">
        <is>
          <t>VIMMERBY</t>
        </is>
      </c>
      <c r="G441" t="n">
        <v>0.5</v>
      </c>
      <c r="H441" t="n">
        <v>0</v>
      </c>
      <c r="I441" t="n">
        <v>0</v>
      </c>
      <c r="J441" t="n">
        <v>0</v>
      </c>
      <c r="K441" t="n">
        <v>0</v>
      </c>
      <c r="L441" t="n">
        <v>0</v>
      </c>
      <c r="M441" t="n">
        <v>0</v>
      </c>
      <c r="N441" t="n">
        <v>0</v>
      </c>
      <c r="O441" t="n">
        <v>0</v>
      </c>
      <c r="P441" t="n">
        <v>0</v>
      </c>
      <c r="Q441" t="n">
        <v>0</v>
      </c>
      <c r="R441" s="2" t="inlineStr"/>
    </row>
    <row r="442" ht="15" customHeight="1">
      <c r="A442" t="inlineStr">
        <is>
          <t>A 16288-2021</t>
        </is>
      </c>
      <c r="B442" s="1" t="n">
        <v>44292</v>
      </c>
      <c r="C442" s="1" t="n">
        <v>45575</v>
      </c>
      <c r="D442" t="inlineStr">
        <is>
          <t>KALMAR LÄN</t>
        </is>
      </c>
      <c r="E442" t="inlineStr">
        <is>
          <t>VIMMERBY</t>
        </is>
      </c>
      <c r="F442" t="inlineStr">
        <is>
          <t>Övriga Aktiebolag</t>
        </is>
      </c>
      <c r="G442" t="n">
        <v>27.6</v>
      </c>
      <c r="H442" t="n">
        <v>0</v>
      </c>
      <c r="I442" t="n">
        <v>0</v>
      </c>
      <c r="J442" t="n">
        <v>0</v>
      </c>
      <c r="K442" t="n">
        <v>0</v>
      </c>
      <c r="L442" t="n">
        <v>0</v>
      </c>
      <c r="M442" t="n">
        <v>0</v>
      </c>
      <c r="N442" t="n">
        <v>0</v>
      </c>
      <c r="O442" t="n">
        <v>0</v>
      </c>
      <c r="P442" t="n">
        <v>0</v>
      </c>
      <c r="Q442" t="n">
        <v>0</v>
      </c>
      <c r="R442" s="2" t="inlineStr"/>
    </row>
    <row r="443" ht="15" customHeight="1">
      <c r="A443" t="inlineStr">
        <is>
          <t>A 16602-2021</t>
        </is>
      </c>
      <c r="B443" s="1" t="n">
        <v>44294</v>
      </c>
      <c r="C443" s="1" t="n">
        <v>45575</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16607-2021</t>
        </is>
      </c>
      <c r="B444" s="1" t="n">
        <v>44294</v>
      </c>
      <c r="C444" s="1" t="n">
        <v>45575</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17869-2021</t>
        </is>
      </c>
      <c r="B445" s="1" t="n">
        <v>44301</v>
      </c>
      <c r="C445" s="1" t="n">
        <v>45575</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18411-2021</t>
        </is>
      </c>
      <c r="B446" s="1" t="n">
        <v>44302</v>
      </c>
      <c r="C446" s="1" t="n">
        <v>45575</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18276-2021</t>
        </is>
      </c>
      <c r="B447" s="1" t="n">
        <v>44305</v>
      </c>
      <c r="C447" s="1" t="n">
        <v>45575</v>
      </c>
      <c r="D447" t="inlineStr">
        <is>
          <t>KALMAR LÄN</t>
        </is>
      </c>
      <c r="E447" t="inlineStr">
        <is>
          <t>VIMMERBY</t>
        </is>
      </c>
      <c r="G447" t="n">
        <v>0.9</v>
      </c>
      <c r="H447" t="n">
        <v>0</v>
      </c>
      <c r="I447" t="n">
        <v>0</v>
      </c>
      <c r="J447" t="n">
        <v>0</v>
      </c>
      <c r="K447" t="n">
        <v>0</v>
      </c>
      <c r="L447" t="n">
        <v>0</v>
      </c>
      <c r="M447" t="n">
        <v>0</v>
      </c>
      <c r="N447" t="n">
        <v>0</v>
      </c>
      <c r="O447" t="n">
        <v>0</v>
      </c>
      <c r="P447" t="n">
        <v>0</v>
      </c>
      <c r="Q447" t="n">
        <v>0</v>
      </c>
      <c r="R447" s="2" t="inlineStr"/>
    </row>
    <row r="448" ht="15" customHeight="1">
      <c r="A448" t="inlineStr">
        <is>
          <t>A 18356-2021</t>
        </is>
      </c>
      <c r="B448" s="1" t="n">
        <v>44305</v>
      </c>
      <c r="C448" s="1" t="n">
        <v>45575</v>
      </c>
      <c r="D448" t="inlineStr">
        <is>
          <t>KALMAR LÄN</t>
        </is>
      </c>
      <c r="E448" t="inlineStr">
        <is>
          <t>VIMMERBY</t>
        </is>
      </c>
      <c r="G448" t="n">
        <v>3.4</v>
      </c>
      <c r="H448" t="n">
        <v>0</v>
      </c>
      <c r="I448" t="n">
        <v>0</v>
      </c>
      <c r="J448" t="n">
        <v>0</v>
      </c>
      <c r="K448" t="n">
        <v>0</v>
      </c>
      <c r="L448" t="n">
        <v>0</v>
      </c>
      <c r="M448" t="n">
        <v>0</v>
      </c>
      <c r="N448" t="n">
        <v>0</v>
      </c>
      <c r="O448" t="n">
        <v>0</v>
      </c>
      <c r="P448" t="n">
        <v>0</v>
      </c>
      <c r="Q448" t="n">
        <v>0</v>
      </c>
      <c r="R448" s="2" t="inlineStr"/>
    </row>
    <row r="449" ht="15" customHeight="1">
      <c r="A449" t="inlineStr">
        <is>
          <t>A 18756-2021</t>
        </is>
      </c>
      <c r="B449" s="1" t="n">
        <v>44307</v>
      </c>
      <c r="C449" s="1" t="n">
        <v>45575</v>
      </c>
      <c r="D449" t="inlineStr">
        <is>
          <t>KALMAR LÄN</t>
        </is>
      </c>
      <c r="E449" t="inlineStr">
        <is>
          <t>VIMMERBY</t>
        </is>
      </c>
      <c r="G449" t="n">
        <v>7.4</v>
      </c>
      <c r="H449" t="n">
        <v>0</v>
      </c>
      <c r="I449" t="n">
        <v>0</v>
      </c>
      <c r="J449" t="n">
        <v>0</v>
      </c>
      <c r="K449" t="n">
        <v>0</v>
      </c>
      <c r="L449" t="n">
        <v>0</v>
      </c>
      <c r="M449" t="n">
        <v>0</v>
      </c>
      <c r="N449" t="n">
        <v>0</v>
      </c>
      <c r="O449" t="n">
        <v>0</v>
      </c>
      <c r="P449" t="n">
        <v>0</v>
      </c>
      <c r="Q449" t="n">
        <v>0</v>
      </c>
      <c r="R449" s="2" t="inlineStr"/>
    </row>
    <row r="450" ht="15" customHeight="1">
      <c r="A450" t="inlineStr">
        <is>
          <t>A 19445-2021</t>
        </is>
      </c>
      <c r="B450" s="1" t="n">
        <v>44310</v>
      </c>
      <c r="C450" s="1" t="n">
        <v>45575</v>
      </c>
      <c r="D450" t="inlineStr">
        <is>
          <t>KALMAR LÄN</t>
        </is>
      </c>
      <c r="E450" t="inlineStr">
        <is>
          <t>VIMMERBY</t>
        </is>
      </c>
      <c r="G450" t="n">
        <v>6.8</v>
      </c>
      <c r="H450" t="n">
        <v>0</v>
      </c>
      <c r="I450" t="n">
        <v>0</v>
      </c>
      <c r="J450" t="n">
        <v>0</v>
      </c>
      <c r="K450" t="n">
        <v>0</v>
      </c>
      <c r="L450" t="n">
        <v>0</v>
      </c>
      <c r="M450" t="n">
        <v>0</v>
      </c>
      <c r="N450" t="n">
        <v>0</v>
      </c>
      <c r="O450" t="n">
        <v>0</v>
      </c>
      <c r="P450" t="n">
        <v>0</v>
      </c>
      <c r="Q450" t="n">
        <v>0</v>
      </c>
      <c r="R450" s="2" t="inlineStr"/>
    </row>
    <row r="451" ht="15" customHeight="1">
      <c r="A451" t="inlineStr">
        <is>
          <t>A 19863-2021</t>
        </is>
      </c>
      <c r="B451" s="1" t="n">
        <v>44312</v>
      </c>
      <c r="C451" s="1" t="n">
        <v>45575</v>
      </c>
      <c r="D451" t="inlineStr">
        <is>
          <t>KALMAR LÄN</t>
        </is>
      </c>
      <c r="E451" t="inlineStr">
        <is>
          <t>VIMMERBY</t>
        </is>
      </c>
      <c r="G451" t="n">
        <v>3.7</v>
      </c>
      <c r="H451" t="n">
        <v>0</v>
      </c>
      <c r="I451" t="n">
        <v>0</v>
      </c>
      <c r="J451" t="n">
        <v>0</v>
      </c>
      <c r="K451" t="n">
        <v>0</v>
      </c>
      <c r="L451" t="n">
        <v>0</v>
      </c>
      <c r="M451" t="n">
        <v>0</v>
      </c>
      <c r="N451" t="n">
        <v>0</v>
      </c>
      <c r="O451" t="n">
        <v>0</v>
      </c>
      <c r="P451" t="n">
        <v>0</v>
      </c>
      <c r="Q451" t="n">
        <v>0</v>
      </c>
      <c r="R451" s="2" t="inlineStr"/>
    </row>
    <row r="452" ht="15" customHeight="1">
      <c r="A452" t="inlineStr">
        <is>
          <t>A 19865-2021</t>
        </is>
      </c>
      <c r="B452" s="1" t="n">
        <v>44312</v>
      </c>
      <c r="C452" s="1" t="n">
        <v>45575</v>
      </c>
      <c r="D452" t="inlineStr">
        <is>
          <t>KALMAR LÄN</t>
        </is>
      </c>
      <c r="E452" t="inlineStr">
        <is>
          <t>VIMMERBY</t>
        </is>
      </c>
      <c r="G452" t="n">
        <v>8.6</v>
      </c>
      <c r="H452" t="n">
        <v>0</v>
      </c>
      <c r="I452" t="n">
        <v>0</v>
      </c>
      <c r="J452" t="n">
        <v>0</v>
      </c>
      <c r="K452" t="n">
        <v>0</v>
      </c>
      <c r="L452" t="n">
        <v>0</v>
      </c>
      <c r="M452" t="n">
        <v>0</v>
      </c>
      <c r="N452" t="n">
        <v>0</v>
      </c>
      <c r="O452" t="n">
        <v>0</v>
      </c>
      <c r="P452" t="n">
        <v>0</v>
      </c>
      <c r="Q452" t="n">
        <v>0</v>
      </c>
      <c r="R452" s="2" t="inlineStr"/>
    </row>
    <row r="453" ht="15" customHeight="1">
      <c r="A453" t="inlineStr">
        <is>
          <t>A 22637-2021</t>
        </is>
      </c>
      <c r="B453" s="1" t="n">
        <v>44327</v>
      </c>
      <c r="C453" s="1" t="n">
        <v>45575</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24369-2021</t>
        </is>
      </c>
      <c r="B454" s="1" t="n">
        <v>44337</v>
      </c>
      <c r="C454" s="1" t="n">
        <v>45575</v>
      </c>
      <c r="D454" t="inlineStr">
        <is>
          <t>KALMAR LÄN</t>
        </is>
      </c>
      <c r="E454" t="inlineStr">
        <is>
          <t>VIMMERBY</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24655-2021</t>
        </is>
      </c>
      <c r="B455" s="1" t="n">
        <v>44340</v>
      </c>
      <c r="C455" s="1" t="n">
        <v>45575</v>
      </c>
      <c r="D455" t="inlineStr">
        <is>
          <t>KALMAR LÄN</t>
        </is>
      </c>
      <c r="E455" t="inlineStr">
        <is>
          <t>VIMMERBY</t>
        </is>
      </c>
      <c r="G455" t="n">
        <v>14.9</v>
      </c>
      <c r="H455" t="n">
        <v>0</v>
      </c>
      <c r="I455" t="n">
        <v>0</v>
      </c>
      <c r="J455" t="n">
        <v>0</v>
      </c>
      <c r="K455" t="n">
        <v>0</v>
      </c>
      <c r="L455" t="n">
        <v>0</v>
      </c>
      <c r="M455" t="n">
        <v>0</v>
      </c>
      <c r="N455" t="n">
        <v>0</v>
      </c>
      <c r="O455" t="n">
        <v>0</v>
      </c>
      <c r="P455" t="n">
        <v>0</v>
      </c>
      <c r="Q455" t="n">
        <v>0</v>
      </c>
      <c r="R455" s="2" t="inlineStr"/>
    </row>
    <row r="456" ht="15" customHeight="1">
      <c r="A456" t="inlineStr">
        <is>
          <t>A 24752-2021</t>
        </is>
      </c>
      <c r="B456" s="1" t="n">
        <v>44340</v>
      </c>
      <c r="C456" s="1" t="n">
        <v>45575</v>
      </c>
      <c r="D456" t="inlineStr">
        <is>
          <t>KALMAR LÄN</t>
        </is>
      </c>
      <c r="E456" t="inlineStr">
        <is>
          <t>VIMMERBY</t>
        </is>
      </c>
      <c r="G456" t="n">
        <v>4.1</v>
      </c>
      <c r="H456" t="n">
        <v>0</v>
      </c>
      <c r="I456" t="n">
        <v>0</v>
      </c>
      <c r="J456" t="n">
        <v>0</v>
      </c>
      <c r="K456" t="n">
        <v>0</v>
      </c>
      <c r="L456" t="n">
        <v>0</v>
      </c>
      <c r="M456" t="n">
        <v>0</v>
      </c>
      <c r="N456" t="n">
        <v>0</v>
      </c>
      <c r="O456" t="n">
        <v>0</v>
      </c>
      <c r="P456" t="n">
        <v>0</v>
      </c>
      <c r="Q456" t="n">
        <v>0</v>
      </c>
      <c r="R456" s="2" t="inlineStr"/>
    </row>
    <row r="457" ht="15" customHeight="1">
      <c r="A457" t="inlineStr">
        <is>
          <t>A 24738-2021</t>
        </is>
      </c>
      <c r="B457" s="1" t="n">
        <v>44340</v>
      </c>
      <c r="C457" s="1" t="n">
        <v>45575</v>
      </c>
      <c r="D457" t="inlineStr">
        <is>
          <t>KALMAR LÄN</t>
        </is>
      </c>
      <c r="E457" t="inlineStr">
        <is>
          <t>VIMMERBY</t>
        </is>
      </c>
      <c r="G457" t="n">
        <v>3.5</v>
      </c>
      <c r="H457" t="n">
        <v>0</v>
      </c>
      <c r="I457" t="n">
        <v>0</v>
      </c>
      <c r="J457" t="n">
        <v>0</v>
      </c>
      <c r="K457" t="n">
        <v>0</v>
      </c>
      <c r="L457" t="n">
        <v>0</v>
      </c>
      <c r="M457" t="n">
        <v>0</v>
      </c>
      <c r="N457" t="n">
        <v>0</v>
      </c>
      <c r="O457" t="n">
        <v>0</v>
      </c>
      <c r="P457" t="n">
        <v>0</v>
      </c>
      <c r="Q457" t="n">
        <v>0</v>
      </c>
      <c r="R457" s="2" t="inlineStr"/>
    </row>
    <row r="458" ht="15" customHeight="1">
      <c r="A458" t="inlineStr">
        <is>
          <t>A 24723-2021</t>
        </is>
      </c>
      <c r="B458" s="1" t="n">
        <v>44340</v>
      </c>
      <c r="C458" s="1" t="n">
        <v>45575</v>
      </c>
      <c r="D458" t="inlineStr">
        <is>
          <t>KALMAR LÄN</t>
        </is>
      </c>
      <c r="E458" t="inlineStr">
        <is>
          <t>VIMMERBY</t>
        </is>
      </c>
      <c r="G458" t="n">
        <v>3.3</v>
      </c>
      <c r="H458" t="n">
        <v>0</v>
      </c>
      <c r="I458" t="n">
        <v>0</v>
      </c>
      <c r="J458" t="n">
        <v>0</v>
      </c>
      <c r="K458" t="n">
        <v>0</v>
      </c>
      <c r="L458" t="n">
        <v>0</v>
      </c>
      <c r="M458" t="n">
        <v>0</v>
      </c>
      <c r="N458" t="n">
        <v>0</v>
      </c>
      <c r="O458" t="n">
        <v>0</v>
      </c>
      <c r="P458" t="n">
        <v>0</v>
      </c>
      <c r="Q458" t="n">
        <v>0</v>
      </c>
      <c r="R458" s="2" t="inlineStr"/>
    </row>
    <row r="459" ht="15" customHeight="1">
      <c r="A459" t="inlineStr">
        <is>
          <t>A 24999-2021</t>
        </is>
      </c>
      <c r="B459" s="1" t="n">
        <v>44341</v>
      </c>
      <c r="C459" s="1" t="n">
        <v>45575</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27100-2021</t>
        </is>
      </c>
      <c r="B460" s="1" t="n">
        <v>44350</v>
      </c>
      <c r="C460" s="1" t="n">
        <v>45575</v>
      </c>
      <c r="D460" t="inlineStr">
        <is>
          <t>KALMAR LÄN</t>
        </is>
      </c>
      <c r="E460" t="inlineStr">
        <is>
          <t>VIMMERBY</t>
        </is>
      </c>
      <c r="G460" t="n">
        <v>9.6</v>
      </c>
      <c r="H460" t="n">
        <v>0</v>
      </c>
      <c r="I460" t="n">
        <v>0</v>
      </c>
      <c r="J460" t="n">
        <v>0</v>
      </c>
      <c r="K460" t="n">
        <v>0</v>
      </c>
      <c r="L460" t="n">
        <v>0</v>
      </c>
      <c r="M460" t="n">
        <v>0</v>
      </c>
      <c r="N460" t="n">
        <v>0</v>
      </c>
      <c r="O460" t="n">
        <v>0</v>
      </c>
      <c r="P460" t="n">
        <v>0</v>
      </c>
      <c r="Q460" t="n">
        <v>0</v>
      </c>
      <c r="R460" s="2" t="inlineStr"/>
    </row>
    <row r="461" ht="15" customHeight="1">
      <c r="A461" t="inlineStr">
        <is>
          <t>A 27086-2021</t>
        </is>
      </c>
      <c r="B461" s="1" t="n">
        <v>44350</v>
      </c>
      <c r="C461" s="1" t="n">
        <v>45575</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27759-2021</t>
        </is>
      </c>
      <c r="B462" s="1" t="n">
        <v>44354</v>
      </c>
      <c r="C462" s="1" t="n">
        <v>45575</v>
      </c>
      <c r="D462" t="inlineStr">
        <is>
          <t>KALMAR LÄN</t>
        </is>
      </c>
      <c r="E462" t="inlineStr">
        <is>
          <t>VIMMERBY</t>
        </is>
      </c>
      <c r="G462" t="n">
        <v>4.6</v>
      </c>
      <c r="H462" t="n">
        <v>0</v>
      </c>
      <c r="I462" t="n">
        <v>0</v>
      </c>
      <c r="J462" t="n">
        <v>0</v>
      </c>
      <c r="K462" t="n">
        <v>0</v>
      </c>
      <c r="L462" t="n">
        <v>0</v>
      </c>
      <c r="M462" t="n">
        <v>0</v>
      </c>
      <c r="N462" t="n">
        <v>0</v>
      </c>
      <c r="O462" t="n">
        <v>0</v>
      </c>
      <c r="P462" t="n">
        <v>0</v>
      </c>
      <c r="Q462" t="n">
        <v>0</v>
      </c>
      <c r="R462" s="2" t="inlineStr"/>
    </row>
    <row r="463" ht="15" customHeight="1">
      <c r="A463" t="inlineStr">
        <is>
          <t>A 27762-2021</t>
        </is>
      </c>
      <c r="B463" s="1" t="n">
        <v>44354</v>
      </c>
      <c r="C463" s="1" t="n">
        <v>45575</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30682-2021</t>
        </is>
      </c>
      <c r="B464" s="1" t="n">
        <v>44365</v>
      </c>
      <c r="C464" s="1" t="n">
        <v>45575</v>
      </c>
      <c r="D464" t="inlineStr">
        <is>
          <t>KALMAR LÄN</t>
        </is>
      </c>
      <c r="E464" t="inlineStr">
        <is>
          <t>VIMMERBY</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31660-2021</t>
        </is>
      </c>
      <c r="B465" s="1" t="n">
        <v>44369</v>
      </c>
      <c r="C465" s="1" t="n">
        <v>45575</v>
      </c>
      <c r="D465" t="inlineStr">
        <is>
          <t>KALMAR LÄN</t>
        </is>
      </c>
      <c r="E465" t="inlineStr">
        <is>
          <t>VIMMERBY</t>
        </is>
      </c>
      <c r="G465" t="n">
        <v>4.2</v>
      </c>
      <c r="H465" t="n">
        <v>0</v>
      </c>
      <c r="I465" t="n">
        <v>0</v>
      </c>
      <c r="J465" t="n">
        <v>0</v>
      </c>
      <c r="K465" t="n">
        <v>0</v>
      </c>
      <c r="L465" t="n">
        <v>0</v>
      </c>
      <c r="M465" t="n">
        <v>0</v>
      </c>
      <c r="N465" t="n">
        <v>0</v>
      </c>
      <c r="O465" t="n">
        <v>0</v>
      </c>
      <c r="P465" t="n">
        <v>0</v>
      </c>
      <c r="Q465" t="n">
        <v>0</v>
      </c>
      <c r="R465" s="2" t="inlineStr"/>
    </row>
    <row r="466" ht="15" customHeight="1">
      <c r="A466" t="inlineStr">
        <is>
          <t>A 32386-2021</t>
        </is>
      </c>
      <c r="B466" s="1" t="n">
        <v>44371</v>
      </c>
      <c r="C466" s="1" t="n">
        <v>45575</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32607-2021</t>
        </is>
      </c>
      <c r="B467" s="1" t="n">
        <v>44375</v>
      </c>
      <c r="C467" s="1" t="n">
        <v>45575</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32603-2021</t>
        </is>
      </c>
      <c r="B468" s="1" t="n">
        <v>44375</v>
      </c>
      <c r="C468" s="1" t="n">
        <v>45575</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33359-2021</t>
        </is>
      </c>
      <c r="B469" s="1" t="n">
        <v>44377</v>
      </c>
      <c r="C469" s="1" t="n">
        <v>45575</v>
      </c>
      <c r="D469" t="inlineStr">
        <is>
          <t>KALMAR LÄN</t>
        </is>
      </c>
      <c r="E469" t="inlineStr">
        <is>
          <t>VIMMERBY</t>
        </is>
      </c>
      <c r="F469" t="inlineStr">
        <is>
          <t>Kommuner</t>
        </is>
      </c>
      <c r="G469" t="n">
        <v>8</v>
      </c>
      <c r="H469" t="n">
        <v>0</v>
      </c>
      <c r="I469" t="n">
        <v>0</v>
      </c>
      <c r="J469" t="n">
        <v>0</v>
      </c>
      <c r="K469" t="n">
        <v>0</v>
      </c>
      <c r="L469" t="n">
        <v>0</v>
      </c>
      <c r="M469" t="n">
        <v>0</v>
      </c>
      <c r="N469" t="n">
        <v>0</v>
      </c>
      <c r="O469" t="n">
        <v>0</v>
      </c>
      <c r="P469" t="n">
        <v>0</v>
      </c>
      <c r="Q469" t="n">
        <v>0</v>
      </c>
      <c r="R469" s="2" t="inlineStr"/>
    </row>
    <row r="470" ht="15" customHeight="1">
      <c r="A470" t="inlineStr">
        <is>
          <t>A 33374-2021</t>
        </is>
      </c>
      <c r="B470" s="1" t="n">
        <v>44377</v>
      </c>
      <c r="C470" s="1" t="n">
        <v>45575</v>
      </c>
      <c r="D470" t="inlineStr">
        <is>
          <t>KALMAR LÄN</t>
        </is>
      </c>
      <c r="E470" t="inlineStr">
        <is>
          <t>VIMMERBY</t>
        </is>
      </c>
      <c r="G470" t="n">
        <v>3.3</v>
      </c>
      <c r="H470" t="n">
        <v>0</v>
      </c>
      <c r="I470" t="n">
        <v>0</v>
      </c>
      <c r="J470" t="n">
        <v>0</v>
      </c>
      <c r="K470" t="n">
        <v>0</v>
      </c>
      <c r="L470" t="n">
        <v>0</v>
      </c>
      <c r="M470" t="n">
        <v>0</v>
      </c>
      <c r="N470" t="n">
        <v>0</v>
      </c>
      <c r="O470" t="n">
        <v>0</v>
      </c>
      <c r="P470" t="n">
        <v>0</v>
      </c>
      <c r="Q470" t="n">
        <v>0</v>
      </c>
      <c r="R470" s="2" t="inlineStr"/>
    </row>
    <row r="471" ht="15" customHeight="1">
      <c r="A471" t="inlineStr">
        <is>
          <t>A 33446-2021</t>
        </is>
      </c>
      <c r="B471" s="1" t="n">
        <v>44377</v>
      </c>
      <c r="C471" s="1" t="n">
        <v>45575</v>
      </c>
      <c r="D471" t="inlineStr">
        <is>
          <t>KALMAR LÄN</t>
        </is>
      </c>
      <c r="E471" t="inlineStr">
        <is>
          <t>VIMMERBY</t>
        </is>
      </c>
      <c r="G471" t="n">
        <v>4.3</v>
      </c>
      <c r="H471" t="n">
        <v>0</v>
      </c>
      <c r="I471" t="n">
        <v>0</v>
      </c>
      <c r="J471" t="n">
        <v>0</v>
      </c>
      <c r="K471" t="n">
        <v>0</v>
      </c>
      <c r="L471" t="n">
        <v>0</v>
      </c>
      <c r="M471" t="n">
        <v>0</v>
      </c>
      <c r="N471" t="n">
        <v>0</v>
      </c>
      <c r="O471" t="n">
        <v>0</v>
      </c>
      <c r="P471" t="n">
        <v>0</v>
      </c>
      <c r="Q471" t="n">
        <v>0</v>
      </c>
      <c r="R471" s="2" t="inlineStr"/>
    </row>
    <row r="472" ht="15" customHeight="1">
      <c r="A472" t="inlineStr">
        <is>
          <t>A 35198-2021</t>
        </is>
      </c>
      <c r="B472" s="1" t="n">
        <v>44377</v>
      </c>
      <c r="C472" s="1" t="n">
        <v>45575</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34040-2021</t>
        </is>
      </c>
      <c r="B473" s="1" t="n">
        <v>44379</v>
      </c>
      <c r="C473" s="1" t="n">
        <v>45575</v>
      </c>
      <c r="D473" t="inlineStr">
        <is>
          <t>KALMAR LÄN</t>
        </is>
      </c>
      <c r="E473" t="inlineStr">
        <is>
          <t>VIMMERBY</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34036-2021</t>
        </is>
      </c>
      <c r="B474" s="1" t="n">
        <v>44379</v>
      </c>
      <c r="C474" s="1" t="n">
        <v>45575</v>
      </c>
      <c r="D474" t="inlineStr">
        <is>
          <t>KALMAR LÄN</t>
        </is>
      </c>
      <c r="E474" t="inlineStr">
        <is>
          <t>VIMMERBY</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35001-2021</t>
        </is>
      </c>
      <c r="B475" s="1" t="n">
        <v>44383</v>
      </c>
      <c r="C475" s="1" t="n">
        <v>45575</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35316-2021</t>
        </is>
      </c>
      <c r="B476" s="1" t="n">
        <v>44384</v>
      </c>
      <c r="C476" s="1" t="n">
        <v>45575</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35531-2021</t>
        </is>
      </c>
      <c r="B477" s="1" t="n">
        <v>44385</v>
      </c>
      <c r="C477" s="1" t="n">
        <v>45575</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35633-2021</t>
        </is>
      </c>
      <c r="B478" s="1" t="n">
        <v>44386</v>
      </c>
      <c r="C478" s="1" t="n">
        <v>45575</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36117-2021</t>
        </is>
      </c>
      <c r="B479" s="1" t="n">
        <v>44386</v>
      </c>
      <c r="C479" s="1" t="n">
        <v>45575</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36121-2021</t>
        </is>
      </c>
      <c r="B480" s="1" t="n">
        <v>44386</v>
      </c>
      <c r="C480" s="1" t="n">
        <v>45575</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36802-2021</t>
        </is>
      </c>
      <c r="B481" s="1" t="n">
        <v>44392</v>
      </c>
      <c r="C481" s="1" t="n">
        <v>45575</v>
      </c>
      <c r="D481" t="inlineStr">
        <is>
          <t>KALMAR LÄN</t>
        </is>
      </c>
      <c r="E481" t="inlineStr">
        <is>
          <t>VIMMERBY</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38086-2021</t>
        </is>
      </c>
      <c r="B482" s="1" t="n">
        <v>44404</v>
      </c>
      <c r="C482" s="1" t="n">
        <v>45575</v>
      </c>
      <c r="D482" t="inlineStr">
        <is>
          <t>KALMAR LÄN</t>
        </is>
      </c>
      <c r="E482" t="inlineStr">
        <is>
          <t>VIMMERBY</t>
        </is>
      </c>
      <c r="G482" t="n">
        <v>4.4</v>
      </c>
      <c r="H482" t="n">
        <v>0</v>
      </c>
      <c r="I482" t="n">
        <v>0</v>
      </c>
      <c r="J482" t="n">
        <v>0</v>
      </c>
      <c r="K482" t="n">
        <v>0</v>
      </c>
      <c r="L482" t="n">
        <v>0</v>
      </c>
      <c r="M482" t="n">
        <v>0</v>
      </c>
      <c r="N482" t="n">
        <v>0</v>
      </c>
      <c r="O482" t="n">
        <v>0</v>
      </c>
      <c r="P482" t="n">
        <v>0</v>
      </c>
      <c r="Q482" t="n">
        <v>0</v>
      </c>
      <c r="R482" s="2" t="inlineStr"/>
    </row>
    <row r="483" ht="15" customHeight="1">
      <c r="A483" t="inlineStr">
        <is>
          <t>A 38348-2021</t>
        </is>
      </c>
      <c r="B483" s="1" t="n">
        <v>44406</v>
      </c>
      <c r="C483" s="1" t="n">
        <v>45575</v>
      </c>
      <c r="D483" t="inlineStr">
        <is>
          <t>KALMAR LÄN</t>
        </is>
      </c>
      <c r="E483" t="inlineStr">
        <is>
          <t>VIMMERBY</t>
        </is>
      </c>
      <c r="G483" t="n">
        <v>2.2</v>
      </c>
      <c r="H483" t="n">
        <v>0</v>
      </c>
      <c r="I483" t="n">
        <v>0</v>
      </c>
      <c r="J483" t="n">
        <v>0</v>
      </c>
      <c r="K483" t="n">
        <v>0</v>
      </c>
      <c r="L483" t="n">
        <v>0</v>
      </c>
      <c r="M483" t="n">
        <v>0</v>
      </c>
      <c r="N483" t="n">
        <v>0</v>
      </c>
      <c r="O483" t="n">
        <v>0</v>
      </c>
      <c r="P483" t="n">
        <v>0</v>
      </c>
      <c r="Q483" t="n">
        <v>0</v>
      </c>
      <c r="R483" s="2" t="inlineStr"/>
    </row>
    <row r="484" ht="15" customHeight="1">
      <c r="A484" t="inlineStr">
        <is>
          <t>A 38780-2021</t>
        </is>
      </c>
      <c r="B484" s="1" t="n">
        <v>44410</v>
      </c>
      <c r="C484" s="1" t="n">
        <v>45575</v>
      </c>
      <c r="D484" t="inlineStr">
        <is>
          <t>KALMAR LÄN</t>
        </is>
      </c>
      <c r="E484" t="inlineStr">
        <is>
          <t>VIMMERBY</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38789-2021</t>
        </is>
      </c>
      <c r="B485" s="1" t="n">
        <v>44410</v>
      </c>
      <c r="C485" s="1" t="n">
        <v>45575</v>
      </c>
      <c r="D485" t="inlineStr">
        <is>
          <t>KALMAR LÄN</t>
        </is>
      </c>
      <c r="E485" t="inlineStr">
        <is>
          <t>VIMMERBY</t>
        </is>
      </c>
      <c r="G485" t="n">
        <v>3.7</v>
      </c>
      <c r="H485" t="n">
        <v>0</v>
      </c>
      <c r="I485" t="n">
        <v>0</v>
      </c>
      <c r="J485" t="n">
        <v>0</v>
      </c>
      <c r="K485" t="n">
        <v>0</v>
      </c>
      <c r="L485" t="n">
        <v>0</v>
      </c>
      <c r="M485" t="n">
        <v>0</v>
      </c>
      <c r="N485" t="n">
        <v>0</v>
      </c>
      <c r="O485" t="n">
        <v>0</v>
      </c>
      <c r="P485" t="n">
        <v>0</v>
      </c>
      <c r="Q485" t="n">
        <v>0</v>
      </c>
      <c r="R485" s="2" t="inlineStr"/>
    </row>
    <row r="486" ht="15" customHeight="1">
      <c r="A486" t="inlineStr">
        <is>
          <t>A 40073-2021</t>
        </is>
      </c>
      <c r="B486" s="1" t="n">
        <v>44418</v>
      </c>
      <c r="C486" s="1" t="n">
        <v>45575</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40076-2021</t>
        </is>
      </c>
      <c r="B487" s="1" t="n">
        <v>44418</v>
      </c>
      <c r="C487" s="1" t="n">
        <v>45575</v>
      </c>
      <c r="D487" t="inlineStr">
        <is>
          <t>KALMAR LÄN</t>
        </is>
      </c>
      <c r="E487" t="inlineStr">
        <is>
          <t>VIMMERBY</t>
        </is>
      </c>
      <c r="G487" t="n">
        <v>2</v>
      </c>
      <c r="H487" t="n">
        <v>0</v>
      </c>
      <c r="I487" t="n">
        <v>0</v>
      </c>
      <c r="J487" t="n">
        <v>0</v>
      </c>
      <c r="K487" t="n">
        <v>0</v>
      </c>
      <c r="L487" t="n">
        <v>0</v>
      </c>
      <c r="M487" t="n">
        <v>0</v>
      </c>
      <c r="N487" t="n">
        <v>0</v>
      </c>
      <c r="O487" t="n">
        <v>0</v>
      </c>
      <c r="P487" t="n">
        <v>0</v>
      </c>
      <c r="Q487" t="n">
        <v>0</v>
      </c>
      <c r="R487" s="2" t="inlineStr"/>
    </row>
    <row r="488" ht="15" customHeight="1">
      <c r="A488" t="inlineStr">
        <is>
          <t>A 40071-2021</t>
        </is>
      </c>
      <c r="B488" s="1" t="n">
        <v>44418</v>
      </c>
      <c r="C488" s="1" t="n">
        <v>45575</v>
      </c>
      <c r="D488" t="inlineStr">
        <is>
          <t>KALMAR LÄN</t>
        </is>
      </c>
      <c r="E488" t="inlineStr">
        <is>
          <t>VIMMERBY</t>
        </is>
      </c>
      <c r="G488" t="n">
        <v>1.5</v>
      </c>
      <c r="H488" t="n">
        <v>0</v>
      </c>
      <c r="I488" t="n">
        <v>0</v>
      </c>
      <c r="J488" t="n">
        <v>0</v>
      </c>
      <c r="K488" t="n">
        <v>0</v>
      </c>
      <c r="L488" t="n">
        <v>0</v>
      </c>
      <c r="M488" t="n">
        <v>0</v>
      </c>
      <c r="N488" t="n">
        <v>0</v>
      </c>
      <c r="O488" t="n">
        <v>0</v>
      </c>
      <c r="P488" t="n">
        <v>0</v>
      </c>
      <c r="Q488" t="n">
        <v>0</v>
      </c>
      <c r="R488" s="2" t="inlineStr"/>
    </row>
    <row r="489" ht="15" customHeight="1">
      <c r="A489" t="inlineStr">
        <is>
          <t>A 40077-2021</t>
        </is>
      </c>
      <c r="B489" s="1" t="n">
        <v>44418</v>
      </c>
      <c r="C489" s="1" t="n">
        <v>45575</v>
      </c>
      <c r="D489" t="inlineStr">
        <is>
          <t>KALMAR LÄN</t>
        </is>
      </c>
      <c r="E489" t="inlineStr">
        <is>
          <t>VIMMERBY</t>
        </is>
      </c>
      <c r="G489" t="n">
        <v>2.9</v>
      </c>
      <c r="H489" t="n">
        <v>0</v>
      </c>
      <c r="I489" t="n">
        <v>0</v>
      </c>
      <c r="J489" t="n">
        <v>0</v>
      </c>
      <c r="K489" t="n">
        <v>0</v>
      </c>
      <c r="L489" t="n">
        <v>0</v>
      </c>
      <c r="M489" t="n">
        <v>0</v>
      </c>
      <c r="N489" t="n">
        <v>0</v>
      </c>
      <c r="O489" t="n">
        <v>0</v>
      </c>
      <c r="P489" t="n">
        <v>0</v>
      </c>
      <c r="Q489" t="n">
        <v>0</v>
      </c>
      <c r="R489" s="2" t="inlineStr"/>
    </row>
    <row r="490" ht="15" customHeight="1">
      <c r="A490" t="inlineStr">
        <is>
          <t>A 40971-2021</t>
        </is>
      </c>
      <c r="B490" s="1" t="n">
        <v>44421</v>
      </c>
      <c r="C490" s="1" t="n">
        <v>45575</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42521-2021</t>
        </is>
      </c>
      <c r="B491" s="1" t="n">
        <v>44427</v>
      </c>
      <c r="C491" s="1" t="n">
        <v>45575</v>
      </c>
      <c r="D491" t="inlineStr">
        <is>
          <t>KALMAR LÄN</t>
        </is>
      </c>
      <c r="E491" t="inlineStr">
        <is>
          <t>VIMMERBY</t>
        </is>
      </c>
      <c r="G491" t="n">
        <v>5.4</v>
      </c>
      <c r="H491" t="n">
        <v>0</v>
      </c>
      <c r="I491" t="n">
        <v>0</v>
      </c>
      <c r="J491" t="n">
        <v>0</v>
      </c>
      <c r="K491" t="n">
        <v>0</v>
      </c>
      <c r="L491" t="n">
        <v>0</v>
      </c>
      <c r="M491" t="n">
        <v>0</v>
      </c>
      <c r="N491" t="n">
        <v>0</v>
      </c>
      <c r="O491" t="n">
        <v>0</v>
      </c>
      <c r="P491" t="n">
        <v>0</v>
      </c>
      <c r="Q491" t="n">
        <v>0</v>
      </c>
      <c r="R491" s="2" t="inlineStr"/>
    </row>
    <row r="492" ht="15" customHeight="1">
      <c r="A492" t="inlineStr">
        <is>
          <t>A 42918-2021</t>
        </is>
      </c>
      <c r="B492" s="1" t="n">
        <v>44431</v>
      </c>
      <c r="C492" s="1" t="n">
        <v>45575</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43186-2021</t>
        </is>
      </c>
      <c r="B493" s="1" t="n">
        <v>44431</v>
      </c>
      <c r="C493" s="1" t="n">
        <v>45575</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45528-2021</t>
        </is>
      </c>
      <c r="B494" s="1" t="n">
        <v>44440</v>
      </c>
      <c r="C494" s="1" t="n">
        <v>45575</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45390-2021</t>
        </is>
      </c>
      <c r="B495" s="1" t="n">
        <v>44440</v>
      </c>
      <c r="C495" s="1" t="n">
        <v>45575</v>
      </c>
      <c r="D495" t="inlineStr">
        <is>
          <t>KALMAR LÄN</t>
        </is>
      </c>
      <c r="E495" t="inlineStr">
        <is>
          <t>VIMMERBY</t>
        </is>
      </c>
      <c r="G495" t="n">
        <v>3.9</v>
      </c>
      <c r="H495" t="n">
        <v>0</v>
      </c>
      <c r="I495" t="n">
        <v>0</v>
      </c>
      <c r="J495" t="n">
        <v>0</v>
      </c>
      <c r="K495" t="n">
        <v>0</v>
      </c>
      <c r="L495" t="n">
        <v>0</v>
      </c>
      <c r="M495" t="n">
        <v>0</v>
      </c>
      <c r="N495" t="n">
        <v>0</v>
      </c>
      <c r="O495" t="n">
        <v>0</v>
      </c>
      <c r="P495" t="n">
        <v>0</v>
      </c>
      <c r="Q495" t="n">
        <v>0</v>
      </c>
      <c r="R495" s="2" t="inlineStr"/>
    </row>
    <row r="496" ht="15" customHeight="1">
      <c r="A496" t="inlineStr">
        <is>
          <t>A 45560-2021</t>
        </is>
      </c>
      <c r="B496" s="1" t="n">
        <v>44440</v>
      </c>
      <c r="C496" s="1" t="n">
        <v>45575</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47208-2021</t>
        </is>
      </c>
      <c r="B497" s="1" t="n">
        <v>44447</v>
      </c>
      <c r="C497" s="1" t="n">
        <v>45575</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47205-2021</t>
        </is>
      </c>
      <c r="B498" s="1" t="n">
        <v>44447</v>
      </c>
      <c r="C498" s="1" t="n">
        <v>45575</v>
      </c>
      <c r="D498" t="inlineStr">
        <is>
          <t>KALMAR LÄN</t>
        </is>
      </c>
      <c r="E498" t="inlineStr">
        <is>
          <t>VIMMERBY</t>
        </is>
      </c>
      <c r="G498" t="n">
        <v>0.5</v>
      </c>
      <c r="H498" t="n">
        <v>0</v>
      </c>
      <c r="I498" t="n">
        <v>0</v>
      </c>
      <c r="J498" t="n">
        <v>0</v>
      </c>
      <c r="K498" t="n">
        <v>0</v>
      </c>
      <c r="L498" t="n">
        <v>0</v>
      </c>
      <c r="M498" t="n">
        <v>0</v>
      </c>
      <c r="N498" t="n">
        <v>0</v>
      </c>
      <c r="O498" t="n">
        <v>0</v>
      </c>
      <c r="P498" t="n">
        <v>0</v>
      </c>
      <c r="Q498" t="n">
        <v>0</v>
      </c>
      <c r="R498" s="2" t="inlineStr"/>
    </row>
    <row r="499" ht="15" customHeight="1">
      <c r="A499" t="inlineStr">
        <is>
          <t>A 47473-2021</t>
        </is>
      </c>
      <c r="B499" s="1" t="n">
        <v>44447</v>
      </c>
      <c r="C499" s="1" t="n">
        <v>45575</v>
      </c>
      <c r="D499" t="inlineStr">
        <is>
          <t>KALMAR LÄN</t>
        </is>
      </c>
      <c r="E499" t="inlineStr">
        <is>
          <t>VIMMERBY</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48377-2021</t>
        </is>
      </c>
      <c r="B500" s="1" t="n">
        <v>44451</v>
      </c>
      <c r="C500" s="1" t="n">
        <v>45575</v>
      </c>
      <c r="D500" t="inlineStr">
        <is>
          <t>KALMAR LÄN</t>
        </is>
      </c>
      <c r="E500" t="inlineStr">
        <is>
          <t>VIMMERBY</t>
        </is>
      </c>
      <c r="G500" t="n">
        <v>0.4</v>
      </c>
      <c r="H500" t="n">
        <v>0</v>
      </c>
      <c r="I500" t="n">
        <v>0</v>
      </c>
      <c r="J500" t="n">
        <v>0</v>
      </c>
      <c r="K500" t="n">
        <v>0</v>
      </c>
      <c r="L500" t="n">
        <v>0</v>
      </c>
      <c r="M500" t="n">
        <v>0</v>
      </c>
      <c r="N500" t="n">
        <v>0</v>
      </c>
      <c r="O500" t="n">
        <v>0</v>
      </c>
      <c r="P500" t="n">
        <v>0</v>
      </c>
      <c r="Q500" t="n">
        <v>0</v>
      </c>
      <c r="R500" s="2" t="inlineStr"/>
    </row>
    <row r="501" ht="15" customHeight="1">
      <c r="A501" t="inlineStr">
        <is>
          <t>A 48373-2021</t>
        </is>
      </c>
      <c r="B501" s="1" t="n">
        <v>44451</v>
      </c>
      <c r="C501" s="1" t="n">
        <v>45575</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48673-2021</t>
        </is>
      </c>
      <c r="B502" s="1" t="n">
        <v>44452</v>
      </c>
      <c r="C502" s="1" t="n">
        <v>45575</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49039-2021</t>
        </is>
      </c>
      <c r="B503" s="1" t="n">
        <v>44453</v>
      </c>
      <c r="C503" s="1" t="n">
        <v>45575</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51972-2021</t>
        </is>
      </c>
      <c r="B504" s="1" t="n">
        <v>44463</v>
      </c>
      <c r="C504" s="1" t="n">
        <v>45575</v>
      </c>
      <c r="D504" t="inlineStr">
        <is>
          <t>KALMAR LÄN</t>
        </is>
      </c>
      <c r="E504" t="inlineStr">
        <is>
          <t>VIMMERBY</t>
        </is>
      </c>
      <c r="G504" t="n">
        <v>4.5</v>
      </c>
      <c r="H504" t="n">
        <v>0</v>
      </c>
      <c r="I504" t="n">
        <v>0</v>
      </c>
      <c r="J504" t="n">
        <v>0</v>
      </c>
      <c r="K504" t="n">
        <v>0</v>
      </c>
      <c r="L504" t="n">
        <v>0</v>
      </c>
      <c r="M504" t="n">
        <v>0</v>
      </c>
      <c r="N504" t="n">
        <v>0</v>
      </c>
      <c r="O504" t="n">
        <v>0</v>
      </c>
      <c r="P504" t="n">
        <v>0</v>
      </c>
      <c r="Q504" t="n">
        <v>0</v>
      </c>
      <c r="R504" s="2" t="inlineStr"/>
    </row>
    <row r="505" ht="15" customHeight="1">
      <c r="A505" t="inlineStr">
        <is>
          <t>A 52433-2021</t>
        </is>
      </c>
      <c r="B505" s="1" t="n">
        <v>44466</v>
      </c>
      <c r="C505" s="1" t="n">
        <v>45575</v>
      </c>
      <c r="D505" t="inlineStr">
        <is>
          <t>KALMAR LÄN</t>
        </is>
      </c>
      <c r="E505" t="inlineStr">
        <is>
          <t>VIMMERBY</t>
        </is>
      </c>
      <c r="G505" t="n">
        <v>3.5</v>
      </c>
      <c r="H505" t="n">
        <v>0</v>
      </c>
      <c r="I505" t="n">
        <v>0</v>
      </c>
      <c r="J505" t="n">
        <v>0</v>
      </c>
      <c r="K505" t="n">
        <v>0</v>
      </c>
      <c r="L505" t="n">
        <v>0</v>
      </c>
      <c r="M505" t="n">
        <v>0</v>
      </c>
      <c r="N505" t="n">
        <v>0</v>
      </c>
      <c r="O505" t="n">
        <v>0</v>
      </c>
      <c r="P505" t="n">
        <v>0</v>
      </c>
      <c r="Q505" t="n">
        <v>0</v>
      </c>
      <c r="R505" s="2" t="inlineStr"/>
    </row>
    <row r="506" ht="15" customHeight="1">
      <c r="A506" t="inlineStr">
        <is>
          <t>A 52435-2021</t>
        </is>
      </c>
      <c r="B506" s="1" t="n">
        <v>44466</v>
      </c>
      <c r="C506" s="1" t="n">
        <v>45575</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53083-2021</t>
        </is>
      </c>
      <c r="B507" s="1" t="n">
        <v>44467</v>
      </c>
      <c r="C507" s="1" t="n">
        <v>45575</v>
      </c>
      <c r="D507" t="inlineStr">
        <is>
          <t>KALMAR LÄN</t>
        </is>
      </c>
      <c r="E507" t="inlineStr">
        <is>
          <t>VIMMERBY</t>
        </is>
      </c>
      <c r="G507" t="n">
        <v>6.8</v>
      </c>
      <c r="H507" t="n">
        <v>0</v>
      </c>
      <c r="I507" t="n">
        <v>0</v>
      </c>
      <c r="J507" t="n">
        <v>0</v>
      </c>
      <c r="K507" t="n">
        <v>0</v>
      </c>
      <c r="L507" t="n">
        <v>0</v>
      </c>
      <c r="M507" t="n">
        <v>0</v>
      </c>
      <c r="N507" t="n">
        <v>0</v>
      </c>
      <c r="O507" t="n">
        <v>0</v>
      </c>
      <c r="P507" t="n">
        <v>0</v>
      </c>
      <c r="Q507" t="n">
        <v>0</v>
      </c>
      <c r="R507" s="2" t="inlineStr"/>
    </row>
    <row r="508" ht="15" customHeight="1">
      <c r="A508" t="inlineStr">
        <is>
          <t>A 53080-2021</t>
        </is>
      </c>
      <c r="B508" s="1" t="n">
        <v>44467</v>
      </c>
      <c r="C508" s="1" t="n">
        <v>45575</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54065-2021</t>
        </is>
      </c>
      <c r="B509" s="1" t="n">
        <v>44470</v>
      </c>
      <c r="C509" s="1" t="n">
        <v>45575</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55300-2021</t>
        </is>
      </c>
      <c r="B510" s="1" t="n">
        <v>44475</v>
      </c>
      <c r="C510" s="1" t="n">
        <v>45575</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55297-2021</t>
        </is>
      </c>
      <c r="B511" s="1" t="n">
        <v>44475</v>
      </c>
      <c r="C511" s="1" t="n">
        <v>45575</v>
      </c>
      <c r="D511" t="inlineStr">
        <is>
          <t>KALMAR LÄN</t>
        </is>
      </c>
      <c r="E511" t="inlineStr">
        <is>
          <t>VIMMERBY</t>
        </is>
      </c>
      <c r="G511" t="n">
        <v>4.1</v>
      </c>
      <c r="H511" t="n">
        <v>0</v>
      </c>
      <c r="I511" t="n">
        <v>0</v>
      </c>
      <c r="J511" t="n">
        <v>0</v>
      </c>
      <c r="K511" t="n">
        <v>0</v>
      </c>
      <c r="L511" t="n">
        <v>0</v>
      </c>
      <c r="M511" t="n">
        <v>0</v>
      </c>
      <c r="N511" t="n">
        <v>0</v>
      </c>
      <c r="O511" t="n">
        <v>0</v>
      </c>
      <c r="P511" t="n">
        <v>0</v>
      </c>
      <c r="Q511" t="n">
        <v>0</v>
      </c>
      <c r="R511" s="2" t="inlineStr"/>
    </row>
    <row r="512" ht="15" customHeight="1">
      <c r="A512" t="inlineStr">
        <is>
          <t>A 55674-2021</t>
        </is>
      </c>
      <c r="B512" s="1" t="n">
        <v>44476</v>
      </c>
      <c r="C512" s="1" t="n">
        <v>45575</v>
      </c>
      <c r="D512" t="inlineStr">
        <is>
          <t>KALMAR LÄN</t>
        </is>
      </c>
      <c r="E512" t="inlineStr">
        <is>
          <t>VIMMERBY</t>
        </is>
      </c>
      <c r="G512" t="n">
        <v>2.1</v>
      </c>
      <c r="H512" t="n">
        <v>0</v>
      </c>
      <c r="I512" t="n">
        <v>0</v>
      </c>
      <c r="J512" t="n">
        <v>0</v>
      </c>
      <c r="K512" t="n">
        <v>0</v>
      </c>
      <c r="L512" t="n">
        <v>0</v>
      </c>
      <c r="M512" t="n">
        <v>0</v>
      </c>
      <c r="N512" t="n">
        <v>0</v>
      </c>
      <c r="O512" t="n">
        <v>0</v>
      </c>
      <c r="P512" t="n">
        <v>0</v>
      </c>
      <c r="Q512" t="n">
        <v>0</v>
      </c>
      <c r="R512" s="2" t="inlineStr"/>
    </row>
    <row r="513" ht="15" customHeight="1">
      <c r="A513" t="inlineStr">
        <is>
          <t>A 56029-2021</t>
        </is>
      </c>
      <c r="B513" s="1" t="n">
        <v>44477</v>
      </c>
      <c r="C513" s="1" t="n">
        <v>45575</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56343-2021</t>
        </is>
      </c>
      <c r="B514" s="1" t="n">
        <v>44480</v>
      </c>
      <c r="C514" s="1" t="n">
        <v>45575</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56385-2021</t>
        </is>
      </c>
      <c r="B515" s="1" t="n">
        <v>44480</v>
      </c>
      <c r="C515" s="1" t="n">
        <v>45575</v>
      </c>
      <c r="D515" t="inlineStr">
        <is>
          <t>KALMAR LÄN</t>
        </is>
      </c>
      <c r="E515" t="inlineStr">
        <is>
          <t>VIMMERBY</t>
        </is>
      </c>
      <c r="G515" t="n">
        <v>1.9</v>
      </c>
      <c r="H515" t="n">
        <v>0</v>
      </c>
      <c r="I515" t="n">
        <v>0</v>
      </c>
      <c r="J515" t="n">
        <v>0</v>
      </c>
      <c r="K515" t="n">
        <v>0</v>
      </c>
      <c r="L515" t="n">
        <v>0</v>
      </c>
      <c r="M515" t="n">
        <v>0</v>
      </c>
      <c r="N515" t="n">
        <v>0</v>
      </c>
      <c r="O515" t="n">
        <v>0</v>
      </c>
      <c r="P515" t="n">
        <v>0</v>
      </c>
      <c r="Q515" t="n">
        <v>0</v>
      </c>
      <c r="R515" s="2" t="inlineStr"/>
    </row>
    <row r="516" ht="15" customHeight="1">
      <c r="A516" t="inlineStr">
        <is>
          <t>A 56347-2021</t>
        </is>
      </c>
      <c r="B516" s="1" t="n">
        <v>44480</v>
      </c>
      <c r="C516" s="1" t="n">
        <v>45575</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56378-2021</t>
        </is>
      </c>
      <c r="B517" s="1" t="n">
        <v>44480</v>
      </c>
      <c r="C517" s="1" t="n">
        <v>45575</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56398-2021</t>
        </is>
      </c>
      <c r="B518" s="1" t="n">
        <v>44480</v>
      </c>
      <c r="C518" s="1" t="n">
        <v>45575</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56389-2021</t>
        </is>
      </c>
      <c r="B519" s="1" t="n">
        <v>44480</v>
      </c>
      <c r="C519" s="1" t="n">
        <v>45575</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56754-2021</t>
        </is>
      </c>
      <c r="B520" s="1" t="n">
        <v>44481</v>
      </c>
      <c r="C520" s="1" t="n">
        <v>45575</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57416-2021</t>
        </is>
      </c>
      <c r="B521" s="1" t="n">
        <v>44483</v>
      </c>
      <c r="C521" s="1" t="n">
        <v>45575</v>
      </c>
      <c r="D521" t="inlineStr">
        <is>
          <t>KALMAR LÄN</t>
        </is>
      </c>
      <c r="E521" t="inlineStr">
        <is>
          <t>VIMMERBY</t>
        </is>
      </c>
      <c r="G521" t="n">
        <v>2.9</v>
      </c>
      <c r="H521" t="n">
        <v>0</v>
      </c>
      <c r="I521" t="n">
        <v>0</v>
      </c>
      <c r="J521" t="n">
        <v>0</v>
      </c>
      <c r="K521" t="n">
        <v>0</v>
      </c>
      <c r="L521" t="n">
        <v>0</v>
      </c>
      <c r="M521" t="n">
        <v>0</v>
      </c>
      <c r="N521" t="n">
        <v>0</v>
      </c>
      <c r="O521" t="n">
        <v>0</v>
      </c>
      <c r="P521" t="n">
        <v>0</v>
      </c>
      <c r="Q521" t="n">
        <v>0</v>
      </c>
      <c r="R521" s="2" t="inlineStr"/>
    </row>
    <row r="522" ht="15" customHeight="1">
      <c r="A522" t="inlineStr">
        <is>
          <t>A 57605-2021</t>
        </is>
      </c>
      <c r="B522" s="1" t="n">
        <v>44483</v>
      </c>
      <c r="C522" s="1" t="n">
        <v>45575</v>
      </c>
      <c r="D522" t="inlineStr">
        <is>
          <t>KALMAR LÄN</t>
        </is>
      </c>
      <c r="E522" t="inlineStr">
        <is>
          <t>VIMMERBY</t>
        </is>
      </c>
      <c r="G522" t="n">
        <v>13.1</v>
      </c>
      <c r="H522" t="n">
        <v>0</v>
      </c>
      <c r="I522" t="n">
        <v>0</v>
      </c>
      <c r="J522" t="n">
        <v>0</v>
      </c>
      <c r="K522" t="n">
        <v>0</v>
      </c>
      <c r="L522" t="n">
        <v>0</v>
      </c>
      <c r="M522" t="n">
        <v>0</v>
      </c>
      <c r="N522" t="n">
        <v>0</v>
      </c>
      <c r="O522" t="n">
        <v>0</v>
      </c>
      <c r="P522" t="n">
        <v>0</v>
      </c>
      <c r="Q522" t="n">
        <v>0</v>
      </c>
      <c r="R522" s="2" t="inlineStr"/>
    </row>
    <row r="523" ht="15" customHeight="1">
      <c r="A523" t="inlineStr">
        <is>
          <t>A 58318-2021</t>
        </is>
      </c>
      <c r="B523" s="1" t="n">
        <v>44488</v>
      </c>
      <c r="C523" s="1" t="n">
        <v>45575</v>
      </c>
      <c r="D523" t="inlineStr">
        <is>
          <t>KALMAR LÄN</t>
        </is>
      </c>
      <c r="E523" t="inlineStr">
        <is>
          <t>VIMMERBY</t>
        </is>
      </c>
      <c r="G523" t="n">
        <v>4</v>
      </c>
      <c r="H523" t="n">
        <v>0</v>
      </c>
      <c r="I523" t="n">
        <v>0</v>
      </c>
      <c r="J523" t="n">
        <v>0</v>
      </c>
      <c r="K523" t="n">
        <v>0</v>
      </c>
      <c r="L523" t="n">
        <v>0</v>
      </c>
      <c r="M523" t="n">
        <v>0</v>
      </c>
      <c r="N523" t="n">
        <v>0</v>
      </c>
      <c r="O523" t="n">
        <v>0</v>
      </c>
      <c r="P523" t="n">
        <v>0</v>
      </c>
      <c r="Q523" t="n">
        <v>0</v>
      </c>
      <c r="R523" s="2" t="inlineStr"/>
    </row>
    <row r="524" ht="15" customHeight="1">
      <c r="A524" t="inlineStr">
        <is>
          <t>A 59070-2021</t>
        </is>
      </c>
      <c r="B524" s="1" t="n">
        <v>44490</v>
      </c>
      <c r="C524" s="1" t="n">
        <v>45575</v>
      </c>
      <c r="D524" t="inlineStr">
        <is>
          <t>KALMAR LÄN</t>
        </is>
      </c>
      <c r="E524" t="inlineStr">
        <is>
          <t>VIMMERBY</t>
        </is>
      </c>
      <c r="G524" t="n">
        <v>1.7</v>
      </c>
      <c r="H524" t="n">
        <v>0</v>
      </c>
      <c r="I524" t="n">
        <v>0</v>
      </c>
      <c r="J524" t="n">
        <v>0</v>
      </c>
      <c r="K524" t="n">
        <v>0</v>
      </c>
      <c r="L524" t="n">
        <v>0</v>
      </c>
      <c r="M524" t="n">
        <v>0</v>
      </c>
      <c r="N524" t="n">
        <v>0</v>
      </c>
      <c r="O524" t="n">
        <v>0</v>
      </c>
      <c r="P524" t="n">
        <v>0</v>
      </c>
      <c r="Q524" t="n">
        <v>0</v>
      </c>
      <c r="R524" s="2" t="inlineStr"/>
    </row>
    <row r="525" ht="15" customHeight="1">
      <c r="A525" t="inlineStr">
        <is>
          <t>A 59781-2021</t>
        </is>
      </c>
      <c r="B525" s="1" t="n">
        <v>44494</v>
      </c>
      <c r="C525" s="1" t="n">
        <v>45575</v>
      </c>
      <c r="D525" t="inlineStr">
        <is>
          <t>KALMAR LÄN</t>
        </is>
      </c>
      <c r="E525" t="inlineStr">
        <is>
          <t>VIMMERBY</t>
        </is>
      </c>
      <c r="G525" t="n">
        <v>5.6</v>
      </c>
      <c r="H525" t="n">
        <v>0</v>
      </c>
      <c r="I525" t="n">
        <v>0</v>
      </c>
      <c r="J525" t="n">
        <v>0</v>
      </c>
      <c r="K525" t="n">
        <v>0</v>
      </c>
      <c r="L525" t="n">
        <v>0</v>
      </c>
      <c r="M525" t="n">
        <v>0</v>
      </c>
      <c r="N525" t="n">
        <v>0</v>
      </c>
      <c r="O525" t="n">
        <v>0</v>
      </c>
      <c r="P525" t="n">
        <v>0</v>
      </c>
      <c r="Q525" t="n">
        <v>0</v>
      </c>
      <c r="R525" s="2" t="inlineStr"/>
    </row>
    <row r="526" ht="15" customHeight="1">
      <c r="A526" t="inlineStr">
        <is>
          <t>A 59791-2021</t>
        </is>
      </c>
      <c r="B526" s="1" t="n">
        <v>44494</v>
      </c>
      <c r="C526" s="1" t="n">
        <v>45575</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60228-2021</t>
        </is>
      </c>
      <c r="B527" s="1" t="n">
        <v>44495</v>
      </c>
      <c r="C527" s="1" t="n">
        <v>45575</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60225-2021</t>
        </is>
      </c>
      <c r="B528" s="1" t="n">
        <v>44495</v>
      </c>
      <c r="C528" s="1" t="n">
        <v>45575</v>
      </c>
      <c r="D528" t="inlineStr">
        <is>
          <t>KALMAR LÄN</t>
        </is>
      </c>
      <c r="E528" t="inlineStr">
        <is>
          <t>VIMMERBY</t>
        </is>
      </c>
      <c r="G528" t="n">
        <v>2.1</v>
      </c>
      <c r="H528" t="n">
        <v>0</v>
      </c>
      <c r="I528" t="n">
        <v>0</v>
      </c>
      <c r="J528" t="n">
        <v>0</v>
      </c>
      <c r="K528" t="n">
        <v>0</v>
      </c>
      <c r="L528" t="n">
        <v>0</v>
      </c>
      <c r="M528" t="n">
        <v>0</v>
      </c>
      <c r="N528" t="n">
        <v>0</v>
      </c>
      <c r="O528" t="n">
        <v>0</v>
      </c>
      <c r="P528" t="n">
        <v>0</v>
      </c>
      <c r="Q528" t="n">
        <v>0</v>
      </c>
      <c r="R528" s="2" t="inlineStr"/>
    </row>
    <row r="529" ht="15" customHeight="1">
      <c r="A529" t="inlineStr">
        <is>
          <t>A 60994-2021</t>
        </is>
      </c>
      <c r="B529" s="1" t="n">
        <v>44497</v>
      </c>
      <c r="C529" s="1" t="n">
        <v>45575</v>
      </c>
      <c r="D529" t="inlineStr">
        <is>
          <t>KALMAR LÄN</t>
        </is>
      </c>
      <c r="E529" t="inlineStr">
        <is>
          <t>VIMMERBY</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61939-2021</t>
        </is>
      </c>
      <c r="B530" s="1" t="n">
        <v>44502</v>
      </c>
      <c r="C530" s="1" t="n">
        <v>45575</v>
      </c>
      <c r="D530" t="inlineStr">
        <is>
          <t>KALMAR LÄN</t>
        </is>
      </c>
      <c r="E530" t="inlineStr">
        <is>
          <t>VIMMERBY</t>
        </is>
      </c>
      <c r="G530" t="n">
        <v>2.7</v>
      </c>
      <c r="H530" t="n">
        <v>0</v>
      </c>
      <c r="I530" t="n">
        <v>0</v>
      </c>
      <c r="J530" t="n">
        <v>0</v>
      </c>
      <c r="K530" t="n">
        <v>0</v>
      </c>
      <c r="L530" t="n">
        <v>0</v>
      </c>
      <c r="M530" t="n">
        <v>0</v>
      </c>
      <c r="N530" t="n">
        <v>0</v>
      </c>
      <c r="O530" t="n">
        <v>0</v>
      </c>
      <c r="P530" t="n">
        <v>0</v>
      </c>
      <c r="Q530" t="n">
        <v>0</v>
      </c>
      <c r="R530" s="2" t="inlineStr"/>
    </row>
    <row r="531" ht="15" customHeight="1">
      <c r="A531" t="inlineStr">
        <is>
          <t>A 63244-2021</t>
        </is>
      </c>
      <c r="B531" s="1" t="n">
        <v>44508</v>
      </c>
      <c r="C531" s="1" t="n">
        <v>45575</v>
      </c>
      <c r="D531" t="inlineStr">
        <is>
          <t>KALMAR LÄN</t>
        </is>
      </c>
      <c r="E531" t="inlineStr">
        <is>
          <t>VIMMERBY</t>
        </is>
      </c>
      <c r="F531" t="inlineStr">
        <is>
          <t>Övriga statliga verk och myndigheter</t>
        </is>
      </c>
      <c r="G531" t="n">
        <v>0.6</v>
      </c>
      <c r="H531" t="n">
        <v>0</v>
      </c>
      <c r="I531" t="n">
        <v>0</v>
      </c>
      <c r="J531" t="n">
        <v>0</v>
      </c>
      <c r="K531" t="n">
        <v>0</v>
      </c>
      <c r="L531" t="n">
        <v>0</v>
      </c>
      <c r="M531" t="n">
        <v>0</v>
      </c>
      <c r="N531" t="n">
        <v>0</v>
      </c>
      <c r="O531" t="n">
        <v>0</v>
      </c>
      <c r="P531" t="n">
        <v>0</v>
      </c>
      <c r="Q531" t="n">
        <v>0</v>
      </c>
      <c r="R531" s="2" t="inlineStr"/>
    </row>
    <row r="532" ht="15" customHeight="1">
      <c r="A532" t="inlineStr">
        <is>
          <t>A 63926-2021</t>
        </is>
      </c>
      <c r="B532" s="1" t="n">
        <v>44509</v>
      </c>
      <c r="C532" s="1" t="n">
        <v>45575</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64143-2021</t>
        </is>
      </c>
      <c r="B533" s="1" t="n">
        <v>44510</v>
      </c>
      <c r="C533" s="1" t="n">
        <v>45575</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64203-2021</t>
        </is>
      </c>
      <c r="B534" s="1" t="n">
        <v>44510</v>
      </c>
      <c r="C534" s="1" t="n">
        <v>45575</v>
      </c>
      <c r="D534" t="inlineStr">
        <is>
          <t>KALMAR LÄN</t>
        </is>
      </c>
      <c r="E534" t="inlineStr">
        <is>
          <t>VIMMERBY</t>
        </is>
      </c>
      <c r="F534" t="inlineStr">
        <is>
          <t>Övriga Aktiebolag</t>
        </is>
      </c>
      <c r="G534" t="n">
        <v>5.4</v>
      </c>
      <c r="H534" t="n">
        <v>0</v>
      </c>
      <c r="I534" t="n">
        <v>0</v>
      </c>
      <c r="J534" t="n">
        <v>0</v>
      </c>
      <c r="K534" t="n">
        <v>0</v>
      </c>
      <c r="L534" t="n">
        <v>0</v>
      </c>
      <c r="M534" t="n">
        <v>0</v>
      </c>
      <c r="N534" t="n">
        <v>0</v>
      </c>
      <c r="O534" t="n">
        <v>0</v>
      </c>
      <c r="P534" t="n">
        <v>0</v>
      </c>
      <c r="Q534" t="n">
        <v>0</v>
      </c>
      <c r="R534" s="2" t="inlineStr"/>
    </row>
    <row r="535" ht="15" customHeight="1">
      <c r="A535" t="inlineStr">
        <is>
          <t>A 64923-2021</t>
        </is>
      </c>
      <c r="B535" s="1" t="n">
        <v>44512</v>
      </c>
      <c r="C535" s="1" t="n">
        <v>45575</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65670-2021</t>
        </is>
      </c>
      <c r="B536" s="1" t="n">
        <v>44516</v>
      </c>
      <c r="C536" s="1" t="n">
        <v>45575</v>
      </c>
      <c r="D536" t="inlineStr">
        <is>
          <t>KALMAR LÄN</t>
        </is>
      </c>
      <c r="E536" t="inlineStr">
        <is>
          <t>VIMMERBY</t>
        </is>
      </c>
      <c r="G536" t="n">
        <v>1.9</v>
      </c>
      <c r="H536" t="n">
        <v>0</v>
      </c>
      <c r="I536" t="n">
        <v>0</v>
      </c>
      <c r="J536" t="n">
        <v>0</v>
      </c>
      <c r="K536" t="n">
        <v>0</v>
      </c>
      <c r="L536" t="n">
        <v>0</v>
      </c>
      <c r="M536" t="n">
        <v>0</v>
      </c>
      <c r="N536" t="n">
        <v>0</v>
      </c>
      <c r="O536" t="n">
        <v>0</v>
      </c>
      <c r="P536" t="n">
        <v>0</v>
      </c>
      <c r="Q536" t="n">
        <v>0</v>
      </c>
      <c r="R536" s="2" t="inlineStr"/>
    </row>
    <row r="537" ht="15" customHeight="1">
      <c r="A537" t="inlineStr">
        <is>
          <t>A 65864-2021</t>
        </is>
      </c>
      <c r="B537" s="1" t="n">
        <v>44517</v>
      </c>
      <c r="C537" s="1" t="n">
        <v>45575</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65887-2021</t>
        </is>
      </c>
      <c r="B538" s="1" t="n">
        <v>44517</v>
      </c>
      <c r="C538" s="1" t="n">
        <v>45575</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66022-2021</t>
        </is>
      </c>
      <c r="B539" s="1" t="n">
        <v>44517</v>
      </c>
      <c r="C539" s="1" t="n">
        <v>45575</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67952-2021</t>
        </is>
      </c>
      <c r="B540" s="1" t="n">
        <v>44525</v>
      </c>
      <c r="C540" s="1" t="n">
        <v>45575</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67983-2021</t>
        </is>
      </c>
      <c r="B541" s="1" t="n">
        <v>44525</v>
      </c>
      <c r="C541" s="1" t="n">
        <v>45575</v>
      </c>
      <c r="D541" t="inlineStr">
        <is>
          <t>KALMAR LÄN</t>
        </is>
      </c>
      <c r="E541" t="inlineStr">
        <is>
          <t>VIMMERBY</t>
        </is>
      </c>
      <c r="G541" t="n">
        <v>6.1</v>
      </c>
      <c r="H541" t="n">
        <v>0</v>
      </c>
      <c r="I541" t="n">
        <v>0</v>
      </c>
      <c r="J541" t="n">
        <v>0</v>
      </c>
      <c r="K541" t="n">
        <v>0</v>
      </c>
      <c r="L541" t="n">
        <v>0</v>
      </c>
      <c r="M541" t="n">
        <v>0</v>
      </c>
      <c r="N541" t="n">
        <v>0</v>
      </c>
      <c r="O541" t="n">
        <v>0</v>
      </c>
      <c r="P541" t="n">
        <v>0</v>
      </c>
      <c r="Q541" t="n">
        <v>0</v>
      </c>
      <c r="R541" s="2" t="inlineStr"/>
    </row>
    <row r="542" ht="15" customHeight="1">
      <c r="A542" t="inlineStr">
        <is>
          <t>A 68426-2021</t>
        </is>
      </c>
      <c r="B542" s="1" t="n">
        <v>44529</v>
      </c>
      <c r="C542" s="1" t="n">
        <v>45575</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68840-2021</t>
        </is>
      </c>
      <c r="B543" s="1" t="n">
        <v>44530</v>
      </c>
      <c r="C543" s="1" t="n">
        <v>45575</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71775-2021</t>
        </is>
      </c>
      <c r="B544" s="1" t="n">
        <v>44539</v>
      </c>
      <c r="C544" s="1" t="n">
        <v>45575</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71793-2021</t>
        </is>
      </c>
      <c r="B545" s="1" t="n">
        <v>44539</v>
      </c>
      <c r="C545" s="1" t="n">
        <v>45575</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72067-2021</t>
        </is>
      </c>
      <c r="B546" s="1" t="n">
        <v>44540</v>
      </c>
      <c r="C546" s="1" t="n">
        <v>45575</v>
      </c>
      <c r="D546" t="inlineStr">
        <is>
          <t>KALMAR LÄN</t>
        </is>
      </c>
      <c r="E546" t="inlineStr">
        <is>
          <t>VIMMERBY</t>
        </is>
      </c>
      <c r="G546" t="n">
        <v>1.6</v>
      </c>
      <c r="H546" t="n">
        <v>0</v>
      </c>
      <c r="I546" t="n">
        <v>0</v>
      </c>
      <c r="J546" t="n">
        <v>0</v>
      </c>
      <c r="K546" t="n">
        <v>0</v>
      </c>
      <c r="L546" t="n">
        <v>0</v>
      </c>
      <c r="M546" t="n">
        <v>0</v>
      </c>
      <c r="N546" t="n">
        <v>0</v>
      </c>
      <c r="O546" t="n">
        <v>0</v>
      </c>
      <c r="P546" t="n">
        <v>0</v>
      </c>
      <c r="Q546" t="n">
        <v>0</v>
      </c>
      <c r="R546" s="2" t="inlineStr"/>
    </row>
    <row r="547" ht="15" customHeight="1">
      <c r="A547" t="inlineStr">
        <is>
          <t>A 71631-2021</t>
        </is>
      </c>
      <c r="B547" s="1" t="n">
        <v>44542</v>
      </c>
      <c r="C547" s="1" t="n">
        <v>45575</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71626-2021</t>
        </is>
      </c>
      <c r="B548" s="1" t="n">
        <v>44542</v>
      </c>
      <c r="C548" s="1" t="n">
        <v>45575</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72701-2021</t>
        </is>
      </c>
      <c r="B549" s="1" t="n">
        <v>44546</v>
      </c>
      <c r="C549" s="1" t="n">
        <v>45575</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73938-2021</t>
        </is>
      </c>
      <c r="B550" s="1" t="n">
        <v>44553</v>
      </c>
      <c r="C550" s="1" t="n">
        <v>45575</v>
      </c>
      <c r="D550" t="inlineStr">
        <is>
          <t>KALMAR LÄN</t>
        </is>
      </c>
      <c r="E550" t="inlineStr">
        <is>
          <t>VIMMERBY</t>
        </is>
      </c>
      <c r="G550" t="n">
        <v>3.2</v>
      </c>
      <c r="H550" t="n">
        <v>0</v>
      </c>
      <c r="I550" t="n">
        <v>0</v>
      </c>
      <c r="J550" t="n">
        <v>0</v>
      </c>
      <c r="K550" t="n">
        <v>0</v>
      </c>
      <c r="L550" t="n">
        <v>0</v>
      </c>
      <c r="M550" t="n">
        <v>0</v>
      </c>
      <c r="N550" t="n">
        <v>0</v>
      </c>
      <c r="O550" t="n">
        <v>0</v>
      </c>
      <c r="P550" t="n">
        <v>0</v>
      </c>
      <c r="Q550" t="n">
        <v>0</v>
      </c>
      <c r="R550" s="2" t="inlineStr"/>
    </row>
    <row r="551" ht="15" customHeight="1">
      <c r="A551" t="inlineStr">
        <is>
          <t>A 172-2022</t>
        </is>
      </c>
      <c r="B551" s="1" t="n">
        <v>44564</v>
      </c>
      <c r="C551" s="1" t="n">
        <v>45575</v>
      </c>
      <c r="D551" t="inlineStr">
        <is>
          <t>KALMAR LÄN</t>
        </is>
      </c>
      <c r="E551" t="inlineStr">
        <is>
          <t>VIMMERBY</t>
        </is>
      </c>
      <c r="G551" t="n">
        <v>2.1</v>
      </c>
      <c r="H551" t="n">
        <v>0</v>
      </c>
      <c r="I551" t="n">
        <v>0</v>
      </c>
      <c r="J551" t="n">
        <v>0</v>
      </c>
      <c r="K551" t="n">
        <v>0</v>
      </c>
      <c r="L551" t="n">
        <v>0</v>
      </c>
      <c r="M551" t="n">
        <v>0</v>
      </c>
      <c r="N551" t="n">
        <v>0</v>
      </c>
      <c r="O551" t="n">
        <v>0</v>
      </c>
      <c r="P551" t="n">
        <v>0</v>
      </c>
      <c r="Q551" t="n">
        <v>0</v>
      </c>
      <c r="R551" s="2" t="inlineStr"/>
    </row>
    <row r="552" ht="15" customHeight="1">
      <c r="A552" t="inlineStr">
        <is>
          <t>A 165-2022</t>
        </is>
      </c>
      <c r="B552" s="1" t="n">
        <v>44564</v>
      </c>
      <c r="C552" s="1" t="n">
        <v>45575</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529-2022</t>
        </is>
      </c>
      <c r="B553" s="1" t="n">
        <v>44566</v>
      </c>
      <c r="C553" s="1" t="n">
        <v>45575</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1627-2022</t>
        </is>
      </c>
      <c r="B554" s="1" t="n">
        <v>44573</v>
      </c>
      <c r="C554" s="1" t="n">
        <v>45575</v>
      </c>
      <c r="D554" t="inlineStr">
        <is>
          <t>KALMAR LÄN</t>
        </is>
      </c>
      <c r="E554" t="inlineStr">
        <is>
          <t>VIMMERBY</t>
        </is>
      </c>
      <c r="G554" t="n">
        <v>2.3</v>
      </c>
      <c r="H554" t="n">
        <v>0</v>
      </c>
      <c r="I554" t="n">
        <v>0</v>
      </c>
      <c r="J554" t="n">
        <v>0</v>
      </c>
      <c r="K554" t="n">
        <v>0</v>
      </c>
      <c r="L554" t="n">
        <v>0</v>
      </c>
      <c r="M554" t="n">
        <v>0</v>
      </c>
      <c r="N554" t="n">
        <v>0</v>
      </c>
      <c r="O554" t="n">
        <v>0</v>
      </c>
      <c r="P554" t="n">
        <v>0</v>
      </c>
      <c r="Q554" t="n">
        <v>0</v>
      </c>
      <c r="R554" s="2" t="inlineStr"/>
    </row>
    <row r="555" ht="15" customHeight="1">
      <c r="A555" t="inlineStr">
        <is>
          <t>A 1838-2022</t>
        </is>
      </c>
      <c r="B555" s="1" t="n">
        <v>44574</v>
      </c>
      <c r="C555" s="1" t="n">
        <v>45575</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2069-2022</t>
        </is>
      </c>
      <c r="B556" s="1" t="n">
        <v>44575</v>
      </c>
      <c r="C556" s="1" t="n">
        <v>45575</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2121-2022</t>
        </is>
      </c>
      <c r="B557" s="1" t="n">
        <v>44578</v>
      </c>
      <c r="C557" s="1" t="n">
        <v>45575</v>
      </c>
      <c r="D557" t="inlineStr">
        <is>
          <t>KALMAR LÄN</t>
        </is>
      </c>
      <c r="E557" t="inlineStr">
        <is>
          <t>VIMMERBY</t>
        </is>
      </c>
      <c r="G557" t="n">
        <v>2</v>
      </c>
      <c r="H557" t="n">
        <v>0</v>
      </c>
      <c r="I557" t="n">
        <v>0</v>
      </c>
      <c r="J557" t="n">
        <v>0</v>
      </c>
      <c r="K557" t="n">
        <v>0</v>
      </c>
      <c r="L557" t="n">
        <v>0</v>
      </c>
      <c r="M557" t="n">
        <v>0</v>
      </c>
      <c r="N557" t="n">
        <v>0</v>
      </c>
      <c r="O557" t="n">
        <v>0</v>
      </c>
      <c r="P557" t="n">
        <v>0</v>
      </c>
      <c r="Q557" t="n">
        <v>0</v>
      </c>
      <c r="R557" s="2" t="inlineStr"/>
    </row>
    <row r="558" ht="15" customHeight="1">
      <c r="A558" t="inlineStr">
        <is>
          <t>A 2196-2022</t>
        </is>
      </c>
      <c r="B558" s="1" t="n">
        <v>44578</v>
      </c>
      <c r="C558" s="1" t="n">
        <v>45575</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2183-2022</t>
        </is>
      </c>
      <c r="B559" s="1" t="n">
        <v>44578</v>
      </c>
      <c r="C559" s="1" t="n">
        <v>45575</v>
      </c>
      <c r="D559" t="inlineStr">
        <is>
          <t>KALMAR LÄN</t>
        </is>
      </c>
      <c r="E559" t="inlineStr">
        <is>
          <t>VIMMERBY</t>
        </is>
      </c>
      <c r="G559" t="n">
        <v>4.8</v>
      </c>
      <c r="H559" t="n">
        <v>0</v>
      </c>
      <c r="I559" t="n">
        <v>0</v>
      </c>
      <c r="J559" t="n">
        <v>0</v>
      </c>
      <c r="K559" t="n">
        <v>0</v>
      </c>
      <c r="L559" t="n">
        <v>0</v>
      </c>
      <c r="M559" t="n">
        <v>0</v>
      </c>
      <c r="N559" t="n">
        <v>0</v>
      </c>
      <c r="O559" t="n">
        <v>0</v>
      </c>
      <c r="P559" t="n">
        <v>0</v>
      </c>
      <c r="Q559" t="n">
        <v>0</v>
      </c>
      <c r="R559" s="2" t="inlineStr"/>
    </row>
    <row r="560" ht="15" customHeight="1">
      <c r="A560" t="inlineStr">
        <is>
          <t>A 2260-2022</t>
        </is>
      </c>
      <c r="B560" s="1" t="n">
        <v>44578</v>
      </c>
      <c r="C560" s="1" t="n">
        <v>45575</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2411-2022</t>
        </is>
      </c>
      <c r="B561" s="1" t="n">
        <v>44579</v>
      </c>
      <c r="C561" s="1" t="n">
        <v>45575</v>
      </c>
      <c r="D561" t="inlineStr">
        <is>
          <t>KALMAR LÄN</t>
        </is>
      </c>
      <c r="E561" t="inlineStr">
        <is>
          <t>VIMMERBY</t>
        </is>
      </c>
      <c r="G561" t="n">
        <v>2.6</v>
      </c>
      <c r="H561" t="n">
        <v>0</v>
      </c>
      <c r="I561" t="n">
        <v>0</v>
      </c>
      <c r="J561" t="n">
        <v>0</v>
      </c>
      <c r="K561" t="n">
        <v>0</v>
      </c>
      <c r="L561" t="n">
        <v>0</v>
      </c>
      <c r="M561" t="n">
        <v>0</v>
      </c>
      <c r="N561" t="n">
        <v>0</v>
      </c>
      <c r="O561" t="n">
        <v>0</v>
      </c>
      <c r="P561" t="n">
        <v>0</v>
      </c>
      <c r="Q561" t="n">
        <v>0</v>
      </c>
      <c r="R561" s="2" t="inlineStr"/>
    </row>
    <row r="562" ht="15" customHeight="1">
      <c r="A562" t="inlineStr">
        <is>
          <t>A 2462-2022</t>
        </is>
      </c>
      <c r="B562" s="1" t="n">
        <v>44579</v>
      </c>
      <c r="C562" s="1" t="n">
        <v>45575</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3425-2022</t>
        </is>
      </c>
      <c r="B563" s="1" t="n">
        <v>44585</v>
      </c>
      <c r="C563" s="1" t="n">
        <v>45575</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3423-2022</t>
        </is>
      </c>
      <c r="B564" s="1" t="n">
        <v>44585</v>
      </c>
      <c r="C564" s="1" t="n">
        <v>45575</v>
      </c>
      <c r="D564" t="inlineStr">
        <is>
          <t>KALMAR LÄN</t>
        </is>
      </c>
      <c r="E564" t="inlineStr">
        <is>
          <t>VIMMERBY</t>
        </is>
      </c>
      <c r="G564" t="n">
        <v>1.7</v>
      </c>
      <c r="H564" t="n">
        <v>0</v>
      </c>
      <c r="I564" t="n">
        <v>0</v>
      </c>
      <c r="J564" t="n">
        <v>0</v>
      </c>
      <c r="K564" t="n">
        <v>0</v>
      </c>
      <c r="L564" t="n">
        <v>0</v>
      </c>
      <c r="M564" t="n">
        <v>0</v>
      </c>
      <c r="N564" t="n">
        <v>0</v>
      </c>
      <c r="O564" t="n">
        <v>0</v>
      </c>
      <c r="P564" t="n">
        <v>0</v>
      </c>
      <c r="Q564" t="n">
        <v>0</v>
      </c>
      <c r="R564" s="2" t="inlineStr"/>
    </row>
    <row r="565" ht="15" customHeight="1">
      <c r="A565" t="inlineStr">
        <is>
          <t>A 3426-2022</t>
        </is>
      </c>
      <c r="B565" s="1" t="n">
        <v>44585</v>
      </c>
      <c r="C565" s="1" t="n">
        <v>45575</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3816-2022</t>
        </is>
      </c>
      <c r="B566" s="1" t="n">
        <v>44587</v>
      </c>
      <c r="C566" s="1" t="n">
        <v>45575</v>
      </c>
      <c r="D566" t="inlineStr">
        <is>
          <t>KALMAR LÄN</t>
        </is>
      </c>
      <c r="E566" t="inlineStr">
        <is>
          <t>VIMMERBY</t>
        </is>
      </c>
      <c r="G566" t="n">
        <v>1.2</v>
      </c>
      <c r="H566" t="n">
        <v>0</v>
      </c>
      <c r="I566" t="n">
        <v>0</v>
      </c>
      <c r="J566" t="n">
        <v>0</v>
      </c>
      <c r="K566" t="n">
        <v>0</v>
      </c>
      <c r="L566" t="n">
        <v>0</v>
      </c>
      <c r="M566" t="n">
        <v>0</v>
      </c>
      <c r="N566" t="n">
        <v>0</v>
      </c>
      <c r="O566" t="n">
        <v>0</v>
      </c>
      <c r="P566" t="n">
        <v>0</v>
      </c>
      <c r="Q566" t="n">
        <v>0</v>
      </c>
      <c r="R566" s="2" t="inlineStr"/>
    </row>
    <row r="567" ht="15" customHeight="1">
      <c r="A567" t="inlineStr">
        <is>
          <t>A 3902-2022</t>
        </is>
      </c>
      <c r="B567" s="1" t="n">
        <v>44587</v>
      </c>
      <c r="C567" s="1" t="n">
        <v>45575</v>
      </c>
      <c r="D567" t="inlineStr">
        <is>
          <t>KALMAR LÄN</t>
        </is>
      </c>
      <c r="E567" t="inlineStr">
        <is>
          <t>VIMMERBY</t>
        </is>
      </c>
      <c r="G567" t="n">
        <v>2.6</v>
      </c>
      <c r="H567" t="n">
        <v>0</v>
      </c>
      <c r="I567" t="n">
        <v>0</v>
      </c>
      <c r="J567" t="n">
        <v>0</v>
      </c>
      <c r="K567" t="n">
        <v>0</v>
      </c>
      <c r="L567" t="n">
        <v>0</v>
      </c>
      <c r="M567" t="n">
        <v>0</v>
      </c>
      <c r="N567" t="n">
        <v>0</v>
      </c>
      <c r="O567" t="n">
        <v>0</v>
      </c>
      <c r="P567" t="n">
        <v>0</v>
      </c>
      <c r="Q567" t="n">
        <v>0</v>
      </c>
      <c r="R567" s="2" t="inlineStr"/>
    </row>
    <row r="568" ht="15" customHeight="1">
      <c r="A568" t="inlineStr">
        <is>
          <t>A 4046-2022</t>
        </is>
      </c>
      <c r="B568" s="1" t="n">
        <v>44588</v>
      </c>
      <c r="C568" s="1" t="n">
        <v>45575</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4054-2022</t>
        </is>
      </c>
      <c r="B569" s="1" t="n">
        <v>44588</v>
      </c>
      <c r="C569" s="1" t="n">
        <v>45575</v>
      </c>
      <c r="D569" t="inlineStr">
        <is>
          <t>KALMAR LÄN</t>
        </is>
      </c>
      <c r="E569" t="inlineStr">
        <is>
          <t>VIMMERBY</t>
        </is>
      </c>
      <c r="G569" t="n">
        <v>2</v>
      </c>
      <c r="H569" t="n">
        <v>0</v>
      </c>
      <c r="I569" t="n">
        <v>0</v>
      </c>
      <c r="J569" t="n">
        <v>0</v>
      </c>
      <c r="K569" t="n">
        <v>0</v>
      </c>
      <c r="L569" t="n">
        <v>0</v>
      </c>
      <c r="M569" t="n">
        <v>0</v>
      </c>
      <c r="N569" t="n">
        <v>0</v>
      </c>
      <c r="O569" t="n">
        <v>0</v>
      </c>
      <c r="P569" t="n">
        <v>0</v>
      </c>
      <c r="Q569" t="n">
        <v>0</v>
      </c>
      <c r="R569" s="2" t="inlineStr"/>
    </row>
    <row r="570" ht="15" customHeight="1">
      <c r="A570" t="inlineStr">
        <is>
          <t>A 4118-2022</t>
        </is>
      </c>
      <c r="B570" s="1" t="n">
        <v>44588</v>
      </c>
      <c r="C570" s="1" t="n">
        <v>45575</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4126-2022</t>
        </is>
      </c>
      <c r="B571" s="1" t="n">
        <v>44588</v>
      </c>
      <c r="C571" s="1" t="n">
        <v>45575</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4042-2022</t>
        </is>
      </c>
      <c r="B572" s="1" t="n">
        <v>44588</v>
      </c>
      <c r="C572" s="1" t="n">
        <v>45575</v>
      </c>
      <c r="D572" t="inlineStr">
        <is>
          <t>KALMAR LÄN</t>
        </is>
      </c>
      <c r="E572" t="inlineStr">
        <is>
          <t>VIMMERBY</t>
        </is>
      </c>
      <c r="G572" t="n">
        <v>4.7</v>
      </c>
      <c r="H572" t="n">
        <v>0</v>
      </c>
      <c r="I572" t="n">
        <v>0</v>
      </c>
      <c r="J572" t="n">
        <v>0</v>
      </c>
      <c r="K572" t="n">
        <v>0</v>
      </c>
      <c r="L572" t="n">
        <v>0</v>
      </c>
      <c r="M572" t="n">
        <v>0</v>
      </c>
      <c r="N572" t="n">
        <v>0</v>
      </c>
      <c r="O572" t="n">
        <v>0</v>
      </c>
      <c r="P572" t="n">
        <v>0</v>
      </c>
      <c r="Q572" t="n">
        <v>0</v>
      </c>
      <c r="R572" s="2" t="inlineStr"/>
    </row>
    <row r="573" ht="15" customHeight="1">
      <c r="A573" t="inlineStr">
        <is>
          <t>A 4076-2022</t>
        </is>
      </c>
      <c r="B573" s="1" t="n">
        <v>44588</v>
      </c>
      <c r="C573" s="1" t="n">
        <v>45575</v>
      </c>
      <c r="D573" t="inlineStr">
        <is>
          <t>KALMAR LÄN</t>
        </is>
      </c>
      <c r="E573" t="inlineStr">
        <is>
          <t>VIMMERBY</t>
        </is>
      </c>
      <c r="G573" t="n">
        <v>3</v>
      </c>
      <c r="H573" t="n">
        <v>0</v>
      </c>
      <c r="I573" t="n">
        <v>0</v>
      </c>
      <c r="J573" t="n">
        <v>0</v>
      </c>
      <c r="K573" t="n">
        <v>0</v>
      </c>
      <c r="L573" t="n">
        <v>0</v>
      </c>
      <c r="M573" t="n">
        <v>0</v>
      </c>
      <c r="N573" t="n">
        <v>0</v>
      </c>
      <c r="O573" t="n">
        <v>0</v>
      </c>
      <c r="P573" t="n">
        <v>0</v>
      </c>
      <c r="Q573" t="n">
        <v>0</v>
      </c>
      <c r="R573" s="2" t="inlineStr"/>
    </row>
    <row r="574" ht="15" customHeight="1">
      <c r="A574" t="inlineStr">
        <is>
          <t>A 4122-2022</t>
        </is>
      </c>
      <c r="B574" s="1" t="n">
        <v>44588</v>
      </c>
      <c r="C574" s="1" t="n">
        <v>45575</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4297-2022</t>
        </is>
      </c>
      <c r="B575" s="1" t="n">
        <v>44588</v>
      </c>
      <c r="C575" s="1" t="n">
        <v>45575</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4296-2022</t>
        </is>
      </c>
      <c r="B576" s="1" t="n">
        <v>44588</v>
      </c>
      <c r="C576" s="1" t="n">
        <v>45575</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4532-2022</t>
        </is>
      </c>
      <c r="B577" s="1" t="n">
        <v>44590</v>
      </c>
      <c r="C577" s="1" t="n">
        <v>45575</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5527-2022</t>
        </is>
      </c>
      <c r="B578" s="1" t="n">
        <v>44595</v>
      </c>
      <c r="C578" s="1" t="n">
        <v>45575</v>
      </c>
      <c r="D578" t="inlineStr">
        <is>
          <t>KALMAR LÄN</t>
        </is>
      </c>
      <c r="E578" t="inlineStr">
        <is>
          <t>VIMMERBY</t>
        </is>
      </c>
      <c r="G578" t="n">
        <v>3.6</v>
      </c>
      <c r="H578" t="n">
        <v>0</v>
      </c>
      <c r="I578" t="n">
        <v>0</v>
      </c>
      <c r="J578" t="n">
        <v>0</v>
      </c>
      <c r="K578" t="n">
        <v>0</v>
      </c>
      <c r="L578" t="n">
        <v>0</v>
      </c>
      <c r="M578" t="n">
        <v>0</v>
      </c>
      <c r="N578" t="n">
        <v>0</v>
      </c>
      <c r="O578" t="n">
        <v>0</v>
      </c>
      <c r="P578" t="n">
        <v>0</v>
      </c>
      <c r="Q578" t="n">
        <v>0</v>
      </c>
      <c r="R578" s="2" t="inlineStr"/>
    </row>
    <row r="579" ht="15" customHeight="1">
      <c r="A579" t="inlineStr">
        <is>
          <t>A 5545-2022</t>
        </is>
      </c>
      <c r="B579" s="1" t="n">
        <v>44595</v>
      </c>
      <c r="C579" s="1" t="n">
        <v>45575</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5618-2022</t>
        </is>
      </c>
      <c r="B580" s="1" t="n">
        <v>44595</v>
      </c>
      <c r="C580" s="1" t="n">
        <v>45575</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5864-2022</t>
        </is>
      </c>
      <c r="B581" s="1" t="n">
        <v>44596</v>
      </c>
      <c r="C581" s="1" t="n">
        <v>45575</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5925-2022</t>
        </is>
      </c>
      <c r="B582" s="1" t="n">
        <v>44598</v>
      </c>
      <c r="C582" s="1" t="n">
        <v>45575</v>
      </c>
      <c r="D582" t="inlineStr">
        <is>
          <t>KALMAR LÄN</t>
        </is>
      </c>
      <c r="E582" t="inlineStr">
        <is>
          <t>VIMMERBY</t>
        </is>
      </c>
      <c r="G582" t="n">
        <v>2.1</v>
      </c>
      <c r="H582" t="n">
        <v>0</v>
      </c>
      <c r="I582" t="n">
        <v>0</v>
      </c>
      <c r="J582" t="n">
        <v>0</v>
      </c>
      <c r="K582" t="n">
        <v>0</v>
      </c>
      <c r="L582" t="n">
        <v>0</v>
      </c>
      <c r="M582" t="n">
        <v>0</v>
      </c>
      <c r="N582" t="n">
        <v>0</v>
      </c>
      <c r="O582" t="n">
        <v>0</v>
      </c>
      <c r="P582" t="n">
        <v>0</v>
      </c>
      <c r="Q582" t="n">
        <v>0</v>
      </c>
      <c r="R582" s="2" t="inlineStr"/>
    </row>
    <row r="583" ht="15" customHeight="1">
      <c r="A583" t="inlineStr">
        <is>
          <t>A 5938-2022</t>
        </is>
      </c>
      <c r="B583" s="1" t="n">
        <v>44598</v>
      </c>
      <c r="C583" s="1" t="n">
        <v>45575</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6083-2022</t>
        </is>
      </c>
      <c r="B584" s="1" t="n">
        <v>44599</v>
      </c>
      <c r="C584" s="1" t="n">
        <v>45575</v>
      </c>
      <c r="D584" t="inlineStr">
        <is>
          <t>KALMAR LÄN</t>
        </is>
      </c>
      <c r="E584" t="inlineStr">
        <is>
          <t>VIMMERBY</t>
        </is>
      </c>
      <c r="G584" t="n">
        <v>6.6</v>
      </c>
      <c r="H584" t="n">
        <v>0</v>
      </c>
      <c r="I584" t="n">
        <v>0</v>
      </c>
      <c r="J584" t="n">
        <v>0</v>
      </c>
      <c r="K584" t="n">
        <v>0</v>
      </c>
      <c r="L584" t="n">
        <v>0</v>
      </c>
      <c r="M584" t="n">
        <v>0</v>
      </c>
      <c r="N584" t="n">
        <v>0</v>
      </c>
      <c r="O584" t="n">
        <v>0</v>
      </c>
      <c r="P584" t="n">
        <v>0</v>
      </c>
      <c r="Q584" t="n">
        <v>0</v>
      </c>
      <c r="R584" s="2" t="inlineStr"/>
    </row>
    <row r="585" ht="15" customHeight="1">
      <c r="A585" t="inlineStr">
        <is>
          <t>A 6082-2022</t>
        </is>
      </c>
      <c r="B585" s="1" t="n">
        <v>44599</v>
      </c>
      <c r="C585" s="1" t="n">
        <v>45575</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6358-2022</t>
        </is>
      </c>
      <c r="B586" s="1" t="n">
        <v>44600</v>
      </c>
      <c r="C586" s="1" t="n">
        <v>45575</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6355-2022</t>
        </is>
      </c>
      <c r="B587" s="1" t="n">
        <v>44600</v>
      </c>
      <c r="C587" s="1" t="n">
        <v>45575</v>
      </c>
      <c r="D587" t="inlineStr">
        <is>
          <t>KALMAR LÄN</t>
        </is>
      </c>
      <c r="E587" t="inlineStr">
        <is>
          <t>VIMMERBY</t>
        </is>
      </c>
      <c r="G587" t="n">
        <v>4.9</v>
      </c>
      <c r="H587" t="n">
        <v>0</v>
      </c>
      <c r="I587" t="n">
        <v>0</v>
      </c>
      <c r="J587" t="n">
        <v>0</v>
      </c>
      <c r="K587" t="n">
        <v>0</v>
      </c>
      <c r="L587" t="n">
        <v>0</v>
      </c>
      <c r="M587" t="n">
        <v>0</v>
      </c>
      <c r="N587" t="n">
        <v>0</v>
      </c>
      <c r="O587" t="n">
        <v>0</v>
      </c>
      <c r="P587" t="n">
        <v>0</v>
      </c>
      <c r="Q587" t="n">
        <v>0</v>
      </c>
      <c r="R587" s="2" t="inlineStr"/>
    </row>
    <row r="588" ht="15" customHeight="1">
      <c r="A588" t="inlineStr">
        <is>
          <t>A 7047-2022</t>
        </is>
      </c>
      <c r="B588" s="1" t="n">
        <v>44603</v>
      </c>
      <c r="C588" s="1" t="n">
        <v>45575</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7049-2022</t>
        </is>
      </c>
      <c r="B589" s="1" t="n">
        <v>44603</v>
      </c>
      <c r="C589" s="1" t="n">
        <v>45575</v>
      </c>
      <c r="D589" t="inlineStr">
        <is>
          <t>KALMAR LÄN</t>
        </is>
      </c>
      <c r="E589" t="inlineStr">
        <is>
          <t>VIMMERBY</t>
        </is>
      </c>
      <c r="G589" t="n">
        <v>2.3</v>
      </c>
      <c r="H589" t="n">
        <v>0</v>
      </c>
      <c r="I589" t="n">
        <v>0</v>
      </c>
      <c r="J589" t="n">
        <v>0</v>
      </c>
      <c r="K589" t="n">
        <v>0</v>
      </c>
      <c r="L589" t="n">
        <v>0</v>
      </c>
      <c r="M589" t="n">
        <v>0</v>
      </c>
      <c r="N589" t="n">
        <v>0</v>
      </c>
      <c r="O589" t="n">
        <v>0</v>
      </c>
      <c r="P589" t="n">
        <v>0</v>
      </c>
      <c r="Q589" t="n">
        <v>0</v>
      </c>
      <c r="R589" s="2" t="inlineStr"/>
    </row>
    <row r="590" ht="15" customHeight="1">
      <c r="A590" t="inlineStr">
        <is>
          <t>A 7167-2022</t>
        </is>
      </c>
      <c r="B590" s="1" t="n">
        <v>44604</v>
      </c>
      <c r="C590" s="1" t="n">
        <v>45575</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7643-2022</t>
        </is>
      </c>
      <c r="B591" s="1" t="n">
        <v>44607</v>
      </c>
      <c r="C591" s="1" t="n">
        <v>45575</v>
      </c>
      <c r="D591" t="inlineStr">
        <is>
          <t>KALMAR LÄN</t>
        </is>
      </c>
      <c r="E591" t="inlineStr">
        <is>
          <t>VIMMERBY</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7804-2022</t>
        </is>
      </c>
      <c r="B592" s="1" t="n">
        <v>44608</v>
      </c>
      <c r="C592" s="1" t="n">
        <v>45575</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7917-2022</t>
        </is>
      </c>
      <c r="B593" s="1" t="n">
        <v>44608</v>
      </c>
      <c r="C593" s="1" t="n">
        <v>45575</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8194-2022</t>
        </is>
      </c>
      <c r="B594" s="1" t="n">
        <v>44609</v>
      </c>
      <c r="C594" s="1" t="n">
        <v>45575</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8454-2022</t>
        </is>
      </c>
      <c r="B595" s="1" t="n">
        <v>44612</v>
      </c>
      <c r="C595" s="1" t="n">
        <v>45575</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8453-2022</t>
        </is>
      </c>
      <c r="B596" s="1" t="n">
        <v>44612</v>
      </c>
      <c r="C596" s="1" t="n">
        <v>45575</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8462-2022</t>
        </is>
      </c>
      <c r="B597" s="1" t="n">
        <v>44612</v>
      </c>
      <c r="C597" s="1" t="n">
        <v>45575</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8650-2022</t>
        </is>
      </c>
      <c r="B598" s="1" t="n">
        <v>44613</v>
      </c>
      <c r="C598" s="1" t="n">
        <v>45575</v>
      </c>
      <c r="D598" t="inlineStr">
        <is>
          <t>KALMAR LÄN</t>
        </is>
      </c>
      <c r="E598" t="inlineStr">
        <is>
          <t>VIMMERBY</t>
        </is>
      </c>
      <c r="G598" t="n">
        <v>1.4</v>
      </c>
      <c r="H598" t="n">
        <v>0</v>
      </c>
      <c r="I598" t="n">
        <v>0</v>
      </c>
      <c r="J598" t="n">
        <v>0</v>
      </c>
      <c r="K598" t="n">
        <v>0</v>
      </c>
      <c r="L598" t="n">
        <v>0</v>
      </c>
      <c r="M598" t="n">
        <v>0</v>
      </c>
      <c r="N598" t="n">
        <v>0</v>
      </c>
      <c r="O598" t="n">
        <v>0</v>
      </c>
      <c r="P598" t="n">
        <v>0</v>
      </c>
      <c r="Q598" t="n">
        <v>0</v>
      </c>
      <c r="R598" s="2" t="inlineStr"/>
    </row>
    <row r="599" ht="15" customHeight="1">
      <c r="A599" t="inlineStr">
        <is>
          <t>A 8908-2022</t>
        </is>
      </c>
      <c r="B599" s="1" t="n">
        <v>44614</v>
      </c>
      <c r="C599" s="1" t="n">
        <v>45575</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9311-2022</t>
        </is>
      </c>
      <c r="B600" s="1" t="n">
        <v>44616</v>
      </c>
      <c r="C600" s="1" t="n">
        <v>45575</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9918-2022</t>
        </is>
      </c>
      <c r="B601" s="1" t="n">
        <v>44620</v>
      </c>
      <c r="C601" s="1" t="n">
        <v>45575</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10086-2022</t>
        </is>
      </c>
      <c r="B602" s="1" t="n">
        <v>44621</v>
      </c>
      <c r="C602" s="1" t="n">
        <v>45575</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10487-2022</t>
        </is>
      </c>
      <c r="B603" s="1" t="n">
        <v>44623</v>
      </c>
      <c r="C603" s="1" t="n">
        <v>45575</v>
      </c>
      <c r="D603" t="inlineStr">
        <is>
          <t>KALMAR LÄN</t>
        </is>
      </c>
      <c r="E603" t="inlineStr">
        <is>
          <t>VIMMERBY</t>
        </is>
      </c>
      <c r="G603" t="n">
        <v>2.5</v>
      </c>
      <c r="H603" t="n">
        <v>0</v>
      </c>
      <c r="I603" t="n">
        <v>0</v>
      </c>
      <c r="J603" t="n">
        <v>0</v>
      </c>
      <c r="K603" t="n">
        <v>0</v>
      </c>
      <c r="L603" t="n">
        <v>0</v>
      </c>
      <c r="M603" t="n">
        <v>0</v>
      </c>
      <c r="N603" t="n">
        <v>0</v>
      </c>
      <c r="O603" t="n">
        <v>0</v>
      </c>
      <c r="P603" t="n">
        <v>0</v>
      </c>
      <c r="Q603" t="n">
        <v>0</v>
      </c>
      <c r="R603" s="2" t="inlineStr"/>
    </row>
    <row r="604" ht="15" customHeight="1">
      <c r="A604" t="inlineStr">
        <is>
          <t>A 11429-2022</t>
        </is>
      </c>
      <c r="B604" s="1" t="n">
        <v>44630</v>
      </c>
      <c r="C604" s="1" t="n">
        <v>45575</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11733-2022</t>
        </is>
      </c>
      <c r="B605" s="1" t="n">
        <v>44634</v>
      </c>
      <c r="C605" s="1" t="n">
        <v>45575</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11814-2022</t>
        </is>
      </c>
      <c r="B606" s="1" t="n">
        <v>44634</v>
      </c>
      <c r="C606" s="1" t="n">
        <v>45575</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11928-2022</t>
        </is>
      </c>
      <c r="B607" s="1" t="n">
        <v>44635</v>
      </c>
      <c r="C607" s="1" t="n">
        <v>45575</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11930-2022</t>
        </is>
      </c>
      <c r="B608" s="1" t="n">
        <v>44635</v>
      </c>
      <c r="C608" s="1" t="n">
        <v>45575</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12107-2022</t>
        </is>
      </c>
      <c r="B609" s="1" t="n">
        <v>44636</v>
      </c>
      <c r="C609" s="1" t="n">
        <v>45575</v>
      </c>
      <c r="D609" t="inlineStr">
        <is>
          <t>KALMAR LÄN</t>
        </is>
      </c>
      <c r="E609" t="inlineStr">
        <is>
          <t>VIMMERBY</t>
        </is>
      </c>
      <c r="G609" t="n">
        <v>1.8</v>
      </c>
      <c r="H609" t="n">
        <v>0</v>
      </c>
      <c r="I609" t="n">
        <v>0</v>
      </c>
      <c r="J609" t="n">
        <v>0</v>
      </c>
      <c r="K609" t="n">
        <v>0</v>
      </c>
      <c r="L609" t="n">
        <v>0</v>
      </c>
      <c r="M609" t="n">
        <v>0</v>
      </c>
      <c r="N609" t="n">
        <v>0</v>
      </c>
      <c r="O609" t="n">
        <v>0</v>
      </c>
      <c r="P609" t="n">
        <v>0</v>
      </c>
      <c r="Q609" t="n">
        <v>0</v>
      </c>
      <c r="R609" s="2" t="inlineStr"/>
    </row>
    <row r="610" ht="15" customHeight="1">
      <c r="A610" t="inlineStr">
        <is>
          <t>A 12510-2022</t>
        </is>
      </c>
      <c r="B610" s="1" t="n">
        <v>44638</v>
      </c>
      <c r="C610" s="1" t="n">
        <v>45575</v>
      </c>
      <c r="D610" t="inlineStr">
        <is>
          <t>KALMAR LÄN</t>
        </is>
      </c>
      <c r="E610" t="inlineStr">
        <is>
          <t>VIMMERBY</t>
        </is>
      </c>
      <c r="G610" t="n">
        <v>2.4</v>
      </c>
      <c r="H610" t="n">
        <v>0</v>
      </c>
      <c r="I610" t="n">
        <v>0</v>
      </c>
      <c r="J610" t="n">
        <v>0</v>
      </c>
      <c r="K610" t="n">
        <v>0</v>
      </c>
      <c r="L610" t="n">
        <v>0</v>
      </c>
      <c r="M610" t="n">
        <v>0</v>
      </c>
      <c r="N610" t="n">
        <v>0</v>
      </c>
      <c r="O610" t="n">
        <v>0</v>
      </c>
      <c r="P610" t="n">
        <v>0</v>
      </c>
      <c r="Q610" t="n">
        <v>0</v>
      </c>
      <c r="R610" s="2" t="inlineStr"/>
    </row>
    <row r="611" ht="15" customHeight="1">
      <c r="A611" t="inlineStr">
        <is>
          <t>A 13015-2022</t>
        </is>
      </c>
      <c r="B611" s="1" t="n">
        <v>44643</v>
      </c>
      <c r="C611" s="1" t="n">
        <v>45575</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13180-2022</t>
        </is>
      </c>
      <c r="B612" s="1" t="n">
        <v>44644</v>
      </c>
      <c r="C612" s="1" t="n">
        <v>45575</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14347-2022</t>
        </is>
      </c>
      <c r="B613" s="1" t="n">
        <v>44652</v>
      </c>
      <c r="C613" s="1" t="n">
        <v>45575</v>
      </c>
      <c r="D613" t="inlineStr">
        <is>
          <t>KALMAR LÄN</t>
        </is>
      </c>
      <c r="E613" t="inlineStr">
        <is>
          <t>VIMMERBY</t>
        </is>
      </c>
      <c r="F613" t="inlineStr">
        <is>
          <t>Sveaskog</t>
        </is>
      </c>
      <c r="G613" t="n">
        <v>7.2</v>
      </c>
      <c r="H613" t="n">
        <v>0</v>
      </c>
      <c r="I613" t="n">
        <v>0</v>
      </c>
      <c r="J613" t="n">
        <v>0</v>
      </c>
      <c r="K613" t="n">
        <v>0</v>
      </c>
      <c r="L613" t="n">
        <v>0</v>
      </c>
      <c r="M613" t="n">
        <v>0</v>
      </c>
      <c r="N613" t="n">
        <v>0</v>
      </c>
      <c r="O613" t="n">
        <v>0</v>
      </c>
      <c r="P613" t="n">
        <v>0</v>
      </c>
      <c r="Q613" t="n">
        <v>0</v>
      </c>
      <c r="R613" s="2" t="inlineStr"/>
    </row>
    <row r="614" ht="15" customHeight="1">
      <c r="A614" t="inlineStr">
        <is>
          <t>A 15146-2022</t>
        </is>
      </c>
      <c r="B614" s="1" t="n">
        <v>44658</v>
      </c>
      <c r="C614" s="1" t="n">
        <v>45575</v>
      </c>
      <c r="D614" t="inlineStr">
        <is>
          <t>KALMAR LÄN</t>
        </is>
      </c>
      <c r="E614" t="inlineStr">
        <is>
          <t>VIMMERBY</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15438-2022</t>
        </is>
      </c>
      <c r="B615" s="1" t="n">
        <v>44659</v>
      </c>
      <c r="C615" s="1" t="n">
        <v>45575</v>
      </c>
      <c r="D615" t="inlineStr">
        <is>
          <t>KALMAR LÄN</t>
        </is>
      </c>
      <c r="E615" t="inlineStr">
        <is>
          <t>VIMMERBY</t>
        </is>
      </c>
      <c r="F615" t="inlineStr">
        <is>
          <t>Kommuner</t>
        </is>
      </c>
      <c r="G615" t="n">
        <v>2.8</v>
      </c>
      <c r="H615" t="n">
        <v>0</v>
      </c>
      <c r="I615" t="n">
        <v>0</v>
      </c>
      <c r="J615" t="n">
        <v>0</v>
      </c>
      <c r="K615" t="n">
        <v>0</v>
      </c>
      <c r="L615" t="n">
        <v>0</v>
      </c>
      <c r="M615" t="n">
        <v>0</v>
      </c>
      <c r="N615" t="n">
        <v>0</v>
      </c>
      <c r="O615" t="n">
        <v>0</v>
      </c>
      <c r="P615" t="n">
        <v>0</v>
      </c>
      <c r="Q615" t="n">
        <v>0</v>
      </c>
      <c r="R615" s="2" t="inlineStr"/>
    </row>
    <row r="616" ht="15" customHeight="1">
      <c r="A616" t="inlineStr">
        <is>
          <t>A 15533-2022</t>
        </is>
      </c>
      <c r="B616" s="1" t="n">
        <v>44662</v>
      </c>
      <c r="C616" s="1" t="n">
        <v>45575</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15535-2022</t>
        </is>
      </c>
      <c r="B617" s="1" t="n">
        <v>44662</v>
      </c>
      <c r="C617" s="1" t="n">
        <v>45575</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16156-2022</t>
        </is>
      </c>
      <c r="B618" s="1" t="n">
        <v>44666</v>
      </c>
      <c r="C618" s="1" t="n">
        <v>45575</v>
      </c>
      <c r="D618" t="inlineStr">
        <is>
          <t>KALMAR LÄN</t>
        </is>
      </c>
      <c r="E618" t="inlineStr">
        <is>
          <t>VIMMERBY</t>
        </is>
      </c>
      <c r="G618" t="n">
        <v>3.4</v>
      </c>
      <c r="H618" t="n">
        <v>0</v>
      </c>
      <c r="I618" t="n">
        <v>0</v>
      </c>
      <c r="J618" t="n">
        <v>0</v>
      </c>
      <c r="K618" t="n">
        <v>0</v>
      </c>
      <c r="L618" t="n">
        <v>0</v>
      </c>
      <c r="M618" t="n">
        <v>0</v>
      </c>
      <c r="N618" t="n">
        <v>0</v>
      </c>
      <c r="O618" t="n">
        <v>0</v>
      </c>
      <c r="P618" t="n">
        <v>0</v>
      </c>
      <c r="Q618" t="n">
        <v>0</v>
      </c>
      <c r="R618" s="2" t="inlineStr"/>
    </row>
    <row r="619" ht="15" customHeight="1">
      <c r="A619" t="inlineStr">
        <is>
          <t>A 16288-2022</t>
        </is>
      </c>
      <c r="B619" s="1" t="n">
        <v>44670</v>
      </c>
      <c r="C619" s="1" t="n">
        <v>45575</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16283-2022</t>
        </is>
      </c>
      <c r="B620" s="1" t="n">
        <v>44670</v>
      </c>
      <c r="C620" s="1" t="n">
        <v>45575</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16290-2022</t>
        </is>
      </c>
      <c r="B621" s="1" t="n">
        <v>44670</v>
      </c>
      <c r="C621" s="1" t="n">
        <v>45575</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17029-2022</t>
        </is>
      </c>
      <c r="B622" s="1" t="n">
        <v>44676</v>
      </c>
      <c r="C622" s="1" t="n">
        <v>45575</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17253-2022</t>
        </is>
      </c>
      <c r="B623" s="1" t="n">
        <v>44678</v>
      </c>
      <c r="C623" s="1" t="n">
        <v>45575</v>
      </c>
      <c r="D623" t="inlineStr">
        <is>
          <t>KALMAR LÄN</t>
        </is>
      </c>
      <c r="E623" t="inlineStr">
        <is>
          <t>VIMMERBY</t>
        </is>
      </c>
      <c r="G623" t="n">
        <v>1.9</v>
      </c>
      <c r="H623" t="n">
        <v>0</v>
      </c>
      <c r="I623" t="n">
        <v>0</v>
      </c>
      <c r="J623" t="n">
        <v>0</v>
      </c>
      <c r="K623" t="n">
        <v>0</v>
      </c>
      <c r="L623" t="n">
        <v>0</v>
      </c>
      <c r="M623" t="n">
        <v>0</v>
      </c>
      <c r="N623" t="n">
        <v>0</v>
      </c>
      <c r="O623" t="n">
        <v>0</v>
      </c>
      <c r="P623" t="n">
        <v>0</v>
      </c>
      <c r="Q623" t="n">
        <v>0</v>
      </c>
      <c r="R623" s="2" t="inlineStr"/>
    </row>
    <row r="624" ht="15" customHeight="1">
      <c r="A624" t="inlineStr">
        <is>
          <t>A 19535-2022</t>
        </is>
      </c>
      <c r="B624" s="1" t="n">
        <v>44693</v>
      </c>
      <c r="C624" s="1" t="n">
        <v>45575</v>
      </c>
      <c r="D624" t="inlineStr">
        <is>
          <t>KALMAR LÄN</t>
        </is>
      </c>
      <c r="E624" t="inlineStr">
        <is>
          <t>VIMMERBY</t>
        </is>
      </c>
      <c r="F624" t="inlineStr">
        <is>
          <t>Sveaskog</t>
        </is>
      </c>
      <c r="G624" t="n">
        <v>7.1</v>
      </c>
      <c r="H624" t="n">
        <v>0</v>
      </c>
      <c r="I624" t="n">
        <v>0</v>
      </c>
      <c r="J624" t="n">
        <v>0</v>
      </c>
      <c r="K624" t="n">
        <v>0</v>
      </c>
      <c r="L624" t="n">
        <v>0</v>
      </c>
      <c r="M624" t="n">
        <v>0</v>
      </c>
      <c r="N624" t="n">
        <v>0</v>
      </c>
      <c r="O624" t="n">
        <v>0</v>
      </c>
      <c r="P624" t="n">
        <v>0</v>
      </c>
      <c r="Q624" t="n">
        <v>0</v>
      </c>
      <c r="R624" s="2" t="inlineStr"/>
    </row>
    <row r="625" ht="15" customHeight="1">
      <c r="A625" t="inlineStr">
        <is>
          <t>A 19537-2022</t>
        </is>
      </c>
      <c r="B625" s="1" t="n">
        <v>44693</v>
      </c>
      <c r="C625" s="1" t="n">
        <v>45575</v>
      </c>
      <c r="D625" t="inlineStr">
        <is>
          <t>KALMAR LÄN</t>
        </is>
      </c>
      <c r="E625" t="inlineStr">
        <is>
          <t>VIMMERBY</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23341-2022</t>
        </is>
      </c>
      <c r="B626" s="1" t="n">
        <v>44720</v>
      </c>
      <c r="C626" s="1" t="n">
        <v>45575</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23825-2022</t>
        </is>
      </c>
      <c r="B627" s="1" t="n">
        <v>44722</v>
      </c>
      <c r="C627" s="1" t="n">
        <v>45575</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25049-2022</t>
        </is>
      </c>
      <c r="B628" s="1" t="n">
        <v>44729</v>
      </c>
      <c r="C628" s="1" t="n">
        <v>45575</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25370-2022</t>
        </is>
      </c>
      <c r="B629" s="1" t="n">
        <v>44732</v>
      </c>
      <c r="C629" s="1" t="n">
        <v>45575</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25738-2022</t>
        </is>
      </c>
      <c r="B630" s="1" t="n">
        <v>44733</v>
      </c>
      <c r="C630" s="1" t="n">
        <v>45575</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25859-2022</t>
        </is>
      </c>
      <c r="B631" s="1" t="n">
        <v>44733</v>
      </c>
      <c r="C631" s="1" t="n">
        <v>45575</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25868-2022</t>
        </is>
      </c>
      <c r="B632" s="1" t="n">
        <v>44733</v>
      </c>
      <c r="C632" s="1" t="n">
        <v>45575</v>
      </c>
      <c r="D632" t="inlineStr">
        <is>
          <t>KALMAR LÄN</t>
        </is>
      </c>
      <c r="E632" t="inlineStr">
        <is>
          <t>VIMMERBY</t>
        </is>
      </c>
      <c r="G632" t="n">
        <v>1.7</v>
      </c>
      <c r="H632" t="n">
        <v>0</v>
      </c>
      <c r="I632" t="n">
        <v>0</v>
      </c>
      <c r="J632" t="n">
        <v>0</v>
      </c>
      <c r="K632" t="n">
        <v>0</v>
      </c>
      <c r="L632" t="n">
        <v>0</v>
      </c>
      <c r="M632" t="n">
        <v>0</v>
      </c>
      <c r="N632" t="n">
        <v>0</v>
      </c>
      <c r="O632" t="n">
        <v>0</v>
      </c>
      <c r="P632" t="n">
        <v>0</v>
      </c>
      <c r="Q632" t="n">
        <v>0</v>
      </c>
      <c r="R632" s="2" t="inlineStr"/>
    </row>
    <row r="633" ht="15" customHeight="1">
      <c r="A633" t="inlineStr">
        <is>
          <t>A 27455-2022</t>
        </is>
      </c>
      <c r="B633" s="1" t="n">
        <v>44742</v>
      </c>
      <c r="C633" s="1" t="n">
        <v>45575</v>
      </c>
      <c r="D633" t="inlineStr">
        <is>
          <t>KALMAR LÄN</t>
        </is>
      </c>
      <c r="E633" t="inlineStr">
        <is>
          <t>VIMMERBY</t>
        </is>
      </c>
      <c r="G633" t="n">
        <v>1.6</v>
      </c>
      <c r="H633" t="n">
        <v>0</v>
      </c>
      <c r="I633" t="n">
        <v>0</v>
      </c>
      <c r="J633" t="n">
        <v>0</v>
      </c>
      <c r="K633" t="n">
        <v>0</v>
      </c>
      <c r="L633" t="n">
        <v>0</v>
      </c>
      <c r="M633" t="n">
        <v>0</v>
      </c>
      <c r="N633" t="n">
        <v>0</v>
      </c>
      <c r="O633" t="n">
        <v>0</v>
      </c>
      <c r="P633" t="n">
        <v>0</v>
      </c>
      <c r="Q633" t="n">
        <v>0</v>
      </c>
      <c r="R633" s="2" t="inlineStr"/>
    </row>
    <row r="634" ht="15" customHeight="1">
      <c r="A634" t="inlineStr">
        <is>
          <t>A 27993-2022</t>
        </is>
      </c>
      <c r="B634" s="1" t="n">
        <v>44745</v>
      </c>
      <c r="C634" s="1" t="n">
        <v>45575</v>
      </c>
      <c r="D634" t="inlineStr">
        <is>
          <t>KALMAR LÄN</t>
        </is>
      </c>
      <c r="E634" t="inlineStr">
        <is>
          <t>VIMMERBY</t>
        </is>
      </c>
      <c r="G634" t="n">
        <v>2.8</v>
      </c>
      <c r="H634" t="n">
        <v>0</v>
      </c>
      <c r="I634" t="n">
        <v>0</v>
      </c>
      <c r="J634" t="n">
        <v>0</v>
      </c>
      <c r="K634" t="n">
        <v>0</v>
      </c>
      <c r="L634" t="n">
        <v>0</v>
      </c>
      <c r="M634" t="n">
        <v>0</v>
      </c>
      <c r="N634" t="n">
        <v>0</v>
      </c>
      <c r="O634" t="n">
        <v>0</v>
      </c>
      <c r="P634" t="n">
        <v>0</v>
      </c>
      <c r="Q634" t="n">
        <v>0</v>
      </c>
      <c r="R634" s="2" t="inlineStr"/>
    </row>
    <row r="635" ht="15" customHeight="1">
      <c r="A635" t="inlineStr">
        <is>
          <t>A 28034-2022</t>
        </is>
      </c>
      <c r="B635" s="1" t="n">
        <v>44746</v>
      </c>
      <c r="C635" s="1" t="n">
        <v>45575</v>
      </c>
      <c r="D635" t="inlineStr">
        <is>
          <t>KALMAR LÄN</t>
        </is>
      </c>
      <c r="E635" t="inlineStr">
        <is>
          <t>VIMMERBY</t>
        </is>
      </c>
      <c r="G635" t="n">
        <v>2</v>
      </c>
      <c r="H635" t="n">
        <v>0</v>
      </c>
      <c r="I635" t="n">
        <v>0</v>
      </c>
      <c r="J635" t="n">
        <v>0</v>
      </c>
      <c r="K635" t="n">
        <v>0</v>
      </c>
      <c r="L635" t="n">
        <v>0</v>
      </c>
      <c r="M635" t="n">
        <v>0</v>
      </c>
      <c r="N635" t="n">
        <v>0</v>
      </c>
      <c r="O635" t="n">
        <v>0</v>
      </c>
      <c r="P635" t="n">
        <v>0</v>
      </c>
      <c r="Q635" t="n">
        <v>0</v>
      </c>
      <c r="R635" s="2" t="inlineStr"/>
    </row>
    <row r="636" ht="15" customHeight="1">
      <c r="A636" t="inlineStr">
        <is>
          <t>A 28406-2022</t>
        </is>
      </c>
      <c r="B636" s="1" t="n">
        <v>44747</v>
      </c>
      <c r="C636" s="1" t="n">
        <v>45575</v>
      </c>
      <c r="D636" t="inlineStr">
        <is>
          <t>KALMAR LÄN</t>
        </is>
      </c>
      <c r="E636" t="inlineStr">
        <is>
          <t>VIMMERBY</t>
        </is>
      </c>
      <c r="G636" t="n">
        <v>3.1</v>
      </c>
      <c r="H636" t="n">
        <v>0</v>
      </c>
      <c r="I636" t="n">
        <v>0</v>
      </c>
      <c r="J636" t="n">
        <v>0</v>
      </c>
      <c r="K636" t="n">
        <v>0</v>
      </c>
      <c r="L636" t="n">
        <v>0</v>
      </c>
      <c r="M636" t="n">
        <v>0</v>
      </c>
      <c r="N636" t="n">
        <v>0</v>
      </c>
      <c r="O636" t="n">
        <v>0</v>
      </c>
      <c r="P636" t="n">
        <v>0</v>
      </c>
      <c r="Q636" t="n">
        <v>0</v>
      </c>
      <c r="R636" s="2" t="inlineStr"/>
    </row>
    <row r="637" ht="15" customHeight="1">
      <c r="A637" t="inlineStr">
        <is>
          <t>A 28646-2022</t>
        </is>
      </c>
      <c r="B637" s="1" t="n">
        <v>44748</v>
      </c>
      <c r="C637" s="1" t="n">
        <v>45575</v>
      </c>
      <c r="D637" t="inlineStr">
        <is>
          <t>KALMAR LÄN</t>
        </is>
      </c>
      <c r="E637" t="inlineStr">
        <is>
          <t>VIMMERBY</t>
        </is>
      </c>
      <c r="G637" t="n">
        <v>4.4</v>
      </c>
      <c r="H637" t="n">
        <v>0</v>
      </c>
      <c r="I637" t="n">
        <v>0</v>
      </c>
      <c r="J637" t="n">
        <v>0</v>
      </c>
      <c r="K637" t="n">
        <v>0</v>
      </c>
      <c r="L637" t="n">
        <v>0</v>
      </c>
      <c r="M637" t="n">
        <v>0</v>
      </c>
      <c r="N637" t="n">
        <v>0</v>
      </c>
      <c r="O637" t="n">
        <v>0</v>
      </c>
      <c r="P637" t="n">
        <v>0</v>
      </c>
      <c r="Q637" t="n">
        <v>0</v>
      </c>
      <c r="R637" s="2" t="inlineStr"/>
    </row>
    <row r="638" ht="15" customHeight="1">
      <c r="A638" t="inlineStr">
        <is>
          <t>A 29616-2022</t>
        </is>
      </c>
      <c r="B638" s="1" t="n">
        <v>44754</v>
      </c>
      <c r="C638" s="1" t="n">
        <v>45575</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29910-2022</t>
        </is>
      </c>
      <c r="B639" s="1" t="n">
        <v>44756</v>
      </c>
      <c r="C639" s="1" t="n">
        <v>45575</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31053-2022</t>
        </is>
      </c>
      <c r="B640" s="1" t="n">
        <v>44769</v>
      </c>
      <c r="C640" s="1" t="n">
        <v>45575</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31056-2022</t>
        </is>
      </c>
      <c r="B641" s="1" t="n">
        <v>44769</v>
      </c>
      <c r="C641" s="1" t="n">
        <v>45575</v>
      </c>
      <c r="D641" t="inlineStr">
        <is>
          <t>KALMAR LÄN</t>
        </is>
      </c>
      <c r="E641" t="inlineStr">
        <is>
          <t>VIMMERBY</t>
        </is>
      </c>
      <c r="G641" t="n">
        <v>2</v>
      </c>
      <c r="H641" t="n">
        <v>0</v>
      </c>
      <c r="I641" t="n">
        <v>0</v>
      </c>
      <c r="J641" t="n">
        <v>0</v>
      </c>
      <c r="K641" t="n">
        <v>0</v>
      </c>
      <c r="L641" t="n">
        <v>0</v>
      </c>
      <c r="M641" t="n">
        <v>0</v>
      </c>
      <c r="N641" t="n">
        <v>0</v>
      </c>
      <c r="O641" t="n">
        <v>0</v>
      </c>
      <c r="P641" t="n">
        <v>0</v>
      </c>
      <c r="Q641" t="n">
        <v>0</v>
      </c>
      <c r="R641" s="2" t="inlineStr"/>
    </row>
    <row r="642" ht="15" customHeight="1">
      <c r="A642" t="inlineStr">
        <is>
          <t>A 31533-2022</t>
        </is>
      </c>
      <c r="B642" s="1" t="n">
        <v>44774</v>
      </c>
      <c r="C642" s="1" t="n">
        <v>45575</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31824-2022</t>
        </is>
      </c>
      <c r="B643" s="1" t="n">
        <v>44776</v>
      </c>
      <c r="C643" s="1" t="n">
        <v>45575</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32835-2022</t>
        </is>
      </c>
      <c r="B644" s="1" t="n">
        <v>44784</v>
      </c>
      <c r="C644" s="1" t="n">
        <v>45575</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32919-2022</t>
        </is>
      </c>
      <c r="B645" s="1" t="n">
        <v>44784</v>
      </c>
      <c r="C645" s="1" t="n">
        <v>45575</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33051-2022</t>
        </is>
      </c>
      <c r="B646" s="1" t="n">
        <v>44785</v>
      </c>
      <c r="C646" s="1" t="n">
        <v>45575</v>
      </c>
      <c r="D646" t="inlineStr">
        <is>
          <t>KALMAR LÄN</t>
        </is>
      </c>
      <c r="E646" t="inlineStr">
        <is>
          <t>VIMMERBY</t>
        </is>
      </c>
      <c r="G646" t="n">
        <v>0.3</v>
      </c>
      <c r="H646" t="n">
        <v>0</v>
      </c>
      <c r="I646" t="n">
        <v>0</v>
      </c>
      <c r="J646" t="n">
        <v>0</v>
      </c>
      <c r="K646" t="n">
        <v>0</v>
      </c>
      <c r="L646" t="n">
        <v>0</v>
      </c>
      <c r="M646" t="n">
        <v>0</v>
      </c>
      <c r="N646" t="n">
        <v>0</v>
      </c>
      <c r="O646" t="n">
        <v>0</v>
      </c>
      <c r="P646" t="n">
        <v>0</v>
      </c>
      <c r="Q646" t="n">
        <v>0</v>
      </c>
      <c r="R646" s="2" t="inlineStr"/>
    </row>
    <row r="647" ht="15" customHeight="1">
      <c r="A647" t="inlineStr">
        <is>
          <t>A 33352-2022</t>
        </is>
      </c>
      <c r="B647" s="1" t="n">
        <v>44788</v>
      </c>
      <c r="C647" s="1" t="n">
        <v>45575</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33681-2022</t>
        </is>
      </c>
      <c r="B648" s="1" t="n">
        <v>44789</v>
      </c>
      <c r="C648" s="1" t="n">
        <v>45575</v>
      </c>
      <c r="D648" t="inlineStr">
        <is>
          <t>KALMAR LÄN</t>
        </is>
      </c>
      <c r="E648" t="inlineStr">
        <is>
          <t>VIMMERBY</t>
        </is>
      </c>
      <c r="G648" t="n">
        <v>3.2</v>
      </c>
      <c r="H648" t="n">
        <v>0</v>
      </c>
      <c r="I648" t="n">
        <v>0</v>
      </c>
      <c r="J648" t="n">
        <v>0</v>
      </c>
      <c r="K648" t="n">
        <v>0</v>
      </c>
      <c r="L648" t="n">
        <v>0</v>
      </c>
      <c r="M648" t="n">
        <v>0</v>
      </c>
      <c r="N648" t="n">
        <v>0</v>
      </c>
      <c r="O648" t="n">
        <v>0</v>
      </c>
      <c r="P648" t="n">
        <v>0</v>
      </c>
      <c r="Q648" t="n">
        <v>0</v>
      </c>
      <c r="R648" s="2" t="inlineStr"/>
    </row>
    <row r="649" ht="15" customHeight="1">
      <c r="A649" t="inlineStr">
        <is>
          <t>A 33690-2022</t>
        </is>
      </c>
      <c r="B649" s="1" t="n">
        <v>44789</v>
      </c>
      <c r="C649" s="1" t="n">
        <v>45575</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33815-2022</t>
        </is>
      </c>
      <c r="B650" s="1" t="n">
        <v>44790</v>
      </c>
      <c r="C650" s="1" t="n">
        <v>45575</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33829-2022</t>
        </is>
      </c>
      <c r="B651" s="1" t="n">
        <v>44790</v>
      </c>
      <c r="C651" s="1" t="n">
        <v>45575</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33838-2022</t>
        </is>
      </c>
      <c r="B652" s="1" t="n">
        <v>44790</v>
      </c>
      <c r="C652" s="1" t="n">
        <v>45575</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33820-2022</t>
        </is>
      </c>
      <c r="B653" s="1" t="n">
        <v>44790</v>
      </c>
      <c r="C653" s="1" t="n">
        <v>45575</v>
      </c>
      <c r="D653" t="inlineStr">
        <is>
          <t>KALMAR LÄN</t>
        </is>
      </c>
      <c r="E653" t="inlineStr">
        <is>
          <t>VIMMERBY</t>
        </is>
      </c>
      <c r="G653" t="n">
        <v>3</v>
      </c>
      <c r="H653" t="n">
        <v>0</v>
      </c>
      <c r="I653" t="n">
        <v>0</v>
      </c>
      <c r="J653" t="n">
        <v>0</v>
      </c>
      <c r="K653" t="n">
        <v>0</v>
      </c>
      <c r="L653" t="n">
        <v>0</v>
      </c>
      <c r="M653" t="n">
        <v>0</v>
      </c>
      <c r="N653" t="n">
        <v>0</v>
      </c>
      <c r="O653" t="n">
        <v>0</v>
      </c>
      <c r="P653" t="n">
        <v>0</v>
      </c>
      <c r="Q653" t="n">
        <v>0</v>
      </c>
      <c r="R653" s="2" t="inlineStr"/>
    </row>
    <row r="654" ht="15" customHeight="1">
      <c r="A654" t="inlineStr">
        <is>
          <t>A 33831-2022</t>
        </is>
      </c>
      <c r="B654" s="1" t="n">
        <v>44790</v>
      </c>
      <c r="C654" s="1" t="n">
        <v>45575</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33842-2022</t>
        </is>
      </c>
      <c r="B655" s="1" t="n">
        <v>44790</v>
      </c>
      <c r="C655" s="1" t="n">
        <v>45575</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33824-2022</t>
        </is>
      </c>
      <c r="B656" s="1" t="n">
        <v>44790</v>
      </c>
      <c r="C656" s="1" t="n">
        <v>45575</v>
      </c>
      <c r="D656" t="inlineStr">
        <is>
          <t>KALMAR LÄN</t>
        </is>
      </c>
      <c r="E656" t="inlineStr">
        <is>
          <t>VIMMERBY</t>
        </is>
      </c>
      <c r="G656" t="n">
        <v>2.3</v>
      </c>
      <c r="H656" t="n">
        <v>0</v>
      </c>
      <c r="I656" t="n">
        <v>0</v>
      </c>
      <c r="J656" t="n">
        <v>0</v>
      </c>
      <c r="K656" t="n">
        <v>0</v>
      </c>
      <c r="L656" t="n">
        <v>0</v>
      </c>
      <c r="M656" t="n">
        <v>0</v>
      </c>
      <c r="N656" t="n">
        <v>0</v>
      </c>
      <c r="O656" t="n">
        <v>0</v>
      </c>
      <c r="P656" t="n">
        <v>0</v>
      </c>
      <c r="Q656" t="n">
        <v>0</v>
      </c>
      <c r="R656" s="2" t="inlineStr"/>
    </row>
    <row r="657" ht="15" customHeight="1">
      <c r="A657" t="inlineStr">
        <is>
          <t>A 33840-2022</t>
        </is>
      </c>
      <c r="B657" s="1" t="n">
        <v>44790</v>
      </c>
      <c r="C657" s="1" t="n">
        <v>45575</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34376-2022</t>
        </is>
      </c>
      <c r="B658" s="1" t="n">
        <v>44792</v>
      </c>
      <c r="C658" s="1" t="n">
        <v>45575</v>
      </c>
      <c r="D658" t="inlineStr">
        <is>
          <t>KALMAR LÄN</t>
        </is>
      </c>
      <c r="E658" t="inlineStr">
        <is>
          <t>VIMMERBY</t>
        </is>
      </c>
      <c r="G658" t="n">
        <v>2.8</v>
      </c>
      <c r="H658" t="n">
        <v>0</v>
      </c>
      <c r="I658" t="n">
        <v>0</v>
      </c>
      <c r="J658" t="n">
        <v>0</v>
      </c>
      <c r="K658" t="n">
        <v>0</v>
      </c>
      <c r="L658" t="n">
        <v>0</v>
      </c>
      <c r="M658" t="n">
        <v>0</v>
      </c>
      <c r="N658" t="n">
        <v>0</v>
      </c>
      <c r="O658" t="n">
        <v>0</v>
      </c>
      <c r="P658" t="n">
        <v>0</v>
      </c>
      <c r="Q658" t="n">
        <v>0</v>
      </c>
      <c r="R658" s="2" t="inlineStr"/>
    </row>
    <row r="659" ht="15" customHeight="1">
      <c r="A659" t="inlineStr">
        <is>
          <t>A 34329-2022</t>
        </is>
      </c>
      <c r="B659" s="1" t="n">
        <v>44792</v>
      </c>
      <c r="C659" s="1" t="n">
        <v>45575</v>
      </c>
      <c r="D659" t="inlineStr">
        <is>
          <t>KALMAR LÄN</t>
        </is>
      </c>
      <c r="E659" t="inlineStr">
        <is>
          <t>VIMMERBY</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34597-2022</t>
        </is>
      </c>
      <c r="B660" s="1" t="n">
        <v>44795</v>
      </c>
      <c r="C660" s="1" t="n">
        <v>45575</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35429-2022</t>
        </is>
      </c>
      <c r="B661" s="1" t="n">
        <v>44798</v>
      </c>
      <c r="C661" s="1" t="n">
        <v>45575</v>
      </c>
      <c r="D661" t="inlineStr">
        <is>
          <t>KALMAR LÄN</t>
        </is>
      </c>
      <c r="E661" t="inlineStr">
        <is>
          <t>VIMMERBY</t>
        </is>
      </c>
      <c r="G661" t="n">
        <v>4.9</v>
      </c>
      <c r="H661" t="n">
        <v>0</v>
      </c>
      <c r="I661" t="n">
        <v>0</v>
      </c>
      <c r="J661" t="n">
        <v>0</v>
      </c>
      <c r="K661" t="n">
        <v>0</v>
      </c>
      <c r="L661" t="n">
        <v>0</v>
      </c>
      <c r="M661" t="n">
        <v>0</v>
      </c>
      <c r="N661" t="n">
        <v>0</v>
      </c>
      <c r="O661" t="n">
        <v>0</v>
      </c>
      <c r="P661" t="n">
        <v>0</v>
      </c>
      <c r="Q661" t="n">
        <v>0</v>
      </c>
      <c r="R661" s="2" t="inlineStr"/>
    </row>
    <row r="662" ht="15" customHeight="1">
      <c r="A662" t="inlineStr">
        <is>
          <t>A 35615-2022</t>
        </is>
      </c>
      <c r="B662" s="1" t="n">
        <v>44799</v>
      </c>
      <c r="C662" s="1" t="n">
        <v>45575</v>
      </c>
      <c r="D662" t="inlineStr">
        <is>
          <t>KALMAR LÄN</t>
        </is>
      </c>
      <c r="E662" t="inlineStr">
        <is>
          <t>VIMMERBY</t>
        </is>
      </c>
      <c r="G662" t="n">
        <v>3.8</v>
      </c>
      <c r="H662" t="n">
        <v>0</v>
      </c>
      <c r="I662" t="n">
        <v>0</v>
      </c>
      <c r="J662" t="n">
        <v>0</v>
      </c>
      <c r="K662" t="n">
        <v>0</v>
      </c>
      <c r="L662" t="n">
        <v>0</v>
      </c>
      <c r="M662" t="n">
        <v>0</v>
      </c>
      <c r="N662" t="n">
        <v>0</v>
      </c>
      <c r="O662" t="n">
        <v>0</v>
      </c>
      <c r="P662" t="n">
        <v>0</v>
      </c>
      <c r="Q662" t="n">
        <v>0</v>
      </c>
      <c r="R662" s="2" t="inlineStr"/>
    </row>
    <row r="663" ht="15" customHeight="1">
      <c r="A663" t="inlineStr">
        <is>
          <t>A 36259-2022</t>
        </is>
      </c>
      <c r="B663" s="1" t="n">
        <v>44803</v>
      </c>
      <c r="C663" s="1" t="n">
        <v>45575</v>
      </c>
      <c r="D663" t="inlineStr">
        <is>
          <t>KALMAR LÄN</t>
        </is>
      </c>
      <c r="E663" t="inlineStr">
        <is>
          <t>VIMMERBY</t>
        </is>
      </c>
      <c r="G663" t="n">
        <v>3.9</v>
      </c>
      <c r="H663" t="n">
        <v>0</v>
      </c>
      <c r="I663" t="n">
        <v>0</v>
      </c>
      <c r="J663" t="n">
        <v>0</v>
      </c>
      <c r="K663" t="n">
        <v>0</v>
      </c>
      <c r="L663" t="n">
        <v>0</v>
      </c>
      <c r="M663" t="n">
        <v>0</v>
      </c>
      <c r="N663" t="n">
        <v>0</v>
      </c>
      <c r="O663" t="n">
        <v>0</v>
      </c>
      <c r="P663" t="n">
        <v>0</v>
      </c>
      <c r="Q663" t="n">
        <v>0</v>
      </c>
      <c r="R663" s="2" t="inlineStr"/>
    </row>
    <row r="664" ht="15" customHeight="1">
      <c r="A664" t="inlineStr">
        <is>
          <t>A 36268-2022</t>
        </is>
      </c>
      <c r="B664" s="1" t="n">
        <v>44803</v>
      </c>
      <c r="C664" s="1" t="n">
        <v>45575</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36320-2022</t>
        </is>
      </c>
      <c r="B665" s="1" t="n">
        <v>44803</v>
      </c>
      <c r="C665" s="1" t="n">
        <v>45575</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39225-2022</t>
        </is>
      </c>
      <c r="B666" s="1" t="n">
        <v>44817</v>
      </c>
      <c r="C666" s="1" t="n">
        <v>45575</v>
      </c>
      <c r="D666" t="inlineStr">
        <is>
          <t>KALMAR LÄN</t>
        </is>
      </c>
      <c r="E666" t="inlineStr">
        <is>
          <t>VIMMERBY</t>
        </is>
      </c>
      <c r="G666" t="n">
        <v>2.2</v>
      </c>
      <c r="H666" t="n">
        <v>0</v>
      </c>
      <c r="I666" t="n">
        <v>0</v>
      </c>
      <c r="J666" t="n">
        <v>0</v>
      </c>
      <c r="K666" t="n">
        <v>0</v>
      </c>
      <c r="L666" t="n">
        <v>0</v>
      </c>
      <c r="M666" t="n">
        <v>0</v>
      </c>
      <c r="N666" t="n">
        <v>0</v>
      </c>
      <c r="O666" t="n">
        <v>0</v>
      </c>
      <c r="P666" t="n">
        <v>0</v>
      </c>
      <c r="Q666" t="n">
        <v>0</v>
      </c>
      <c r="R666" s="2" t="inlineStr"/>
    </row>
    <row r="667" ht="15" customHeight="1">
      <c r="A667" t="inlineStr">
        <is>
          <t>A 39042-2022</t>
        </is>
      </c>
      <c r="B667" s="1" t="n">
        <v>44817</v>
      </c>
      <c r="C667" s="1" t="n">
        <v>45575</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39959-2022</t>
        </is>
      </c>
      <c r="B668" s="1" t="n">
        <v>44819</v>
      </c>
      <c r="C668" s="1" t="n">
        <v>45575</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40095-2022</t>
        </is>
      </c>
      <c r="B669" s="1" t="n">
        <v>44820</v>
      </c>
      <c r="C669" s="1" t="n">
        <v>45575</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40026-2022</t>
        </is>
      </c>
      <c r="B670" s="1" t="n">
        <v>44820</v>
      </c>
      <c r="C670" s="1" t="n">
        <v>45575</v>
      </c>
      <c r="D670" t="inlineStr">
        <is>
          <t>KALMAR LÄN</t>
        </is>
      </c>
      <c r="E670" t="inlineStr">
        <is>
          <t>VIMMERBY</t>
        </is>
      </c>
      <c r="G670" t="n">
        <v>1.8</v>
      </c>
      <c r="H670" t="n">
        <v>0</v>
      </c>
      <c r="I670" t="n">
        <v>0</v>
      </c>
      <c r="J670" t="n">
        <v>0</v>
      </c>
      <c r="K670" t="n">
        <v>0</v>
      </c>
      <c r="L670" t="n">
        <v>0</v>
      </c>
      <c r="M670" t="n">
        <v>0</v>
      </c>
      <c r="N670" t="n">
        <v>0</v>
      </c>
      <c r="O670" t="n">
        <v>0</v>
      </c>
      <c r="P670" t="n">
        <v>0</v>
      </c>
      <c r="Q670" t="n">
        <v>0</v>
      </c>
      <c r="R670" s="2" t="inlineStr"/>
    </row>
    <row r="671" ht="15" customHeight="1">
      <c r="A671" t="inlineStr">
        <is>
          <t>A 40916-2022</t>
        </is>
      </c>
      <c r="B671" s="1" t="n">
        <v>44820</v>
      </c>
      <c r="C671" s="1" t="n">
        <v>45575</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40472-2022</t>
        </is>
      </c>
      <c r="B672" s="1" t="n">
        <v>44823</v>
      </c>
      <c r="C672" s="1" t="n">
        <v>45575</v>
      </c>
      <c r="D672" t="inlineStr">
        <is>
          <t>KALMAR LÄN</t>
        </is>
      </c>
      <c r="E672" t="inlineStr">
        <is>
          <t>VIMMERBY</t>
        </is>
      </c>
      <c r="G672" t="n">
        <v>2</v>
      </c>
      <c r="H672" t="n">
        <v>0</v>
      </c>
      <c r="I672" t="n">
        <v>0</v>
      </c>
      <c r="J672" t="n">
        <v>0</v>
      </c>
      <c r="K672" t="n">
        <v>0</v>
      </c>
      <c r="L672" t="n">
        <v>0</v>
      </c>
      <c r="M672" t="n">
        <v>0</v>
      </c>
      <c r="N672" t="n">
        <v>0</v>
      </c>
      <c r="O672" t="n">
        <v>0</v>
      </c>
      <c r="P672" t="n">
        <v>0</v>
      </c>
      <c r="Q672" t="n">
        <v>0</v>
      </c>
      <c r="R672" s="2" t="inlineStr"/>
    </row>
    <row r="673" ht="15" customHeight="1">
      <c r="A673" t="inlineStr">
        <is>
          <t>A 40728-2022</t>
        </is>
      </c>
      <c r="B673" s="1" t="n">
        <v>44824</v>
      </c>
      <c r="C673" s="1" t="n">
        <v>45575</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41056-2022</t>
        </is>
      </c>
      <c r="B674" s="1" t="n">
        <v>44824</v>
      </c>
      <c r="C674" s="1" t="n">
        <v>45575</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40929-2022</t>
        </is>
      </c>
      <c r="B675" s="1" t="n">
        <v>44825</v>
      </c>
      <c r="C675" s="1" t="n">
        <v>45575</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40927-2022</t>
        </is>
      </c>
      <c r="B676" s="1" t="n">
        <v>44825</v>
      </c>
      <c r="C676" s="1" t="n">
        <v>45575</v>
      </c>
      <c r="D676" t="inlineStr">
        <is>
          <t>KALMAR LÄN</t>
        </is>
      </c>
      <c r="E676" t="inlineStr">
        <is>
          <t>VIMMERBY</t>
        </is>
      </c>
      <c r="G676" t="n">
        <v>3.2</v>
      </c>
      <c r="H676" t="n">
        <v>0</v>
      </c>
      <c r="I676" t="n">
        <v>0</v>
      </c>
      <c r="J676" t="n">
        <v>0</v>
      </c>
      <c r="K676" t="n">
        <v>0</v>
      </c>
      <c r="L676" t="n">
        <v>0</v>
      </c>
      <c r="M676" t="n">
        <v>0</v>
      </c>
      <c r="N676" t="n">
        <v>0</v>
      </c>
      <c r="O676" t="n">
        <v>0</v>
      </c>
      <c r="P676" t="n">
        <v>0</v>
      </c>
      <c r="Q676" t="n">
        <v>0</v>
      </c>
      <c r="R676" s="2" t="inlineStr"/>
    </row>
    <row r="677" ht="15" customHeight="1">
      <c r="A677" t="inlineStr">
        <is>
          <t>A 41424-2022</t>
        </is>
      </c>
      <c r="B677" s="1" t="n">
        <v>44826</v>
      </c>
      <c r="C677" s="1" t="n">
        <v>45575</v>
      </c>
      <c r="D677" t="inlineStr">
        <is>
          <t>KALMAR LÄN</t>
        </is>
      </c>
      <c r="E677" t="inlineStr">
        <is>
          <t>VIMMERBY</t>
        </is>
      </c>
      <c r="G677" t="n">
        <v>4.8</v>
      </c>
      <c r="H677" t="n">
        <v>0</v>
      </c>
      <c r="I677" t="n">
        <v>0</v>
      </c>
      <c r="J677" t="n">
        <v>0</v>
      </c>
      <c r="K677" t="n">
        <v>0</v>
      </c>
      <c r="L677" t="n">
        <v>0</v>
      </c>
      <c r="M677" t="n">
        <v>0</v>
      </c>
      <c r="N677" t="n">
        <v>0</v>
      </c>
      <c r="O677" t="n">
        <v>0</v>
      </c>
      <c r="P677" t="n">
        <v>0</v>
      </c>
      <c r="Q677" t="n">
        <v>0</v>
      </c>
      <c r="R677" s="2" t="inlineStr"/>
    </row>
    <row r="678" ht="15" customHeight="1">
      <c r="A678" t="inlineStr">
        <is>
          <t>A 41438-2022</t>
        </is>
      </c>
      <c r="B678" s="1" t="n">
        <v>44826</v>
      </c>
      <c r="C678" s="1" t="n">
        <v>45575</v>
      </c>
      <c r="D678" t="inlineStr">
        <is>
          <t>KALMAR LÄN</t>
        </is>
      </c>
      <c r="E678" t="inlineStr">
        <is>
          <t>VIMMERBY</t>
        </is>
      </c>
      <c r="G678" t="n">
        <v>3.1</v>
      </c>
      <c r="H678" t="n">
        <v>0</v>
      </c>
      <c r="I678" t="n">
        <v>0</v>
      </c>
      <c r="J678" t="n">
        <v>0</v>
      </c>
      <c r="K678" t="n">
        <v>0</v>
      </c>
      <c r="L678" t="n">
        <v>0</v>
      </c>
      <c r="M678" t="n">
        <v>0</v>
      </c>
      <c r="N678" t="n">
        <v>0</v>
      </c>
      <c r="O678" t="n">
        <v>0</v>
      </c>
      <c r="P678" t="n">
        <v>0</v>
      </c>
      <c r="Q678" t="n">
        <v>0</v>
      </c>
      <c r="R678" s="2" t="inlineStr"/>
    </row>
    <row r="679" ht="15" customHeight="1">
      <c r="A679" t="inlineStr">
        <is>
          <t>A 42850-2022</t>
        </is>
      </c>
      <c r="B679" s="1" t="n">
        <v>44832</v>
      </c>
      <c r="C679" s="1" t="n">
        <v>45575</v>
      </c>
      <c r="D679" t="inlineStr">
        <is>
          <t>KALMAR LÄN</t>
        </is>
      </c>
      <c r="E679" t="inlineStr">
        <is>
          <t>VIMMERBY</t>
        </is>
      </c>
      <c r="G679" t="n">
        <v>5.9</v>
      </c>
      <c r="H679" t="n">
        <v>0</v>
      </c>
      <c r="I679" t="n">
        <v>0</v>
      </c>
      <c r="J679" t="n">
        <v>0</v>
      </c>
      <c r="K679" t="n">
        <v>0</v>
      </c>
      <c r="L679" t="n">
        <v>0</v>
      </c>
      <c r="M679" t="n">
        <v>0</v>
      </c>
      <c r="N679" t="n">
        <v>0</v>
      </c>
      <c r="O679" t="n">
        <v>0</v>
      </c>
      <c r="P679" t="n">
        <v>0</v>
      </c>
      <c r="Q679" t="n">
        <v>0</v>
      </c>
      <c r="R679" s="2" t="inlineStr"/>
    </row>
    <row r="680" ht="15" customHeight="1">
      <c r="A680" t="inlineStr">
        <is>
          <t>A 43038-2022</t>
        </is>
      </c>
      <c r="B680" s="1" t="n">
        <v>44833</v>
      </c>
      <c r="C680" s="1" t="n">
        <v>45575</v>
      </c>
      <c r="D680" t="inlineStr">
        <is>
          <t>KALMAR LÄN</t>
        </is>
      </c>
      <c r="E680" t="inlineStr">
        <is>
          <t>VIMMERBY</t>
        </is>
      </c>
      <c r="G680" t="n">
        <v>4.2</v>
      </c>
      <c r="H680" t="n">
        <v>0</v>
      </c>
      <c r="I680" t="n">
        <v>0</v>
      </c>
      <c r="J680" t="n">
        <v>0</v>
      </c>
      <c r="K680" t="n">
        <v>0</v>
      </c>
      <c r="L680" t="n">
        <v>0</v>
      </c>
      <c r="M680" t="n">
        <v>0</v>
      </c>
      <c r="N680" t="n">
        <v>0</v>
      </c>
      <c r="O680" t="n">
        <v>0</v>
      </c>
      <c r="P680" t="n">
        <v>0</v>
      </c>
      <c r="Q680" t="n">
        <v>0</v>
      </c>
      <c r="R680" s="2" t="inlineStr"/>
    </row>
    <row r="681" ht="15" customHeight="1">
      <c r="A681" t="inlineStr">
        <is>
          <t>A 43272-2022</t>
        </is>
      </c>
      <c r="B681" s="1" t="n">
        <v>44834</v>
      </c>
      <c r="C681" s="1" t="n">
        <v>45575</v>
      </c>
      <c r="D681" t="inlineStr">
        <is>
          <t>KALMAR LÄN</t>
        </is>
      </c>
      <c r="E681" t="inlineStr">
        <is>
          <t>VIMMERBY</t>
        </is>
      </c>
      <c r="G681" t="n">
        <v>2.5</v>
      </c>
      <c r="H681" t="n">
        <v>0</v>
      </c>
      <c r="I681" t="n">
        <v>0</v>
      </c>
      <c r="J681" t="n">
        <v>0</v>
      </c>
      <c r="K681" t="n">
        <v>0</v>
      </c>
      <c r="L681" t="n">
        <v>0</v>
      </c>
      <c r="M681" t="n">
        <v>0</v>
      </c>
      <c r="N681" t="n">
        <v>0</v>
      </c>
      <c r="O681" t="n">
        <v>0</v>
      </c>
      <c r="P681" t="n">
        <v>0</v>
      </c>
      <c r="Q681" t="n">
        <v>0</v>
      </c>
      <c r="R681" s="2" t="inlineStr"/>
    </row>
    <row r="682" ht="15" customHeight="1">
      <c r="A682" t="inlineStr">
        <is>
          <t>A 43553-2022</t>
        </is>
      </c>
      <c r="B682" s="1" t="n">
        <v>44837</v>
      </c>
      <c r="C682" s="1" t="n">
        <v>45575</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44179-2022</t>
        </is>
      </c>
      <c r="B683" s="1" t="n">
        <v>44839</v>
      </c>
      <c r="C683" s="1" t="n">
        <v>45575</v>
      </c>
      <c r="D683" t="inlineStr">
        <is>
          <t>KALMAR LÄN</t>
        </is>
      </c>
      <c r="E683" t="inlineStr">
        <is>
          <t>VIMMERBY</t>
        </is>
      </c>
      <c r="G683" t="n">
        <v>2.8</v>
      </c>
      <c r="H683" t="n">
        <v>0</v>
      </c>
      <c r="I683" t="n">
        <v>0</v>
      </c>
      <c r="J683" t="n">
        <v>0</v>
      </c>
      <c r="K683" t="n">
        <v>0</v>
      </c>
      <c r="L683" t="n">
        <v>0</v>
      </c>
      <c r="M683" t="n">
        <v>0</v>
      </c>
      <c r="N683" t="n">
        <v>0</v>
      </c>
      <c r="O683" t="n">
        <v>0</v>
      </c>
      <c r="P683" t="n">
        <v>0</v>
      </c>
      <c r="Q683" t="n">
        <v>0</v>
      </c>
      <c r="R683" s="2" t="inlineStr"/>
    </row>
    <row r="684" ht="15" customHeight="1">
      <c r="A684" t="inlineStr">
        <is>
          <t>A 44654-2022</t>
        </is>
      </c>
      <c r="B684" s="1" t="n">
        <v>44840</v>
      </c>
      <c r="C684" s="1" t="n">
        <v>45575</v>
      </c>
      <c r="D684" t="inlineStr">
        <is>
          <t>KALMAR LÄN</t>
        </is>
      </c>
      <c r="E684" t="inlineStr">
        <is>
          <t>VIMMERBY</t>
        </is>
      </c>
      <c r="G684" t="n">
        <v>3.1</v>
      </c>
      <c r="H684" t="n">
        <v>0</v>
      </c>
      <c r="I684" t="n">
        <v>0</v>
      </c>
      <c r="J684" t="n">
        <v>0</v>
      </c>
      <c r="K684" t="n">
        <v>0</v>
      </c>
      <c r="L684" t="n">
        <v>0</v>
      </c>
      <c r="M684" t="n">
        <v>0</v>
      </c>
      <c r="N684" t="n">
        <v>0</v>
      </c>
      <c r="O684" t="n">
        <v>0</v>
      </c>
      <c r="P684" t="n">
        <v>0</v>
      </c>
      <c r="Q684" t="n">
        <v>0</v>
      </c>
      <c r="R684" s="2" t="inlineStr"/>
    </row>
    <row r="685" ht="15" customHeight="1">
      <c r="A685" t="inlineStr">
        <is>
          <t>A 44651-2022</t>
        </is>
      </c>
      <c r="B685" s="1" t="n">
        <v>44840</v>
      </c>
      <c r="C685" s="1" t="n">
        <v>45575</v>
      </c>
      <c r="D685" t="inlineStr">
        <is>
          <t>KALMAR LÄN</t>
        </is>
      </c>
      <c r="E685" t="inlineStr">
        <is>
          <t>VIMMERBY</t>
        </is>
      </c>
      <c r="G685" t="n">
        <v>5.3</v>
      </c>
      <c r="H685" t="n">
        <v>0</v>
      </c>
      <c r="I685" t="n">
        <v>0</v>
      </c>
      <c r="J685" t="n">
        <v>0</v>
      </c>
      <c r="K685" t="n">
        <v>0</v>
      </c>
      <c r="L685" t="n">
        <v>0</v>
      </c>
      <c r="M685" t="n">
        <v>0</v>
      </c>
      <c r="N685" t="n">
        <v>0</v>
      </c>
      <c r="O685" t="n">
        <v>0</v>
      </c>
      <c r="P685" t="n">
        <v>0</v>
      </c>
      <c r="Q685" t="n">
        <v>0</v>
      </c>
      <c r="R685" s="2" t="inlineStr"/>
    </row>
    <row r="686" ht="15" customHeight="1">
      <c r="A686" t="inlineStr">
        <is>
          <t>A 44656-2022</t>
        </is>
      </c>
      <c r="B686" s="1" t="n">
        <v>44840</v>
      </c>
      <c r="C686" s="1" t="n">
        <v>45575</v>
      </c>
      <c r="D686" t="inlineStr">
        <is>
          <t>KALMAR LÄN</t>
        </is>
      </c>
      <c r="E686" t="inlineStr">
        <is>
          <t>VIMMERBY</t>
        </is>
      </c>
      <c r="G686" t="n">
        <v>1.7</v>
      </c>
      <c r="H686" t="n">
        <v>0</v>
      </c>
      <c r="I686" t="n">
        <v>0</v>
      </c>
      <c r="J686" t="n">
        <v>0</v>
      </c>
      <c r="K686" t="n">
        <v>0</v>
      </c>
      <c r="L686" t="n">
        <v>0</v>
      </c>
      <c r="M686" t="n">
        <v>0</v>
      </c>
      <c r="N686" t="n">
        <v>0</v>
      </c>
      <c r="O686" t="n">
        <v>0</v>
      </c>
      <c r="P686" t="n">
        <v>0</v>
      </c>
      <c r="Q686" t="n">
        <v>0</v>
      </c>
      <c r="R686" s="2" t="inlineStr"/>
    </row>
    <row r="687" ht="15" customHeight="1">
      <c r="A687" t="inlineStr">
        <is>
          <t>A 45861-2022</t>
        </is>
      </c>
      <c r="B687" s="1" t="n">
        <v>44846</v>
      </c>
      <c r="C687" s="1" t="n">
        <v>45575</v>
      </c>
      <c r="D687" t="inlineStr">
        <is>
          <t>KALMAR LÄN</t>
        </is>
      </c>
      <c r="E687" t="inlineStr">
        <is>
          <t>VIMMERBY</t>
        </is>
      </c>
      <c r="G687" t="n">
        <v>3.5</v>
      </c>
      <c r="H687" t="n">
        <v>0</v>
      </c>
      <c r="I687" t="n">
        <v>0</v>
      </c>
      <c r="J687" t="n">
        <v>0</v>
      </c>
      <c r="K687" t="n">
        <v>0</v>
      </c>
      <c r="L687" t="n">
        <v>0</v>
      </c>
      <c r="M687" t="n">
        <v>0</v>
      </c>
      <c r="N687" t="n">
        <v>0</v>
      </c>
      <c r="O687" t="n">
        <v>0</v>
      </c>
      <c r="P687" t="n">
        <v>0</v>
      </c>
      <c r="Q687" t="n">
        <v>0</v>
      </c>
      <c r="R687" s="2" t="inlineStr"/>
    </row>
    <row r="688" ht="15" customHeight="1">
      <c r="A688" t="inlineStr">
        <is>
          <t>A 45858-2022</t>
        </is>
      </c>
      <c r="B688" s="1" t="n">
        <v>44846</v>
      </c>
      <c r="C688" s="1" t="n">
        <v>45575</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46522-2022</t>
        </is>
      </c>
      <c r="B689" s="1" t="n">
        <v>44848</v>
      </c>
      <c r="C689" s="1" t="n">
        <v>45575</v>
      </c>
      <c r="D689" t="inlineStr">
        <is>
          <t>KALMAR LÄN</t>
        </is>
      </c>
      <c r="E689" t="inlineStr">
        <is>
          <t>VIMMERBY</t>
        </is>
      </c>
      <c r="G689" t="n">
        <v>1.4</v>
      </c>
      <c r="H689" t="n">
        <v>0</v>
      </c>
      <c r="I689" t="n">
        <v>0</v>
      </c>
      <c r="J689" t="n">
        <v>0</v>
      </c>
      <c r="K689" t="n">
        <v>0</v>
      </c>
      <c r="L689" t="n">
        <v>0</v>
      </c>
      <c r="M689" t="n">
        <v>0</v>
      </c>
      <c r="N689" t="n">
        <v>0</v>
      </c>
      <c r="O689" t="n">
        <v>0</v>
      </c>
      <c r="P689" t="n">
        <v>0</v>
      </c>
      <c r="Q689" t="n">
        <v>0</v>
      </c>
      <c r="R689" s="2" t="inlineStr"/>
    </row>
    <row r="690" ht="15" customHeight="1">
      <c r="A690" t="inlineStr">
        <is>
          <t>A 46964-2022</t>
        </is>
      </c>
      <c r="B690" s="1" t="n">
        <v>44852</v>
      </c>
      <c r="C690" s="1" t="n">
        <v>45575</v>
      </c>
      <c r="D690" t="inlineStr">
        <is>
          <t>KALMAR LÄN</t>
        </is>
      </c>
      <c r="E690" t="inlineStr">
        <is>
          <t>VIMMERBY</t>
        </is>
      </c>
      <c r="G690" t="n">
        <v>0.2</v>
      </c>
      <c r="H690" t="n">
        <v>0</v>
      </c>
      <c r="I690" t="n">
        <v>0</v>
      </c>
      <c r="J690" t="n">
        <v>0</v>
      </c>
      <c r="K690" t="n">
        <v>0</v>
      </c>
      <c r="L690" t="n">
        <v>0</v>
      </c>
      <c r="M690" t="n">
        <v>0</v>
      </c>
      <c r="N690" t="n">
        <v>0</v>
      </c>
      <c r="O690" t="n">
        <v>0</v>
      </c>
      <c r="P690" t="n">
        <v>0</v>
      </c>
      <c r="Q690" t="n">
        <v>0</v>
      </c>
      <c r="R690" s="2" t="inlineStr"/>
    </row>
    <row r="691" ht="15" customHeight="1">
      <c r="A691" t="inlineStr">
        <is>
          <t>A 47214-2022</t>
        </is>
      </c>
      <c r="B691" s="1" t="n">
        <v>44852</v>
      </c>
      <c r="C691" s="1" t="n">
        <v>45575</v>
      </c>
      <c r="D691" t="inlineStr">
        <is>
          <t>KALMAR LÄN</t>
        </is>
      </c>
      <c r="E691" t="inlineStr">
        <is>
          <t>VIMMERBY</t>
        </is>
      </c>
      <c r="G691" t="n">
        <v>1.9</v>
      </c>
      <c r="H691" t="n">
        <v>0</v>
      </c>
      <c r="I691" t="n">
        <v>0</v>
      </c>
      <c r="J691" t="n">
        <v>0</v>
      </c>
      <c r="K691" t="n">
        <v>0</v>
      </c>
      <c r="L691" t="n">
        <v>0</v>
      </c>
      <c r="M691" t="n">
        <v>0</v>
      </c>
      <c r="N691" t="n">
        <v>0</v>
      </c>
      <c r="O691" t="n">
        <v>0</v>
      </c>
      <c r="P691" t="n">
        <v>0</v>
      </c>
      <c r="Q691" t="n">
        <v>0</v>
      </c>
      <c r="R691" s="2" t="inlineStr"/>
    </row>
    <row r="692" ht="15" customHeight="1">
      <c r="A692" t="inlineStr">
        <is>
          <t>A 47063-2022</t>
        </is>
      </c>
      <c r="B692" s="1" t="n">
        <v>44852</v>
      </c>
      <c r="C692" s="1" t="n">
        <v>45575</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47708-2022</t>
        </is>
      </c>
      <c r="B693" s="1" t="n">
        <v>44854</v>
      </c>
      <c r="C693" s="1" t="n">
        <v>45575</v>
      </c>
      <c r="D693" t="inlineStr">
        <is>
          <t>KALMAR LÄN</t>
        </is>
      </c>
      <c r="E693" t="inlineStr">
        <is>
          <t>VIMMERBY</t>
        </is>
      </c>
      <c r="G693" t="n">
        <v>0.6</v>
      </c>
      <c r="H693" t="n">
        <v>0</v>
      </c>
      <c r="I693" t="n">
        <v>0</v>
      </c>
      <c r="J693" t="n">
        <v>0</v>
      </c>
      <c r="K693" t="n">
        <v>0</v>
      </c>
      <c r="L693" t="n">
        <v>0</v>
      </c>
      <c r="M693" t="n">
        <v>0</v>
      </c>
      <c r="N693" t="n">
        <v>0</v>
      </c>
      <c r="O693" t="n">
        <v>0</v>
      </c>
      <c r="P693" t="n">
        <v>0</v>
      </c>
      <c r="Q693" t="n">
        <v>0</v>
      </c>
      <c r="R693" s="2" t="inlineStr"/>
    </row>
    <row r="694" ht="15" customHeight="1">
      <c r="A694" t="inlineStr">
        <is>
          <t>A 47769-2022</t>
        </is>
      </c>
      <c r="B694" s="1" t="n">
        <v>44854</v>
      </c>
      <c r="C694" s="1" t="n">
        <v>45575</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48120-2022</t>
        </is>
      </c>
      <c r="B695" s="1" t="n">
        <v>44857</v>
      </c>
      <c r="C695" s="1" t="n">
        <v>45575</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49313-2022</t>
        </is>
      </c>
      <c r="B696" s="1" t="n">
        <v>44861</v>
      </c>
      <c r="C696" s="1" t="n">
        <v>45575</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49461-2022</t>
        </is>
      </c>
      <c r="B697" s="1" t="n">
        <v>44861</v>
      </c>
      <c r="C697" s="1" t="n">
        <v>45575</v>
      </c>
      <c r="D697" t="inlineStr">
        <is>
          <t>KALMAR LÄN</t>
        </is>
      </c>
      <c r="E697" t="inlineStr">
        <is>
          <t>VIMMERBY</t>
        </is>
      </c>
      <c r="G697" t="n">
        <v>3.2</v>
      </c>
      <c r="H697" t="n">
        <v>0</v>
      </c>
      <c r="I697" t="n">
        <v>0</v>
      </c>
      <c r="J697" t="n">
        <v>0</v>
      </c>
      <c r="K697" t="n">
        <v>0</v>
      </c>
      <c r="L697" t="n">
        <v>0</v>
      </c>
      <c r="M697" t="n">
        <v>0</v>
      </c>
      <c r="N697" t="n">
        <v>0</v>
      </c>
      <c r="O697" t="n">
        <v>0</v>
      </c>
      <c r="P697" t="n">
        <v>0</v>
      </c>
      <c r="Q697" t="n">
        <v>0</v>
      </c>
      <c r="R697" s="2" t="inlineStr"/>
    </row>
    <row r="698" ht="15" customHeight="1">
      <c r="A698" t="inlineStr">
        <is>
          <t>A 50809-2022</t>
        </is>
      </c>
      <c r="B698" s="1" t="n">
        <v>44862</v>
      </c>
      <c r="C698" s="1" t="n">
        <v>45575</v>
      </c>
      <c r="D698" t="inlineStr">
        <is>
          <t>KALMAR LÄN</t>
        </is>
      </c>
      <c r="E698" t="inlineStr">
        <is>
          <t>VIMMERBY</t>
        </is>
      </c>
      <c r="G698" t="n">
        <v>3.7</v>
      </c>
      <c r="H698" t="n">
        <v>0</v>
      </c>
      <c r="I698" t="n">
        <v>0</v>
      </c>
      <c r="J698" t="n">
        <v>0</v>
      </c>
      <c r="K698" t="n">
        <v>0</v>
      </c>
      <c r="L698" t="n">
        <v>0</v>
      </c>
      <c r="M698" t="n">
        <v>0</v>
      </c>
      <c r="N698" t="n">
        <v>0</v>
      </c>
      <c r="O698" t="n">
        <v>0</v>
      </c>
      <c r="P698" t="n">
        <v>0</v>
      </c>
      <c r="Q698" t="n">
        <v>0</v>
      </c>
      <c r="R698" s="2" t="inlineStr"/>
    </row>
    <row r="699" ht="15" customHeight="1">
      <c r="A699" t="inlineStr">
        <is>
          <t>A 50804-2022</t>
        </is>
      </c>
      <c r="B699" s="1" t="n">
        <v>44862</v>
      </c>
      <c r="C699" s="1" t="n">
        <v>45575</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50535-2022</t>
        </is>
      </c>
      <c r="B700" s="1" t="n">
        <v>44866</v>
      </c>
      <c r="C700" s="1" t="n">
        <v>45575</v>
      </c>
      <c r="D700" t="inlineStr">
        <is>
          <t>KALMAR LÄN</t>
        </is>
      </c>
      <c r="E700" t="inlineStr">
        <is>
          <t>VIMMERBY</t>
        </is>
      </c>
      <c r="F700" t="inlineStr">
        <is>
          <t>Övriga Aktiebolag</t>
        </is>
      </c>
      <c r="G700" t="n">
        <v>1.9</v>
      </c>
      <c r="H700" t="n">
        <v>0</v>
      </c>
      <c r="I700" t="n">
        <v>0</v>
      </c>
      <c r="J700" t="n">
        <v>0</v>
      </c>
      <c r="K700" t="n">
        <v>0</v>
      </c>
      <c r="L700" t="n">
        <v>0</v>
      </c>
      <c r="M700" t="n">
        <v>0</v>
      </c>
      <c r="N700" t="n">
        <v>0</v>
      </c>
      <c r="O700" t="n">
        <v>0</v>
      </c>
      <c r="P700" t="n">
        <v>0</v>
      </c>
      <c r="Q700" t="n">
        <v>0</v>
      </c>
      <c r="R700" s="2" t="inlineStr"/>
    </row>
    <row r="701" ht="15" customHeight="1">
      <c r="A701" t="inlineStr">
        <is>
          <t>A 50621-2022</t>
        </is>
      </c>
      <c r="B701" s="1" t="n">
        <v>44866</v>
      </c>
      <c r="C701" s="1" t="n">
        <v>45575</v>
      </c>
      <c r="D701" t="inlineStr">
        <is>
          <t>KALMAR LÄN</t>
        </is>
      </c>
      <c r="E701" t="inlineStr">
        <is>
          <t>VIMMERBY</t>
        </is>
      </c>
      <c r="F701" t="inlineStr">
        <is>
          <t>Övriga Aktiebolag</t>
        </is>
      </c>
      <c r="G701" t="n">
        <v>5.1</v>
      </c>
      <c r="H701" t="n">
        <v>0</v>
      </c>
      <c r="I701" t="n">
        <v>0</v>
      </c>
      <c r="J701" t="n">
        <v>0</v>
      </c>
      <c r="K701" t="n">
        <v>0</v>
      </c>
      <c r="L701" t="n">
        <v>0</v>
      </c>
      <c r="M701" t="n">
        <v>0</v>
      </c>
      <c r="N701" t="n">
        <v>0</v>
      </c>
      <c r="O701" t="n">
        <v>0</v>
      </c>
      <c r="P701" t="n">
        <v>0</v>
      </c>
      <c r="Q701" t="n">
        <v>0</v>
      </c>
      <c r="R701" s="2" t="inlineStr"/>
    </row>
    <row r="702" ht="15" customHeight="1">
      <c r="A702" t="inlineStr">
        <is>
          <t>A 50860-2022</t>
        </is>
      </c>
      <c r="B702" s="1" t="n">
        <v>44867</v>
      </c>
      <c r="C702" s="1" t="n">
        <v>45575</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50995-2022</t>
        </is>
      </c>
      <c r="B703" s="1" t="n">
        <v>44867</v>
      </c>
      <c r="C703" s="1" t="n">
        <v>45575</v>
      </c>
      <c r="D703" t="inlineStr">
        <is>
          <t>KALMAR LÄN</t>
        </is>
      </c>
      <c r="E703" t="inlineStr">
        <is>
          <t>VIMMERBY</t>
        </is>
      </c>
      <c r="G703" t="n">
        <v>2.4</v>
      </c>
      <c r="H703" t="n">
        <v>0</v>
      </c>
      <c r="I703" t="n">
        <v>0</v>
      </c>
      <c r="J703" t="n">
        <v>0</v>
      </c>
      <c r="K703" t="n">
        <v>0</v>
      </c>
      <c r="L703" t="n">
        <v>0</v>
      </c>
      <c r="M703" t="n">
        <v>0</v>
      </c>
      <c r="N703" t="n">
        <v>0</v>
      </c>
      <c r="O703" t="n">
        <v>0</v>
      </c>
      <c r="P703" t="n">
        <v>0</v>
      </c>
      <c r="Q703" t="n">
        <v>0</v>
      </c>
      <c r="R703" s="2" t="inlineStr"/>
    </row>
    <row r="704" ht="15" customHeight="1">
      <c r="A704" t="inlineStr">
        <is>
          <t>A 50993-2022</t>
        </is>
      </c>
      <c r="B704" s="1" t="n">
        <v>44867</v>
      </c>
      <c r="C704" s="1" t="n">
        <v>45575</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52753-2022</t>
        </is>
      </c>
      <c r="B705" s="1" t="n">
        <v>44875</v>
      </c>
      <c r="C705" s="1" t="n">
        <v>45575</v>
      </c>
      <c r="D705" t="inlineStr">
        <is>
          <t>KALMAR LÄN</t>
        </is>
      </c>
      <c r="E705" t="inlineStr">
        <is>
          <t>VIMMERBY</t>
        </is>
      </c>
      <c r="G705" t="n">
        <v>1.6</v>
      </c>
      <c r="H705" t="n">
        <v>0</v>
      </c>
      <c r="I705" t="n">
        <v>0</v>
      </c>
      <c r="J705" t="n">
        <v>0</v>
      </c>
      <c r="K705" t="n">
        <v>0</v>
      </c>
      <c r="L705" t="n">
        <v>0</v>
      </c>
      <c r="M705" t="n">
        <v>0</v>
      </c>
      <c r="N705" t="n">
        <v>0</v>
      </c>
      <c r="O705" t="n">
        <v>0</v>
      </c>
      <c r="P705" t="n">
        <v>0</v>
      </c>
      <c r="Q705" t="n">
        <v>0</v>
      </c>
      <c r="R705" s="2" t="inlineStr"/>
    </row>
    <row r="706" ht="15" customHeight="1">
      <c r="A706" t="inlineStr">
        <is>
          <t>A 52755-2022</t>
        </is>
      </c>
      <c r="B706" s="1" t="n">
        <v>44875</v>
      </c>
      <c r="C706" s="1" t="n">
        <v>45575</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53145-2022</t>
        </is>
      </c>
      <c r="B707" s="1" t="n">
        <v>44876</v>
      </c>
      <c r="C707" s="1" t="n">
        <v>45575</v>
      </c>
      <c r="D707" t="inlineStr">
        <is>
          <t>KALMAR LÄN</t>
        </is>
      </c>
      <c r="E707" t="inlineStr">
        <is>
          <t>VIMMERBY</t>
        </is>
      </c>
      <c r="G707" t="n">
        <v>0.4</v>
      </c>
      <c r="H707" t="n">
        <v>0</v>
      </c>
      <c r="I707" t="n">
        <v>0</v>
      </c>
      <c r="J707" t="n">
        <v>0</v>
      </c>
      <c r="K707" t="n">
        <v>0</v>
      </c>
      <c r="L707" t="n">
        <v>0</v>
      </c>
      <c r="M707" t="n">
        <v>0</v>
      </c>
      <c r="N707" t="n">
        <v>0</v>
      </c>
      <c r="O707" t="n">
        <v>0</v>
      </c>
      <c r="P707" t="n">
        <v>0</v>
      </c>
      <c r="Q707" t="n">
        <v>0</v>
      </c>
      <c r="R707" s="2" t="inlineStr"/>
    </row>
    <row r="708" ht="15" customHeight="1">
      <c r="A708" t="inlineStr">
        <is>
          <t>A 53247-2022</t>
        </is>
      </c>
      <c r="B708" s="1" t="n">
        <v>44876</v>
      </c>
      <c r="C708" s="1" t="n">
        <v>45575</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53482-2022</t>
        </is>
      </c>
      <c r="B709" s="1" t="n">
        <v>44879</v>
      </c>
      <c r="C709" s="1" t="n">
        <v>45575</v>
      </c>
      <c r="D709" t="inlineStr">
        <is>
          <t>KALMAR LÄN</t>
        </is>
      </c>
      <c r="E709" t="inlineStr">
        <is>
          <t>VIMMERBY</t>
        </is>
      </c>
      <c r="G709" t="n">
        <v>10.1</v>
      </c>
      <c r="H709" t="n">
        <v>0</v>
      </c>
      <c r="I709" t="n">
        <v>0</v>
      </c>
      <c r="J709" t="n">
        <v>0</v>
      </c>
      <c r="K709" t="n">
        <v>0</v>
      </c>
      <c r="L709" t="n">
        <v>0</v>
      </c>
      <c r="M709" t="n">
        <v>0</v>
      </c>
      <c r="N709" t="n">
        <v>0</v>
      </c>
      <c r="O709" t="n">
        <v>0</v>
      </c>
      <c r="P709" t="n">
        <v>0</v>
      </c>
      <c r="Q709" t="n">
        <v>0</v>
      </c>
      <c r="R709" s="2" t="inlineStr"/>
    </row>
    <row r="710" ht="15" customHeight="1">
      <c r="A710" t="inlineStr">
        <is>
          <t>A 53542-2022</t>
        </is>
      </c>
      <c r="B710" s="1" t="n">
        <v>44879</v>
      </c>
      <c r="C710" s="1" t="n">
        <v>45575</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53483-2022</t>
        </is>
      </c>
      <c r="B711" s="1" t="n">
        <v>44879</v>
      </c>
      <c r="C711" s="1" t="n">
        <v>45575</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54020-2022</t>
        </is>
      </c>
      <c r="B712" s="1" t="n">
        <v>44881</v>
      </c>
      <c r="C712" s="1" t="n">
        <v>45575</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54749-2022</t>
        </is>
      </c>
      <c r="B713" s="1" t="n">
        <v>44883</v>
      </c>
      <c r="C713" s="1" t="n">
        <v>45575</v>
      </c>
      <c r="D713" t="inlineStr">
        <is>
          <t>KALMAR LÄN</t>
        </is>
      </c>
      <c r="E713" t="inlineStr">
        <is>
          <t>VIMMERBY</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54745-2022</t>
        </is>
      </c>
      <c r="B714" s="1" t="n">
        <v>44883</v>
      </c>
      <c r="C714" s="1" t="n">
        <v>45575</v>
      </c>
      <c r="D714" t="inlineStr">
        <is>
          <t>KALMAR LÄN</t>
        </is>
      </c>
      <c r="E714" t="inlineStr">
        <is>
          <t>VIMMERBY</t>
        </is>
      </c>
      <c r="F714" t="inlineStr">
        <is>
          <t>Sveaskog</t>
        </is>
      </c>
      <c r="G714" t="n">
        <v>3.5</v>
      </c>
      <c r="H714" t="n">
        <v>0</v>
      </c>
      <c r="I714" t="n">
        <v>0</v>
      </c>
      <c r="J714" t="n">
        <v>0</v>
      </c>
      <c r="K714" t="n">
        <v>0</v>
      </c>
      <c r="L714" t="n">
        <v>0</v>
      </c>
      <c r="M714" t="n">
        <v>0</v>
      </c>
      <c r="N714" t="n">
        <v>0</v>
      </c>
      <c r="O714" t="n">
        <v>0</v>
      </c>
      <c r="P714" t="n">
        <v>0</v>
      </c>
      <c r="Q714" t="n">
        <v>0</v>
      </c>
      <c r="R714" s="2" t="inlineStr"/>
    </row>
    <row r="715" ht="15" customHeight="1">
      <c r="A715" t="inlineStr">
        <is>
          <t>A 54877-2022</t>
        </is>
      </c>
      <c r="B715" s="1" t="n">
        <v>44886</v>
      </c>
      <c r="C715" s="1" t="n">
        <v>45575</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55333-2022</t>
        </is>
      </c>
      <c r="B716" s="1" t="n">
        <v>44887</v>
      </c>
      <c r="C716" s="1" t="n">
        <v>45575</v>
      </c>
      <c r="D716" t="inlineStr">
        <is>
          <t>KALMAR LÄN</t>
        </is>
      </c>
      <c r="E716" t="inlineStr">
        <is>
          <t>VIMMERBY</t>
        </is>
      </c>
      <c r="G716" t="n">
        <v>3.4</v>
      </c>
      <c r="H716" t="n">
        <v>0</v>
      </c>
      <c r="I716" t="n">
        <v>0</v>
      </c>
      <c r="J716" t="n">
        <v>0</v>
      </c>
      <c r="K716" t="n">
        <v>0</v>
      </c>
      <c r="L716" t="n">
        <v>0</v>
      </c>
      <c r="M716" t="n">
        <v>0</v>
      </c>
      <c r="N716" t="n">
        <v>0</v>
      </c>
      <c r="O716" t="n">
        <v>0</v>
      </c>
      <c r="P716" t="n">
        <v>0</v>
      </c>
      <c r="Q716" t="n">
        <v>0</v>
      </c>
      <c r="R716" s="2" t="inlineStr"/>
    </row>
    <row r="717" ht="15" customHeight="1">
      <c r="A717" t="inlineStr">
        <is>
          <t>A 57682-2022</t>
        </is>
      </c>
      <c r="B717" s="1" t="n">
        <v>44890</v>
      </c>
      <c r="C717" s="1" t="n">
        <v>45575</v>
      </c>
      <c r="D717" t="inlineStr">
        <is>
          <t>KALMAR LÄN</t>
        </is>
      </c>
      <c r="E717" t="inlineStr">
        <is>
          <t>VIMMERBY</t>
        </is>
      </c>
      <c r="G717" t="n">
        <v>1.5</v>
      </c>
      <c r="H717" t="n">
        <v>0</v>
      </c>
      <c r="I717" t="n">
        <v>0</v>
      </c>
      <c r="J717" t="n">
        <v>0</v>
      </c>
      <c r="K717" t="n">
        <v>0</v>
      </c>
      <c r="L717" t="n">
        <v>0</v>
      </c>
      <c r="M717" t="n">
        <v>0</v>
      </c>
      <c r="N717" t="n">
        <v>0</v>
      </c>
      <c r="O717" t="n">
        <v>0</v>
      </c>
      <c r="P717" t="n">
        <v>0</v>
      </c>
      <c r="Q717" t="n">
        <v>0</v>
      </c>
      <c r="R717" s="2" t="inlineStr"/>
    </row>
    <row r="718" ht="15" customHeight="1">
      <c r="A718" t="inlineStr">
        <is>
          <t>A 56582-2022</t>
        </is>
      </c>
      <c r="B718" s="1" t="n">
        <v>44893</v>
      </c>
      <c r="C718" s="1" t="n">
        <v>45575</v>
      </c>
      <c r="D718" t="inlineStr">
        <is>
          <t>KALMAR LÄN</t>
        </is>
      </c>
      <c r="E718" t="inlineStr">
        <is>
          <t>VIMMERBY</t>
        </is>
      </c>
      <c r="G718" t="n">
        <v>2.2</v>
      </c>
      <c r="H718" t="n">
        <v>0</v>
      </c>
      <c r="I718" t="n">
        <v>0</v>
      </c>
      <c r="J718" t="n">
        <v>0</v>
      </c>
      <c r="K718" t="n">
        <v>0</v>
      </c>
      <c r="L718" t="n">
        <v>0</v>
      </c>
      <c r="M718" t="n">
        <v>0</v>
      </c>
      <c r="N718" t="n">
        <v>0</v>
      </c>
      <c r="O718" t="n">
        <v>0</v>
      </c>
      <c r="P718" t="n">
        <v>0</v>
      </c>
      <c r="Q718" t="n">
        <v>0</v>
      </c>
      <c r="R718" s="2" t="inlineStr"/>
    </row>
    <row r="719" ht="15" customHeight="1">
      <c r="A719" t="inlineStr">
        <is>
          <t>A 56536-2022</t>
        </is>
      </c>
      <c r="B719" s="1" t="n">
        <v>44893</v>
      </c>
      <c r="C719" s="1" t="n">
        <v>45575</v>
      </c>
      <c r="D719" t="inlineStr">
        <is>
          <t>KALMAR LÄN</t>
        </is>
      </c>
      <c r="E719" t="inlineStr">
        <is>
          <t>VIMMERBY</t>
        </is>
      </c>
      <c r="G719" t="n">
        <v>3.2</v>
      </c>
      <c r="H719" t="n">
        <v>0</v>
      </c>
      <c r="I719" t="n">
        <v>0</v>
      </c>
      <c r="J719" t="n">
        <v>0</v>
      </c>
      <c r="K719" t="n">
        <v>0</v>
      </c>
      <c r="L719" t="n">
        <v>0</v>
      </c>
      <c r="M719" t="n">
        <v>0</v>
      </c>
      <c r="N719" t="n">
        <v>0</v>
      </c>
      <c r="O719" t="n">
        <v>0</v>
      </c>
      <c r="P719" t="n">
        <v>0</v>
      </c>
      <c r="Q719" t="n">
        <v>0</v>
      </c>
      <c r="R719" s="2" t="inlineStr"/>
    </row>
    <row r="720" ht="15" customHeight="1">
      <c r="A720" t="inlineStr">
        <is>
          <t>A 56853-2022</t>
        </is>
      </c>
      <c r="B720" s="1" t="n">
        <v>44894</v>
      </c>
      <c r="C720" s="1" t="n">
        <v>45575</v>
      </c>
      <c r="D720" t="inlineStr">
        <is>
          <t>KALMAR LÄN</t>
        </is>
      </c>
      <c r="E720" t="inlineStr">
        <is>
          <t>VIMMERBY</t>
        </is>
      </c>
      <c r="G720" t="n">
        <v>4.3</v>
      </c>
      <c r="H720" t="n">
        <v>0</v>
      </c>
      <c r="I720" t="n">
        <v>0</v>
      </c>
      <c r="J720" t="n">
        <v>0</v>
      </c>
      <c r="K720" t="n">
        <v>0</v>
      </c>
      <c r="L720" t="n">
        <v>0</v>
      </c>
      <c r="M720" t="n">
        <v>0</v>
      </c>
      <c r="N720" t="n">
        <v>0</v>
      </c>
      <c r="O720" t="n">
        <v>0</v>
      </c>
      <c r="P720" t="n">
        <v>0</v>
      </c>
      <c r="Q720" t="n">
        <v>0</v>
      </c>
      <c r="R720" s="2" t="inlineStr"/>
    </row>
    <row r="721" ht="15" customHeight="1">
      <c r="A721" t="inlineStr">
        <is>
          <t>A 57091-2022</t>
        </is>
      </c>
      <c r="B721" s="1" t="n">
        <v>44895</v>
      </c>
      <c r="C721" s="1" t="n">
        <v>45575</v>
      </c>
      <c r="D721" t="inlineStr">
        <is>
          <t>KALMAR LÄN</t>
        </is>
      </c>
      <c r="E721" t="inlineStr">
        <is>
          <t>VIMMERBY</t>
        </is>
      </c>
      <c r="G721" t="n">
        <v>2.6</v>
      </c>
      <c r="H721" t="n">
        <v>0</v>
      </c>
      <c r="I721" t="n">
        <v>0</v>
      </c>
      <c r="J721" t="n">
        <v>0</v>
      </c>
      <c r="K721" t="n">
        <v>0</v>
      </c>
      <c r="L721" t="n">
        <v>0</v>
      </c>
      <c r="M721" t="n">
        <v>0</v>
      </c>
      <c r="N721" t="n">
        <v>0</v>
      </c>
      <c r="O721" t="n">
        <v>0</v>
      </c>
      <c r="P721" t="n">
        <v>0</v>
      </c>
      <c r="Q721" t="n">
        <v>0</v>
      </c>
      <c r="R721" s="2" t="inlineStr"/>
    </row>
    <row r="722" ht="15" customHeight="1">
      <c r="A722" t="inlineStr">
        <is>
          <t>A 57189-2022</t>
        </is>
      </c>
      <c r="B722" s="1" t="n">
        <v>44895</v>
      </c>
      <c r="C722" s="1" t="n">
        <v>45575</v>
      </c>
      <c r="D722" t="inlineStr">
        <is>
          <t>KALMAR LÄN</t>
        </is>
      </c>
      <c r="E722" t="inlineStr">
        <is>
          <t>VIMMERBY</t>
        </is>
      </c>
      <c r="G722" t="n">
        <v>0.8</v>
      </c>
      <c r="H722" t="n">
        <v>0</v>
      </c>
      <c r="I722" t="n">
        <v>0</v>
      </c>
      <c r="J722" t="n">
        <v>0</v>
      </c>
      <c r="K722" t="n">
        <v>0</v>
      </c>
      <c r="L722" t="n">
        <v>0</v>
      </c>
      <c r="M722" t="n">
        <v>0</v>
      </c>
      <c r="N722" t="n">
        <v>0</v>
      </c>
      <c r="O722" t="n">
        <v>0</v>
      </c>
      <c r="P722" t="n">
        <v>0</v>
      </c>
      <c r="Q722" t="n">
        <v>0</v>
      </c>
      <c r="R722" s="2" t="inlineStr"/>
    </row>
    <row r="723" ht="15" customHeight="1">
      <c r="A723" t="inlineStr">
        <is>
          <t>A 57190-2022</t>
        </is>
      </c>
      <c r="B723" s="1" t="n">
        <v>44895</v>
      </c>
      <c r="C723" s="1" t="n">
        <v>45575</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58967-2022</t>
        </is>
      </c>
      <c r="B724" s="1" t="n">
        <v>44896</v>
      </c>
      <c r="C724" s="1" t="n">
        <v>45575</v>
      </c>
      <c r="D724" t="inlineStr">
        <is>
          <t>KALMAR LÄN</t>
        </is>
      </c>
      <c r="E724" t="inlineStr">
        <is>
          <t>VIMMERBY</t>
        </is>
      </c>
      <c r="G724" t="n">
        <v>5</v>
      </c>
      <c r="H724" t="n">
        <v>0</v>
      </c>
      <c r="I724" t="n">
        <v>0</v>
      </c>
      <c r="J724" t="n">
        <v>0</v>
      </c>
      <c r="K724" t="n">
        <v>0</v>
      </c>
      <c r="L724" t="n">
        <v>0</v>
      </c>
      <c r="M724" t="n">
        <v>0</v>
      </c>
      <c r="N724" t="n">
        <v>0</v>
      </c>
      <c r="O724" t="n">
        <v>0</v>
      </c>
      <c r="P724" t="n">
        <v>0</v>
      </c>
      <c r="Q724" t="n">
        <v>0</v>
      </c>
      <c r="R724" s="2" t="inlineStr"/>
    </row>
    <row r="725" ht="15" customHeight="1">
      <c r="A725" t="inlineStr">
        <is>
          <t>A 57799-2022</t>
        </is>
      </c>
      <c r="B725" s="1" t="n">
        <v>44897</v>
      </c>
      <c r="C725" s="1" t="n">
        <v>45575</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58046-2022</t>
        </is>
      </c>
      <c r="B726" s="1" t="n">
        <v>44900</v>
      </c>
      <c r="C726" s="1" t="n">
        <v>45575</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58750-2022</t>
        </is>
      </c>
      <c r="B727" s="1" t="n">
        <v>44903</v>
      </c>
      <c r="C727" s="1" t="n">
        <v>45575</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58962-2022</t>
        </is>
      </c>
      <c r="B728" s="1" t="n">
        <v>44903</v>
      </c>
      <c r="C728" s="1" t="n">
        <v>45575</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60110-2022</t>
        </is>
      </c>
      <c r="B729" s="1" t="n">
        <v>44909</v>
      </c>
      <c r="C729" s="1" t="n">
        <v>45575</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60230-2022</t>
        </is>
      </c>
      <c r="B730" s="1" t="n">
        <v>44910</v>
      </c>
      <c r="C730" s="1" t="n">
        <v>45575</v>
      </c>
      <c r="D730" t="inlineStr">
        <is>
          <t>KALMAR LÄN</t>
        </is>
      </c>
      <c r="E730" t="inlineStr">
        <is>
          <t>VIMMERBY</t>
        </is>
      </c>
      <c r="G730" t="n">
        <v>11.3</v>
      </c>
      <c r="H730" t="n">
        <v>0</v>
      </c>
      <c r="I730" t="n">
        <v>0</v>
      </c>
      <c r="J730" t="n">
        <v>0</v>
      </c>
      <c r="K730" t="n">
        <v>0</v>
      </c>
      <c r="L730" t="n">
        <v>0</v>
      </c>
      <c r="M730" t="n">
        <v>0</v>
      </c>
      <c r="N730" t="n">
        <v>0</v>
      </c>
      <c r="O730" t="n">
        <v>0</v>
      </c>
      <c r="P730" t="n">
        <v>0</v>
      </c>
      <c r="Q730" t="n">
        <v>0</v>
      </c>
      <c r="R730" s="2" t="inlineStr"/>
    </row>
    <row r="731" ht="15" customHeight="1">
      <c r="A731" t="inlineStr">
        <is>
          <t>A 60215-2022</t>
        </is>
      </c>
      <c r="B731" s="1" t="n">
        <v>44910</v>
      </c>
      <c r="C731" s="1" t="n">
        <v>45575</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60292-2022</t>
        </is>
      </c>
      <c r="B732" s="1" t="n">
        <v>44910</v>
      </c>
      <c r="C732" s="1" t="n">
        <v>45575</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60339-2022</t>
        </is>
      </c>
      <c r="B733" s="1" t="n">
        <v>44910</v>
      </c>
      <c r="C733" s="1" t="n">
        <v>45575</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61538-2022</t>
        </is>
      </c>
      <c r="B734" s="1" t="n">
        <v>44916</v>
      </c>
      <c r="C734" s="1" t="n">
        <v>45575</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62075-2022</t>
        </is>
      </c>
      <c r="B735" s="1" t="n">
        <v>44918</v>
      </c>
      <c r="C735" s="1" t="n">
        <v>45575</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62023-2022</t>
        </is>
      </c>
      <c r="B736" s="1" t="n">
        <v>44918</v>
      </c>
      <c r="C736" s="1" t="n">
        <v>45575</v>
      </c>
      <c r="D736" t="inlineStr">
        <is>
          <t>KALMAR LÄN</t>
        </is>
      </c>
      <c r="E736" t="inlineStr">
        <is>
          <t>VIMMERBY</t>
        </is>
      </c>
      <c r="G736" t="n">
        <v>0.3</v>
      </c>
      <c r="H736" t="n">
        <v>0</v>
      </c>
      <c r="I736" t="n">
        <v>0</v>
      </c>
      <c r="J736" t="n">
        <v>0</v>
      </c>
      <c r="K736" t="n">
        <v>0</v>
      </c>
      <c r="L736" t="n">
        <v>0</v>
      </c>
      <c r="M736" t="n">
        <v>0</v>
      </c>
      <c r="N736" t="n">
        <v>0</v>
      </c>
      <c r="O736" t="n">
        <v>0</v>
      </c>
      <c r="P736" t="n">
        <v>0</v>
      </c>
      <c r="Q736" t="n">
        <v>0</v>
      </c>
      <c r="R736" s="2" t="inlineStr"/>
    </row>
    <row r="737" ht="15" customHeight="1">
      <c r="A737" t="inlineStr">
        <is>
          <t>A 89-2023</t>
        </is>
      </c>
      <c r="B737" s="1" t="n">
        <v>44918</v>
      </c>
      <c r="C737" s="1" t="n">
        <v>45575</v>
      </c>
      <c r="D737" t="inlineStr">
        <is>
          <t>KALMAR LÄN</t>
        </is>
      </c>
      <c r="E737" t="inlineStr">
        <is>
          <t>VIMMERBY</t>
        </is>
      </c>
      <c r="G737" t="n">
        <v>16.1</v>
      </c>
      <c r="H737" t="n">
        <v>0</v>
      </c>
      <c r="I737" t="n">
        <v>0</v>
      </c>
      <c r="J737" t="n">
        <v>0</v>
      </c>
      <c r="K737" t="n">
        <v>0</v>
      </c>
      <c r="L737" t="n">
        <v>0</v>
      </c>
      <c r="M737" t="n">
        <v>0</v>
      </c>
      <c r="N737" t="n">
        <v>0</v>
      </c>
      <c r="O737" t="n">
        <v>0</v>
      </c>
      <c r="P737" t="n">
        <v>0</v>
      </c>
      <c r="Q737" t="n">
        <v>0</v>
      </c>
      <c r="R737" s="2" t="inlineStr"/>
    </row>
    <row r="738" ht="15" customHeight="1">
      <c r="A738" t="inlineStr">
        <is>
          <t>A 346-2023</t>
        </is>
      </c>
      <c r="B738" s="1" t="n">
        <v>44929</v>
      </c>
      <c r="C738" s="1" t="n">
        <v>45575</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343-2023</t>
        </is>
      </c>
      <c r="B739" s="1" t="n">
        <v>44929</v>
      </c>
      <c r="C739" s="1" t="n">
        <v>45575</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502-2023</t>
        </is>
      </c>
      <c r="B740" s="1" t="n">
        <v>44930</v>
      </c>
      <c r="C740" s="1" t="n">
        <v>45575</v>
      </c>
      <c r="D740" t="inlineStr">
        <is>
          <t>KALMAR LÄN</t>
        </is>
      </c>
      <c r="E740" t="inlineStr">
        <is>
          <t>VIMMERBY</t>
        </is>
      </c>
      <c r="G740" t="n">
        <v>5</v>
      </c>
      <c r="H740" t="n">
        <v>0</v>
      </c>
      <c r="I740" t="n">
        <v>0</v>
      </c>
      <c r="J740" t="n">
        <v>0</v>
      </c>
      <c r="K740" t="n">
        <v>0</v>
      </c>
      <c r="L740" t="n">
        <v>0</v>
      </c>
      <c r="M740" t="n">
        <v>0</v>
      </c>
      <c r="N740" t="n">
        <v>0</v>
      </c>
      <c r="O740" t="n">
        <v>0</v>
      </c>
      <c r="P740" t="n">
        <v>0</v>
      </c>
      <c r="Q740" t="n">
        <v>0</v>
      </c>
      <c r="R740" s="2" t="inlineStr"/>
    </row>
    <row r="741" ht="15" customHeight="1">
      <c r="A741" t="inlineStr">
        <is>
          <t>A 508-2023</t>
        </is>
      </c>
      <c r="B741" s="1" t="n">
        <v>44930</v>
      </c>
      <c r="C741" s="1" t="n">
        <v>45575</v>
      </c>
      <c r="D741" t="inlineStr">
        <is>
          <t>KALMAR LÄN</t>
        </is>
      </c>
      <c r="E741" t="inlineStr">
        <is>
          <t>VIMMERBY</t>
        </is>
      </c>
      <c r="G741" t="n">
        <v>2.3</v>
      </c>
      <c r="H741" t="n">
        <v>0</v>
      </c>
      <c r="I741" t="n">
        <v>0</v>
      </c>
      <c r="J741" t="n">
        <v>0</v>
      </c>
      <c r="K741" t="n">
        <v>0</v>
      </c>
      <c r="L741" t="n">
        <v>0</v>
      </c>
      <c r="M741" t="n">
        <v>0</v>
      </c>
      <c r="N741" t="n">
        <v>0</v>
      </c>
      <c r="O741" t="n">
        <v>0</v>
      </c>
      <c r="P741" t="n">
        <v>0</v>
      </c>
      <c r="Q741" t="n">
        <v>0</v>
      </c>
      <c r="R741" s="2" t="inlineStr"/>
    </row>
    <row r="742" ht="15" customHeight="1">
      <c r="A742" t="inlineStr">
        <is>
          <t>A 845-2023</t>
        </is>
      </c>
      <c r="B742" s="1" t="n">
        <v>44931</v>
      </c>
      <c r="C742" s="1" t="n">
        <v>45575</v>
      </c>
      <c r="D742" t="inlineStr">
        <is>
          <t>KALMAR LÄN</t>
        </is>
      </c>
      <c r="E742" t="inlineStr">
        <is>
          <t>VIMMERBY</t>
        </is>
      </c>
      <c r="F742" t="inlineStr">
        <is>
          <t>Övriga Aktiebolag</t>
        </is>
      </c>
      <c r="G742" t="n">
        <v>19</v>
      </c>
      <c r="H742" t="n">
        <v>0</v>
      </c>
      <c r="I742" t="n">
        <v>0</v>
      </c>
      <c r="J742" t="n">
        <v>0</v>
      </c>
      <c r="K742" t="n">
        <v>0</v>
      </c>
      <c r="L742" t="n">
        <v>0</v>
      </c>
      <c r="M742" t="n">
        <v>0</v>
      </c>
      <c r="N742" t="n">
        <v>0</v>
      </c>
      <c r="O742" t="n">
        <v>0</v>
      </c>
      <c r="P742" t="n">
        <v>0</v>
      </c>
      <c r="Q742" t="n">
        <v>0</v>
      </c>
      <c r="R742" s="2" t="inlineStr"/>
    </row>
    <row r="743" ht="15" customHeight="1">
      <c r="A743" t="inlineStr">
        <is>
          <t>A 1086-2023</t>
        </is>
      </c>
      <c r="B743" s="1" t="n">
        <v>44935</v>
      </c>
      <c r="C743" s="1" t="n">
        <v>45575</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1081-2023</t>
        </is>
      </c>
      <c r="B744" s="1" t="n">
        <v>44935</v>
      </c>
      <c r="C744" s="1" t="n">
        <v>45575</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1687-2023</t>
        </is>
      </c>
      <c r="B745" s="1" t="n">
        <v>44938</v>
      </c>
      <c r="C745" s="1" t="n">
        <v>45575</v>
      </c>
      <c r="D745" t="inlineStr">
        <is>
          <t>KALMAR LÄN</t>
        </is>
      </c>
      <c r="E745" t="inlineStr">
        <is>
          <t>VIMMERBY</t>
        </is>
      </c>
      <c r="F745" t="inlineStr">
        <is>
          <t>Kommuner</t>
        </is>
      </c>
      <c r="G745" t="n">
        <v>2.5</v>
      </c>
      <c r="H745" t="n">
        <v>0</v>
      </c>
      <c r="I745" t="n">
        <v>0</v>
      </c>
      <c r="J745" t="n">
        <v>0</v>
      </c>
      <c r="K745" t="n">
        <v>0</v>
      </c>
      <c r="L745" t="n">
        <v>0</v>
      </c>
      <c r="M745" t="n">
        <v>0</v>
      </c>
      <c r="N745" t="n">
        <v>0</v>
      </c>
      <c r="O745" t="n">
        <v>0</v>
      </c>
      <c r="P745" t="n">
        <v>0</v>
      </c>
      <c r="Q745" t="n">
        <v>0</v>
      </c>
      <c r="R745" s="2" t="inlineStr"/>
    </row>
    <row r="746" ht="15" customHeight="1">
      <c r="A746" t="inlineStr">
        <is>
          <t>A 1667-2023</t>
        </is>
      </c>
      <c r="B746" s="1" t="n">
        <v>44938</v>
      </c>
      <c r="C746" s="1" t="n">
        <v>45575</v>
      </c>
      <c r="D746" t="inlineStr">
        <is>
          <t>KALMAR LÄN</t>
        </is>
      </c>
      <c r="E746" t="inlineStr">
        <is>
          <t>VIMMERBY</t>
        </is>
      </c>
      <c r="G746" t="n">
        <v>3.4</v>
      </c>
      <c r="H746" t="n">
        <v>0</v>
      </c>
      <c r="I746" t="n">
        <v>0</v>
      </c>
      <c r="J746" t="n">
        <v>0</v>
      </c>
      <c r="K746" t="n">
        <v>0</v>
      </c>
      <c r="L746" t="n">
        <v>0</v>
      </c>
      <c r="M746" t="n">
        <v>0</v>
      </c>
      <c r="N746" t="n">
        <v>0</v>
      </c>
      <c r="O746" t="n">
        <v>0</v>
      </c>
      <c r="P746" t="n">
        <v>0</v>
      </c>
      <c r="Q746" t="n">
        <v>0</v>
      </c>
      <c r="R746" s="2" t="inlineStr"/>
    </row>
    <row r="747" ht="15" customHeight="1">
      <c r="A747" t="inlineStr">
        <is>
          <t>A 1955-2023</t>
        </is>
      </c>
      <c r="B747" s="1" t="n">
        <v>44939</v>
      </c>
      <c r="C747" s="1" t="n">
        <v>45575</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2510-2023</t>
        </is>
      </c>
      <c r="B748" s="1" t="n">
        <v>44943</v>
      </c>
      <c r="C748" s="1" t="n">
        <v>45575</v>
      </c>
      <c r="D748" t="inlineStr">
        <is>
          <t>KALMAR LÄN</t>
        </is>
      </c>
      <c r="E748" t="inlineStr">
        <is>
          <t>VIMMERBY</t>
        </is>
      </c>
      <c r="G748" t="n">
        <v>8.6</v>
      </c>
      <c r="H748" t="n">
        <v>0</v>
      </c>
      <c r="I748" t="n">
        <v>0</v>
      </c>
      <c r="J748" t="n">
        <v>0</v>
      </c>
      <c r="K748" t="n">
        <v>0</v>
      </c>
      <c r="L748" t="n">
        <v>0</v>
      </c>
      <c r="M748" t="n">
        <v>0</v>
      </c>
      <c r="N748" t="n">
        <v>0</v>
      </c>
      <c r="O748" t="n">
        <v>0</v>
      </c>
      <c r="P748" t="n">
        <v>0</v>
      </c>
      <c r="Q748" t="n">
        <v>0</v>
      </c>
      <c r="R748" s="2" t="inlineStr"/>
    </row>
    <row r="749" ht="15" customHeight="1">
      <c r="A749" t="inlineStr">
        <is>
          <t>A 2536-2023</t>
        </is>
      </c>
      <c r="B749" s="1" t="n">
        <v>44943</v>
      </c>
      <c r="C749" s="1" t="n">
        <v>45575</v>
      </c>
      <c r="D749" t="inlineStr">
        <is>
          <t>KALMAR LÄN</t>
        </is>
      </c>
      <c r="E749" t="inlineStr">
        <is>
          <t>VIMMERBY</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2799-2023</t>
        </is>
      </c>
      <c r="B750" s="1" t="n">
        <v>44944</v>
      </c>
      <c r="C750" s="1" t="n">
        <v>45575</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2797-2023</t>
        </is>
      </c>
      <c r="B751" s="1" t="n">
        <v>44944</v>
      </c>
      <c r="C751" s="1" t="n">
        <v>45575</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2801-2023</t>
        </is>
      </c>
      <c r="B752" s="1" t="n">
        <v>44944</v>
      </c>
      <c r="C752" s="1" t="n">
        <v>45575</v>
      </c>
      <c r="D752" t="inlineStr">
        <is>
          <t>KALMAR LÄN</t>
        </is>
      </c>
      <c r="E752" t="inlineStr">
        <is>
          <t>VIMMERBY</t>
        </is>
      </c>
      <c r="G752" t="n">
        <v>0.6</v>
      </c>
      <c r="H752" t="n">
        <v>0</v>
      </c>
      <c r="I752" t="n">
        <v>0</v>
      </c>
      <c r="J752" t="n">
        <v>0</v>
      </c>
      <c r="K752" t="n">
        <v>0</v>
      </c>
      <c r="L752" t="n">
        <v>0</v>
      </c>
      <c r="M752" t="n">
        <v>0</v>
      </c>
      <c r="N752" t="n">
        <v>0</v>
      </c>
      <c r="O752" t="n">
        <v>0</v>
      </c>
      <c r="P752" t="n">
        <v>0</v>
      </c>
      <c r="Q752" t="n">
        <v>0</v>
      </c>
      <c r="R752" s="2" t="inlineStr"/>
    </row>
    <row r="753" ht="15" customHeight="1">
      <c r="A753" t="inlineStr">
        <is>
          <t>A 3331-2023</t>
        </is>
      </c>
      <c r="B753" s="1" t="n">
        <v>44949</v>
      </c>
      <c r="C753" s="1" t="n">
        <v>45575</v>
      </c>
      <c r="D753" t="inlineStr">
        <is>
          <t>KALMAR LÄN</t>
        </is>
      </c>
      <c r="E753" t="inlineStr">
        <is>
          <t>VIMMERBY</t>
        </is>
      </c>
      <c r="G753" t="n">
        <v>6.2</v>
      </c>
      <c r="H753" t="n">
        <v>0</v>
      </c>
      <c r="I753" t="n">
        <v>0</v>
      </c>
      <c r="J753" t="n">
        <v>0</v>
      </c>
      <c r="K753" t="n">
        <v>0</v>
      </c>
      <c r="L753" t="n">
        <v>0</v>
      </c>
      <c r="M753" t="n">
        <v>0</v>
      </c>
      <c r="N753" t="n">
        <v>0</v>
      </c>
      <c r="O753" t="n">
        <v>0</v>
      </c>
      <c r="P753" t="n">
        <v>0</v>
      </c>
      <c r="Q753" t="n">
        <v>0</v>
      </c>
      <c r="R753" s="2" t="inlineStr"/>
    </row>
    <row r="754" ht="15" customHeight="1">
      <c r="A754" t="inlineStr">
        <is>
          <t>A 3494-2023</t>
        </is>
      </c>
      <c r="B754" s="1" t="n">
        <v>44949</v>
      </c>
      <c r="C754" s="1" t="n">
        <v>45575</v>
      </c>
      <c r="D754" t="inlineStr">
        <is>
          <t>KALMAR LÄN</t>
        </is>
      </c>
      <c r="E754" t="inlineStr">
        <is>
          <t>VIMMERBY</t>
        </is>
      </c>
      <c r="F754" t="inlineStr">
        <is>
          <t>Kyrkan</t>
        </is>
      </c>
      <c r="G754" t="n">
        <v>0.8</v>
      </c>
      <c r="H754" t="n">
        <v>0</v>
      </c>
      <c r="I754" t="n">
        <v>0</v>
      </c>
      <c r="J754" t="n">
        <v>0</v>
      </c>
      <c r="K754" t="n">
        <v>0</v>
      </c>
      <c r="L754" t="n">
        <v>0</v>
      </c>
      <c r="M754" t="n">
        <v>0</v>
      </c>
      <c r="N754" t="n">
        <v>0</v>
      </c>
      <c r="O754" t="n">
        <v>0</v>
      </c>
      <c r="P754" t="n">
        <v>0</v>
      </c>
      <c r="Q754" t="n">
        <v>0</v>
      </c>
      <c r="R754" s="2" t="inlineStr"/>
    </row>
    <row r="755" ht="15" customHeight="1">
      <c r="A755" t="inlineStr">
        <is>
          <t>A 3587-2023</t>
        </is>
      </c>
      <c r="B755" s="1" t="n">
        <v>44950</v>
      </c>
      <c r="C755" s="1" t="n">
        <v>45575</v>
      </c>
      <c r="D755" t="inlineStr">
        <is>
          <t>KALMAR LÄN</t>
        </is>
      </c>
      <c r="E755" t="inlineStr">
        <is>
          <t>VIMMERBY</t>
        </is>
      </c>
      <c r="G755" t="n">
        <v>6.9</v>
      </c>
      <c r="H755" t="n">
        <v>0</v>
      </c>
      <c r="I755" t="n">
        <v>0</v>
      </c>
      <c r="J755" t="n">
        <v>0</v>
      </c>
      <c r="K755" t="n">
        <v>0</v>
      </c>
      <c r="L755" t="n">
        <v>0</v>
      </c>
      <c r="M755" t="n">
        <v>0</v>
      </c>
      <c r="N755" t="n">
        <v>0</v>
      </c>
      <c r="O755" t="n">
        <v>0</v>
      </c>
      <c r="P755" t="n">
        <v>0</v>
      </c>
      <c r="Q755" t="n">
        <v>0</v>
      </c>
      <c r="R755" s="2" t="inlineStr"/>
    </row>
    <row r="756" ht="15" customHeight="1">
      <c r="A756" t="inlineStr">
        <is>
          <t>A 3938-2023</t>
        </is>
      </c>
      <c r="B756" s="1" t="n">
        <v>44952</v>
      </c>
      <c r="C756" s="1" t="n">
        <v>45575</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3924-2023</t>
        </is>
      </c>
      <c r="B757" s="1" t="n">
        <v>44952</v>
      </c>
      <c r="C757" s="1" t="n">
        <v>45575</v>
      </c>
      <c r="D757" t="inlineStr">
        <is>
          <t>KALMAR LÄN</t>
        </is>
      </c>
      <c r="E757" t="inlineStr">
        <is>
          <t>VIMMERBY</t>
        </is>
      </c>
      <c r="G757" t="n">
        <v>4.7</v>
      </c>
      <c r="H757" t="n">
        <v>0</v>
      </c>
      <c r="I757" t="n">
        <v>0</v>
      </c>
      <c r="J757" t="n">
        <v>0</v>
      </c>
      <c r="K757" t="n">
        <v>0</v>
      </c>
      <c r="L757" t="n">
        <v>0</v>
      </c>
      <c r="M757" t="n">
        <v>0</v>
      </c>
      <c r="N757" t="n">
        <v>0</v>
      </c>
      <c r="O757" t="n">
        <v>0</v>
      </c>
      <c r="P757" t="n">
        <v>0</v>
      </c>
      <c r="Q757" t="n">
        <v>0</v>
      </c>
      <c r="R757" s="2" t="inlineStr"/>
    </row>
    <row r="758" ht="15" customHeight="1">
      <c r="A758" t="inlineStr">
        <is>
          <t>A 4527-2023</t>
        </is>
      </c>
      <c r="B758" s="1" t="n">
        <v>44956</v>
      </c>
      <c r="C758" s="1" t="n">
        <v>45575</v>
      </c>
      <c r="D758" t="inlineStr">
        <is>
          <t>KALMAR LÄN</t>
        </is>
      </c>
      <c r="E758" t="inlineStr">
        <is>
          <t>VIMMERBY</t>
        </is>
      </c>
      <c r="F758" t="inlineStr">
        <is>
          <t>Kommuner</t>
        </is>
      </c>
      <c r="G758" t="n">
        <v>8.5</v>
      </c>
      <c r="H758" t="n">
        <v>0</v>
      </c>
      <c r="I758" t="n">
        <v>0</v>
      </c>
      <c r="J758" t="n">
        <v>0</v>
      </c>
      <c r="K758" t="n">
        <v>0</v>
      </c>
      <c r="L758" t="n">
        <v>0</v>
      </c>
      <c r="M758" t="n">
        <v>0</v>
      </c>
      <c r="N758" t="n">
        <v>0</v>
      </c>
      <c r="O758" t="n">
        <v>0</v>
      </c>
      <c r="P758" t="n">
        <v>0</v>
      </c>
      <c r="Q758" t="n">
        <v>0</v>
      </c>
      <c r="R758" s="2" t="inlineStr"/>
    </row>
    <row r="759" ht="15" customHeight="1">
      <c r="A759" t="inlineStr">
        <is>
          <t>A 5074-2023</t>
        </is>
      </c>
      <c r="B759" s="1" t="n">
        <v>44958</v>
      </c>
      <c r="C759" s="1" t="n">
        <v>45575</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5342-2023</t>
        </is>
      </c>
      <c r="B760" s="1" t="n">
        <v>44959</v>
      </c>
      <c r="C760" s="1" t="n">
        <v>45575</v>
      </c>
      <c r="D760" t="inlineStr">
        <is>
          <t>KALMAR LÄN</t>
        </is>
      </c>
      <c r="E760" t="inlineStr">
        <is>
          <t>VIMMERBY</t>
        </is>
      </c>
      <c r="G760" t="n">
        <v>1.5</v>
      </c>
      <c r="H760" t="n">
        <v>0</v>
      </c>
      <c r="I760" t="n">
        <v>0</v>
      </c>
      <c r="J760" t="n">
        <v>0</v>
      </c>
      <c r="K760" t="n">
        <v>0</v>
      </c>
      <c r="L760" t="n">
        <v>0</v>
      </c>
      <c r="M760" t="n">
        <v>0</v>
      </c>
      <c r="N760" t="n">
        <v>0</v>
      </c>
      <c r="O760" t="n">
        <v>0</v>
      </c>
      <c r="P760" t="n">
        <v>0</v>
      </c>
      <c r="Q760" t="n">
        <v>0</v>
      </c>
      <c r="R760" s="2" t="inlineStr"/>
    </row>
    <row r="761" ht="15" customHeight="1">
      <c r="A761" t="inlineStr">
        <is>
          <t>A 5382-2023</t>
        </is>
      </c>
      <c r="B761" s="1" t="n">
        <v>44959</v>
      </c>
      <c r="C761" s="1" t="n">
        <v>45575</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5720-2023</t>
        </is>
      </c>
      <c r="B762" s="1" t="n">
        <v>44961</v>
      </c>
      <c r="C762" s="1" t="n">
        <v>45575</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5792-2023</t>
        </is>
      </c>
      <c r="B763" s="1" t="n">
        <v>44963</v>
      </c>
      <c r="C763" s="1" t="n">
        <v>45575</v>
      </c>
      <c r="D763" t="inlineStr">
        <is>
          <t>KALMAR LÄN</t>
        </is>
      </c>
      <c r="E763" t="inlineStr">
        <is>
          <t>VIMMERBY</t>
        </is>
      </c>
      <c r="G763" t="n">
        <v>0.5</v>
      </c>
      <c r="H763" t="n">
        <v>0</v>
      </c>
      <c r="I763" t="n">
        <v>0</v>
      </c>
      <c r="J763" t="n">
        <v>0</v>
      </c>
      <c r="K763" t="n">
        <v>0</v>
      </c>
      <c r="L763" t="n">
        <v>0</v>
      </c>
      <c r="M763" t="n">
        <v>0</v>
      </c>
      <c r="N763" t="n">
        <v>0</v>
      </c>
      <c r="O763" t="n">
        <v>0</v>
      </c>
      <c r="P763" t="n">
        <v>0</v>
      </c>
      <c r="Q763" t="n">
        <v>0</v>
      </c>
      <c r="R763" s="2" t="inlineStr"/>
    </row>
    <row r="764" ht="15" customHeight="1">
      <c r="A764" t="inlineStr">
        <is>
          <t>A 6028-2023</t>
        </is>
      </c>
      <c r="B764" s="1" t="n">
        <v>44964</v>
      </c>
      <c r="C764" s="1" t="n">
        <v>45575</v>
      </c>
      <c r="D764" t="inlineStr">
        <is>
          <t>KALMAR LÄN</t>
        </is>
      </c>
      <c r="E764" t="inlineStr">
        <is>
          <t>VIMMERBY</t>
        </is>
      </c>
      <c r="G764" t="n">
        <v>2.5</v>
      </c>
      <c r="H764" t="n">
        <v>0</v>
      </c>
      <c r="I764" t="n">
        <v>0</v>
      </c>
      <c r="J764" t="n">
        <v>0</v>
      </c>
      <c r="K764" t="n">
        <v>0</v>
      </c>
      <c r="L764" t="n">
        <v>0</v>
      </c>
      <c r="M764" t="n">
        <v>0</v>
      </c>
      <c r="N764" t="n">
        <v>0</v>
      </c>
      <c r="O764" t="n">
        <v>0</v>
      </c>
      <c r="P764" t="n">
        <v>0</v>
      </c>
      <c r="Q764" t="n">
        <v>0</v>
      </c>
      <c r="R764" s="2" t="inlineStr"/>
    </row>
    <row r="765" ht="15" customHeight="1">
      <c r="A765" t="inlineStr">
        <is>
          <t>A 6066-2023</t>
        </is>
      </c>
      <c r="B765" s="1" t="n">
        <v>44964</v>
      </c>
      <c r="C765" s="1" t="n">
        <v>45575</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6017-2023</t>
        </is>
      </c>
      <c r="B766" s="1" t="n">
        <v>44964</v>
      </c>
      <c r="C766" s="1" t="n">
        <v>45575</v>
      </c>
      <c r="D766" t="inlineStr">
        <is>
          <t>KALMAR LÄN</t>
        </is>
      </c>
      <c r="E766" t="inlineStr">
        <is>
          <t>VIMMERBY</t>
        </is>
      </c>
      <c r="G766" t="n">
        <v>1.9</v>
      </c>
      <c r="H766" t="n">
        <v>0</v>
      </c>
      <c r="I766" t="n">
        <v>0</v>
      </c>
      <c r="J766" t="n">
        <v>0</v>
      </c>
      <c r="K766" t="n">
        <v>0</v>
      </c>
      <c r="L766" t="n">
        <v>0</v>
      </c>
      <c r="M766" t="n">
        <v>0</v>
      </c>
      <c r="N766" t="n">
        <v>0</v>
      </c>
      <c r="O766" t="n">
        <v>0</v>
      </c>
      <c r="P766" t="n">
        <v>0</v>
      </c>
      <c r="Q766" t="n">
        <v>0</v>
      </c>
      <c r="R766" s="2" t="inlineStr"/>
    </row>
    <row r="767" ht="15" customHeight="1">
      <c r="A767" t="inlineStr">
        <is>
          <t>A 6368-2023</t>
        </is>
      </c>
      <c r="B767" s="1" t="n">
        <v>44965</v>
      </c>
      <c r="C767" s="1" t="n">
        <v>45575</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6321-2023</t>
        </is>
      </c>
      <c r="B768" s="1" t="n">
        <v>44965</v>
      </c>
      <c r="C768" s="1" t="n">
        <v>45575</v>
      </c>
      <c r="D768" t="inlineStr">
        <is>
          <t>KALMAR LÄN</t>
        </is>
      </c>
      <c r="E768" t="inlineStr">
        <is>
          <t>VIMMERBY</t>
        </is>
      </c>
      <c r="G768" t="n">
        <v>1.8</v>
      </c>
      <c r="H768" t="n">
        <v>0</v>
      </c>
      <c r="I768" t="n">
        <v>0</v>
      </c>
      <c r="J768" t="n">
        <v>0</v>
      </c>
      <c r="K768" t="n">
        <v>0</v>
      </c>
      <c r="L768" t="n">
        <v>0</v>
      </c>
      <c r="M768" t="n">
        <v>0</v>
      </c>
      <c r="N768" t="n">
        <v>0</v>
      </c>
      <c r="O768" t="n">
        <v>0</v>
      </c>
      <c r="P768" t="n">
        <v>0</v>
      </c>
      <c r="Q768" t="n">
        <v>0</v>
      </c>
      <c r="R768" s="2" t="inlineStr"/>
    </row>
    <row r="769" ht="15" customHeight="1">
      <c r="A769" t="inlineStr">
        <is>
          <t>A 6660-2023</t>
        </is>
      </c>
      <c r="B769" s="1" t="n">
        <v>44966</v>
      </c>
      <c r="C769" s="1" t="n">
        <v>45575</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6574-2023</t>
        </is>
      </c>
      <c r="B770" s="1" t="n">
        <v>44966</v>
      </c>
      <c r="C770" s="1" t="n">
        <v>45575</v>
      </c>
      <c r="D770" t="inlineStr">
        <is>
          <t>KALMAR LÄN</t>
        </is>
      </c>
      <c r="E770" t="inlineStr">
        <is>
          <t>VIMMERBY</t>
        </is>
      </c>
      <c r="G770" t="n">
        <v>2.5</v>
      </c>
      <c r="H770" t="n">
        <v>0</v>
      </c>
      <c r="I770" t="n">
        <v>0</v>
      </c>
      <c r="J770" t="n">
        <v>0</v>
      </c>
      <c r="K770" t="n">
        <v>0</v>
      </c>
      <c r="L770" t="n">
        <v>0</v>
      </c>
      <c r="M770" t="n">
        <v>0</v>
      </c>
      <c r="N770" t="n">
        <v>0</v>
      </c>
      <c r="O770" t="n">
        <v>0</v>
      </c>
      <c r="P770" t="n">
        <v>0</v>
      </c>
      <c r="Q770" t="n">
        <v>0</v>
      </c>
      <c r="R770" s="2" t="inlineStr"/>
    </row>
    <row r="771" ht="15" customHeight="1">
      <c r="A771" t="inlineStr">
        <is>
          <t>A 6662-2023</t>
        </is>
      </c>
      <c r="B771" s="1" t="n">
        <v>44966</v>
      </c>
      <c r="C771" s="1" t="n">
        <v>45575</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6668-2023</t>
        </is>
      </c>
      <c r="B772" s="1" t="n">
        <v>44966</v>
      </c>
      <c r="C772" s="1" t="n">
        <v>45575</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6538-2023</t>
        </is>
      </c>
      <c r="B773" s="1" t="n">
        <v>44966</v>
      </c>
      <c r="C773" s="1" t="n">
        <v>45575</v>
      </c>
      <c r="D773" t="inlineStr">
        <is>
          <t>KALMAR LÄN</t>
        </is>
      </c>
      <c r="E773" t="inlineStr">
        <is>
          <t>VIMMERBY</t>
        </is>
      </c>
      <c r="G773" t="n">
        <v>4.5</v>
      </c>
      <c r="H773" t="n">
        <v>0</v>
      </c>
      <c r="I773" t="n">
        <v>0</v>
      </c>
      <c r="J773" t="n">
        <v>0</v>
      </c>
      <c r="K773" t="n">
        <v>0</v>
      </c>
      <c r="L773" t="n">
        <v>0</v>
      </c>
      <c r="M773" t="n">
        <v>0</v>
      </c>
      <c r="N773" t="n">
        <v>0</v>
      </c>
      <c r="O773" t="n">
        <v>0</v>
      </c>
      <c r="P773" t="n">
        <v>0</v>
      </c>
      <c r="Q773" t="n">
        <v>0</v>
      </c>
      <c r="R773" s="2" t="inlineStr"/>
    </row>
    <row r="774" ht="15" customHeight="1">
      <c r="A774" t="inlineStr">
        <is>
          <t>A 6857-2023</t>
        </is>
      </c>
      <c r="B774" s="1" t="n">
        <v>44967</v>
      </c>
      <c r="C774" s="1" t="n">
        <v>45575</v>
      </c>
      <c r="D774" t="inlineStr">
        <is>
          <t>KALMAR LÄN</t>
        </is>
      </c>
      <c r="E774" t="inlineStr">
        <is>
          <t>VIMMERBY</t>
        </is>
      </c>
      <c r="G774" t="n">
        <v>2.1</v>
      </c>
      <c r="H774" t="n">
        <v>0</v>
      </c>
      <c r="I774" t="n">
        <v>0</v>
      </c>
      <c r="J774" t="n">
        <v>0</v>
      </c>
      <c r="K774" t="n">
        <v>0</v>
      </c>
      <c r="L774" t="n">
        <v>0</v>
      </c>
      <c r="M774" t="n">
        <v>0</v>
      </c>
      <c r="N774" t="n">
        <v>0</v>
      </c>
      <c r="O774" t="n">
        <v>0</v>
      </c>
      <c r="P774" t="n">
        <v>0</v>
      </c>
      <c r="Q774" t="n">
        <v>0</v>
      </c>
      <c r="R774" s="2" t="inlineStr"/>
    </row>
    <row r="775" ht="15" customHeight="1">
      <c r="A775" t="inlineStr">
        <is>
          <t>A 6850-2023</t>
        </is>
      </c>
      <c r="B775" s="1" t="n">
        <v>44967</v>
      </c>
      <c r="C775" s="1" t="n">
        <v>45575</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7454-2023</t>
        </is>
      </c>
      <c r="B776" s="1" t="n">
        <v>44971</v>
      </c>
      <c r="C776" s="1" t="n">
        <v>45575</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7557-2023</t>
        </is>
      </c>
      <c r="B777" s="1" t="n">
        <v>44972</v>
      </c>
      <c r="C777" s="1" t="n">
        <v>45575</v>
      </c>
      <c r="D777" t="inlineStr">
        <is>
          <t>KALMAR LÄN</t>
        </is>
      </c>
      <c r="E777" t="inlineStr">
        <is>
          <t>VIMMERBY</t>
        </is>
      </c>
      <c r="G777" t="n">
        <v>4.6</v>
      </c>
      <c r="H777" t="n">
        <v>0</v>
      </c>
      <c r="I777" t="n">
        <v>0</v>
      </c>
      <c r="J777" t="n">
        <v>0</v>
      </c>
      <c r="K777" t="n">
        <v>0</v>
      </c>
      <c r="L777" t="n">
        <v>0</v>
      </c>
      <c r="M777" t="n">
        <v>0</v>
      </c>
      <c r="N777" t="n">
        <v>0</v>
      </c>
      <c r="O777" t="n">
        <v>0</v>
      </c>
      <c r="P777" t="n">
        <v>0</v>
      </c>
      <c r="Q777" t="n">
        <v>0</v>
      </c>
      <c r="R777" s="2" t="inlineStr"/>
    </row>
    <row r="778" ht="15" customHeight="1">
      <c r="A778" t="inlineStr">
        <is>
          <t>A 7594-2023</t>
        </is>
      </c>
      <c r="B778" s="1" t="n">
        <v>44972</v>
      </c>
      <c r="C778" s="1" t="n">
        <v>45575</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7797-2023</t>
        </is>
      </c>
      <c r="B779" s="1" t="n">
        <v>44973</v>
      </c>
      <c r="C779" s="1" t="n">
        <v>45575</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7883-2023</t>
        </is>
      </c>
      <c r="B780" s="1" t="n">
        <v>44973</v>
      </c>
      <c r="C780" s="1" t="n">
        <v>45575</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7885-2023</t>
        </is>
      </c>
      <c r="B781" s="1" t="n">
        <v>44973</v>
      </c>
      <c r="C781" s="1" t="n">
        <v>45575</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8219-2023</t>
        </is>
      </c>
      <c r="B782" s="1" t="n">
        <v>44974</v>
      </c>
      <c r="C782" s="1" t="n">
        <v>45575</v>
      </c>
      <c r="D782" t="inlineStr">
        <is>
          <t>KALMAR LÄN</t>
        </is>
      </c>
      <c r="E782" t="inlineStr">
        <is>
          <t>VIMMERBY</t>
        </is>
      </c>
      <c r="F782" t="inlineStr">
        <is>
          <t>Sveaskog</t>
        </is>
      </c>
      <c r="G782" t="n">
        <v>6.1</v>
      </c>
      <c r="H782" t="n">
        <v>0</v>
      </c>
      <c r="I782" t="n">
        <v>0</v>
      </c>
      <c r="J782" t="n">
        <v>0</v>
      </c>
      <c r="K782" t="n">
        <v>0</v>
      </c>
      <c r="L782" t="n">
        <v>0</v>
      </c>
      <c r="M782" t="n">
        <v>0</v>
      </c>
      <c r="N782" t="n">
        <v>0</v>
      </c>
      <c r="O782" t="n">
        <v>0</v>
      </c>
      <c r="P782" t="n">
        <v>0</v>
      </c>
      <c r="Q782" t="n">
        <v>0</v>
      </c>
      <c r="R782" s="2" t="inlineStr"/>
    </row>
    <row r="783" ht="15" customHeight="1">
      <c r="A783" t="inlineStr">
        <is>
          <t>A 8410-2023</t>
        </is>
      </c>
      <c r="B783" s="1" t="n">
        <v>44977</v>
      </c>
      <c r="C783" s="1" t="n">
        <v>45575</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9024-2023</t>
        </is>
      </c>
      <c r="B784" s="1" t="n">
        <v>44979</v>
      </c>
      <c r="C784" s="1" t="n">
        <v>45575</v>
      </c>
      <c r="D784" t="inlineStr">
        <is>
          <t>KALMAR LÄN</t>
        </is>
      </c>
      <c r="E784" t="inlineStr">
        <is>
          <t>VIMMERBY</t>
        </is>
      </c>
      <c r="G784" t="n">
        <v>5.2</v>
      </c>
      <c r="H784" t="n">
        <v>0</v>
      </c>
      <c r="I784" t="n">
        <v>0</v>
      </c>
      <c r="J784" t="n">
        <v>0</v>
      </c>
      <c r="K784" t="n">
        <v>0</v>
      </c>
      <c r="L784" t="n">
        <v>0</v>
      </c>
      <c r="M784" t="n">
        <v>0</v>
      </c>
      <c r="N784" t="n">
        <v>0</v>
      </c>
      <c r="O784" t="n">
        <v>0</v>
      </c>
      <c r="P784" t="n">
        <v>0</v>
      </c>
      <c r="Q784" t="n">
        <v>0</v>
      </c>
      <c r="R784" s="2" t="inlineStr"/>
    </row>
    <row r="785" ht="15" customHeight="1">
      <c r="A785" t="inlineStr">
        <is>
          <t>A 9113-2023</t>
        </is>
      </c>
      <c r="B785" s="1" t="n">
        <v>44979</v>
      </c>
      <c r="C785" s="1" t="n">
        <v>45575</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9475-2023</t>
        </is>
      </c>
      <c r="B786" s="1" t="n">
        <v>44981</v>
      </c>
      <c r="C786" s="1" t="n">
        <v>45575</v>
      </c>
      <c r="D786" t="inlineStr">
        <is>
          <t>KALMAR LÄN</t>
        </is>
      </c>
      <c r="E786" t="inlineStr">
        <is>
          <t>VIMMERBY</t>
        </is>
      </c>
      <c r="G786" t="n">
        <v>2</v>
      </c>
      <c r="H786" t="n">
        <v>0</v>
      </c>
      <c r="I786" t="n">
        <v>0</v>
      </c>
      <c r="J786" t="n">
        <v>0</v>
      </c>
      <c r="K786" t="n">
        <v>0</v>
      </c>
      <c r="L786" t="n">
        <v>0</v>
      </c>
      <c r="M786" t="n">
        <v>0</v>
      </c>
      <c r="N786" t="n">
        <v>0</v>
      </c>
      <c r="O786" t="n">
        <v>0</v>
      </c>
      <c r="P786" t="n">
        <v>0</v>
      </c>
      <c r="Q786" t="n">
        <v>0</v>
      </c>
      <c r="R786" s="2" t="inlineStr"/>
    </row>
    <row r="787" ht="15" customHeight="1">
      <c r="A787" t="inlineStr">
        <is>
          <t>A 9511-2023</t>
        </is>
      </c>
      <c r="B787" s="1" t="n">
        <v>44981</v>
      </c>
      <c r="C787" s="1" t="n">
        <v>45575</v>
      </c>
      <c r="D787" t="inlineStr">
        <is>
          <t>KALMAR LÄN</t>
        </is>
      </c>
      <c r="E787" t="inlineStr">
        <is>
          <t>VIMMERBY</t>
        </is>
      </c>
      <c r="G787" t="n">
        <v>3.5</v>
      </c>
      <c r="H787" t="n">
        <v>0</v>
      </c>
      <c r="I787" t="n">
        <v>0</v>
      </c>
      <c r="J787" t="n">
        <v>0</v>
      </c>
      <c r="K787" t="n">
        <v>0</v>
      </c>
      <c r="L787" t="n">
        <v>0</v>
      </c>
      <c r="M787" t="n">
        <v>0</v>
      </c>
      <c r="N787" t="n">
        <v>0</v>
      </c>
      <c r="O787" t="n">
        <v>0</v>
      </c>
      <c r="P787" t="n">
        <v>0</v>
      </c>
      <c r="Q787" t="n">
        <v>0</v>
      </c>
      <c r="R787" s="2" t="inlineStr"/>
    </row>
    <row r="788" ht="15" customHeight="1">
      <c r="A788" t="inlineStr">
        <is>
          <t>A 9644-2023</t>
        </is>
      </c>
      <c r="B788" s="1" t="n">
        <v>44984</v>
      </c>
      <c r="C788" s="1" t="n">
        <v>45575</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9694-2023</t>
        </is>
      </c>
      <c r="B789" s="1" t="n">
        <v>44984</v>
      </c>
      <c r="C789" s="1" t="n">
        <v>45575</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9710-2023</t>
        </is>
      </c>
      <c r="B790" s="1" t="n">
        <v>44984</v>
      </c>
      <c r="C790" s="1" t="n">
        <v>45575</v>
      </c>
      <c r="D790" t="inlineStr">
        <is>
          <t>KALMAR LÄN</t>
        </is>
      </c>
      <c r="E790" t="inlineStr">
        <is>
          <t>VIMMERBY</t>
        </is>
      </c>
      <c r="G790" t="n">
        <v>3.7</v>
      </c>
      <c r="H790" t="n">
        <v>0</v>
      </c>
      <c r="I790" t="n">
        <v>0</v>
      </c>
      <c r="J790" t="n">
        <v>0</v>
      </c>
      <c r="K790" t="n">
        <v>0</v>
      </c>
      <c r="L790" t="n">
        <v>0</v>
      </c>
      <c r="M790" t="n">
        <v>0</v>
      </c>
      <c r="N790" t="n">
        <v>0</v>
      </c>
      <c r="O790" t="n">
        <v>0</v>
      </c>
      <c r="P790" t="n">
        <v>0</v>
      </c>
      <c r="Q790" t="n">
        <v>0</v>
      </c>
      <c r="R790" s="2" t="inlineStr"/>
    </row>
    <row r="791" ht="15" customHeight="1">
      <c r="A791" t="inlineStr">
        <is>
          <t>A 9720-2023</t>
        </is>
      </c>
      <c r="B791" s="1" t="n">
        <v>44984</v>
      </c>
      <c r="C791" s="1" t="n">
        <v>45575</v>
      </c>
      <c r="D791" t="inlineStr">
        <is>
          <t>KALMAR LÄN</t>
        </is>
      </c>
      <c r="E791" t="inlineStr">
        <is>
          <t>VIMMERBY</t>
        </is>
      </c>
      <c r="G791" t="n">
        <v>4.4</v>
      </c>
      <c r="H791" t="n">
        <v>0</v>
      </c>
      <c r="I791" t="n">
        <v>0</v>
      </c>
      <c r="J791" t="n">
        <v>0</v>
      </c>
      <c r="K791" t="n">
        <v>0</v>
      </c>
      <c r="L791" t="n">
        <v>0</v>
      </c>
      <c r="M791" t="n">
        <v>0</v>
      </c>
      <c r="N791" t="n">
        <v>0</v>
      </c>
      <c r="O791" t="n">
        <v>0</v>
      </c>
      <c r="P791" t="n">
        <v>0</v>
      </c>
      <c r="Q791" t="n">
        <v>0</v>
      </c>
      <c r="R791" s="2" t="inlineStr"/>
    </row>
    <row r="792" ht="15" customHeight="1">
      <c r="A792" t="inlineStr">
        <is>
          <t>A 9643-2023</t>
        </is>
      </c>
      <c r="B792" s="1" t="n">
        <v>44984</v>
      </c>
      <c r="C792" s="1" t="n">
        <v>45575</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10444-2023</t>
        </is>
      </c>
      <c r="B793" s="1" t="n">
        <v>44987</v>
      </c>
      <c r="C793" s="1" t="n">
        <v>45575</v>
      </c>
      <c r="D793" t="inlineStr">
        <is>
          <t>KALMAR LÄN</t>
        </is>
      </c>
      <c r="E793" t="inlineStr">
        <is>
          <t>VIMMERBY</t>
        </is>
      </c>
      <c r="G793" t="n">
        <v>7.4</v>
      </c>
      <c r="H793" t="n">
        <v>0</v>
      </c>
      <c r="I793" t="n">
        <v>0</v>
      </c>
      <c r="J793" t="n">
        <v>0</v>
      </c>
      <c r="K793" t="n">
        <v>0</v>
      </c>
      <c r="L793" t="n">
        <v>0</v>
      </c>
      <c r="M793" t="n">
        <v>0</v>
      </c>
      <c r="N793" t="n">
        <v>0</v>
      </c>
      <c r="O793" t="n">
        <v>0</v>
      </c>
      <c r="P793" t="n">
        <v>0</v>
      </c>
      <c r="Q793" t="n">
        <v>0</v>
      </c>
      <c r="R793" s="2" t="inlineStr"/>
    </row>
    <row r="794" ht="15" customHeight="1">
      <c r="A794" t="inlineStr">
        <is>
          <t>A 10424-2023</t>
        </is>
      </c>
      <c r="B794" s="1" t="n">
        <v>44987</v>
      </c>
      <c r="C794" s="1" t="n">
        <v>45575</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10439-2023</t>
        </is>
      </c>
      <c r="B795" s="1" t="n">
        <v>44987</v>
      </c>
      <c r="C795" s="1" t="n">
        <v>45575</v>
      </c>
      <c r="D795" t="inlineStr">
        <is>
          <t>KALMAR LÄN</t>
        </is>
      </c>
      <c r="E795" t="inlineStr">
        <is>
          <t>VIMMERBY</t>
        </is>
      </c>
      <c r="G795" t="n">
        <v>2.9</v>
      </c>
      <c r="H795" t="n">
        <v>0</v>
      </c>
      <c r="I795" t="n">
        <v>0</v>
      </c>
      <c r="J795" t="n">
        <v>0</v>
      </c>
      <c r="K795" t="n">
        <v>0</v>
      </c>
      <c r="L795" t="n">
        <v>0</v>
      </c>
      <c r="M795" t="n">
        <v>0</v>
      </c>
      <c r="N795" t="n">
        <v>0</v>
      </c>
      <c r="O795" t="n">
        <v>0</v>
      </c>
      <c r="P795" t="n">
        <v>0</v>
      </c>
      <c r="Q795" t="n">
        <v>0</v>
      </c>
      <c r="R795" s="2" t="inlineStr"/>
    </row>
    <row r="796" ht="15" customHeight="1">
      <c r="A796" t="inlineStr">
        <is>
          <t>A 10759-2023</t>
        </is>
      </c>
      <c r="B796" s="1" t="n">
        <v>44988</v>
      </c>
      <c r="C796" s="1" t="n">
        <v>45575</v>
      </c>
      <c r="D796" t="inlineStr">
        <is>
          <t>KALMAR LÄN</t>
        </is>
      </c>
      <c r="E796" t="inlineStr">
        <is>
          <t>VIMMERBY</t>
        </is>
      </c>
      <c r="G796" t="n">
        <v>0.4</v>
      </c>
      <c r="H796" t="n">
        <v>0</v>
      </c>
      <c r="I796" t="n">
        <v>0</v>
      </c>
      <c r="J796" t="n">
        <v>0</v>
      </c>
      <c r="K796" t="n">
        <v>0</v>
      </c>
      <c r="L796" t="n">
        <v>0</v>
      </c>
      <c r="M796" t="n">
        <v>0</v>
      </c>
      <c r="N796" t="n">
        <v>0</v>
      </c>
      <c r="O796" t="n">
        <v>0</v>
      </c>
      <c r="P796" t="n">
        <v>0</v>
      </c>
      <c r="Q796" t="n">
        <v>0</v>
      </c>
      <c r="R796" s="2" t="inlineStr"/>
    </row>
    <row r="797" ht="15" customHeight="1">
      <c r="A797" t="inlineStr">
        <is>
          <t>A 10800-2023</t>
        </is>
      </c>
      <c r="B797" s="1" t="n">
        <v>44989</v>
      </c>
      <c r="C797" s="1" t="n">
        <v>45575</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10821-2023</t>
        </is>
      </c>
      <c r="B798" s="1" t="n">
        <v>44990</v>
      </c>
      <c r="C798" s="1" t="n">
        <v>45575</v>
      </c>
      <c r="D798" t="inlineStr">
        <is>
          <t>KALMAR LÄN</t>
        </is>
      </c>
      <c r="E798" t="inlineStr">
        <is>
          <t>VIMMERBY</t>
        </is>
      </c>
      <c r="G798" t="n">
        <v>4.3</v>
      </c>
      <c r="H798" t="n">
        <v>0</v>
      </c>
      <c r="I798" t="n">
        <v>0</v>
      </c>
      <c r="J798" t="n">
        <v>0</v>
      </c>
      <c r="K798" t="n">
        <v>0</v>
      </c>
      <c r="L798" t="n">
        <v>0</v>
      </c>
      <c r="M798" t="n">
        <v>0</v>
      </c>
      <c r="N798" t="n">
        <v>0</v>
      </c>
      <c r="O798" t="n">
        <v>0</v>
      </c>
      <c r="P798" t="n">
        <v>0</v>
      </c>
      <c r="Q798" t="n">
        <v>0</v>
      </c>
      <c r="R798" s="2" t="inlineStr"/>
    </row>
    <row r="799" ht="15" customHeight="1">
      <c r="A799" t="inlineStr">
        <is>
          <t>A 10837-2023</t>
        </is>
      </c>
      <c r="B799" s="1" t="n">
        <v>44991</v>
      </c>
      <c r="C799" s="1" t="n">
        <v>45575</v>
      </c>
      <c r="D799" t="inlineStr">
        <is>
          <t>KALMAR LÄN</t>
        </is>
      </c>
      <c r="E799" t="inlineStr">
        <is>
          <t>VIMMERBY</t>
        </is>
      </c>
      <c r="G799" t="n">
        <v>7.3</v>
      </c>
      <c r="H799" t="n">
        <v>0</v>
      </c>
      <c r="I799" t="n">
        <v>0</v>
      </c>
      <c r="J799" t="n">
        <v>0</v>
      </c>
      <c r="K799" t="n">
        <v>0</v>
      </c>
      <c r="L799" t="n">
        <v>0</v>
      </c>
      <c r="M799" t="n">
        <v>0</v>
      </c>
      <c r="N799" t="n">
        <v>0</v>
      </c>
      <c r="O799" t="n">
        <v>0</v>
      </c>
      <c r="P799" t="n">
        <v>0</v>
      </c>
      <c r="Q799" t="n">
        <v>0</v>
      </c>
      <c r="R799" s="2" t="inlineStr"/>
    </row>
    <row r="800" ht="15" customHeight="1">
      <c r="A800" t="inlineStr">
        <is>
          <t>A 10835-2023</t>
        </is>
      </c>
      <c r="B800" s="1" t="n">
        <v>44991</v>
      </c>
      <c r="C800" s="1" t="n">
        <v>45575</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10838-2023</t>
        </is>
      </c>
      <c r="B801" s="1" t="n">
        <v>44991</v>
      </c>
      <c r="C801" s="1" t="n">
        <v>45575</v>
      </c>
      <c r="D801" t="inlineStr">
        <is>
          <t>KALMAR LÄN</t>
        </is>
      </c>
      <c r="E801" t="inlineStr">
        <is>
          <t>VIMMERBY</t>
        </is>
      </c>
      <c r="G801" t="n">
        <v>5.1</v>
      </c>
      <c r="H801" t="n">
        <v>0</v>
      </c>
      <c r="I801" t="n">
        <v>0</v>
      </c>
      <c r="J801" t="n">
        <v>0</v>
      </c>
      <c r="K801" t="n">
        <v>0</v>
      </c>
      <c r="L801" t="n">
        <v>0</v>
      </c>
      <c r="M801" t="n">
        <v>0</v>
      </c>
      <c r="N801" t="n">
        <v>0</v>
      </c>
      <c r="O801" t="n">
        <v>0</v>
      </c>
      <c r="P801" t="n">
        <v>0</v>
      </c>
      <c r="Q801" t="n">
        <v>0</v>
      </c>
      <c r="R801" s="2" t="inlineStr"/>
    </row>
    <row r="802" ht="15" customHeight="1">
      <c r="A802" t="inlineStr">
        <is>
          <t>A 11027-2023</t>
        </is>
      </c>
      <c r="B802" s="1" t="n">
        <v>44991</v>
      </c>
      <c r="C802" s="1" t="n">
        <v>45575</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11076-2023</t>
        </is>
      </c>
      <c r="B803" s="1" t="n">
        <v>44992</v>
      </c>
      <c r="C803" s="1" t="n">
        <v>45575</v>
      </c>
      <c r="D803" t="inlineStr">
        <is>
          <t>KALMAR LÄN</t>
        </is>
      </c>
      <c r="E803" t="inlineStr">
        <is>
          <t>VIMMERBY</t>
        </is>
      </c>
      <c r="G803" t="n">
        <v>6.1</v>
      </c>
      <c r="H803" t="n">
        <v>0</v>
      </c>
      <c r="I803" t="n">
        <v>0</v>
      </c>
      <c r="J803" t="n">
        <v>0</v>
      </c>
      <c r="K803" t="n">
        <v>0</v>
      </c>
      <c r="L803" t="n">
        <v>0</v>
      </c>
      <c r="M803" t="n">
        <v>0</v>
      </c>
      <c r="N803" t="n">
        <v>0</v>
      </c>
      <c r="O803" t="n">
        <v>0</v>
      </c>
      <c r="P803" t="n">
        <v>0</v>
      </c>
      <c r="Q803" t="n">
        <v>0</v>
      </c>
      <c r="R803" s="2" t="inlineStr"/>
    </row>
    <row r="804" ht="15" customHeight="1">
      <c r="A804" t="inlineStr">
        <is>
          <t>A 11073-2023</t>
        </is>
      </c>
      <c r="B804" s="1" t="n">
        <v>44992</v>
      </c>
      <c r="C804" s="1" t="n">
        <v>45575</v>
      </c>
      <c r="D804" t="inlineStr">
        <is>
          <t>KALMAR LÄN</t>
        </is>
      </c>
      <c r="E804" t="inlineStr">
        <is>
          <t>VIMMERBY</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11147-2023</t>
        </is>
      </c>
      <c r="B805" s="1" t="n">
        <v>44992</v>
      </c>
      <c r="C805" s="1" t="n">
        <v>45575</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11111-2023</t>
        </is>
      </c>
      <c r="B806" s="1" t="n">
        <v>44992</v>
      </c>
      <c r="C806" s="1" t="n">
        <v>45575</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11152-2023</t>
        </is>
      </c>
      <c r="B807" s="1" t="n">
        <v>44992</v>
      </c>
      <c r="C807" s="1" t="n">
        <v>45575</v>
      </c>
      <c r="D807" t="inlineStr">
        <is>
          <t>KALMAR LÄN</t>
        </is>
      </c>
      <c r="E807" t="inlineStr">
        <is>
          <t>VIMMERBY</t>
        </is>
      </c>
      <c r="G807" t="n">
        <v>10.6</v>
      </c>
      <c r="H807" t="n">
        <v>0</v>
      </c>
      <c r="I807" t="n">
        <v>0</v>
      </c>
      <c r="J807" t="n">
        <v>0</v>
      </c>
      <c r="K807" t="n">
        <v>0</v>
      </c>
      <c r="L807" t="n">
        <v>0</v>
      </c>
      <c r="M807" t="n">
        <v>0</v>
      </c>
      <c r="N807" t="n">
        <v>0</v>
      </c>
      <c r="O807" t="n">
        <v>0</v>
      </c>
      <c r="P807" t="n">
        <v>0</v>
      </c>
      <c r="Q807" t="n">
        <v>0</v>
      </c>
      <c r="R807" s="2" t="inlineStr"/>
    </row>
    <row r="808" ht="15" customHeight="1">
      <c r="A808" t="inlineStr">
        <is>
          <t>A 11074-2023</t>
        </is>
      </c>
      <c r="B808" s="1" t="n">
        <v>44992</v>
      </c>
      <c r="C808" s="1" t="n">
        <v>45575</v>
      </c>
      <c r="D808" t="inlineStr">
        <is>
          <t>KALMAR LÄN</t>
        </is>
      </c>
      <c r="E808" t="inlineStr">
        <is>
          <t>VIMMERBY</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11219-2023</t>
        </is>
      </c>
      <c r="B809" s="1" t="n">
        <v>44992</v>
      </c>
      <c r="C809" s="1" t="n">
        <v>45575</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11416-2023</t>
        </is>
      </c>
      <c r="B810" s="1" t="n">
        <v>44993</v>
      </c>
      <c r="C810" s="1" t="n">
        <v>45575</v>
      </c>
      <c r="D810" t="inlineStr">
        <is>
          <t>KALMAR LÄN</t>
        </is>
      </c>
      <c r="E810" t="inlineStr">
        <is>
          <t>VIMMERBY</t>
        </is>
      </c>
      <c r="G810" t="n">
        <v>1.8</v>
      </c>
      <c r="H810" t="n">
        <v>0</v>
      </c>
      <c r="I810" t="n">
        <v>0</v>
      </c>
      <c r="J810" t="n">
        <v>0</v>
      </c>
      <c r="K810" t="n">
        <v>0</v>
      </c>
      <c r="L810" t="n">
        <v>0</v>
      </c>
      <c r="M810" t="n">
        <v>0</v>
      </c>
      <c r="N810" t="n">
        <v>0</v>
      </c>
      <c r="O810" t="n">
        <v>0</v>
      </c>
      <c r="P810" t="n">
        <v>0</v>
      </c>
      <c r="Q810" t="n">
        <v>0</v>
      </c>
      <c r="R810" s="2" t="inlineStr"/>
    </row>
    <row r="811" ht="15" customHeight="1">
      <c r="A811" t="inlineStr">
        <is>
          <t>A 11619-2023</t>
        </is>
      </c>
      <c r="B811" s="1" t="n">
        <v>44994</v>
      </c>
      <c r="C811" s="1" t="n">
        <v>45575</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11609-2023</t>
        </is>
      </c>
      <c r="B812" s="1" t="n">
        <v>44994</v>
      </c>
      <c r="C812" s="1" t="n">
        <v>45575</v>
      </c>
      <c r="D812" t="inlineStr">
        <is>
          <t>KALMAR LÄN</t>
        </is>
      </c>
      <c r="E812" t="inlineStr">
        <is>
          <t>VIMMERBY</t>
        </is>
      </c>
      <c r="G812" t="n">
        <v>4.9</v>
      </c>
      <c r="H812" t="n">
        <v>0</v>
      </c>
      <c r="I812" t="n">
        <v>0</v>
      </c>
      <c r="J812" t="n">
        <v>0</v>
      </c>
      <c r="K812" t="n">
        <v>0</v>
      </c>
      <c r="L812" t="n">
        <v>0</v>
      </c>
      <c r="M812" t="n">
        <v>0</v>
      </c>
      <c r="N812" t="n">
        <v>0</v>
      </c>
      <c r="O812" t="n">
        <v>0</v>
      </c>
      <c r="P812" t="n">
        <v>0</v>
      </c>
      <c r="Q812" t="n">
        <v>0</v>
      </c>
      <c r="R812" s="2" t="inlineStr"/>
    </row>
    <row r="813" ht="15" customHeight="1">
      <c r="A813" t="inlineStr">
        <is>
          <t>A 11661-2023</t>
        </is>
      </c>
      <c r="B813" s="1" t="n">
        <v>44994</v>
      </c>
      <c r="C813" s="1" t="n">
        <v>45575</v>
      </c>
      <c r="D813" t="inlineStr">
        <is>
          <t>KALMAR LÄN</t>
        </is>
      </c>
      <c r="E813" t="inlineStr">
        <is>
          <t>VIMMERBY</t>
        </is>
      </c>
      <c r="G813" t="n">
        <v>2.7</v>
      </c>
      <c r="H813" t="n">
        <v>0</v>
      </c>
      <c r="I813" t="n">
        <v>0</v>
      </c>
      <c r="J813" t="n">
        <v>0</v>
      </c>
      <c r="K813" t="n">
        <v>0</v>
      </c>
      <c r="L813" t="n">
        <v>0</v>
      </c>
      <c r="M813" t="n">
        <v>0</v>
      </c>
      <c r="N813" t="n">
        <v>0</v>
      </c>
      <c r="O813" t="n">
        <v>0</v>
      </c>
      <c r="P813" t="n">
        <v>0</v>
      </c>
      <c r="Q813" t="n">
        <v>0</v>
      </c>
      <c r="R813" s="2" t="inlineStr"/>
    </row>
    <row r="814" ht="15" customHeight="1">
      <c r="A814" t="inlineStr">
        <is>
          <t>A 12008-2023</t>
        </is>
      </c>
      <c r="B814" s="1" t="n">
        <v>44995</v>
      </c>
      <c r="C814" s="1" t="n">
        <v>45575</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11999-2023</t>
        </is>
      </c>
      <c r="B815" s="1" t="n">
        <v>44995</v>
      </c>
      <c r="C815" s="1" t="n">
        <v>45575</v>
      </c>
      <c r="D815" t="inlineStr">
        <is>
          <t>KALMAR LÄN</t>
        </is>
      </c>
      <c r="E815" t="inlineStr">
        <is>
          <t>VIMMERBY</t>
        </is>
      </c>
      <c r="G815" t="n">
        <v>2.2</v>
      </c>
      <c r="H815" t="n">
        <v>0</v>
      </c>
      <c r="I815" t="n">
        <v>0</v>
      </c>
      <c r="J815" t="n">
        <v>0</v>
      </c>
      <c r="K815" t="n">
        <v>0</v>
      </c>
      <c r="L815" t="n">
        <v>0</v>
      </c>
      <c r="M815" t="n">
        <v>0</v>
      </c>
      <c r="N815" t="n">
        <v>0</v>
      </c>
      <c r="O815" t="n">
        <v>0</v>
      </c>
      <c r="P815" t="n">
        <v>0</v>
      </c>
      <c r="Q815" t="n">
        <v>0</v>
      </c>
      <c r="R815" s="2" t="inlineStr"/>
    </row>
    <row r="816" ht="15" customHeight="1">
      <c r="A816" t="inlineStr">
        <is>
          <t>A 12012-2023</t>
        </is>
      </c>
      <c r="B816" s="1" t="n">
        <v>44995</v>
      </c>
      <c r="C816" s="1" t="n">
        <v>45575</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12010-2023</t>
        </is>
      </c>
      <c r="B817" s="1" t="n">
        <v>44995</v>
      </c>
      <c r="C817" s="1" t="n">
        <v>45575</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12325-2023</t>
        </is>
      </c>
      <c r="B818" s="1" t="n">
        <v>44999</v>
      </c>
      <c r="C818" s="1" t="n">
        <v>45575</v>
      </c>
      <c r="D818" t="inlineStr">
        <is>
          <t>KALMAR LÄN</t>
        </is>
      </c>
      <c r="E818" t="inlineStr">
        <is>
          <t>VIMMERBY</t>
        </is>
      </c>
      <c r="G818" t="n">
        <v>3.4</v>
      </c>
      <c r="H818" t="n">
        <v>0</v>
      </c>
      <c r="I818" t="n">
        <v>0</v>
      </c>
      <c r="J818" t="n">
        <v>0</v>
      </c>
      <c r="K818" t="n">
        <v>0</v>
      </c>
      <c r="L818" t="n">
        <v>0</v>
      </c>
      <c r="M818" t="n">
        <v>0</v>
      </c>
      <c r="N818" t="n">
        <v>0</v>
      </c>
      <c r="O818" t="n">
        <v>0</v>
      </c>
      <c r="P818" t="n">
        <v>0</v>
      </c>
      <c r="Q818" t="n">
        <v>0</v>
      </c>
      <c r="R818" s="2" t="inlineStr"/>
    </row>
    <row r="819" ht="15" customHeight="1">
      <c r="A819" t="inlineStr">
        <is>
          <t>A 12327-2023</t>
        </is>
      </c>
      <c r="B819" s="1" t="n">
        <v>44999</v>
      </c>
      <c r="C819" s="1" t="n">
        <v>45575</v>
      </c>
      <c r="D819" t="inlineStr">
        <is>
          <t>KALMAR LÄN</t>
        </is>
      </c>
      <c r="E819" t="inlineStr">
        <is>
          <t>VIMMERBY</t>
        </is>
      </c>
      <c r="G819" t="n">
        <v>1.2</v>
      </c>
      <c r="H819" t="n">
        <v>0</v>
      </c>
      <c r="I819" t="n">
        <v>0</v>
      </c>
      <c r="J819" t="n">
        <v>0</v>
      </c>
      <c r="K819" t="n">
        <v>0</v>
      </c>
      <c r="L819" t="n">
        <v>0</v>
      </c>
      <c r="M819" t="n">
        <v>0</v>
      </c>
      <c r="N819" t="n">
        <v>0</v>
      </c>
      <c r="O819" t="n">
        <v>0</v>
      </c>
      <c r="P819" t="n">
        <v>0</v>
      </c>
      <c r="Q819" t="n">
        <v>0</v>
      </c>
      <c r="R819" s="2" t="inlineStr"/>
    </row>
    <row r="820" ht="15" customHeight="1">
      <c r="A820" t="inlineStr">
        <is>
          <t>A 12499-2023</t>
        </is>
      </c>
      <c r="B820" s="1" t="n">
        <v>44999</v>
      </c>
      <c r="C820" s="1" t="n">
        <v>45575</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12500-2023</t>
        </is>
      </c>
      <c r="B821" s="1" t="n">
        <v>44999</v>
      </c>
      <c r="C821" s="1" t="n">
        <v>45575</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12630-2023</t>
        </is>
      </c>
      <c r="B822" s="1" t="n">
        <v>45000</v>
      </c>
      <c r="C822" s="1" t="n">
        <v>45575</v>
      </c>
      <c r="D822" t="inlineStr">
        <is>
          <t>KALMAR LÄN</t>
        </is>
      </c>
      <c r="E822" t="inlineStr">
        <is>
          <t>VIMMERBY</t>
        </is>
      </c>
      <c r="G822" t="n">
        <v>2.1</v>
      </c>
      <c r="H822" t="n">
        <v>0</v>
      </c>
      <c r="I822" t="n">
        <v>0</v>
      </c>
      <c r="J822" t="n">
        <v>0</v>
      </c>
      <c r="K822" t="n">
        <v>0</v>
      </c>
      <c r="L822" t="n">
        <v>0</v>
      </c>
      <c r="M822" t="n">
        <v>0</v>
      </c>
      <c r="N822" t="n">
        <v>0</v>
      </c>
      <c r="O822" t="n">
        <v>0</v>
      </c>
      <c r="P822" t="n">
        <v>0</v>
      </c>
      <c r="Q822" t="n">
        <v>0</v>
      </c>
      <c r="R822" s="2" t="inlineStr"/>
    </row>
    <row r="823" ht="15" customHeight="1">
      <c r="A823" t="inlineStr">
        <is>
          <t>A 12692-2023</t>
        </is>
      </c>
      <c r="B823" s="1" t="n">
        <v>45000</v>
      </c>
      <c r="C823" s="1" t="n">
        <v>45575</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12810-2023</t>
        </is>
      </c>
      <c r="B824" s="1" t="n">
        <v>45001</v>
      </c>
      <c r="C824" s="1" t="n">
        <v>45575</v>
      </c>
      <c r="D824" t="inlineStr">
        <is>
          <t>KALMAR LÄN</t>
        </is>
      </c>
      <c r="E824" t="inlineStr">
        <is>
          <t>VIMMERBY</t>
        </is>
      </c>
      <c r="G824" t="n">
        <v>1.5</v>
      </c>
      <c r="H824" t="n">
        <v>0</v>
      </c>
      <c r="I824" t="n">
        <v>0</v>
      </c>
      <c r="J824" t="n">
        <v>0</v>
      </c>
      <c r="K824" t="n">
        <v>0</v>
      </c>
      <c r="L824" t="n">
        <v>0</v>
      </c>
      <c r="M824" t="n">
        <v>0</v>
      </c>
      <c r="N824" t="n">
        <v>0</v>
      </c>
      <c r="O824" t="n">
        <v>0</v>
      </c>
      <c r="P824" t="n">
        <v>0</v>
      </c>
      <c r="Q824" t="n">
        <v>0</v>
      </c>
      <c r="R824" s="2" t="inlineStr"/>
    </row>
    <row r="825" ht="15" customHeight="1">
      <c r="A825" t="inlineStr">
        <is>
          <t>A 12890-2023</t>
        </is>
      </c>
      <c r="B825" s="1" t="n">
        <v>45001</v>
      </c>
      <c r="C825" s="1" t="n">
        <v>45575</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13015-2023</t>
        </is>
      </c>
      <c r="B826" s="1" t="n">
        <v>45002</v>
      </c>
      <c r="C826" s="1" t="n">
        <v>45575</v>
      </c>
      <c r="D826" t="inlineStr">
        <is>
          <t>KALMAR LÄN</t>
        </is>
      </c>
      <c r="E826" t="inlineStr">
        <is>
          <t>VIMMERBY</t>
        </is>
      </c>
      <c r="G826" t="n">
        <v>3.2</v>
      </c>
      <c r="H826" t="n">
        <v>0</v>
      </c>
      <c r="I826" t="n">
        <v>0</v>
      </c>
      <c r="J826" t="n">
        <v>0</v>
      </c>
      <c r="K826" t="n">
        <v>0</v>
      </c>
      <c r="L826" t="n">
        <v>0</v>
      </c>
      <c r="M826" t="n">
        <v>0</v>
      </c>
      <c r="N826" t="n">
        <v>0</v>
      </c>
      <c r="O826" t="n">
        <v>0</v>
      </c>
      <c r="P826" t="n">
        <v>0</v>
      </c>
      <c r="Q826" t="n">
        <v>0</v>
      </c>
      <c r="R826" s="2" t="inlineStr"/>
    </row>
    <row r="827" ht="15" customHeight="1">
      <c r="A827" t="inlineStr">
        <is>
          <t>A 13462-2023</t>
        </is>
      </c>
      <c r="B827" s="1" t="n">
        <v>45005</v>
      </c>
      <c r="C827" s="1" t="n">
        <v>45575</v>
      </c>
      <c r="D827" t="inlineStr">
        <is>
          <t>KALMAR LÄN</t>
        </is>
      </c>
      <c r="E827" t="inlineStr">
        <is>
          <t>VIMMERBY</t>
        </is>
      </c>
      <c r="G827" t="n">
        <v>1.9</v>
      </c>
      <c r="H827" t="n">
        <v>0</v>
      </c>
      <c r="I827" t="n">
        <v>0</v>
      </c>
      <c r="J827" t="n">
        <v>0</v>
      </c>
      <c r="K827" t="n">
        <v>0</v>
      </c>
      <c r="L827" t="n">
        <v>0</v>
      </c>
      <c r="M827" t="n">
        <v>0</v>
      </c>
      <c r="N827" t="n">
        <v>0</v>
      </c>
      <c r="O827" t="n">
        <v>0</v>
      </c>
      <c r="P827" t="n">
        <v>0</v>
      </c>
      <c r="Q827" t="n">
        <v>0</v>
      </c>
      <c r="R827" s="2" t="inlineStr"/>
    </row>
    <row r="828" ht="15" customHeight="1">
      <c r="A828" t="inlineStr">
        <is>
          <t>A 13797-2023</t>
        </is>
      </c>
      <c r="B828" s="1" t="n">
        <v>45007</v>
      </c>
      <c r="C828" s="1" t="n">
        <v>45575</v>
      </c>
      <c r="D828" t="inlineStr">
        <is>
          <t>KALMAR LÄN</t>
        </is>
      </c>
      <c r="E828" t="inlineStr">
        <is>
          <t>VIMMERBY</t>
        </is>
      </c>
      <c r="G828" t="n">
        <v>2.2</v>
      </c>
      <c r="H828" t="n">
        <v>0</v>
      </c>
      <c r="I828" t="n">
        <v>0</v>
      </c>
      <c r="J828" t="n">
        <v>0</v>
      </c>
      <c r="K828" t="n">
        <v>0</v>
      </c>
      <c r="L828" t="n">
        <v>0</v>
      </c>
      <c r="M828" t="n">
        <v>0</v>
      </c>
      <c r="N828" t="n">
        <v>0</v>
      </c>
      <c r="O828" t="n">
        <v>0</v>
      </c>
      <c r="P828" t="n">
        <v>0</v>
      </c>
      <c r="Q828" t="n">
        <v>0</v>
      </c>
      <c r="R828" s="2" t="inlineStr"/>
    </row>
    <row r="829" ht="15" customHeight="1">
      <c r="A829" t="inlineStr">
        <is>
          <t>A 14025-2023</t>
        </is>
      </c>
      <c r="B829" s="1" t="n">
        <v>45008</v>
      </c>
      <c r="C829" s="1" t="n">
        <v>45575</v>
      </c>
      <c r="D829" t="inlineStr">
        <is>
          <t>KALMAR LÄN</t>
        </is>
      </c>
      <c r="E829" t="inlineStr">
        <is>
          <t>VIMMERBY</t>
        </is>
      </c>
      <c r="G829" t="n">
        <v>1.1</v>
      </c>
      <c r="H829" t="n">
        <v>0</v>
      </c>
      <c r="I829" t="n">
        <v>0</v>
      </c>
      <c r="J829" t="n">
        <v>0</v>
      </c>
      <c r="K829" t="n">
        <v>0</v>
      </c>
      <c r="L829" t="n">
        <v>0</v>
      </c>
      <c r="M829" t="n">
        <v>0</v>
      </c>
      <c r="N829" t="n">
        <v>0</v>
      </c>
      <c r="O829" t="n">
        <v>0</v>
      </c>
      <c r="P829" t="n">
        <v>0</v>
      </c>
      <c r="Q829" t="n">
        <v>0</v>
      </c>
      <c r="R829" s="2" t="inlineStr"/>
    </row>
    <row r="830" ht="15" customHeight="1">
      <c r="A830" t="inlineStr">
        <is>
          <t>A 14132-2023</t>
        </is>
      </c>
      <c r="B830" s="1" t="n">
        <v>45009</v>
      </c>
      <c r="C830" s="1" t="n">
        <v>45575</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14137-2023</t>
        </is>
      </c>
      <c r="B831" s="1" t="n">
        <v>45009</v>
      </c>
      <c r="C831" s="1" t="n">
        <v>45575</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14142-2023</t>
        </is>
      </c>
      <c r="B832" s="1" t="n">
        <v>45009</v>
      </c>
      <c r="C832" s="1" t="n">
        <v>45575</v>
      </c>
      <c r="D832" t="inlineStr">
        <is>
          <t>KALMAR LÄN</t>
        </is>
      </c>
      <c r="E832" t="inlineStr">
        <is>
          <t>VIMMERBY</t>
        </is>
      </c>
      <c r="G832" t="n">
        <v>3</v>
      </c>
      <c r="H832" t="n">
        <v>0</v>
      </c>
      <c r="I832" t="n">
        <v>0</v>
      </c>
      <c r="J832" t="n">
        <v>0</v>
      </c>
      <c r="K832" t="n">
        <v>0</v>
      </c>
      <c r="L832" t="n">
        <v>0</v>
      </c>
      <c r="M832" t="n">
        <v>0</v>
      </c>
      <c r="N832" t="n">
        <v>0</v>
      </c>
      <c r="O832" t="n">
        <v>0</v>
      </c>
      <c r="P832" t="n">
        <v>0</v>
      </c>
      <c r="Q832" t="n">
        <v>0</v>
      </c>
      <c r="R832" s="2" t="inlineStr"/>
    </row>
    <row r="833" ht="15" customHeight="1">
      <c r="A833" t="inlineStr">
        <is>
          <t>A 14248-2023</t>
        </is>
      </c>
      <c r="B833" s="1" t="n">
        <v>45009</v>
      </c>
      <c r="C833" s="1" t="n">
        <v>45575</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14440-2023</t>
        </is>
      </c>
      <c r="B834" s="1" t="n">
        <v>45012</v>
      </c>
      <c r="C834" s="1" t="n">
        <v>45575</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14438-2023</t>
        </is>
      </c>
      <c r="B835" s="1" t="n">
        <v>45012</v>
      </c>
      <c r="C835" s="1" t="n">
        <v>45575</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14996-2023</t>
        </is>
      </c>
      <c r="B836" s="1" t="n">
        <v>45014</v>
      </c>
      <c r="C836" s="1" t="n">
        <v>45575</v>
      </c>
      <c r="D836" t="inlineStr">
        <is>
          <t>KALMAR LÄN</t>
        </is>
      </c>
      <c r="E836" t="inlineStr">
        <is>
          <t>VIMMERBY</t>
        </is>
      </c>
      <c r="G836" t="n">
        <v>6.9</v>
      </c>
      <c r="H836" t="n">
        <v>0</v>
      </c>
      <c r="I836" t="n">
        <v>0</v>
      </c>
      <c r="J836" t="n">
        <v>0</v>
      </c>
      <c r="K836" t="n">
        <v>0</v>
      </c>
      <c r="L836" t="n">
        <v>0</v>
      </c>
      <c r="M836" t="n">
        <v>0</v>
      </c>
      <c r="N836" t="n">
        <v>0</v>
      </c>
      <c r="O836" t="n">
        <v>0</v>
      </c>
      <c r="P836" t="n">
        <v>0</v>
      </c>
      <c r="Q836" t="n">
        <v>0</v>
      </c>
      <c r="R836" s="2" t="inlineStr"/>
    </row>
    <row r="837" ht="15" customHeight="1">
      <c r="A837" t="inlineStr">
        <is>
          <t>A 15493-2023</t>
        </is>
      </c>
      <c r="B837" s="1" t="n">
        <v>45018</v>
      </c>
      <c r="C837" s="1" t="n">
        <v>45575</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15550-2023</t>
        </is>
      </c>
      <c r="B838" s="1" t="n">
        <v>45020</v>
      </c>
      <c r="C838" s="1" t="n">
        <v>45575</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15449-2023</t>
        </is>
      </c>
      <c r="B839" s="1" t="n">
        <v>45020</v>
      </c>
      <c r="C839" s="1" t="n">
        <v>45575</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15486-2023</t>
        </is>
      </c>
      <c r="B840" s="1" t="n">
        <v>45020</v>
      </c>
      <c r="C840" s="1" t="n">
        <v>45575</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15490-2023</t>
        </is>
      </c>
      <c r="B841" s="1" t="n">
        <v>45020</v>
      </c>
      <c r="C841" s="1" t="n">
        <v>45575</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15740-2023</t>
        </is>
      </c>
      <c r="B842" s="1" t="n">
        <v>45021</v>
      </c>
      <c r="C842" s="1" t="n">
        <v>45575</v>
      </c>
      <c r="D842" t="inlineStr">
        <is>
          <t>KALMAR LÄN</t>
        </is>
      </c>
      <c r="E842" t="inlineStr">
        <is>
          <t>VIMMERBY</t>
        </is>
      </c>
      <c r="G842" t="n">
        <v>1.9</v>
      </c>
      <c r="H842" t="n">
        <v>0</v>
      </c>
      <c r="I842" t="n">
        <v>0</v>
      </c>
      <c r="J842" t="n">
        <v>0</v>
      </c>
      <c r="K842" t="n">
        <v>0</v>
      </c>
      <c r="L842" t="n">
        <v>0</v>
      </c>
      <c r="M842" t="n">
        <v>0</v>
      </c>
      <c r="N842" t="n">
        <v>0</v>
      </c>
      <c r="O842" t="n">
        <v>0</v>
      </c>
      <c r="P842" t="n">
        <v>0</v>
      </c>
      <c r="Q842" t="n">
        <v>0</v>
      </c>
      <c r="R842" s="2" t="inlineStr"/>
    </row>
    <row r="843" ht="15" customHeight="1">
      <c r="A843" t="inlineStr">
        <is>
          <t>A 15993-2023</t>
        </is>
      </c>
      <c r="B843" s="1" t="n">
        <v>45023</v>
      </c>
      <c r="C843" s="1" t="n">
        <v>45575</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16020-2023</t>
        </is>
      </c>
      <c r="B844" s="1" t="n">
        <v>45026</v>
      </c>
      <c r="C844" s="1" t="n">
        <v>45575</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16119-2023</t>
        </is>
      </c>
      <c r="B845" s="1" t="n">
        <v>45027</v>
      </c>
      <c r="C845" s="1" t="n">
        <v>45575</v>
      </c>
      <c r="D845" t="inlineStr">
        <is>
          <t>KALMAR LÄN</t>
        </is>
      </c>
      <c r="E845" t="inlineStr">
        <is>
          <t>VIMMERBY</t>
        </is>
      </c>
      <c r="F845" t="inlineStr">
        <is>
          <t>Kommuner</t>
        </is>
      </c>
      <c r="G845" t="n">
        <v>4.4</v>
      </c>
      <c r="H845" t="n">
        <v>0</v>
      </c>
      <c r="I845" t="n">
        <v>0</v>
      </c>
      <c r="J845" t="n">
        <v>0</v>
      </c>
      <c r="K845" t="n">
        <v>0</v>
      </c>
      <c r="L845" t="n">
        <v>0</v>
      </c>
      <c r="M845" t="n">
        <v>0</v>
      </c>
      <c r="N845" t="n">
        <v>0</v>
      </c>
      <c r="O845" t="n">
        <v>0</v>
      </c>
      <c r="P845" t="n">
        <v>0</v>
      </c>
      <c r="Q845" t="n">
        <v>0</v>
      </c>
      <c r="R845" s="2" t="inlineStr"/>
    </row>
    <row r="846" ht="15" customHeight="1">
      <c r="A846" t="inlineStr">
        <is>
          <t>A 16676-2023</t>
        </is>
      </c>
      <c r="B846" s="1" t="n">
        <v>45028</v>
      </c>
      <c r="C846" s="1" t="n">
        <v>45575</v>
      </c>
      <c r="D846" t="inlineStr">
        <is>
          <t>KALMAR LÄN</t>
        </is>
      </c>
      <c r="E846" t="inlineStr">
        <is>
          <t>VIMMERBY</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16516-2023</t>
        </is>
      </c>
      <c r="B847" s="1" t="n">
        <v>45029</v>
      </c>
      <c r="C847" s="1" t="n">
        <v>45575</v>
      </c>
      <c r="D847" t="inlineStr">
        <is>
          <t>KALMAR LÄN</t>
        </is>
      </c>
      <c r="E847" t="inlineStr">
        <is>
          <t>VIMMERBY</t>
        </is>
      </c>
      <c r="G847" t="n">
        <v>4.3</v>
      </c>
      <c r="H847" t="n">
        <v>0</v>
      </c>
      <c r="I847" t="n">
        <v>0</v>
      </c>
      <c r="J847" t="n">
        <v>0</v>
      </c>
      <c r="K847" t="n">
        <v>0</v>
      </c>
      <c r="L847" t="n">
        <v>0</v>
      </c>
      <c r="M847" t="n">
        <v>0</v>
      </c>
      <c r="N847" t="n">
        <v>0</v>
      </c>
      <c r="O847" t="n">
        <v>0</v>
      </c>
      <c r="P847" t="n">
        <v>0</v>
      </c>
      <c r="Q847" t="n">
        <v>0</v>
      </c>
      <c r="R847" s="2" t="inlineStr"/>
    </row>
    <row r="848" ht="15" customHeight="1">
      <c r="A848" t="inlineStr">
        <is>
          <t>A 16734-2023</t>
        </is>
      </c>
      <c r="B848" s="1" t="n">
        <v>45030</v>
      </c>
      <c r="C848" s="1" t="n">
        <v>45575</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16750-2023</t>
        </is>
      </c>
      <c r="B849" s="1" t="n">
        <v>45030</v>
      </c>
      <c r="C849" s="1" t="n">
        <v>45575</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16927-2023</t>
        </is>
      </c>
      <c r="B850" s="1" t="n">
        <v>45033</v>
      </c>
      <c r="C850" s="1" t="n">
        <v>45575</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16983-2023</t>
        </is>
      </c>
      <c r="B851" s="1" t="n">
        <v>45033</v>
      </c>
      <c r="C851" s="1" t="n">
        <v>45575</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17758-2023</t>
        </is>
      </c>
      <c r="B852" s="1" t="n">
        <v>45037</v>
      </c>
      <c r="C852" s="1" t="n">
        <v>45575</v>
      </c>
      <c r="D852" t="inlineStr">
        <is>
          <t>KALMAR LÄN</t>
        </is>
      </c>
      <c r="E852" t="inlineStr">
        <is>
          <t>VIMMERBY</t>
        </is>
      </c>
      <c r="F852" t="inlineStr">
        <is>
          <t>Kommuner</t>
        </is>
      </c>
      <c r="G852" t="n">
        <v>1.2</v>
      </c>
      <c r="H852" t="n">
        <v>0</v>
      </c>
      <c r="I852" t="n">
        <v>0</v>
      </c>
      <c r="J852" t="n">
        <v>0</v>
      </c>
      <c r="K852" t="n">
        <v>0</v>
      </c>
      <c r="L852" t="n">
        <v>0</v>
      </c>
      <c r="M852" t="n">
        <v>0</v>
      </c>
      <c r="N852" t="n">
        <v>0</v>
      </c>
      <c r="O852" t="n">
        <v>0</v>
      </c>
      <c r="P852" t="n">
        <v>0</v>
      </c>
      <c r="Q852" t="n">
        <v>0</v>
      </c>
      <c r="R852" s="2" t="inlineStr"/>
    </row>
    <row r="853" ht="15" customHeight="1">
      <c r="A853" t="inlineStr">
        <is>
          <t>A 17964-2023</t>
        </is>
      </c>
      <c r="B853" s="1" t="n">
        <v>45040</v>
      </c>
      <c r="C853" s="1" t="n">
        <v>45575</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18209-2023</t>
        </is>
      </c>
      <c r="B854" s="1" t="n">
        <v>45041</v>
      </c>
      <c r="C854" s="1" t="n">
        <v>45575</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18330-2023</t>
        </is>
      </c>
      <c r="B855" s="1" t="n">
        <v>45041</v>
      </c>
      <c r="C855" s="1" t="n">
        <v>45575</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18329-2023</t>
        </is>
      </c>
      <c r="B856" s="1" t="n">
        <v>45041</v>
      </c>
      <c r="C856" s="1" t="n">
        <v>45575</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18328-2023</t>
        </is>
      </c>
      <c r="B857" s="1" t="n">
        <v>45041</v>
      </c>
      <c r="C857" s="1" t="n">
        <v>45575</v>
      </c>
      <c r="D857" t="inlineStr">
        <is>
          <t>KALMAR LÄN</t>
        </is>
      </c>
      <c r="E857" t="inlineStr">
        <is>
          <t>VIMMERBY</t>
        </is>
      </c>
      <c r="G857" t="n">
        <v>0.9</v>
      </c>
      <c r="H857" t="n">
        <v>0</v>
      </c>
      <c r="I857" t="n">
        <v>0</v>
      </c>
      <c r="J857" t="n">
        <v>0</v>
      </c>
      <c r="K857" t="n">
        <v>0</v>
      </c>
      <c r="L857" t="n">
        <v>0</v>
      </c>
      <c r="M857" t="n">
        <v>0</v>
      </c>
      <c r="N857" t="n">
        <v>0</v>
      </c>
      <c r="O857" t="n">
        <v>0</v>
      </c>
      <c r="P857" t="n">
        <v>0</v>
      </c>
      <c r="Q857" t="n">
        <v>0</v>
      </c>
      <c r="R857" s="2" t="inlineStr"/>
    </row>
    <row r="858" ht="15" customHeight="1">
      <c r="A858" t="inlineStr">
        <is>
          <t>A 18609-2023</t>
        </is>
      </c>
      <c r="B858" s="1" t="n">
        <v>45041</v>
      </c>
      <c r="C858" s="1" t="n">
        <v>45575</v>
      </c>
      <c r="D858" t="inlineStr">
        <is>
          <t>KALMAR LÄN</t>
        </is>
      </c>
      <c r="E858" t="inlineStr">
        <is>
          <t>VIMMERBY</t>
        </is>
      </c>
      <c r="G858" t="n">
        <v>3</v>
      </c>
      <c r="H858" t="n">
        <v>0</v>
      </c>
      <c r="I858" t="n">
        <v>0</v>
      </c>
      <c r="J858" t="n">
        <v>0</v>
      </c>
      <c r="K858" t="n">
        <v>0</v>
      </c>
      <c r="L858" t="n">
        <v>0</v>
      </c>
      <c r="M858" t="n">
        <v>0</v>
      </c>
      <c r="N858" t="n">
        <v>0</v>
      </c>
      <c r="O858" t="n">
        <v>0</v>
      </c>
      <c r="P858" t="n">
        <v>0</v>
      </c>
      <c r="Q858" t="n">
        <v>0</v>
      </c>
      <c r="R858" s="2" t="inlineStr"/>
    </row>
    <row r="859" ht="15" customHeight="1">
      <c r="A859" t="inlineStr">
        <is>
          <t>A 18731-2023</t>
        </is>
      </c>
      <c r="B859" s="1" t="n">
        <v>45043</v>
      </c>
      <c r="C859" s="1" t="n">
        <v>45575</v>
      </c>
      <c r="D859" t="inlineStr">
        <is>
          <t>KALMAR LÄN</t>
        </is>
      </c>
      <c r="E859" t="inlineStr">
        <is>
          <t>VIMMERBY</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19013-2023</t>
        </is>
      </c>
      <c r="B860" s="1" t="n">
        <v>45045</v>
      </c>
      <c r="C860" s="1" t="n">
        <v>45575</v>
      </c>
      <c r="D860" t="inlineStr">
        <is>
          <t>KALMAR LÄN</t>
        </is>
      </c>
      <c r="E860" t="inlineStr">
        <is>
          <t>VIMMERBY</t>
        </is>
      </c>
      <c r="G860" t="n">
        <v>2.5</v>
      </c>
      <c r="H860" t="n">
        <v>0</v>
      </c>
      <c r="I860" t="n">
        <v>0</v>
      </c>
      <c r="J860" t="n">
        <v>0</v>
      </c>
      <c r="K860" t="n">
        <v>0</v>
      </c>
      <c r="L860" t="n">
        <v>0</v>
      </c>
      <c r="M860" t="n">
        <v>0</v>
      </c>
      <c r="N860" t="n">
        <v>0</v>
      </c>
      <c r="O860" t="n">
        <v>0</v>
      </c>
      <c r="P860" t="n">
        <v>0</v>
      </c>
      <c r="Q860" t="n">
        <v>0</v>
      </c>
      <c r="R860" s="2" t="inlineStr"/>
    </row>
    <row r="861" ht="15" customHeight="1">
      <c r="A861" t="inlineStr">
        <is>
          <t>A 19162-2023</t>
        </is>
      </c>
      <c r="B861" s="1" t="n">
        <v>45048</v>
      </c>
      <c r="C861" s="1" t="n">
        <v>45575</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19833-2023</t>
        </is>
      </c>
      <c r="B862" s="1" t="n">
        <v>45052</v>
      </c>
      <c r="C862" s="1" t="n">
        <v>45575</v>
      </c>
      <c r="D862" t="inlineStr">
        <is>
          <t>KALMAR LÄN</t>
        </is>
      </c>
      <c r="E862" t="inlineStr">
        <is>
          <t>VIMMERBY</t>
        </is>
      </c>
      <c r="G862" t="n">
        <v>6.7</v>
      </c>
      <c r="H862" t="n">
        <v>0</v>
      </c>
      <c r="I862" t="n">
        <v>0</v>
      </c>
      <c r="J862" t="n">
        <v>0</v>
      </c>
      <c r="K862" t="n">
        <v>0</v>
      </c>
      <c r="L862" t="n">
        <v>0</v>
      </c>
      <c r="M862" t="n">
        <v>0</v>
      </c>
      <c r="N862" t="n">
        <v>0</v>
      </c>
      <c r="O862" t="n">
        <v>0</v>
      </c>
      <c r="P862" t="n">
        <v>0</v>
      </c>
      <c r="Q862" t="n">
        <v>0</v>
      </c>
      <c r="R862" s="2" t="inlineStr"/>
    </row>
    <row r="863" ht="15" customHeight="1">
      <c r="A863" t="inlineStr">
        <is>
          <t>A 20054-2023</t>
        </is>
      </c>
      <c r="B863" s="1" t="n">
        <v>45054</v>
      </c>
      <c r="C863" s="1" t="n">
        <v>45575</v>
      </c>
      <c r="D863" t="inlineStr">
        <is>
          <t>KALMAR LÄN</t>
        </is>
      </c>
      <c r="E863" t="inlineStr">
        <is>
          <t>VIMMERBY</t>
        </is>
      </c>
      <c r="G863" t="n">
        <v>2.4</v>
      </c>
      <c r="H863" t="n">
        <v>0</v>
      </c>
      <c r="I863" t="n">
        <v>0</v>
      </c>
      <c r="J863" t="n">
        <v>0</v>
      </c>
      <c r="K863" t="n">
        <v>0</v>
      </c>
      <c r="L863" t="n">
        <v>0</v>
      </c>
      <c r="M863" t="n">
        <v>0</v>
      </c>
      <c r="N863" t="n">
        <v>0</v>
      </c>
      <c r="O863" t="n">
        <v>0</v>
      </c>
      <c r="P863" t="n">
        <v>0</v>
      </c>
      <c r="Q863" t="n">
        <v>0</v>
      </c>
      <c r="R863" s="2" t="inlineStr"/>
    </row>
    <row r="864" ht="15" customHeight="1">
      <c r="A864" t="inlineStr">
        <is>
          <t>A 20218-2023</t>
        </is>
      </c>
      <c r="B864" s="1" t="n">
        <v>45055</v>
      </c>
      <c r="C864" s="1" t="n">
        <v>45575</v>
      </c>
      <c r="D864" t="inlineStr">
        <is>
          <t>KALMAR LÄN</t>
        </is>
      </c>
      <c r="E864" t="inlineStr">
        <is>
          <t>VIMMERBY</t>
        </is>
      </c>
      <c r="G864" t="n">
        <v>4.9</v>
      </c>
      <c r="H864" t="n">
        <v>0</v>
      </c>
      <c r="I864" t="n">
        <v>0</v>
      </c>
      <c r="J864" t="n">
        <v>0</v>
      </c>
      <c r="K864" t="n">
        <v>0</v>
      </c>
      <c r="L864" t="n">
        <v>0</v>
      </c>
      <c r="M864" t="n">
        <v>0</v>
      </c>
      <c r="N864" t="n">
        <v>0</v>
      </c>
      <c r="O864" t="n">
        <v>0</v>
      </c>
      <c r="P864" t="n">
        <v>0</v>
      </c>
      <c r="Q864" t="n">
        <v>0</v>
      </c>
      <c r="R864" s="2" t="inlineStr"/>
    </row>
    <row r="865" ht="15" customHeight="1">
      <c r="A865" t="inlineStr">
        <is>
          <t>A 20117-2023</t>
        </is>
      </c>
      <c r="B865" s="1" t="n">
        <v>45055</v>
      </c>
      <c r="C865" s="1" t="n">
        <v>45575</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20215-2023</t>
        </is>
      </c>
      <c r="B866" s="1" t="n">
        <v>45055</v>
      </c>
      <c r="C866" s="1" t="n">
        <v>45575</v>
      </c>
      <c r="D866" t="inlineStr">
        <is>
          <t>KALMAR LÄN</t>
        </is>
      </c>
      <c r="E866" t="inlineStr">
        <is>
          <t>VIMMERBY</t>
        </is>
      </c>
      <c r="G866" t="n">
        <v>1.3</v>
      </c>
      <c r="H866" t="n">
        <v>0</v>
      </c>
      <c r="I866" t="n">
        <v>0</v>
      </c>
      <c r="J866" t="n">
        <v>0</v>
      </c>
      <c r="K866" t="n">
        <v>0</v>
      </c>
      <c r="L866" t="n">
        <v>0</v>
      </c>
      <c r="M866" t="n">
        <v>0</v>
      </c>
      <c r="N866" t="n">
        <v>0</v>
      </c>
      <c r="O866" t="n">
        <v>0</v>
      </c>
      <c r="P866" t="n">
        <v>0</v>
      </c>
      <c r="Q866" t="n">
        <v>0</v>
      </c>
      <c r="R866" s="2" t="inlineStr"/>
    </row>
    <row r="867" ht="15" customHeight="1">
      <c r="A867" t="inlineStr">
        <is>
          <t>A 20216-2023</t>
        </is>
      </c>
      <c r="B867" s="1" t="n">
        <v>45055</v>
      </c>
      <c r="C867" s="1" t="n">
        <v>45575</v>
      </c>
      <c r="D867" t="inlineStr">
        <is>
          <t>KALMAR LÄN</t>
        </is>
      </c>
      <c r="E867" t="inlineStr">
        <is>
          <t>VIMMERBY</t>
        </is>
      </c>
      <c r="G867" t="n">
        <v>3.1</v>
      </c>
      <c r="H867" t="n">
        <v>0</v>
      </c>
      <c r="I867" t="n">
        <v>0</v>
      </c>
      <c r="J867" t="n">
        <v>0</v>
      </c>
      <c r="K867" t="n">
        <v>0</v>
      </c>
      <c r="L867" t="n">
        <v>0</v>
      </c>
      <c r="M867" t="n">
        <v>0</v>
      </c>
      <c r="N867" t="n">
        <v>0</v>
      </c>
      <c r="O867" t="n">
        <v>0</v>
      </c>
      <c r="P867" t="n">
        <v>0</v>
      </c>
      <c r="Q867" t="n">
        <v>0</v>
      </c>
      <c r="R867" s="2" t="inlineStr"/>
    </row>
    <row r="868" ht="15" customHeight="1">
      <c r="A868" t="inlineStr">
        <is>
          <t>A 20421-2023</t>
        </is>
      </c>
      <c r="B868" s="1" t="n">
        <v>45056</v>
      </c>
      <c r="C868" s="1" t="n">
        <v>45575</v>
      </c>
      <c r="D868" t="inlineStr">
        <is>
          <t>KALMAR LÄN</t>
        </is>
      </c>
      <c r="E868" t="inlineStr">
        <is>
          <t>VIMMERBY</t>
        </is>
      </c>
      <c r="G868" t="n">
        <v>5.2</v>
      </c>
      <c r="H868" t="n">
        <v>0</v>
      </c>
      <c r="I868" t="n">
        <v>0</v>
      </c>
      <c r="J868" t="n">
        <v>0</v>
      </c>
      <c r="K868" t="n">
        <v>0</v>
      </c>
      <c r="L868" t="n">
        <v>0</v>
      </c>
      <c r="M868" t="n">
        <v>0</v>
      </c>
      <c r="N868" t="n">
        <v>0</v>
      </c>
      <c r="O868" t="n">
        <v>0</v>
      </c>
      <c r="P868" t="n">
        <v>0</v>
      </c>
      <c r="Q868" t="n">
        <v>0</v>
      </c>
      <c r="R868" s="2" t="inlineStr"/>
    </row>
    <row r="869" ht="15" customHeight="1">
      <c r="A869" t="inlineStr">
        <is>
          <t>A 20542-2023</t>
        </is>
      </c>
      <c r="B869" s="1" t="n">
        <v>45057</v>
      </c>
      <c r="C869" s="1" t="n">
        <v>45575</v>
      </c>
      <c r="D869" t="inlineStr">
        <is>
          <t>KALMAR LÄN</t>
        </is>
      </c>
      <c r="E869" t="inlineStr">
        <is>
          <t>VIMMERBY</t>
        </is>
      </c>
      <c r="G869" t="n">
        <v>4.4</v>
      </c>
      <c r="H869" t="n">
        <v>0</v>
      </c>
      <c r="I869" t="n">
        <v>0</v>
      </c>
      <c r="J869" t="n">
        <v>0</v>
      </c>
      <c r="K869" t="n">
        <v>0</v>
      </c>
      <c r="L869" t="n">
        <v>0</v>
      </c>
      <c r="M869" t="n">
        <v>0</v>
      </c>
      <c r="N869" t="n">
        <v>0</v>
      </c>
      <c r="O869" t="n">
        <v>0</v>
      </c>
      <c r="P869" t="n">
        <v>0</v>
      </c>
      <c r="Q869" t="n">
        <v>0</v>
      </c>
      <c r="R869" s="2" t="inlineStr"/>
    </row>
    <row r="870" ht="15" customHeight="1">
      <c r="A870" t="inlineStr">
        <is>
          <t>A 20699-2023</t>
        </is>
      </c>
      <c r="B870" s="1" t="n">
        <v>45058</v>
      </c>
      <c r="C870" s="1" t="n">
        <v>45575</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20736-2023</t>
        </is>
      </c>
      <c r="B871" s="1" t="n">
        <v>45058</v>
      </c>
      <c r="C871" s="1" t="n">
        <v>45575</v>
      </c>
      <c r="D871" t="inlineStr">
        <is>
          <t>KALMAR LÄN</t>
        </is>
      </c>
      <c r="E871" t="inlineStr">
        <is>
          <t>VIMMERBY</t>
        </is>
      </c>
      <c r="G871" t="n">
        <v>1.9</v>
      </c>
      <c r="H871" t="n">
        <v>0</v>
      </c>
      <c r="I871" t="n">
        <v>0</v>
      </c>
      <c r="J871" t="n">
        <v>0</v>
      </c>
      <c r="K871" t="n">
        <v>0</v>
      </c>
      <c r="L871" t="n">
        <v>0</v>
      </c>
      <c r="M871" t="n">
        <v>0</v>
      </c>
      <c r="N871" t="n">
        <v>0</v>
      </c>
      <c r="O871" t="n">
        <v>0</v>
      </c>
      <c r="P871" t="n">
        <v>0</v>
      </c>
      <c r="Q871" t="n">
        <v>0</v>
      </c>
      <c r="R871" s="2" t="inlineStr"/>
    </row>
    <row r="872" ht="15" customHeight="1">
      <c r="A872" t="inlineStr">
        <is>
          <t>A 21025-2023</t>
        </is>
      </c>
      <c r="B872" s="1" t="n">
        <v>45061</v>
      </c>
      <c r="C872" s="1" t="n">
        <v>45575</v>
      </c>
      <c r="D872" t="inlineStr">
        <is>
          <t>KALMAR LÄN</t>
        </is>
      </c>
      <c r="E872" t="inlineStr">
        <is>
          <t>VIMMERBY</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21028-2023</t>
        </is>
      </c>
      <c r="B873" s="1" t="n">
        <v>45061</v>
      </c>
      <c r="C873" s="1" t="n">
        <v>45575</v>
      </c>
      <c r="D873" t="inlineStr">
        <is>
          <t>KALMAR LÄN</t>
        </is>
      </c>
      <c r="E873" t="inlineStr">
        <is>
          <t>VIMMERBY</t>
        </is>
      </c>
      <c r="F873" t="inlineStr">
        <is>
          <t>Övriga Aktiebolag</t>
        </is>
      </c>
      <c r="G873" t="n">
        <v>0.7</v>
      </c>
      <c r="H873" t="n">
        <v>0</v>
      </c>
      <c r="I873" t="n">
        <v>0</v>
      </c>
      <c r="J873" t="n">
        <v>0</v>
      </c>
      <c r="K873" t="n">
        <v>0</v>
      </c>
      <c r="L873" t="n">
        <v>0</v>
      </c>
      <c r="M873" t="n">
        <v>0</v>
      </c>
      <c r="N873" t="n">
        <v>0</v>
      </c>
      <c r="O873" t="n">
        <v>0</v>
      </c>
      <c r="P873" t="n">
        <v>0</v>
      </c>
      <c r="Q873" t="n">
        <v>0</v>
      </c>
      <c r="R873" s="2" t="inlineStr"/>
    </row>
    <row r="874" ht="15" customHeight="1">
      <c r="A874" t="inlineStr">
        <is>
          <t>A 21496-2023</t>
        </is>
      </c>
      <c r="B874" s="1" t="n">
        <v>45063</v>
      </c>
      <c r="C874" s="1" t="n">
        <v>45575</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21507-2023</t>
        </is>
      </c>
      <c r="B875" s="1" t="n">
        <v>45063</v>
      </c>
      <c r="C875" s="1" t="n">
        <v>45575</v>
      </c>
      <c r="D875" t="inlineStr">
        <is>
          <t>KALMAR LÄN</t>
        </is>
      </c>
      <c r="E875" t="inlineStr">
        <is>
          <t>VIMMERBY</t>
        </is>
      </c>
      <c r="G875" t="n">
        <v>2.8</v>
      </c>
      <c r="H875" t="n">
        <v>0</v>
      </c>
      <c r="I875" t="n">
        <v>0</v>
      </c>
      <c r="J875" t="n">
        <v>0</v>
      </c>
      <c r="K875" t="n">
        <v>0</v>
      </c>
      <c r="L875" t="n">
        <v>0</v>
      </c>
      <c r="M875" t="n">
        <v>0</v>
      </c>
      <c r="N875" t="n">
        <v>0</v>
      </c>
      <c r="O875" t="n">
        <v>0</v>
      </c>
      <c r="P875" t="n">
        <v>0</v>
      </c>
      <c r="Q875" t="n">
        <v>0</v>
      </c>
      <c r="R875" s="2" t="inlineStr"/>
    </row>
    <row r="876" ht="15" customHeight="1">
      <c r="A876" t="inlineStr">
        <is>
          <t>A 21911-2023</t>
        </is>
      </c>
      <c r="B876" s="1" t="n">
        <v>45068</v>
      </c>
      <c r="C876" s="1" t="n">
        <v>45575</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22415-2023</t>
        </is>
      </c>
      <c r="B877" s="1" t="n">
        <v>45070</v>
      </c>
      <c r="C877" s="1" t="n">
        <v>45575</v>
      </c>
      <c r="D877" t="inlineStr">
        <is>
          <t>KALMAR LÄN</t>
        </is>
      </c>
      <c r="E877" t="inlineStr">
        <is>
          <t>VIMMERBY</t>
        </is>
      </c>
      <c r="G877" t="n">
        <v>2.3</v>
      </c>
      <c r="H877" t="n">
        <v>0</v>
      </c>
      <c r="I877" t="n">
        <v>0</v>
      </c>
      <c r="J877" t="n">
        <v>0</v>
      </c>
      <c r="K877" t="n">
        <v>0</v>
      </c>
      <c r="L877" t="n">
        <v>0</v>
      </c>
      <c r="M877" t="n">
        <v>0</v>
      </c>
      <c r="N877" t="n">
        <v>0</v>
      </c>
      <c r="O877" t="n">
        <v>0</v>
      </c>
      <c r="P877" t="n">
        <v>0</v>
      </c>
      <c r="Q877" t="n">
        <v>0</v>
      </c>
      <c r="R877" s="2" t="inlineStr"/>
    </row>
    <row r="878" ht="15" customHeight="1">
      <c r="A878" t="inlineStr">
        <is>
          <t>A 22264-2023</t>
        </is>
      </c>
      <c r="B878" s="1" t="n">
        <v>45070</v>
      </c>
      <c r="C878" s="1" t="n">
        <v>45575</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22421-2023</t>
        </is>
      </c>
      <c r="B879" s="1" t="n">
        <v>45070</v>
      </c>
      <c r="C879" s="1" t="n">
        <v>45575</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22266-2023</t>
        </is>
      </c>
      <c r="B880" s="1" t="n">
        <v>45070</v>
      </c>
      <c r="C880" s="1" t="n">
        <v>45575</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22418-2023</t>
        </is>
      </c>
      <c r="B881" s="1" t="n">
        <v>45070</v>
      </c>
      <c r="C881" s="1" t="n">
        <v>45575</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22426-2023</t>
        </is>
      </c>
      <c r="B882" s="1" t="n">
        <v>45070</v>
      </c>
      <c r="C882" s="1" t="n">
        <v>45575</v>
      </c>
      <c r="D882" t="inlineStr">
        <is>
          <t>KALMAR LÄN</t>
        </is>
      </c>
      <c r="E882" t="inlineStr">
        <is>
          <t>VIMMERBY</t>
        </is>
      </c>
      <c r="G882" t="n">
        <v>1.8</v>
      </c>
      <c r="H882" t="n">
        <v>0</v>
      </c>
      <c r="I882" t="n">
        <v>0</v>
      </c>
      <c r="J882" t="n">
        <v>0</v>
      </c>
      <c r="K882" t="n">
        <v>0</v>
      </c>
      <c r="L882" t="n">
        <v>0</v>
      </c>
      <c r="M882" t="n">
        <v>0</v>
      </c>
      <c r="N882" t="n">
        <v>0</v>
      </c>
      <c r="O882" t="n">
        <v>0</v>
      </c>
      <c r="P882" t="n">
        <v>0</v>
      </c>
      <c r="Q882" t="n">
        <v>0</v>
      </c>
      <c r="R882" s="2" t="inlineStr"/>
    </row>
    <row r="883" ht="15" customHeight="1">
      <c r="A883" t="inlineStr">
        <is>
          <t>A 22423-2023</t>
        </is>
      </c>
      <c r="B883" s="1" t="n">
        <v>45070</v>
      </c>
      <c r="C883" s="1" t="n">
        <v>45575</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c r="U883">
        <f>HYPERLINK("https://klasma.github.io/Logging_0884/knärot/A 22423-2023 karta knärot.png", "A 22423-2023")</f>
        <v/>
      </c>
      <c r="V883">
        <f>HYPERLINK("https://klasma.github.io/Logging_0884/klagomål/A 22423-2023 FSC-klagomål.docx", "A 22423-2023")</f>
        <v/>
      </c>
      <c r="W883">
        <f>HYPERLINK("https://klasma.github.io/Logging_0884/klagomålsmail/A 22423-2023 FSC-klagomål mail.docx", "A 22423-2023")</f>
        <v/>
      </c>
      <c r="X883">
        <f>HYPERLINK("https://klasma.github.io/Logging_0884/tillsyn/A 22423-2023 tillsynsbegäran.docx", "A 22423-2023")</f>
        <v/>
      </c>
      <c r="Y883">
        <f>HYPERLINK("https://klasma.github.io/Logging_0884/tillsynsmail/A 22423-2023 tillsynsbegäran mail.docx", "A 22423-2023")</f>
        <v/>
      </c>
    </row>
    <row r="884" ht="15" customHeight="1">
      <c r="A884" t="inlineStr">
        <is>
          <t>A 22643-2023</t>
        </is>
      </c>
      <c r="B884" s="1" t="n">
        <v>45071</v>
      </c>
      <c r="C884" s="1" t="n">
        <v>45575</v>
      </c>
      <c r="D884" t="inlineStr">
        <is>
          <t>KALMAR LÄN</t>
        </is>
      </c>
      <c r="E884" t="inlineStr">
        <is>
          <t>VIMMERBY</t>
        </is>
      </c>
      <c r="G884" t="n">
        <v>3.9</v>
      </c>
      <c r="H884" t="n">
        <v>0</v>
      </c>
      <c r="I884" t="n">
        <v>0</v>
      </c>
      <c r="J884" t="n">
        <v>0</v>
      </c>
      <c r="K884" t="n">
        <v>0</v>
      </c>
      <c r="L884" t="n">
        <v>0</v>
      </c>
      <c r="M884" t="n">
        <v>0</v>
      </c>
      <c r="N884" t="n">
        <v>0</v>
      </c>
      <c r="O884" t="n">
        <v>0</v>
      </c>
      <c r="P884" t="n">
        <v>0</v>
      </c>
      <c r="Q884" t="n">
        <v>0</v>
      </c>
      <c r="R884" s="2" t="inlineStr"/>
    </row>
    <row r="885" ht="15" customHeight="1">
      <c r="A885" t="inlineStr">
        <is>
          <t>A 22760-2023</t>
        </is>
      </c>
      <c r="B885" s="1" t="n">
        <v>45072</v>
      </c>
      <c r="C885" s="1" t="n">
        <v>45575</v>
      </c>
      <c r="D885" t="inlineStr">
        <is>
          <t>KALMAR LÄN</t>
        </is>
      </c>
      <c r="E885" t="inlineStr">
        <is>
          <t>VIMMERBY</t>
        </is>
      </c>
      <c r="G885" t="n">
        <v>2.5</v>
      </c>
      <c r="H885" t="n">
        <v>0</v>
      </c>
      <c r="I885" t="n">
        <v>0</v>
      </c>
      <c r="J885" t="n">
        <v>0</v>
      </c>
      <c r="K885" t="n">
        <v>0</v>
      </c>
      <c r="L885" t="n">
        <v>0</v>
      </c>
      <c r="M885" t="n">
        <v>0</v>
      </c>
      <c r="N885" t="n">
        <v>0</v>
      </c>
      <c r="O885" t="n">
        <v>0</v>
      </c>
      <c r="P885" t="n">
        <v>0</v>
      </c>
      <c r="Q885" t="n">
        <v>0</v>
      </c>
      <c r="R885" s="2" t="inlineStr"/>
    </row>
    <row r="886" ht="15" customHeight="1">
      <c r="A886" t="inlineStr">
        <is>
          <t>A 23032-2023</t>
        </is>
      </c>
      <c r="B886" s="1" t="n">
        <v>45074</v>
      </c>
      <c r="C886" s="1" t="n">
        <v>45575</v>
      </c>
      <c r="D886" t="inlineStr">
        <is>
          <t>KALMAR LÄN</t>
        </is>
      </c>
      <c r="E886" t="inlineStr">
        <is>
          <t>VIMMERBY</t>
        </is>
      </c>
      <c r="G886" t="n">
        <v>1.2</v>
      </c>
      <c r="H886" t="n">
        <v>0</v>
      </c>
      <c r="I886" t="n">
        <v>0</v>
      </c>
      <c r="J886" t="n">
        <v>0</v>
      </c>
      <c r="K886" t="n">
        <v>0</v>
      </c>
      <c r="L886" t="n">
        <v>0</v>
      </c>
      <c r="M886" t="n">
        <v>0</v>
      </c>
      <c r="N886" t="n">
        <v>0</v>
      </c>
      <c r="O886" t="n">
        <v>0</v>
      </c>
      <c r="P886" t="n">
        <v>0</v>
      </c>
      <c r="Q886" t="n">
        <v>0</v>
      </c>
      <c r="R886" s="2" t="inlineStr"/>
    </row>
    <row r="887" ht="15" customHeight="1">
      <c r="A887" t="inlineStr">
        <is>
          <t>A 23095-2023</t>
        </is>
      </c>
      <c r="B887" s="1" t="n">
        <v>45075</v>
      </c>
      <c r="C887" s="1" t="n">
        <v>45575</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23425-2023</t>
        </is>
      </c>
      <c r="B888" s="1" t="n">
        <v>45076</v>
      </c>
      <c r="C888" s="1" t="n">
        <v>45575</v>
      </c>
      <c r="D888" t="inlineStr">
        <is>
          <t>KALMAR LÄN</t>
        </is>
      </c>
      <c r="E888" t="inlineStr">
        <is>
          <t>VIMMERBY</t>
        </is>
      </c>
      <c r="G888" t="n">
        <v>4.8</v>
      </c>
      <c r="H888" t="n">
        <v>0</v>
      </c>
      <c r="I888" t="n">
        <v>0</v>
      </c>
      <c r="J888" t="n">
        <v>0</v>
      </c>
      <c r="K888" t="n">
        <v>0</v>
      </c>
      <c r="L888" t="n">
        <v>0</v>
      </c>
      <c r="M888" t="n">
        <v>0</v>
      </c>
      <c r="N888" t="n">
        <v>0</v>
      </c>
      <c r="O888" t="n">
        <v>0</v>
      </c>
      <c r="P888" t="n">
        <v>0</v>
      </c>
      <c r="Q888" t="n">
        <v>0</v>
      </c>
      <c r="R888" s="2" t="inlineStr"/>
    </row>
    <row r="889" ht="15" customHeight="1">
      <c r="A889" t="inlineStr">
        <is>
          <t>A 23539-2023</t>
        </is>
      </c>
      <c r="B889" s="1" t="n">
        <v>45077</v>
      </c>
      <c r="C889" s="1" t="n">
        <v>45575</v>
      </c>
      <c r="D889" t="inlineStr">
        <is>
          <t>KALMAR LÄN</t>
        </is>
      </c>
      <c r="E889" t="inlineStr">
        <is>
          <t>VIMMERBY</t>
        </is>
      </c>
      <c r="G889" t="n">
        <v>6.9</v>
      </c>
      <c r="H889" t="n">
        <v>0</v>
      </c>
      <c r="I889" t="n">
        <v>0</v>
      </c>
      <c r="J889" t="n">
        <v>0</v>
      </c>
      <c r="K889" t="n">
        <v>0</v>
      </c>
      <c r="L889" t="n">
        <v>0</v>
      </c>
      <c r="M889" t="n">
        <v>0</v>
      </c>
      <c r="N889" t="n">
        <v>0</v>
      </c>
      <c r="O889" t="n">
        <v>0</v>
      </c>
      <c r="P889" t="n">
        <v>0</v>
      </c>
      <c r="Q889" t="n">
        <v>0</v>
      </c>
      <c r="R889" s="2" t="inlineStr"/>
    </row>
    <row r="890" ht="15" customHeight="1">
      <c r="A890" t="inlineStr">
        <is>
          <t>A 23695-2023</t>
        </is>
      </c>
      <c r="B890" s="1" t="n">
        <v>45077</v>
      </c>
      <c r="C890" s="1" t="n">
        <v>45575</v>
      </c>
      <c r="D890" t="inlineStr">
        <is>
          <t>KALMAR LÄN</t>
        </is>
      </c>
      <c r="E890" t="inlineStr">
        <is>
          <t>VIMMERBY</t>
        </is>
      </c>
      <c r="G890" t="n">
        <v>7.6</v>
      </c>
      <c r="H890" t="n">
        <v>0</v>
      </c>
      <c r="I890" t="n">
        <v>0</v>
      </c>
      <c r="J890" t="n">
        <v>0</v>
      </c>
      <c r="K890" t="n">
        <v>0</v>
      </c>
      <c r="L890" t="n">
        <v>0</v>
      </c>
      <c r="M890" t="n">
        <v>0</v>
      </c>
      <c r="N890" t="n">
        <v>0</v>
      </c>
      <c r="O890" t="n">
        <v>0</v>
      </c>
      <c r="P890" t="n">
        <v>0</v>
      </c>
      <c r="Q890" t="n">
        <v>0</v>
      </c>
      <c r="R890" s="2" t="inlineStr"/>
    </row>
    <row r="891" ht="15" customHeight="1">
      <c r="A891" t="inlineStr">
        <is>
          <t>A 24283-2023</t>
        </is>
      </c>
      <c r="B891" s="1" t="n">
        <v>45079</v>
      </c>
      <c r="C891" s="1" t="n">
        <v>45575</v>
      </c>
      <c r="D891" t="inlineStr">
        <is>
          <t>KALMAR LÄN</t>
        </is>
      </c>
      <c r="E891" t="inlineStr">
        <is>
          <t>VIMMERBY</t>
        </is>
      </c>
      <c r="G891" t="n">
        <v>2</v>
      </c>
      <c r="H891" t="n">
        <v>0</v>
      </c>
      <c r="I891" t="n">
        <v>0</v>
      </c>
      <c r="J891" t="n">
        <v>0</v>
      </c>
      <c r="K891" t="n">
        <v>0</v>
      </c>
      <c r="L891" t="n">
        <v>0</v>
      </c>
      <c r="M891" t="n">
        <v>0</v>
      </c>
      <c r="N891" t="n">
        <v>0</v>
      </c>
      <c r="O891" t="n">
        <v>0</v>
      </c>
      <c r="P891" t="n">
        <v>0</v>
      </c>
      <c r="Q891" t="n">
        <v>0</v>
      </c>
      <c r="R891" s="2" t="inlineStr"/>
    </row>
    <row r="892" ht="15" customHeight="1">
      <c r="A892" t="inlineStr">
        <is>
          <t>A 24285-2023</t>
        </is>
      </c>
      <c r="B892" s="1" t="n">
        <v>45079</v>
      </c>
      <c r="C892" s="1" t="n">
        <v>45575</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24288-2023</t>
        </is>
      </c>
      <c r="B893" s="1" t="n">
        <v>45080</v>
      </c>
      <c r="C893" s="1" t="n">
        <v>45575</v>
      </c>
      <c r="D893" t="inlineStr">
        <is>
          <t>KALMAR LÄN</t>
        </is>
      </c>
      <c r="E893" t="inlineStr">
        <is>
          <t>VIMMERBY</t>
        </is>
      </c>
      <c r="G893" t="n">
        <v>0.7</v>
      </c>
      <c r="H893" t="n">
        <v>0</v>
      </c>
      <c r="I893" t="n">
        <v>0</v>
      </c>
      <c r="J893" t="n">
        <v>0</v>
      </c>
      <c r="K893" t="n">
        <v>0</v>
      </c>
      <c r="L893" t="n">
        <v>0</v>
      </c>
      <c r="M893" t="n">
        <v>0</v>
      </c>
      <c r="N893" t="n">
        <v>0</v>
      </c>
      <c r="O893" t="n">
        <v>0</v>
      </c>
      <c r="P893" t="n">
        <v>0</v>
      </c>
      <c r="Q893" t="n">
        <v>0</v>
      </c>
      <c r="R893" s="2" t="inlineStr"/>
    </row>
    <row r="894" ht="15" customHeight="1">
      <c r="A894" t="inlineStr">
        <is>
          <t>A 25109-2023</t>
        </is>
      </c>
      <c r="B894" s="1" t="n">
        <v>45086</v>
      </c>
      <c r="C894" s="1" t="n">
        <v>45575</v>
      </c>
      <c r="D894" t="inlineStr">
        <is>
          <t>KALMAR LÄN</t>
        </is>
      </c>
      <c r="E894" t="inlineStr">
        <is>
          <t>VIMMERBY</t>
        </is>
      </c>
      <c r="G894" t="n">
        <v>1.5</v>
      </c>
      <c r="H894" t="n">
        <v>0</v>
      </c>
      <c r="I894" t="n">
        <v>0</v>
      </c>
      <c r="J894" t="n">
        <v>0</v>
      </c>
      <c r="K894" t="n">
        <v>0</v>
      </c>
      <c r="L894" t="n">
        <v>0</v>
      </c>
      <c r="M894" t="n">
        <v>0</v>
      </c>
      <c r="N894" t="n">
        <v>0</v>
      </c>
      <c r="O894" t="n">
        <v>0</v>
      </c>
      <c r="P894" t="n">
        <v>0</v>
      </c>
      <c r="Q894" t="n">
        <v>0</v>
      </c>
      <c r="R894" s="2" t="inlineStr"/>
    </row>
    <row r="895" ht="15" customHeight="1">
      <c r="A895" t="inlineStr">
        <is>
          <t>A 25236-2023</t>
        </is>
      </c>
      <c r="B895" s="1" t="n">
        <v>45086</v>
      </c>
      <c r="C895" s="1" t="n">
        <v>45575</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25244-2023</t>
        </is>
      </c>
      <c r="B896" s="1" t="n">
        <v>45086</v>
      </c>
      <c r="C896" s="1" t="n">
        <v>45575</v>
      </c>
      <c r="D896" t="inlineStr">
        <is>
          <t>KALMAR LÄN</t>
        </is>
      </c>
      <c r="E896" t="inlineStr">
        <is>
          <t>VIMMERBY</t>
        </is>
      </c>
      <c r="G896" t="n">
        <v>4.7</v>
      </c>
      <c r="H896" t="n">
        <v>0</v>
      </c>
      <c r="I896" t="n">
        <v>0</v>
      </c>
      <c r="J896" t="n">
        <v>0</v>
      </c>
      <c r="K896" t="n">
        <v>0</v>
      </c>
      <c r="L896" t="n">
        <v>0</v>
      </c>
      <c r="M896" t="n">
        <v>0</v>
      </c>
      <c r="N896" t="n">
        <v>0</v>
      </c>
      <c r="O896" t="n">
        <v>0</v>
      </c>
      <c r="P896" t="n">
        <v>0</v>
      </c>
      <c r="Q896" t="n">
        <v>0</v>
      </c>
      <c r="R896" s="2" t="inlineStr"/>
    </row>
    <row r="897" ht="15" customHeight="1">
      <c r="A897" t="inlineStr">
        <is>
          <t>A 25234-2023</t>
        </is>
      </c>
      <c r="B897" s="1" t="n">
        <v>45086</v>
      </c>
      <c r="C897" s="1" t="n">
        <v>45575</v>
      </c>
      <c r="D897" t="inlineStr">
        <is>
          <t>KALMAR LÄN</t>
        </is>
      </c>
      <c r="E897" t="inlineStr">
        <is>
          <t>VIMMERBY</t>
        </is>
      </c>
      <c r="G897" t="n">
        <v>2.1</v>
      </c>
      <c r="H897" t="n">
        <v>0</v>
      </c>
      <c r="I897" t="n">
        <v>0</v>
      </c>
      <c r="J897" t="n">
        <v>0</v>
      </c>
      <c r="K897" t="n">
        <v>0</v>
      </c>
      <c r="L897" t="n">
        <v>0</v>
      </c>
      <c r="M897" t="n">
        <v>0</v>
      </c>
      <c r="N897" t="n">
        <v>0</v>
      </c>
      <c r="O897" t="n">
        <v>0</v>
      </c>
      <c r="P897" t="n">
        <v>0</v>
      </c>
      <c r="Q897" t="n">
        <v>0</v>
      </c>
      <c r="R897" s="2" t="inlineStr"/>
    </row>
    <row r="898" ht="15" customHeight="1">
      <c r="A898" t="inlineStr">
        <is>
          <t>A 25885-2023</t>
        </is>
      </c>
      <c r="B898" s="1" t="n">
        <v>45090</v>
      </c>
      <c r="C898" s="1" t="n">
        <v>45575</v>
      </c>
      <c r="D898" t="inlineStr">
        <is>
          <t>KALMAR LÄN</t>
        </is>
      </c>
      <c r="E898" t="inlineStr">
        <is>
          <t>VIMMERBY</t>
        </is>
      </c>
      <c r="G898" t="n">
        <v>4.6</v>
      </c>
      <c r="H898" t="n">
        <v>0</v>
      </c>
      <c r="I898" t="n">
        <v>0</v>
      </c>
      <c r="J898" t="n">
        <v>0</v>
      </c>
      <c r="K898" t="n">
        <v>0</v>
      </c>
      <c r="L898" t="n">
        <v>0</v>
      </c>
      <c r="M898" t="n">
        <v>0</v>
      </c>
      <c r="N898" t="n">
        <v>0</v>
      </c>
      <c r="O898" t="n">
        <v>0</v>
      </c>
      <c r="P898" t="n">
        <v>0</v>
      </c>
      <c r="Q898" t="n">
        <v>0</v>
      </c>
      <c r="R898" s="2" t="inlineStr"/>
    </row>
    <row r="899" ht="15" customHeight="1">
      <c r="A899" t="inlineStr">
        <is>
          <t>A 25799-2023</t>
        </is>
      </c>
      <c r="B899" s="1" t="n">
        <v>45090</v>
      </c>
      <c r="C899" s="1" t="n">
        <v>45575</v>
      </c>
      <c r="D899" t="inlineStr">
        <is>
          <t>KALMAR LÄN</t>
        </is>
      </c>
      <c r="E899" t="inlineStr">
        <is>
          <t>VIMMERBY</t>
        </is>
      </c>
      <c r="G899" t="n">
        <v>7.7</v>
      </c>
      <c r="H899" t="n">
        <v>0</v>
      </c>
      <c r="I899" t="n">
        <v>0</v>
      </c>
      <c r="J899" t="n">
        <v>0</v>
      </c>
      <c r="K899" t="n">
        <v>0</v>
      </c>
      <c r="L899" t="n">
        <v>0</v>
      </c>
      <c r="M899" t="n">
        <v>0</v>
      </c>
      <c r="N899" t="n">
        <v>0</v>
      </c>
      <c r="O899" t="n">
        <v>0</v>
      </c>
      <c r="P899" t="n">
        <v>0</v>
      </c>
      <c r="Q899" t="n">
        <v>0</v>
      </c>
      <c r="R899" s="2" t="inlineStr"/>
    </row>
    <row r="900" ht="15" customHeight="1">
      <c r="A900" t="inlineStr">
        <is>
          <t>A 25979-2023</t>
        </is>
      </c>
      <c r="B900" s="1" t="n">
        <v>45090</v>
      </c>
      <c r="C900" s="1" t="n">
        <v>45575</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25976-2023</t>
        </is>
      </c>
      <c r="B901" s="1" t="n">
        <v>45090</v>
      </c>
      <c r="C901" s="1" t="n">
        <v>45575</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25980-2023</t>
        </is>
      </c>
      <c r="B902" s="1" t="n">
        <v>45090</v>
      </c>
      <c r="C902" s="1" t="n">
        <v>45575</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25977-2023</t>
        </is>
      </c>
      <c r="B903" s="1" t="n">
        <v>45090</v>
      </c>
      <c r="C903" s="1" t="n">
        <v>45575</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26318-2023</t>
        </is>
      </c>
      <c r="B904" s="1" t="n">
        <v>45091</v>
      </c>
      <c r="C904" s="1" t="n">
        <v>45575</v>
      </c>
      <c r="D904" t="inlineStr">
        <is>
          <t>KALMAR LÄN</t>
        </is>
      </c>
      <c r="E904" t="inlineStr">
        <is>
          <t>VIMMERBY</t>
        </is>
      </c>
      <c r="G904" t="n">
        <v>3.8</v>
      </c>
      <c r="H904" t="n">
        <v>0</v>
      </c>
      <c r="I904" t="n">
        <v>0</v>
      </c>
      <c r="J904" t="n">
        <v>0</v>
      </c>
      <c r="K904" t="n">
        <v>0</v>
      </c>
      <c r="L904" t="n">
        <v>0</v>
      </c>
      <c r="M904" t="n">
        <v>0</v>
      </c>
      <c r="N904" t="n">
        <v>0</v>
      </c>
      <c r="O904" t="n">
        <v>0</v>
      </c>
      <c r="P904" t="n">
        <v>0</v>
      </c>
      <c r="Q904" t="n">
        <v>0</v>
      </c>
      <c r="R904" s="2" t="inlineStr"/>
    </row>
    <row r="905" ht="15" customHeight="1">
      <c r="A905" t="inlineStr">
        <is>
          <t>A 26626-2023</t>
        </is>
      </c>
      <c r="B905" s="1" t="n">
        <v>45092</v>
      </c>
      <c r="C905" s="1" t="n">
        <v>45575</v>
      </c>
      <c r="D905" t="inlineStr">
        <is>
          <t>KALMAR LÄN</t>
        </is>
      </c>
      <c r="E905" t="inlineStr">
        <is>
          <t>VIMMERBY</t>
        </is>
      </c>
      <c r="G905" t="n">
        <v>2.4</v>
      </c>
      <c r="H905" t="n">
        <v>0</v>
      </c>
      <c r="I905" t="n">
        <v>0</v>
      </c>
      <c r="J905" t="n">
        <v>0</v>
      </c>
      <c r="K905" t="n">
        <v>0</v>
      </c>
      <c r="L905" t="n">
        <v>0</v>
      </c>
      <c r="M905" t="n">
        <v>0</v>
      </c>
      <c r="N905" t="n">
        <v>0</v>
      </c>
      <c r="O905" t="n">
        <v>0</v>
      </c>
      <c r="P905" t="n">
        <v>0</v>
      </c>
      <c r="Q905" t="n">
        <v>0</v>
      </c>
      <c r="R905" s="2" t="inlineStr"/>
    </row>
    <row r="906" ht="15" customHeight="1">
      <c r="A906" t="inlineStr">
        <is>
          <t>A 26937-2023</t>
        </is>
      </c>
      <c r="B906" s="1" t="n">
        <v>45093</v>
      </c>
      <c r="C906" s="1" t="n">
        <v>45575</v>
      </c>
      <c r="D906" t="inlineStr">
        <is>
          <t>KALMAR LÄN</t>
        </is>
      </c>
      <c r="E906" t="inlineStr">
        <is>
          <t>VIMMERBY</t>
        </is>
      </c>
      <c r="F906" t="inlineStr">
        <is>
          <t>Sveaskog</t>
        </is>
      </c>
      <c r="G906" t="n">
        <v>14.5</v>
      </c>
      <c r="H906" t="n">
        <v>0</v>
      </c>
      <c r="I906" t="n">
        <v>0</v>
      </c>
      <c r="J906" t="n">
        <v>0</v>
      </c>
      <c r="K906" t="n">
        <v>0</v>
      </c>
      <c r="L906" t="n">
        <v>0</v>
      </c>
      <c r="M906" t="n">
        <v>0</v>
      </c>
      <c r="N906" t="n">
        <v>0</v>
      </c>
      <c r="O906" t="n">
        <v>0</v>
      </c>
      <c r="P906" t="n">
        <v>0</v>
      </c>
      <c r="Q906" t="n">
        <v>0</v>
      </c>
      <c r="R906" s="2" t="inlineStr"/>
    </row>
    <row r="907" ht="15" customHeight="1">
      <c r="A907" t="inlineStr">
        <is>
          <t>A 27122-2023</t>
        </is>
      </c>
      <c r="B907" s="1" t="n">
        <v>45096</v>
      </c>
      <c r="C907" s="1" t="n">
        <v>45575</v>
      </c>
      <c r="D907" t="inlineStr">
        <is>
          <t>KALMAR LÄN</t>
        </is>
      </c>
      <c r="E907" t="inlineStr">
        <is>
          <t>VIMMERBY</t>
        </is>
      </c>
      <c r="G907" t="n">
        <v>1.7</v>
      </c>
      <c r="H907" t="n">
        <v>0</v>
      </c>
      <c r="I907" t="n">
        <v>0</v>
      </c>
      <c r="J907" t="n">
        <v>0</v>
      </c>
      <c r="K907" t="n">
        <v>0</v>
      </c>
      <c r="L907" t="n">
        <v>0</v>
      </c>
      <c r="M907" t="n">
        <v>0</v>
      </c>
      <c r="N907" t="n">
        <v>0</v>
      </c>
      <c r="O907" t="n">
        <v>0</v>
      </c>
      <c r="P907" t="n">
        <v>0</v>
      </c>
      <c r="Q907" t="n">
        <v>0</v>
      </c>
      <c r="R907" s="2" t="inlineStr"/>
    </row>
    <row r="908" ht="15" customHeight="1">
      <c r="A908" t="inlineStr">
        <is>
          <t>A 27138-2023</t>
        </is>
      </c>
      <c r="B908" s="1" t="n">
        <v>45096</v>
      </c>
      <c r="C908" s="1" t="n">
        <v>45575</v>
      </c>
      <c r="D908" t="inlineStr">
        <is>
          <t>KALMAR LÄN</t>
        </is>
      </c>
      <c r="E908" t="inlineStr">
        <is>
          <t>VIMMERBY</t>
        </is>
      </c>
      <c r="G908" t="n">
        <v>0.8</v>
      </c>
      <c r="H908" t="n">
        <v>0</v>
      </c>
      <c r="I908" t="n">
        <v>0</v>
      </c>
      <c r="J908" t="n">
        <v>0</v>
      </c>
      <c r="K908" t="n">
        <v>0</v>
      </c>
      <c r="L908" t="n">
        <v>0</v>
      </c>
      <c r="M908" t="n">
        <v>0</v>
      </c>
      <c r="N908" t="n">
        <v>0</v>
      </c>
      <c r="O908" t="n">
        <v>0</v>
      </c>
      <c r="P908" t="n">
        <v>0</v>
      </c>
      <c r="Q908" t="n">
        <v>0</v>
      </c>
      <c r="R908" s="2" t="inlineStr"/>
    </row>
    <row r="909" ht="15" customHeight="1">
      <c r="A909" t="inlineStr">
        <is>
          <t>A 28988-2023</t>
        </is>
      </c>
      <c r="B909" s="1" t="n">
        <v>45096</v>
      </c>
      <c r="C909" s="1" t="n">
        <v>45575</v>
      </c>
      <c r="D909" t="inlineStr">
        <is>
          <t>KALMAR LÄN</t>
        </is>
      </c>
      <c r="E909" t="inlineStr">
        <is>
          <t>VIMMERBY</t>
        </is>
      </c>
      <c r="G909" t="n">
        <v>6</v>
      </c>
      <c r="H909" t="n">
        <v>0</v>
      </c>
      <c r="I909" t="n">
        <v>0</v>
      </c>
      <c r="J909" t="n">
        <v>0</v>
      </c>
      <c r="K909" t="n">
        <v>0</v>
      </c>
      <c r="L909" t="n">
        <v>0</v>
      </c>
      <c r="M909" t="n">
        <v>0</v>
      </c>
      <c r="N909" t="n">
        <v>0</v>
      </c>
      <c r="O909" t="n">
        <v>0</v>
      </c>
      <c r="P909" t="n">
        <v>0</v>
      </c>
      <c r="Q909" t="n">
        <v>0</v>
      </c>
      <c r="R909" s="2" t="inlineStr"/>
    </row>
    <row r="910" ht="15" customHeight="1">
      <c r="A910" t="inlineStr">
        <is>
          <t>A 27443-2023</t>
        </is>
      </c>
      <c r="B910" s="1" t="n">
        <v>45097</v>
      </c>
      <c r="C910" s="1" t="n">
        <v>45575</v>
      </c>
      <c r="D910" t="inlineStr">
        <is>
          <t>KALMAR LÄN</t>
        </is>
      </c>
      <c r="E910" t="inlineStr">
        <is>
          <t>VIMMERBY</t>
        </is>
      </c>
      <c r="F910" t="inlineStr">
        <is>
          <t>Övriga Aktiebolag</t>
        </is>
      </c>
      <c r="G910" t="n">
        <v>2.3</v>
      </c>
      <c r="H910" t="n">
        <v>0</v>
      </c>
      <c r="I910" t="n">
        <v>0</v>
      </c>
      <c r="J910" t="n">
        <v>0</v>
      </c>
      <c r="K910" t="n">
        <v>0</v>
      </c>
      <c r="L910" t="n">
        <v>0</v>
      </c>
      <c r="M910" t="n">
        <v>0</v>
      </c>
      <c r="N910" t="n">
        <v>0</v>
      </c>
      <c r="O910" t="n">
        <v>0</v>
      </c>
      <c r="P910" t="n">
        <v>0</v>
      </c>
      <c r="Q910" t="n">
        <v>0</v>
      </c>
      <c r="R910" s="2" t="inlineStr"/>
    </row>
    <row r="911" ht="15" customHeight="1">
      <c r="A911" t="inlineStr">
        <is>
          <t>A 27705-2023</t>
        </is>
      </c>
      <c r="B911" s="1" t="n">
        <v>45098</v>
      </c>
      <c r="C911" s="1" t="n">
        <v>45575</v>
      </c>
      <c r="D911" t="inlineStr">
        <is>
          <t>KALMAR LÄN</t>
        </is>
      </c>
      <c r="E911" t="inlineStr">
        <is>
          <t>VIMMERBY</t>
        </is>
      </c>
      <c r="G911" t="n">
        <v>1</v>
      </c>
      <c r="H911" t="n">
        <v>0</v>
      </c>
      <c r="I911" t="n">
        <v>0</v>
      </c>
      <c r="J911" t="n">
        <v>0</v>
      </c>
      <c r="K911" t="n">
        <v>0</v>
      </c>
      <c r="L911" t="n">
        <v>0</v>
      </c>
      <c r="M911" t="n">
        <v>0</v>
      </c>
      <c r="N911" t="n">
        <v>0</v>
      </c>
      <c r="O911" t="n">
        <v>0</v>
      </c>
      <c r="P911" t="n">
        <v>0</v>
      </c>
      <c r="Q911" t="n">
        <v>0</v>
      </c>
      <c r="R911" s="2" t="inlineStr"/>
    </row>
    <row r="912" ht="15" customHeight="1">
      <c r="A912" t="inlineStr">
        <is>
          <t>A 28123-2023</t>
        </is>
      </c>
      <c r="B912" s="1" t="n">
        <v>45099</v>
      </c>
      <c r="C912" s="1" t="n">
        <v>45575</v>
      </c>
      <c r="D912" t="inlineStr">
        <is>
          <t>KALMAR LÄN</t>
        </is>
      </c>
      <c r="E912" t="inlineStr">
        <is>
          <t>VIMMERBY</t>
        </is>
      </c>
      <c r="G912" t="n">
        <v>2.5</v>
      </c>
      <c r="H912" t="n">
        <v>0</v>
      </c>
      <c r="I912" t="n">
        <v>0</v>
      </c>
      <c r="J912" t="n">
        <v>0</v>
      </c>
      <c r="K912" t="n">
        <v>0</v>
      </c>
      <c r="L912" t="n">
        <v>0</v>
      </c>
      <c r="M912" t="n">
        <v>0</v>
      </c>
      <c r="N912" t="n">
        <v>0</v>
      </c>
      <c r="O912" t="n">
        <v>0</v>
      </c>
      <c r="P912" t="n">
        <v>0</v>
      </c>
      <c r="Q912" t="n">
        <v>0</v>
      </c>
      <c r="R912" s="2" t="inlineStr"/>
    </row>
    <row r="913" ht="15" customHeight="1">
      <c r="A913" t="inlineStr">
        <is>
          <t>A 28129-2023</t>
        </is>
      </c>
      <c r="B913" s="1" t="n">
        <v>45099</v>
      </c>
      <c r="C913" s="1" t="n">
        <v>45575</v>
      </c>
      <c r="D913" t="inlineStr">
        <is>
          <t>KALMAR LÄN</t>
        </is>
      </c>
      <c r="E913" t="inlineStr">
        <is>
          <t>VIMMERBY</t>
        </is>
      </c>
      <c r="G913" t="n">
        <v>1.1</v>
      </c>
      <c r="H913" t="n">
        <v>0</v>
      </c>
      <c r="I913" t="n">
        <v>0</v>
      </c>
      <c r="J913" t="n">
        <v>0</v>
      </c>
      <c r="K913" t="n">
        <v>0</v>
      </c>
      <c r="L913" t="n">
        <v>0</v>
      </c>
      <c r="M913" t="n">
        <v>0</v>
      </c>
      <c r="N913" t="n">
        <v>0</v>
      </c>
      <c r="O913" t="n">
        <v>0</v>
      </c>
      <c r="P913" t="n">
        <v>0</v>
      </c>
      <c r="Q913" t="n">
        <v>0</v>
      </c>
      <c r="R913" s="2" t="inlineStr"/>
    </row>
    <row r="914" ht="15" customHeight="1">
      <c r="A914" t="inlineStr">
        <is>
          <t>A 28395-2023</t>
        </is>
      </c>
      <c r="B914" s="1" t="n">
        <v>45100</v>
      </c>
      <c r="C914" s="1" t="n">
        <v>45575</v>
      </c>
      <c r="D914" t="inlineStr">
        <is>
          <t>KALMAR LÄN</t>
        </is>
      </c>
      <c r="E914" t="inlineStr">
        <is>
          <t>VIMMERBY</t>
        </is>
      </c>
      <c r="G914" t="n">
        <v>1.4</v>
      </c>
      <c r="H914" t="n">
        <v>0</v>
      </c>
      <c r="I914" t="n">
        <v>0</v>
      </c>
      <c r="J914" t="n">
        <v>0</v>
      </c>
      <c r="K914" t="n">
        <v>0</v>
      </c>
      <c r="L914" t="n">
        <v>0</v>
      </c>
      <c r="M914" t="n">
        <v>0</v>
      </c>
      <c r="N914" t="n">
        <v>0</v>
      </c>
      <c r="O914" t="n">
        <v>0</v>
      </c>
      <c r="P914" t="n">
        <v>0</v>
      </c>
      <c r="Q914" t="n">
        <v>0</v>
      </c>
      <c r="R914" s="2" t="inlineStr"/>
    </row>
    <row r="915" ht="15" customHeight="1">
      <c r="A915" t="inlineStr">
        <is>
          <t>A 28403-2023</t>
        </is>
      </c>
      <c r="B915" s="1" t="n">
        <v>45100</v>
      </c>
      <c r="C915" s="1" t="n">
        <v>45575</v>
      </c>
      <c r="D915" t="inlineStr">
        <is>
          <t>KALMAR LÄN</t>
        </is>
      </c>
      <c r="E915" t="inlineStr">
        <is>
          <t>VIMMERBY</t>
        </is>
      </c>
      <c r="G915" t="n">
        <v>1.8</v>
      </c>
      <c r="H915" t="n">
        <v>0</v>
      </c>
      <c r="I915" t="n">
        <v>0</v>
      </c>
      <c r="J915" t="n">
        <v>0</v>
      </c>
      <c r="K915" t="n">
        <v>0</v>
      </c>
      <c r="L915" t="n">
        <v>0</v>
      </c>
      <c r="M915" t="n">
        <v>0</v>
      </c>
      <c r="N915" t="n">
        <v>0</v>
      </c>
      <c r="O915" t="n">
        <v>0</v>
      </c>
      <c r="P915" t="n">
        <v>0</v>
      </c>
      <c r="Q915" t="n">
        <v>0</v>
      </c>
      <c r="R915" s="2" t="inlineStr"/>
    </row>
    <row r="916" ht="15" customHeight="1">
      <c r="A916" t="inlineStr">
        <is>
          <t>A 29093-2023</t>
        </is>
      </c>
      <c r="B916" s="1" t="n">
        <v>45105</v>
      </c>
      <c r="C916" s="1" t="n">
        <v>45575</v>
      </c>
      <c r="D916" t="inlineStr">
        <is>
          <t>KALMAR LÄN</t>
        </is>
      </c>
      <c r="E916" t="inlineStr">
        <is>
          <t>VIMMERBY</t>
        </is>
      </c>
      <c r="G916" t="n">
        <v>2.9</v>
      </c>
      <c r="H916" t="n">
        <v>0</v>
      </c>
      <c r="I916" t="n">
        <v>0</v>
      </c>
      <c r="J916" t="n">
        <v>0</v>
      </c>
      <c r="K916" t="n">
        <v>0</v>
      </c>
      <c r="L916" t="n">
        <v>0</v>
      </c>
      <c r="M916" t="n">
        <v>0</v>
      </c>
      <c r="N916" t="n">
        <v>0</v>
      </c>
      <c r="O916" t="n">
        <v>0</v>
      </c>
      <c r="P916" t="n">
        <v>0</v>
      </c>
      <c r="Q916" t="n">
        <v>0</v>
      </c>
      <c r="R916" s="2" t="inlineStr"/>
    </row>
    <row r="917" ht="15" customHeight="1">
      <c r="A917" t="inlineStr">
        <is>
          <t>A 29196-2023</t>
        </is>
      </c>
      <c r="B917" s="1" t="n">
        <v>45105</v>
      </c>
      <c r="C917" s="1" t="n">
        <v>45575</v>
      </c>
      <c r="D917" t="inlineStr">
        <is>
          <t>KALMAR LÄN</t>
        </is>
      </c>
      <c r="E917" t="inlineStr">
        <is>
          <t>VIMMERBY</t>
        </is>
      </c>
      <c r="G917" t="n">
        <v>1.5</v>
      </c>
      <c r="H917" t="n">
        <v>0</v>
      </c>
      <c r="I917" t="n">
        <v>0</v>
      </c>
      <c r="J917" t="n">
        <v>0</v>
      </c>
      <c r="K917" t="n">
        <v>0</v>
      </c>
      <c r="L917" t="n">
        <v>0</v>
      </c>
      <c r="M917" t="n">
        <v>0</v>
      </c>
      <c r="N917" t="n">
        <v>0</v>
      </c>
      <c r="O917" t="n">
        <v>0</v>
      </c>
      <c r="P917" t="n">
        <v>0</v>
      </c>
      <c r="Q917" t="n">
        <v>0</v>
      </c>
      <c r="R917" s="2" t="inlineStr"/>
    </row>
    <row r="918" ht="15" customHeight="1">
      <c r="A918" t="inlineStr">
        <is>
          <t>A 29351-2023</t>
        </is>
      </c>
      <c r="B918" s="1" t="n">
        <v>45106</v>
      </c>
      <c r="C918" s="1" t="n">
        <v>45575</v>
      </c>
      <c r="D918" t="inlineStr">
        <is>
          <t>KALMAR LÄN</t>
        </is>
      </c>
      <c r="E918" t="inlineStr">
        <is>
          <t>VIMMERBY</t>
        </is>
      </c>
      <c r="G918" t="n">
        <v>0.4</v>
      </c>
      <c r="H918" t="n">
        <v>0</v>
      </c>
      <c r="I918" t="n">
        <v>0</v>
      </c>
      <c r="J918" t="n">
        <v>0</v>
      </c>
      <c r="K918" t="n">
        <v>0</v>
      </c>
      <c r="L918" t="n">
        <v>0</v>
      </c>
      <c r="M918" t="n">
        <v>0</v>
      </c>
      <c r="N918" t="n">
        <v>0</v>
      </c>
      <c r="O918" t="n">
        <v>0</v>
      </c>
      <c r="P918" t="n">
        <v>0</v>
      </c>
      <c r="Q918" t="n">
        <v>0</v>
      </c>
      <c r="R918" s="2" t="inlineStr"/>
    </row>
    <row r="919" ht="15" customHeight="1">
      <c r="A919" t="inlineStr">
        <is>
          <t>A 29350-2023</t>
        </is>
      </c>
      <c r="B919" s="1" t="n">
        <v>45106</v>
      </c>
      <c r="C919" s="1" t="n">
        <v>45575</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row r="920" ht="15" customHeight="1">
      <c r="A920" t="inlineStr">
        <is>
          <t>A 29348-2023</t>
        </is>
      </c>
      <c r="B920" s="1" t="n">
        <v>45106</v>
      </c>
      <c r="C920" s="1" t="n">
        <v>45575</v>
      </c>
      <c r="D920" t="inlineStr">
        <is>
          <t>KALMAR LÄN</t>
        </is>
      </c>
      <c r="E920" t="inlineStr">
        <is>
          <t>VIMMERBY</t>
        </is>
      </c>
      <c r="G920" t="n">
        <v>2.4</v>
      </c>
      <c r="H920" t="n">
        <v>0</v>
      </c>
      <c r="I920" t="n">
        <v>0</v>
      </c>
      <c r="J920" t="n">
        <v>0</v>
      </c>
      <c r="K920" t="n">
        <v>0</v>
      </c>
      <c r="L920" t="n">
        <v>0</v>
      </c>
      <c r="M920" t="n">
        <v>0</v>
      </c>
      <c r="N920" t="n">
        <v>0</v>
      </c>
      <c r="O920" t="n">
        <v>0</v>
      </c>
      <c r="P920" t="n">
        <v>0</v>
      </c>
      <c r="Q920" t="n">
        <v>0</v>
      </c>
      <c r="R920" s="2" t="inlineStr"/>
    </row>
    <row r="921" ht="15" customHeight="1">
      <c r="A921" t="inlineStr">
        <is>
          <t>A 29349-2023</t>
        </is>
      </c>
      <c r="B921" s="1" t="n">
        <v>45106</v>
      </c>
      <c r="C921" s="1" t="n">
        <v>45575</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29973-2023</t>
        </is>
      </c>
      <c r="B922" s="1" t="n">
        <v>45108</v>
      </c>
      <c r="C922" s="1" t="n">
        <v>45575</v>
      </c>
      <c r="D922" t="inlineStr">
        <is>
          <t>KALMAR LÄN</t>
        </is>
      </c>
      <c r="E922" t="inlineStr">
        <is>
          <t>VIMMERBY</t>
        </is>
      </c>
      <c r="G922" t="n">
        <v>4</v>
      </c>
      <c r="H922" t="n">
        <v>0</v>
      </c>
      <c r="I922" t="n">
        <v>0</v>
      </c>
      <c r="J922" t="n">
        <v>0</v>
      </c>
      <c r="K922" t="n">
        <v>0</v>
      </c>
      <c r="L922" t="n">
        <v>0</v>
      </c>
      <c r="M922" t="n">
        <v>0</v>
      </c>
      <c r="N922" t="n">
        <v>0</v>
      </c>
      <c r="O922" t="n">
        <v>0</v>
      </c>
      <c r="P922" t="n">
        <v>0</v>
      </c>
      <c r="Q922" t="n">
        <v>0</v>
      </c>
      <c r="R922" s="2" t="inlineStr"/>
    </row>
    <row r="923" ht="15" customHeight="1">
      <c r="A923" t="inlineStr">
        <is>
          <t>A 30070-2023</t>
        </is>
      </c>
      <c r="B923" s="1" t="n">
        <v>45110</v>
      </c>
      <c r="C923" s="1" t="n">
        <v>45575</v>
      </c>
      <c r="D923" t="inlineStr">
        <is>
          <t>KALMAR LÄN</t>
        </is>
      </c>
      <c r="E923" t="inlineStr">
        <is>
          <t>VIMMERBY</t>
        </is>
      </c>
      <c r="G923" t="n">
        <v>1.6</v>
      </c>
      <c r="H923" t="n">
        <v>0</v>
      </c>
      <c r="I923" t="n">
        <v>0</v>
      </c>
      <c r="J923" t="n">
        <v>0</v>
      </c>
      <c r="K923" t="n">
        <v>0</v>
      </c>
      <c r="L923" t="n">
        <v>0</v>
      </c>
      <c r="M923" t="n">
        <v>0</v>
      </c>
      <c r="N923" t="n">
        <v>0</v>
      </c>
      <c r="O923" t="n">
        <v>0</v>
      </c>
      <c r="P923" t="n">
        <v>0</v>
      </c>
      <c r="Q923" t="n">
        <v>0</v>
      </c>
      <c r="R923" s="2" t="inlineStr"/>
    </row>
    <row r="924" ht="15" customHeight="1">
      <c r="A924" t="inlineStr">
        <is>
          <t>A 30063-2023</t>
        </is>
      </c>
      <c r="B924" s="1" t="n">
        <v>45110</v>
      </c>
      <c r="C924" s="1" t="n">
        <v>45575</v>
      </c>
      <c r="D924" t="inlineStr">
        <is>
          <t>KALMAR LÄN</t>
        </is>
      </c>
      <c r="E924" t="inlineStr">
        <is>
          <t>VIMMERBY</t>
        </is>
      </c>
      <c r="G924" t="n">
        <v>1.2</v>
      </c>
      <c r="H924" t="n">
        <v>0</v>
      </c>
      <c r="I924" t="n">
        <v>0</v>
      </c>
      <c r="J924" t="n">
        <v>0</v>
      </c>
      <c r="K924" t="n">
        <v>0</v>
      </c>
      <c r="L924" t="n">
        <v>0</v>
      </c>
      <c r="M924" t="n">
        <v>0</v>
      </c>
      <c r="N924" t="n">
        <v>0</v>
      </c>
      <c r="O924" t="n">
        <v>0</v>
      </c>
      <c r="P924" t="n">
        <v>0</v>
      </c>
      <c r="Q924" t="n">
        <v>0</v>
      </c>
      <c r="R924" s="2" t="inlineStr"/>
    </row>
    <row r="925" ht="15" customHeight="1">
      <c r="A925" t="inlineStr">
        <is>
          <t>A 30090-2023</t>
        </is>
      </c>
      <c r="B925" s="1" t="n">
        <v>45110</v>
      </c>
      <c r="C925" s="1" t="n">
        <v>45575</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30503-2023</t>
        </is>
      </c>
      <c r="B926" s="1" t="n">
        <v>45111</v>
      </c>
      <c r="C926" s="1" t="n">
        <v>45575</v>
      </c>
      <c r="D926" t="inlineStr">
        <is>
          <t>KALMAR LÄN</t>
        </is>
      </c>
      <c r="E926" t="inlineStr">
        <is>
          <t>VIMMERBY</t>
        </is>
      </c>
      <c r="G926" t="n">
        <v>0.5</v>
      </c>
      <c r="H926" t="n">
        <v>0</v>
      </c>
      <c r="I926" t="n">
        <v>0</v>
      </c>
      <c r="J926" t="n">
        <v>0</v>
      </c>
      <c r="K926" t="n">
        <v>0</v>
      </c>
      <c r="L926" t="n">
        <v>0</v>
      </c>
      <c r="M926" t="n">
        <v>0</v>
      </c>
      <c r="N926" t="n">
        <v>0</v>
      </c>
      <c r="O926" t="n">
        <v>0</v>
      </c>
      <c r="P926" t="n">
        <v>0</v>
      </c>
      <c r="Q926" t="n">
        <v>0</v>
      </c>
      <c r="R926" s="2" t="inlineStr"/>
    </row>
    <row r="927" ht="15" customHeight="1">
      <c r="A927" t="inlineStr">
        <is>
          <t>A 30380-2023</t>
        </is>
      </c>
      <c r="B927" s="1" t="n">
        <v>45111</v>
      </c>
      <c r="C927" s="1" t="n">
        <v>45575</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30400-2023</t>
        </is>
      </c>
      <c r="B928" s="1" t="n">
        <v>45111</v>
      </c>
      <c r="C928" s="1" t="n">
        <v>45575</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30318-2023</t>
        </is>
      </c>
      <c r="B929" s="1" t="n">
        <v>45111</v>
      </c>
      <c r="C929" s="1" t="n">
        <v>45575</v>
      </c>
      <c r="D929" t="inlineStr">
        <is>
          <t>KALMAR LÄN</t>
        </is>
      </c>
      <c r="E929" t="inlineStr">
        <is>
          <t>VIMMERBY</t>
        </is>
      </c>
      <c r="G929" t="n">
        <v>2.6</v>
      </c>
      <c r="H929" t="n">
        <v>0</v>
      </c>
      <c r="I929" t="n">
        <v>0</v>
      </c>
      <c r="J929" t="n">
        <v>0</v>
      </c>
      <c r="K929" t="n">
        <v>0</v>
      </c>
      <c r="L929" t="n">
        <v>0</v>
      </c>
      <c r="M929" t="n">
        <v>0</v>
      </c>
      <c r="N929" t="n">
        <v>0</v>
      </c>
      <c r="O929" t="n">
        <v>0</v>
      </c>
      <c r="P929" t="n">
        <v>0</v>
      </c>
      <c r="Q929" t="n">
        <v>0</v>
      </c>
      <c r="R929" s="2" t="inlineStr"/>
    </row>
    <row r="930" ht="15" customHeight="1">
      <c r="A930" t="inlineStr">
        <is>
          <t>A 30402-2023</t>
        </is>
      </c>
      <c r="B930" s="1" t="n">
        <v>45111</v>
      </c>
      <c r="C930" s="1" t="n">
        <v>45575</v>
      </c>
      <c r="D930" t="inlineStr">
        <is>
          <t>KALMAR LÄN</t>
        </is>
      </c>
      <c r="E930" t="inlineStr">
        <is>
          <t>VIMMERBY</t>
        </is>
      </c>
      <c r="G930" t="n">
        <v>0.7</v>
      </c>
      <c r="H930" t="n">
        <v>0</v>
      </c>
      <c r="I930" t="n">
        <v>0</v>
      </c>
      <c r="J930" t="n">
        <v>0</v>
      </c>
      <c r="K930" t="n">
        <v>0</v>
      </c>
      <c r="L930" t="n">
        <v>0</v>
      </c>
      <c r="M930" t="n">
        <v>0</v>
      </c>
      <c r="N930" t="n">
        <v>0</v>
      </c>
      <c r="O930" t="n">
        <v>0</v>
      </c>
      <c r="P930" t="n">
        <v>0</v>
      </c>
      <c r="Q930" t="n">
        <v>0</v>
      </c>
      <c r="R930" s="2" t="inlineStr"/>
    </row>
    <row r="931" ht="15" customHeight="1">
      <c r="A931" t="inlineStr">
        <is>
          <t>A 30406-2023</t>
        </is>
      </c>
      <c r="B931" s="1" t="n">
        <v>45111</v>
      </c>
      <c r="C931" s="1" t="n">
        <v>45575</v>
      </c>
      <c r="D931" t="inlineStr">
        <is>
          <t>KALMAR LÄN</t>
        </is>
      </c>
      <c r="E931" t="inlineStr">
        <is>
          <t>VIMMERBY</t>
        </is>
      </c>
      <c r="G931" t="n">
        <v>2.4</v>
      </c>
      <c r="H931" t="n">
        <v>0</v>
      </c>
      <c r="I931" t="n">
        <v>0</v>
      </c>
      <c r="J931" t="n">
        <v>0</v>
      </c>
      <c r="K931" t="n">
        <v>0</v>
      </c>
      <c r="L931" t="n">
        <v>0</v>
      </c>
      <c r="M931" t="n">
        <v>0</v>
      </c>
      <c r="N931" t="n">
        <v>0</v>
      </c>
      <c r="O931" t="n">
        <v>0</v>
      </c>
      <c r="P931" t="n">
        <v>0</v>
      </c>
      <c r="Q931" t="n">
        <v>0</v>
      </c>
      <c r="R931" s="2" t="inlineStr"/>
    </row>
    <row r="932" ht="15" customHeight="1">
      <c r="A932" t="inlineStr">
        <is>
          <t>A 30404-2023</t>
        </is>
      </c>
      <c r="B932" s="1" t="n">
        <v>45111</v>
      </c>
      <c r="C932" s="1" t="n">
        <v>45575</v>
      </c>
      <c r="D932" t="inlineStr">
        <is>
          <t>KALMAR LÄN</t>
        </is>
      </c>
      <c r="E932" t="inlineStr">
        <is>
          <t>VIMMERBY</t>
        </is>
      </c>
      <c r="G932" t="n">
        <v>0.6</v>
      </c>
      <c r="H932" t="n">
        <v>0</v>
      </c>
      <c r="I932" t="n">
        <v>0</v>
      </c>
      <c r="J932" t="n">
        <v>0</v>
      </c>
      <c r="K932" t="n">
        <v>0</v>
      </c>
      <c r="L932" t="n">
        <v>0</v>
      </c>
      <c r="M932" t="n">
        <v>0</v>
      </c>
      <c r="N932" t="n">
        <v>0</v>
      </c>
      <c r="O932" t="n">
        <v>0</v>
      </c>
      <c r="P932" t="n">
        <v>0</v>
      </c>
      <c r="Q932" t="n">
        <v>0</v>
      </c>
      <c r="R932" s="2" t="inlineStr"/>
    </row>
    <row r="933" ht="15" customHeight="1">
      <c r="A933" t="inlineStr">
        <is>
          <t>A 30408-2023</t>
        </is>
      </c>
      <c r="B933" s="1" t="n">
        <v>45111</v>
      </c>
      <c r="C933" s="1" t="n">
        <v>45575</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30586-2023</t>
        </is>
      </c>
      <c r="B934" s="1" t="n">
        <v>45112</v>
      </c>
      <c r="C934" s="1" t="n">
        <v>45575</v>
      </c>
      <c r="D934" t="inlineStr">
        <is>
          <t>KALMAR LÄN</t>
        </is>
      </c>
      <c r="E934" t="inlineStr">
        <is>
          <t>VIMMERBY</t>
        </is>
      </c>
      <c r="G934" t="n">
        <v>3.6</v>
      </c>
      <c r="H934" t="n">
        <v>0</v>
      </c>
      <c r="I934" t="n">
        <v>0</v>
      </c>
      <c r="J934" t="n">
        <v>0</v>
      </c>
      <c r="K934" t="n">
        <v>0</v>
      </c>
      <c r="L934" t="n">
        <v>0</v>
      </c>
      <c r="M934" t="n">
        <v>0</v>
      </c>
      <c r="N934" t="n">
        <v>0</v>
      </c>
      <c r="O934" t="n">
        <v>0</v>
      </c>
      <c r="P934" t="n">
        <v>0</v>
      </c>
      <c r="Q934" t="n">
        <v>0</v>
      </c>
      <c r="R934" s="2" t="inlineStr"/>
    </row>
    <row r="935" ht="15" customHeight="1">
      <c r="A935" t="inlineStr">
        <is>
          <t>A 30588-2023</t>
        </is>
      </c>
      <c r="B935" s="1" t="n">
        <v>45112</v>
      </c>
      <c r="C935" s="1" t="n">
        <v>45575</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30896-2023</t>
        </is>
      </c>
      <c r="B936" s="1" t="n">
        <v>45113</v>
      </c>
      <c r="C936" s="1" t="n">
        <v>45575</v>
      </c>
      <c r="D936" t="inlineStr">
        <is>
          <t>KALMAR LÄN</t>
        </is>
      </c>
      <c r="E936" t="inlineStr">
        <is>
          <t>VIMMERBY</t>
        </is>
      </c>
      <c r="G936" t="n">
        <v>3.2</v>
      </c>
      <c r="H936" t="n">
        <v>0</v>
      </c>
      <c r="I936" t="n">
        <v>0</v>
      </c>
      <c r="J936" t="n">
        <v>0</v>
      </c>
      <c r="K936" t="n">
        <v>0</v>
      </c>
      <c r="L936" t="n">
        <v>0</v>
      </c>
      <c r="M936" t="n">
        <v>0</v>
      </c>
      <c r="N936" t="n">
        <v>0</v>
      </c>
      <c r="O936" t="n">
        <v>0</v>
      </c>
      <c r="P936" t="n">
        <v>0</v>
      </c>
      <c r="Q936" t="n">
        <v>0</v>
      </c>
      <c r="R936" s="2" t="inlineStr"/>
    </row>
    <row r="937" ht="15" customHeight="1">
      <c r="A937" t="inlineStr">
        <is>
          <t>A 30899-2023</t>
        </is>
      </c>
      <c r="B937" s="1" t="n">
        <v>45113</v>
      </c>
      <c r="C937" s="1" t="n">
        <v>45575</v>
      </c>
      <c r="D937" t="inlineStr">
        <is>
          <t>KALMAR LÄN</t>
        </is>
      </c>
      <c r="E937" t="inlineStr">
        <is>
          <t>VIMMERBY</t>
        </is>
      </c>
      <c r="G937" t="n">
        <v>0.9</v>
      </c>
      <c r="H937" t="n">
        <v>0</v>
      </c>
      <c r="I937" t="n">
        <v>0</v>
      </c>
      <c r="J937" t="n">
        <v>0</v>
      </c>
      <c r="K937" t="n">
        <v>0</v>
      </c>
      <c r="L937" t="n">
        <v>0</v>
      </c>
      <c r="M937" t="n">
        <v>0</v>
      </c>
      <c r="N937" t="n">
        <v>0</v>
      </c>
      <c r="O937" t="n">
        <v>0</v>
      </c>
      <c r="P937" t="n">
        <v>0</v>
      </c>
      <c r="Q937" t="n">
        <v>0</v>
      </c>
      <c r="R937" s="2" t="inlineStr"/>
    </row>
    <row r="938" ht="15" customHeight="1">
      <c r="A938" t="inlineStr">
        <is>
          <t>A 30912-2023</t>
        </is>
      </c>
      <c r="B938" s="1" t="n">
        <v>45113</v>
      </c>
      <c r="C938" s="1" t="n">
        <v>45575</v>
      </c>
      <c r="D938" t="inlineStr">
        <is>
          <t>KALMAR LÄN</t>
        </is>
      </c>
      <c r="E938" t="inlineStr">
        <is>
          <t>VIMMERBY</t>
        </is>
      </c>
      <c r="G938" t="n">
        <v>5</v>
      </c>
      <c r="H938" t="n">
        <v>0</v>
      </c>
      <c r="I938" t="n">
        <v>0</v>
      </c>
      <c r="J938" t="n">
        <v>0</v>
      </c>
      <c r="K938" t="n">
        <v>0</v>
      </c>
      <c r="L938" t="n">
        <v>0</v>
      </c>
      <c r="M938" t="n">
        <v>0</v>
      </c>
      <c r="N938" t="n">
        <v>0</v>
      </c>
      <c r="O938" t="n">
        <v>0</v>
      </c>
      <c r="P938" t="n">
        <v>0</v>
      </c>
      <c r="Q938" t="n">
        <v>0</v>
      </c>
      <c r="R938" s="2" t="inlineStr"/>
    </row>
    <row r="939" ht="15" customHeight="1">
      <c r="A939" t="inlineStr">
        <is>
          <t>A 30920-2023</t>
        </is>
      </c>
      <c r="B939" s="1" t="n">
        <v>45113</v>
      </c>
      <c r="C939" s="1" t="n">
        <v>45575</v>
      </c>
      <c r="D939" t="inlineStr">
        <is>
          <t>KALMAR LÄN</t>
        </is>
      </c>
      <c r="E939" t="inlineStr">
        <is>
          <t>VIMMERBY</t>
        </is>
      </c>
      <c r="G939" t="n">
        <v>3.1</v>
      </c>
      <c r="H939" t="n">
        <v>0</v>
      </c>
      <c r="I939" t="n">
        <v>0</v>
      </c>
      <c r="J939" t="n">
        <v>0</v>
      </c>
      <c r="K939" t="n">
        <v>0</v>
      </c>
      <c r="L939" t="n">
        <v>0</v>
      </c>
      <c r="M939" t="n">
        <v>0</v>
      </c>
      <c r="N939" t="n">
        <v>0</v>
      </c>
      <c r="O939" t="n">
        <v>0</v>
      </c>
      <c r="P939" t="n">
        <v>0</v>
      </c>
      <c r="Q939" t="n">
        <v>0</v>
      </c>
      <c r="R939" s="2" t="inlineStr"/>
    </row>
    <row r="940" ht="15" customHeight="1">
      <c r="A940" t="inlineStr">
        <is>
          <t>A 30894-2023</t>
        </is>
      </c>
      <c r="B940" s="1" t="n">
        <v>45113</v>
      </c>
      <c r="C940" s="1" t="n">
        <v>45575</v>
      </c>
      <c r="D940" t="inlineStr">
        <is>
          <t>KALMAR LÄN</t>
        </is>
      </c>
      <c r="E940" t="inlineStr">
        <is>
          <t>VIMMERBY</t>
        </is>
      </c>
      <c r="G940" t="n">
        <v>4.9</v>
      </c>
      <c r="H940" t="n">
        <v>0</v>
      </c>
      <c r="I940" t="n">
        <v>0</v>
      </c>
      <c r="J940" t="n">
        <v>0</v>
      </c>
      <c r="K940" t="n">
        <v>0</v>
      </c>
      <c r="L940" t="n">
        <v>0</v>
      </c>
      <c r="M940" t="n">
        <v>0</v>
      </c>
      <c r="N940" t="n">
        <v>0</v>
      </c>
      <c r="O940" t="n">
        <v>0</v>
      </c>
      <c r="P940" t="n">
        <v>0</v>
      </c>
      <c r="Q940" t="n">
        <v>0</v>
      </c>
      <c r="R940" s="2" t="inlineStr"/>
    </row>
    <row r="941" ht="15" customHeight="1">
      <c r="A941" t="inlineStr">
        <is>
          <t>A 30898-2023</t>
        </is>
      </c>
      <c r="B941" s="1" t="n">
        <v>45113</v>
      </c>
      <c r="C941" s="1" t="n">
        <v>45575</v>
      </c>
      <c r="D941" t="inlineStr">
        <is>
          <t>KALMAR LÄN</t>
        </is>
      </c>
      <c r="E941" t="inlineStr">
        <is>
          <t>VIMMERBY</t>
        </is>
      </c>
      <c r="G941" t="n">
        <v>1</v>
      </c>
      <c r="H941" t="n">
        <v>0</v>
      </c>
      <c r="I941" t="n">
        <v>0</v>
      </c>
      <c r="J941" t="n">
        <v>0</v>
      </c>
      <c r="K941" t="n">
        <v>0</v>
      </c>
      <c r="L941" t="n">
        <v>0</v>
      </c>
      <c r="M941" t="n">
        <v>0</v>
      </c>
      <c r="N941" t="n">
        <v>0</v>
      </c>
      <c r="O941" t="n">
        <v>0</v>
      </c>
      <c r="P941" t="n">
        <v>0</v>
      </c>
      <c r="Q941" t="n">
        <v>0</v>
      </c>
      <c r="R941" s="2" t="inlineStr"/>
    </row>
    <row r="942" ht="15" customHeight="1">
      <c r="A942" t="inlineStr">
        <is>
          <t>A 31013-2023</t>
        </is>
      </c>
      <c r="B942" s="1" t="n">
        <v>45113</v>
      </c>
      <c r="C942" s="1" t="n">
        <v>45575</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31017-2023</t>
        </is>
      </c>
      <c r="B943" s="1" t="n">
        <v>45113</v>
      </c>
      <c r="C943" s="1" t="n">
        <v>45575</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31340-2023</t>
        </is>
      </c>
      <c r="B944" s="1" t="n">
        <v>45114</v>
      </c>
      <c r="C944" s="1" t="n">
        <v>45575</v>
      </c>
      <c r="D944" t="inlineStr">
        <is>
          <t>KALMAR LÄN</t>
        </is>
      </c>
      <c r="E944" t="inlineStr">
        <is>
          <t>VIMMERBY</t>
        </is>
      </c>
      <c r="G944" t="n">
        <v>1.8</v>
      </c>
      <c r="H944" t="n">
        <v>0</v>
      </c>
      <c r="I944" t="n">
        <v>0</v>
      </c>
      <c r="J944" t="n">
        <v>0</v>
      </c>
      <c r="K944" t="n">
        <v>0</v>
      </c>
      <c r="L944" t="n">
        <v>0</v>
      </c>
      <c r="M944" t="n">
        <v>0</v>
      </c>
      <c r="N944" t="n">
        <v>0</v>
      </c>
      <c r="O944" t="n">
        <v>0</v>
      </c>
      <c r="P944" t="n">
        <v>0</v>
      </c>
      <c r="Q944" t="n">
        <v>0</v>
      </c>
      <c r="R944" s="2" t="inlineStr"/>
    </row>
    <row r="945" ht="15" customHeight="1">
      <c r="A945" t="inlineStr">
        <is>
          <t>A 31369-2023</t>
        </is>
      </c>
      <c r="B945" s="1" t="n">
        <v>45114</v>
      </c>
      <c r="C945" s="1" t="n">
        <v>45575</v>
      </c>
      <c r="D945" t="inlineStr">
        <is>
          <t>KALMAR LÄN</t>
        </is>
      </c>
      <c r="E945" t="inlineStr">
        <is>
          <t>VIMMERBY</t>
        </is>
      </c>
      <c r="G945" t="n">
        <v>2.3</v>
      </c>
      <c r="H945" t="n">
        <v>0</v>
      </c>
      <c r="I945" t="n">
        <v>0</v>
      </c>
      <c r="J945" t="n">
        <v>0</v>
      </c>
      <c r="K945" t="n">
        <v>0</v>
      </c>
      <c r="L945" t="n">
        <v>0</v>
      </c>
      <c r="M945" t="n">
        <v>0</v>
      </c>
      <c r="N945" t="n">
        <v>0</v>
      </c>
      <c r="O945" t="n">
        <v>0</v>
      </c>
      <c r="P945" t="n">
        <v>0</v>
      </c>
      <c r="Q945" t="n">
        <v>0</v>
      </c>
      <c r="R945" s="2" t="inlineStr"/>
    </row>
    <row r="946" ht="15" customHeight="1">
      <c r="A946" t="inlineStr">
        <is>
          <t>A 31377-2023</t>
        </is>
      </c>
      <c r="B946" s="1" t="n">
        <v>45114</v>
      </c>
      <c r="C946" s="1" t="n">
        <v>45575</v>
      </c>
      <c r="D946" t="inlineStr">
        <is>
          <t>KALMAR LÄN</t>
        </is>
      </c>
      <c r="E946" t="inlineStr">
        <is>
          <t>VIMMERBY</t>
        </is>
      </c>
      <c r="G946" t="n">
        <v>2</v>
      </c>
      <c r="H946" t="n">
        <v>0</v>
      </c>
      <c r="I946" t="n">
        <v>0</v>
      </c>
      <c r="J946" t="n">
        <v>0</v>
      </c>
      <c r="K946" t="n">
        <v>0</v>
      </c>
      <c r="L946" t="n">
        <v>0</v>
      </c>
      <c r="M946" t="n">
        <v>0</v>
      </c>
      <c r="N946" t="n">
        <v>0</v>
      </c>
      <c r="O946" t="n">
        <v>0</v>
      </c>
      <c r="P946" t="n">
        <v>0</v>
      </c>
      <c r="Q946" t="n">
        <v>0</v>
      </c>
      <c r="R946" s="2" t="inlineStr"/>
    </row>
    <row r="947" ht="15" customHeight="1">
      <c r="A947" t="inlineStr">
        <is>
          <t>A 31382-2023</t>
        </is>
      </c>
      <c r="B947" s="1" t="n">
        <v>45114</v>
      </c>
      <c r="C947" s="1" t="n">
        <v>45575</v>
      </c>
      <c r="D947" t="inlineStr">
        <is>
          <t>KALMAR LÄN</t>
        </is>
      </c>
      <c r="E947" t="inlineStr">
        <is>
          <t>VIMMERBY</t>
        </is>
      </c>
      <c r="G947" t="n">
        <v>3.7</v>
      </c>
      <c r="H947" t="n">
        <v>0</v>
      </c>
      <c r="I947" t="n">
        <v>0</v>
      </c>
      <c r="J947" t="n">
        <v>0</v>
      </c>
      <c r="K947" t="n">
        <v>0</v>
      </c>
      <c r="L947" t="n">
        <v>0</v>
      </c>
      <c r="M947" t="n">
        <v>0</v>
      </c>
      <c r="N947" t="n">
        <v>0</v>
      </c>
      <c r="O947" t="n">
        <v>0</v>
      </c>
      <c r="P947" t="n">
        <v>0</v>
      </c>
      <c r="Q947" t="n">
        <v>0</v>
      </c>
      <c r="R947" s="2" t="inlineStr"/>
    </row>
    <row r="948" ht="15" customHeight="1">
      <c r="A948" t="inlineStr">
        <is>
          <t>A 31405-2023</t>
        </is>
      </c>
      <c r="B948" s="1" t="n">
        <v>45114</v>
      </c>
      <c r="C948" s="1" t="n">
        <v>45575</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31336-2023</t>
        </is>
      </c>
      <c r="B949" s="1" t="n">
        <v>45114</v>
      </c>
      <c r="C949" s="1" t="n">
        <v>45575</v>
      </c>
      <c r="D949" t="inlineStr">
        <is>
          <t>KALMAR LÄN</t>
        </is>
      </c>
      <c r="E949" t="inlineStr">
        <is>
          <t>VIMMERBY</t>
        </is>
      </c>
      <c r="G949" t="n">
        <v>1.3</v>
      </c>
      <c r="H949" t="n">
        <v>0</v>
      </c>
      <c r="I949" t="n">
        <v>0</v>
      </c>
      <c r="J949" t="n">
        <v>0</v>
      </c>
      <c r="K949" t="n">
        <v>0</v>
      </c>
      <c r="L949" t="n">
        <v>0</v>
      </c>
      <c r="M949" t="n">
        <v>0</v>
      </c>
      <c r="N949" t="n">
        <v>0</v>
      </c>
      <c r="O949" t="n">
        <v>0</v>
      </c>
      <c r="P949" t="n">
        <v>0</v>
      </c>
      <c r="Q949" t="n">
        <v>0</v>
      </c>
      <c r="R949" s="2" t="inlineStr"/>
    </row>
    <row r="950" ht="15" customHeight="1">
      <c r="A950" t="inlineStr">
        <is>
          <t>A 31355-2023</t>
        </is>
      </c>
      <c r="B950" s="1" t="n">
        <v>45114</v>
      </c>
      <c r="C950" s="1" t="n">
        <v>45575</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31390-2023</t>
        </is>
      </c>
      <c r="B951" s="1" t="n">
        <v>45114</v>
      </c>
      <c r="C951" s="1" t="n">
        <v>45575</v>
      </c>
      <c r="D951" t="inlineStr">
        <is>
          <t>KALMAR LÄN</t>
        </is>
      </c>
      <c r="E951" t="inlineStr">
        <is>
          <t>VIMMERBY</t>
        </is>
      </c>
      <c r="G951" t="n">
        <v>3.1</v>
      </c>
      <c r="H951" t="n">
        <v>0</v>
      </c>
      <c r="I951" t="n">
        <v>0</v>
      </c>
      <c r="J951" t="n">
        <v>0</v>
      </c>
      <c r="K951" t="n">
        <v>0</v>
      </c>
      <c r="L951" t="n">
        <v>0</v>
      </c>
      <c r="M951" t="n">
        <v>0</v>
      </c>
      <c r="N951" t="n">
        <v>0</v>
      </c>
      <c r="O951" t="n">
        <v>0</v>
      </c>
      <c r="P951" t="n">
        <v>0</v>
      </c>
      <c r="Q951" t="n">
        <v>0</v>
      </c>
      <c r="R951" s="2" t="inlineStr"/>
    </row>
    <row r="952" ht="15" customHeight="1">
      <c r="A952" t="inlineStr">
        <is>
          <t>A 31408-2023</t>
        </is>
      </c>
      <c r="B952" s="1" t="n">
        <v>45114</v>
      </c>
      <c r="C952" s="1" t="n">
        <v>45575</v>
      </c>
      <c r="D952" t="inlineStr">
        <is>
          <t>KALMAR LÄN</t>
        </is>
      </c>
      <c r="E952" t="inlineStr">
        <is>
          <t>VIMMERBY</t>
        </is>
      </c>
      <c r="G952" t="n">
        <v>4.4</v>
      </c>
      <c r="H952" t="n">
        <v>0</v>
      </c>
      <c r="I952" t="n">
        <v>0</v>
      </c>
      <c r="J952" t="n">
        <v>0</v>
      </c>
      <c r="K952" t="n">
        <v>0</v>
      </c>
      <c r="L952" t="n">
        <v>0</v>
      </c>
      <c r="M952" t="n">
        <v>0</v>
      </c>
      <c r="N952" t="n">
        <v>0</v>
      </c>
      <c r="O952" t="n">
        <v>0</v>
      </c>
      <c r="P952" t="n">
        <v>0</v>
      </c>
      <c r="Q952" t="n">
        <v>0</v>
      </c>
      <c r="R952" s="2" t="inlineStr"/>
    </row>
    <row r="953" ht="15" customHeight="1">
      <c r="A953" t="inlineStr">
        <is>
          <t>A 31682-2023</t>
        </is>
      </c>
      <c r="B953" s="1" t="n">
        <v>45117</v>
      </c>
      <c r="C953" s="1" t="n">
        <v>45575</v>
      </c>
      <c r="D953" t="inlineStr">
        <is>
          <t>KALMAR LÄN</t>
        </is>
      </c>
      <c r="E953" t="inlineStr">
        <is>
          <t>VIMMERBY</t>
        </is>
      </c>
      <c r="G953" t="n">
        <v>2.2</v>
      </c>
      <c r="H953" t="n">
        <v>0</v>
      </c>
      <c r="I953" t="n">
        <v>0</v>
      </c>
      <c r="J953" t="n">
        <v>0</v>
      </c>
      <c r="K953" t="n">
        <v>0</v>
      </c>
      <c r="L953" t="n">
        <v>0</v>
      </c>
      <c r="M953" t="n">
        <v>0</v>
      </c>
      <c r="N953" t="n">
        <v>0</v>
      </c>
      <c r="O953" t="n">
        <v>0</v>
      </c>
      <c r="P953" t="n">
        <v>0</v>
      </c>
      <c r="Q953" t="n">
        <v>0</v>
      </c>
      <c r="R953" s="2" t="inlineStr"/>
    </row>
    <row r="954" ht="15" customHeight="1">
      <c r="A954" t="inlineStr">
        <is>
          <t>A 32633-2023</t>
        </is>
      </c>
      <c r="B954" s="1" t="n">
        <v>45121</v>
      </c>
      <c r="C954" s="1" t="n">
        <v>45575</v>
      </c>
      <c r="D954" t="inlineStr">
        <is>
          <t>KALMAR LÄN</t>
        </is>
      </c>
      <c r="E954" t="inlineStr">
        <is>
          <t>VIMMERBY</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32651-2023</t>
        </is>
      </c>
      <c r="B955" s="1" t="n">
        <v>45121</v>
      </c>
      <c r="C955" s="1" t="n">
        <v>45575</v>
      </c>
      <c r="D955" t="inlineStr">
        <is>
          <t>KALMAR LÄN</t>
        </is>
      </c>
      <c r="E955" t="inlineStr">
        <is>
          <t>VIMMERBY</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32655-2023</t>
        </is>
      </c>
      <c r="B956" s="1" t="n">
        <v>45121</v>
      </c>
      <c r="C956" s="1" t="n">
        <v>45575</v>
      </c>
      <c r="D956" t="inlineStr">
        <is>
          <t>KALMAR LÄN</t>
        </is>
      </c>
      <c r="E956" t="inlineStr">
        <is>
          <t>VIMMERBY</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32669-2023</t>
        </is>
      </c>
      <c r="B957" s="1" t="n">
        <v>45121</v>
      </c>
      <c r="C957" s="1" t="n">
        <v>45575</v>
      </c>
      <c r="D957" t="inlineStr">
        <is>
          <t>KALMAR LÄN</t>
        </is>
      </c>
      <c r="E957" t="inlineStr">
        <is>
          <t>VIMMERBY</t>
        </is>
      </c>
      <c r="G957" t="n">
        <v>1.8</v>
      </c>
      <c r="H957" t="n">
        <v>0</v>
      </c>
      <c r="I957" t="n">
        <v>0</v>
      </c>
      <c r="J957" t="n">
        <v>0</v>
      </c>
      <c r="K957" t="n">
        <v>0</v>
      </c>
      <c r="L957" t="n">
        <v>0</v>
      </c>
      <c r="M957" t="n">
        <v>0</v>
      </c>
      <c r="N957" t="n">
        <v>0</v>
      </c>
      <c r="O957" t="n">
        <v>0</v>
      </c>
      <c r="P957" t="n">
        <v>0</v>
      </c>
      <c r="Q957" t="n">
        <v>0</v>
      </c>
      <c r="R957" s="2" t="inlineStr"/>
    </row>
    <row r="958" ht="15" customHeight="1">
      <c r="A958" t="inlineStr">
        <is>
          <t>A 32614-2023</t>
        </is>
      </c>
      <c r="B958" s="1" t="n">
        <v>45121</v>
      </c>
      <c r="C958" s="1" t="n">
        <v>45575</v>
      </c>
      <c r="D958" t="inlineStr">
        <is>
          <t>KALMAR LÄN</t>
        </is>
      </c>
      <c r="E958" t="inlineStr">
        <is>
          <t>VIMMERBY</t>
        </is>
      </c>
      <c r="G958" t="n">
        <v>0.6</v>
      </c>
      <c r="H958" t="n">
        <v>0</v>
      </c>
      <c r="I958" t="n">
        <v>0</v>
      </c>
      <c r="J958" t="n">
        <v>0</v>
      </c>
      <c r="K958" t="n">
        <v>0</v>
      </c>
      <c r="L958" t="n">
        <v>0</v>
      </c>
      <c r="M958" t="n">
        <v>0</v>
      </c>
      <c r="N958" t="n">
        <v>0</v>
      </c>
      <c r="O958" t="n">
        <v>0</v>
      </c>
      <c r="P958" t="n">
        <v>0</v>
      </c>
      <c r="Q958" t="n">
        <v>0</v>
      </c>
      <c r="R958" s="2" t="inlineStr"/>
    </row>
    <row r="959" ht="15" customHeight="1">
      <c r="A959" t="inlineStr">
        <is>
          <t>A 32642-2023</t>
        </is>
      </c>
      <c r="B959" s="1" t="n">
        <v>45121</v>
      </c>
      <c r="C959" s="1" t="n">
        <v>45575</v>
      </c>
      <c r="D959" t="inlineStr">
        <is>
          <t>KALMAR LÄN</t>
        </is>
      </c>
      <c r="E959" t="inlineStr">
        <is>
          <t>VIMMERBY</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32639-2023</t>
        </is>
      </c>
      <c r="B960" s="1" t="n">
        <v>45121</v>
      </c>
      <c r="C960" s="1" t="n">
        <v>45575</v>
      </c>
      <c r="D960" t="inlineStr">
        <is>
          <t>KALMAR LÄN</t>
        </is>
      </c>
      <c r="E960" t="inlineStr">
        <is>
          <t>VIMMERBY</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32865-2023</t>
        </is>
      </c>
      <c r="B961" s="1" t="n">
        <v>45124</v>
      </c>
      <c r="C961" s="1" t="n">
        <v>45575</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32984-2023</t>
        </is>
      </c>
      <c r="B962" s="1" t="n">
        <v>45125</v>
      </c>
      <c r="C962" s="1" t="n">
        <v>45575</v>
      </c>
      <c r="D962" t="inlineStr">
        <is>
          <t>KALMAR LÄN</t>
        </is>
      </c>
      <c r="E962" t="inlineStr">
        <is>
          <t>VIMMERBY</t>
        </is>
      </c>
      <c r="G962" t="n">
        <v>1.7</v>
      </c>
      <c r="H962" t="n">
        <v>0</v>
      </c>
      <c r="I962" t="n">
        <v>0</v>
      </c>
      <c r="J962" t="n">
        <v>0</v>
      </c>
      <c r="K962" t="n">
        <v>0</v>
      </c>
      <c r="L962" t="n">
        <v>0</v>
      </c>
      <c r="M962" t="n">
        <v>0</v>
      </c>
      <c r="N962" t="n">
        <v>0</v>
      </c>
      <c r="O962" t="n">
        <v>0</v>
      </c>
      <c r="P962" t="n">
        <v>0</v>
      </c>
      <c r="Q962" t="n">
        <v>0</v>
      </c>
      <c r="R962" s="2" t="inlineStr"/>
    </row>
    <row r="963" ht="15" customHeight="1">
      <c r="A963" t="inlineStr">
        <is>
          <t>A 33236-2023</t>
        </is>
      </c>
      <c r="B963" s="1" t="n">
        <v>45127</v>
      </c>
      <c r="C963" s="1" t="n">
        <v>45575</v>
      </c>
      <c r="D963" t="inlineStr">
        <is>
          <t>KALMAR LÄN</t>
        </is>
      </c>
      <c r="E963" t="inlineStr">
        <is>
          <t>VIMMERBY</t>
        </is>
      </c>
      <c r="G963" t="n">
        <v>2.5</v>
      </c>
      <c r="H963" t="n">
        <v>0</v>
      </c>
      <c r="I963" t="n">
        <v>0</v>
      </c>
      <c r="J963" t="n">
        <v>0</v>
      </c>
      <c r="K963" t="n">
        <v>0</v>
      </c>
      <c r="L963" t="n">
        <v>0</v>
      </c>
      <c r="M963" t="n">
        <v>0</v>
      </c>
      <c r="N963" t="n">
        <v>0</v>
      </c>
      <c r="O963" t="n">
        <v>0</v>
      </c>
      <c r="P963" t="n">
        <v>0</v>
      </c>
      <c r="Q963" t="n">
        <v>0</v>
      </c>
      <c r="R963" s="2" t="inlineStr"/>
    </row>
    <row r="964" ht="15" customHeight="1">
      <c r="A964" t="inlineStr">
        <is>
          <t>A 33340-2023</t>
        </is>
      </c>
      <c r="B964" s="1" t="n">
        <v>45128</v>
      </c>
      <c r="C964" s="1" t="n">
        <v>45575</v>
      </c>
      <c r="D964" t="inlineStr">
        <is>
          <t>KALMAR LÄN</t>
        </is>
      </c>
      <c r="E964" t="inlineStr">
        <is>
          <t>VIMMERBY</t>
        </is>
      </c>
      <c r="G964" t="n">
        <v>1.5</v>
      </c>
      <c r="H964" t="n">
        <v>0</v>
      </c>
      <c r="I964" t="n">
        <v>0</v>
      </c>
      <c r="J964" t="n">
        <v>0</v>
      </c>
      <c r="K964" t="n">
        <v>0</v>
      </c>
      <c r="L964" t="n">
        <v>0</v>
      </c>
      <c r="M964" t="n">
        <v>0</v>
      </c>
      <c r="N964" t="n">
        <v>0</v>
      </c>
      <c r="O964" t="n">
        <v>0</v>
      </c>
      <c r="P964" t="n">
        <v>0</v>
      </c>
      <c r="Q964" t="n">
        <v>0</v>
      </c>
      <c r="R964" s="2" t="inlineStr"/>
    </row>
    <row r="965" ht="15" customHeight="1">
      <c r="A965" t="inlineStr">
        <is>
          <t>A 33383-2023</t>
        </is>
      </c>
      <c r="B965" s="1" t="n">
        <v>45128</v>
      </c>
      <c r="C965" s="1" t="n">
        <v>45575</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33380-2023</t>
        </is>
      </c>
      <c r="B966" s="1" t="n">
        <v>45128</v>
      </c>
      <c r="C966" s="1" t="n">
        <v>45575</v>
      </c>
      <c r="D966" t="inlineStr">
        <is>
          <t>KALMAR LÄN</t>
        </is>
      </c>
      <c r="E966" t="inlineStr">
        <is>
          <t>VIMMERBY</t>
        </is>
      </c>
      <c r="G966" t="n">
        <v>5.2</v>
      </c>
      <c r="H966" t="n">
        <v>0</v>
      </c>
      <c r="I966" t="n">
        <v>0</v>
      </c>
      <c r="J966" t="n">
        <v>0</v>
      </c>
      <c r="K966" t="n">
        <v>0</v>
      </c>
      <c r="L966" t="n">
        <v>0</v>
      </c>
      <c r="M966" t="n">
        <v>0</v>
      </c>
      <c r="N966" t="n">
        <v>0</v>
      </c>
      <c r="O966" t="n">
        <v>0</v>
      </c>
      <c r="P966" t="n">
        <v>0</v>
      </c>
      <c r="Q966" t="n">
        <v>0</v>
      </c>
      <c r="R966" s="2" t="inlineStr"/>
    </row>
    <row r="967" ht="15" customHeight="1">
      <c r="A967" t="inlineStr">
        <is>
          <t>A 33417-2023</t>
        </is>
      </c>
      <c r="B967" s="1" t="n">
        <v>45128</v>
      </c>
      <c r="C967" s="1" t="n">
        <v>45575</v>
      </c>
      <c r="D967" t="inlineStr">
        <is>
          <t>KALMAR LÄN</t>
        </is>
      </c>
      <c r="E967" t="inlineStr">
        <is>
          <t>VIMMERBY</t>
        </is>
      </c>
      <c r="G967" t="n">
        <v>4.8</v>
      </c>
      <c r="H967" t="n">
        <v>0</v>
      </c>
      <c r="I967" t="n">
        <v>0</v>
      </c>
      <c r="J967" t="n">
        <v>0</v>
      </c>
      <c r="K967" t="n">
        <v>0</v>
      </c>
      <c r="L967" t="n">
        <v>0</v>
      </c>
      <c r="M967" t="n">
        <v>0</v>
      </c>
      <c r="N967" t="n">
        <v>0</v>
      </c>
      <c r="O967" t="n">
        <v>0</v>
      </c>
      <c r="P967" t="n">
        <v>0</v>
      </c>
      <c r="Q967" t="n">
        <v>0</v>
      </c>
      <c r="R967" s="2" t="inlineStr"/>
    </row>
    <row r="968" ht="15" customHeight="1">
      <c r="A968" t="inlineStr">
        <is>
          <t>A 33425-2023</t>
        </is>
      </c>
      <c r="B968" s="1" t="n">
        <v>45129</v>
      </c>
      <c r="C968" s="1" t="n">
        <v>45575</v>
      </c>
      <c r="D968" t="inlineStr">
        <is>
          <t>KALMAR LÄN</t>
        </is>
      </c>
      <c r="E968" t="inlineStr">
        <is>
          <t>VIMMERBY</t>
        </is>
      </c>
      <c r="G968" t="n">
        <v>1.4</v>
      </c>
      <c r="H968" t="n">
        <v>0</v>
      </c>
      <c r="I968" t="n">
        <v>0</v>
      </c>
      <c r="J968" t="n">
        <v>0</v>
      </c>
      <c r="K968" t="n">
        <v>0</v>
      </c>
      <c r="L968" t="n">
        <v>0</v>
      </c>
      <c r="M968" t="n">
        <v>0</v>
      </c>
      <c r="N968" t="n">
        <v>0</v>
      </c>
      <c r="O968" t="n">
        <v>0</v>
      </c>
      <c r="P968" t="n">
        <v>0</v>
      </c>
      <c r="Q968" t="n">
        <v>0</v>
      </c>
      <c r="R968" s="2" t="inlineStr"/>
    </row>
    <row r="969" ht="15" customHeight="1">
      <c r="A969" t="inlineStr">
        <is>
          <t>A 33424-2023</t>
        </is>
      </c>
      <c r="B969" s="1" t="n">
        <v>45129</v>
      </c>
      <c r="C969" s="1" t="n">
        <v>45575</v>
      </c>
      <c r="D969" t="inlineStr">
        <is>
          <t>KALMAR LÄN</t>
        </is>
      </c>
      <c r="E969" t="inlineStr">
        <is>
          <t>VIMMERBY</t>
        </is>
      </c>
      <c r="G969" t="n">
        <v>2.4</v>
      </c>
      <c r="H969" t="n">
        <v>0</v>
      </c>
      <c r="I969" t="n">
        <v>0</v>
      </c>
      <c r="J969" t="n">
        <v>0</v>
      </c>
      <c r="K969" t="n">
        <v>0</v>
      </c>
      <c r="L969" t="n">
        <v>0</v>
      </c>
      <c r="M969" t="n">
        <v>0</v>
      </c>
      <c r="N969" t="n">
        <v>0</v>
      </c>
      <c r="O969" t="n">
        <v>0</v>
      </c>
      <c r="P969" t="n">
        <v>0</v>
      </c>
      <c r="Q969" t="n">
        <v>0</v>
      </c>
      <c r="R969" s="2" t="inlineStr"/>
    </row>
    <row r="970" ht="15" customHeight="1">
      <c r="A970" t="inlineStr">
        <is>
          <t>A 33649-2023</t>
        </is>
      </c>
      <c r="B970" s="1" t="n">
        <v>45132</v>
      </c>
      <c r="C970" s="1" t="n">
        <v>45575</v>
      </c>
      <c r="D970" t="inlineStr">
        <is>
          <t>KALMAR LÄN</t>
        </is>
      </c>
      <c r="E970" t="inlineStr">
        <is>
          <t>VIMMERBY</t>
        </is>
      </c>
      <c r="G970" t="n">
        <v>4.9</v>
      </c>
      <c r="H970" t="n">
        <v>0</v>
      </c>
      <c r="I970" t="n">
        <v>0</v>
      </c>
      <c r="J970" t="n">
        <v>0</v>
      </c>
      <c r="K970" t="n">
        <v>0</v>
      </c>
      <c r="L970" t="n">
        <v>0</v>
      </c>
      <c r="M970" t="n">
        <v>0</v>
      </c>
      <c r="N970" t="n">
        <v>0</v>
      </c>
      <c r="O970" t="n">
        <v>0</v>
      </c>
      <c r="P970" t="n">
        <v>0</v>
      </c>
      <c r="Q970" t="n">
        <v>0</v>
      </c>
      <c r="R970" s="2" t="inlineStr"/>
    </row>
    <row r="971" ht="15" customHeight="1">
      <c r="A971" t="inlineStr">
        <is>
          <t>A 34205-2023</t>
        </is>
      </c>
      <c r="B971" s="1" t="n">
        <v>45138</v>
      </c>
      <c r="C971" s="1" t="n">
        <v>45575</v>
      </c>
      <c r="D971" t="inlineStr">
        <is>
          <t>KALMAR LÄN</t>
        </is>
      </c>
      <c r="E971" t="inlineStr">
        <is>
          <t>VIMMERBY</t>
        </is>
      </c>
      <c r="G971" t="n">
        <v>0.6</v>
      </c>
      <c r="H971" t="n">
        <v>0</v>
      </c>
      <c r="I971" t="n">
        <v>0</v>
      </c>
      <c r="J971" t="n">
        <v>0</v>
      </c>
      <c r="K971" t="n">
        <v>0</v>
      </c>
      <c r="L971" t="n">
        <v>0</v>
      </c>
      <c r="M971" t="n">
        <v>0</v>
      </c>
      <c r="N971" t="n">
        <v>0</v>
      </c>
      <c r="O971" t="n">
        <v>0</v>
      </c>
      <c r="P971" t="n">
        <v>0</v>
      </c>
      <c r="Q971" t="n">
        <v>0</v>
      </c>
      <c r="R971" s="2" t="inlineStr"/>
    </row>
    <row r="972" ht="15" customHeight="1">
      <c r="A972" t="inlineStr">
        <is>
          <t>A 34300-2023</t>
        </is>
      </c>
      <c r="B972" s="1" t="n">
        <v>45138</v>
      </c>
      <c r="C972" s="1" t="n">
        <v>45575</v>
      </c>
      <c r="D972" t="inlineStr">
        <is>
          <t>KALMAR LÄN</t>
        </is>
      </c>
      <c r="E972" t="inlineStr">
        <is>
          <t>VIMMERBY</t>
        </is>
      </c>
      <c r="G972" t="n">
        <v>0.9</v>
      </c>
      <c r="H972" t="n">
        <v>0</v>
      </c>
      <c r="I972" t="n">
        <v>0</v>
      </c>
      <c r="J972" t="n">
        <v>0</v>
      </c>
      <c r="K972" t="n">
        <v>0</v>
      </c>
      <c r="L972" t="n">
        <v>0</v>
      </c>
      <c r="M972" t="n">
        <v>0</v>
      </c>
      <c r="N972" t="n">
        <v>0</v>
      </c>
      <c r="O972" t="n">
        <v>0</v>
      </c>
      <c r="P972" t="n">
        <v>0</v>
      </c>
      <c r="Q972" t="n">
        <v>0</v>
      </c>
      <c r="R972" s="2" t="inlineStr"/>
    </row>
    <row r="973" ht="15" customHeight="1">
      <c r="A973" t="inlineStr">
        <is>
          <t>A 34956-2023</t>
        </is>
      </c>
      <c r="B973" s="1" t="n">
        <v>45142</v>
      </c>
      <c r="C973" s="1" t="n">
        <v>45575</v>
      </c>
      <c r="D973" t="inlineStr">
        <is>
          <t>KALMAR LÄN</t>
        </is>
      </c>
      <c r="E973" t="inlineStr">
        <is>
          <t>VIMMERBY</t>
        </is>
      </c>
      <c r="G973" t="n">
        <v>1</v>
      </c>
      <c r="H973" t="n">
        <v>0</v>
      </c>
      <c r="I973" t="n">
        <v>0</v>
      </c>
      <c r="J973" t="n">
        <v>0</v>
      </c>
      <c r="K973" t="n">
        <v>0</v>
      </c>
      <c r="L973" t="n">
        <v>0</v>
      </c>
      <c r="M973" t="n">
        <v>0</v>
      </c>
      <c r="N973" t="n">
        <v>0</v>
      </c>
      <c r="O973" t="n">
        <v>0</v>
      </c>
      <c r="P973" t="n">
        <v>0</v>
      </c>
      <c r="Q973" t="n">
        <v>0</v>
      </c>
      <c r="R973" s="2" t="inlineStr"/>
    </row>
    <row r="974" ht="15" customHeight="1">
      <c r="A974" t="inlineStr">
        <is>
          <t>A 35190-2023</t>
        </is>
      </c>
      <c r="B974" s="1" t="n">
        <v>45145</v>
      </c>
      <c r="C974" s="1" t="n">
        <v>45575</v>
      </c>
      <c r="D974" t="inlineStr">
        <is>
          <t>KALMAR LÄN</t>
        </is>
      </c>
      <c r="E974" t="inlineStr">
        <is>
          <t>VIMMERBY</t>
        </is>
      </c>
      <c r="G974" t="n">
        <v>3.5</v>
      </c>
      <c r="H974" t="n">
        <v>0</v>
      </c>
      <c r="I974" t="n">
        <v>0</v>
      </c>
      <c r="J974" t="n">
        <v>0</v>
      </c>
      <c r="K974" t="n">
        <v>0</v>
      </c>
      <c r="L974" t="n">
        <v>0</v>
      </c>
      <c r="M974" t="n">
        <v>0</v>
      </c>
      <c r="N974" t="n">
        <v>0</v>
      </c>
      <c r="O974" t="n">
        <v>0</v>
      </c>
      <c r="P974" t="n">
        <v>0</v>
      </c>
      <c r="Q974" t="n">
        <v>0</v>
      </c>
      <c r="R974" s="2" t="inlineStr"/>
    </row>
    <row r="975" ht="15" customHeight="1">
      <c r="A975" t="inlineStr">
        <is>
          <t>A 35198-2023</t>
        </is>
      </c>
      <c r="B975" s="1" t="n">
        <v>45145</v>
      </c>
      <c r="C975" s="1" t="n">
        <v>45575</v>
      </c>
      <c r="D975" t="inlineStr">
        <is>
          <t>KALMAR LÄN</t>
        </is>
      </c>
      <c r="E975" t="inlineStr">
        <is>
          <t>VIMMERBY</t>
        </is>
      </c>
      <c r="G975" t="n">
        <v>1.6</v>
      </c>
      <c r="H975" t="n">
        <v>0</v>
      </c>
      <c r="I975" t="n">
        <v>0</v>
      </c>
      <c r="J975" t="n">
        <v>0</v>
      </c>
      <c r="K975" t="n">
        <v>0</v>
      </c>
      <c r="L975" t="n">
        <v>0</v>
      </c>
      <c r="M975" t="n">
        <v>0</v>
      </c>
      <c r="N975" t="n">
        <v>0</v>
      </c>
      <c r="O975" t="n">
        <v>0</v>
      </c>
      <c r="P975" t="n">
        <v>0</v>
      </c>
      <c r="Q975" t="n">
        <v>0</v>
      </c>
      <c r="R975" s="2" t="inlineStr"/>
    </row>
    <row r="976" ht="15" customHeight="1">
      <c r="A976" t="inlineStr">
        <is>
          <t>A 35372-2023</t>
        </is>
      </c>
      <c r="B976" s="1" t="n">
        <v>45146</v>
      </c>
      <c r="C976" s="1" t="n">
        <v>45575</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35670-2023</t>
        </is>
      </c>
      <c r="B977" s="1" t="n">
        <v>45147</v>
      </c>
      <c r="C977" s="1" t="n">
        <v>45575</v>
      </c>
      <c r="D977" t="inlineStr">
        <is>
          <t>KALMAR LÄN</t>
        </is>
      </c>
      <c r="E977" t="inlineStr">
        <is>
          <t>VIMMERBY</t>
        </is>
      </c>
      <c r="G977" t="n">
        <v>6.4</v>
      </c>
      <c r="H977" t="n">
        <v>0</v>
      </c>
      <c r="I977" t="n">
        <v>0</v>
      </c>
      <c r="J977" t="n">
        <v>0</v>
      </c>
      <c r="K977" t="n">
        <v>0</v>
      </c>
      <c r="L977" t="n">
        <v>0</v>
      </c>
      <c r="M977" t="n">
        <v>0</v>
      </c>
      <c r="N977" t="n">
        <v>0</v>
      </c>
      <c r="O977" t="n">
        <v>0</v>
      </c>
      <c r="P977" t="n">
        <v>0</v>
      </c>
      <c r="Q977" t="n">
        <v>0</v>
      </c>
      <c r="R977" s="2" t="inlineStr"/>
    </row>
    <row r="978" ht="15" customHeight="1">
      <c r="A978" t="inlineStr">
        <is>
          <t>A 35678-2023</t>
        </is>
      </c>
      <c r="B978" s="1" t="n">
        <v>45147</v>
      </c>
      <c r="C978" s="1" t="n">
        <v>45575</v>
      </c>
      <c r="D978" t="inlineStr">
        <is>
          <t>KALMAR LÄN</t>
        </is>
      </c>
      <c r="E978" t="inlineStr">
        <is>
          <t>VIMMERBY</t>
        </is>
      </c>
      <c r="G978" t="n">
        <v>0.7</v>
      </c>
      <c r="H978" t="n">
        <v>0</v>
      </c>
      <c r="I978" t="n">
        <v>0</v>
      </c>
      <c r="J978" t="n">
        <v>0</v>
      </c>
      <c r="K978" t="n">
        <v>0</v>
      </c>
      <c r="L978" t="n">
        <v>0</v>
      </c>
      <c r="M978" t="n">
        <v>0</v>
      </c>
      <c r="N978" t="n">
        <v>0</v>
      </c>
      <c r="O978" t="n">
        <v>0</v>
      </c>
      <c r="P978" t="n">
        <v>0</v>
      </c>
      <c r="Q978" t="n">
        <v>0</v>
      </c>
      <c r="R978" s="2" t="inlineStr"/>
    </row>
    <row r="979" ht="15" customHeight="1">
      <c r="A979" t="inlineStr">
        <is>
          <t>A 35710-2023</t>
        </is>
      </c>
      <c r="B979" s="1" t="n">
        <v>45147</v>
      </c>
      <c r="C979" s="1" t="n">
        <v>45575</v>
      </c>
      <c r="D979" t="inlineStr">
        <is>
          <t>KALMAR LÄN</t>
        </is>
      </c>
      <c r="E979" t="inlineStr">
        <is>
          <t>VIMMERBY</t>
        </is>
      </c>
      <c r="G979" t="n">
        <v>3.1</v>
      </c>
      <c r="H979" t="n">
        <v>0</v>
      </c>
      <c r="I979" t="n">
        <v>0</v>
      </c>
      <c r="J979" t="n">
        <v>0</v>
      </c>
      <c r="K979" t="n">
        <v>0</v>
      </c>
      <c r="L979" t="n">
        <v>0</v>
      </c>
      <c r="M979" t="n">
        <v>0</v>
      </c>
      <c r="N979" t="n">
        <v>0</v>
      </c>
      <c r="O979" t="n">
        <v>0</v>
      </c>
      <c r="P979" t="n">
        <v>0</v>
      </c>
      <c r="Q979" t="n">
        <v>0</v>
      </c>
      <c r="R979" s="2" t="inlineStr"/>
    </row>
    <row r="980" ht="15" customHeight="1">
      <c r="A980" t="inlineStr">
        <is>
          <t>A 35671-2023</t>
        </is>
      </c>
      <c r="B980" s="1" t="n">
        <v>45147</v>
      </c>
      <c r="C980" s="1" t="n">
        <v>45575</v>
      </c>
      <c r="D980" t="inlineStr">
        <is>
          <t>KALMAR LÄN</t>
        </is>
      </c>
      <c r="E980" t="inlineStr">
        <is>
          <t>VIMMERBY</t>
        </is>
      </c>
      <c r="G980" t="n">
        <v>2.3</v>
      </c>
      <c r="H980" t="n">
        <v>0</v>
      </c>
      <c r="I980" t="n">
        <v>0</v>
      </c>
      <c r="J980" t="n">
        <v>0</v>
      </c>
      <c r="K980" t="n">
        <v>0</v>
      </c>
      <c r="L980" t="n">
        <v>0</v>
      </c>
      <c r="M980" t="n">
        <v>0</v>
      </c>
      <c r="N980" t="n">
        <v>0</v>
      </c>
      <c r="O980" t="n">
        <v>0</v>
      </c>
      <c r="P980" t="n">
        <v>0</v>
      </c>
      <c r="Q980" t="n">
        <v>0</v>
      </c>
      <c r="R980" s="2" t="inlineStr"/>
    </row>
    <row r="981" ht="15" customHeight="1">
      <c r="A981" t="inlineStr">
        <is>
          <t>A 35711-2023</t>
        </is>
      </c>
      <c r="B981" s="1" t="n">
        <v>45147</v>
      </c>
      <c r="C981" s="1" t="n">
        <v>45575</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35672-2023</t>
        </is>
      </c>
      <c r="B982" s="1" t="n">
        <v>45147</v>
      </c>
      <c r="C982" s="1" t="n">
        <v>45575</v>
      </c>
      <c r="D982" t="inlineStr">
        <is>
          <t>KALMAR LÄN</t>
        </is>
      </c>
      <c r="E982" t="inlineStr">
        <is>
          <t>VIMMERBY</t>
        </is>
      </c>
      <c r="G982" t="n">
        <v>1.1</v>
      </c>
      <c r="H982" t="n">
        <v>0</v>
      </c>
      <c r="I982" t="n">
        <v>0</v>
      </c>
      <c r="J982" t="n">
        <v>0</v>
      </c>
      <c r="K982" t="n">
        <v>0</v>
      </c>
      <c r="L982" t="n">
        <v>0</v>
      </c>
      <c r="M982" t="n">
        <v>0</v>
      </c>
      <c r="N982" t="n">
        <v>0</v>
      </c>
      <c r="O982" t="n">
        <v>0</v>
      </c>
      <c r="P982" t="n">
        <v>0</v>
      </c>
      <c r="Q982" t="n">
        <v>0</v>
      </c>
      <c r="R982" s="2" t="inlineStr"/>
    </row>
    <row r="983" ht="15" customHeight="1">
      <c r="A983" t="inlineStr">
        <is>
          <t>A 35713-2023</t>
        </is>
      </c>
      <c r="B983" s="1" t="n">
        <v>45147</v>
      </c>
      <c r="C983" s="1" t="n">
        <v>45575</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35839-2023</t>
        </is>
      </c>
      <c r="B984" s="1" t="n">
        <v>45148</v>
      </c>
      <c r="C984" s="1" t="n">
        <v>45575</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35846-2023</t>
        </is>
      </c>
      <c r="B985" s="1" t="n">
        <v>45148</v>
      </c>
      <c r="C985" s="1" t="n">
        <v>45575</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35913-2023</t>
        </is>
      </c>
      <c r="B986" s="1" t="n">
        <v>45148</v>
      </c>
      <c r="C986" s="1" t="n">
        <v>45575</v>
      </c>
      <c r="D986" t="inlineStr">
        <is>
          <t>KALMAR LÄN</t>
        </is>
      </c>
      <c r="E986" t="inlineStr">
        <is>
          <t>VIMMERBY</t>
        </is>
      </c>
      <c r="G986" t="n">
        <v>6.9</v>
      </c>
      <c r="H986" t="n">
        <v>0</v>
      </c>
      <c r="I986" t="n">
        <v>0</v>
      </c>
      <c r="J986" t="n">
        <v>0</v>
      </c>
      <c r="K986" t="n">
        <v>0</v>
      </c>
      <c r="L986" t="n">
        <v>0</v>
      </c>
      <c r="M986" t="n">
        <v>0</v>
      </c>
      <c r="N986" t="n">
        <v>0</v>
      </c>
      <c r="O986" t="n">
        <v>0</v>
      </c>
      <c r="P986" t="n">
        <v>0</v>
      </c>
      <c r="Q986" t="n">
        <v>0</v>
      </c>
      <c r="R986" s="2" t="inlineStr"/>
    </row>
    <row r="987" ht="15" customHeight="1">
      <c r="A987" t="inlineStr">
        <is>
          <t>A 36155-2023</t>
        </is>
      </c>
      <c r="B987" s="1" t="n">
        <v>45149</v>
      </c>
      <c r="C987" s="1" t="n">
        <v>45575</v>
      </c>
      <c r="D987" t="inlineStr">
        <is>
          <t>KALMAR LÄN</t>
        </is>
      </c>
      <c r="E987" t="inlineStr">
        <is>
          <t>VIMMERBY</t>
        </is>
      </c>
      <c r="G987" t="n">
        <v>5</v>
      </c>
      <c r="H987" t="n">
        <v>0</v>
      </c>
      <c r="I987" t="n">
        <v>0</v>
      </c>
      <c r="J987" t="n">
        <v>0</v>
      </c>
      <c r="K987" t="n">
        <v>0</v>
      </c>
      <c r="L987" t="n">
        <v>0</v>
      </c>
      <c r="M987" t="n">
        <v>0</v>
      </c>
      <c r="N987" t="n">
        <v>0</v>
      </c>
      <c r="O987" t="n">
        <v>0</v>
      </c>
      <c r="P987" t="n">
        <v>0</v>
      </c>
      <c r="Q987" t="n">
        <v>0</v>
      </c>
      <c r="R987" s="2" t="inlineStr"/>
    </row>
    <row r="988" ht="15" customHeight="1">
      <c r="A988" t="inlineStr">
        <is>
          <t>A 36385-2023</t>
        </is>
      </c>
      <c r="B988" s="1" t="n">
        <v>45152</v>
      </c>
      <c r="C988" s="1" t="n">
        <v>45575</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36526-2023</t>
        </is>
      </c>
      <c r="B989" s="1" t="n">
        <v>45153</v>
      </c>
      <c r="C989" s="1" t="n">
        <v>45575</v>
      </c>
      <c r="D989" t="inlineStr">
        <is>
          <t>KALMAR LÄN</t>
        </is>
      </c>
      <c r="E989" t="inlineStr">
        <is>
          <t>VIMMERBY</t>
        </is>
      </c>
      <c r="G989" t="n">
        <v>2.7</v>
      </c>
      <c r="H989" t="n">
        <v>0</v>
      </c>
      <c r="I989" t="n">
        <v>0</v>
      </c>
      <c r="J989" t="n">
        <v>0</v>
      </c>
      <c r="K989" t="n">
        <v>0</v>
      </c>
      <c r="L989" t="n">
        <v>0</v>
      </c>
      <c r="M989" t="n">
        <v>0</v>
      </c>
      <c r="N989" t="n">
        <v>0</v>
      </c>
      <c r="O989" t="n">
        <v>0</v>
      </c>
      <c r="P989" t="n">
        <v>0</v>
      </c>
      <c r="Q989" t="n">
        <v>0</v>
      </c>
      <c r="R989" s="2" t="inlineStr"/>
    </row>
    <row r="990" ht="15" customHeight="1">
      <c r="A990" t="inlineStr">
        <is>
          <t>A 36843-2023</t>
        </is>
      </c>
      <c r="B990" s="1" t="n">
        <v>45154</v>
      </c>
      <c r="C990" s="1" t="n">
        <v>45575</v>
      </c>
      <c r="D990" t="inlineStr">
        <is>
          <t>KALMAR LÄN</t>
        </is>
      </c>
      <c r="E990" t="inlineStr">
        <is>
          <t>VIMMERBY</t>
        </is>
      </c>
      <c r="G990" t="n">
        <v>2</v>
      </c>
      <c r="H990" t="n">
        <v>0</v>
      </c>
      <c r="I990" t="n">
        <v>0</v>
      </c>
      <c r="J990" t="n">
        <v>0</v>
      </c>
      <c r="K990" t="n">
        <v>0</v>
      </c>
      <c r="L990" t="n">
        <v>0</v>
      </c>
      <c r="M990" t="n">
        <v>0</v>
      </c>
      <c r="N990" t="n">
        <v>0</v>
      </c>
      <c r="O990" t="n">
        <v>0</v>
      </c>
      <c r="P990" t="n">
        <v>0</v>
      </c>
      <c r="Q990" t="n">
        <v>0</v>
      </c>
      <c r="R990" s="2" t="inlineStr"/>
    </row>
    <row r="991" ht="15" customHeight="1">
      <c r="A991" t="inlineStr">
        <is>
          <t>A 37373-2023</t>
        </is>
      </c>
      <c r="B991" s="1" t="n">
        <v>45156</v>
      </c>
      <c r="C991" s="1" t="n">
        <v>45575</v>
      </c>
      <c r="D991" t="inlineStr">
        <is>
          <t>KALMAR LÄN</t>
        </is>
      </c>
      <c r="E991" t="inlineStr">
        <is>
          <t>VIMMERBY</t>
        </is>
      </c>
      <c r="F991" t="inlineStr">
        <is>
          <t>Övriga Aktiebolag</t>
        </is>
      </c>
      <c r="G991" t="n">
        <v>4.7</v>
      </c>
      <c r="H991" t="n">
        <v>0</v>
      </c>
      <c r="I991" t="n">
        <v>0</v>
      </c>
      <c r="J991" t="n">
        <v>0</v>
      </c>
      <c r="K991" t="n">
        <v>0</v>
      </c>
      <c r="L991" t="n">
        <v>0</v>
      </c>
      <c r="M991" t="n">
        <v>0</v>
      </c>
      <c r="N991" t="n">
        <v>0</v>
      </c>
      <c r="O991" t="n">
        <v>0</v>
      </c>
      <c r="P991" t="n">
        <v>0</v>
      </c>
      <c r="Q991" t="n">
        <v>0</v>
      </c>
      <c r="R991" s="2" t="inlineStr"/>
    </row>
    <row r="992" ht="15" customHeight="1">
      <c r="A992" t="inlineStr">
        <is>
          <t>A 38254-2023</t>
        </is>
      </c>
      <c r="B992" s="1" t="n">
        <v>45160</v>
      </c>
      <c r="C992" s="1" t="n">
        <v>45575</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38261-2023</t>
        </is>
      </c>
      <c r="B993" s="1" t="n">
        <v>45160</v>
      </c>
      <c r="C993" s="1" t="n">
        <v>45575</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38274-2023</t>
        </is>
      </c>
      <c r="B994" s="1" t="n">
        <v>45161</v>
      </c>
      <c r="C994" s="1" t="n">
        <v>45575</v>
      </c>
      <c r="D994" t="inlineStr">
        <is>
          <t>KALMAR LÄN</t>
        </is>
      </c>
      <c r="E994" t="inlineStr">
        <is>
          <t>VIMMERBY</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38969-2023</t>
        </is>
      </c>
      <c r="B995" s="1" t="n">
        <v>45163</v>
      </c>
      <c r="C995" s="1" t="n">
        <v>45575</v>
      </c>
      <c r="D995" t="inlineStr">
        <is>
          <t>KALMAR LÄN</t>
        </is>
      </c>
      <c r="E995" t="inlineStr">
        <is>
          <t>VIMMERBY</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38993-2023</t>
        </is>
      </c>
      <c r="B996" s="1" t="n">
        <v>45163</v>
      </c>
      <c r="C996" s="1" t="n">
        <v>45575</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38851-2023</t>
        </is>
      </c>
      <c r="B997" s="1" t="n">
        <v>45163</v>
      </c>
      <c r="C997" s="1" t="n">
        <v>45575</v>
      </c>
      <c r="D997" t="inlineStr">
        <is>
          <t>KALMAR LÄN</t>
        </is>
      </c>
      <c r="E997" t="inlineStr">
        <is>
          <t>VIMMERBY</t>
        </is>
      </c>
      <c r="G997" t="n">
        <v>4.3</v>
      </c>
      <c r="H997" t="n">
        <v>0</v>
      </c>
      <c r="I997" t="n">
        <v>0</v>
      </c>
      <c r="J997" t="n">
        <v>0</v>
      </c>
      <c r="K997" t="n">
        <v>0</v>
      </c>
      <c r="L997" t="n">
        <v>0</v>
      </c>
      <c r="M997" t="n">
        <v>0</v>
      </c>
      <c r="N997" t="n">
        <v>0</v>
      </c>
      <c r="O997" t="n">
        <v>0</v>
      </c>
      <c r="P997" t="n">
        <v>0</v>
      </c>
      <c r="Q997" t="n">
        <v>0</v>
      </c>
      <c r="R997" s="2" t="inlineStr"/>
    </row>
    <row r="998" ht="15" customHeight="1">
      <c r="A998" t="inlineStr">
        <is>
          <t>A 38995-2023</t>
        </is>
      </c>
      <c r="B998" s="1" t="n">
        <v>45163</v>
      </c>
      <c r="C998" s="1" t="n">
        <v>45575</v>
      </c>
      <c r="D998" t="inlineStr">
        <is>
          <t>KALMAR LÄN</t>
        </is>
      </c>
      <c r="E998" t="inlineStr">
        <is>
          <t>VIMMERBY</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38779-2023</t>
        </is>
      </c>
      <c r="B999" s="1" t="n">
        <v>45163</v>
      </c>
      <c r="C999" s="1" t="n">
        <v>45575</v>
      </c>
      <c r="D999" t="inlineStr">
        <is>
          <t>KALMAR LÄN</t>
        </is>
      </c>
      <c r="E999" t="inlineStr">
        <is>
          <t>VIMMERBY</t>
        </is>
      </c>
      <c r="G999" t="n">
        <v>1.9</v>
      </c>
      <c r="H999" t="n">
        <v>0</v>
      </c>
      <c r="I999" t="n">
        <v>0</v>
      </c>
      <c r="J999" t="n">
        <v>0</v>
      </c>
      <c r="K999" t="n">
        <v>0</v>
      </c>
      <c r="L999" t="n">
        <v>0</v>
      </c>
      <c r="M999" t="n">
        <v>0</v>
      </c>
      <c r="N999" t="n">
        <v>0</v>
      </c>
      <c r="O999" t="n">
        <v>0</v>
      </c>
      <c r="P999" t="n">
        <v>0</v>
      </c>
      <c r="Q999" t="n">
        <v>0</v>
      </c>
      <c r="R999" s="2" t="inlineStr"/>
    </row>
    <row r="1000" ht="15" customHeight="1">
      <c r="A1000" t="inlineStr">
        <is>
          <t>A 38757-2023</t>
        </is>
      </c>
      <c r="B1000" s="1" t="n">
        <v>45163</v>
      </c>
      <c r="C1000" s="1" t="n">
        <v>45575</v>
      </c>
      <c r="D1000" t="inlineStr">
        <is>
          <t>KALMAR LÄN</t>
        </is>
      </c>
      <c r="E1000" t="inlineStr">
        <is>
          <t>VIMMERBY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38799-2023</t>
        </is>
      </c>
      <c r="B1001" s="1" t="n">
        <v>45163</v>
      </c>
      <c r="C1001" s="1" t="n">
        <v>45575</v>
      </c>
      <c r="D1001" t="inlineStr">
        <is>
          <t>KALMAR LÄN</t>
        </is>
      </c>
      <c r="E1001" t="inlineStr">
        <is>
          <t>VIMMERBY</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38803-2023</t>
        </is>
      </c>
      <c r="B1002" s="1" t="n">
        <v>45163</v>
      </c>
      <c r="C1002" s="1" t="n">
        <v>45575</v>
      </c>
      <c r="D1002" t="inlineStr">
        <is>
          <t>KALMAR LÄN</t>
        </is>
      </c>
      <c r="E1002" t="inlineStr">
        <is>
          <t>VIMMERBY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39129-2023</t>
        </is>
      </c>
      <c r="B1003" s="1" t="n">
        <v>45165</v>
      </c>
      <c r="C1003" s="1" t="n">
        <v>45575</v>
      </c>
      <c r="D1003" t="inlineStr">
        <is>
          <t>KALMAR LÄN</t>
        </is>
      </c>
      <c r="E1003" t="inlineStr">
        <is>
          <t>VIMMERBY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39401-2023</t>
        </is>
      </c>
      <c r="B1004" s="1" t="n">
        <v>45166</v>
      </c>
      <c r="C1004" s="1" t="n">
        <v>45575</v>
      </c>
      <c r="D1004" t="inlineStr">
        <is>
          <t>KALMAR LÄN</t>
        </is>
      </c>
      <c r="E1004" t="inlineStr">
        <is>
          <t>VIMMERBY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40079-2023</t>
        </is>
      </c>
      <c r="B1005" s="1" t="n">
        <v>45168</v>
      </c>
      <c r="C1005" s="1" t="n">
        <v>45575</v>
      </c>
      <c r="D1005" t="inlineStr">
        <is>
          <t>KALMAR LÄN</t>
        </is>
      </c>
      <c r="E1005" t="inlineStr">
        <is>
          <t>VIMMERBY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40083-2023</t>
        </is>
      </c>
      <c r="B1006" s="1" t="n">
        <v>45168</v>
      </c>
      <c r="C1006" s="1" t="n">
        <v>45575</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45575</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40084-2023</t>
        </is>
      </c>
      <c r="B1008" s="1" t="n">
        <v>45168</v>
      </c>
      <c r="C1008" s="1" t="n">
        <v>45575</v>
      </c>
      <c r="D1008" t="inlineStr">
        <is>
          <t>KALMAR LÄN</t>
        </is>
      </c>
      <c r="E1008" t="inlineStr">
        <is>
          <t>VIMMERBY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45575</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45575</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45575</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45575</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45575</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45575</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45575</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45575</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45575</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45575</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45575</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45575</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45575</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45575</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45575</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45575</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45575</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45575</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45575</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45575</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45575</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45575</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45575</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45575</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45575</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45575</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45575</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45575</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45575</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45575</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45575</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45575</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45575</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45575</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45575</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45575</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45575</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45575</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45575</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45575</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45575</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45575</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45575</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45575</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45575</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45575</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45575</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45575</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45575</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45575</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45575</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45575</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45575</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45575</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45575</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45575</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45575</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45575</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45575</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45575</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45575</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45575</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45575</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45575</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45575</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45575</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45575</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45575</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45575</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45575</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45575</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45575</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45575</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45575</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45575</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45575</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45575</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45575</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45575</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45575</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45575</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45575</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45575</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45575</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45575</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45575</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45575</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45575</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45575</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45575</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45575</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45575</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45575</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45575</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45575</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45575</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45575</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45575</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45575</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45575</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45575</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45575</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45575</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45575</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45575</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45575</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45575</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45575</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45575</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45575</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45575</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45575</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45575</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45575</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45575</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45575</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45575</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45575</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45575</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45575</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45575</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45575</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45575</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45575</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45575</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45575</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45575</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45575</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45575</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45575</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45575</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45575</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45575</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45575</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45575</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45575</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45575</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45575</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45575</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45575</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45575</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45575</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45575</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45575</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45575</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45575</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45575</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45575</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45575</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45575</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45575</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45575</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45575</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45575</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45575</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45575</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45575</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45575</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45575</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45575</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45575</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45575</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45575</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45575</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45575</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45575</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45575</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45575</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45575</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45575</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45575</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45575</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45575</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45575</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45575</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45575</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45575</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45575</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45575</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45575</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45575</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45575</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45575</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45575</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45575</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45575</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45575</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45575</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45575</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45575</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45575</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45575</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45575</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45575</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45575</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45575</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45575</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45575</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45575</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45575</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45575</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45575</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45575</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45575</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45575</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45575</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45575</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45575</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45575</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45575</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45575</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45575</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45575</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45575</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45575</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45575</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45575</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45575</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45575</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45575</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45575</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45575</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45575</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45575</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45575</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45575</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45575</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45575</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45575</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45575</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45575</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45575</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45575</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45575</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45575</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45575</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45575</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45575</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45575</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45575</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45575</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45575</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45575</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45575</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45575</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45575</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45575</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45575</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45575</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45575</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45575</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45575</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45575</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45575</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45575</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45575</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45575</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45575</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45575</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45575</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45575</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45575</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45575</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45575</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45575</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45575</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45575</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45575</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45575</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45575</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45575</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45575</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45575</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45575</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45575</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45575</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45575</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45575</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45575</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45575</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45575</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45575</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45575</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45575</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45575</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45575</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45575</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45575</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45575</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45575</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45575</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45575</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45575</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45575</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45575</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45575</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45575</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45575</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45575</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45575</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45575</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45575</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45575</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45575</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45575</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45575</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45575</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45575</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45575</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45575</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45575</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45575</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45575</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45575</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45575</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45575</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45575</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45575</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45575</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45575</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45575</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45575</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45575</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45575</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45575</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45575</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45575</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45575</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45575</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45575</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45575</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45575</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45575</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45575</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45575</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45575</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45575</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45575</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45575</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45575</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45575</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45575</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45575</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45575</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45575</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45575</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45575</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45575</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45575</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45575</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45575</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45575</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45575</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45575</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45575</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45575</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45575</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45575</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45575</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45575</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45575</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45575</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45575</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45575</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45575</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45575</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45575</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45575</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45575</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45575</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45575</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45575</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45575</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39053-2024</t>
        </is>
      </c>
      <c r="B1382" s="1" t="n">
        <v>45548</v>
      </c>
      <c r="C1382" s="1" t="n">
        <v>45575</v>
      </c>
      <c r="D1382" t="inlineStr">
        <is>
          <t>KALMAR LÄN</t>
        </is>
      </c>
      <c r="E1382" t="inlineStr">
        <is>
          <t>VIMMERBY</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39043-2024</t>
        </is>
      </c>
      <c r="B1383" s="1" t="n">
        <v>45548</v>
      </c>
      <c r="C1383" s="1" t="n">
        <v>45575</v>
      </c>
      <c r="D1383" t="inlineStr">
        <is>
          <t>KALMAR LÄN</t>
        </is>
      </c>
      <c r="E1383" t="inlineStr">
        <is>
          <t>VIMMERBY</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45575</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39578-2024</t>
        </is>
      </c>
      <c r="B1385" s="1" t="n">
        <v>45552</v>
      </c>
      <c r="C1385" s="1" t="n">
        <v>45575</v>
      </c>
      <c r="D1385" t="inlineStr">
        <is>
          <t>KALMAR LÄN</t>
        </is>
      </c>
      <c r="E1385" t="inlineStr">
        <is>
          <t>VIMMERBY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39584-2024</t>
        </is>
      </c>
      <c r="B1386" s="1" t="n">
        <v>45552</v>
      </c>
      <c r="C1386" s="1" t="n">
        <v>45575</v>
      </c>
      <c r="D1386" t="inlineStr">
        <is>
          <t>KALMAR LÄN</t>
        </is>
      </c>
      <c r="E1386" t="inlineStr">
        <is>
          <t>VIMMERBY</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45575</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40255-2024</t>
        </is>
      </c>
      <c r="B1388" s="1" t="n">
        <v>45554</v>
      </c>
      <c r="C1388" s="1" t="n">
        <v>45575</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40260-2024</t>
        </is>
      </c>
      <c r="B1389" s="1" t="n">
        <v>45554</v>
      </c>
      <c r="C1389" s="1" t="n">
        <v>45575</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40256-2024</t>
        </is>
      </c>
      <c r="B1390" s="1" t="n">
        <v>45554</v>
      </c>
      <c r="C1390" s="1" t="n">
        <v>45575</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45575</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40756-2024</t>
        </is>
      </c>
      <c r="B1392" s="1" t="n">
        <v>45558</v>
      </c>
      <c r="C1392" s="1" t="n">
        <v>45575</v>
      </c>
      <c r="D1392" t="inlineStr">
        <is>
          <t>KALMAR LÄN</t>
        </is>
      </c>
      <c r="E1392" t="inlineStr">
        <is>
          <t>VIMMERBY</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40730-2024</t>
        </is>
      </c>
      <c r="B1393" s="1" t="n">
        <v>45558</v>
      </c>
      <c r="C1393" s="1" t="n">
        <v>45575</v>
      </c>
      <c r="D1393" t="inlineStr">
        <is>
          <t>KALMAR LÄN</t>
        </is>
      </c>
      <c r="E1393" t="inlineStr">
        <is>
          <t>VIMMERBY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40750-2024</t>
        </is>
      </c>
      <c r="B1394" s="1" t="n">
        <v>45558</v>
      </c>
      <c r="C1394" s="1" t="n">
        <v>45575</v>
      </c>
      <c r="D1394" t="inlineStr">
        <is>
          <t>KALMAR LÄN</t>
        </is>
      </c>
      <c r="E1394" t="inlineStr">
        <is>
          <t>VIMMERBY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40782-2024</t>
        </is>
      </c>
      <c r="B1395" s="1" t="n">
        <v>45558</v>
      </c>
      <c r="C1395" s="1" t="n">
        <v>45575</v>
      </c>
      <c r="D1395" t="inlineStr">
        <is>
          <t>KALMAR LÄN</t>
        </is>
      </c>
      <c r="E1395" t="inlineStr">
        <is>
          <t>VIMMERBY</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41066-2024</t>
        </is>
      </c>
      <c r="B1396" s="1" t="n">
        <v>45559</v>
      </c>
      <c r="C1396" s="1" t="n">
        <v>45575</v>
      </c>
      <c r="D1396" t="inlineStr">
        <is>
          <t>KALMAR LÄN</t>
        </is>
      </c>
      <c r="E1396" t="inlineStr">
        <is>
          <t>VIMMERBY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41071-2024</t>
        </is>
      </c>
      <c r="B1397" s="1" t="n">
        <v>45559</v>
      </c>
      <c r="C1397" s="1" t="n">
        <v>45575</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41119-2024</t>
        </is>
      </c>
      <c r="B1398" s="1" t="n">
        <v>45559</v>
      </c>
      <c r="C1398" s="1" t="n">
        <v>45575</v>
      </c>
      <c r="D1398" t="inlineStr">
        <is>
          <t>KALMAR LÄN</t>
        </is>
      </c>
      <c r="E1398" t="inlineStr">
        <is>
          <t>VIMMERBY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41084-2024</t>
        </is>
      </c>
      <c r="B1399" s="1" t="n">
        <v>45559</v>
      </c>
      <c r="C1399" s="1" t="n">
        <v>45575</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45575</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45575</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42429-2024</t>
        </is>
      </c>
      <c r="B1402" s="1" t="n">
        <v>45565</v>
      </c>
      <c r="C1402" s="1" t="n">
        <v>45575</v>
      </c>
      <c r="D1402" t="inlineStr">
        <is>
          <t>KALMAR LÄN</t>
        </is>
      </c>
      <c r="E1402" t="inlineStr">
        <is>
          <t>VIMMERBY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45575</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42737-2024</t>
        </is>
      </c>
      <c r="B1404" s="1" t="n">
        <v>45566</v>
      </c>
      <c r="C1404" s="1" t="n">
        <v>45575</v>
      </c>
      <c r="D1404" t="inlineStr">
        <is>
          <t>KALMAR LÄN</t>
        </is>
      </c>
      <c r="E1404" t="inlineStr">
        <is>
          <t>VIMMERBY</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43119-2024</t>
        </is>
      </c>
      <c r="B1405" s="1" t="n">
        <v>45567</v>
      </c>
      <c r="C1405" s="1" t="n">
        <v>45575</v>
      </c>
      <c r="D1405" t="inlineStr">
        <is>
          <t>KALMAR LÄN</t>
        </is>
      </c>
      <c r="E1405" t="inlineStr">
        <is>
          <t>VIMMERBY</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43030-2024</t>
        </is>
      </c>
      <c r="B1406" s="1" t="n">
        <v>45567</v>
      </c>
      <c r="C1406" s="1" t="n">
        <v>45575</v>
      </c>
      <c r="D1406" t="inlineStr">
        <is>
          <t>KALMAR LÄN</t>
        </is>
      </c>
      <c r="E1406" t="inlineStr">
        <is>
          <t>VIMMERBY</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43034-2024</t>
        </is>
      </c>
      <c r="B1407" s="1" t="n">
        <v>45567</v>
      </c>
      <c r="C1407" s="1" t="n">
        <v>45575</v>
      </c>
      <c r="D1407" t="inlineStr">
        <is>
          <t>KALMAR LÄN</t>
        </is>
      </c>
      <c r="E1407" t="inlineStr">
        <is>
          <t>VIMMERBY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43083-2024</t>
        </is>
      </c>
      <c r="B1408" s="1" t="n">
        <v>45567</v>
      </c>
      <c r="C1408" s="1" t="n">
        <v>45575</v>
      </c>
      <c r="D1408" t="inlineStr">
        <is>
          <t>KALMAR LÄN</t>
        </is>
      </c>
      <c r="E1408" t="inlineStr">
        <is>
          <t>VIMMERBY</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43092-2024</t>
        </is>
      </c>
      <c r="B1409" s="1" t="n">
        <v>45567</v>
      </c>
      <c r="C1409" s="1" t="n">
        <v>45575</v>
      </c>
      <c r="D1409" t="inlineStr">
        <is>
          <t>KALMAR LÄN</t>
        </is>
      </c>
      <c r="E1409" t="inlineStr">
        <is>
          <t>VIMMERBY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43081-2024</t>
        </is>
      </c>
      <c r="B1410" s="1" t="n">
        <v>45567</v>
      </c>
      <c r="C1410" s="1" t="n">
        <v>45575</v>
      </c>
      <c r="D1410" t="inlineStr">
        <is>
          <t>KALMAR LÄN</t>
        </is>
      </c>
      <c r="E1410" t="inlineStr">
        <is>
          <t>VIMMERBY</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43085-2024</t>
        </is>
      </c>
      <c r="B1411" s="1" t="n">
        <v>45567</v>
      </c>
      <c r="C1411" s="1" t="n">
        <v>45575</v>
      </c>
      <c r="D1411" t="inlineStr">
        <is>
          <t>KALMAR LÄN</t>
        </is>
      </c>
      <c r="E1411" t="inlineStr">
        <is>
          <t>VIMMERBY</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45575</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43084-2024</t>
        </is>
      </c>
      <c r="B1413" s="1" t="n">
        <v>45567</v>
      </c>
      <c r="C1413" s="1" t="n">
        <v>45575</v>
      </c>
      <c r="D1413" t="inlineStr">
        <is>
          <t>KALMAR LÄN</t>
        </is>
      </c>
      <c r="E1413" t="inlineStr">
        <is>
          <t>VIMMERBY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43088-2024</t>
        </is>
      </c>
      <c r="B1414" s="1" t="n">
        <v>45567</v>
      </c>
      <c r="C1414" s="1" t="n">
        <v>45575</v>
      </c>
      <c r="D1414" t="inlineStr">
        <is>
          <t>KALMAR LÄN</t>
        </is>
      </c>
      <c r="E1414" t="inlineStr">
        <is>
          <t>VIMMERBY</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43093-2024</t>
        </is>
      </c>
      <c r="B1415" s="1" t="n">
        <v>45567</v>
      </c>
      <c r="C1415" s="1" t="n">
        <v>45575</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43243-2024</t>
        </is>
      </c>
      <c r="B1416" s="1" t="n">
        <v>45568</v>
      </c>
      <c r="C1416" s="1" t="n">
        <v>45575</v>
      </c>
      <c r="D1416" t="inlineStr">
        <is>
          <t>KALMAR LÄN</t>
        </is>
      </c>
      <c r="E1416" t="inlineStr">
        <is>
          <t>VIMMERBY</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43305-2024</t>
        </is>
      </c>
      <c r="B1417" s="1" t="n">
        <v>45568</v>
      </c>
      <c r="C1417" s="1" t="n">
        <v>45575</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43266-2024</t>
        </is>
      </c>
      <c r="B1418" s="1" t="n">
        <v>45568</v>
      </c>
      <c r="C1418" s="1" t="n">
        <v>45575</v>
      </c>
      <c r="D1418" t="inlineStr">
        <is>
          <t>KALMAR LÄN</t>
        </is>
      </c>
      <c r="E1418" t="inlineStr">
        <is>
          <t>VIMMERBY</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43242-2024</t>
        </is>
      </c>
      <c r="B1419" s="1" t="n">
        <v>45568</v>
      </c>
      <c r="C1419" s="1" t="n">
        <v>45575</v>
      </c>
      <c r="D1419" t="inlineStr">
        <is>
          <t>KALMAR LÄN</t>
        </is>
      </c>
      <c r="E1419" t="inlineStr">
        <is>
          <t>VIMMERBY</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43575-2024</t>
        </is>
      </c>
      <c r="B1420" s="1" t="n">
        <v>45569</v>
      </c>
      <c r="C1420" s="1" t="n">
        <v>45575</v>
      </c>
      <c r="D1420" t="inlineStr">
        <is>
          <t>KALMAR LÄN</t>
        </is>
      </c>
      <c r="E1420" t="inlineStr">
        <is>
          <t>VIMMERBY</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43579-2024</t>
        </is>
      </c>
      <c r="B1421" s="1" t="n">
        <v>45569</v>
      </c>
      <c r="C1421" s="1" t="n">
        <v>45575</v>
      </c>
      <c r="D1421" t="inlineStr">
        <is>
          <t>KALMAR LÄN</t>
        </is>
      </c>
      <c r="E1421" t="inlineStr">
        <is>
          <t>VIMMERBY</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43606-2024</t>
        </is>
      </c>
      <c r="B1422" s="1" t="n">
        <v>45569</v>
      </c>
      <c r="C1422" s="1" t="n">
        <v>45575</v>
      </c>
      <c r="D1422" t="inlineStr">
        <is>
          <t>KALMAR LÄN</t>
        </is>
      </c>
      <c r="E1422" t="inlineStr">
        <is>
          <t>VIMMERBY</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43601-2024</t>
        </is>
      </c>
      <c r="B1423" s="1" t="n">
        <v>45569</v>
      </c>
      <c r="C1423" s="1" t="n">
        <v>45575</v>
      </c>
      <c r="D1423" t="inlineStr">
        <is>
          <t>KALMAR LÄN</t>
        </is>
      </c>
      <c r="E1423" t="inlineStr">
        <is>
          <t>VIMMERBY</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43609-2024</t>
        </is>
      </c>
      <c r="B1424" s="1" t="n">
        <v>45569</v>
      </c>
      <c r="C1424" s="1" t="n">
        <v>45575</v>
      </c>
      <c r="D1424" t="inlineStr">
        <is>
          <t>KALMAR LÄN</t>
        </is>
      </c>
      <c r="E1424" t="inlineStr">
        <is>
          <t>VIMMERBY</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43617-2024</t>
        </is>
      </c>
      <c r="B1425" s="1" t="n">
        <v>45569</v>
      </c>
      <c r="C1425" s="1" t="n">
        <v>45575</v>
      </c>
      <c r="D1425" t="inlineStr">
        <is>
          <t>KALMAR LÄN</t>
        </is>
      </c>
      <c r="E1425" t="inlineStr">
        <is>
          <t>VIMMERBY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43594-2024</t>
        </is>
      </c>
      <c r="B1426" s="1" t="n">
        <v>45569</v>
      </c>
      <c r="C1426" s="1" t="n">
        <v>45575</v>
      </c>
      <c r="D1426" t="inlineStr">
        <is>
          <t>KALMAR LÄN</t>
        </is>
      </c>
      <c r="E1426" t="inlineStr">
        <is>
          <t>VIMMERBY</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43822-2024</t>
        </is>
      </c>
      <c r="B1427" s="1" t="n">
        <v>45571</v>
      </c>
      <c r="C1427" s="1" t="n">
        <v>45575</v>
      </c>
      <c r="D1427" t="inlineStr">
        <is>
          <t>KALMAR LÄN</t>
        </is>
      </c>
      <c r="E1427" t="inlineStr">
        <is>
          <t>VIMMERBY</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43823-2024</t>
        </is>
      </c>
      <c r="B1428" s="1" t="n">
        <v>45571</v>
      </c>
      <c r="C1428" s="1" t="n">
        <v>45575</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43824-2024</t>
        </is>
      </c>
      <c r="B1429" s="1" t="n">
        <v>45571</v>
      </c>
      <c r="C1429" s="1" t="n">
        <v>45575</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45575</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44464-2024</t>
        </is>
      </c>
      <c r="B1431" s="1" t="n">
        <v>45574</v>
      </c>
      <c r="C1431" s="1" t="n">
        <v>45575</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44504-2024</t>
        </is>
      </c>
      <c r="B1432" s="1" t="n">
        <v>45574</v>
      </c>
      <c r="C1432" s="1" t="n">
        <v>45575</v>
      </c>
      <c r="D1432" t="inlineStr">
        <is>
          <t>KALMAR LÄN</t>
        </is>
      </c>
      <c r="E1432" t="inlineStr">
        <is>
          <t>VIMMERBY</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44582-2024</t>
        </is>
      </c>
      <c r="B1433" s="1" t="n">
        <v>45574</v>
      </c>
      <c r="C1433" s="1" t="n">
        <v>45575</v>
      </c>
      <c r="D1433" t="inlineStr">
        <is>
          <t>KALMAR LÄN</t>
        </is>
      </c>
      <c r="E1433" t="inlineStr">
        <is>
          <t>VIMMERBY</t>
        </is>
      </c>
      <c r="G1433" t="n">
        <v>1.1</v>
      </c>
      <c r="H1433" t="n">
        <v>0</v>
      </c>
      <c r="I1433" t="n">
        <v>0</v>
      </c>
      <c r="J1433" t="n">
        <v>0</v>
      </c>
      <c r="K1433" t="n">
        <v>0</v>
      </c>
      <c r="L1433" t="n">
        <v>0</v>
      </c>
      <c r="M1433" t="n">
        <v>0</v>
      </c>
      <c r="N1433" t="n">
        <v>0</v>
      </c>
      <c r="O1433" t="n">
        <v>0</v>
      </c>
      <c r="P1433" t="n">
        <v>0</v>
      </c>
      <c r="Q1433" t="n">
        <v>0</v>
      </c>
      <c r="R1433" s="2" t="inlineStr"/>
    </row>
    <row r="1434">
      <c r="A1434" t="inlineStr">
        <is>
          <t>A 44740-2024</t>
        </is>
      </c>
      <c r="B1434" s="1" t="n">
        <v>45574</v>
      </c>
      <c r="C1434" s="1" t="n">
        <v>45575</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2024-10-10T12:25:03Z</dcterms:created>
  <dcterms:modified xmlns:dcterms="http://purl.org/dc/terms/" xmlns:xsi="http://www.w3.org/2001/XMLSchema-instance" xsi:type="dcterms:W3CDTF">2024-10-10T12:25:04Z</dcterms:modified>
</cp:coreProperties>
</file>