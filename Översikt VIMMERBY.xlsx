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45351</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45351</v>
      </c>
      <c r="D3" t="inlineStr">
        <is>
          <t>KALMAR LÄN</t>
        </is>
      </c>
      <c r="E3" t="inlineStr">
        <is>
          <t>VIMMERBY</t>
        </is>
      </c>
      <c r="G3" t="n">
        <v>19.2</v>
      </c>
      <c r="H3" t="n">
        <v>5</v>
      </c>
      <c r="I3" t="n">
        <v>17</v>
      </c>
      <c r="J3" t="n">
        <v>6</v>
      </c>
      <c r="K3" t="n">
        <v>1</v>
      </c>
      <c r="L3" t="n">
        <v>1</v>
      </c>
      <c r="M3" t="n">
        <v>0</v>
      </c>
      <c r="N3" t="n">
        <v>0</v>
      </c>
      <c r="O3" t="n">
        <v>8</v>
      </c>
      <c r="P3" t="n">
        <v>2</v>
      </c>
      <c r="Q3" t="n">
        <v>28</v>
      </c>
      <c r="R3" s="2" t="inlineStr">
        <is>
          <t>Ask
Gulvit blekspik
Dvärgbägarlav
Ekticka
Gransotdyna
Grön aspvedbock
Rosa skärelav
Spillkråka
Barkkornlav
Barkticka
Blodticka
Blomskägglav
Bårdlav
Dvärgtufs
Ekskinn
Fällmossa
Grön sköldmossa
Gulnål
Luddlav
Nästlav
Rostfläck
Stubbspretmossa
Trubbfjädermossa
Vätteros
Vårärt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45351</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45351</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45351</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45351</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45351</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2837-2024</t>
        </is>
      </c>
      <c r="B9" s="1" t="n">
        <v>45314</v>
      </c>
      <c r="C9" s="1" t="n">
        <v>45351</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1960-2023</t>
        </is>
      </c>
      <c r="B10" s="1" t="n">
        <v>44939</v>
      </c>
      <c r="C10" s="1" t="n">
        <v>45351</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1817-2024</t>
        </is>
      </c>
      <c r="B11" s="1" t="n">
        <v>45307</v>
      </c>
      <c r="C11" s="1" t="n">
        <v>45351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19978-2019</t>
        </is>
      </c>
      <c r="B12" s="1" t="n">
        <v>43566</v>
      </c>
      <c r="C12" s="1" t="n">
        <v>45351</v>
      </c>
      <c r="D12" t="inlineStr">
        <is>
          <t>KALMAR LÄN</t>
        </is>
      </c>
      <c r="E12" t="inlineStr">
        <is>
          <t>VIMMERBY</t>
        </is>
      </c>
      <c r="G12" t="n">
        <v>3.5</v>
      </c>
      <c r="H12" t="n">
        <v>2</v>
      </c>
      <c r="I12" t="n">
        <v>0</v>
      </c>
      <c r="J12" t="n">
        <v>1</v>
      </c>
      <c r="K12" t="n">
        <v>1</v>
      </c>
      <c r="L12" t="n">
        <v>0</v>
      </c>
      <c r="M12" t="n">
        <v>0</v>
      </c>
      <c r="N12" t="n">
        <v>0</v>
      </c>
      <c r="O12" t="n">
        <v>2</v>
      </c>
      <c r="P12" t="n">
        <v>1</v>
      </c>
      <c r="Q12" t="n">
        <v>4</v>
      </c>
      <c r="R12" s="2" t="inlineStr">
        <is>
          <t>Slåttergubbe
Sommarfibbla
Blåsippa
Revlummer</t>
        </is>
      </c>
      <c r="S12">
        <f>HYPERLINK("https://klasma.github.io/Logging_0884/artfynd/A 19978-2019 artfynd.xlsx", "A 19978-2019")</f>
        <v/>
      </c>
      <c r="T12">
        <f>HYPERLINK("https://klasma.github.io/Logging_0884/kartor/A 19978-2019 karta.png", "A 19978-2019")</f>
        <v/>
      </c>
      <c r="V12">
        <f>HYPERLINK("https://klasma.github.io/Logging_0884/klagomål/A 19978-2019 FSC-klagomål.docx", "A 19978-2019")</f>
        <v/>
      </c>
      <c r="W12">
        <f>HYPERLINK("https://klasma.github.io/Logging_0884/klagomålsmail/A 19978-2019 FSC-klagomål mail.docx", "A 19978-2019")</f>
        <v/>
      </c>
      <c r="X12">
        <f>HYPERLINK("https://klasma.github.io/Logging_0884/tillsyn/A 19978-2019 tillsynsbegäran.docx", "A 19978-2019")</f>
        <v/>
      </c>
      <c r="Y12">
        <f>HYPERLINK("https://klasma.github.io/Logging_0884/tillsynsmail/A 19978-2019 tillsynsbegäran mail.docx", "A 19978-2019")</f>
        <v/>
      </c>
    </row>
    <row r="13" ht="15" customHeight="1">
      <c r="A13" t="inlineStr">
        <is>
          <t>A 62797-2019</t>
        </is>
      </c>
      <c r="B13" s="1" t="n">
        <v>43790</v>
      </c>
      <c r="C13" s="1" t="n">
        <v>45351</v>
      </c>
      <c r="D13" t="inlineStr">
        <is>
          <t>KALMAR LÄN</t>
        </is>
      </c>
      <c r="E13" t="inlineStr">
        <is>
          <t>VIMMERBY</t>
        </is>
      </c>
      <c r="G13" t="n">
        <v>1.5</v>
      </c>
      <c r="H13" t="n">
        <v>1</v>
      </c>
      <c r="I13" t="n">
        <v>2</v>
      </c>
      <c r="J13" t="n">
        <v>1</v>
      </c>
      <c r="K13" t="n">
        <v>0</v>
      </c>
      <c r="L13" t="n">
        <v>0</v>
      </c>
      <c r="M13" t="n">
        <v>0</v>
      </c>
      <c r="N13" t="n">
        <v>0</v>
      </c>
      <c r="O13" t="n">
        <v>1</v>
      </c>
      <c r="P13" t="n">
        <v>0</v>
      </c>
      <c r="Q13" t="n">
        <v>4</v>
      </c>
      <c r="R13" s="2" t="inlineStr">
        <is>
          <t>Gransotdyna
Bårdlav
Vätteros
Blåsippa</t>
        </is>
      </c>
      <c r="S13">
        <f>HYPERLINK("https://klasma.github.io/Logging_0884/artfynd/A 62797-2019 artfynd.xlsx", "A 62797-2019")</f>
        <v/>
      </c>
      <c r="T13">
        <f>HYPERLINK("https://klasma.github.io/Logging_0884/kartor/A 62797-2019 karta.png", "A 62797-2019")</f>
        <v/>
      </c>
      <c r="V13">
        <f>HYPERLINK("https://klasma.github.io/Logging_0884/klagomål/A 62797-2019 FSC-klagomål.docx", "A 62797-2019")</f>
        <v/>
      </c>
      <c r="W13">
        <f>HYPERLINK("https://klasma.github.io/Logging_0884/klagomålsmail/A 62797-2019 FSC-klagomål mail.docx", "A 62797-2019")</f>
        <v/>
      </c>
      <c r="X13">
        <f>HYPERLINK("https://klasma.github.io/Logging_0884/tillsyn/A 62797-2019 tillsynsbegäran.docx", "A 62797-2019")</f>
        <v/>
      </c>
      <c r="Y13">
        <f>HYPERLINK("https://klasma.github.io/Logging_0884/tillsynsmail/A 62797-2019 tillsynsbegäran mail.docx", "A 62797-2019")</f>
        <v/>
      </c>
    </row>
    <row r="14" ht="15" customHeight="1">
      <c r="A14" t="inlineStr">
        <is>
          <t>A 31588-2020</t>
        </is>
      </c>
      <c r="B14" s="1" t="n">
        <v>44013</v>
      </c>
      <c r="C14" s="1" t="n">
        <v>45351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45351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45351</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45351</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45351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45351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45351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45351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45351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45351</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45351</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45351</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45351</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45351</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45351</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45351</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45351</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45351</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45351</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45351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45351</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45351</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45351</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45351</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45351</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45351</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45351</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45351</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45351</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45351</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45351</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45351</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45351</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45351</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45351</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45351</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45351</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45351</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45351</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45351</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45351</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45351</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45351</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45351</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45351</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45351</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45351</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45351</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45351</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45351</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45351</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45351</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45351</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45351</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45351</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45351</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45351</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45351</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45351</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45351</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45351</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45351</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45351</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45351</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45351</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45351</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45351</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45351</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45351</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45351</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45351</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45351</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45351</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45351</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45351</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45351</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45351</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45351</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45351</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45351</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45351</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45351</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45351</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45351</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45351</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45351</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45351</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45351</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45351</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45351</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45351</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45351</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45351</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45351</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45351</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45351</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45351</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45351</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45351</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45351</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45351</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45351</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45351</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45351</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45351</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45351</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45351</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45351</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45351</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45351</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45351</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45351</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45351</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45351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45351</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45351</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45351</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45351</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45351</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45351</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45351</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45351</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45351</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45351</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45351</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45351</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45351</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45351</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45351</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45351</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45351</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45351</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45351</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45351</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45351</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45351</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45351</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45351</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45351</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45351</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45351</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45351</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45351</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45351</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45351</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45351</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45351</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45351</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45351</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45351</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45351</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45351</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45351</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45351</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45351</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45351</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45351</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45351</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45351</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45351</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45351</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45351</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45351</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45351</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45351</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45351</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45351</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45351</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45351</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45351</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45351</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45351</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45351</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45351</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45351</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45351</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45351</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45351</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45351</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45351</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45351</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45351</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45351</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45351</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45351</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45351</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45351</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45351</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45351</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45351</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45351</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45351</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45351</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45351</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45351</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45351</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45351</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45351</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45351</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45351</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45351</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45351</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45351</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45351</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45351</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45351</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45351</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45351</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45351</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45351</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45351</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45351</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45351</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45351</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45351</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45351</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45351</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45351</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45351</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45351</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45351</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45351</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45351</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45351</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45351</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45351</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45351</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45351</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45351</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45351</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45351</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45351</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45351</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45351</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45351</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45351</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45351</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45351</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45351</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45351</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45351</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45351</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45351</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45351</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45351</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45351</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45351</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45351</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45351</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45351</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45351</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45351</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45351</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45351</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45351</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45351</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45351</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45351</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45351</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45351</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45351</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45351</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45351</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45351</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45351</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45351</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45351</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45351</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45351</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45351</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45351</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45351</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45351</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45351</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45351</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45351</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45351</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45351</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45351</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45351</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45351</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45351</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45351</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45351</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45351</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45351</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45351</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45351</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45351</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45351</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45351</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45351</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45351</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45351</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45351</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45351</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45351</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45351</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45351</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45351</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45351</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45351</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45351</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45351</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45351</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45351</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45351</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45351</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45351</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45351</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45351</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45351</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45351</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45351</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45351</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45351</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45351</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45351</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45351</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45351</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45351</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45351</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45351</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45351</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45351</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45351</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45351</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45351</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45351</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45351</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45351</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45351</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45351</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45351</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45351</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45351</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45351</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45351</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45351</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45351</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45351</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45351</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45351</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45351</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45351</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45351</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45351</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45351</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45351</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45351</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45351</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45351</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45351</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45351</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45351</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45351</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45351</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45351</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45351</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45351</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45351</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45351</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45351</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45351</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45351</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45351</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45351</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45351</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45351</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45351</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45351</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45351</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45351</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45351</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45351</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45351</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45351</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45351</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45351</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45351</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45351</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45351</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45351</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45351</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45351</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45351</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45351</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45351</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45351</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45351</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45351</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45351</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45351</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45351</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45351</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45351</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45351</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45351</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45351</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45351</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45351</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45351</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45351</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45351</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45351</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45351</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45351</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45351</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45351</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45351</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45351</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45351</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45351</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45351</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45351</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45351</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45351</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45351</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45351</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45351</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45351</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45351</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45351</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45351</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45351</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45351</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45351</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45351</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45351</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45351</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45351</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45351</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45351</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45351</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45351</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45351</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45351</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45351</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45351</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45351</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45351</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45351</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45351</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45351</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45351</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45351</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45351</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45351</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45351</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45351</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45351</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45351</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45351</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45351</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45351</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45351</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45351</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45351</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45351</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45351</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45351</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45351</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45351</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45351</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45351</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45351</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45351</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45351</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45351</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45351</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45351</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45351</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45351</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45351</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45351</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45351</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45351</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45351</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45351</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45351</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45351</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45351</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45351</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45351</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45351</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45351</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45351</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45351</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45351</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45351</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45351</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45351</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45351</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45351</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45351</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45351</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45351</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45351</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45351</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45351</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45351</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45351</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45351</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45351</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45351</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45351</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45351</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45351</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45351</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45351</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45351</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45351</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45351</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45351</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45351</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45351</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45351</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45351</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45351</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45351</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45351</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45351</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45351</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45351</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45351</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45351</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45351</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45351</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45351</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45351</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45351</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45351</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45351</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45351</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45351</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45351</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45351</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45351</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45351</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45351</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45351</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45351</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45351</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45351</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45351</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45351</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45351</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45351</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45351</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45351</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45351</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45351</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45351</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45351</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45351</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45351</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45351</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45351</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45351</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45351</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45351</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45351</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45351</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45351</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45351</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45351</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45351</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45351</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45351</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45351</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45351</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45351</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45351</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45351</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45351</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45351</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45351</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45351</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45351</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45351</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45351</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45351</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45351</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45351</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45351</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45351</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45351</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45351</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45351</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45351</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45351</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45351</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45351</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45351</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45351</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45351</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45351</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45351</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45351</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45351</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45351</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45351</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45351</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45351</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45351</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45351</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45351</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45351</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45351</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45351</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45351</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45351</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45351</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45351</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45351</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45351</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45351</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45351</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45351</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45351</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45351</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45351</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45351</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45351</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45351</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45351</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45351</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45351</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45351</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45351</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45351</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45351</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45351</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45351</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45351</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45351</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45351</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45351</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45351</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45351</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45351</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45351</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45351</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45351</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45351</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45351</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45351</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45351</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45351</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45351</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45351</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45351</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45351</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45351</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45351</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45351</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45351</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45351</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45351</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45351</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45351</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45351</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45351</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45351</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45351</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45351</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45351</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45351</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45351</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45351</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45351</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45351</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45351</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45351</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45351</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45351</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45351</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45351</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45351</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45351</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45351</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45351</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45351</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45351</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45351</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45351</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45351</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45351</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45351</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45351</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45351</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45351</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45351</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45351</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45351</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45351</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45351</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45351</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45351</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45351</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45351</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45351</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45351</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45351</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45351</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45351</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45351</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45351</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45351</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45351</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45351</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45351</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45351</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45351</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45351</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45351</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45351</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45351</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45351</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45351</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45351</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45351</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45351</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45351</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45351</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45351</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45351</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45351</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45351</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45351</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45351</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45351</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45351</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45351</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45351</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45351</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45351</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45351</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45351</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45351</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45351</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45351</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45351</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45351</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45351</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45351</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45351</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45351</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45351</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45351</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45351</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45351</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45351</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45351</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45351</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45351</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45351</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45351</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45351</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45351</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45351</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45351</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45351</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45351</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45351</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45351</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45351</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45351</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45351</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45351</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45351</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45351</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45351</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45351</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45351</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45351</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45351</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45351</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45351</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45351</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45351</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45351</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45351</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45351</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45351</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45351</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45351</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45351</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45351</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45351</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45351</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45351</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45351</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45351</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45351</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45351</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45351</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45351</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45351</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45351</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45351</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45351</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45351</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45351</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45351</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45351</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45351</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45351</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45351</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45351</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45351</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45351</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45351</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45351</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45351</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45351</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45351</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45351</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45351</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45351</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45351</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45351</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45351</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45351</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45351</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45351</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45351</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45351</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45351</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45351</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45351</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45351</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45351</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45351</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45351</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45351</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45351</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45351</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45351</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45351</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45351</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45351</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45351</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45351</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45351</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45351</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45351</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45351</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45351</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45351</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45351</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45351</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45351</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45351</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45351</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45351</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45351</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45351</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45351</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45351</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45351</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45351</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45351</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45351</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45351</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45351</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45351</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45351</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45351</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45351</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45351</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45351</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45351</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45351</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45351</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45351</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45351</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45351</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45351</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45351</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45351</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45351</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45351</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45351</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45351</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45351</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45351</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45351</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45351</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45351</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45351</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45351</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45351</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45351</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45351</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45351</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45351</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45351</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45351</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45351</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45351</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45351</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45351</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45351</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45351</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45351</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45351</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45351</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45351</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45351</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45351</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45351</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45351</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45351</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45351</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45351</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45351</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45351</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45351</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45351</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45351</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45351</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45351</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45351</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45351</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45351</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45351</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45351</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45351</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45351</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45351</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45351</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45351</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45351</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45351</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45351</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45351</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45351</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45351</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45351</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45351</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45351</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45351</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45351</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45351</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45351</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45351</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45351</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45351</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45351</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45351</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45351</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45351</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45351</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45351</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45351</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45351</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45351</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45351</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45351</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45351</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45351</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45351</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45351</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45351</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45351</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45351</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45351</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45351</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45351</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45351</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45351</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45351</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45351</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45351</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45351</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45351</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45351</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45351</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45351</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45351</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45351</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45351</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45351</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45351</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45351</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45351</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45351</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45351</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45351</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45351</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45351</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45351</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45351</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45351</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45351</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45351</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45351</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45351</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45351</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45351</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45351</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45351</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45351</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45351</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45351</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45351</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45351</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45351</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45351</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45351</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45351</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45351</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45351</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45351</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45351</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45351</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45351</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45351</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45351</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45351</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45351</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45351</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45351</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45351</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45351</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45351</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45351</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45351</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45351</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45351</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45351</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45351</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45351</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45351</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45351</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45351</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45351</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45351</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45351</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45351</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45351</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45351</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45351</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45351</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45351</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45351</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45351</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45351</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45351</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45351</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45351</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45351</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45351</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45351</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45351</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45351</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45351</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45351</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45351</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45351</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45351</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45351</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45351</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45351</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45351</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45351</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45351</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45351</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45351</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45351</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45351</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45351</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45351</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45351</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45351</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45351</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45351</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45351</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45351</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45351</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45351</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45351</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45351</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45351</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45351</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45351</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45351</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45351</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45351</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45351</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45351</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45351</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45351</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45351</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45351</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45351</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45351</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45351</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45351</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45351</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45351</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45351</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45351</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45351</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45351</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45351</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45351</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45351</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45351</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45351</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45351</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45351</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45351</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45351</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45351</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45351</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45351</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45351</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45351</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45351</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45351</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45351</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45351</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45351</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45351</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45351</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45351</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45351</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45351</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45351</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45351</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45351</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45351</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45351</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45351</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45351</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45351</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45351</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45351</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45351</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45351</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45351</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45351</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45351</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45351</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45351</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45351</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45351</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45351</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45351</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45351</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45351</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45351</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45351</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45351</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45351</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45351</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45351</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45351</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45351</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45351</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45351</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45351</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45351</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45351</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45351</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45351</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45351</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45351</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45351</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45351</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45351</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45351</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45351</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45351</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45351</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45351</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45351</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45351</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45351</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45351</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45351</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45351</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45351</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45351</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45351</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45351</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45351</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45351</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45351</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45351</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45351</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45351</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45351</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45351</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45351</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45351</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45351</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45351</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45351</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45351</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45351</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45351</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45351</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45351</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45351</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45351</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45351</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45351</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45351</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45351</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45351</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45351</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45351</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45351</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45351</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45351</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45351</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45351</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45351</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45351</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45351</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45351</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45351</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45351</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45351</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45351</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45351</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45351</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45351</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45351</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45351</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45351</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45351</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45351</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45351</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45351</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45351</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45351</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45351</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45351</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45351</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45351</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45351</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45351</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45351</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45351</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45351</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45351</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45351</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45351</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45351</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45351</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45351</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45351</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45351</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45351</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45351</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45351</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45351</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45351</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45351</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45351</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45351</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45351</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45351</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45351</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45351</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45351</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45351</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45351</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45351</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45351</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45351</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45351</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45351</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45351</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45351</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45351</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45351</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45351</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45351</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45351</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45351</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45351</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45351</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45351</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45351</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45351</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45351</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45351</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45351</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45351</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45351</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45351</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45351</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45351</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45351</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4624-2024</t>
        </is>
      </c>
      <c r="B1313" s="1" t="n">
        <v>45328</v>
      </c>
      <c r="C1313" s="1" t="n">
        <v>45351</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4861-2024</t>
        </is>
      </c>
      <c r="B1314" s="1" t="n">
        <v>45329</v>
      </c>
      <c r="C1314" s="1" t="n">
        <v>45351</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4867-2024</t>
        </is>
      </c>
      <c r="B1315" s="1" t="n">
        <v>45329</v>
      </c>
      <c r="C1315" s="1" t="n">
        <v>45351</v>
      </c>
      <c r="D1315" t="inlineStr">
        <is>
          <t>KALMAR LÄN</t>
        </is>
      </c>
      <c r="E1315" t="inlineStr">
        <is>
          <t>VIMMERBY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4899-2024</t>
        </is>
      </c>
      <c r="B1316" s="1" t="n">
        <v>45329</v>
      </c>
      <c r="C1316" s="1" t="n">
        <v>45351</v>
      </c>
      <c r="D1316" t="inlineStr">
        <is>
          <t>KALMAR LÄN</t>
        </is>
      </c>
      <c r="E1316" t="inlineStr">
        <is>
          <t>VIMMERBY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45351</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5146-2024</t>
        </is>
      </c>
      <c r="B1318" s="1" t="n">
        <v>45330</v>
      </c>
      <c r="C1318" s="1" t="n">
        <v>45351</v>
      </c>
      <c r="D1318" t="inlineStr">
        <is>
          <t>KALMAR LÄN</t>
        </is>
      </c>
      <c r="E1318" t="inlineStr">
        <is>
          <t>VIMMERBY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5200-2024</t>
        </is>
      </c>
      <c r="B1319" s="1" t="n">
        <v>45330</v>
      </c>
      <c r="C1319" s="1" t="n">
        <v>45351</v>
      </c>
      <c r="D1319" t="inlineStr">
        <is>
          <t>KALMAR LÄN</t>
        </is>
      </c>
      <c r="E1319" t="inlineStr">
        <is>
          <t>VIMMERBY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5206-2024</t>
        </is>
      </c>
      <c r="B1320" s="1" t="n">
        <v>45330</v>
      </c>
      <c r="C1320" s="1" t="n">
        <v>45351</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5703-2024</t>
        </is>
      </c>
      <c r="B1321" s="1" t="n">
        <v>45334</v>
      </c>
      <c r="C1321" s="1" t="n">
        <v>45351</v>
      </c>
      <c r="D1321" t="inlineStr">
        <is>
          <t>KALMAR LÄN</t>
        </is>
      </c>
      <c r="E1321" t="inlineStr">
        <is>
          <t>VIMMERBY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5701-2024</t>
        </is>
      </c>
      <c r="B1322" s="1" t="n">
        <v>45334</v>
      </c>
      <c r="C1322" s="1" t="n">
        <v>45351</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5704-2024</t>
        </is>
      </c>
      <c r="B1323" s="1" t="n">
        <v>45334</v>
      </c>
      <c r="C1323" s="1" t="n">
        <v>45351</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5708-2024</t>
        </is>
      </c>
      <c r="B1324" s="1" t="n">
        <v>45334</v>
      </c>
      <c r="C1324" s="1" t="n">
        <v>45351</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45351</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45351</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45351</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45351</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45351</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45351</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7450-2024</t>
        </is>
      </c>
      <c r="B1331" s="1" t="n">
        <v>45345</v>
      </c>
      <c r="C1331" s="1" t="n">
        <v>45351</v>
      </c>
      <c r="D1331" t="inlineStr">
        <is>
          <t>KALMAR LÄN</t>
        </is>
      </c>
      <c r="E1331" t="inlineStr">
        <is>
          <t>VIMMERBY</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7456-2024</t>
        </is>
      </c>
      <c r="B1332" s="1" t="n">
        <v>45345</v>
      </c>
      <c r="C1332" s="1" t="n">
        <v>45351</v>
      </c>
      <c r="D1332" t="inlineStr">
        <is>
          <t>KALMAR LÄN</t>
        </is>
      </c>
      <c r="E1332" t="inlineStr">
        <is>
          <t>VIMMERBY</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45351</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7759-2024</t>
        </is>
      </c>
      <c r="B1334" s="1" t="n">
        <v>45349</v>
      </c>
      <c r="C1334" s="1" t="n">
        <v>45351</v>
      </c>
      <c r="D1334" t="inlineStr">
        <is>
          <t>KALMAR LÄN</t>
        </is>
      </c>
      <c r="E1334" t="inlineStr">
        <is>
          <t>VIMMERBY</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7758-2024</t>
        </is>
      </c>
      <c r="B1335" s="1" t="n">
        <v>45349</v>
      </c>
      <c r="C1335" s="1" t="n">
        <v>45351</v>
      </c>
      <c r="D1335" t="inlineStr">
        <is>
          <t>KALMAR LÄN</t>
        </is>
      </c>
      <c r="E1335" t="inlineStr">
        <is>
          <t>VIMMERBY</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7829-2024</t>
        </is>
      </c>
      <c r="B1336" s="1" t="n">
        <v>45349</v>
      </c>
      <c r="C1336" s="1" t="n">
        <v>45351</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7830-2024</t>
        </is>
      </c>
      <c r="B1337" s="1" t="n">
        <v>45349</v>
      </c>
      <c r="C1337" s="1" t="n">
        <v>45351</v>
      </c>
      <c r="D1337" t="inlineStr">
        <is>
          <t>KALMAR LÄN</t>
        </is>
      </c>
      <c r="E1337" t="inlineStr">
        <is>
          <t>VIMMERBY</t>
        </is>
      </c>
      <c r="G1337" t="n">
        <v>1.8</v>
      </c>
      <c r="H1337" t="n">
        <v>0</v>
      </c>
      <c r="I1337" t="n">
        <v>0</v>
      </c>
      <c r="J1337" t="n">
        <v>0</v>
      </c>
      <c r="K1337" t="n">
        <v>0</v>
      </c>
      <c r="L1337" t="n">
        <v>0</v>
      </c>
      <c r="M1337" t="n">
        <v>0</v>
      </c>
      <c r="N1337" t="n">
        <v>0</v>
      </c>
      <c r="O1337" t="n">
        <v>0</v>
      </c>
      <c r="P1337" t="n">
        <v>0</v>
      </c>
      <c r="Q1337" t="n">
        <v>0</v>
      </c>
      <c r="R1337" s="2" t="inlineStr"/>
    </row>
    <row r="1338">
      <c r="A1338" t="inlineStr">
        <is>
          <t>A 7944-2024</t>
        </is>
      </c>
      <c r="B1338" s="1" t="n">
        <v>45350</v>
      </c>
      <c r="C1338" s="1" t="n">
        <v>45351</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2024-02-29T12:59:40Z</dcterms:created>
  <dcterms:modified xmlns:dcterms="http://purl.org/dc/terms/" xmlns:xsi="http://www.w3.org/2001/XMLSchema-instance" xsi:type="dcterms:W3CDTF">2024-02-29T12:59:41Z</dcterms:modified>
</cp:coreProperties>
</file>