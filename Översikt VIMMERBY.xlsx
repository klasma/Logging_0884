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45968</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45968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45968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45968</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45968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45968</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45968</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45968</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45968</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45968</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45968</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45968</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2518-2023</t>
        </is>
      </c>
      <c r="B24" s="1" t="n">
        <v>44943</v>
      </c>
      <c r="C24" s="1" t="n">
        <v>45968</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45968</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17935-2025</t>
        </is>
      </c>
      <c r="B26" s="1" t="n">
        <v>45760.34877314815</v>
      </c>
      <c r="C26" s="1" t="n">
        <v>45968</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19158-2023</t>
        </is>
      </c>
      <c r="B27" s="1" t="n">
        <v>45048</v>
      </c>
      <c r="C27" s="1" t="n">
        <v>45968</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40684-2025</t>
        </is>
      </c>
      <c r="B28" s="1" t="n">
        <v>45896.86820601852</v>
      </c>
      <c r="C28" s="1" t="n">
        <v>45968</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45968</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45968</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53787-2025</t>
        </is>
      </c>
      <c r="B31" s="1" t="n">
        <v>45960</v>
      </c>
      <c r="C31" s="1" t="n">
        <v>45968</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45968</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45968</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52301-2023</t>
        </is>
      </c>
      <c r="B34" s="1" t="n">
        <v>45224</v>
      </c>
      <c r="C34" s="1" t="n">
        <v>45968</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1201-2025</t>
        </is>
      </c>
      <c r="B35" s="1" t="n">
        <v>45667</v>
      </c>
      <c r="C35" s="1" t="n">
        <v>45968</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40083-2023</t>
        </is>
      </c>
      <c r="B36" s="1" t="n">
        <v>45168</v>
      </c>
      <c r="C36" s="1" t="n">
        <v>45968</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45968</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29183-2025</t>
        </is>
      </c>
      <c r="B38" s="1" t="n">
        <v>45821</v>
      </c>
      <c r="C38" s="1" t="n">
        <v>45968</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37930-2021</t>
        </is>
      </c>
      <c r="B39" s="1" t="n">
        <v>44403</v>
      </c>
      <c r="C39" s="1" t="n">
        <v>45968</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33436-2021</t>
        </is>
      </c>
      <c r="B40" s="1" t="n">
        <v>44377.61104166666</v>
      </c>
      <c r="C40" s="1" t="n">
        <v>45968</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23602-2023</t>
        </is>
      </c>
      <c r="B41" s="1" t="n">
        <v>45077</v>
      </c>
      <c r="C41" s="1" t="n">
        <v>45968</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28852-2023</t>
        </is>
      </c>
      <c r="B42" s="1" t="n">
        <v>45104</v>
      </c>
      <c r="C42" s="1" t="n">
        <v>45968</v>
      </c>
      <c r="D42" t="inlineStr">
        <is>
          <t>KALMAR LÄN</t>
        </is>
      </c>
      <c r="E42" t="inlineStr">
        <is>
          <t>VIMMERBY</t>
        </is>
      </c>
      <c r="G42" t="n">
        <v>0.7</v>
      </c>
      <c r="H42" t="n">
        <v>0</v>
      </c>
      <c r="I42" t="n">
        <v>1</v>
      </c>
      <c r="J42" t="n">
        <v>0</v>
      </c>
      <c r="K42" t="n">
        <v>0</v>
      </c>
      <c r="L42" t="n">
        <v>0</v>
      </c>
      <c r="M42" t="n">
        <v>0</v>
      </c>
      <c r="N42" t="n">
        <v>0</v>
      </c>
      <c r="O42" t="n">
        <v>0</v>
      </c>
      <c r="P42" t="n">
        <v>0</v>
      </c>
      <c r="Q42" t="n">
        <v>1</v>
      </c>
      <c r="R42" s="2" t="inlineStr">
        <is>
          <t>Tibast</t>
        </is>
      </c>
      <c r="S42">
        <f>HYPERLINK("https://klasma.github.io/Logging_0884/artfynd/A 28852-2023 artfynd.xlsx", "A 28852-2023")</f>
        <v/>
      </c>
      <c r="T42">
        <f>HYPERLINK("https://klasma.github.io/Logging_0884/kartor/A 28852-2023 karta.png", "A 28852-2023")</f>
        <v/>
      </c>
      <c r="V42">
        <f>HYPERLINK("https://klasma.github.io/Logging_0884/klagomål/A 28852-2023 FSC-klagomål.docx", "A 28852-2023")</f>
        <v/>
      </c>
      <c r="W42">
        <f>HYPERLINK("https://klasma.github.io/Logging_0884/klagomålsmail/A 28852-2023 FSC-klagomål mail.docx", "A 28852-2023")</f>
        <v/>
      </c>
      <c r="X42">
        <f>HYPERLINK("https://klasma.github.io/Logging_0884/tillsyn/A 28852-2023 tillsynsbegäran.docx", "A 28852-2023")</f>
        <v/>
      </c>
      <c r="Y42">
        <f>HYPERLINK("https://klasma.github.io/Logging_0884/tillsynsmail/A 28852-2023 tillsynsbegäran mail.docx", "A 28852-2023")</f>
        <v/>
      </c>
    </row>
    <row r="43" ht="15" customHeight="1">
      <c r="A43" t="inlineStr">
        <is>
          <t>A 44515-2024</t>
        </is>
      </c>
      <c r="B43" s="1" t="n">
        <v>45574.42767361111</v>
      </c>
      <c r="C43" s="1" t="n">
        <v>45968</v>
      </c>
      <c r="D43" t="inlineStr">
        <is>
          <t>KALMAR LÄN</t>
        </is>
      </c>
      <c r="E43" t="inlineStr">
        <is>
          <t>VIMMERBY</t>
        </is>
      </c>
      <c r="G43" t="n">
        <v>1.4</v>
      </c>
      <c r="H43" t="n">
        <v>1</v>
      </c>
      <c r="I43" t="n">
        <v>0</v>
      </c>
      <c r="J43" t="n">
        <v>0</v>
      </c>
      <c r="K43" t="n">
        <v>1</v>
      </c>
      <c r="L43" t="n">
        <v>0</v>
      </c>
      <c r="M43" t="n">
        <v>0</v>
      </c>
      <c r="N43" t="n">
        <v>0</v>
      </c>
      <c r="O43" t="n">
        <v>1</v>
      </c>
      <c r="P43" t="n">
        <v>1</v>
      </c>
      <c r="Q43" t="n">
        <v>1</v>
      </c>
      <c r="R43" s="2" t="inlineStr">
        <is>
          <t>Knärot</t>
        </is>
      </c>
      <c r="S43">
        <f>HYPERLINK("https://klasma.github.io/Logging_0884/artfynd/A 44515-2024 artfynd.xlsx", "A 44515-2024")</f>
        <v/>
      </c>
      <c r="T43">
        <f>HYPERLINK("https://klasma.github.io/Logging_0884/kartor/A 44515-2024 karta.png", "A 44515-2024")</f>
        <v/>
      </c>
      <c r="U43">
        <f>HYPERLINK("https://klasma.github.io/Logging_0884/knärot/A 44515-2024 karta knärot.png", "A 44515-2024")</f>
        <v/>
      </c>
      <c r="V43">
        <f>HYPERLINK("https://klasma.github.io/Logging_0884/klagomål/A 44515-2024 FSC-klagomål.docx", "A 44515-2024")</f>
        <v/>
      </c>
      <c r="W43">
        <f>HYPERLINK("https://klasma.github.io/Logging_0884/klagomålsmail/A 44515-2024 FSC-klagomål mail.docx", "A 44515-2024")</f>
        <v/>
      </c>
      <c r="X43">
        <f>HYPERLINK("https://klasma.github.io/Logging_0884/tillsyn/A 44515-2024 tillsynsbegäran.docx", "A 44515-2024")</f>
        <v/>
      </c>
      <c r="Y43">
        <f>HYPERLINK("https://klasma.github.io/Logging_0884/tillsynsmail/A 44515-2024 tillsynsbegäran mail.docx", "A 44515-2024")</f>
        <v/>
      </c>
    </row>
    <row r="44" ht="15" customHeight="1">
      <c r="A44" t="inlineStr">
        <is>
          <t>A 6841-2021</t>
        </is>
      </c>
      <c r="B44" s="1" t="n">
        <v>44236</v>
      </c>
      <c r="C44" s="1" t="n">
        <v>45968</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61860-2024</t>
        </is>
      </c>
      <c r="B45" s="1" t="n">
        <v>45649</v>
      </c>
      <c r="C45" s="1" t="n">
        <v>45968</v>
      </c>
      <c r="D45" t="inlineStr">
        <is>
          <t>KALMAR LÄN</t>
        </is>
      </c>
      <c r="E45" t="inlineStr">
        <is>
          <t>VIMMERBY</t>
        </is>
      </c>
      <c r="G45" t="n">
        <v>4.4</v>
      </c>
      <c r="H45" t="n">
        <v>1</v>
      </c>
      <c r="I45" t="n">
        <v>0</v>
      </c>
      <c r="J45" t="n">
        <v>0</v>
      </c>
      <c r="K45" t="n">
        <v>1</v>
      </c>
      <c r="L45" t="n">
        <v>0</v>
      </c>
      <c r="M45" t="n">
        <v>0</v>
      </c>
      <c r="N45" t="n">
        <v>0</v>
      </c>
      <c r="O45" t="n">
        <v>1</v>
      </c>
      <c r="P45" t="n">
        <v>1</v>
      </c>
      <c r="Q45" t="n">
        <v>1</v>
      </c>
      <c r="R45" s="2" t="inlineStr">
        <is>
          <t>Knärot</t>
        </is>
      </c>
      <c r="S45">
        <f>HYPERLINK("https://klasma.github.io/Logging_0884/artfynd/A 61860-2024 artfynd.xlsx", "A 61860-2024")</f>
        <v/>
      </c>
      <c r="T45">
        <f>HYPERLINK("https://klasma.github.io/Logging_0884/kartor/A 61860-2024 karta.png", "A 61860-2024")</f>
        <v/>
      </c>
      <c r="U45">
        <f>HYPERLINK("https://klasma.github.io/Logging_0884/knärot/A 61860-2024 karta knärot.png", "A 61860-2024")</f>
        <v/>
      </c>
      <c r="V45">
        <f>HYPERLINK("https://klasma.github.io/Logging_0884/klagomål/A 61860-2024 FSC-klagomål.docx", "A 61860-2024")</f>
        <v/>
      </c>
      <c r="W45">
        <f>HYPERLINK("https://klasma.github.io/Logging_0884/klagomålsmail/A 61860-2024 FSC-klagomål mail.docx", "A 61860-2024")</f>
        <v/>
      </c>
      <c r="X45">
        <f>HYPERLINK("https://klasma.github.io/Logging_0884/tillsyn/A 61860-2024 tillsynsbegäran.docx", "A 61860-2024")</f>
        <v/>
      </c>
      <c r="Y45">
        <f>HYPERLINK("https://klasma.github.io/Logging_0884/tillsynsmail/A 61860-2024 tillsynsbegäran mail.docx", "A 61860-2024")</f>
        <v/>
      </c>
    </row>
    <row r="46" ht="15" customHeight="1">
      <c r="A46" t="inlineStr">
        <is>
          <t>A 32985-2023</t>
        </is>
      </c>
      <c r="B46" s="1" t="n">
        <v>45125</v>
      </c>
      <c r="C46" s="1" t="n">
        <v>45968</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45968</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53400-2025</t>
        </is>
      </c>
      <c r="B48" s="1" t="n">
        <v>45959.56684027778</v>
      </c>
      <c r="C48" s="1" t="n">
        <v>45968</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53404-2025</t>
        </is>
      </c>
      <c r="B49" s="1" t="n">
        <v>45959.57126157408</v>
      </c>
      <c r="C49" s="1" t="n">
        <v>45968</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53404-2025 artfynd.xlsx", "A 53404-2025")</f>
        <v/>
      </c>
      <c r="T49">
        <f>HYPERLINK("https://klasma.github.io/Logging_0884/kartor/A 53404-2025 karta.png", "A 53404-2025")</f>
        <v/>
      </c>
      <c r="U49">
        <f>HYPERLINK("https://klasma.github.io/Logging_0884/knärot/A 53404-2025 karta knärot.png", "A 53404-2025")</f>
        <v/>
      </c>
      <c r="V49">
        <f>HYPERLINK("https://klasma.github.io/Logging_0884/klagomål/A 53404-2025 FSC-klagomål.docx", "A 53404-2025")</f>
        <v/>
      </c>
      <c r="W49">
        <f>HYPERLINK("https://klasma.github.io/Logging_0884/klagomålsmail/A 53404-2025 FSC-klagomål mail.docx", "A 53404-2025")</f>
        <v/>
      </c>
      <c r="X49">
        <f>HYPERLINK("https://klasma.github.io/Logging_0884/tillsyn/A 53404-2025 tillsynsbegäran.docx", "A 53404-2025")</f>
        <v/>
      </c>
      <c r="Y49">
        <f>HYPERLINK("https://klasma.github.io/Logging_0884/tillsynsmail/A 53404-2025 tillsynsbegäran mail.docx", "A 53404-2025")</f>
        <v/>
      </c>
    </row>
    <row r="50" ht="15" customHeight="1">
      <c r="A50" t="inlineStr">
        <is>
          <t>A 15092-2021</t>
        </is>
      </c>
      <c r="B50" s="1" t="n">
        <v>44281.79269675926</v>
      </c>
      <c r="C50" s="1" t="n">
        <v>45968</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45968</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45968</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56754-2021</t>
        </is>
      </c>
      <c r="B53" s="1" t="n">
        <v>44481.47483796296</v>
      </c>
      <c r="C53" s="1" t="n">
        <v>45968</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45968</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32607-2021</t>
        </is>
      </c>
      <c r="B55" s="1" t="n">
        <v>44375.39033564815</v>
      </c>
      <c r="C55" s="1" t="n">
        <v>45968</v>
      </c>
      <c r="D55" t="inlineStr">
        <is>
          <t>KALMAR LÄN</t>
        </is>
      </c>
      <c r="E55" t="inlineStr">
        <is>
          <t>VIMMERBY</t>
        </is>
      </c>
      <c r="G55" t="n">
        <v>0.4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45968</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45968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45968</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45968</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15903-2021</t>
        </is>
      </c>
      <c r="B60" s="1" t="n">
        <v>44287.33261574074</v>
      </c>
      <c r="C60" s="1" t="n">
        <v>45968</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45968</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1929-2021</t>
        </is>
      </c>
      <c r="B62" s="1" t="n">
        <v>44210</v>
      </c>
      <c r="C62" s="1" t="n">
        <v>45968</v>
      </c>
      <c r="D62" t="inlineStr">
        <is>
          <t>KALMAR LÄN</t>
        </is>
      </c>
      <c r="E62" t="inlineStr">
        <is>
          <t>VIMMERBY</t>
        </is>
      </c>
      <c r="G62" t="n">
        <v>1.6</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45968</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45968</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45968</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45968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45968</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45968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45968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45968</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45968</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45968</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45968</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45968</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45968</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45968</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45968</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45968</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45968</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45968</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45968</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45968</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45968</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45968</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45968</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45968</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45968</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45968</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45968</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45968</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45968</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45968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45968</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45968</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45968</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45968</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45968</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45968</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45968</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45968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45968</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45968</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45968</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45968</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45968</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45968</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45968</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45968</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45968</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45968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45968</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45968</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45968</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45968</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45968</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45968</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45968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45968</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45968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45968</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45968</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45968</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45968</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45968</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45968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45968</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45968</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45968</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45968</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45968</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45968</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45968</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40077-2021</t>
        </is>
      </c>
      <c r="B134" s="1" t="n">
        <v>44418</v>
      </c>
      <c r="C134" s="1" t="n">
        <v>45968</v>
      </c>
      <c r="D134" t="inlineStr">
        <is>
          <t>KALMAR LÄN</t>
        </is>
      </c>
      <c r="E134" t="inlineStr">
        <is>
          <t>VIMMERBY</t>
        </is>
      </c>
      <c r="G134" t="n">
        <v>2.9</v>
      </c>
      <c r="H134" t="n">
        <v>0</v>
      </c>
      <c r="I134" t="n">
        <v>0</v>
      </c>
      <c r="J134" t="n">
        <v>0</v>
      </c>
      <c r="K134" t="n">
        <v>0</v>
      </c>
      <c r="L134" t="n">
        <v>0</v>
      </c>
      <c r="M134" t="n">
        <v>0</v>
      </c>
      <c r="N134" t="n">
        <v>0</v>
      </c>
      <c r="O134" t="n">
        <v>0</v>
      </c>
      <c r="P134" t="n">
        <v>0</v>
      </c>
      <c r="Q134" t="n">
        <v>0</v>
      </c>
      <c r="R134" s="2" t="inlineStr"/>
    </row>
    <row r="135" ht="15" customHeight="1">
      <c r="A135" t="inlineStr">
        <is>
          <t>A 42850-2022</t>
        </is>
      </c>
      <c r="B135" s="1" t="n">
        <v>44832.67608796297</v>
      </c>
      <c r="C135" s="1" t="n">
        <v>45968</v>
      </c>
      <c r="D135" t="inlineStr">
        <is>
          <t>KALMAR LÄN</t>
        </is>
      </c>
      <c r="E135" t="inlineStr">
        <is>
          <t>VIMMERBY</t>
        </is>
      </c>
      <c r="G135" t="n">
        <v>5.9</v>
      </c>
      <c r="H135" t="n">
        <v>0</v>
      </c>
      <c r="I135" t="n">
        <v>0</v>
      </c>
      <c r="J135" t="n">
        <v>0</v>
      </c>
      <c r="K135" t="n">
        <v>0</v>
      </c>
      <c r="L135" t="n">
        <v>0</v>
      </c>
      <c r="M135" t="n">
        <v>0</v>
      </c>
      <c r="N135" t="n">
        <v>0</v>
      </c>
      <c r="O135" t="n">
        <v>0</v>
      </c>
      <c r="P135" t="n">
        <v>0</v>
      </c>
      <c r="Q135" t="n">
        <v>0</v>
      </c>
      <c r="R135" s="2" t="inlineStr"/>
    </row>
    <row r="136" ht="15" customHeight="1">
      <c r="A136" t="inlineStr">
        <is>
          <t>A 41056-2022</t>
        </is>
      </c>
      <c r="B136" s="1" t="n">
        <v>44824</v>
      </c>
      <c r="C136" s="1" t="n">
        <v>45968</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31660-2021</t>
        </is>
      </c>
      <c r="B137" s="1" t="n">
        <v>44369</v>
      </c>
      <c r="C137" s="1" t="n">
        <v>45968</v>
      </c>
      <c r="D137" t="inlineStr">
        <is>
          <t>KALMAR LÄN</t>
        </is>
      </c>
      <c r="E137" t="inlineStr">
        <is>
          <t>VIMMERBY</t>
        </is>
      </c>
      <c r="G137" t="n">
        <v>4.2</v>
      </c>
      <c r="H137" t="n">
        <v>0</v>
      </c>
      <c r="I137" t="n">
        <v>0</v>
      </c>
      <c r="J137" t="n">
        <v>0</v>
      </c>
      <c r="K137" t="n">
        <v>0</v>
      </c>
      <c r="L137" t="n">
        <v>0</v>
      </c>
      <c r="M137" t="n">
        <v>0</v>
      </c>
      <c r="N137" t="n">
        <v>0</v>
      </c>
      <c r="O137" t="n">
        <v>0</v>
      </c>
      <c r="P137" t="n">
        <v>0</v>
      </c>
      <c r="Q137" t="n">
        <v>0</v>
      </c>
      <c r="R137" s="2" t="inlineStr"/>
    </row>
    <row r="138" ht="15" customHeight="1">
      <c r="A138" t="inlineStr">
        <is>
          <t>A 27455-2022</t>
        </is>
      </c>
      <c r="B138" s="1" t="n">
        <v>44742</v>
      </c>
      <c r="C138" s="1" t="n">
        <v>45968</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47769-2022</t>
        </is>
      </c>
      <c r="B139" s="1" t="n">
        <v>44854</v>
      </c>
      <c r="C139" s="1" t="n">
        <v>45968</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65887-2021</t>
        </is>
      </c>
      <c r="B140" s="1" t="n">
        <v>44517</v>
      </c>
      <c r="C140" s="1" t="n">
        <v>45968</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10086-2022</t>
        </is>
      </c>
      <c r="B141" s="1" t="n">
        <v>44621</v>
      </c>
      <c r="C141" s="1" t="n">
        <v>45968</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39959-2022</t>
        </is>
      </c>
      <c r="B142" s="1" t="n">
        <v>44819</v>
      </c>
      <c r="C142" s="1" t="n">
        <v>45968</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65564-2020</t>
        </is>
      </c>
      <c r="B143" s="1" t="n">
        <v>44172</v>
      </c>
      <c r="C143" s="1" t="n">
        <v>45968</v>
      </c>
      <c r="D143" t="inlineStr">
        <is>
          <t>KALMAR LÄN</t>
        </is>
      </c>
      <c r="E143" t="inlineStr">
        <is>
          <t>VIMMERBY</t>
        </is>
      </c>
      <c r="G143" t="n">
        <v>4.1</v>
      </c>
      <c r="H143" t="n">
        <v>0</v>
      </c>
      <c r="I143" t="n">
        <v>0</v>
      </c>
      <c r="J143" t="n">
        <v>0</v>
      </c>
      <c r="K143" t="n">
        <v>0</v>
      </c>
      <c r="L143" t="n">
        <v>0</v>
      </c>
      <c r="M143" t="n">
        <v>0</v>
      </c>
      <c r="N143" t="n">
        <v>0</v>
      </c>
      <c r="O143" t="n">
        <v>0</v>
      </c>
      <c r="P143" t="n">
        <v>0</v>
      </c>
      <c r="Q143" t="n">
        <v>0</v>
      </c>
      <c r="R143" s="2" t="inlineStr"/>
    </row>
    <row r="144" ht="15" customHeight="1">
      <c r="A144" t="inlineStr">
        <is>
          <t>A 3330-2021</t>
        </is>
      </c>
      <c r="B144" s="1" t="n">
        <v>44217.79856481482</v>
      </c>
      <c r="C144" s="1" t="n">
        <v>45968</v>
      </c>
      <c r="D144" t="inlineStr">
        <is>
          <t>KALMAR LÄN</t>
        </is>
      </c>
      <c r="E144" t="inlineStr">
        <is>
          <t>VIMMERBY</t>
        </is>
      </c>
      <c r="G144" t="n">
        <v>11.1</v>
      </c>
      <c r="H144" t="n">
        <v>0</v>
      </c>
      <c r="I144" t="n">
        <v>0</v>
      </c>
      <c r="J144" t="n">
        <v>0</v>
      </c>
      <c r="K144" t="n">
        <v>0</v>
      </c>
      <c r="L144" t="n">
        <v>0</v>
      </c>
      <c r="M144" t="n">
        <v>0</v>
      </c>
      <c r="N144" t="n">
        <v>0</v>
      </c>
      <c r="O144" t="n">
        <v>0</v>
      </c>
      <c r="P144" t="n">
        <v>0</v>
      </c>
      <c r="Q144" t="n">
        <v>0</v>
      </c>
      <c r="R144" s="2" t="inlineStr"/>
    </row>
    <row r="145" ht="15" customHeight="1">
      <c r="A145" t="inlineStr">
        <is>
          <t>A 53145-2022</t>
        </is>
      </c>
      <c r="B145" s="1" t="n">
        <v>44876.48346064815</v>
      </c>
      <c r="C145" s="1" t="n">
        <v>45968</v>
      </c>
      <c r="D145" t="inlineStr">
        <is>
          <t>KALMAR LÄN</t>
        </is>
      </c>
      <c r="E145" t="inlineStr">
        <is>
          <t>VIMMERBY</t>
        </is>
      </c>
      <c r="G145" t="n">
        <v>0.4</v>
      </c>
      <c r="H145" t="n">
        <v>0</v>
      </c>
      <c r="I145" t="n">
        <v>0</v>
      </c>
      <c r="J145" t="n">
        <v>0</v>
      </c>
      <c r="K145" t="n">
        <v>0</v>
      </c>
      <c r="L145" t="n">
        <v>0</v>
      </c>
      <c r="M145" t="n">
        <v>0</v>
      </c>
      <c r="N145" t="n">
        <v>0</v>
      </c>
      <c r="O145" t="n">
        <v>0</v>
      </c>
      <c r="P145" t="n">
        <v>0</v>
      </c>
      <c r="Q145" t="n">
        <v>0</v>
      </c>
      <c r="R145" s="2" t="inlineStr"/>
    </row>
    <row r="146" ht="15" customHeight="1">
      <c r="A146" t="inlineStr">
        <is>
          <t>A 25738-2022</t>
        </is>
      </c>
      <c r="B146" s="1" t="n">
        <v>44733.43092592592</v>
      </c>
      <c r="C146" s="1" t="n">
        <v>45968</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45968</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15191-2021</t>
        </is>
      </c>
      <c r="B148" s="1" t="n">
        <v>44284.42348379629</v>
      </c>
      <c r="C148" s="1" t="n">
        <v>45968</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40971-2021</t>
        </is>
      </c>
      <c r="B149" s="1" t="n">
        <v>44421</v>
      </c>
      <c r="C149" s="1" t="n">
        <v>45968</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68744-2020</t>
        </is>
      </c>
      <c r="B150" s="1" t="n">
        <v>44186</v>
      </c>
      <c r="C150" s="1" t="n">
        <v>45968</v>
      </c>
      <c r="D150" t="inlineStr">
        <is>
          <t>KALMAR LÄN</t>
        </is>
      </c>
      <c r="E150" t="inlineStr">
        <is>
          <t>VIMMERBY</t>
        </is>
      </c>
      <c r="G150" t="n">
        <v>2.5</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45968</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45968</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13457-2021</t>
        </is>
      </c>
      <c r="B153" s="1" t="n">
        <v>44273</v>
      </c>
      <c r="C153" s="1" t="n">
        <v>45968</v>
      </c>
      <c r="D153" t="inlineStr">
        <is>
          <t>KALMAR LÄN</t>
        </is>
      </c>
      <c r="E153" t="inlineStr">
        <is>
          <t>VIMMERBY</t>
        </is>
      </c>
      <c r="G153" t="n">
        <v>1.4</v>
      </c>
      <c r="H153" t="n">
        <v>0</v>
      </c>
      <c r="I153" t="n">
        <v>0</v>
      </c>
      <c r="J153" t="n">
        <v>0</v>
      </c>
      <c r="K153" t="n">
        <v>0</v>
      </c>
      <c r="L153" t="n">
        <v>0</v>
      </c>
      <c r="M153" t="n">
        <v>0</v>
      </c>
      <c r="N153" t="n">
        <v>0</v>
      </c>
      <c r="O153" t="n">
        <v>0</v>
      </c>
      <c r="P153" t="n">
        <v>0</v>
      </c>
      <c r="Q153" t="n">
        <v>0</v>
      </c>
      <c r="R153" s="2" t="inlineStr"/>
    </row>
    <row r="154" ht="15" customHeight="1">
      <c r="A154" t="inlineStr">
        <is>
          <t>A 12661-2021</t>
        </is>
      </c>
      <c r="B154" s="1" t="n">
        <v>44270</v>
      </c>
      <c r="C154" s="1" t="n">
        <v>45968</v>
      </c>
      <c r="D154" t="inlineStr">
        <is>
          <t>KALMAR LÄN</t>
        </is>
      </c>
      <c r="E154" t="inlineStr">
        <is>
          <t>VIMMERBY</t>
        </is>
      </c>
      <c r="G154" t="n">
        <v>1.8</v>
      </c>
      <c r="H154" t="n">
        <v>0</v>
      </c>
      <c r="I154" t="n">
        <v>0</v>
      </c>
      <c r="J154" t="n">
        <v>0</v>
      </c>
      <c r="K154" t="n">
        <v>0</v>
      </c>
      <c r="L154" t="n">
        <v>0</v>
      </c>
      <c r="M154" t="n">
        <v>0</v>
      </c>
      <c r="N154" t="n">
        <v>0</v>
      </c>
      <c r="O154" t="n">
        <v>0</v>
      </c>
      <c r="P154" t="n">
        <v>0</v>
      </c>
      <c r="Q154" t="n">
        <v>0</v>
      </c>
      <c r="R154" s="2" t="inlineStr"/>
    </row>
    <row r="155" ht="15" customHeight="1">
      <c r="A155" t="inlineStr">
        <is>
          <t>A 24999-2021</t>
        </is>
      </c>
      <c r="B155" s="1" t="n">
        <v>44341</v>
      </c>
      <c r="C155" s="1" t="n">
        <v>45968</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7917-2022</t>
        </is>
      </c>
      <c r="B156" s="1" t="n">
        <v>44608</v>
      </c>
      <c r="C156" s="1" t="n">
        <v>45968</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35316-2021</t>
        </is>
      </c>
      <c r="B157" s="1" t="n">
        <v>44384</v>
      </c>
      <c r="C157" s="1" t="n">
        <v>45968</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47208-2021</t>
        </is>
      </c>
      <c r="B158" s="1" t="n">
        <v>44447.34237268518</v>
      </c>
      <c r="C158" s="1" t="n">
        <v>45968</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45968</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14278-2021</t>
        </is>
      </c>
      <c r="B160" s="1" t="n">
        <v>44278.63479166666</v>
      </c>
      <c r="C160" s="1" t="n">
        <v>45968</v>
      </c>
      <c r="D160" t="inlineStr">
        <is>
          <t>KALMAR LÄN</t>
        </is>
      </c>
      <c r="E160" t="inlineStr">
        <is>
          <t>VIMMERBY</t>
        </is>
      </c>
      <c r="F160" t="inlineStr">
        <is>
          <t>Övriga statliga verk och myndigheter</t>
        </is>
      </c>
      <c r="G160" t="n">
        <v>0.8</v>
      </c>
      <c r="H160" t="n">
        <v>0</v>
      </c>
      <c r="I160" t="n">
        <v>0</v>
      </c>
      <c r="J160" t="n">
        <v>0</v>
      </c>
      <c r="K160" t="n">
        <v>0</v>
      </c>
      <c r="L160" t="n">
        <v>0</v>
      </c>
      <c r="M160" t="n">
        <v>0</v>
      </c>
      <c r="N160" t="n">
        <v>0</v>
      </c>
      <c r="O160" t="n">
        <v>0</v>
      </c>
      <c r="P160" t="n">
        <v>0</v>
      </c>
      <c r="Q160" t="n">
        <v>0</v>
      </c>
      <c r="R160" s="2" t="inlineStr"/>
    </row>
    <row r="161" ht="15" customHeight="1">
      <c r="A161" t="inlineStr">
        <is>
          <t>A 47708-2022</t>
        </is>
      </c>
      <c r="B161" s="1" t="n">
        <v>44854.59157407407</v>
      </c>
      <c r="C161" s="1" t="n">
        <v>45968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16705-2021</t>
        </is>
      </c>
      <c r="B162" s="1" t="n">
        <v>44294</v>
      </c>
      <c r="C162" s="1" t="n">
        <v>45968</v>
      </c>
      <c r="D162" t="inlineStr">
        <is>
          <t>KALMAR LÄN</t>
        </is>
      </c>
      <c r="E162" t="inlineStr">
        <is>
          <t>VIMMERBY</t>
        </is>
      </c>
      <c r="G162" t="n">
        <v>2.6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45968</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32603-2021</t>
        </is>
      </c>
      <c r="B164" s="1" t="n">
        <v>44375.38789351852</v>
      </c>
      <c r="C164" s="1" t="n">
        <v>45968</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56389-2021</t>
        </is>
      </c>
      <c r="B165" s="1" t="n">
        <v>44480</v>
      </c>
      <c r="C165" s="1" t="n">
        <v>45968</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36117-2021</t>
        </is>
      </c>
      <c r="B166" s="1" t="n">
        <v>44386</v>
      </c>
      <c r="C166" s="1" t="n">
        <v>45968</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42521-2021</t>
        </is>
      </c>
      <c r="B167" s="1" t="n">
        <v>44427</v>
      </c>
      <c r="C167" s="1" t="n">
        <v>45968</v>
      </c>
      <c r="D167" t="inlineStr">
        <is>
          <t>KALMAR LÄN</t>
        </is>
      </c>
      <c r="E167" t="inlineStr">
        <is>
          <t>VIMMERBY</t>
        </is>
      </c>
      <c r="G167" t="n">
        <v>5.4</v>
      </c>
      <c r="H167" t="n">
        <v>0</v>
      </c>
      <c r="I167" t="n">
        <v>0</v>
      </c>
      <c r="J167" t="n">
        <v>0</v>
      </c>
      <c r="K167" t="n">
        <v>0</v>
      </c>
      <c r="L167" t="n">
        <v>0</v>
      </c>
      <c r="M167" t="n">
        <v>0</v>
      </c>
      <c r="N167" t="n">
        <v>0</v>
      </c>
      <c r="O167" t="n">
        <v>0</v>
      </c>
      <c r="P167" t="n">
        <v>0</v>
      </c>
      <c r="Q167" t="n">
        <v>0</v>
      </c>
      <c r="R167" s="2" t="inlineStr"/>
    </row>
    <row r="168" ht="15" customHeight="1">
      <c r="A168" t="inlineStr">
        <is>
          <t>A 618-2021</t>
        </is>
      </c>
      <c r="B168" s="1" t="n">
        <v>44203</v>
      </c>
      <c r="C168" s="1" t="n">
        <v>45968</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8453-2022</t>
        </is>
      </c>
      <c r="B169" s="1" t="n">
        <v>44612.86554398148</v>
      </c>
      <c r="C169" s="1" t="n">
        <v>45968</v>
      </c>
      <c r="D169" t="inlineStr">
        <is>
          <t>KALMAR LÄN</t>
        </is>
      </c>
      <c r="E169" t="inlineStr">
        <is>
          <t>VIMMERBY</t>
        </is>
      </c>
      <c r="G169" t="n">
        <v>1.7</v>
      </c>
      <c r="H169" t="n">
        <v>0</v>
      </c>
      <c r="I169" t="n">
        <v>0</v>
      </c>
      <c r="J169" t="n">
        <v>0</v>
      </c>
      <c r="K169" t="n">
        <v>0</v>
      </c>
      <c r="L169" t="n">
        <v>0</v>
      </c>
      <c r="M169" t="n">
        <v>0</v>
      </c>
      <c r="N169" t="n">
        <v>0</v>
      </c>
      <c r="O169" t="n">
        <v>0</v>
      </c>
      <c r="P169" t="n">
        <v>0</v>
      </c>
      <c r="Q169" t="n">
        <v>0</v>
      </c>
      <c r="R169" s="2" t="inlineStr"/>
    </row>
    <row r="170" ht="15" customHeight="1">
      <c r="A170" t="inlineStr">
        <is>
          <t>A 52433-2021</t>
        </is>
      </c>
      <c r="B170" s="1" t="n">
        <v>44466.34726851852</v>
      </c>
      <c r="C170" s="1" t="n">
        <v>45968</v>
      </c>
      <c r="D170" t="inlineStr">
        <is>
          <t>KALMAR LÄN</t>
        </is>
      </c>
      <c r="E170" t="inlineStr">
        <is>
          <t>VIMMERBY</t>
        </is>
      </c>
      <c r="G170" t="n">
        <v>3.5</v>
      </c>
      <c r="H170" t="n">
        <v>0</v>
      </c>
      <c r="I170" t="n">
        <v>0</v>
      </c>
      <c r="J170" t="n">
        <v>0</v>
      </c>
      <c r="K170" t="n">
        <v>0</v>
      </c>
      <c r="L170" t="n">
        <v>0</v>
      </c>
      <c r="M170" t="n">
        <v>0</v>
      </c>
      <c r="N170" t="n">
        <v>0</v>
      </c>
      <c r="O170" t="n">
        <v>0</v>
      </c>
      <c r="P170" t="n">
        <v>0</v>
      </c>
      <c r="Q170" t="n">
        <v>0</v>
      </c>
      <c r="R170" s="2" t="inlineStr"/>
    </row>
    <row r="171" ht="15" customHeight="1">
      <c r="A171" t="inlineStr">
        <is>
          <t>A 50621-2022</t>
        </is>
      </c>
      <c r="B171" s="1" t="n">
        <v>44866.81100694444</v>
      </c>
      <c r="C171" s="1" t="n">
        <v>45968</v>
      </c>
      <c r="D171" t="inlineStr">
        <is>
          <t>KALMAR LÄN</t>
        </is>
      </c>
      <c r="E171" t="inlineStr">
        <is>
          <t>VIMMERBY</t>
        </is>
      </c>
      <c r="F171" t="inlineStr">
        <is>
          <t>Övriga Aktiebolag</t>
        </is>
      </c>
      <c r="G171" t="n">
        <v>5.1</v>
      </c>
      <c r="H171" t="n">
        <v>0</v>
      </c>
      <c r="I171" t="n">
        <v>0</v>
      </c>
      <c r="J171" t="n">
        <v>0</v>
      </c>
      <c r="K171" t="n">
        <v>0</v>
      </c>
      <c r="L171" t="n">
        <v>0</v>
      </c>
      <c r="M171" t="n">
        <v>0</v>
      </c>
      <c r="N171" t="n">
        <v>0</v>
      </c>
      <c r="O171" t="n">
        <v>0</v>
      </c>
      <c r="P171" t="n">
        <v>0</v>
      </c>
      <c r="Q171" t="n">
        <v>0</v>
      </c>
      <c r="R171" s="2" t="inlineStr"/>
    </row>
    <row r="172" ht="15" customHeight="1">
      <c r="A172" t="inlineStr">
        <is>
          <t>A 54065-2021</t>
        </is>
      </c>
      <c r="B172" s="1" t="n">
        <v>44470.44232638889</v>
      </c>
      <c r="C172" s="1" t="n">
        <v>45968</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31824-2022</t>
        </is>
      </c>
      <c r="B173" s="1" t="n">
        <v>44776</v>
      </c>
      <c r="C173" s="1" t="n">
        <v>45968</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45968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67952-2021</t>
        </is>
      </c>
      <c r="B175" s="1" t="n">
        <v>44525.63913194444</v>
      </c>
      <c r="C175" s="1" t="n">
        <v>45968</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7804-2022</t>
        </is>
      </c>
      <c r="B176" s="1" t="n">
        <v>44608.50458333334</v>
      </c>
      <c r="C176" s="1" t="n">
        <v>45968</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39042-2022</t>
        </is>
      </c>
      <c r="B177" s="1" t="n">
        <v>44817</v>
      </c>
      <c r="C177" s="1" t="n">
        <v>45968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45968</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4076-2022</t>
        </is>
      </c>
      <c r="B179" s="1" t="n">
        <v>44588.37998842593</v>
      </c>
      <c r="C179" s="1" t="n">
        <v>45968</v>
      </c>
      <c r="D179" t="inlineStr">
        <is>
          <t>KALMAR LÄN</t>
        </is>
      </c>
      <c r="E179" t="inlineStr">
        <is>
          <t>VIMMERBY</t>
        </is>
      </c>
      <c r="G179" t="n">
        <v>3</v>
      </c>
      <c r="H179" t="n">
        <v>0</v>
      </c>
      <c r="I179" t="n">
        <v>0</v>
      </c>
      <c r="J179" t="n">
        <v>0</v>
      </c>
      <c r="K179" t="n">
        <v>0</v>
      </c>
      <c r="L179" t="n">
        <v>0</v>
      </c>
      <c r="M179" t="n">
        <v>0</v>
      </c>
      <c r="N179" t="n">
        <v>0</v>
      </c>
      <c r="O179" t="n">
        <v>0</v>
      </c>
      <c r="P179" t="n">
        <v>0</v>
      </c>
      <c r="Q179" t="n">
        <v>0</v>
      </c>
      <c r="R179" s="2" t="inlineStr"/>
    </row>
    <row r="180" ht="15" customHeight="1">
      <c r="A180" t="inlineStr">
        <is>
          <t>A 4122-2022</t>
        </is>
      </c>
      <c r="B180" s="1" t="n">
        <v>44588</v>
      </c>
      <c r="C180" s="1" t="n">
        <v>45968</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58374-2024</t>
        </is>
      </c>
      <c r="B181" s="1" t="n">
        <v>45632.72635416667</v>
      </c>
      <c r="C181" s="1" t="n">
        <v>45968</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12241-2021</t>
        </is>
      </c>
      <c r="B182" s="1" t="n">
        <v>44266.7240625</v>
      </c>
      <c r="C182" s="1" t="n">
        <v>45968</v>
      </c>
      <c r="D182" t="inlineStr">
        <is>
          <t>KALMAR LÄN</t>
        </is>
      </c>
      <c r="E182" t="inlineStr">
        <is>
          <t>VIMMERBY</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14521-2021</t>
        </is>
      </c>
      <c r="B183" s="1" t="n">
        <v>44279.64934027778</v>
      </c>
      <c r="C183" s="1" t="n">
        <v>45968</v>
      </c>
      <c r="D183" t="inlineStr">
        <is>
          <t>KALMAR LÄN</t>
        </is>
      </c>
      <c r="E183" t="inlineStr">
        <is>
          <t>VIMMERBY</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15533-2022</t>
        </is>
      </c>
      <c r="B184" s="1" t="n">
        <v>44662</v>
      </c>
      <c r="C184" s="1" t="n">
        <v>45968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12662-2021</t>
        </is>
      </c>
      <c r="B185" s="1" t="n">
        <v>44270.49743055556</v>
      </c>
      <c r="C185" s="1" t="n">
        <v>45968</v>
      </c>
      <c r="D185" t="inlineStr">
        <is>
          <t>KALMAR LÄN</t>
        </is>
      </c>
      <c r="E185" t="inlineStr">
        <is>
          <t>VIMMERBY</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46964-2022</t>
        </is>
      </c>
      <c r="B186" s="1" t="n">
        <v>44851.95016203704</v>
      </c>
      <c r="C186" s="1" t="n">
        <v>45968</v>
      </c>
      <c r="D186" t="inlineStr">
        <is>
          <t>KALMAR LÄN</t>
        </is>
      </c>
      <c r="E186" t="inlineStr">
        <is>
          <t>VIMMERBY</t>
        </is>
      </c>
      <c r="G186" t="n">
        <v>0.2</v>
      </c>
      <c r="H186" t="n">
        <v>0</v>
      </c>
      <c r="I186" t="n">
        <v>0</v>
      </c>
      <c r="J186" t="n">
        <v>0</v>
      </c>
      <c r="K186" t="n">
        <v>0</v>
      </c>
      <c r="L186" t="n">
        <v>0</v>
      </c>
      <c r="M186" t="n">
        <v>0</v>
      </c>
      <c r="N186" t="n">
        <v>0</v>
      </c>
      <c r="O186" t="n">
        <v>0</v>
      </c>
      <c r="P186" t="n">
        <v>0</v>
      </c>
      <c r="Q186" t="n">
        <v>0</v>
      </c>
      <c r="R186" s="2" t="inlineStr"/>
    </row>
    <row r="187" ht="15" customHeight="1">
      <c r="A187" t="inlineStr">
        <is>
          <t>A 30402-2023</t>
        </is>
      </c>
      <c r="B187" s="1" t="n">
        <v>45111.48395833333</v>
      </c>
      <c r="C187" s="1" t="n">
        <v>45968</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13180-2022</t>
        </is>
      </c>
      <c r="B188" s="1" t="n">
        <v>44644</v>
      </c>
      <c r="C188" s="1" t="n">
        <v>45968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165-2022</t>
        </is>
      </c>
      <c r="B189" s="1" t="n">
        <v>44564</v>
      </c>
      <c r="C189" s="1" t="n">
        <v>45968</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23825-2022</t>
        </is>
      </c>
      <c r="B190" s="1" t="n">
        <v>44722.48768518519</v>
      </c>
      <c r="C190" s="1" t="n">
        <v>45968</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45968</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34040-2021</t>
        </is>
      </c>
      <c r="B192" s="1" t="n">
        <v>44379</v>
      </c>
      <c r="C192" s="1" t="n">
        <v>45968</v>
      </c>
      <c r="D192" t="inlineStr">
        <is>
          <t>KALMAR LÄN</t>
        </is>
      </c>
      <c r="E192" t="inlineStr">
        <is>
          <t>VIMMERBY</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15200-2021</t>
        </is>
      </c>
      <c r="B193" s="1" t="n">
        <v>44284.44574074074</v>
      </c>
      <c r="C193" s="1" t="n">
        <v>45968</v>
      </c>
      <c r="D193" t="inlineStr">
        <is>
          <t>KALMAR LÄN</t>
        </is>
      </c>
      <c r="E193" t="inlineStr">
        <is>
          <t>VIMMERBY</t>
        </is>
      </c>
      <c r="G193" t="n">
        <v>1.2</v>
      </c>
      <c r="H193" t="n">
        <v>0</v>
      </c>
      <c r="I193" t="n">
        <v>0</v>
      </c>
      <c r="J193" t="n">
        <v>0</v>
      </c>
      <c r="K193" t="n">
        <v>0</v>
      </c>
      <c r="L193" t="n">
        <v>0</v>
      </c>
      <c r="M193" t="n">
        <v>0</v>
      </c>
      <c r="N193" t="n">
        <v>0</v>
      </c>
      <c r="O193" t="n">
        <v>0</v>
      </c>
      <c r="P193" t="n">
        <v>0</v>
      </c>
      <c r="Q193" t="n">
        <v>0</v>
      </c>
      <c r="R193" s="2" t="inlineStr"/>
    </row>
    <row r="194" ht="15" customHeight="1">
      <c r="A194" t="inlineStr">
        <is>
          <t>A 65961-2020</t>
        </is>
      </c>
      <c r="B194" s="1" t="n">
        <v>44175.39748842592</v>
      </c>
      <c r="C194" s="1" t="n">
        <v>45968</v>
      </c>
      <c r="D194" t="inlineStr">
        <is>
          <t>KALMAR LÄN</t>
        </is>
      </c>
      <c r="E194" t="inlineStr">
        <is>
          <t>VIMMERBY</t>
        </is>
      </c>
      <c r="G194" t="n">
        <v>2.6</v>
      </c>
      <c r="H194" t="n">
        <v>0</v>
      </c>
      <c r="I194" t="n">
        <v>0</v>
      </c>
      <c r="J194" t="n">
        <v>0</v>
      </c>
      <c r="K194" t="n">
        <v>0</v>
      </c>
      <c r="L194" t="n">
        <v>0</v>
      </c>
      <c r="M194" t="n">
        <v>0</v>
      </c>
      <c r="N194" t="n">
        <v>0</v>
      </c>
      <c r="O194" t="n">
        <v>0</v>
      </c>
      <c r="P194" t="n">
        <v>0</v>
      </c>
      <c r="Q194" t="n">
        <v>0</v>
      </c>
      <c r="R194" s="2" t="inlineStr"/>
    </row>
    <row r="195" ht="15" customHeight="1">
      <c r="A195" t="inlineStr">
        <is>
          <t>A 12107-2022</t>
        </is>
      </c>
      <c r="B195" s="1" t="n">
        <v>44636</v>
      </c>
      <c r="C195" s="1" t="n">
        <v>45968</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57948-2020</t>
        </is>
      </c>
      <c r="B196" s="1" t="n">
        <v>44142</v>
      </c>
      <c r="C196" s="1" t="n">
        <v>45968</v>
      </c>
      <c r="D196" t="inlineStr">
        <is>
          <t>KALMAR LÄN</t>
        </is>
      </c>
      <c r="E196" t="inlineStr">
        <is>
          <t>VIMMERBY</t>
        </is>
      </c>
      <c r="G196" t="n">
        <v>7.1</v>
      </c>
      <c r="H196" t="n">
        <v>0</v>
      </c>
      <c r="I196" t="n">
        <v>0</v>
      </c>
      <c r="J196" t="n">
        <v>0</v>
      </c>
      <c r="K196" t="n">
        <v>0</v>
      </c>
      <c r="L196" t="n">
        <v>0</v>
      </c>
      <c r="M196" t="n">
        <v>0</v>
      </c>
      <c r="N196" t="n">
        <v>0</v>
      </c>
      <c r="O196" t="n">
        <v>0</v>
      </c>
      <c r="P196" t="n">
        <v>0</v>
      </c>
      <c r="Q196" t="n">
        <v>0</v>
      </c>
      <c r="R196" s="2" t="inlineStr"/>
    </row>
    <row r="197" ht="15" customHeight="1">
      <c r="A197" t="inlineStr">
        <is>
          <t>A 39225-2022</t>
        </is>
      </c>
      <c r="B197" s="1" t="n">
        <v>44817.57988425926</v>
      </c>
      <c r="C197" s="1" t="n">
        <v>45968</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45968</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45968</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45968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18276-2021</t>
        </is>
      </c>
      <c r="B201" s="1" t="n">
        <v>44305.40046296296</v>
      </c>
      <c r="C201" s="1" t="n">
        <v>45968</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47473-2021</t>
        </is>
      </c>
      <c r="B202" s="1" t="n">
        <v>44447</v>
      </c>
      <c r="C202" s="1" t="n">
        <v>45968</v>
      </c>
      <c r="D202" t="inlineStr">
        <is>
          <t>KALMAR LÄN</t>
        </is>
      </c>
      <c r="E202" t="inlineStr">
        <is>
          <t>VIMMERBY</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6321-2023</t>
        </is>
      </c>
      <c r="B203" s="1" t="n">
        <v>44965.4815162037</v>
      </c>
      <c r="C203" s="1" t="n">
        <v>45968</v>
      </c>
      <c r="D203" t="inlineStr">
        <is>
          <t>KALMAR LÄN</t>
        </is>
      </c>
      <c r="E203" t="inlineStr">
        <is>
          <t>VIMMERBY</t>
        </is>
      </c>
      <c r="G203" t="n">
        <v>1.8</v>
      </c>
      <c r="H203" t="n">
        <v>0</v>
      </c>
      <c r="I203" t="n">
        <v>0</v>
      </c>
      <c r="J203" t="n">
        <v>0</v>
      </c>
      <c r="K203" t="n">
        <v>0</v>
      </c>
      <c r="L203" t="n">
        <v>0</v>
      </c>
      <c r="M203" t="n">
        <v>0</v>
      </c>
      <c r="N203" t="n">
        <v>0</v>
      </c>
      <c r="O203" t="n">
        <v>0</v>
      </c>
      <c r="P203" t="n">
        <v>0</v>
      </c>
      <c r="Q203" t="n">
        <v>0</v>
      </c>
      <c r="R203" s="2" t="inlineStr"/>
    </row>
    <row r="204" ht="15" customHeight="1">
      <c r="A204" t="inlineStr">
        <is>
          <t>A 4624-2024</t>
        </is>
      </c>
      <c r="B204" s="1" t="n">
        <v>45328.38755787037</v>
      </c>
      <c r="C204" s="1" t="n">
        <v>45968</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7167-2022</t>
        </is>
      </c>
      <c r="B205" s="1" t="n">
        <v>44604</v>
      </c>
      <c r="C205" s="1" t="n">
        <v>45968</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18356-2021</t>
        </is>
      </c>
      <c r="B206" s="1" t="n">
        <v>44305</v>
      </c>
      <c r="C206" s="1" t="n">
        <v>45968</v>
      </c>
      <c r="D206" t="inlineStr">
        <is>
          <t>KALMAR LÄN</t>
        </is>
      </c>
      <c r="E206" t="inlineStr">
        <is>
          <t>VIMMERBY</t>
        </is>
      </c>
      <c r="G206" t="n">
        <v>3.4</v>
      </c>
      <c r="H206" t="n">
        <v>0</v>
      </c>
      <c r="I206" t="n">
        <v>0</v>
      </c>
      <c r="J206" t="n">
        <v>0</v>
      </c>
      <c r="K206" t="n">
        <v>0</v>
      </c>
      <c r="L206" t="n">
        <v>0</v>
      </c>
      <c r="M206" t="n">
        <v>0</v>
      </c>
      <c r="N206" t="n">
        <v>0</v>
      </c>
      <c r="O206" t="n">
        <v>0</v>
      </c>
      <c r="P206" t="n">
        <v>0</v>
      </c>
      <c r="Q206" t="n">
        <v>0</v>
      </c>
      <c r="R206" s="2" t="inlineStr"/>
    </row>
    <row r="207" ht="15" customHeight="1">
      <c r="A207" t="inlineStr">
        <is>
          <t>A 40730-2024</t>
        </is>
      </c>
      <c r="B207" s="1" t="n">
        <v>45558.44914351852</v>
      </c>
      <c r="C207" s="1" t="n">
        <v>45968</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57799-2022</t>
        </is>
      </c>
      <c r="B208" s="1" t="n">
        <v>44897</v>
      </c>
      <c r="C208" s="1" t="n">
        <v>45968</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2157-2024</t>
        </is>
      </c>
      <c r="B209" s="1" t="n">
        <v>45309.59487268519</v>
      </c>
      <c r="C209" s="1" t="n">
        <v>45968</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35001-2021</t>
        </is>
      </c>
      <c r="B210" s="1" t="n">
        <v>44383</v>
      </c>
      <c r="C210" s="1" t="n">
        <v>45968</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30921-2024</t>
        </is>
      </c>
      <c r="B211" s="1" t="n">
        <v>45498</v>
      </c>
      <c r="C211" s="1" t="n">
        <v>45968</v>
      </c>
      <c r="D211" t="inlineStr">
        <is>
          <t>KALMAR LÄN</t>
        </is>
      </c>
      <c r="E211" t="inlineStr">
        <is>
          <t>VIMMERBY</t>
        </is>
      </c>
      <c r="G211" t="n">
        <v>1.6</v>
      </c>
      <c r="H211" t="n">
        <v>0</v>
      </c>
      <c r="I211" t="n">
        <v>0</v>
      </c>
      <c r="J211" t="n">
        <v>0</v>
      </c>
      <c r="K211" t="n">
        <v>0</v>
      </c>
      <c r="L211" t="n">
        <v>0</v>
      </c>
      <c r="M211" t="n">
        <v>0</v>
      </c>
      <c r="N211" t="n">
        <v>0</v>
      </c>
      <c r="O211" t="n">
        <v>0</v>
      </c>
      <c r="P211" t="n">
        <v>0</v>
      </c>
      <c r="Q211" t="n">
        <v>0</v>
      </c>
      <c r="R211" s="2" t="inlineStr"/>
    </row>
    <row r="212" ht="15" customHeight="1">
      <c r="A212" t="inlineStr">
        <is>
          <t>A 55674-2021</t>
        </is>
      </c>
      <c r="B212" s="1" t="n">
        <v>44476</v>
      </c>
      <c r="C212" s="1" t="n">
        <v>45968</v>
      </c>
      <c r="D212" t="inlineStr">
        <is>
          <t>KALMAR LÄN</t>
        </is>
      </c>
      <c r="E212" t="inlineStr">
        <is>
          <t>VIMMERBY</t>
        </is>
      </c>
      <c r="G212" t="n">
        <v>2.1</v>
      </c>
      <c r="H212" t="n">
        <v>0</v>
      </c>
      <c r="I212" t="n">
        <v>0</v>
      </c>
      <c r="J212" t="n">
        <v>0</v>
      </c>
      <c r="K212" t="n">
        <v>0</v>
      </c>
      <c r="L212" t="n">
        <v>0</v>
      </c>
      <c r="M212" t="n">
        <v>0</v>
      </c>
      <c r="N212" t="n">
        <v>0</v>
      </c>
      <c r="O212" t="n">
        <v>0</v>
      </c>
      <c r="P212" t="n">
        <v>0</v>
      </c>
      <c r="Q212" t="n">
        <v>0</v>
      </c>
      <c r="R212" s="2" t="inlineStr"/>
    </row>
    <row r="213" ht="15" customHeight="1">
      <c r="A213" t="inlineStr">
        <is>
          <t>A 49461-2022</t>
        </is>
      </c>
      <c r="B213" s="1" t="n">
        <v>44861</v>
      </c>
      <c r="C213" s="1" t="n">
        <v>45968</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694-2024</t>
        </is>
      </c>
      <c r="B214" s="1" t="n">
        <v>45300.3794212963</v>
      </c>
      <c r="C214" s="1" t="n">
        <v>45968</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16983-2023</t>
        </is>
      </c>
      <c r="B215" s="1" t="n">
        <v>45033.76043981482</v>
      </c>
      <c r="C215" s="1" t="n">
        <v>45968</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59598-2023</t>
        </is>
      </c>
      <c r="B216" s="1" t="n">
        <v>45254.62489583333</v>
      </c>
      <c r="C216" s="1" t="n">
        <v>45968</v>
      </c>
      <c r="D216" t="inlineStr">
        <is>
          <t>KALMAR LÄN</t>
        </is>
      </c>
      <c r="E216" t="inlineStr">
        <is>
          <t>VIMMERBY</t>
        </is>
      </c>
      <c r="F216" t="inlineStr">
        <is>
          <t>Övriga Aktiebolag</t>
        </is>
      </c>
      <c r="G216" t="n">
        <v>4</v>
      </c>
      <c r="H216" t="n">
        <v>0</v>
      </c>
      <c r="I216" t="n">
        <v>0</v>
      </c>
      <c r="J216" t="n">
        <v>0</v>
      </c>
      <c r="K216" t="n">
        <v>0</v>
      </c>
      <c r="L216" t="n">
        <v>0</v>
      </c>
      <c r="M216" t="n">
        <v>0</v>
      </c>
      <c r="N216" t="n">
        <v>0</v>
      </c>
      <c r="O216" t="n">
        <v>0</v>
      </c>
      <c r="P216" t="n">
        <v>0</v>
      </c>
      <c r="Q216" t="n">
        <v>0</v>
      </c>
      <c r="R216" s="2" t="inlineStr"/>
    </row>
    <row r="217" ht="15" customHeight="1">
      <c r="A217" t="inlineStr">
        <is>
          <t>A 7944-2024</t>
        </is>
      </c>
      <c r="B217" s="1" t="n">
        <v>45350.53306712963</v>
      </c>
      <c r="C217" s="1" t="n">
        <v>45968</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46144-2023</t>
        </is>
      </c>
      <c r="B218" s="1" t="n">
        <v>45196.57247685185</v>
      </c>
      <c r="C218" s="1" t="n">
        <v>45968</v>
      </c>
      <c r="D218" t="inlineStr">
        <is>
          <t>KALMAR LÄN</t>
        </is>
      </c>
      <c r="E218" t="inlineStr">
        <is>
          <t>VIMMERBY</t>
        </is>
      </c>
      <c r="G218" t="n">
        <v>6.5</v>
      </c>
      <c r="H218" t="n">
        <v>0</v>
      </c>
      <c r="I218" t="n">
        <v>0</v>
      </c>
      <c r="J218" t="n">
        <v>0</v>
      </c>
      <c r="K218" t="n">
        <v>0</v>
      </c>
      <c r="L218" t="n">
        <v>0</v>
      </c>
      <c r="M218" t="n">
        <v>0</v>
      </c>
      <c r="N218" t="n">
        <v>0</v>
      </c>
      <c r="O218" t="n">
        <v>0</v>
      </c>
      <c r="P218" t="n">
        <v>0</v>
      </c>
      <c r="Q218" t="n">
        <v>0</v>
      </c>
      <c r="R218" s="2" t="inlineStr"/>
    </row>
    <row r="219" ht="15" customHeight="1">
      <c r="A219" t="inlineStr">
        <is>
          <t>A 21496-2023</t>
        </is>
      </c>
      <c r="B219" s="1" t="n">
        <v>45063.49936342592</v>
      </c>
      <c r="C219" s="1" t="n">
        <v>45968</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14137-2023</t>
        </is>
      </c>
      <c r="B220" s="1" t="n">
        <v>45009.4671875</v>
      </c>
      <c r="C220" s="1" t="n">
        <v>45968</v>
      </c>
      <c r="D220" t="inlineStr">
        <is>
          <t>KALMAR LÄN</t>
        </is>
      </c>
      <c r="E220" t="inlineStr">
        <is>
          <t>VIMMERBY</t>
        </is>
      </c>
      <c r="G220" t="n">
        <v>1.3</v>
      </c>
      <c r="H220" t="n">
        <v>0</v>
      </c>
      <c r="I220" t="n">
        <v>0</v>
      </c>
      <c r="J220" t="n">
        <v>0</v>
      </c>
      <c r="K220" t="n">
        <v>0</v>
      </c>
      <c r="L220" t="n">
        <v>0</v>
      </c>
      <c r="M220" t="n">
        <v>0</v>
      </c>
      <c r="N220" t="n">
        <v>0</v>
      </c>
      <c r="O220" t="n">
        <v>0</v>
      </c>
      <c r="P220" t="n">
        <v>0</v>
      </c>
      <c r="Q220" t="n">
        <v>0</v>
      </c>
      <c r="R220" s="2" t="inlineStr"/>
    </row>
    <row r="221" ht="15" customHeight="1">
      <c r="A221" t="inlineStr">
        <is>
          <t>A 23394-2025</t>
        </is>
      </c>
      <c r="B221" s="1" t="n">
        <v>45791.89865740741</v>
      </c>
      <c r="C221" s="1" t="n">
        <v>45968</v>
      </c>
      <c r="D221" t="inlineStr">
        <is>
          <t>KALMAR LÄN</t>
        </is>
      </c>
      <c r="E221" t="inlineStr">
        <is>
          <t>VIMMERBY</t>
        </is>
      </c>
      <c r="G221" t="n">
        <v>3.1</v>
      </c>
      <c r="H221" t="n">
        <v>0</v>
      </c>
      <c r="I221" t="n">
        <v>0</v>
      </c>
      <c r="J221" t="n">
        <v>0</v>
      </c>
      <c r="K221" t="n">
        <v>0</v>
      </c>
      <c r="L221" t="n">
        <v>0</v>
      </c>
      <c r="M221" t="n">
        <v>0</v>
      </c>
      <c r="N221" t="n">
        <v>0</v>
      </c>
      <c r="O221" t="n">
        <v>0</v>
      </c>
      <c r="P221" t="n">
        <v>0</v>
      </c>
      <c r="Q221" t="n">
        <v>0</v>
      </c>
      <c r="R221" s="2" t="inlineStr"/>
    </row>
    <row r="222" ht="15" customHeight="1">
      <c r="A222" t="inlineStr">
        <is>
          <t>A 11152-2023</t>
        </is>
      </c>
      <c r="B222" s="1" t="n">
        <v>44992</v>
      </c>
      <c r="C222" s="1" t="n">
        <v>45968</v>
      </c>
      <c r="D222" t="inlineStr">
        <is>
          <t>KALMAR LÄN</t>
        </is>
      </c>
      <c r="E222" t="inlineStr">
        <is>
          <t>VIMMERBY</t>
        </is>
      </c>
      <c r="G222" t="n">
        <v>10.6</v>
      </c>
      <c r="H222" t="n">
        <v>0</v>
      </c>
      <c r="I222" t="n">
        <v>0</v>
      </c>
      <c r="J222" t="n">
        <v>0</v>
      </c>
      <c r="K222" t="n">
        <v>0</v>
      </c>
      <c r="L222" t="n">
        <v>0</v>
      </c>
      <c r="M222" t="n">
        <v>0</v>
      </c>
      <c r="N222" t="n">
        <v>0</v>
      </c>
      <c r="O222" t="n">
        <v>0</v>
      </c>
      <c r="P222" t="n">
        <v>0</v>
      </c>
      <c r="Q222" t="n">
        <v>0</v>
      </c>
      <c r="R222" s="2" t="inlineStr"/>
    </row>
    <row r="223" ht="15" customHeight="1">
      <c r="A223" t="inlineStr">
        <is>
          <t>A 29783-2024</t>
        </is>
      </c>
      <c r="B223" s="1" t="n">
        <v>45485.45778935185</v>
      </c>
      <c r="C223" s="1" t="n">
        <v>45968</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12499-2023</t>
        </is>
      </c>
      <c r="B224" s="1" t="n">
        <v>44999.86172453704</v>
      </c>
      <c r="C224" s="1" t="n">
        <v>45968</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12500-2023</t>
        </is>
      </c>
      <c r="B225" s="1" t="n">
        <v>44999.8625</v>
      </c>
      <c r="C225" s="1" t="n">
        <v>45968</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35846-2023</t>
        </is>
      </c>
      <c r="B226" s="1" t="n">
        <v>45148</v>
      </c>
      <c r="C226" s="1" t="n">
        <v>45968</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49039-2021</t>
        </is>
      </c>
      <c r="B227" s="1" t="n">
        <v>44453.56578703703</v>
      </c>
      <c r="C227" s="1" t="n">
        <v>45968</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23984-2025</t>
        </is>
      </c>
      <c r="B228" s="1" t="n">
        <v>45796</v>
      </c>
      <c r="C228" s="1" t="n">
        <v>45968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35198-2023</t>
        </is>
      </c>
      <c r="B229" s="1" t="n">
        <v>45145</v>
      </c>
      <c r="C229" s="1" t="n">
        <v>45968</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43853-2023</t>
        </is>
      </c>
      <c r="B230" s="1" t="n">
        <v>45187.60813657408</v>
      </c>
      <c r="C230" s="1" t="n">
        <v>45968</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46224-2024</t>
        </is>
      </c>
      <c r="B231" s="1" t="n">
        <v>45581.57016203704</v>
      </c>
      <c r="C231" s="1" t="n">
        <v>45968</v>
      </c>
      <c r="D231" t="inlineStr">
        <is>
          <t>KALMAR LÄN</t>
        </is>
      </c>
      <c r="E231" t="inlineStr">
        <is>
          <t>VIMMERBY</t>
        </is>
      </c>
      <c r="G231" t="n">
        <v>3.1</v>
      </c>
      <c r="H231" t="n">
        <v>0</v>
      </c>
      <c r="I231" t="n">
        <v>0</v>
      </c>
      <c r="J231" t="n">
        <v>0</v>
      </c>
      <c r="K231" t="n">
        <v>0</v>
      </c>
      <c r="L231" t="n">
        <v>0</v>
      </c>
      <c r="M231" t="n">
        <v>0</v>
      </c>
      <c r="N231" t="n">
        <v>0</v>
      </c>
      <c r="O231" t="n">
        <v>0</v>
      </c>
      <c r="P231" t="n">
        <v>0</v>
      </c>
      <c r="Q231" t="n">
        <v>0</v>
      </c>
      <c r="R231" s="2" t="inlineStr"/>
    </row>
    <row r="232" ht="15" customHeight="1">
      <c r="A232" t="inlineStr">
        <is>
          <t>A 46238-2024</t>
        </is>
      </c>
      <c r="B232" s="1" t="n">
        <v>45581.58418981481</v>
      </c>
      <c r="C232" s="1" t="n">
        <v>45968</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30633-2024</t>
        </is>
      </c>
      <c r="B233" s="1" t="n">
        <v>45495</v>
      </c>
      <c r="C233" s="1" t="n">
        <v>45968</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31382-2023</t>
        </is>
      </c>
      <c r="B234" s="1" t="n">
        <v>45114.55136574074</v>
      </c>
      <c r="C234" s="1" t="n">
        <v>45968</v>
      </c>
      <c r="D234" t="inlineStr">
        <is>
          <t>KALMAR LÄN</t>
        </is>
      </c>
      <c r="E234" t="inlineStr">
        <is>
          <t>VIMMERBY</t>
        </is>
      </c>
      <c r="G234" t="n">
        <v>3.7</v>
      </c>
      <c r="H234" t="n">
        <v>0</v>
      </c>
      <c r="I234" t="n">
        <v>0</v>
      </c>
      <c r="J234" t="n">
        <v>0</v>
      </c>
      <c r="K234" t="n">
        <v>0</v>
      </c>
      <c r="L234" t="n">
        <v>0</v>
      </c>
      <c r="M234" t="n">
        <v>0</v>
      </c>
      <c r="N234" t="n">
        <v>0</v>
      </c>
      <c r="O234" t="n">
        <v>0</v>
      </c>
      <c r="P234" t="n">
        <v>0</v>
      </c>
      <c r="Q234" t="n">
        <v>0</v>
      </c>
      <c r="R234" s="2" t="inlineStr"/>
    </row>
    <row r="235" ht="15" customHeight="1">
      <c r="A235" t="inlineStr">
        <is>
          <t>A 54838-2024</t>
        </is>
      </c>
      <c r="B235" s="1" t="n">
        <v>45618.56787037037</v>
      </c>
      <c r="C235" s="1" t="n">
        <v>45968</v>
      </c>
      <c r="D235" t="inlineStr">
        <is>
          <t>KALMAR LÄN</t>
        </is>
      </c>
      <c r="E235" t="inlineStr">
        <is>
          <t>VIMMERBY</t>
        </is>
      </c>
      <c r="G235" t="n">
        <v>3.3</v>
      </c>
      <c r="H235" t="n">
        <v>0</v>
      </c>
      <c r="I235" t="n">
        <v>0</v>
      </c>
      <c r="J235" t="n">
        <v>0</v>
      </c>
      <c r="K235" t="n">
        <v>0</v>
      </c>
      <c r="L235" t="n">
        <v>0</v>
      </c>
      <c r="M235" t="n">
        <v>0</v>
      </c>
      <c r="N235" t="n">
        <v>0</v>
      </c>
      <c r="O235" t="n">
        <v>0</v>
      </c>
      <c r="P235" t="n">
        <v>0</v>
      </c>
      <c r="Q235" t="n">
        <v>0</v>
      </c>
      <c r="R235" s="2" t="inlineStr"/>
    </row>
    <row r="236" ht="15" customHeight="1">
      <c r="A236" t="inlineStr">
        <is>
          <t>A 6405-2025</t>
        </is>
      </c>
      <c r="B236" s="1" t="n">
        <v>45699.45392361111</v>
      </c>
      <c r="C236" s="1" t="n">
        <v>45968</v>
      </c>
      <c r="D236" t="inlineStr">
        <is>
          <t>KALMAR LÄN</t>
        </is>
      </c>
      <c r="E236" t="inlineStr">
        <is>
          <t>VIMMERBY</t>
        </is>
      </c>
      <c r="G236" t="n">
        <v>1.2</v>
      </c>
      <c r="H236" t="n">
        <v>0</v>
      </c>
      <c r="I236" t="n">
        <v>0</v>
      </c>
      <c r="J236" t="n">
        <v>0</v>
      </c>
      <c r="K236" t="n">
        <v>0</v>
      </c>
      <c r="L236" t="n">
        <v>0</v>
      </c>
      <c r="M236" t="n">
        <v>0</v>
      </c>
      <c r="N236" t="n">
        <v>0</v>
      </c>
      <c r="O236" t="n">
        <v>0</v>
      </c>
      <c r="P236" t="n">
        <v>0</v>
      </c>
      <c r="Q236" t="n">
        <v>0</v>
      </c>
      <c r="R236" s="2" t="inlineStr"/>
    </row>
    <row r="237" ht="15" customHeight="1">
      <c r="A237" t="inlineStr">
        <is>
          <t>A 56213-2024</t>
        </is>
      </c>
      <c r="B237" s="1" t="n">
        <v>45624.60141203704</v>
      </c>
      <c r="C237" s="1" t="n">
        <v>45968</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54409-2024</t>
        </is>
      </c>
      <c r="B238" s="1" t="n">
        <v>45617.47570601852</v>
      </c>
      <c r="C238" s="1" t="n">
        <v>45968</v>
      </c>
      <c r="D238" t="inlineStr">
        <is>
          <t>KALMAR LÄN</t>
        </is>
      </c>
      <c r="E238" t="inlineStr">
        <is>
          <t>VIMMERBY</t>
        </is>
      </c>
      <c r="G238" t="n">
        <v>4.3</v>
      </c>
      <c r="H238" t="n">
        <v>0</v>
      </c>
      <c r="I238" t="n">
        <v>0</v>
      </c>
      <c r="J238" t="n">
        <v>0</v>
      </c>
      <c r="K238" t="n">
        <v>0</v>
      </c>
      <c r="L238" t="n">
        <v>0</v>
      </c>
      <c r="M238" t="n">
        <v>0</v>
      </c>
      <c r="N238" t="n">
        <v>0</v>
      </c>
      <c r="O238" t="n">
        <v>0</v>
      </c>
      <c r="P238" t="n">
        <v>0</v>
      </c>
      <c r="Q238" t="n">
        <v>0</v>
      </c>
      <c r="R238" s="2" t="inlineStr"/>
    </row>
    <row r="239" ht="15" customHeight="1">
      <c r="A239" t="inlineStr">
        <is>
          <t>A 60437-2023</t>
        </is>
      </c>
      <c r="B239" s="1" t="n">
        <v>45259.51916666667</v>
      </c>
      <c r="C239" s="1" t="n">
        <v>45968</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60438-2023</t>
        </is>
      </c>
      <c r="B240" s="1" t="n">
        <v>45259.52020833334</v>
      </c>
      <c r="C240" s="1" t="n">
        <v>45968</v>
      </c>
      <c r="D240" t="inlineStr">
        <is>
          <t>KALMAR LÄN</t>
        </is>
      </c>
      <c r="E240" t="inlineStr">
        <is>
          <t>VIMMERBY</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9511-2023</t>
        </is>
      </c>
      <c r="B241" s="1" t="n">
        <v>44981.64725694444</v>
      </c>
      <c r="C241" s="1" t="n">
        <v>45968</v>
      </c>
      <c r="D241" t="inlineStr">
        <is>
          <t>KALMAR LÄN</t>
        </is>
      </c>
      <c r="E241" t="inlineStr">
        <is>
          <t>VIMMERBY</t>
        </is>
      </c>
      <c r="G241" t="n">
        <v>3.5</v>
      </c>
      <c r="H241" t="n">
        <v>0</v>
      </c>
      <c r="I241" t="n">
        <v>0</v>
      </c>
      <c r="J241" t="n">
        <v>0</v>
      </c>
      <c r="K241" t="n">
        <v>0</v>
      </c>
      <c r="L241" t="n">
        <v>0</v>
      </c>
      <c r="M241" t="n">
        <v>0</v>
      </c>
      <c r="N241" t="n">
        <v>0</v>
      </c>
      <c r="O241" t="n">
        <v>0</v>
      </c>
      <c r="P241" t="n">
        <v>0</v>
      </c>
      <c r="Q241" t="n">
        <v>0</v>
      </c>
      <c r="R241" s="2" t="inlineStr"/>
    </row>
    <row r="242" ht="15" customHeight="1">
      <c r="A242" t="inlineStr">
        <is>
          <t>A 42165-2024</t>
        </is>
      </c>
      <c r="B242" s="1" t="n">
        <v>45562.46342592593</v>
      </c>
      <c r="C242" s="1" t="n">
        <v>45968</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38757-2023</t>
        </is>
      </c>
      <c r="B243" s="1" t="n">
        <v>45163.41376157408</v>
      </c>
      <c r="C243" s="1" t="n">
        <v>45968</v>
      </c>
      <c r="D243" t="inlineStr">
        <is>
          <t>KALMAR LÄN</t>
        </is>
      </c>
      <c r="E243" t="inlineStr">
        <is>
          <t>VIMMERBY</t>
        </is>
      </c>
      <c r="G243" t="n">
        <v>2.5</v>
      </c>
      <c r="H243" t="n">
        <v>0</v>
      </c>
      <c r="I243" t="n">
        <v>0</v>
      </c>
      <c r="J243" t="n">
        <v>0</v>
      </c>
      <c r="K243" t="n">
        <v>0</v>
      </c>
      <c r="L243" t="n">
        <v>0</v>
      </c>
      <c r="M243" t="n">
        <v>0</v>
      </c>
      <c r="N243" t="n">
        <v>0</v>
      </c>
      <c r="O243" t="n">
        <v>0</v>
      </c>
      <c r="P243" t="n">
        <v>0</v>
      </c>
      <c r="Q243" t="n">
        <v>0</v>
      </c>
      <c r="R243" s="2" t="inlineStr"/>
    </row>
    <row r="244" ht="15" customHeight="1">
      <c r="A244" t="inlineStr">
        <is>
          <t>A 16825-2024</t>
        </is>
      </c>
      <c r="B244" s="1" t="n">
        <v>45411.47335648148</v>
      </c>
      <c r="C244" s="1" t="n">
        <v>45968</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35082-2024</t>
        </is>
      </c>
      <c r="B245" s="1" t="n">
        <v>45527.68784722222</v>
      </c>
      <c r="C245" s="1" t="n">
        <v>45968</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29973-2023</t>
        </is>
      </c>
      <c r="B246" s="1" t="n">
        <v>45108.703125</v>
      </c>
      <c r="C246" s="1" t="n">
        <v>45968</v>
      </c>
      <c r="D246" t="inlineStr">
        <is>
          <t>KALMAR LÄN</t>
        </is>
      </c>
      <c r="E246" t="inlineStr">
        <is>
          <t>VIMMERBY</t>
        </is>
      </c>
      <c r="G246" t="n">
        <v>4</v>
      </c>
      <c r="H246" t="n">
        <v>0</v>
      </c>
      <c r="I246" t="n">
        <v>0</v>
      </c>
      <c r="J246" t="n">
        <v>0</v>
      </c>
      <c r="K246" t="n">
        <v>0</v>
      </c>
      <c r="L246" t="n">
        <v>0</v>
      </c>
      <c r="M246" t="n">
        <v>0</v>
      </c>
      <c r="N246" t="n">
        <v>0</v>
      </c>
      <c r="O246" t="n">
        <v>0</v>
      </c>
      <c r="P246" t="n">
        <v>0</v>
      </c>
      <c r="Q246" t="n">
        <v>0</v>
      </c>
      <c r="R246" s="2" t="inlineStr"/>
    </row>
    <row r="247" ht="15" customHeight="1">
      <c r="A247" t="inlineStr">
        <is>
          <t>A 25244-2023</t>
        </is>
      </c>
      <c r="B247" s="1" t="n">
        <v>45086</v>
      </c>
      <c r="C247" s="1" t="n">
        <v>45968</v>
      </c>
      <c r="D247" t="inlineStr">
        <is>
          <t>KALMAR LÄN</t>
        </is>
      </c>
      <c r="E247" t="inlineStr">
        <is>
          <t>VIMMERBY</t>
        </is>
      </c>
      <c r="G247" t="n">
        <v>4.7</v>
      </c>
      <c r="H247" t="n">
        <v>0</v>
      </c>
      <c r="I247" t="n">
        <v>0</v>
      </c>
      <c r="J247" t="n">
        <v>0</v>
      </c>
      <c r="K247" t="n">
        <v>0</v>
      </c>
      <c r="L247" t="n">
        <v>0</v>
      </c>
      <c r="M247" t="n">
        <v>0</v>
      </c>
      <c r="N247" t="n">
        <v>0</v>
      </c>
      <c r="O247" t="n">
        <v>0</v>
      </c>
      <c r="P247" t="n">
        <v>0</v>
      </c>
      <c r="Q247" t="n">
        <v>0</v>
      </c>
      <c r="R247" s="2" t="inlineStr"/>
    </row>
    <row r="248" ht="15" customHeight="1">
      <c r="A248" t="inlineStr">
        <is>
          <t>A 64143-2021</t>
        </is>
      </c>
      <c r="B248" s="1" t="n">
        <v>44510.52157407408</v>
      </c>
      <c r="C248" s="1" t="n">
        <v>45968</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73938-2021</t>
        </is>
      </c>
      <c r="B249" s="1" t="n">
        <v>44553</v>
      </c>
      <c r="C249" s="1" t="n">
        <v>45968</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7643-2022</t>
        </is>
      </c>
      <c r="B250" s="1" t="n">
        <v>44607</v>
      </c>
      <c r="C250" s="1" t="n">
        <v>45968</v>
      </c>
      <c r="D250" t="inlineStr">
        <is>
          <t>KALMAR LÄN</t>
        </is>
      </c>
      <c r="E250" t="inlineStr">
        <is>
          <t>VIMMERBY</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51278-2024</t>
        </is>
      </c>
      <c r="B251" s="1" t="n">
        <v>45603.74959490741</v>
      </c>
      <c r="C251" s="1" t="n">
        <v>45968</v>
      </c>
      <c r="D251" t="inlineStr">
        <is>
          <t>KALMAR LÄN</t>
        </is>
      </c>
      <c r="E251" t="inlineStr">
        <is>
          <t>VIMMERBY</t>
        </is>
      </c>
      <c r="G251" t="n">
        <v>3.4</v>
      </c>
      <c r="H251" t="n">
        <v>0</v>
      </c>
      <c r="I251" t="n">
        <v>0</v>
      </c>
      <c r="J251" t="n">
        <v>0</v>
      </c>
      <c r="K251" t="n">
        <v>0</v>
      </c>
      <c r="L251" t="n">
        <v>0</v>
      </c>
      <c r="M251" t="n">
        <v>0</v>
      </c>
      <c r="N251" t="n">
        <v>0</v>
      </c>
      <c r="O251" t="n">
        <v>0</v>
      </c>
      <c r="P251" t="n">
        <v>0</v>
      </c>
      <c r="Q251" t="n">
        <v>0</v>
      </c>
      <c r="R251" s="2" t="inlineStr"/>
    </row>
    <row r="252" ht="15" customHeight="1">
      <c r="A252" t="inlineStr">
        <is>
          <t>A 66022-2021</t>
        </is>
      </c>
      <c r="B252" s="1" t="n">
        <v>44517</v>
      </c>
      <c r="C252" s="1" t="n">
        <v>45968</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35895-2024</t>
        </is>
      </c>
      <c r="B253" s="1" t="n">
        <v>45533.38870370371</v>
      </c>
      <c r="C253" s="1" t="n">
        <v>45968</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11073-2023</t>
        </is>
      </c>
      <c r="B254" s="1" t="n">
        <v>44992</v>
      </c>
      <c r="C254" s="1" t="n">
        <v>45968</v>
      </c>
      <c r="D254" t="inlineStr">
        <is>
          <t>KALMAR LÄN</t>
        </is>
      </c>
      <c r="E254" t="inlineStr">
        <is>
          <t>VIMMERBY</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9456-2025</t>
        </is>
      </c>
      <c r="B255" s="1" t="n">
        <v>45715.44159722222</v>
      </c>
      <c r="C255" s="1" t="n">
        <v>45968</v>
      </c>
      <c r="D255" t="inlineStr">
        <is>
          <t>KALMAR LÄN</t>
        </is>
      </c>
      <c r="E255" t="inlineStr">
        <is>
          <t>VIMMERBY</t>
        </is>
      </c>
      <c r="G255" t="n">
        <v>1.5</v>
      </c>
      <c r="H255" t="n">
        <v>0</v>
      </c>
      <c r="I255" t="n">
        <v>0</v>
      </c>
      <c r="J255" t="n">
        <v>0</v>
      </c>
      <c r="K255" t="n">
        <v>0</v>
      </c>
      <c r="L255" t="n">
        <v>0</v>
      </c>
      <c r="M255" t="n">
        <v>0</v>
      </c>
      <c r="N255" t="n">
        <v>0</v>
      </c>
      <c r="O255" t="n">
        <v>0</v>
      </c>
      <c r="P255" t="n">
        <v>0</v>
      </c>
      <c r="Q255" t="n">
        <v>0</v>
      </c>
      <c r="R255" s="2" t="inlineStr"/>
    </row>
    <row r="256" ht="15" customHeight="1">
      <c r="A256" t="inlineStr">
        <is>
          <t>A 40076-2021</t>
        </is>
      </c>
      <c r="B256" s="1" t="n">
        <v>44418</v>
      </c>
      <c r="C256" s="1" t="n">
        <v>45968</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11111-2023</t>
        </is>
      </c>
      <c r="B257" s="1" t="n">
        <v>44992.4255787037</v>
      </c>
      <c r="C257" s="1" t="n">
        <v>45968</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17-2025</t>
        </is>
      </c>
      <c r="B258" s="1" t="n">
        <v>45658.78774305555</v>
      </c>
      <c r="C258" s="1" t="n">
        <v>45968</v>
      </c>
      <c r="D258" t="inlineStr">
        <is>
          <t>KALMAR LÄN</t>
        </is>
      </c>
      <c r="E258" t="inlineStr">
        <is>
          <t>VIMMERBY</t>
        </is>
      </c>
      <c r="G258" t="n">
        <v>4.4</v>
      </c>
      <c r="H258" t="n">
        <v>0</v>
      </c>
      <c r="I258" t="n">
        <v>0</v>
      </c>
      <c r="J258" t="n">
        <v>0</v>
      </c>
      <c r="K258" t="n">
        <v>0</v>
      </c>
      <c r="L258" t="n">
        <v>0</v>
      </c>
      <c r="M258" t="n">
        <v>0</v>
      </c>
      <c r="N258" t="n">
        <v>0</v>
      </c>
      <c r="O258" t="n">
        <v>0</v>
      </c>
      <c r="P258" t="n">
        <v>0</v>
      </c>
      <c r="Q258" t="n">
        <v>0</v>
      </c>
      <c r="R258" s="2" t="inlineStr"/>
    </row>
    <row r="259" ht="15" customHeight="1">
      <c r="A259" t="inlineStr">
        <is>
          <t>A 32655-2023</t>
        </is>
      </c>
      <c r="B259" s="1" t="n">
        <v>45121.61318287037</v>
      </c>
      <c r="C259" s="1" t="n">
        <v>45968</v>
      </c>
      <c r="D259" t="inlineStr">
        <is>
          <t>KALMAR LÄN</t>
        </is>
      </c>
      <c r="E259" t="inlineStr">
        <is>
          <t>VIMMERBY</t>
        </is>
      </c>
      <c r="F259" t="inlineStr">
        <is>
          <t>Sveaskog</t>
        </is>
      </c>
      <c r="G259" t="n">
        <v>2</v>
      </c>
      <c r="H259" t="n">
        <v>0</v>
      </c>
      <c r="I259" t="n">
        <v>0</v>
      </c>
      <c r="J259" t="n">
        <v>0</v>
      </c>
      <c r="K259" t="n">
        <v>0</v>
      </c>
      <c r="L259" t="n">
        <v>0</v>
      </c>
      <c r="M259" t="n">
        <v>0</v>
      </c>
      <c r="N259" t="n">
        <v>0</v>
      </c>
      <c r="O259" t="n">
        <v>0</v>
      </c>
      <c r="P259" t="n">
        <v>0</v>
      </c>
      <c r="Q259" t="n">
        <v>0</v>
      </c>
      <c r="R259" s="2" t="inlineStr"/>
    </row>
    <row r="260" ht="15" customHeight="1">
      <c r="A260" t="inlineStr">
        <is>
          <t>A 50648-2023</t>
        </is>
      </c>
      <c r="B260" s="1" t="n">
        <v>45217.47834490741</v>
      </c>
      <c r="C260" s="1" t="n">
        <v>45968</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63541-2023</t>
        </is>
      </c>
      <c r="B261" s="1" t="n">
        <v>45275.32266203704</v>
      </c>
      <c r="C261" s="1" t="n">
        <v>45968</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529-2022</t>
        </is>
      </c>
      <c r="B262" s="1" t="n">
        <v>44566</v>
      </c>
      <c r="C262" s="1" t="n">
        <v>45968</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58318-2021</t>
        </is>
      </c>
      <c r="B263" s="1" t="n">
        <v>44488.35878472222</v>
      </c>
      <c r="C263" s="1" t="n">
        <v>45968</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89-2023</t>
        </is>
      </c>
      <c r="B264" s="1" t="n">
        <v>44918</v>
      </c>
      <c r="C264" s="1" t="n">
        <v>45968</v>
      </c>
      <c r="D264" t="inlineStr">
        <is>
          <t>KALMAR LÄN</t>
        </is>
      </c>
      <c r="E264" t="inlineStr">
        <is>
          <t>VIMMERBY</t>
        </is>
      </c>
      <c r="G264" t="n">
        <v>16.1</v>
      </c>
      <c r="H264" t="n">
        <v>0</v>
      </c>
      <c r="I264" t="n">
        <v>0</v>
      </c>
      <c r="J264" t="n">
        <v>0</v>
      </c>
      <c r="K264" t="n">
        <v>0</v>
      </c>
      <c r="L264" t="n">
        <v>0</v>
      </c>
      <c r="M264" t="n">
        <v>0</v>
      </c>
      <c r="N264" t="n">
        <v>0</v>
      </c>
      <c r="O264" t="n">
        <v>0</v>
      </c>
      <c r="P264" t="n">
        <v>0</v>
      </c>
      <c r="Q264" t="n">
        <v>0</v>
      </c>
      <c r="R264" s="2" t="inlineStr"/>
    </row>
    <row r="265" ht="15" customHeight="1">
      <c r="A265" t="inlineStr">
        <is>
          <t>A 23088-2024</t>
        </is>
      </c>
      <c r="B265" s="1" t="n">
        <v>45450.51092592593</v>
      </c>
      <c r="C265" s="1" t="n">
        <v>45968</v>
      </c>
      <c r="D265" t="inlineStr">
        <is>
          <t>KALMAR LÄN</t>
        </is>
      </c>
      <c r="E265" t="inlineStr">
        <is>
          <t>VIMMERBY</t>
        </is>
      </c>
      <c r="G265" t="n">
        <v>1.9</v>
      </c>
      <c r="H265" t="n">
        <v>0</v>
      </c>
      <c r="I265" t="n">
        <v>0</v>
      </c>
      <c r="J265" t="n">
        <v>0</v>
      </c>
      <c r="K265" t="n">
        <v>0</v>
      </c>
      <c r="L265" t="n">
        <v>0</v>
      </c>
      <c r="M265" t="n">
        <v>0</v>
      </c>
      <c r="N265" t="n">
        <v>0</v>
      </c>
      <c r="O265" t="n">
        <v>0</v>
      </c>
      <c r="P265" t="n">
        <v>0</v>
      </c>
      <c r="Q265" t="n">
        <v>0</v>
      </c>
      <c r="R265" s="2" t="inlineStr"/>
    </row>
    <row r="266" ht="15" customHeight="1">
      <c r="A266" t="inlineStr">
        <is>
          <t>A 44582-2024</t>
        </is>
      </c>
      <c r="B266" s="1" t="n">
        <v>45574.49298611111</v>
      </c>
      <c r="C266" s="1" t="n">
        <v>45968</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38851-2023</t>
        </is>
      </c>
      <c r="B267" s="1" t="n">
        <v>45163</v>
      </c>
      <c r="C267" s="1" t="n">
        <v>45968</v>
      </c>
      <c r="D267" t="inlineStr">
        <is>
          <t>KALMAR LÄN</t>
        </is>
      </c>
      <c r="E267" t="inlineStr">
        <is>
          <t>VIMMERBY</t>
        </is>
      </c>
      <c r="G267" t="n">
        <v>4.3</v>
      </c>
      <c r="H267" t="n">
        <v>0</v>
      </c>
      <c r="I267" t="n">
        <v>0</v>
      </c>
      <c r="J267" t="n">
        <v>0</v>
      </c>
      <c r="K267" t="n">
        <v>0</v>
      </c>
      <c r="L267" t="n">
        <v>0</v>
      </c>
      <c r="M267" t="n">
        <v>0</v>
      </c>
      <c r="N267" t="n">
        <v>0</v>
      </c>
      <c r="O267" t="n">
        <v>0</v>
      </c>
      <c r="P267" t="n">
        <v>0</v>
      </c>
      <c r="Q267" t="n">
        <v>0</v>
      </c>
      <c r="R267" s="2" t="inlineStr"/>
    </row>
    <row r="268" ht="15" customHeight="1">
      <c r="A268" t="inlineStr">
        <is>
          <t>A 10759-2023</t>
        </is>
      </c>
      <c r="B268" s="1" t="n">
        <v>44988</v>
      </c>
      <c r="C268" s="1" t="n">
        <v>45968</v>
      </c>
      <c r="D268" t="inlineStr">
        <is>
          <t>KALMAR LÄN</t>
        </is>
      </c>
      <c r="E268" t="inlineStr">
        <is>
          <t>VIMMERBY</t>
        </is>
      </c>
      <c r="G268" t="n">
        <v>0.4</v>
      </c>
      <c r="H268" t="n">
        <v>0</v>
      </c>
      <c r="I268" t="n">
        <v>0</v>
      </c>
      <c r="J268" t="n">
        <v>0</v>
      </c>
      <c r="K268" t="n">
        <v>0</v>
      </c>
      <c r="L268" t="n">
        <v>0</v>
      </c>
      <c r="M268" t="n">
        <v>0</v>
      </c>
      <c r="N268" t="n">
        <v>0</v>
      </c>
      <c r="O268" t="n">
        <v>0</v>
      </c>
      <c r="P268" t="n">
        <v>0</v>
      </c>
      <c r="Q268" t="n">
        <v>0</v>
      </c>
      <c r="R268" s="2" t="inlineStr"/>
    </row>
    <row r="269" ht="15" customHeight="1">
      <c r="A269" t="inlineStr">
        <is>
          <t>A 28034-2022</t>
        </is>
      </c>
      <c r="B269" s="1" t="n">
        <v>44746.38834490741</v>
      </c>
      <c r="C269" s="1" t="n">
        <v>45968</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5938-2022</t>
        </is>
      </c>
      <c r="B270" s="1" t="n">
        <v>44598</v>
      </c>
      <c r="C270" s="1" t="n">
        <v>45968</v>
      </c>
      <c r="D270" t="inlineStr">
        <is>
          <t>KALMAR LÄN</t>
        </is>
      </c>
      <c r="E270" t="inlineStr">
        <is>
          <t>VIMMERBY</t>
        </is>
      </c>
      <c r="G270" t="n">
        <v>2.4</v>
      </c>
      <c r="H270" t="n">
        <v>0</v>
      </c>
      <c r="I270" t="n">
        <v>0</v>
      </c>
      <c r="J270" t="n">
        <v>0</v>
      </c>
      <c r="K270" t="n">
        <v>0</v>
      </c>
      <c r="L270" t="n">
        <v>0</v>
      </c>
      <c r="M270" t="n">
        <v>0</v>
      </c>
      <c r="N270" t="n">
        <v>0</v>
      </c>
      <c r="O270" t="n">
        <v>0</v>
      </c>
      <c r="P270" t="n">
        <v>0</v>
      </c>
      <c r="Q270" t="n">
        <v>0</v>
      </c>
      <c r="R270" s="2" t="inlineStr"/>
    </row>
    <row r="271" ht="15" customHeight="1">
      <c r="A271" t="inlineStr">
        <is>
          <t>A 63583-2023</t>
        </is>
      </c>
      <c r="B271" s="1" t="n">
        <v>45275.41833333333</v>
      </c>
      <c r="C271" s="1" t="n">
        <v>45968</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15494-2024</t>
        </is>
      </c>
      <c r="B272" s="1" t="n">
        <v>45401.53033564815</v>
      </c>
      <c r="C272" s="1" t="n">
        <v>45968</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40079-2023</t>
        </is>
      </c>
      <c r="B273" s="1" t="n">
        <v>45168.89298611111</v>
      </c>
      <c r="C273" s="1" t="n">
        <v>45968</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43774-2023</t>
        </is>
      </c>
      <c r="B274" s="1" t="n">
        <v>45187</v>
      </c>
      <c r="C274" s="1" t="n">
        <v>45968</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29616-2022</t>
        </is>
      </c>
      <c r="B275" s="1" t="n">
        <v>44754</v>
      </c>
      <c r="C275" s="1" t="n">
        <v>45968</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24283-2023</t>
        </is>
      </c>
      <c r="B276" s="1" t="n">
        <v>45079.87827546296</v>
      </c>
      <c r="C276" s="1" t="n">
        <v>45968</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11027-2023</t>
        </is>
      </c>
      <c r="B277" s="1" t="n">
        <v>44991.89657407408</v>
      </c>
      <c r="C277" s="1" t="n">
        <v>45968</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2462-2022</t>
        </is>
      </c>
      <c r="B278" s="1" t="n">
        <v>44579.62225694444</v>
      </c>
      <c r="C278" s="1" t="n">
        <v>45968</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60228-2021</t>
        </is>
      </c>
      <c r="B279" s="1" t="n">
        <v>44495</v>
      </c>
      <c r="C279" s="1" t="n">
        <v>45968</v>
      </c>
      <c r="D279" t="inlineStr">
        <is>
          <t>KALMAR LÄN</t>
        </is>
      </c>
      <c r="E279" t="inlineStr">
        <is>
          <t>VIMMERBY</t>
        </is>
      </c>
      <c r="G279" t="n">
        <v>4.1</v>
      </c>
      <c r="H279" t="n">
        <v>0</v>
      </c>
      <c r="I279" t="n">
        <v>0</v>
      </c>
      <c r="J279" t="n">
        <v>0</v>
      </c>
      <c r="K279" t="n">
        <v>0</v>
      </c>
      <c r="L279" t="n">
        <v>0</v>
      </c>
      <c r="M279" t="n">
        <v>0</v>
      </c>
      <c r="N279" t="n">
        <v>0</v>
      </c>
      <c r="O279" t="n">
        <v>0</v>
      </c>
      <c r="P279" t="n">
        <v>0</v>
      </c>
      <c r="Q279" t="n">
        <v>0</v>
      </c>
      <c r="R279" s="2" t="inlineStr"/>
    </row>
    <row r="280" ht="15" customHeight="1">
      <c r="A280" t="inlineStr">
        <is>
          <t>A 39578-2024</t>
        </is>
      </c>
      <c r="B280" s="1" t="n">
        <v>45552.36484953704</v>
      </c>
      <c r="C280" s="1" t="n">
        <v>45968</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25979-2023</t>
        </is>
      </c>
      <c r="B281" s="1" t="n">
        <v>45090.89653935185</v>
      </c>
      <c r="C281" s="1" t="n">
        <v>45968</v>
      </c>
      <c r="D281" t="inlineStr">
        <is>
          <t>KALMAR LÄN</t>
        </is>
      </c>
      <c r="E281" t="inlineStr">
        <is>
          <t>VIMMERBY</t>
        </is>
      </c>
      <c r="G281" t="n">
        <v>2</v>
      </c>
      <c r="H281" t="n">
        <v>0</v>
      </c>
      <c r="I281" t="n">
        <v>0</v>
      </c>
      <c r="J281" t="n">
        <v>0</v>
      </c>
      <c r="K281" t="n">
        <v>0</v>
      </c>
      <c r="L281" t="n">
        <v>0</v>
      </c>
      <c r="M281" t="n">
        <v>0</v>
      </c>
      <c r="N281" t="n">
        <v>0</v>
      </c>
      <c r="O281" t="n">
        <v>0</v>
      </c>
      <c r="P281" t="n">
        <v>0</v>
      </c>
      <c r="Q281" t="n">
        <v>0</v>
      </c>
      <c r="R281" s="2" t="inlineStr"/>
    </row>
    <row r="282" ht="15" customHeight="1">
      <c r="A282" t="inlineStr">
        <is>
          <t>A 25980-2023</t>
        </is>
      </c>
      <c r="B282" s="1" t="n">
        <v>45090.89880787037</v>
      </c>
      <c r="C282" s="1" t="n">
        <v>45968</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24707-2024</t>
        </is>
      </c>
      <c r="B283" s="1" t="n">
        <v>45460.62172453704</v>
      </c>
      <c r="C283" s="1" t="n">
        <v>45968</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12510-2022</t>
        </is>
      </c>
      <c r="B284" s="1" t="n">
        <v>44638.55256944444</v>
      </c>
      <c r="C284" s="1" t="n">
        <v>45968</v>
      </c>
      <c r="D284" t="inlineStr">
        <is>
          <t>KALMAR LÄN</t>
        </is>
      </c>
      <c r="E284" t="inlineStr">
        <is>
          <t>VIMMERBY</t>
        </is>
      </c>
      <c r="G284" t="n">
        <v>2.4</v>
      </c>
      <c r="H284" t="n">
        <v>0</v>
      </c>
      <c r="I284" t="n">
        <v>0</v>
      </c>
      <c r="J284" t="n">
        <v>0</v>
      </c>
      <c r="K284" t="n">
        <v>0</v>
      </c>
      <c r="L284" t="n">
        <v>0</v>
      </c>
      <c r="M284" t="n">
        <v>0</v>
      </c>
      <c r="N284" t="n">
        <v>0</v>
      </c>
      <c r="O284" t="n">
        <v>0</v>
      </c>
      <c r="P284" t="n">
        <v>0</v>
      </c>
      <c r="Q284" t="n">
        <v>0</v>
      </c>
      <c r="R284" s="2" t="inlineStr"/>
    </row>
    <row r="285" ht="15" customHeight="1">
      <c r="A285" t="inlineStr">
        <is>
          <t>A 6358-2022</t>
        </is>
      </c>
      <c r="B285" s="1" t="n">
        <v>44600</v>
      </c>
      <c r="C285" s="1" t="n">
        <v>45968</v>
      </c>
      <c r="D285" t="inlineStr">
        <is>
          <t>KALMAR LÄN</t>
        </is>
      </c>
      <c r="E285" t="inlineStr">
        <is>
          <t>VIMMERBY</t>
        </is>
      </c>
      <c r="G285" t="n">
        <v>1.7</v>
      </c>
      <c r="H285" t="n">
        <v>0</v>
      </c>
      <c r="I285" t="n">
        <v>0</v>
      </c>
      <c r="J285" t="n">
        <v>0</v>
      </c>
      <c r="K285" t="n">
        <v>0</v>
      </c>
      <c r="L285" t="n">
        <v>0</v>
      </c>
      <c r="M285" t="n">
        <v>0</v>
      </c>
      <c r="N285" t="n">
        <v>0</v>
      </c>
      <c r="O285" t="n">
        <v>0</v>
      </c>
      <c r="P285" t="n">
        <v>0</v>
      </c>
      <c r="Q285" t="n">
        <v>0</v>
      </c>
      <c r="R285" s="2" t="inlineStr"/>
    </row>
    <row r="286" ht="15" customHeight="1">
      <c r="A286" t="inlineStr">
        <is>
          <t>A 58724-2024</t>
        </is>
      </c>
      <c r="B286" s="1" t="n">
        <v>45635.66409722222</v>
      </c>
      <c r="C286" s="1" t="n">
        <v>45968</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25792-2025</t>
        </is>
      </c>
      <c r="B287" s="1" t="n">
        <v>45804.39141203704</v>
      </c>
      <c r="C287" s="1" t="n">
        <v>45968</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26039-2025</t>
        </is>
      </c>
      <c r="B288" s="1" t="n">
        <v>45804.6953587963</v>
      </c>
      <c r="C288" s="1" t="n">
        <v>45968</v>
      </c>
      <c r="D288" t="inlineStr">
        <is>
          <t>KALMAR LÄN</t>
        </is>
      </c>
      <c r="E288" t="inlineStr">
        <is>
          <t>VIMMERBY</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31056-2022</t>
        </is>
      </c>
      <c r="B289" s="1" t="n">
        <v>44769.45805555556</v>
      </c>
      <c r="C289" s="1" t="n">
        <v>45968</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33383-2023</t>
        </is>
      </c>
      <c r="B290" s="1" t="n">
        <v>45128.58414351852</v>
      </c>
      <c r="C290" s="1" t="n">
        <v>45968</v>
      </c>
      <c r="D290" t="inlineStr">
        <is>
          <t>KALMAR LÄN</t>
        </is>
      </c>
      <c r="E290" t="inlineStr">
        <is>
          <t>VIMMERBY</t>
        </is>
      </c>
      <c r="G290" t="n">
        <v>2.3</v>
      </c>
      <c r="H290" t="n">
        <v>0</v>
      </c>
      <c r="I290" t="n">
        <v>0</v>
      </c>
      <c r="J290" t="n">
        <v>0</v>
      </c>
      <c r="K290" t="n">
        <v>0</v>
      </c>
      <c r="L290" t="n">
        <v>0</v>
      </c>
      <c r="M290" t="n">
        <v>0</v>
      </c>
      <c r="N290" t="n">
        <v>0</v>
      </c>
      <c r="O290" t="n">
        <v>0</v>
      </c>
      <c r="P290" t="n">
        <v>0</v>
      </c>
      <c r="Q290" t="n">
        <v>0</v>
      </c>
      <c r="R290" s="2" t="inlineStr"/>
    </row>
    <row r="291" ht="15" customHeight="1">
      <c r="A291" t="inlineStr">
        <is>
          <t>A 40828-2023</t>
        </is>
      </c>
      <c r="B291" s="1" t="n">
        <v>45171.96248842592</v>
      </c>
      <c r="C291" s="1" t="n">
        <v>45968</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45968</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45968</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61861-2024</t>
        </is>
      </c>
      <c r="B294" s="1" t="n">
        <v>45650.37370370371</v>
      </c>
      <c r="C294" s="1" t="n">
        <v>45968</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53483-2022</t>
        </is>
      </c>
      <c r="B295" s="1" t="n">
        <v>44879.55940972222</v>
      </c>
      <c r="C295" s="1" t="n">
        <v>45968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18899-2025</t>
        </is>
      </c>
      <c r="B296" s="1" t="n">
        <v>45764.44931712963</v>
      </c>
      <c r="C296" s="1" t="n">
        <v>45968</v>
      </c>
      <c r="D296" t="inlineStr">
        <is>
          <t>KALMAR LÄN</t>
        </is>
      </c>
      <c r="E296" t="inlineStr">
        <is>
          <t>VIMMERBY</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48373-2021</t>
        </is>
      </c>
      <c r="B297" s="1" t="n">
        <v>44451</v>
      </c>
      <c r="C297" s="1" t="n">
        <v>45968</v>
      </c>
      <c r="D297" t="inlineStr">
        <is>
          <t>KALMAR LÄN</t>
        </is>
      </c>
      <c r="E297" t="inlineStr">
        <is>
          <t>VIMMERBY</t>
        </is>
      </c>
      <c r="G297" t="n">
        <v>2.2</v>
      </c>
      <c r="H297" t="n">
        <v>0</v>
      </c>
      <c r="I297" t="n">
        <v>0</v>
      </c>
      <c r="J297" t="n">
        <v>0</v>
      </c>
      <c r="K297" t="n">
        <v>0</v>
      </c>
      <c r="L297" t="n">
        <v>0</v>
      </c>
      <c r="M297" t="n">
        <v>0</v>
      </c>
      <c r="N297" t="n">
        <v>0</v>
      </c>
      <c r="O297" t="n">
        <v>0</v>
      </c>
      <c r="P297" t="n">
        <v>0</v>
      </c>
      <c r="Q297" t="n">
        <v>0</v>
      </c>
      <c r="R297" s="2" t="inlineStr"/>
    </row>
    <row r="298" ht="15" customHeight="1">
      <c r="A298" t="inlineStr">
        <is>
          <t>A 20054-2023</t>
        </is>
      </c>
      <c r="B298" s="1" t="n">
        <v>45054.6750462963</v>
      </c>
      <c r="C298" s="1" t="n">
        <v>45968</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26207-2025</t>
        </is>
      </c>
      <c r="B299" s="1" t="n">
        <v>45805.52983796296</v>
      </c>
      <c r="C299" s="1" t="n">
        <v>45968</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8650-2022</t>
        </is>
      </c>
      <c r="B300" s="1" t="n">
        <v>44613</v>
      </c>
      <c r="C300" s="1" t="n">
        <v>45968</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25830-2025</t>
        </is>
      </c>
      <c r="B301" s="1" t="n">
        <v>45804.44519675926</v>
      </c>
      <c r="C301" s="1" t="n">
        <v>45968</v>
      </c>
      <c r="D301" t="inlineStr">
        <is>
          <t>KALMAR LÄN</t>
        </is>
      </c>
      <c r="E301" t="inlineStr">
        <is>
          <t>VIMMERBY</t>
        </is>
      </c>
      <c r="G301" t="n">
        <v>4.9</v>
      </c>
      <c r="H301" t="n">
        <v>0</v>
      </c>
      <c r="I301" t="n">
        <v>0</v>
      </c>
      <c r="J301" t="n">
        <v>0</v>
      </c>
      <c r="K301" t="n">
        <v>0</v>
      </c>
      <c r="L301" t="n">
        <v>0</v>
      </c>
      <c r="M301" t="n">
        <v>0</v>
      </c>
      <c r="N301" t="n">
        <v>0</v>
      </c>
      <c r="O301" t="n">
        <v>0</v>
      </c>
      <c r="P301" t="n">
        <v>0</v>
      </c>
      <c r="Q301" t="n">
        <v>0</v>
      </c>
      <c r="R301" s="2" t="inlineStr"/>
    </row>
    <row r="302" ht="15" customHeight="1">
      <c r="A302" t="inlineStr">
        <is>
          <t>A 58962-2022</t>
        </is>
      </c>
      <c r="B302" s="1" t="n">
        <v>44903</v>
      </c>
      <c r="C302" s="1" t="n">
        <v>45968</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33340-2023</t>
        </is>
      </c>
      <c r="B303" s="1" t="n">
        <v>45128.37305555555</v>
      </c>
      <c r="C303" s="1" t="n">
        <v>45968</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44423-2023</t>
        </is>
      </c>
      <c r="B304" s="1" t="n">
        <v>45189</v>
      </c>
      <c r="C304" s="1" t="n">
        <v>45968</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26254-2025</t>
        </is>
      </c>
      <c r="B305" s="1" t="n">
        <v>45805</v>
      </c>
      <c r="C305" s="1" t="n">
        <v>45968</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10837-2023</t>
        </is>
      </c>
      <c r="B306" s="1" t="n">
        <v>44991.30547453704</v>
      </c>
      <c r="C306" s="1" t="n">
        <v>45968</v>
      </c>
      <c r="D306" t="inlineStr">
        <is>
          <t>KALMAR LÄN</t>
        </is>
      </c>
      <c r="E306" t="inlineStr">
        <is>
          <t>VIMMERBY</t>
        </is>
      </c>
      <c r="G306" t="n">
        <v>7.3</v>
      </c>
      <c r="H306" t="n">
        <v>0</v>
      </c>
      <c r="I306" t="n">
        <v>0</v>
      </c>
      <c r="J306" t="n">
        <v>0</v>
      </c>
      <c r="K306" t="n">
        <v>0</v>
      </c>
      <c r="L306" t="n">
        <v>0</v>
      </c>
      <c r="M306" t="n">
        <v>0</v>
      </c>
      <c r="N306" t="n">
        <v>0</v>
      </c>
      <c r="O306" t="n">
        <v>0</v>
      </c>
      <c r="P306" t="n">
        <v>0</v>
      </c>
      <c r="Q306" t="n">
        <v>0</v>
      </c>
      <c r="R306" s="2" t="inlineStr"/>
    </row>
    <row r="307" ht="15" customHeight="1">
      <c r="A307" t="inlineStr">
        <is>
          <t>A 10838-2023</t>
        </is>
      </c>
      <c r="B307" s="1" t="n">
        <v>44991</v>
      </c>
      <c r="C307" s="1" t="n">
        <v>45968</v>
      </c>
      <c r="D307" t="inlineStr">
        <is>
          <t>KALMAR LÄN</t>
        </is>
      </c>
      <c r="E307" t="inlineStr">
        <is>
          <t>VIMMERBY</t>
        </is>
      </c>
      <c r="G307" t="n">
        <v>5.1</v>
      </c>
      <c r="H307" t="n">
        <v>0</v>
      </c>
      <c r="I307" t="n">
        <v>0</v>
      </c>
      <c r="J307" t="n">
        <v>0</v>
      </c>
      <c r="K307" t="n">
        <v>0</v>
      </c>
      <c r="L307" t="n">
        <v>0</v>
      </c>
      <c r="M307" t="n">
        <v>0</v>
      </c>
      <c r="N307" t="n">
        <v>0</v>
      </c>
      <c r="O307" t="n">
        <v>0</v>
      </c>
      <c r="P307" t="n">
        <v>0</v>
      </c>
      <c r="Q307" t="n">
        <v>0</v>
      </c>
      <c r="R307" s="2" t="inlineStr"/>
    </row>
    <row r="308" ht="15" customHeight="1">
      <c r="A308" t="inlineStr">
        <is>
          <t>A 37323-2024</t>
        </is>
      </c>
      <c r="B308" s="1" t="n">
        <v>45540.50098379629</v>
      </c>
      <c r="C308" s="1" t="n">
        <v>45968</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57256-2023</t>
        </is>
      </c>
      <c r="B309" s="1" t="n">
        <v>45245.5735300926</v>
      </c>
      <c r="C309" s="1" t="n">
        <v>45968</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17482-2024</t>
        </is>
      </c>
      <c r="B310" s="1" t="n">
        <v>45415.47848379629</v>
      </c>
      <c r="C310" s="1" t="n">
        <v>45968</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13290-2025</t>
        </is>
      </c>
      <c r="B311" s="1" t="n">
        <v>45735.56751157407</v>
      </c>
      <c r="C311" s="1" t="n">
        <v>45968</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19162-2023</t>
        </is>
      </c>
      <c r="B312" s="1" t="n">
        <v>45048.59699074074</v>
      </c>
      <c r="C312" s="1" t="n">
        <v>45968</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9475-2023</t>
        </is>
      </c>
      <c r="B313" s="1" t="n">
        <v>44981.58834490741</v>
      </c>
      <c r="C313" s="1" t="n">
        <v>45968</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11946-2025</t>
        </is>
      </c>
      <c r="B314" s="1" t="n">
        <v>45728.54832175926</v>
      </c>
      <c r="C314" s="1" t="n">
        <v>45968</v>
      </c>
      <c r="D314" t="inlineStr">
        <is>
          <t>KALMAR LÄN</t>
        </is>
      </c>
      <c r="E314" t="inlineStr">
        <is>
          <t>VIMMERBY</t>
        </is>
      </c>
      <c r="G314" t="n">
        <v>0.4</v>
      </c>
      <c r="H314" t="n">
        <v>0</v>
      </c>
      <c r="I314" t="n">
        <v>0</v>
      </c>
      <c r="J314" t="n">
        <v>0</v>
      </c>
      <c r="K314" t="n">
        <v>0</v>
      </c>
      <c r="L314" t="n">
        <v>0</v>
      </c>
      <c r="M314" t="n">
        <v>0</v>
      </c>
      <c r="N314" t="n">
        <v>0</v>
      </c>
      <c r="O314" t="n">
        <v>0</v>
      </c>
      <c r="P314" t="n">
        <v>0</v>
      </c>
      <c r="Q314" t="n">
        <v>0</v>
      </c>
      <c r="R314" s="2" t="inlineStr"/>
    </row>
    <row r="315" ht="15" customHeight="1">
      <c r="A315" t="inlineStr">
        <is>
          <t>A 19537-2022</t>
        </is>
      </c>
      <c r="B315" s="1" t="n">
        <v>44693.62822916666</v>
      </c>
      <c r="C315" s="1" t="n">
        <v>45968</v>
      </c>
      <c r="D315" t="inlineStr">
        <is>
          <t>KALMAR LÄN</t>
        </is>
      </c>
      <c r="E315" t="inlineStr">
        <is>
          <t>VIMMERBY</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55123-2024</t>
        </is>
      </c>
      <c r="B316" s="1" t="n">
        <v>45621.46103009259</v>
      </c>
      <c r="C316" s="1" t="n">
        <v>45968</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18501-2024</t>
        </is>
      </c>
      <c r="B317" s="1" t="n">
        <v>45425.57538194444</v>
      </c>
      <c r="C317" s="1" t="n">
        <v>45968</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49313-2022</t>
        </is>
      </c>
      <c r="B318" s="1" t="n">
        <v>44861.52505787037</v>
      </c>
      <c r="C318" s="1" t="n">
        <v>45968</v>
      </c>
      <c r="D318" t="inlineStr">
        <is>
          <t>KALMAR LÄN</t>
        </is>
      </c>
      <c r="E318" t="inlineStr">
        <is>
          <t>VIMMERBY</t>
        </is>
      </c>
      <c r="G318" t="n">
        <v>1.9</v>
      </c>
      <c r="H318" t="n">
        <v>0</v>
      </c>
      <c r="I318" t="n">
        <v>0</v>
      </c>
      <c r="J318" t="n">
        <v>0</v>
      </c>
      <c r="K318" t="n">
        <v>0</v>
      </c>
      <c r="L318" t="n">
        <v>0</v>
      </c>
      <c r="M318" t="n">
        <v>0</v>
      </c>
      <c r="N318" t="n">
        <v>0</v>
      </c>
      <c r="O318" t="n">
        <v>0</v>
      </c>
      <c r="P318" t="n">
        <v>0</v>
      </c>
      <c r="Q318" t="n">
        <v>0</v>
      </c>
      <c r="R318" s="2" t="inlineStr"/>
    </row>
    <row r="319" ht="15" customHeight="1">
      <c r="A319" t="inlineStr">
        <is>
          <t>A 1987-2024</t>
        </is>
      </c>
      <c r="B319" s="1" t="n">
        <v>45308.61152777778</v>
      </c>
      <c r="C319" s="1" t="n">
        <v>45968</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21507-2023</t>
        </is>
      </c>
      <c r="B320" s="1" t="n">
        <v>45063.508125</v>
      </c>
      <c r="C320" s="1" t="n">
        <v>45968</v>
      </c>
      <c r="D320" t="inlineStr">
        <is>
          <t>KALMAR LÄN</t>
        </is>
      </c>
      <c r="E320" t="inlineStr">
        <is>
          <t>VIMMERBY</t>
        </is>
      </c>
      <c r="G320" t="n">
        <v>2.8</v>
      </c>
      <c r="H320" t="n">
        <v>0</v>
      </c>
      <c r="I320" t="n">
        <v>0</v>
      </c>
      <c r="J320" t="n">
        <v>0</v>
      </c>
      <c r="K320" t="n">
        <v>0</v>
      </c>
      <c r="L320" t="n">
        <v>0</v>
      </c>
      <c r="M320" t="n">
        <v>0</v>
      </c>
      <c r="N320" t="n">
        <v>0</v>
      </c>
      <c r="O320" t="n">
        <v>0</v>
      </c>
      <c r="P320" t="n">
        <v>0</v>
      </c>
      <c r="Q320" t="n">
        <v>0</v>
      </c>
      <c r="R320" s="2" t="inlineStr"/>
    </row>
    <row r="321" ht="15" customHeight="1">
      <c r="A321" t="inlineStr">
        <is>
          <t>A 57189-2022</t>
        </is>
      </c>
      <c r="B321" s="1" t="n">
        <v>44895.62296296296</v>
      </c>
      <c r="C321" s="1" t="n">
        <v>45968</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27758-2024</t>
        </is>
      </c>
      <c r="B322" s="1" t="n">
        <v>45475.48303240741</v>
      </c>
      <c r="C322" s="1" t="n">
        <v>45968</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13307-2025</t>
        </is>
      </c>
      <c r="B323" s="1" t="n">
        <v>45735.58024305556</v>
      </c>
      <c r="C323" s="1" t="n">
        <v>45968</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48673-2021</t>
        </is>
      </c>
      <c r="B324" s="1" t="n">
        <v>44452</v>
      </c>
      <c r="C324" s="1" t="n">
        <v>45968</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14248-2023</t>
        </is>
      </c>
      <c r="B325" s="1" t="n">
        <v>45009</v>
      </c>
      <c r="C325" s="1" t="n">
        <v>45968</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12480-2024</t>
        </is>
      </c>
      <c r="B326" s="1" t="n">
        <v>45379</v>
      </c>
      <c r="C326" s="1" t="n">
        <v>45968</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60951-2023</t>
        </is>
      </c>
      <c r="B327" s="1" t="n">
        <v>45261.44914351852</v>
      </c>
      <c r="C327" s="1" t="n">
        <v>45968</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60292-2022</t>
        </is>
      </c>
      <c r="B328" s="1" t="n">
        <v>44910.54231481482</v>
      </c>
      <c r="C328" s="1" t="n">
        <v>45968</v>
      </c>
      <c r="D328" t="inlineStr">
        <is>
          <t>KALMAR LÄN</t>
        </is>
      </c>
      <c r="E328" t="inlineStr">
        <is>
          <t>VIMMERBY</t>
        </is>
      </c>
      <c r="G328" t="n">
        <v>4.4</v>
      </c>
      <c r="H328" t="n">
        <v>0</v>
      </c>
      <c r="I328" t="n">
        <v>0</v>
      </c>
      <c r="J328" t="n">
        <v>0</v>
      </c>
      <c r="K328" t="n">
        <v>0</v>
      </c>
      <c r="L328" t="n">
        <v>0</v>
      </c>
      <c r="M328" t="n">
        <v>0</v>
      </c>
      <c r="N328" t="n">
        <v>0</v>
      </c>
      <c r="O328" t="n">
        <v>0</v>
      </c>
      <c r="P328" t="n">
        <v>0</v>
      </c>
      <c r="Q328" t="n">
        <v>0</v>
      </c>
      <c r="R328" s="2" t="inlineStr"/>
    </row>
    <row r="329" ht="15" customHeight="1">
      <c r="A329" t="inlineStr">
        <is>
          <t>A 55716-2023</t>
        </is>
      </c>
      <c r="B329" s="1" t="n">
        <v>45232</v>
      </c>
      <c r="C329" s="1" t="n">
        <v>45968</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18329-2023</t>
        </is>
      </c>
      <c r="B330" s="1" t="n">
        <v>45041.63380787037</v>
      </c>
      <c r="C330" s="1" t="n">
        <v>45968</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40095-2022</t>
        </is>
      </c>
      <c r="B331" s="1" t="n">
        <v>44820</v>
      </c>
      <c r="C331" s="1" t="n">
        <v>45968</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50085-2023</t>
        </is>
      </c>
      <c r="B332" s="1" t="n">
        <v>45215.5959375</v>
      </c>
      <c r="C332" s="1" t="n">
        <v>45968</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50087-2023</t>
        </is>
      </c>
      <c r="B333" s="1" t="n">
        <v>45215.59743055556</v>
      </c>
      <c r="C333" s="1" t="n">
        <v>45968</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8167-2024</t>
        </is>
      </c>
      <c r="B334" s="1" t="n">
        <v>45351.6062962963</v>
      </c>
      <c r="C334" s="1" t="n">
        <v>45968</v>
      </c>
      <c r="D334" t="inlineStr">
        <is>
          <t>KALMAR LÄN</t>
        </is>
      </c>
      <c r="E334" t="inlineStr">
        <is>
          <t>VIMMERBY</t>
        </is>
      </c>
      <c r="G334" t="n">
        <v>3.8</v>
      </c>
      <c r="H334" t="n">
        <v>0</v>
      </c>
      <c r="I334" t="n">
        <v>0</v>
      </c>
      <c r="J334" t="n">
        <v>0</v>
      </c>
      <c r="K334" t="n">
        <v>0</v>
      </c>
      <c r="L334" t="n">
        <v>0</v>
      </c>
      <c r="M334" t="n">
        <v>0</v>
      </c>
      <c r="N334" t="n">
        <v>0</v>
      </c>
      <c r="O334" t="n">
        <v>0</v>
      </c>
      <c r="P334" t="n">
        <v>0</v>
      </c>
      <c r="Q334" t="n">
        <v>0</v>
      </c>
      <c r="R334" s="2" t="inlineStr"/>
    </row>
    <row r="335" ht="15" customHeight="1">
      <c r="A335" t="inlineStr">
        <is>
          <t>A 13015-2023</t>
        </is>
      </c>
      <c r="B335" s="1" t="n">
        <v>45002</v>
      </c>
      <c r="C335" s="1" t="n">
        <v>45968</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2604-2025</t>
        </is>
      </c>
      <c r="B336" s="1" t="n">
        <v>45674.74094907408</v>
      </c>
      <c r="C336" s="1" t="n">
        <v>45968</v>
      </c>
      <c r="D336" t="inlineStr">
        <is>
          <t>KALMAR LÄN</t>
        </is>
      </c>
      <c r="E336" t="inlineStr">
        <is>
          <t>VIMMERBY</t>
        </is>
      </c>
      <c r="G336" t="n">
        <v>7.6</v>
      </c>
      <c r="H336" t="n">
        <v>0</v>
      </c>
      <c r="I336" t="n">
        <v>0</v>
      </c>
      <c r="J336" t="n">
        <v>0</v>
      </c>
      <c r="K336" t="n">
        <v>0</v>
      </c>
      <c r="L336" t="n">
        <v>0</v>
      </c>
      <c r="M336" t="n">
        <v>0</v>
      </c>
      <c r="N336" t="n">
        <v>0</v>
      </c>
      <c r="O336" t="n">
        <v>0</v>
      </c>
      <c r="P336" t="n">
        <v>0</v>
      </c>
      <c r="Q336" t="n">
        <v>0</v>
      </c>
      <c r="R336" s="2" t="inlineStr"/>
    </row>
    <row r="337" ht="15" customHeight="1">
      <c r="A337" t="inlineStr">
        <is>
          <t>A 29186-2024</t>
        </is>
      </c>
      <c r="B337" s="1" t="n">
        <v>45482.54844907407</v>
      </c>
      <c r="C337" s="1" t="n">
        <v>45968</v>
      </c>
      <c r="D337" t="inlineStr">
        <is>
          <t>KALMAR LÄN</t>
        </is>
      </c>
      <c r="E337" t="inlineStr">
        <is>
          <t>VIMMERBY</t>
        </is>
      </c>
      <c r="G337" t="n">
        <v>2.6</v>
      </c>
      <c r="H337" t="n">
        <v>0</v>
      </c>
      <c r="I337" t="n">
        <v>0</v>
      </c>
      <c r="J337" t="n">
        <v>0</v>
      </c>
      <c r="K337" t="n">
        <v>0</v>
      </c>
      <c r="L337" t="n">
        <v>0</v>
      </c>
      <c r="M337" t="n">
        <v>0</v>
      </c>
      <c r="N337" t="n">
        <v>0</v>
      </c>
      <c r="O337" t="n">
        <v>0</v>
      </c>
      <c r="P337" t="n">
        <v>0</v>
      </c>
      <c r="Q337" t="n">
        <v>0</v>
      </c>
      <c r="R337" s="2" t="inlineStr"/>
    </row>
    <row r="338" ht="15" customHeight="1">
      <c r="A338" t="inlineStr">
        <is>
          <t>A 50993-2022</t>
        </is>
      </c>
      <c r="B338" s="1" t="n">
        <v>44867</v>
      </c>
      <c r="C338" s="1" t="n">
        <v>45968</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28286-2025</t>
        </is>
      </c>
      <c r="B339" s="1" t="n">
        <v>45818.58993055556</v>
      </c>
      <c r="C339" s="1" t="n">
        <v>45968</v>
      </c>
      <c r="D339" t="inlineStr">
        <is>
          <t>KALMAR LÄN</t>
        </is>
      </c>
      <c r="E339" t="inlineStr">
        <is>
          <t>VIMMERBY</t>
        </is>
      </c>
      <c r="F339" t="inlineStr">
        <is>
          <t>Sveaskog</t>
        </is>
      </c>
      <c r="G339" t="n">
        <v>8</v>
      </c>
      <c r="H339" t="n">
        <v>0</v>
      </c>
      <c r="I339" t="n">
        <v>0</v>
      </c>
      <c r="J339" t="n">
        <v>0</v>
      </c>
      <c r="K339" t="n">
        <v>0</v>
      </c>
      <c r="L339" t="n">
        <v>0</v>
      </c>
      <c r="M339" t="n">
        <v>0</v>
      </c>
      <c r="N339" t="n">
        <v>0</v>
      </c>
      <c r="O339" t="n">
        <v>0</v>
      </c>
      <c r="P339" t="n">
        <v>0</v>
      </c>
      <c r="Q339" t="n">
        <v>0</v>
      </c>
      <c r="R339" s="2" t="inlineStr"/>
    </row>
    <row r="340" ht="15" customHeight="1">
      <c r="A340" t="inlineStr">
        <is>
          <t>A 28282-2025</t>
        </is>
      </c>
      <c r="B340" s="1" t="n">
        <v>45818.58769675926</v>
      </c>
      <c r="C340" s="1" t="n">
        <v>45968</v>
      </c>
      <c r="D340" t="inlineStr">
        <is>
          <t>KALMAR LÄN</t>
        </is>
      </c>
      <c r="E340" t="inlineStr">
        <is>
          <t>VIMMERBY</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28294-2025</t>
        </is>
      </c>
      <c r="B341" s="1" t="n">
        <v>45818.595625</v>
      </c>
      <c r="C341" s="1" t="n">
        <v>45968</v>
      </c>
      <c r="D341" t="inlineStr">
        <is>
          <t>KALMAR LÄN</t>
        </is>
      </c>
      <c r="E341" t="inlineStr">
        <is>
          <t>VIMMERBY</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28290-2025</t>
        </is>
      </c>
      <c r="B342" s="1" t="n">
        <v>45818.59261574074</v>
      </c>
      <c r="C342" s="1" t="n">
        <v>45968</v>
      </c>
      <c r="D342" t="inlineStr">
        <is>
          <t>KALMAR LÄN</t>
        </is>
      </c>
      <c r="E342" t="inlineStr">
        <is>
          <t>VIMMERBY</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37192-2024</t>
        </is>
      </c>
      <c r="B343" s="1" t="n">
        <v>45539.66027777778</v>
      </c>
      <c r="C343" s="1" t="n">
        <v>45968</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28280-2025</t>
        </is>
      </c>
      <c r="B344" s="1" t="n">
        <v>45818.5862037037</v>
      </c>
      <c r="C344" s="1" t="n">
        <v>45968</v>
      </c>
      <c r="D344" t="inlineStr">
        <is>
          <t>KALMAR LÄN</t>
        </is>
      </c>
      <c r="E344" t="inlineStr">
        <is>
          <t>VIMMERBY</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54787-2023</t>
        </is>
      </c>
      <c r="B345" s="1" t="n">
        <v>45236</v>
      </c>
      <c r="C345" s="1" t="n">
        <v>45968</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42429-2024</t>
        </is>
      </c>
      <c r="B346" s="1" t="n">
        <v>45565.40657407408</v>
      </c>
      <c r="C346" s="1" t="n">
        <v>45968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28620-2025</t>
        </is>
      </c>
      <c r="B347" s="1" t="n">
        <v>45819.61060185185</v>
      </c>
      <c r="C347" s="1" t="n">
        <v>45968</v>
      </c>
      <c r="D347" t="inlineStr">
        <is>
          <t>KALMAR LÄN</t>
        </is>
      </c>
      <c r="E347" t="inlineStr">
        <is>
          <t>VIMMERBY</t>
        </is>
      </c>
      <c r="G347" t="n">
        <v>5.6</v>
      </c>
      <c r="H347" t="n">
        <v>0</v>
      </c>
      <c r="I347" t="n">
        <v>0</v>
      </c>
      <c r="J347" t="n">
        <v>0</v>
      </c>
      <c r="K347" t="n">
        <v>0</v>
      </c>
      <c r="L347" t="n">
        <v>0</v>
      </c>
      <c r="M347" t="n">
        <v>0</v>
      </c>
      <c r="N347" t="n">
        <v>0</v>
      </c>
      <c r="O347" t="n">
        <v>0</v>
      </c>
      <c r="P347" t="n">
        <v>0</v>
      </c>
      <c r="Q347" t="n">
        <v>0</v>
      </c>
      <c r="R347" s="2" t="inlineStr"/>
    </row>
    <row r="348" ht="15" customHeight="1">
      <c r="A348" t="inlineStr">
        <is>
          <t>A 32614-2023</t>
        </is>
      </c>
      <c r="B348" s="1" t="n">
        <v>45121</v>
      </c>
      <c r="C348" s="1" t="n">
        <v>45968</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7485-2024</t>
        </is>
      </c>
      <c r="B349" s="1" t="n">
        <v>45346.67184027778</v>
      </c>
      <c r="C349" s="1" t="n">
        <v>45968</v>
      </c>
      <c r="D349" t="inlineStr">
        <is>
          <t>KALMAR LÄN</t>
        </is>
      </c>
      <c r="E349" t="inlineStr">
        <is>
          <t>VIMMERBY</t>
        </is>
      </c>
      <c r="G349" t="n">
        <v>1.9</v>
      </c>
      <c r="H349" t="n">
        <v>0</v>
      </c>
      <c r="I349" t="n">
        <v>0</v>
      </c>
      <c r="J349" t="n">
        <v>0</v>
      </c>
      <c r="K349" t="n">
        <v>0</v>
      </c>
      <c r="L349" t="n">
        <v>0</v>
      </c>
      <c r="M349" t="n">
        <v>0</v>
      </c>
      <c r="N349" t="n">
        <v>0</v>
      </c>
      <c r="O349" t="n">
        <v>0</v>
      </c>
      <c r="P349" t="n">
        <v>0</v>
      </c>
      <c r="Q349" t="n">
        <v>0</v>
      </c>
      <c r="R349" s="2" t="inlineStr"/>
    </row>
    <row r="350" ht="15" customHeight="1">
      <c r="A350" t="inlineStr">
        <is>
          <t>A 29180-2024</t>
        </is>
      </c>
      <c r="B350" s="1" t="n">
        <v>45482.54108796296</v>
      </c>
      <c r="C350" s="1" t="n">
        <v>45968</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6850-2023</t>
        </is>
      </c>
      <c r="B351" s="1" t="n">
        <v>44967.44255787037</v>
      </c>
      <c r="C351" s="1" t="n">
        <v>45968</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58750-2022</t>
        </is>
      </c>
      <c r="B352" s="1" t="n">
        <v>44903.33363425926</v>
      </c>
      <c r="C352" s="1" t="n">
        <v>45968</v>
      </c>
      <c r="D352" t="inlineStr">
        <is>
          <t>KALMAR LÄN</t>
        </is>
      </c>
      <c r="E352" t="inlineStr">
        <is>
          <t>VIMMERBY</t>
        </is>
      </c>
      <c r="G352" t="n">
        <v>3.3</v>
      </c>
      <c r="H352" t="n">
        <v>0</v>
      </c>
      <c r="I352" t="n">
        <v>0</v>
      </c>
      <c r="J352" t="n">
        <v>0</v>
      </c>
      <c r="K352" t="n">
        <v>0</v>
      </c>
      <c r="L352" t="n">
        <v>0</v>
      </c>
      <c r="M352" t="n">
        <v>0</v>
      </c>
      <c r="N352" t="n">
        <v>0</v>
      </c>
      <c r="O352" t="n">
        <v>0</v>
      </c>
      <c r="P352" t="n">
        <v>0</v>
      </c>
      <c r="Q352" t="n">
        <v>0</v>
      </c>
      <c r="R352" s="2" t="inlineStr"/>
    </row>
    <row r="353" ht="15" customHeight="1">
      <c r="A353" t="inlineStr">
        <is>
          <t>A 41158-2023</t>
        </is>
      </c>
      <c r="B353" s="1" t="n">
        <v>45174.31395833333</v>
      </c>
      <c r="C353" s="1" t="n">
        <v>45968</v>
      </c>
      <c r="D353" t="inlineStr">
        <is>
          <t>KALMAR LÄN</t>
        </is>
      </c>
      <c r="E353" t="inlineStr">
        <is>
          <t>VIMMERBY</t>
        </is>
      </c>
      <c r="G353" t="n">
        <v>1.4</v>
      </c>
      <c r="H353" t="n">
        <v>0</v>
      </c>
      <c r="I353" t="n">
        <v>0</v>
      </c>
      <c r="J353" t="n">
        <v>0</v>
      </c>
      <c r="K353" t="n">
        <v>0</v>
      </c>
      <c r="L353" t="n">
        <v>0</v>
      </c>
      <c r="M353" t="n">
        <v>0</v>
      </c>
      <c r="N353" t="n">
        <v>0</v>
      </c>
      <c r="O353" t="n">
        <v>0</v>
      </c>
      <c r="P353" t="n">
        <v>0</v>
      </c>
      <c r="Q353" t="n">
        <v>0</v>
      </c>
      <c r="R353" s="2" t="inlineStr"/>
    </row>
    <row r="354" ht="15" customHeight="1">
      <c r="A354" t="inlineStr">
        <is>
          <t>A 2510-2023</t>
        </is>
      </c>
      <c r="B354" s="1" t="n">
        <v>44943.57309027778</v>
      </c>
      <c r="C354" s="1" t="n">
        <v>45968</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45846-2023</t>
        </is>
      </c>
      <c r="B355" s="1" t="n">
        <v>45195.58452546296</v>
      </c>
      <c r="C355" s="1" t="n">
        <v>45968</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28712-2025</t>
        </is>
      </c>
      <c r="B356" s="1" t="n">
        <v>45820.33708333333</v>
      </c>
      <c r="C356" s="1" t="n">
        <v>45968</v>
      </c>
      <c r="D356" t="inlineStr">
        <is>
          <t>KALMAR LÄN</t>
        </is>
      </c>
      <c r="E356" t="inlineStr">
        <is>
          <t>VIMMERBY</t>
        </is>
      </c>
      <c r="G356" t="n">
        <v>1.4</v>
      </c>
      <c r="H356" t="n">
        <v>0</v>
      </c>
      <c r="I356" t="n">
        <v>0</v>
      </c>
      <c r="J356" t="n">
        <v>0</v>
      </c>
      <c r="K356" t="n">
        <v>0</v>
      </c>
      <c r="L356" t="n">
        <v>0</v>
      </c>
      <c r="M356" t="n">
        <v>0</v>
      </c>
      <c r="N356" t="n">
        <v>0</v>
      </c>
      <c r="O356" t="n">
        <v>0</v>
      </c>
      <c r="P356" t="n">
        <v>0</v>
      </c>
      <c r="Q356" t="n">
        <v>0</v>
      </c>
      <c r="R356" s="2" t="inlineStr"/>
    </row>
    <row r="357" ht="15" customHeight="1">
      <c r="A357" t="inlineStr">
        <is>
          <t>A 28714-2025</t>
        </is>
      </c>
      <c r="B357" s="1" t="n">
        <v>45820.34128472222</v>
      </c>
      <c r="C357" s="1" t="n">
        <v>45968</v>
      </c>
      <c r="D357" t="inlineStr">
        <is>
          <t>KALMAR LÄN</t>
        </is>
      </c>
      <c r="E357" t="inlineStr">
        <is>
          <t>VIMMERBY</t>
        </is>
      </c>
      <c r="G357" t="n">
        <v>1.8</v>
      </c>
      <c r="H357" t="n">
        <v>0</v>
      </c>
      <c r="I357" t="n">
        <v>0</v>
      </c>
      <c r="J357" t="n">
        <v>0</v>
      </c>
      <c r="K357" t="n">
        <v>0</v>
      </c>
      <c r="L357" t="n">
        <v>0</v>
      </c>
      <c r="M357" t="n">
        <v>0</v>
      </c>
      <c r="N357" t="n">
        <v>0</v>
      </c>
      <c r="O357" t="n">
        <v>0</v>
      </c>
      <c r="P357" t="n">
        <v>0</v>
      </c>
      <c r="Q357" t="n">
        <v>0</v>
      </c>
      <c r="R357" s="2" t="inlineStr"/>
    </row>
    <row r="358" ht="15" customHeight="1">
      <c r="A358" t="inlineStr">
        <is>
          <t>A 16020-2023</t>
        </is>
      </c>
      <c r="B358" s="1" t="n">
        <v>45026.82216435186</v>
      </c>
      <c r="C358" s="1" t="n">
        <v>45968</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28713-2025</t>
        </is>
      </c>
      <c r="B359" s="1" t="n">
        <v>45820.33930555556</v>
      </c>
      <c r="C359" s="1" t="n">
        <v>45968</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61820-2023</t>
        </is>
      </c>
      <c r="B360" s="1" t="n">
        <v>45266.32614583334</v>
      </c>
      <c r="C360" s="1" t="n">
        <v>45968</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3269-2024</t>
        </is>
      </c>
      <c r="B361" s="1" t="n">
        <v>45317.40372685185</v>
      </c>
      <c r="C361" s="1" t="n">
        <v>45968</v>
      </c>
      <c r="D361" t="inlineStr">
        <is>
          <t>KALMAR LÄN</t>
        </is>
      </c>
      <c r="E361" t="inlineStr">
        <is>
          <t>VIMMERBY</t>
        </is>
      </c>
      <c r="F361" t="inlineStr">
        <is>
          <t>Övriga Aktiebolag</t>
        </is>
      </c>
      <c r="G361" t="n">
        <v>1.7</v>
      </c>
      <c r="H361" t="n">
        <v>0</v>
      </c>
      <c r="I361" t="n">
        <v>0</v>
      </c>
      <c r="J361" t="n">
        <v>0</v>
      </c>
      <c r="K361" t="n">
        <v>0</v>
      </c>
      <c r="L361" t="n">
        <v>0</v>
      </c>
      <c r="M361" t="n">
        <v>0</v>
      </c>
      <c r="N361" t="n">
        <v>0</v>
      </c>
      <c r="O361" t="n">
        <v>0</v>
      </c>
      <c r="P361" t="n">
        <v>0</v>
      </c>
      <c r="Q361" t="n">
        <v>0</v>
      </c>
      <c r="R361" s="2" t="inlineStr"/>
    </row>
    <row r="362" ht="15" customHeight="1">
      <c r="A362" t="inlineStr">
        <is>
          <t>A 48120-2022</t>
        </is>
      </c>
      <c r="B362" s="1" t="n">
        <v>44857.65989583333</v>
      </c>
      <c r="C362" s="1" t="n">
        <v>45968</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6368-2023</t>
        </is>
      </c>
      <c r="B363" s="1" t="n">
        <v>44965</v>
      </c>
      <c r="C363" s="1" t="n">
        <v>45968</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9416-2024</t>
        </is>
      </c>
      <c r="B364" s="1" t="n">
        <v>45359.44837962963</v>
      </c>
      <c r="C364" s="1" t="n">
        <v>45968</v>
      </c>
      <c r="D364" t="inlineStr">
        <is>
          <t>KALMAR LÄN</t>
        </is>
      </c>
      <c r="E364" t="inlineStr">
        <is>
          <t>VIMMERBY</t>
        </is>
      </c>
      <c r="G364" t="n">
        <v>3.2</v>
      </c>
      <c r="H364" t="n">
        <v>0</v>
      </c>
      <c r="I364" t="n">
        <v>0</v>
      </c>
      <c r="J364" t="n">
        <v>0</v>
      </c>
      <c r="K364" t="n">
        <v>0</v>
      </c>
      <c r="L364" t="n">
        <v>0</v>
      </c>
      <c r="M364" t="n">
        <v>0</v>
      </c>
      <c r="N364" t="n">
        <v>0</v>
      </c>
      <c r="O364" t="n">
        <v>0</v>
      </c>
      <c r="P364" t="n">
        <v>0</v>
      </c>
      <c r="Q364" t="n">
        <v>0</v>
      </c>
      <c r="R364" s="2" t="inlineStr"/>
    </row>
    <row r="365" ht="15" customHeight="1">
      <c r="A365" t="inlineStr">
        <is>
          <t>A 29737-2025</t>
        </is>
      </c>
      <c r="B365" s="1" t="n">
        <v>45825.58672453704</v>
      </c>
      <c r="C365" s="1" t="n">
        <v>45968</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12590-2025</t>
        </is>
      </c>
      <c r="B366" s="1" t="n">
        <v>45732.79925925926</v>
      </c>
      <c r="C366" s="1" t="n">
        <v>45968</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35710-2023</t>
        </is>
      </c>
      <c r="B367" s="1" t="n">
        <v>45147.67096064815</v>
      </c>
      <c r="C367" s="1" t="n">
        <v>45968</v>
      </c>
      <c r="D367" t="inlineStr">
        <is>
          <t>KALMAR LÄN</t>
        </is>
      </c>
      <c r="E367" t="inlineStr">
        <is>
          <t>VIMMERBY</t>
        </is>
      </c>
      <c r="G367" t="n">
        <v>3.1</v>
      </c>
      <c r="H367" t="n">
        <v>0</v>
      </c>
      <c r="I367" t="n">
        <v>0</v>
      </c>
      <c r="J367" t="n">
        <v>0</v>
      </c>
      <c r="K367" t="n">
        <v>0</v>
      </c>
      <c r="L367" t="n">
        <v>0</v>
      </c>
      <c r="M367" t="n">
        <v>0</v>
      </c>
      <c r="N367" t="n">
        <v>0</v>
      </c>
      <c r="O367" t="n">
        <v>0</v>
      </c>
      <c r="P367" t="n">
        <v>0</v>
      </c>
      <c r="Q367" t="n">
        <v>0</v>
      </c>
      <c r="R367" s="2" t="inlineStr"/>
    </row>
    <row r="368" ht="15" customHeight="1">
      <c r="A368" t="inlineStr">
        <is>
          <t>A 29727-2025</t>
        </is>
      </c>
      <c r="B368" s="1" t="n">
        <v>45825.5796875</v>
      </c>
      <c r="C368" s="1" t="n">
        <v>45968</v>
      </c>
      <c r="D368" t="inlineStr">
        <is>
          <t>KALMAR LÄN</t>
        </is>
      </c>
      <c r="E368" t="inlineStr">
        <is>
          <t>VIMMERBY</t>
        </is>
      </c>
      <c r="G368" t="n">
        <v>1.3</v>
      </c>
      <c r="H368" t="n">
        <v>0</v>
      </c>
      <c r="I368" t="n">
        <v>0</v>
      </c>
      <c r="J368" t="n">
        <v>0</v>
      </c>
      <c r="K368" t="n">
        <v>0</v>
      </c>
      <c r="L368" t="n">
        <v>0</v>
      </c>
      <c r="M368" t="n">
        <v>0</v>
      </c>
      <c r="N368" t="n">
        <v>0</v>
      </c>
      <c r="O368" t="n">
        <v>0</v>
      </c>
      <c r="P368" t="n">
        <v>0</v>
      </c>
      <c r="Q368" t="n">
        <v>0</v>
      </c>
      <c r="R368" s="2" t="inlineStr"/>
    </row>
    <row r="369" ht="15" customHeight="1">
      <c r="A369" t="inlineStr">
        <is>
          <t>A 2797-2023</t>
        </is>
      </c>
      <c r="B369" s="1" t="n">
        <v>44944.71386574074</v>
      </c>
      <c r="C369" s="1" t="n">
        <v>45968</v>
      </c>
      <c r="D369" t="inlineStr">
        <is>
          <t>KALMAR LÄN</t>
        </is>
      </c>
      <c r="E369" t="inlineStr">
        <is>
          <t>VIMMERBY</t>
        </is>
      </c>
      <c r="G369" t="n">
        <v>3.4</v>
      </c>
      <c r="H369" t="n">
        <v>0</v>
      </c>
      <c r="I369" t="n">
        <v>0</v>
      </c>
      <c r="J369" t="n">
        <v>0</v>
      </c>
      <c r="K369" t="n">
        <v>0</v>
      </c>
      <c r="L369" t="n">
        <v>0</v>
      </c>
      <c r="M369" t="n">
        <v>0</v>
      </c>
      <c r="N369" t="n">
        <v>0</v>
      </c>
      <c r="O369" t="n">
        <v>0</v>
      </c>
      <c r="P369" t="n">
        <v>0</v>
      </c>
      <c r="Q369" t="n">
        <v>0</v>
      </c>
      <c r="R369" s="2" t="inlineStr"/>
    </row>
    <row r="370" ht="15" customHeight="1">
      <c r="A370" t="inlineStr">
        <is>
          <t>A 2799-2023</t>
        </is>
      </c>
      <c r="B370" s="1" t="n">
        <v>44944.72100694444</v>
      </c>
      <c r="C370" s="1" t="n">
        <v>45968</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25987-2024</t>
        </is>
      </c>
      <c r="B371" s="1" t="n">
        <v>45467.74417824074</v>
      </c>
      <c r="C371" s="1" t="n">
        <v>45968</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45560-2021</t>
        </is>
      </c>
      <c r="B372" s="1" t="n">
        <v>44440</v>
      </c>
      <c r="C372" s="1" t="n">
        <v>45968</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52823-2024</t>
        </is>
      </c>
      <c r="B373" s="1" t="n">
        <v>45610.59094907407</v>
      </c>
      <c r="C373" s="1" t="n">
        <v>45968</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22194-2024</t>
        </is>
      </c>
      <c r="B374" s="1" t="n">
        <v>45446.36482638889</v>
      </c>
      <c r="C374" s="1" t="n">
        <v>45968</v>
      </c>
      <c r="D374" t="inlineStr">
        <is>
          <t>KALMAR LÄN</t>
        </is>
      </c>
      <c r="E374" t="inlineStr">
        <is>
          <t>VIMMERBY</t>
        </is>
      </c>
      <c r="F374" t="inlineStr">
        <is>
          <t>Sveaskog</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19865-2021</t>
        </is>
      </c>
      <c r="B375" s="1" t="n">
        <v>44312</v>
      </c>
      <c r="C375" s="1" t="n">
        <v>45968</v>
      </c>
      <c r="D375" t="inlineStr">
        <is>
          <t>KALMAR LÄN</t>
        </is>
      </c>
      <c r="E375" t="inlineStr">
        <is>
          <t>VIMMERBY</t>
        </is>
      </c>
      <c r="G375" t="n">
        <v>8.6</v>
      </c>
      <c r="H375" t="n">
        <v>0</v>
      </c>
      <c r="I375" t="n">
        <v>0</v>
      </c>
      <c r="J375" t="n">
        <v>0</v>
      </c>
      <c r="K375" t="n">
        <v>0</v>
      </c>
      <c r="L375" t="n">
        <v>0</v>
      </c>
      <c r="M375" t="n">
        <v>0</v>
      </c>
      <c r="N375" t="n">
        <v>0</v>
      </c>
      <c r="O375" t="n">
        <v>0</v>
      </c>
      <c r="P375" t="n">
        <v>0</v>
      </c>
      <c r="Q375" t="n">
        <v>0</v>
      </c>
      <c r="R375" s="2" t="inlineStr"/>
    </row>
    <row r="376" ht="15" customHeight="1">
      <c r="A376" t="inlineStr">
        <is>
          <t>A 40256-2024</t>
        </is>
      </c>
      <c r="B376" s="1" t="n">
        <v>45554.62944444444</v>
      </c>
      <c r="C376" s="1" t="n">
        <v>45968</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58104-2024</t>
        </is>
      </c>
      <c r="B377" s="1" t="n">
        <v>45632.37459490741</v>
      </c>
      <c r="C377" s="1" t="n">
        <v>45968</v>
      </c>
      <c r="D377" t="inlineStr">
        <is>
          <t>KALMAR LÄN</t>
        </is>
      </c>
      <c r="E377" t="inlineStr">
        <is>
          <t>VIMMERBY</t>
        </is>
      </c>
      <c r="G377" t="n">
        <v>5</v>
      </c>
      <c r="H377" t="n">
        <v>0</v>
      </c>
      <c r="I377" t="n">
        <v>0</v>
      </c>
      <c r="J377" t="n">
        <v>0</v>
      </c>
      <c r="K377" t="n">
        <v>0</v>
      </c>
      <c r="L377" t="n">
        <v>0</v>
      </c>
      <c r="M377" t="n">
        <v>0</v>
      </c>
      <c r="N377" t="n">
        <v>0</v>
      </c>
      <c r="O377" t="n">
        <v>0</v>
      </c>
      <c r="P377" t="n">
        <v>0</v>
      </c>
      <c r="Q377" t="n">
        <v>0</v>
      </c>
      <c r="R377" s="2" t="inlineStr"/>
    </row>
    <row r="378" ht="15" customHeight="1">
      <c r="A378" t="inlineStr">
        <is>
          <t>A 12630-2023</t>
        </is>
      </c>
      <c r="B378" s="1" t="n">
        <v>45000.47998842593</v>
      </c>
      <c r="C378" s="1" t="n">
        <v>45968</v>
      </c>
      <c r="D378" t="inlineStr">
        <is>
          <t>KALMAR LÄN</t>
        </is>
      </c>
      <c r="E378" t="inlineStr">
        <is>
          <t>VIMMERBY</t>
        </is>
      </c>
      <c r="G378" t="n">
        <v>2.1</v>
      </c>
      <c r="H378" t="n">
        <v>0</v>
      </c>
      <c r="I378" t="n">
        <v>0</v>
      </c>
      <c r="J378" t="n">
        <v>0</v>
      </c>
      <c r="K378" t="n">
        <v>0</v>
      </c>
      <c r="L378" t="n">
        <v>0</v>
      </c>
      <c r="M378" t="n">
        <v>0</v>
      </c>
      <c r="N378" t="n">
        <v>0</v>
      </c>
      <c r="O378" t="n">
        <v>0</v>
      </c>
      <c r="P378" t="n">
        <v>0</v>
      </c>
      <c r="Q378" t="n">
        <v>0</v>
      </c>
      <c r="R378" s="2" t="inlineStr"/>
    </row>
    <row r="379" ht="15" customHeight="1">
      <c r="A379" t="inlineStr">
        <is>
          <t>A 30293-2025</t>
        </is>
      </c>
      <c r="B379" s="1" t="n">
        <v>45827</v>
      </c>
      <c r="C379" s="1" t="n">
        <v>45968</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36259-2022</t>
        </is>
      </c>
      <c r="B380" s="1" t="n">
        <v>44803.59118055556</v>
      </c>
      <c r="C380" s="1" t="n">
        <v>45968</v>
      </c>
      <c r="D380" t="inlineStr">
        <is>
          <t>KALMAR LÄN</t>
        </is>
      </c>
      <c r="E380" t="inlineStr">
        <is>
          <t>VIMMERBY</t>
        </is>
      </c>
      <c r="G380" t="n">
        <v>3.9</v>
      </c>
      <c r="H380" t="n">
        <v>0</v>
      </c>
      <c r="I380" t="n">
        <v>0</v>
      </c>
      <c r="J380" t="n">
        <v>0</v>
      </c>
      <c r="K380" t="n">
        <v>0</v>
      </c>
      <c r="L380" t="n">
        <v>0</v>
      </c>
      <c r="M380" t="n">
        <v>0</v>
      </c>
      <c r="N380" t="n">
        <v>0</v>
      </c>
      <c r="O380" t="n">
        <v>0</v>
      </c>
      <c r="P380" t="n">
        <v>0</v>
      </c>
      <c r="Q380" t="n">
        <v>0</v>
      </c>
      <c r="R380" s="2" t="inlineStr"/>
    </row>
    <row r="381" ht="15" customHeight="1">
      <c r="A381" t="inlineStr">
        <is>
          <t>A 43034-2024</t>
        </is>
      </c>
      <c r="B381" s="1" t="n">
        <v>45567.42011574074</v>
      </c>
      <c r="C381" s="1" t="n">
        <v>45968</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30290-2025</t>
        </is>
      </c>
      <c r="B382" s="1" t="n">
        <v>45827</v>
      </c>
      <c r="C382" s="1" t="n">
        <v>45968</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21109-2024</t>
        </is>
      </c>
      <c r="B383" s="1" t="n">
        <v>45440.28329861111</v>
      </c>
      <c r="C383" s="1" t="n">
        <v>45968</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30634-2024</t>
        </is>
      </c>
      <c r="B384" s="1" t="n">
        <v>45495</v>
      </c>
      <c r="C384" s="1" t="n">
        <v>45968</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40260-2024</t>
        </is>
      </c>
      <c r="B385" s="1" t="n">
        <v>45554.63225694445</v>
      </c>
      <c r="C385" s="1" t="n">
        <v>45968</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3902-2022</t>
        </is>
      </c>
      <c r="B386" s="1" t="n">
        <v>44587.48847222222</v>
      </c>
      <c r="C386" s="1" t="n">
        <v>45968</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30070-2023</t>
        </is>
      </c>
      <c r="B387" s="1" t="n">
        <v>45110.4275</v>
      </c>
      <c r="C387" s="1" t="n">
        <v>45968</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59943-2023</t>
        </is>
      </c>
      <c r="B388" s="1" t="n">
        <v>45257.67958333333</v>
      </c>
      <c r="C388" s="1" t="n">
        <v>45968</v>
      </c>
      <c r="D388" t="inlineStr">
        <is>
          <t>KALMAR LÄN</t>
        </is>
      </c>
      <c r="E388" t="inlineStr">
        <is>
          <t>VIMMERBY</t>
        </is>
      </c>
      <c r="G388" t="n">
        <v>6.4</v>
      </c>
      <c r="H388" t="n">
        <v>0</v>
      </c>
      <c r="I388" t="n">
        <v>0</v>
      </c>
      <c r="J388" t="n">
        <v>0</v>
      </c>
      <c r="K388" t="n">
        <v>0</v>
      </c>
      <c r="L388" t="n">
        <v>0</v>
      </c>
      <c r="M388" t="n">
        <v>0</v>
      </c>
      <c r="N388" t="n">
        <v>0</v>
      </c>
      <c r="O388" t="n">
        <v>0</v>
      </c>
      <c r="P388" t="n">
        <v>0</v>
      </c>
      <c r="Q388" t="n">
        <v>0</v>
      </c>
      <c r="R388" s="2" t="inlineStr"/>
    </row>
    <row r="389" ht="15" customHeight="1">
      <c r="A389" t="inlineStr">
        <is>
          <t>A 5527-2022</t>
        </is>
      </c>
      <c r="B389" s="1" t="n">
        <v>44595.583125</v>
      </c>
      <c r="C389" s="1" t="n">
        <v>45968</v>
      </c>
      <c r="D389" t="inlineStr">
        <is>
          <t>KALMAR LÄN</t>
        </is>
      </c>
      <c r="E389" t="inlineStr">
        <is>
          <t>VIMMERBY</t>
        </is>
      </c>
      <c r="G389" t="n">
        <v>3.6</v>
      </c>
      <c r="H389" t="n">
        <v>0</v>
      </c>
      <c r="I389" t="n">
        <v>0</v>
      </c>
      <c r="J389" t="n">
        <v>0</v>
      </c>
      <c r="K389" t="n">
        <v>0</v>
      </c>
      <c r="L389" t="n">
        <v>0</v>
      </c>
      <c r="M389" t="n">
        <v>0</v>
      </c>
      <c r="N389" t="n">
        <v>0</v>
      </c>
      <c r="O389" t="n">
        <v>0</v>
      </c>
      <c r="P389" t="n">
        <v>0</v>
      </c>
      <c r="Q389" t="n">
        <v>0</v>
      </c>
      <c r="R389" s="2" t="inlineStr"/>
    </row>
    <row r="390" ht="15" customHeight="1">
      <c r="A390" t="inlineStr">
        <is>
          <t>A 30850-2025</t>
        </is>
      </c>
      <c r="B390" s="1" t="n">
        <v>45831</v>
      </c>
      <c r="C390" s="1" t="n">
        <v>45968</v>
      </c>
      <c r="D390" t="inlineStr">
        <is>
          <t>KALMAR LÄN</t>
        </is>
      </c>
      <c r="E390" t="inlineStr">
        <is>
          <t>VIMMERBY</t>
        </is>
      </c>
      <c r="G390" t="n">
        <v>2.7</v>
      </c>
      <c r="H390" t="n">
        <v>0</v>
      </c>
      <c r="I390" t="n">
        <v>0</v>
      </c>
      <c r="J390" t="n">
        <v>0</v>
      </c>
      <c r="K390" t="n">
        <v>0</v>
      </c>
      <c r="L390" t="n">
        <v>0</v>
      </c>
      <c r="M390" t="n">
        <v>0</v>
      </c>
      <c r="N390" t="n">
        <v>0</v>
      </c>
      <c r="O390" t="n">
        <v>0</v>
      </c>
      <c r="P390" t="n">
        <v>0</v>
      </c>
      <c r="Q390" t="n">
        <v>0</v>
      </c>
      <c r="R390" s="2" t="inlineStr"/>
    </row>
    <row r="391" ht="15" customHeight="1">
      <c r="A391" t="inlineStr">
        <is>
          <t>A 12325-2023</t>
        </is>
      </c>
      <c r="B391" s="1" t="n">
        <v>44999.35858796296</v>
      </c>
      <c r="C391" s="1" t="n">
        <v>45968</v>
      </c>
      <c r="D391" t="inlineStr">
        <is>
          <t>KALMAR LÄN</t>
        </is>
      </c>
      <c r="E391" t="inlineStr">
        <is>
          <t>VIMMERBY</t>
        </is>
      </c>
      <c r="G391" t="n">
        <v>3.4</v>
      </c>
      <c r="H391" t="n">
        <v>0</v>
      </c>
      <c r="I391" t="n">
        <v>0</v>
      </c>
      <c r="J391" t="n">
        <v>0</v>
      </c>
      <c r="K391" t="n">
        <v>0</v>
      </c>
      <c r="L391" t="n">
        <v>0</v>
      </c>
      <c r="M391" t="n">
        <v>0</v>
      </c>
      <c r="N391" t="n">
        <v>0</v>
      </c>
      <c r="O391" t="n">
        <v>0</v>
      </c>
      <c r="P391" t="n">
        <v>0</v>
      </c>
      <c r="Q391" t="n">
        <v>0</v>
      </c>
      <c r="R391" s="2" t="inlineStr"/>
    </row>
    <row r="392" ht="15" customHeight="1">
      <c r="A392" t="inlineStr">
        <is>
          <t>A 31209-2024</t>
        </is>
      </c>
      <c r="B392" s="1" t="n">
        <v>45503.5658912037</v>
      </c>
      <c r="C392" s="1" t="n">
        <v>45968</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1016-2024</t>
        </is>
      </c>
      <c r="B393" s="1" t="n">
        <v>45301</v>
      </c>
      <c r="C393" s="1" t="n">
        <v>45968</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4527-2023</t>
        </is>
      </c>
      <c r="B394" s="1" t="n">
        <v>44956</v>
      </c>
      <c r="C394" s="1" t="n">
        <v>45968</v>
      </c>
      <c r="D394" t="inlineStr">
        <is>
          <t>KALMAR LÄN</t>
        </is>
      </c>
      <c r="E394" t="inlineStr">
        <is>
          <t>VIMMERBY</t>
        </is>
      </c>
      <c r="F394" t="inlineStr">
        <is>
          <t>Kommuner</t>
        </is>
      </c>
      <c r="G394" t="n">
        <v>8.5</v>
      </c>
      <c r="H394" t="n">
        <v>0</v>
      </c>
      <c r="I394" t="n">
        <v>0</v>
      </c>
      <c r="J394" t="n">
        <v>0</v>
      </c>
      <c r="K394" t="n">
        <v>0</v>
      </c>
      <c r="L394" t="n">
        <v>0</v>
      </c>
      <c r="M394" t="n">
        <v>0</v>
      </c>
      <c r="N394" t="n">
        <v>0</v>
      </c>
      <c r="O394" t="n">
        <v>0</v>
      </c>
      <c r="P394" t="n">
        <v>0</v>
      </c>
      <c r="Q394" t="n">
        <v>0</v>
      </c>
      <c r="R394" s="2" t="inlineStr"/>
    </row>
    <row r="395" ht="15" customHeight="1">
      <c r="A395" t="inlineStr">
        <is>
          <t>A 12586-2021</t>
        </is>
      </c>
      <c r="B395" s="1" t="n">
        <v>44270.38002314815</v>
      </c>
      <c r="C395" s="1" t="n">
        <v>45968</v>
      </c>
      <c r="D395" t="inlineStr">
        <is>
          <t>KALMAR LÄN</t>
        </is>
      </c>
      <c r="E395" t="inlineStr">
        <is>
          <t>VIMMERBY</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5864-2022</t>
        </is>
      </c>
      <c r="B396" s="1" t="n">
        <v>44596</v>
      </c>
      <c r="C396" s="1" t="n">
        <v>45968</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31552-2025</t>
        </is>
      </c>
      <c r="B397" s="1" t="n">
        <v>45833.64563657407</v>
      </c>
      <c r="C397" s="1" t="n">
        <v>45968</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31555-2025</t>
        </is>
      </c>
      <c r="B398" s="1" t="n">
        <v>45833.64814814815</v>
      </c>
      <c r="C398" s="1" t="n">
        <v>45968</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33681-2022</t>
        </is>
      </c>
      <c r="B399" s="1" t="n">
        <v>44789</v>
      </c>
      <c r="C399" s="1" t="n">
        <v>45968</v>
      </c>
      <c r="D399" t="inlineStr">
        <is>
          <t>KALMAR LÄN</t>
        </is>
      </c>
      <c r="E399" t="inlineStr">
        <is>
          <t>VIMMERBY</t>
        </is>
      </c>
      <c r="G399" t="n">
        <v>3.2</v>
      </c>
      <c r="H399" t="n">
        <v>0</v>
      </c>
      <c r="I399" t="n">
        <v>0</v>
      </c>
      <c r="J399" t="n">
        <v>0</v>
      </c>
      <c r="K399" t="n">
        <v>0</v>
      </c>
      <c r="L399" t="n">
        <v>0</v>
      </c>
      <c r="M399" t="n">
        <v>0</v>
      </c>
      <c r="N399" t="n">
        <v>0</v>
      </c>
      <c r="O399" t="n">
        <v>0</v>
      </c>
      <c r="P399" t="n">
        <v>0</v>
      </c>
      <c r="Q399" t="n">
        <v>0</v>
      </c>
      <c r="R399" s="2" t="inlineStr"/>
    </row>
    <row r="400" ht="15" customHeight="1">
      <c r="A400" t="inlineStr">
        <is>
          <t>A 30971-2025</t>
        </is>
      </c>
      <c r="B400" s="1" t="n">
        <v>45832.46146990741</v>
      </c>
      <c r="C400" s="1" t="n">
        <v>45968</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31551-2025</t>
        </is>
      </c>
      <c r="B401" s="1" t="n">
        <v>45833.64237268519</v>
      </c>
      <c r="C401" s="1" t="n">
        <v>45968</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30912-2023</t>
        </is>
      </c>
      <c r="B402" s="1" t="n">
        <v>45113.41633101852</v>
      </c>
      <c r="C402" s="1" t="n">
        <v>45968</v>
      </c>
      <c r="D402" t="inlineStr">
        <is>
          <t>KALMAR LÄN</t>
        </is>
      </c>
      <c r="E402" t="inlineStr">
        <is>
          <t>VIMMERBY</t>
        </is>
      </c>
      <c r="G402" t="n">
        <v>5</v>
      </c>
      <c r="H402" t="n">
        <v>0</v>
      </c>
      <c r="I402" t="n">
        <v>0</v>
      </c>
      <c r="J402" t="n">
        <v>0</v>
      </c>
      <c r="K402" t="n">
        <v>0</v>
      </c>
      <c r="L402" t="n">
        <v>0</v>
      </c>
      <c r="M402" t="n">
        <v>0</v>
      </c>
      <c r="N402" t="n">
        <v>0</v>
      </c>
      <c r="O402" t="n">
        <v>0</v>
      </c>
      <c r="P402" t="n">
        <v>0</v>
      </c>
      <c r="Q402" t="n">
        <v>0</v>
      </c>
      <c r="R402" s="2" t="inlineStr"/>
    </row>
    <row r="403" ht="15" customHeight="1">
      <c r="A403" t="inlineStr">
        <is>
          <t>A 30882-2025</t>
        </is>
      </c>
      <c r="B403" s="1" t="n">
        <v>45832.34540509259</v>
      </c>
      <c r="C403" s="1" t="n">
        <v>45968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1146-2025</t>
        </is>
      </c>
      <c r="B404" s="1" t="n">
        <v>45666</v>
      </c>
      <c r="C404" s="1" t="n">
        <v>45968</v>
      </c>
      <c r="D404" t="inlineStr">
        <is>
          <t>KALMAR LÄN</t>
        </is>
      </c>
      <c r="E404" t="inlineStr">
        <is>
          <t>VIMMERBY</t>
        </is>
      </c>
      <c r="G404" t="n">
        <v>4</v>
      </c>
      <c r="H404" t="n">
        <v>0</v>
      </c>
      <c r="I404" t="n">
        <v>0</v>
      </c>
      <c r="J404" t="n">
        <v>0</v>
      </c>
      <c r="K404" t="n">
        <v>0</v>
      </c>
      <c r="L404" t="n">
        <v>0</v>
      </c>
      <c r="M404" t="n">
        <v>0</v>
      </c>
      <c r="N404" t="n">
        <v>0</v>
      </c>
      <c r="O404" t="n">
        <v>0</v>
      </c>
      <c r="P404" t="n">
        <v>0</v>
      </c>
      <c r="Q404" t="n">
        <v>0</v>
      </c>
      <c r="R404" s="2" t="inlineStr"/>
    </row>
    <row r="405" ht="15" customHeight="1">
      <c r="A405" t="inlineStr">
        <is>
          <t>A 31872-2025</t>
        </is>
      </c>
      <c r="B405" s="1" t="n">
        <v>45834.65040509259</v>
      </c>
      <c r="C405" s="1" t="n">
        <v>45968</v>
      </c>
      <c r="D405" t="inlineStr">
        <is>
          <t>KALMAR LÄN</t>
        </is>
      </c>
      <c r="E405" t="inlineStr">
        <is>
          <t>VIMMERBY</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5074-2023</t>
        </is>
      </c>
      <c r="B406" s="1" t="n">
        <v>44958.61047453704</v>
      </c>
      <c r="C406" s="1" t="n">
        <v>45968</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8559-2025</t>
        </is>
      </c>
      <c r="B407" s="1" t="n">
        <v>45709.62280092593</v>
      </c>
      <c r="C407" s="1" t="n">
        <v>45968</v>
      </c>
      <c r="D407" t="inlineStr">
        <is>
          <t>KALMAR LÄN</t>
        </is>
      </c>
      <c r="E407" t="inlineStr">
        <is>
          <t>VIMMERBY</t>
        </is>
      </c>
      <c r="G407" t="n">
        <v>8.9</v>
      </c>
      <c r="H407" t="n">
        <v>0</v>
      </c>
      <c r="I407" t="n">
        <v>0</v>
      </c>
      <c r="J407" t="n">
        <v>0</v>
      </c>
      <c r="K407" t="n">
        <v>0</v>
      </c>
      <c r="L407" t="n">
        <v>0</v>
      </c>
      <c r="M407" t="n">
        <v>0</v>
      </c>
      <c r="N407" t="n">
        <v>0</v>
      </c>
      <c r="O407" t="n">
        <v>0</v>
      </c>
      <c r="P407" t="n">
        <v>0</v>
      </c>
      <c r="Q407" t="n">
        <v>0</v>
      </c>
      <c r="R407" s="2" t="inlineStr"/>
    </row>
    <row r="408" ht="15" customHeight="1">
      <c r="A408" t="inlineStr">
        <is>
          <t>A 32064-2025</t>
        </is>
      </c>
      <c r="B408" s="1" t="n">
        <v>45835.44709490741</v>
      </c>
      <c r="C408" s="1" t="n">
        <v>45968</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51187-2023</t>
        </is>
      </c>
      <c r="B409" s="1" t="n">
        <v>45219.40528935185</v>
      </c>
      <c r="C409" s="1" t="n">
        <v>45968</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32109-2025</t>
        </is>
      </c>
      <c r="B410" s="1" t="n">
        <v>45835.48267361111</v>
      </c>
      <c r="C410" s="1" t="n">
        <v>45968</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32113-2025</t>
        </is>
      </c>
      <c r="B411" s="1" t="n">
        <v>45835.48445601852</v>
      </c>
      <c r="C411" s="1" t="n">
        <v>45968</v>
      </c>
      <c r="D411" t="inlineStr">
        <is>
          <t>KALMAR LÄN</t>
        </is>
      </c>
      <c r="E411" t="inlineStr">
        <is>
          <t>VIMMERBY</t>
        </is>
      </c>
      <c r="G411" t="n">
        <v>3.5</v>
      </c>
      <c r="H411" t="n">
        <v>0</v>
      </c>
      <c r="I411" t="n">
        <v>0</v>
      </c>
      <c r="J411" t="n">
        <v>0</v>
      </c>
      <c r="K411" t="n">
        <v>0</v>
      </c>
      <c r="L411" t="n">
        <v>0</v>
      </c>
      <c r="M411" t="n">
        <v>0</v>
      </c>
      <c r="N411" t="n">
        <v>0</v>
      </c>
      <c r="O411" t="n">
        <v>0</v>
      </c>
      <c r="P411" t="n">
        <v>0</v>
      </c>
      <c r="Q411" t="n">
        <v>0</v>
      </c>
      <c r="R411" s="2" t="inlineStr"/>
    </row>
    <row r="412" ht="15" customHeight="1">
      <c r="A412" t="inlineStr">
        <is>
          <t>A 32116-2025</t>
        </is>
      </c>
      <c r="B412" s="1" t="n">
        <v>45835.48862268519</v>
      </c>
      <c r="C412" s="1" t="n">
        <v>45968</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62023-2022</t>
        </is>
      </c>
      <c r="B413" s="1" t="n">
        <v>44918.50106481482</v>
      </c>
      <c r="C413" s="1" t="n">
        <v>45968</v>
      </c>
      <c r="D413" t="inlineStr">
        <is>
          <t>KALMAR LÄN</t>
        </is>
      </c>
      <c r="E413" t="inlineStr">
        <is>
          <t>VIMMERBY</t>
        </is>
      </c>
      <c r="G413" t="n">
        <v>0.3</v>
      </c>
      <c r="H413" t="n">
        <v>0</v>
      </c>
      <c r="I413" t="n">
        <v>0</v>
      </c>
      <c r="J413" t="n">
        <v>0</v>
      </c>
      <c r="K413" t="n">
        <v>0</v>
      </c>
      <c r="L413" t="n">
        <v>0</v>
      </c>
      <c r="M413" t="n">
        <v>0</v>
      </c>
      <c r="N413" t="n">
        <v>0</v>
      </c>
      <c r="O413" t="n">
        <v>0</v>
      </c>
      <c r="P413" t="n">
        <v>0</v>
      </c>
      <c r="Q413" t="n">
        <v>0</v>
      </c>
      <c r="R413" s="2" t="inlineStr"/>
    </row>
    <row r="414" ht="15" customHeight="1">
      <c r="A414" t="inlineStr">
        <is>
          <t>A 31870-2025</t>
        </is>
      </c>
      <c r="B414" s="1" t="n">
        <v>45834.64667824074</v>
      </c>
      <c r="C414" s="1" t="n">
        <v>45968</v>
      </c>
      <c r="D414" t="inlineStr">
        <is>
          <t>KALMAR LÄN</t>
        </is>
      </c>
      <c r="E414" t="inlineStr">
        <is>
          <t>VIMMERBY</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32065-2025</t>
        </is>
      </c>
      <c r="B415" s="1" t="n">
        <v>45835.44732638889</v>
      </c>
      <c r="C415" s="1" t="n">
        <v>45968</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15715-2022</t>
        </is>
      </c>
      <c r="B416" s="1" t="n">
        <v>44663</v>
      </c>
      <c r="C416" s="1" t="n">
        <v>45968</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31987-2025</t>
        </is>
      </c>
      <c r="B417" s="1" t="n">
        <v>45835.36229166666</v>
      </c>
      <c r="C417" s="1" t="n">
        <v>45968</v>
      </c>
      <c r="D417" t="inlineStr">
        <is>
          <t>KALMAR LÄN</t>
        </is>
      </c>
      <c r="E417" t="inlineStr">
        <is>
          <t>VIMMERBY</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32077-2025</t>
        </is>
      </c>
      <c r="B418" s="1" t="n">
        <v>45835.45099537037</v>
      </c>
      <c r="C418" s="1" t="n">
        <v>45968</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16119-2023</t>
        </is>
      </c>
      <c r="B419" s="1" t="n">
        <v>45027.59450231482</v>
      </c>
      <c r="C419" s="1" t="n">
        <v>45968</v>
      </c>
      <c r="D419" t="inlineStr">
        <is>
          <t>KALMAR LÄN</t>
        </is>
      </c>
      <c r="E419" t="inlineStr">
        <is>
          <t>VIMMERBY</t>
        </is>
      </c>
      <c r="F419" t="inlineStr">
        <is>
          <t>Kommuner</t>
        </is>
      </c>
      <c r="G419" t="n">
        <v>4.4</v>
      </c>
      <c r="H419" t="n">
        <v>0</v>
      </c>
      <c r="I419" t="n">
        <v>0</v>
      </c>
      <c r="J419" t="n">
        <v>0</v>
      </c>
      <c r="K419" t="n">
        <v>0</v>
      </c>
      <c r="L419" t="n">
        <v>0</v>
      </c>
      <c r="M419" t="n">
        <v>0</v>
      </c>
      <c r="N419" t="n">
        <v>0</v>
      </c>
      <c r="O419" t="n">
        <v>0</v>
      </c>
      <c r="P419" t="n">
        <v>0</v>
      </c>
      <c r="Q419" t="n">
        <v>0</v>
      </c>
      <c r="R419" s="2" t="inlineStr"/>
    </row>
    <row r="420" ht="15" customHeight="1">
      <c r="A420" t="inlineStr">
        <is>
          <t>A 32120-2025</t>
        </is>
      </c>
      <c r="B420" s="1" t="n">
        <v>45835.4924537037</v>
      </c>
      <c r="C420" s="1" t="n">
        <v>45968</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43093-2024</t>
        </is>
      </c>
      <c r="B421" s="1" t="n">
        <v>45567</v>
      </c>
      <c r="C421" s="1" t="n">
        <v>45968</v>
      </c>
      <c r="D421" t="inlineStr">
        <is>
          <t>KALMAR LÄN</t>
        </is>
      </c>
      <c r="E421" t="inlineStr">
        <is>
          <t>VIMMERBY</t>
        </is>
      </c>
      <c r="G421" t="n">
        <v>0.7</v>
      </c>
      <c r="H421" t="n">
        <v>0</v>
      </c>
      <c r="I421" t="n">
        <v>0</v>
      </c>
      <c r="J421" t="n">
        <v>0</v>
      </c>
      <c r="K421" t="n">
        <v>0</v>
      </c>
      <c r="L421" t="n">
        <v>0</v>
      </c>
      <c r="M421" t="n">
        <v>0</v>
      </c>
      <c r="N421" t="n">
        <v>0</v>
      </c>
      <c r="O421" t="n">
        <v>0</v>
      </c>
      <c r="P421" t="n">
        <v>0</v>
      </c>
      <c r="Q421" t="n">
        <v>0</v>
      </c>
      <c r="R421" s="2" t="inlineStr"/>
    </row>
    <row r="422" ht="15" customHeight="1">
      <c r="A422" t="inlineStr">
        <is>
          <t>A 31876-2025</t>
        </is>
      </c>
      <c r="B422" s="1" t="n">
        <v>45834.65197916667</v>
      </c>
      <c r="C422" s="1" t="n">
        <v>45968</v>
      </c>
      <c r="D422" t="inlineStr">
        <is>
          <t>KALMAR LÄN</t>
        </is>
      </c>
      <c r="E422" t="inlineStr">
        <is>
          <t>VIMMERBY</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56022-2024</t>
        </is>
      </c>
      <c r="B423" s="1" t="n">
        <v>45623.95947916667</v>
      </c>
      <c r="C423" s="1" t="n">
        <v>45968</v>
      </c>
      <c r="D423" t="inlineStr">
        <is>
          <t>KALMAR LÄN</t>
        </is>
      </c>
      <c r="E423" t="inlineStr">
        <is>
          <t>VIMMERBY</t>
        </is>
      </c>
      <c r="G423" t="n">
        <v>0.3</v>
      </c>
      <c r="H423" t="n">
        <v>0</v>
      </c>
      <c r="I423" t="n">
        <v>0</v>
      </c>
      <c r="J423" t="n">
        <v>0</v>
      </c>
      <c r="K423" t="n">
        <v>0</v>
      </c>
      <c r="L423" t="n">
        <v>0</v>
      </c>
      <c r="M423" t="n">
        <v>0</v>
      </c>
      <c r="N423" t="n">
        <v>0</v>
      </c>
      <c r="O423" t="n">
        <v>0</v>
      </c>
      <c r="P423" t="n">
        <v>0</v>
      </c>
      <c r="Q423" t="n">
        <v>0</v>
      </c>
      <c r="R423" s="2" t="inlineStr"/>
    </row>
    <row r="424" ht="15" customHeight="1">
      <c r="A424" t="inlineStr">
        <is>
          <t>A 52327-2023</t>
        </is>
      </c>
      <c r="B424" s="1" t="n">
        <v>45224.6515162037</v>
      </c>
      <c r="C424" s="1" t="n">
        <v>45968</v>
      </c>
      <c r="D424" t="inlineStr">
        <is>
          <t>KALMAR LÄN</t>
        </is>
      </c>
      <c r="E424" t="inlineStr">
        <is>
          <t>VIMMERBY</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12075-2024</t>
        </is>
      </c>
      <c r="B425" s="1" t="n">
        <v>45377</v>
      </c>
      <c r="C425" s="1" t="n">
        <v>45968</v>
      </c>
      <c r="D425" t="inlineStr">
        <is>
          <t>KALMAR LÄN</t>
        </is>
      </c>
      <c r="E425" t="inlineStr">
        <is>
          <t>VIMMERBY</t>
        </is>
      </c>
      <c r="G425" t="n">
        <v>3.7</v>
      </c>
      <c r="H425" t="n">
        <v>0</v>
      </c>
      <c r="I425" t="n">
        <v>0</v>
      </c>
      <c r="J425" t="n">
        <v>0</v>
      </c>
      <c r="K425" t="n">
        <v>0</v>
      </c>
      <c r="L425" t="n">
        <v>0</v>
      </c>
      <c r="M425" t="n">
        <v>0</v>
      </c>
      <c r="N425" t="n">
        <v>0</v>
      </c>
      <c r="O425" t="n">
        <v>0</v>
      </c>
      <c r="P425" t="n">
        <v>0</v>
      </c>
      <c r="Q425" t="n">
        <v>0</v>
      </c>
      <c r="R425" s="2" t="inlineStr"/>
    </row>
    <row r="426" ht="15" customHeight="1">
      <c r="A426" t="inlineStr">
        <is>
          <t>A 29348-2023</t>
        </is>
      </c>
      <c r="B426" s="1" t="n">
        <v>45106.25025462963</v>
      </c>
      <c r="C426" s="1" t="n">
        <v>45968</v>
      </c>
      <c r="D426" t="inlineStr">
        <is>
          <t>KALMAR LÄN</t>
        </is>
      </c>
      <c r="E426" t="inlineStr">
        <is>
          <t>VIMMERBY</t>
        </is>
      </c>
      <c r="G426" t="n">
        <v>2.4</v>
      </c>
      <c r="H426" t="n">
        <v>0</v>
      </c>
      <c r="I426" t="n">
        <v>0</v>
      </c>
      <c r="J426" t="n">
        <v>0</v>
      </c>
      <c r="K426" t="n">
        <v>0</v>
      </c>
      <c r="L426" t="n">
        <v>0</v>
      </c>
      <c r="M426" t="n">
        <v>0</v>
      </c>
      <c r="N426" t="n">
        <v>0</v>
      </c>
      <c r="O426" t="n">
        <v>0</v>
      </c>
      <c r="P426" t="n">
        <v>0</v>
      </c>
      <c r="Q426" t="n">
        <v>0</v>
      </c>
      <c r="R426" s="2" t="inlineStr"/>
    </row>
    <row r="427" ht="15" customHeight="1">
      <c r="A427" t="inlineStr">
        <is>
          <t>A 18330-2023</t>
        </is>
      </c>
      <c r="B427" s="1" t="n">
        <v>45041</v>
      </c>
      <c r="C427" s="1" t="n">
        <v>45968</v>
      </c>
      <c r="D427" t="inlineStr">
        <is>
          <t>KALMAR LÄN</t>
        </is>
      </c>
      <c r="E427" t="inlineStr">
        <is>
          <t>VIMMERBY</t>
        </is>
      </c>
      <c r="G427" t="n">
        <v>1.7</v>
      </c>
      <c r="H427" t="n">
        <v>0</v>
      </c>
      <c r="I427" t="n">
        <v>0</v>
      </c>
      <c r="J427" t="n">
        <v>0</v>
      </c>
      <c r="K427" t="n">
        <v>0</v>
      </c>
      <c r="L427" t="n">
        <v>0</v>
      </c>
      <c r="M427" t="n">
        <v>0</v>
      </c>
      <c r="N427" t="n">
        <v>0</v>
      </c>
      <c r="O427" t="n">
        <v>0</v>
      </c>
      <c r="P427" t="n">
        <v>0</v>
      </c>
      <c r="Q427" t="n">
        <v>0</v>
      </c>
      <c r="R427" s="2" t="inlineStr"/>
    </row>
    <row r="428" ht="15" customHeight="1">
      <c r="A428" t="inlineStr">
        <is>
          <t>A 31340-2023</t>
        </is>
      </c>
      <c r="B428" s="1" t="n">
        <v>45114.47895833333</v>
      </c>
      <c r="C428" s="1" t="n">
        <v>45968</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11147-2023</t>
        </is>
      </c>
      <c r="B429" s="1" t="n">
        <v>44992</v>
      </c>
      <c r="C429" s="1" t="n">
        <v>45968</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20126-2024</t>
        </is>
      </c>
      <c r="B430" s="1" t="n">
        <v>45434.55471064815</v>
      </c>
      <c r="C430" s="1" t="n">
        <v>45968</v>
      </c>
      <c r="D430" t="inlineStr">
        <is>
          <t>KALMAR LÄN</t>
        </is>
      </c>
      <c r="E430" t="inlineStr">
        <is>
          <t>VIMMERBY</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20136-2024</t>
        </is>
      </c>
      <c r="B431" s="1" t="n">
        <v>45434.56291666667</v>
      </c>
      <c r="C431" s="1" t="n">
        <v>45968</v>
      </c>
      <c r="D431" t="inlineStr">
        <is>
          <t>KALMAR LÄN</t>
        </is>
      </c>
      <c r="E431" t="inlineStr">
        <is>
          <t>VIMMERBY</t>
        </is>
      </c>
      <c r="F431" t="inlineStr">
        <is>
          <t>Sveaskog</t>
        </is>
      </c>
      <c r="G431" t="n">
        <v>8.4</v>
      </c>
      <c r="H431" t="n">
        <v>0</v>
      </c>
      <c r="I431" t="n">
        <v>0</v>
      </c>
      <c r="J431" t="n">
        <v>0</v>
      </c>
      <c r="K431" t="n">
        <v>0</v>
      </c>
      <c r="L431" t="n">
        <v>0</v>
      </c>
      <c r="M431" t="n">
        <v>0</v>
      </c>
      <c r="N431" t="n">
        <v>0</v>
      </c>
      <c r="O431" t="n">
        <v>0</v>
      </c>
      <c r="P431" t="n">
        <v>0</v>
      </c>
      <c r="Q431" t="n">
        <v>0</v>
      </c>
      <c r="R431" s="2" t="inlineStr"/>
    </row>
    <row r="432" ht="15" customHeight="1">
      <c r="A432" t="inlineStr">
        <is>
          <t>A 46921-2023</t>
        </is>
      </c>
      <c r="B432" s="1" t="n">
        <v>45201.39996527778</v>
      </c>
      <c r="C432" s="1" t="n">
        <v>45968</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19833-2023</t>
        </is>
      </c>
      <c r="B433" s="1" t="n">
        <v>45052</v>
      </c>
      <c r="C433" s="1" t="n">
        <v>45968</v>
      </c>
      <c r="D433" t="inlineStr">
        <is>
          <t>KALMAR LÄN</t>
        </is>
      </c>
      <c r="E433" t="inlineStr">
        <is>
          <t>VIMMERBY</t>
        </is>
      </c>
      <c r="G433" t="n">
        <v>6.7</v>
      </c>
      <c r="H433" t="n">
        <v>0</v>
      </c>
      <c r="I433" t="n">
        <v>0</v>
      </c>
      <c r="J433" t="n">
        <v>0</v>
      </c>
      <c r="K433" t="n">
        <v>0</v>
      </c>
      <c r="L433" t="n">
        <v>0</v>
      </c>
      <c r="M433" t="n">
        <v>0</v>
      </c>
      <c r="N433" t="n">
        <v>0</v>
      </c>
      <c r="O433" t="n">
        <v>0</v>
      </c>
      <c r="P433" t="n">
        <v>0</v>
      </c>
      <c r="Q433" t="n">
        <v>0</v>
      </c>
      <c r="R433" s="2" t="inlineStr"/>
    </row>
    <row r="434" ht="15" customHeight="1">
      <c r="A434" t="inlineStr">
        <is>
          <t>A 25236-2023</t>
        </is>
      </c>
      <c r="B434" s="1" t="n">
        <v>45086.63334490741</v>
      </c>
      <c r="C434" s="1" t="n">
        <v>45968</v>
      </c>
      <c r="D434" t="inlineStr">
        <is>
          <t>KALMAR LÄN</t>
        </is>
      </c>
      <c r="E434" t="inlineStr">
        <is>
          <t>VIMMERBY</t>
        </is>
      </c>
      <c r="G434" t="n">
        <v>0.9</v>
      </c>
      <c r="H434" t="n">
        <v>0</v>
      </c>
      <c r="I434" t="n">
        <v>0</v>
      </c>
      <c r="J434" t="n">
        <v>0</v>
      </c>
      <c r="K434" t="n">
        <v>0</v>
      </c>
      <c r="L434" t="n">
        <v>0</v>
      </c>
      <c r="M434" t="n">
        <v>0</v>
      </c>
      <c r="N434" t="n">
        <v>0</v>
      </c>
      <c r="O434" t="n">
        <v>0</v>
      </c>
      <c r="P434" t="n">
        <v>0</v>
      </c>
      <c r="Q434" t="n">
        <v>0</v>
      </c>
      <c r="R434" s="2" t="inlineStr"/>
    </row>
    <row r="435" ht="15" customHeight="1">
      <c r="A435" t="inlineStr">
        <is>
          <t>A 14548-2024</t>
        </is>
      </c>
      <c r="B435" s="1" t="n">
        <v>45394.66887731481</v>
      </c>
      <c r="C435" s="1" t="n">
        <v>45968</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585-2024</t>
        </is>
      </c>
      <c r="B436" s="1" t="n">
        <v>45299.62576388889</v>
      </c>
      <c r="C436" s="1" t="n">
        <v>45968</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32380-2025</t>
        </is>
      </c>
      <c r="B437" s="1" t="n">
        <v>45837.77701388889</v>
      </c>
      <c r="C437" s="1" t="n">
        <v>45968</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56020-2024</t>
        </is>
      </c>
      <c r="B438" s="1" t="n">
        <v>45623.9525462963</v>
      </c>
      <c r="C438" s="1" t="n">
        <v>45968</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6082-2022</t>
        </is>
      </c>
      <c r="B439" s="1" t="n">
        <v>44599</v>
      </c>
      <c r="C439" s="1" t="n">
        <v>45968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33186-2025</t>
        </is>
      </c>
      <c r="B440" s="1" t="n">
        <v>45840.59474537037</v>
      </c>
      <c r="C440" s="1" t="n">
        <v>45968</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7758-2024</t>
        </is>
      </c>
      <c r="B441" s="1" t="n">
        <v>45349.54434027777</v>
      </c>
      <c r="C441" s="1" t="n">
        <v>45968</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33695-2025</t>
        </is>
      </c>
      <c r="B442" s="1" t="n">
        <v>45841.70569444444</v>
      </c>
      <c r="C442" s="1" t="n">
        <v>45968</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33698-2025</t>
        </is>
      </c>
      <c r="B443" s="1" t="n">
        <v>45841.70868055556</v>
      </c>
      <c r="C443" s="1" t="n">
        <v>45968</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23252-2024</t>
        </is>
      </c>
      <c r="B444" s="1" t="n">
        <v>45453.36067129629</v>
      </c>
      <c r="C444" s="1" t="n">
        <v>45968</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5701-2024</t>
        </is>
      </c>
      <c r="B445" s="1" t="n">
        <v>45334.78826388889</v>
      </c>
      <c r="C445" s="1" t="n">
        <v>45968</v>
      </c>
      <c r="D445" t="inlineStr">
        <is>
          <t>KALMAR LÄN</t>
        </is>
      </c>
      <c r="E445" t="inlineStr">
        <is>
          <t>VIMMERBY</t>
        </is>
      </c>
      <c r="G445" t="n">
        <v>2.3</v>
      </c>
      <c r="H445" t="n">
        <v>0</v>
      </c>
      <c r="I445" t="n">
        <v>0</v>
      </c>
      <c r="J445" t="n">
        <v>0</v>
      </c>
      <c r="K445" t="n">
        <v>0</v>
      </c>
      <c r="L445" t="n">
        <v>0</v>
      </c>
      <c r="M445" t="n">
        <v>0</v>
      </c>
      <c r="N445" t="n">
        <v>0</v>
      </c>
      <c r="O445" t="n">
        <v>0</v>
      </c>
      <c r="P445" t="n">
        <v>0</v>
      </c>
      <c r="Q445" t="n">
        <v>0</v>
      </c>
      <c r="R445" s="2" t="inlineStr"/>
    </row>
    <row r="446" ht="15" customHeight="1">
      <c r="A446" t="inlineStr">
        <is>
          <t>A 2801-2023</t>
        </is>
      </c>
      <c r="B446" s="1" t="n">
        <v>44944.73487268519</v>
      </c>
      <c r="C446" s="1" t="n">
        <v>45968</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31405-2023</t>
        </is>
      </c>
      <c r="B447" s="1" t="n">
        <v>45114.58148148148</v>
      </c>
      <c r="C447" s="1" t="n">
        <v>45968</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30977-2025</t>
        </is>
      </c>
      <c r="B448" s="1" t="n">
        <v>45832.46649305556</v>
      </c>
      <c r="C448" s="1" t="n">
        <v>45968</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6355-2022</t>
        </is>
      </c>
      <c r="B449" s="1" t="n">
        <v>44600</v>
      </c>
      <c r="C449" s="1" t="n">
        <v>45968</v>
      </c>
      <c r="D449" t="inlineStr">
        <is>
          <t>KALMAR LÄN</t>
        </is>
      </c>
      <c r="E449" t="inlineStr">
        <is>
          <t>VIMMERBY</t>
        </is>
      </c>
      <c r="G449" t="n">
        <v>4.9</v>
      </c>
      <c r="H449" t="n">
        <v>0</v>
      </c>
      <c r="I449" t="n">
        <v>0</v>
      </c>
      <c r="J449" t="n">
        <v>0</v>
      </c>
      <c r="K449" t="n">
        <v>0</v>
      </c>
      <c r="L449" t="n">
        <v>0</v>
      </c>
      <c r="M449" t="n">
        <v>0</v>
      </c>
      <c r="N449" t="n">
        <v>0</v>
      </c>
      <c r="O449" t="n">
        <v>0</v>
      </c>
      <c r="P449" t="n">
        <v>0</v>
      </c>
      <c r="Q449" t="n">
        <v>0</v>
      </c>
      <c r="R449" s="2" t="inlineStr"/>
    </row>
    <row r="450" ht="15" customHeight="1">
      <c r="A450" t="inlineStr">
        <is>
          <t>A 5146-2024</t>
        </is>
      </c>
      <c r="B450" s="1" t="n">
        <v>45330</v>
      </c>
      <c r="C450" s="1" t="n">
        <v>45968</v>
      </c>
      <c r="D450" t="inlineStr">
        <is>
          <t>KALMAR LÄN</t>
        </is>
      </c>
      <c r="E450" t="inlineStr">
        <is>
          <t>VIMMERBY</t>
        </is>
      </c>
      <c r="G450" t="n">
        <v>5.3</v>
      </c>
      <c r="H450" t="n">
        <v>0</v>
      </c>
      <c r="I450" t="n">
        <v>0</v>
      </c>
      <c r="J450" t="n">
        <v>0</v>
      </c>
      <c r="K450" t="n">
        <v>0</v>
      </c>
      <c r="L450" t="n">
        <v>0</v>
      </c>
      <c r="M450" t="n">
        <v>0</v>
      </c>
      <c r="N450" t="n">
        <v>0</v>
      </c>
      <c r="O450" t="n">
        <v>0</v>
      </c>
      <c r="P450" t="n">
        <v>0</v>
      </c>
      <c r="Q450" t="n">
        <v>0</v>
      </c>
      <c r="R450" s="2" t="inlineStr"/>
    </row>
    <row r="451" ht="15" customHeight="1">
      <c r="A451" t="inlineStr">
        <is>
          <t>A 5148-2024</t>
        </is>
      </c>
      <c r="B451" s="1" t="n">
        <v>45330</v>
      </c>
      <c r="C451" s="1" t="n">
        <v>45968</v>
      </c>
      <c r="D451" t="inlineStr">
        <is>
          <t>KALMAR LÄN</t>
        </is>
      </c>
      <c r="E451" t="inlineStr">
        <is>
          <t>VIMMERBY</t>
        </is>
      </c>
      <c r="G451" t="n">
        <v>5.6</v>
      </c>
      <c r="H451" t="n">
        <v>0</v>
      </c>
      <c r="I451" t="n">
        <v>0</v>
      </c>
      <c r="J451" t="n">
        <v>0</v>
      </c>
      <c r="K451" t="n">
        <v>0</v>
      </c>
      <c r="L451" t="n">
        <v>0</v>
      </c>
      <c r="M451" t="n">
        <v>0</v>
      </c>
      <c r="N451" t="n">
        <v>0</v>
      </c>
      <c r="O451" t="n">
        <v>0</v>
      </c>
      <c r="P451" t="n">
        <v>0</v>
      </c>
      <c r="Q451" t="n">
        <v>0</v>
      </c>
      <c r="R451" s="2" t="inlineStr"/>
    </row>
    <row r="452" ht="15" customHeight="1">
      <c r="A452" t="inlineStr">
        <is>
          <t>A 15550-2023</t>
        </is>
      </c>
      <c r="B452" s="1" t="n">
        <v>45020</v>
      </c>
      <c r="C452" s="1" t="n">
        <v>45968</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46225-2024</t>
        </is>
      </c>
      <c r="B453" s="1" t="n">
        <v>45581.57333333333</v>
      </c>
      <c r="C453" s="1" t="n">
        <v>45968</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33696-2025</t>
        </is>
      </c>
      <c r="B454" s="1" t="n">
        <v>45841.7072337963</v>
      </c>
      <c r="C454" s="1" t="n">
        <v>45968</v>
      </c>
      <c r="D454" t="inlineStr">
        <is>
          <t>KALMAR LÄN</t>
        </is>
      </c>
      <c r="E454" t="inlineStr">
        <is>
          <t>VIMMERBY</t>
        </is>
      </c>
      <c r="G454" t="n">
        <v>1.1</v>
      </c>
      <c r="H454" t="n">
        <v>0</v>
      </c>
      <c r="I454" t="n">
        <v>0</v>
      </c>
      <c r="J454" t="n">
        <v>0</v>
      </c>
      <c r="K454" t="n">
        <v>0</v>
      </c>
      <c r="L454" t="n">
        <v>0</v>
      </c>
      <c r="M454" t="n">
        <v>0</v>
      </c>
      <c r="N454" t="n">
        <v>0</v>
      </c>
      <c r="O454" t="n">
        <v>0</v>
      </c>
      <c r="P454" t="n">
        <v>0</v>
      </c>
      <c r="Q454" t="n">
        <v>0</v>
      </c>
      <c r="R454" s="2" t="inlineStr"/>
    </row>
    <row r="455" ht="15" customHeight="1">
      <c r="A455" t="inlineStr">
        <is>
          <t>A 11219-2023</t>
        </is>
      </c>
      <c r="B455" s="1" t="n">
        <v>44992.62498842592</v>
      </c>
      <c r="C455" s="1" t="n">
        <v>45968</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45968</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47855-2024</t>
        </is>
      </c>
      <c r="B457" s="1" t="n">
        <v>45588.66457175926</v>
      </c>
      <c r="C457" s="1" t="n">
        <v>45968</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9418-2024</t>
        </is>
      </c>
      <c r="B458" s="1" t="n">
        <v>45359.45038194444</v>
      </c>
      <c r="C458" s="1" t="n">
        <v>45968</v>
      </c>
      <c r="D458" t="inlineStr">
        <is>
          <t>KALMAR LÄN</t>
        </is>
      </c>
      <c r="E458" t="inlineStr">
        <is>
          <t>VIMMERBY</t>
        </is>
      </c>
      <c r="G458" t="n">
        <v>1.9</v>
      </c>
      <c r="H458" t="n">
        <v>0</v>
      </c>
      <c r="I458" t="n">
        <v>0</v>
      </c>
      <c r="J458" t="n">
        <v>0</v>
      </c>
      <c r="K458" t="n">
        <v>0</v>
      </c>
      <c r="L458" t="n">
        <v>0</v>
      </c>
      <c r="M458" t="n">
        <v>0</v>
      </c>
      <c r="N458" t="n">
        <v>0</v>
      </c>
      <c r="O458" t="n">
        <v>0</v>
      </c>
      <c r="P458" t="n">
        <v>0</v>
      </c>
      <c r="Q458" t="n">
        <v>0</v>
      </c>
      <c r="R458" s="2" t="inlineStr"/>
    </row>
    <row r="459" ht="15" customHeight="1">
      <c r="A459" t="inlineStr">
        <is>
          <t>A 26956-2025</t>
        </is>
      </c>
      <c r="B459" s="1" t="n">
        <v>45811.45460648148</v>
      </c>
      <c r="C459" s="1" t="n">
        <v>45968</v>
      </c>
      <c r="D459" t="inlineStr">
        <is>
          <t>KALMAR LÄN</t>
        </is>
      </c>
      <c r="E459" t="inlineStr">
        <is>
          <t>VIMMERBY</t>
        </is>
      </c>
      <c r="G459" t="n">
        <v>1.1</v>
      </c>
      <c r="H459" t="n">
        <v>0</v>
      </c>
      <c r="I459" t="n">
        <v>0</v>
      </c>
      <c r="J459" t="n">
        <v>0</v>
      </c>
      <c r="K459" t="n">
        <v>0</v>
      </c>
      <c r="L459" t="n">
        <v>0</v>
      </c>
      <c r="M459" t="n">
        <v>0</v>
      </c>
      <c r="N459" t="n">
        <v>0</v>
      </c>
      <c r="O459" t="n">
        <v>0</v>
      </c>
      <c r="P459" t="n">
        <v>0</v>
      </c>
      <c r="Q459" t="n">
        <v>0</v>
      </c>
      <c r="R459" s="2" t="inlineStr"/>
    </row>
    <row r="460" ht="15" customHeight="1">
      <c r="A460" t="inlineStr">
        <is>
          <t>A 58278-2023</t>
        </is>
      </c>
      <c r="B460" s="1" t="n">
        <v>45250.5278587963</v>
      </c>
      <c r="C460" s="1" t="n">
        <v>45968</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57091-2022</t>
        </is>
      </c>
      <c r="B461" s="1" t="n">
        <v>44895.46524305556</v>
      </c>
      <c r="C461" s="1" t="n">
        <v>45968</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3816-2022</t>
        </is>
      </c>
      <c r="B462" s="1" t="n">
        <v>44587</v>
      </c>
      <c r="C462" s="1" t="n">
        <v>45968</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22266-2023</t>
        </is>
      </c>
      <c r="B463" s="1" t="n">
        <v>45070</v>
      </c>
      <c r="C463" s="1" t="n">
        <v>45968</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52588-2023</t>
        </is>
      </c>
      <c r="B464" s="1" t="n">
        <v>45225.60192129629</v>
      </c>
      <c r="C464" s="1" t="n">
        <v>45968</v>
      </c>
      <c r="D464" t="inlineStr">
        <is>
          <t>KALMAR LÄN</t>
        </is>
      </c>
      <c r="E464" t="inlineStr">
        <is>
          <t>VIMMERBY</t>
        </is>
      </c>
      <c r="G464" t="n">
        <v>2.9</v>
      </c>
      <c r="H464" t="n">
        <v>0</v>
      </c>
      <c r="I464" t="n">
        <v>0</v>
      </c>
      <c r="J464" t="n">
        <v>0</v>
      </c>
      <c r="K464" t="n">
        <v>0</v>
      </c>
      <c r="L464" t="n">
        <v>0</v>
      </c>
      <c r="M464" t="n">
        <v>0</v>
      </c>
      <c r="N464" t="n">
        <v>0</v>
      </c>
      <c r="O464" t="n">
        <v>0</v>
      </c>
      <c r="P464" t="n">
        <v>0</v>
      </c>
      <c r="Q464" t="n">
        <v>0</v>
      </c>
      <c r="R464" s="2" t="inlineStr"/>
    </row>
    <row r="465" ht="15" customHeight="1">
      <c r="A465" t="inlineStr">
        <is>
          <t>A 43606-2024</t>
        </is>
      </c>
      <c r="B465" s="1" t="n">
        <v>45569.45017361111</v>
      </c>
      <c r="C465" s="1" t="n">
        <v>45968</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43617-2024</t>
        </is>
      </c>
      <c r="B466" s="1" t="n">
        <v>45569.47494212963</v>
      </c>
      <c r="C466" s="1" t="n">
        <v>45968</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47859-2024</t>
        </is>
      </c>
      <c r="B467" s="1" t="n">
        <v>45588.67070601852</v>
      </c>
      <c r="C467" s="1" t="n">
        <v>45968</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172-2022</t>
        </is>
      </c>
      <c r="B468" s="1" t="n">
        <v>44564.62598379629</v>
      </c>
      <c r="C468" s="1" t="n">
        <v>45968</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39584-2024</t>
        </is>
      </c>
      <c r="B469" s="1" t="n">
        <v>45552.36759259259</v>
      </c>
      <c r="C469" s="1" t="n">
        <v>45968</v>
      </c>
      <c r="D469" t="inlineStr">
        <is>
          <t>KALMAR LÄN</t>
        </is>
      </c>
      <c r="E469" t="inlineStr">
        <is>
          <t>VIMMERBY</t>
        </is>
      </c>
      <c r="G469" t="n">
        <v>1.9</v>
      </c>
      <c r="H469" t="n">
        <v>0</v>
      </c>
      <c r="I469" t="n">
        <v>0</v>
      </c>
      <c r="J469" t="n">
        <v>0</v>
      </c>
      <c r="K469" t="n">
        <v>0</v>
      </c>
      <c r="L469" t="n">
        <v>0</v>
      </c>
      <c r="M469" t="n">
        <v>0</v>
      </c>
      <c r="N469" t="n">
        <v>0</v>
      </c>
      <c r="O469" t="n">
        <v>0</v>
      </c>
      <c r="P469" t="n">
        <v>0</v>
      </c>
      <c r="Q469" t="n">
        <v>0</v>
      </c>
      <c r="R469" s="2" t="inlineStr"/>
    </row>
    <row r="470" ht="15" customHeight="1">
      <c r="A470" t="inlineStr">
        <is>
          <t>A 34071-2025</t>
        </is>
      </c>
      <c r="B470" s="1" t="n">
        <v>45845.43803240741</v>
      </c>
      <c r="C470" s="1" t="n">
        <v>45968</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34106-2025</t>
        </is>
      </c>
      <c r="B471" s="1" t="n">
        <v>45845.49414351852</v>
      </c>
      <c r="C471" s="1" t="n">
        <v>45968</v>
      </c>
      <c r="D471" t="inlineStr">
        <is>
          <t>KALMAR LÄN</t>
        </is>
      </c>
      <c r="E471" t="inlineStr">
        <is>
          <t>VIMMERBY</t>
        </is>
      </c>
      <c r="G471" t="n">
        <v>6</v>
      </c>
      <c r="H471" t="n">
        <v>0</v>
      </c>
      <c r="I471" t="n">
        <v>0</v>
      </c>
      <c r="J471" t="n">
        <v>0</v>
      </c>
      <c r="K471" t="n">
        <v>0</v>
      </c>
      <c r="L471" t="n">
        <v>0</v>
      </c>
      <c r="M471" t="n">
        <v>0</v>
      </c>
      <c r="N471" t="n">
        <v>0</v>
      </c>
      <c r="O471" t="n">
        <v>0</v>
      </c>
      <c r="P471" t="n">
        <v>0</v>
      </c>
      <c r="Q471" t="n">
        <v>0</v>
      </c>
      <c r="R471" s="2" t="inlineStr"/>
    </row>
    <row r="472" ht="15" customHeight="1">
      <c r="A472" t="inlineStr">
        <is>
          <t>A 6802-2025</t>
        </is>
      </c>
      <c r="B472" s="1" t="n">
        <v>45700.68289351852</v>
      </c>
      <c r="C472" s="1" t="n">
        <v>45968</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28702-2025</t>
        </is>
      </c>
      <c r="B473" s="1" t="n">
        <v>45820.03976851852</v>
      </c>
      <c r="C473" s="1" t="n">
        <v>45968</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71793-2021</t>
        </is>
      </c>
      <c r="B474" s="1" t="n">
        <v>44539</v>
      </c>
      <c r="C474" s="1" t="n">
        <v>45968</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8540-2024</t>
        </is>
      </c>
      <c r="B475" s="1" t="n">
        <v>45355.54138888889</v>
      </c>
      <c r="C475" s="1" t="n">
        <v>45968</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3331-2023</t>
        </is>
      </c>
      <c r="B476" s="1" t="n">
        <v>44949</v>
      </c>
      <c r="C476" s="1" t="n">
        <v>45968</v>
      </c>
      <c r="D476" t="inlineStr">
        <is>
          <t>KALMAR LÄN</t>
        </is>
      </c>
      <c r="E476" t="inlineStr">
        <is>
          <t>VIMMERBY</t>
        </is>
      </c>
      <c r="G476" t="n">
        <v>6.2</v>
      </c>
      <c r="H476" t="n">
        <v>0</v>
      </c>
      <c r="I476" t="n">
        <v>0</v>
      </c>
      <c r="J476" t="n">
        <v>0</v>
      </c>
      <c r="K476" t="n">
        <v>0</v>
      </c>
      <c r="L476" t="n">
        <v>0</v>
      </c>
      <c r="M476" t="n">
        <v>0</v>
      </c>
      <c r="N476" t="n">
        <v>0</v>
      </c>
      <c r="O476" t="n">
        <v>0</v>
      </c>
      <c r="P476" t="n">
        <v>0</v>
      </c>
      <c r="Q476" t="n">
        <v>0</v>
      </c>
      <c r="R476" s="2" t="inlineStr"/>
    </row>
    <row r="477" ht="15" customHeight="1">
      <c r="A477" t="inlineStr">
        <is>
          <t>A 527-2024</t>
        </is>
      </c>
      <c r="B477" s="1" t="n">
        <v>45299.47513888889</v>
      </c>
      <c r="C477" s="1" t="n">
        <v>45968</v>
      </c>
      <c r="D477" t="inlineStr">
        <is>
          <t>KALMAR LÄN</t>
        </is>
      </c>
      <c r="E477" t="inlineStr">
        <is>
          <t>VIMMERBY</t>
        </is>
      </c>
      <c r="G477" t="n">
        <v>2.2</v>
      </c>
      <c r="H477" t="n">
        <v>0</v>
      </c>
      <c r="I477" t="n">
        <v>0</v>
      </c>
      <c r="J477" t="n">
        <v>0</v>
      </c>
      <c r="K477" t="n">
        <v>0</v>
      </c>
      <c r="L477" t="n">
        <v>0</v>
      </c>
      <c r="M477" t="n">
        <v>0</v>
      </c>
      <c r="N477" t="n">
        <v>0</v>
      </c>
      <c r="O477" t="n">
        <v>0</v>
      </c>
      <c r="P477" t="n">
        <v>0</v>
      </c>
      <c r="Q477" t="n">
        <v>0</v>
      </c>
      <c r="R477" s="2" t="inlineStr"/>
    </row>
    <row r="478" ht="15" customHeight="1">
      <c r="A478" t="inlineStr">
        <is>
          <t>A 598-2025</t>
        </is>
      </c>
      <c r="B478" s="1" t="n">
        <v>45660</v>
      </c>
      <c r="C478" s="1" t="n">
        <v>45968</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60230-2022</t>
        </is>
      </c>
      <c r="B479" s="1" t="n">
        <v>44910</v>
      </c>
      <c r="C479" s="1" t="n">
        <v>45968</v>
      </c>
      <c r="D479" t="inlineStr">
        <is>
          <t>KALMAR LÄN</t>
        </is>
      </c>
      <c r="E479" t="inlineStr">
        <is>
          <t>VIMMERBY</t>
        </is>
      </c>
      <c r="G479" t="n">
        <v>11.3</v>
      </c>
      <c r="H479" t="n">
        <v>0</v>
      </c>
      <c r="I479" t="n">
        <v>0</v>
      </c>
      <c r="J479" t="n">
        <v>0</v>
      </c>
      <c r="K479" t="n">
        <v>0</v>
      </c>
      <c r="L479" t="n">
        <v>0</v>
      </c>
      <c r="M479" t="n">
        <v>0</v>
      </c>
      <c r="N479" t="n">
        <v>0</v>
      </c>
      <c r="O479" t="n">
        <v>0</v>
      </c>
      <c r="P479" t="n">
        <v>0</v>
      </c>
      <c r="Q479" t="n">
        <v>0</v>
      </c>
      <c r="R479" s="2" t="inlineStr"/>
    </row>
    <row r="480" ht="15" customHeight="1">
      <c r="A480" t="inlineStr">
        <is>
          <t>A 25799-2023</t>
        </is>
      </c>
      <c r="B480" s="1" t="n">
        <v>45090</v>
      </c>
      <c r="C480" s="1" t="n">
        <v>45968</v>
      </c>
      <c r="D480" t="inlineStr">
        <is>
          <t>KALMAR LÄN</t>
        </is>
      </c>
      <c r="E480" t="inlineStr">
        <is>
          <t>VIMMERBY</t>
        </is>
      </c>
      <c r="G480" t="n">
        <v>7.7</v>
      </c>
      <c r="H480" t="n">
        <v>0</v>
      </c>
      <c r="I480" t="n">
        <v>0</v>
      </c>
      <c r="J480" t="n">
        <v>0</v>
      </c>
      <c r="K480" t="n">
        <v>0</v>
      </c>
      <c r="L480" t="n">
        <v>0</v>
      </c>
      <c r="M480" t="n">
        <v>0</v>
      </c>
      <c r="N480" t="n">
        <v>0</v>
      </c>
      <c r="O480" t="n">
        <v>0</v>
      </c>
      <c r="P480" t="n">
        <v>0</v>
      </c>
      <c r="Q480" t="n">
        <v>0</v>
      </c>
      <c r="R480" s="2" t="inlineStr"/>
    </row>
    <row r="481" ht="15" customHeight="1">
      <c r="A481" t="inlineStr">
        <is>
          <t>A 51881-2024</t>
        </is>
      </c>
      <c r="B481" s="1" t="n">
        <v>45607.56773148148</v>
      </c>
      <c r="C481" s="1" t="n">
        <v>45968</v>
      </c>
      <c r="D481" t="inlineStr">
        <is>
          <t>KALMAR LÄN</t>
        </is>
      </c>
      <c r="E481" t="inlineStr">
        <is>
          <t>VIMMERBY</t>
        </is>
      </c>
      <c r="G481" t="n">
        <v>3.4</v>
      </c>
      <c r="H481" t="n">
        <v>0</v>
      </c>
      <c r="I481" t="n">
        <v>0</v>
      </c>
      <c r="J481" t="n">
        <v>0</v>
      </c>
      <c r="K481" t="n">
        <v>0</v>
      </c>
      <c r="L481" t="n">
        <v>0</v>
      </c>
      <c r="M481" t="n">
        <v>0</v>
      </c>
      <c r="N481" t="n">
        <v>0</v>
      </c>
      <c r="O481" t="n">
        <v>0</v>
      </c>
      <c r="P481" t="n">
        <v>0</v>
      </c>
      <c r="Q481" t="n">
        <v>0</v>
      </c>
      <c r="R481" s="2" t="inlineStr"/>
    </row>
    <row r="482" ht="15" customHeight="1">
      <c r="A482" t="inlineStr">
        <is>
          <t>A 53083-2021</t>
        </is>
      </c>
      <c r="B482" s="1" t="n">
        <v>44467.83386574074</v>
      </c>
      <c r="C482" s="1" t="n">
        <v>45968</v>
      </c>
      <c r="D482" t="inlineStr">
        <is>
          <t>KALMAR LÄN</t>
        </is>
      </c>
      <c r="E482" t="inlineStr">
        <is>
          <t>VIMMERBY</t>
        </is>
      </c>
      <c r="G482" t="n">
        <v>6.8</v>
      </c>
      <c r="H482" t="n">
        <v>0</v>
      </c>
      <c r="I482" t="n">
        <v>0</v>
      </c>
      <c r="J482" t="n">
        <v>0</v>
      </c>
      <c r="K482" t="n">
        <v>0</v>
      </c>
      <c r="L482" t="n">
        <v>0</v>
      </c>
      <c r="M482" t="n">
        <v>0</v>
      </c>
      <c r="N482" t="n">
        <v>0</v>
      </c>
      <c r="O482" t="n">
        <v>0</v>
      </c>
      <c r="P482" t="n">
        <v>0</v>
      </c>
      <c r="Q482" t="n">
        <v>0</v>
      </c>
      <c r="R482" s="2" t="inlineStr"/>
    </row>
    <row r="483" ht="15" customHeight="1">
      <c r="A483" t="inlineStr">
        <is>
          <t>A 24655-2021</t>
        </is>
      </c>
      <c r="B483" s="1" t="n">
        <v>44340</v>
      </c>
      <c r="C483" s="1" t="n">
        <v>45968</v>
      </c>
      <c r="D483" t="inlineStr">
        <is>
          <t>KALMAR LÄN</t>
        </is>
      </c>
      <c r="E483" t="inlineStr">
        <is>
          <t>VIMMERBY</t>
        </is>
      </c>
      <c r="G483" t="n">
        <v>14.9</v>
      </c>
      <c r="H483" t="n">
        <v>0</v>
      </c>
      <c r="I483" t="n">
        <v>0</v>
      </c>
      <c r="J483" t="n">
        <v>0</v>
      </c>
      <c r="K483" t="n">
        <v>0</v>
      </c>
      <c r="L483" t="n">
        <v>0</v>
      </c>
      <c r="M483" t="n">
        <v>0</v>
      </c>
      <c r="N483" t="n">
        <v>0</v>
      </c>
      <c r="O483" t="n">
        <v>0</v>
      </c>
      <c r="P483" t="n">
        <v>0</v>
      </c>
      <c r="Q483" t="n">
        <v>0</v>
      </c>
      <c r="R483" s="2" t="inlineStr"/>
    </row>
    <row r="484" ht="15" customHeight="1">
      <c r="A484" t="inlineStr">
        <is>
          <t>A 5925-2022</t>
        </is>
      </c>
      <c r="B484" s="1" t="n">
        <v>44598.7384837963</v>
      </c>
      <c r="C484" s="1" t="n">
        <v>45968</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2596-2025</t>
        </is>
      </c>
      <c r="B485" s="1" t="n">
        <v>45674.71810185185</v>
      </c>
      <c r="C485" s="1" t="n">
        <v>45968</v>
      </c>
      <c r="D485" t="inlineStr">
        <is>
          <t>KALMAR LÄN</t>
        </is>
      </c>
      <c r="E485" t="inlineStr">
        <is>
          <t>VIMMERBY</t>
        </is>
      </c>
      <c r="G485" t="n">
        <v>9</v>
      </c>
      <c r="H485" t="n">
        <v>0</v>
      </c>
      <c r="I485" t="n">
        <v>0</v>
      </c>
      <c r="J485" t="n">
        <v>0</v>
      </c>
      <c r="K485" t="n">
        <v>0</v>
      </c>
      <c r="L485" t="n">
        <v>0</v>
      </c>
      <c r="M485" t="n">
        <v>0</v>
      </c>
      <c r="N485" t="n">
        <v>0</v>
      </c>
      <c r="O485" t="n">
        <v>0</v>
      </c>
      <c r="P485" t="n">
        <v>0</v>
      </c>
      <c r="Q485" t="n">
        <v>0</v>
      </c>
      <c r="R485" s="2" t="inlineStr"/>
    </row>
    <row r="486" ht="15" customHeight="1">
      <c r="A486" t="inlineStr">
        <is>
          <t>A 33838-2022</t>
        </is>
      </c>
      <c r="B486" s="1" t="n">
        <v>44790.49040509259</v>
      </c>
      <c r="C486" s="1" t="n">
        <v>45968</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32835-2022</t>
        </is>
      </c>
      <c r="B487" s="1" t="n">
        <v>44784.42528935185</v>
      </c>
      <c r="C487" s="1" t="n">
        <v>45968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46522-2022</t>
        </is>
      </c>
      <c r="B488" s="1" t="n">
        <v>44848.59133101852</v>
      </c>
      <c r="C488" s="1" t="n">
        <v>45968</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1081-2023</t>
        </is>
      </c>
      <c r="B489" s="1" t="n">
        <v>44935</v>
      </c>
      <c r="C489" s="1" t="n">
        <v>45968</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47063-2022</t>
        </is>
      </c>
      <c r="B490" s="1" t="n">
        <v>44852</v>
      </c>
      <c r="C490" s="1" t="n">
        <v>45968</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34628-2025</t>
        </is>
      </c>
      <c r="B491" s="1" t="n">
        <v>45847.91280092593</v>
      </c>
      <c r="C491" s="1" t="n">
        <v>45968</v>
      </c>
      <c r="D491" t="inlineStr">
        <is>
          <t>KALMAR LÄN</t>
        </is>
      </c>
      <c r="E491" t="inlineStr">
        <is>
          <t>VIMMERBY</t>
        </is>
      </c>
      <c r="G491" t="n">
        <v>4.2</v>
      </c>
      <c r="H491" t="n">
        <v>0</v>
      </c>
      <c r="I491" t="n">
        <v>0</v>
      </c>
      <c r="J491" t="n">
        <v>0</v>
      </c>
      <c r="K491" t="n">
        <v>0</v>
      </c>
      <c r="L491" t="n">
        <v>0</v>
      </c>
      <c r="M491" t="n">
        <v>0</v>
      </c>
      <c r="N491" t="n">
        <v>0</v>
      </c>
      <c r="O491" t="n">
        <v>0</v>
      </c>
      <c r="P491" t="n">
        <v>0</v>
      </c>
      <c r="Q491" t="n">
        <v>0</v>
      </c>
      <c r="R491" s="2" t="inlineStr"/>
    </row>
    <row r="492" ht="15" customHeight="1">
      <c r="A492" t="inlineStr">
        <is>
          <t>A 28403-2023</t>
        </is>
      </c>
      <c r="B492" s="1" t="n">
        <v>45100.85270833333</v>
      </c>
      <c r="C492" s="1" t="n">
        <v>45968</v>
      </c>
      <c r="D492" t="inlineStr">
        <is>
          <t>KALMAR LÄN</t>
        </is>
      </c>
      <c r="E492" t="inlineStr">
        <is>
          <t>VIMMERBY</t>
        </is>
      </c>
      <c r="G492" t="n">
        <v>1.8</v>
      </c>
      <c r="H492" t="n">
        <v>0</v>
      </c>
      <c r="I492" t="n">
        <v>0</v>
      </c>
      <c r="J492" t="n">
        <v>0</v>
      </c>
      <c r="K492" t="n">
        <v>0</v>
      </c>
      <c r="L492" t="n">
        <v>0</v>
      </c>
      <c r="M492" t="n">
        <v>0</v>
      </c>
      <c r="N492" t="n">
        <v>0</v>
      </c>
      <c r="O492" t="n">
        <v>0</v>
      </c>
      <c r="P492" t="n">
        <v>0</v>
      </c>
      <c r="Q492" t="n">
        <v>0</v>
      </c>
      <c r="R492" s="2" t="inlineStr"/>
    </row>
    <row r="493" ht="15" customHeight="1">
      <c r="A493" t="inlineStr">
        <is>
          <t>A 41066-2024</t>
        </is>
      </c>
      <c r="B493" s="1" t="n">
        <v>45559.38876157408</v>
      </c>
      <c r="C493" s="1" t="n">
        <v>45968</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33103-2024</t>
        </is>
      </c>
      <c r="B494" s="1" t="n">
        <v>45517.8162037037</v>
      </c>
      <c r="C494" s="1" t="n">
        <v>45968</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52279-2023</t>
        </is>
      </c>
      <c r="B495" s="1" t="n">
        <v>45224</v>
      </c>
      <c r="C495" s="1" t="n">
        <v>45968</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17486-2024</t>
        </is>
      </c>
      <c r="B496" s="1" t="n">
        <v>45415.48979166667</v>
      </c>
      <c r="C496" s="1" t="n">
        <v>45968</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2260-2022</t>
        </is>
      </c>
      <c r="B497" s="1" t="n">
        <v>44578.62943287037</v>
      </c>
      <c r="C497" s="1" t="n">
        <v>45968</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11661-2023</t>
        </is>
      </c>
      <c r="B498" s="1" t="n">
        <v>44994.46908564815</v>
      </c>
      <c r="C498" s="1" t="n">
        <v>45968</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58046-2022</t>
        </is>
      </c>
      <c r="B499" s="1" t="n">
        <v>44900.57393518519</v>
      </c>
      <c r="C499" s="1" t="n">
        <v>45968</v>
      </c>
      <c r="D499" t="inlineStr">
        <is>
          <t>KALMAR LÄN</t>
        </is>
      </c>
      <c r="E499" t="inlineStr">
        <is>
          <t>VIMMERBY</t>
        </is>
      </c>
      <c r="G499" t="n">
        <v>2.5</v>
      </c>
      <c r="H499" t="n">
        <v>0</v>
      </c>
      <c r="I499" t="n">
        <v>0</v>
      </c>
      <c r="J499" t="n">
        <v>0</v>
      </c>
      <c r="K499" t="n">
        <v>0</v>
      </c>
      <c r="L499" t="n">
        <v>0</v>
      </c>
      <c r="M499" t="n">
        <v>0</v>
      </c>
      <c r="N499" t="n">
        <v>0</v>
      </c>
      <c r="O499" t="n">
        <v>0</v>
      </c>
      <c r="P499" t="n">
        <v>0</v>
      </c>
      <c r="Q499" t="n">
        <v>0</v>
      </c>
      <c r="R499" s="2" t="inlineStr"/>
    </row>
    <row r="500" ht="15" customHeight="1">
      <c r="A500" t="inlineStr">
        <is>
          <t>A 45528-2021</t>
        </is>
      </c>
      <c r="B500" s="1" t="n">
        <v>44440.60415509259</v>
      </c>
      <c r="C500" s="1" t="n">
        <v>45968</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46979-2023</t>
        </is>
      </c>
      <c r="B501" s="1" t="n">
        <v>45201</v>
      </c>
      <c r="C501" s="1" t="n">
        <v>45968</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71631-2021</t>
        </is>
      </c>
      <c r="B502" s="1" t="n">
        <v>44542.90072916666</v>
      </c>
      <c r="C502" s="1" t="n">
        <v>45968</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6574-2023</t>
        </is>
      </c>
      <c r="B503" s="1" t="n">
        <v>44966</v>
      </c>
      <c r="C503" s="1" t="n">
        <v>45968</v>
      </c>
      <c r="D503" t="inlineStr">
        <is>
          <t>KALMAR LÄN</t>
        </is>
      </c>
      <c r="E503" t="inlineStr">
        <is>
          <t>VIMMERBY</t>
        </is>
      </c>
      <c r="G503" t="n">
        <v>2.5</v>
      </c>
      <c r="H503" t="n">
        <v>0</v>
      </c>
      <c r="I503" t="n">
        <v>0</v>
      </c>
      <c r="J503" t="n">
        <v>0</v>
      </c>
      <c r="K503" t="n">
        <v>0</v>
      </c>
      <c r="L503" t="n">
        <v>0</v>
      </c>
      <c r="M503" t="n">
        <v>0</v>
      </c>
      <c r="N503" t="n">
        <v>0</v>
      </c>
      <c r="O503" t="n">
        <v>0</v>
      </c>
      <c r="P503" t="n">
        <v>0</v>
      </c>
      <c r="Q503" t="n">
        <v>0</v>
      </c>
      <c r="R503" s="2" t="inlineStr"/>
    </row>
    <row r="504" ht="15" customHeight="1">
      <c r="A504" t="inlineStr">
        <is>
          <t>A 35270-2025</t>
        </is>
      </c>
      <c r="B504" s="1" t="n">
        <v>45853.87112268519</v>
      </c>
      <c r="C504" s="1" t="n">
        <v>45968</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35271-2025</t>
        </is>
      </c>
      <c r="B505" s="1" t="n">
        <v>45853.87599537037</v>
      </c>
      <c r="C505" s="1" t="n">
        <v>45968</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35272-2025</t>
        </is>
      </c>
      <c r="B506" s="1" t="n">
        <v>45853.88070601852</v>
      </c>
      <c r="C506" s="1" t="n">
        <v>45968</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16953-2025</t>
        </is>
      </c>
      <c r="B507" s="1" t="n">
        <v>45755.44333333334</v>
      </c>
      <c r="C507" s="1" t="n">
        <v>45968</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16015-2025</t>
        </is>
      </c>
      <c r="B508" s="1" t="n">
        <v>45749.60487268519</v>
      </c>
      <c r="C508" s="1" t="n">
        <v>45968</v>
      </c>
      <c r="D508" t="inlineStr">
        <is>
          <t>KALMAR LÄN</t>
        </is>
      </c>
      <c r="E508" t="inlineStr">
        <is>
          <t>VIMMERBY</t>
        </is>
      </c>
      <c r="F508" t="inlineStr">
        <is>
          <t>Kyrkan</t>
        </is>
      </c>
      <c r="G508" t="n">
        <v>2.7</v>
      </c>
      <c r="H508" t="n">
        <v>0</v>
      </c>
      <c r="I508" t="n">
        <v>0</v>
      </c>
      <c r="J508" t="n">
        <v>0</v>
      </c>
      <c r="K508" t="n">
        <v>0</v>
      </c>
      <c r="L508" t="n">
        <v>0</v>
      </c>
      <c r="M508" t="n">
        <v>0</v>
      </c>
      <c r="N508" t="n">
        <v>0</v>
      </c>
      <c r="O508" t="n">
        <v>0</v>
      </c>
      <c r="P508" t="n">
        <v>0</v>
      </c>
      <c r="Q508" t="n">
        <v>0</v>
      </c>
      <c r="R508" s="2" t="inlineStr"/>
    </row>
    <row r="509" ht="15" customHeight="1">
      <c r="A509" t="inlineStr">
        <is>
          <t>A 35596-2025</t>
        </is>
      </c>
      <c r="B509" s="1" t="n">
        <v>45858.60641203704</v>
      </c>
      <c r="C509" s="1" t="n">
        <v>45968</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35597-2025</t>
        </is>
      </c>
      <c r="B510" s="1" t="n">
        <v>45858.66019675926</v>
      </c>
      <c r="C510" s="1" t="n">
        <v>45968</v>
      </c>
      <c r="D510" t="inlineStr">
        <is>
          <t>KALMAR LÄN</t>
        </is>
      </c>
      <c r="E510" t="inlineStr">
        <is>
          <t>VIMMERBY</t>
        </is>
      </c>
      <c r="G510" t="n">
        <v>6.4</v>
      </c>
      <c r="H510" t="n">
        <v>0</v>
      </c>
      <c r="I510" t="n">
        <v>0</v>
      </c>
      <c r="J510" t="n">
        <v>0</v>
      </c>
      <c r="K510" t="n">
        <v>0</v>
      </c>
      <c r="L510" t="n">
        <v>0</v>
      </c>
      <c r="M510" t="n">
        <v>0</v>
      </c>
      <c r="N510" t="n">
        <v>0</v>
      </c>
      <c r="O510" t="n">
        <v>0</v>
      </c>
      <c r="P510" t="n">
        <v>0</v>
      </c>
      <c r="Q510" t="n">
        <v>0</v>
      </c>
      <c r="R510" s="2" t="inlineStr"/>
    </row>
    <row r="511" ht="15" customHeight="1">
      <c r="A511" t="inlineStr">
        <is>
          <t>A 4058-2024</t>
        </is>
      </c>
      <c r="B511" s="1" t="n">
        <v>45323.53744212963</v>
      </c>
      <c r="C511" s="1" t="n">
        <v>45968</v>
      </c>
      <c r="D511" t="inlineStr">
        <is>
          <t>KALMAR LÄN</t>
        </is>
      </c>
      <c r="E511" t="inlineStr">
        <is>
          <t>VIMMERBY</t>
        </is>
      </c>
      <c r="G511" t="n">
        <v>6.5</v>
      </c>
      <c r="H511" t="n">
        <v>0</v>
      </c>
      <c r="I511" t="n">
        <v>0</v>
      </c>
      <c r="J511" t="n">
        <v>0</v>
      </c>
      <c r="K511" t="n">
        <v>0</v>
      </c>
      <c r="L511" t="n">
        <v>0</v>
      </c>
      <c r="M511" t="n">
        <v>0</v>
      </c>
      <c r="N511" t="n">
        <v>0</v>
      </c>
      <c r="O511" t="n">
        <v>0</v>
      </c>
      <c r="P511" t="n">
        <v>0</v>
      </c>
      <c r="Q511" t="n">
        <v>0</v>
      </c>
      <c r="R511" s="2" t="inlineStr"/>
    </row>
    <row r="512" ht="15" customHeight="1">
      <c r="A512" t="inlineStr">
        <is>
          <t>A 9694-2023</t>
        </is>
      </c>
      <c r="B512" s="1" t="n">
        <v>44984.45895833334</v>
      </c>
      <c r="C512" s="1" t="n">
        <v>45968</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22198-2024</t>
        </is>
      </c>
      <c r="B513" s="1" t="n">
        <v>45446.36865740741</v>
      </c>
      <c r="C513" s="1" t="n">
        <v>45968</v>
      </c>
      <c r="D513" t="inlineStr">
        <is>
          <t>KALMAR LÄN</t>
        </is>
      </c>
      <c r="E513" t="inlineStr">
        <is>
          <t>VIMMERBY</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1978-2024</t>
        </is>
      </c>
      <c r="B514" s="1" t="n">
        <v>45308.59001157407</v>
      </c>
      <c r="C514" s="1" t="n">
        <v>45968</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57311-2023</t>
        </is>
      </c>
      <c r="B515" s="1" t="n">
        <v>45245.63574074074</v>
      </c>
      <c r="C515" s="1" t="n">
        <v>45968</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30318-2023</t>
        </is>
      </c>
      <c r="B516" s="1" t="n">
        <v>45111.30824074074</v>
      </c>
      <c r="C516" s="1" t="n">
        <v>45968</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12588-2025</t>
        </is>
      </c>
      <c r="B517" s="1" t="n">
        <v>45732.76936342593</v>
      </c>
      <c r="C517" s="1" t="n">
        <v>45968</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25234-2023</t>
        </is>
      </c>
      <c r="B518" s="1" t="n">
        <v>45086.63194444445</v>
      </c>
      <c r="C518" s="1" t="n">
        <v>45968</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46078-2023</t>
        </is>
      </c>
      <c r="B519" s="1" t="n">
        <v>45196</v>
      </c>
      <c r="C519" s="1" t="n">
        <v>45968</v>
      </c>
      <c r="D519" t="inlineStr">
        <is>
          <t>KALMAR LÄN</t>
        </is>
      </c>
      <c r="E519" t="inlineStr">
        <is>
          <t>VIMMERBY</t>
        </is>
      </c>
      <c r="G519" t="n">
        <v>0.7</v>
      </c>
      <c r="H519" t="n">
        <v>0</v>
      </c>
      <c r="I519" t="n">
        <v>0</v>
      </c>
      <c r="J519" t="n">
        <v>0</v>
      </c>
      <c r="K519" t="n">
        <v>0</v>
      </c>
      <c r="L519" t="n">
        <v>0</v>
      </c>
      <c r="M519" t="n">
        <v>0</v>
      </c>
      <c r="N519" t="n">
        <v>0</v>
      </c>
      <c r="O519" t="n">
        <v>0</v>
      </c>
      <c r="P519" t="n">
        <v>0</v>
      </c>
      <c r="Q519" t="n">
        <v>0</v>
      </c>
      <c r="R519" s="2" t="inlineStr"/>
    </row>
    <row r="520" ht="15" customHeight="1">
      <c r="A520" t="inlineStr">
        <is>
          <t>A 7932-2025</t>
        </is>
      </c>
      <c r="B520" s="1" t="n">
        <v>45707.3793287037</v>
      </c>
      <c r="C520" s="1" t="n">
        <v>45968</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16734-2023</t>
        </is>
      </c>
      <c r="B521" s="1" t="n">
        <v>45030.71012731481</v>
      </c>
      <c r="C521" s="1" t="n">
        <v>45968</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36226-2025</t>
        </is>
      </c>
      <c r="B522" s="1" t="n">
        <v>45867.51630787037</v>
      </c>
      <c r="C522" s="1" t="n">
        <v>45968</v>
      </c>
      <c r="D522" t="inlineStr">
        <is>
          <t>KALMAR LÄN</t>
        </is>
      </c>
      <c r="E522" t="inlineStr">
        <is>
          <t>VIMMERBY</t>
        </is>
      </c>
      <c r="G522" t="n">
        <v>3.1</v>
      </c>
      <c r="H522" t="n">
        <v>0</v>
      </c>
      <c r="I522" t="n">
        <v>0</v>
      </c>
      <c r="J522" t="n">
        <v>0</v>
      </c>
      <c r="K522" t="n">
        <v>0</v>
      </c>
      <c r="L522" t="n">
        <v>0</v>
      </c>
      <c r="M522" t="n">
        <v>0</v>
      </c>
      <c r="N522" t="n">
        <v>0</v>
      </c>
      <c r="O522" t="n">
        <v>0</v>
      </c>
      <c r="P522" t="n">
        <v>0</v>
      </c>
      <c r="Q522" t="n">
        <v>0</v>
      </c>
      <c r="R522" s="2" t="inlineStr"/>
    </row>
    <row r="523" ht="15" customHeight="1">
      <c r="A523" t="inlineStr">
        <is>
          <t>A 36273-2025</t>
        </is>
      </c>
      <c r="B523" s="1" t="n">
        <v>45867.63094907408</v>
      </c>
      <c r="C523" s="1" t="n">
        <v>45968</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36282-2025</t>
        </is>
      </c>
      <c r="B524" s="1" t="n">
        <v>45867.64663194444</v>
      </c>
      <c r="C524" s="1" t="n">
        <v>45968</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2121-2022</t>
        </is>
      </c>
      <c r="B525" s="1" t="n">
        <v>44578.32717592592</v>
      </c>
      <c r="C525" s="1" t="n">
        <v>45968</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36246-2025</t>
        </is>
      </c>
      <c r="B526" s="1" t="n">
        <v>45867.56320601852</v>
      </c>
      <c r="C526" s="1" t="n">
        <v>45968</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36297-2025</t>
        </is>
      </c>
      <c r="B527" s="1" t="n">
        <v>45867.68625</v>
      </c>
      <c r="C527" s="1" t="n">
        <v>45968</v>
      </c>
      <c r="D527" t="inlineStr">
        <is>
          <t>KALMAR LÄN</t>
        </is>
      </c>
      <c r="E527" t="inlineStr">
        <is>
          <t>VIMMERBY</t>
        </is>
      </c>
      <c r="G527" t="n">
        <v>4.9</v>
      </c>
      <c r="H527" t="n">
        <v>0</v>
      </c>
      <c r="I527" t="n">
        <v>0</v>
      </c>
      <c r="J527" t="n">
        <v>0</v>
      </c>
      <c r="K527" t="n">
        <v>0</v>
      </c>
      <c r="L527" t="n">
        <v>0</v>
      </c>
      <c r="M527" t="n">
        <v>0</v>
      </c>
      <c r="N527" t="n">
        <v>0</v>
      </c>
      <c r="O527" t="n">
        <v>0</v>
      </c>
      <c r="P527" t="n">
        <v>0</v>
      </c>
      <c r="Q527" t="n">
        <v>0</v>
      </c>
      <c r="R527" s="2" t="inlineStr"/>
    </row>
    <row r="528" ht="15" customHeight="1">
      <c r="A528" t="inlineStr">
        <is>
          <t>A 34386-2024</t>
        </is>
      </c>
      <c r="B528" s="1" t="n">
        <v>45525.41762731481</v>
      </c>
      <c r="C528" s="1" t="n">
        <v>45968</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36221-2025</t>
        </is>
      </c>
      <c r="B529" s="1" t="n">
        <v>45867.50792824074</v>
      </c>
      <c r="C529" s="1" t="n">
        <v>45968</v>
      </c>
      <c r="D529" t="inlineStr">
        <is>
          <t>KALMAR LÄN</t>
        </is>
      </c>
      <c r="E529" t="inlineStr">
        <is>
          <t>VIMMERBY</t>
        </is>
      </c>
      <c r="G529" t="n">
        <v>2.5</v>
      </c>
      <c r="H529" t="n">
        <v>0</v>
      </c>
      <c r="I529" t="n">
        <v>0</v>
      </c>
      <c r="J529" t="n">
        <v>0</v>
      </c>
      <c r="K529" t="n">
        <v>0</v>
      </c>
      <c r="L529" t="n">
        <v>0</v>
      </c>
      <c r="M529" t="n">
        <v>0</v>
      </c>
      <c r="N529" t="n">
        <v>0</v>
      </c>
      <c r="O529" t="n">
        <v>0</v>
      </c>
      <c r="P529" t="n">
        <v>0</v>
      </c>
      <c r="Q529" t="n">
        <v>0</v>
      </c>
      <c r="R529" s="2" t="inlineStr"/>
    </row>
    <row r="530" ht="15" customHeight="1">
      <c r="A530" t="inlineStr">
        <is>
          <t>A 6069-2023</t>
        </is>
      </c>
      <c r="B530" s="1" t="n">
        <v>44964.5115162037</v>
      </c>
      <c r="C530" s="1" t="n">
        <v>45968</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19502-2025</t>
        </is>
      </c>
      <c r="B531" s="1" t="n">
        <v>45769</v>
      </c>
      <c r="C531" s="1" t="n">
        <v>45968</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3609-2024</t>
        </is>
      </c>
      <c r="B532" s="1" t="n">
        <v>45320.89128472222</v>
      </c>
      <c r="C532" s="1" t="n">
        <v>45968</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36299-2025</t>
        </is>
      </c>
      <c r="B533" s="1" t="n">
        <v>45867.69346064814</v>
      </c>
      <c r="C533" s="1" t="n">
        <v>45968</v>
      </c>
      <c r="D533" t="inlineStr">
        <is>
          <t>KALMAR LÄN</t>
        </is>
      </c>
      <c r="E533" t="inlineStr">
        <is>
          <t>VIMMERBY</t>
        </is>
      </c>
      <c r="G533" t="n">
        <v>7.6</v>
      </c>
      <c r="H533" t="n">
        <v>0</v>
      </c>
      <c r="I533" t="n">
        <v>0</v>
      </c>
      <c r="J533" t="n">
        <v>0</v>
      </c>
      <c r="K533" t="n">
        <v>0</v>
      </c>
      <c r="L533" t="n">
        <v>0</v>
      </c>
      <c r="M533" t="n">
        <v>0</v>
      </c>
      <c r="N533" t="n">
        <v>0</v>
      </c>
      <c r="O533" t="n">
        <v>0</v>
      </c>
      <c r="P533" t="n">
        <v>0</v>
      </c>
      <c r="Q533" t="n">
        <v>0</v>
      </c>
      <c r="R533" s="2" t="inlineStr"/>
    </row>
    <row r="534" ht="15" customHeight="1">
      <c r="A534" t="inlineStr">
        <is>
          <t>A 10424-2023</t>
        </is>
      </c>
      <c r="B534" s="1" t="n">
        <v>44987.54104166666</v>
      </c>
      <c r="C534" s="1" t="n">
        <v>45968</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36538-2025</t>
        </is>
      </c>
      <c r="B535" s="1" t="n">
        <v>45869.62276620371</v>
      </c>
      <c r="C535" s="1" t="n">
        <v>45968</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32633-2023</t>
        </is>
      </c>
      <c r="B536" s="1" t="n">
        <v>45121.58699074074</v>
      </c>
      <c r="C536" s="1" t="n">
        <v>45968</v>
      </c>
      <c r="D536" t="inlineStr">
        <is>
          <t>KALMAR LÄN</t>
        </is>
      </c>
      <c r="E536" t="inlineStr">
        <is>
          <t>VIMMERBY</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49382-2023</t>
        </is>
      </c>
      <c r="B537" s="1" t="n">
        <v>45208</v>
      </c>
      <c r="C537" s="1" t="n">
        <v>45968</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12810-2023</t>
        </is>
      </c>
      <c r="B538" s="1" t="n">
        <v>45001.43854166667</v>
      </c>
      <c r="C538" s="1" t="n">
        <v>45968</v>
      </c>
      <c r="D538" t="inlineStr">
        <is>
          <t>KALMAR LÄN</t>
        </is>
      </c>
      <c r="E538" t="inlineStr">
        <is>
          <t>VIMMERBY</t>
        </is>
      </c>
      <c r="G538" t="n">
        <v>1.5</v>
      </c>
      <c r="H538" t="n">
        <v>0</v>
      </c>
      <c r="I538" t="n">
        <v>0</v>
      </c>
      <c r="J538" t="n">
        <v>0</v>
      </c>
      <c r="K538" t="n">
        <v>0</v>
      </c>
      <c r="L538" t="n">
        <v>0</v>
      </c>
      <c r="M538" t="n">
        <v>0</v>
      </c>
      <c r="N538" t="n">
        <v>0</v>
      </c>
      <c r="O538" t="n">
        <v>0</v>
      </c>
      <c r="P538" t="n">
        <v>0</v>
      </c>
      <c r="Q538" t="n">
        <v>0</v>
      </c>
      <c r="R538" s="2" t="inlineStr"/>
    </row>
    <row r="539" ht="15" customHeight="1">
      <c r="A539" t="inlineStr">
        <is>
          <t>A 3425-2022</t>
        </is>
      </c>
      <c r="B539" s="1" t="n">
        <v>44585.51060185185</v>
      </c>
      <c r="C539" s="1" t="n">
        <v>45968</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60675-2023</t>
        </is>
      </c>
      <c r="B540" s="1" t="n">
        <v>45260.4716550926</v>
      </c>
      <c r="C540" s="1" t="n">
        <v>45968</v>
      </c>
      <c r="D540" t="inlineStr">
        <is>
          <t>KALMAR LÄN</t>
        </is>
      </c>
      <c r="E540" t="inlineStr">
        <is>
          <t>VIMMERBY</t>
        </is>
      </c>
      <c r="G540" t="n">
        <v>1.2</v>
      </c>
      <c r="H540" t="n">
        <v>0</v>
      </c>
      <c r="I540" t="n">
        <v>0</v>
      </c>
      <c r="J540" t="n">
        <v>0</v>
      </c>
      <c r="K540" t="n">
        <v>0</v>
      </c>
      <c r="L540" t="n">
        <v>0</v>
      </c>
      <c r="M540" t="n">
        <v>0</v>
      </c>
      <c r="N540" t="n">
        <v>0</v>
      </c>
      <c r="O540" t="n">
        <v>0</v>
      </c>
      <c r="P540" t="n">
        <v>0</v>
      </c>
      <c r="Q540" t="n">
        <v>0</v>
      </c>
      <c r="R540" s="2" t="inlineStr"/>
    </row>
    <row r="541" ht="15" customHeight="1">
      <c r="A541" t="inlineStr">
        <is>
          <t>A 2536-2023</t>
        </is>
      </c>
      <c r="B541" s="1" t="n">
        <v>44943.62954861111</v>
      </c>
      <c r="C541" s="1" t="n">
        <v>45968</v>
      </c>
      <c r="D541" t="inlineStr">
        <is>
          <t>KALMAR LÄN</t>
        </is>
      </c>
      <c r="E541" t="inlineStr">
        <is>
          <t>VIMMERBY</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49461-2023</t>
        </is>
      </c>
      <c r="B542" s="1" t="n">
        <v>45211.52642361111</v>
      </c>
      <c r="C542" s="1" t="n">
        <v>45968</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36598-2025</t>
        </is>
      </c>
      <c r="B543" s="1" t="n">
        <v>45870.51708333333</v>
      </c>
      <c r="C543" s="1" t="n">
        <v>45968</v>
      </c>
      <c r="D543" t="inlineStr">
        <is>
          <t>KALMAR LÄN</t>
        </is>
      </c>
      <c r="E543" t="inlineStr">
        <is>
          <t>VIMMERBY</t>
        </is>
      </c>
      <c r="G543" t="n">
        <v>3.7</v>
      </c>
      <c r="H543" t="n">
        <v>0</v>
      </c>
      <c r="I543" t="n">
        <v>0</v>
      </c>
      <c r="J543" t="n">
        <v>0</v>
      </c>
      <c r="K543" t="n">
        <v>0</v>
      </c>
      <c r="L543" t="n">
        <v>0</v>
      </c>
      <c r="M543" t="n">
        <v>0</v>
      </c>
      <c r="N543" t="n">
        <v>0</v>
      </c>
      <c r="O543" t="n">
        <v>0</v>
      </c>
      <c r="P543" t="n">
        <v>0</v>
      </c>
      <c r="Q543" t="n">
        <v>0</v>
      </c>
      <c r="R543" s="2" t="inlineStr"/>
    </row>
    <row r="544" ht="15" customHeight="1">
      <c r="A544" t="inlineStr">
        <is>
          <t>A 36602-2025</t>
        </is>
      </c>
      <c r="B544" s="1" t="n">
        <v>45870.52111111111</v>
      </c>
      <c r="C544" s="1" t="n">
        <v>45968</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23095-2023</t>
        </is>
      </c>
      <c r="B545" s="1" t="n">
        <v>45075.43059027778</v>
      </c>
      <c r="C545" s="1" t="n">
        <v>45968</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11429-2022</t>
        </is>
      </c>
      <c r="B546" s="1" t="n">
        <v>44630</v>
      </c>
      <c r="C546" s="1" t="n">
        <v>45968</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11111-2024</t>
        </is>
      </c>
      <c r="B547" s="1" t="n">
        <v>45371.36359953704</v>
      </c>
      <c r="C547" s="1" t="n">
        <v>45968</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11141-2024</t>
        </is>
      </c>
      <c r="B548" s="1" t="n">
        <v>45371.45865740741</v>
      </c>
      <c r="C548" s="1" t="n">
        <v>45968</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28395-2023</t>
        </is>
      </c>
      <c r="B549" s="1" t="n">
        <v>45100.4062962963</v>
      </c>
      <c r="C549" s="1" t="n">
        <v>45968</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34597-2022</t>
        </is>
      </c>
      <c r="B550" s="1" t="n">
        <v>44795</v>
      </c>
      <c r="C550" s="1" t="n">
        <v>45968</v>
      </c>
      <c r="D550" t="inlineStr">
        <is>
          <t>KALMAR LÄN</t>
        </is>
      </c>
      <c r="E550" t="inlineStr">
        <is>
          <t>VIMMERBY</t>
        </is>
      </c>
      <c r="G550" t="n">
        <v>2.2</v>
      </c>
      <c r="H550" t="n">
        <v>0</v>
      </c>
      <c r="I550" t="n">
        <v>0</v>
      </c>
      <c r="J550" t="n">
        <v>0</v>
      </c>
      <c r="K550" t="n">
        <v>0</v>
      </c>
      <c r="L550" t="n">
        <v>0</v>
      </c>
      <c r="M550" t="n">
        <v>0</v>
      </c>
      <c r="N550" t="n">
        <v>0</v>
      </c>
      <c r="O550" t="n">
        <v>0</v>
      </c>
      <c r="P550" t="n">
        <v>0</v>
      </c>
      <c r="Q550" t="n">
        <v>0</v>
      </c>
      <c r="R550" s="2" t="inlineStr"/>
    </row>
    <row r="551" ht="15" customHeight="1">
      <c r="A551" t="inlineStr">
        <is>
          <t>A 1687-2023</t>
        </is>
      </c>
      <c r="B551" s="1" t="n">
        <v>44938</v>
      </c>
      <c r="C551" s="1" t="n">
        <v>45968</v>
      </c>
      <c r="D551" t="inlineStr">
        <is>
          <t>KALMAR LÄN</t>
        </is>
      </c>
      <c r="E551" t="inlineStr">
        <is>
          <t>VIMMERBY</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36603-2025</t>
        </is>
      </c>
      <c r="B552" s="1" t="n">
        <v>45870.52142361111</v>
      </c>
      <c r="C552" s="1" t="n">
        <v>45968</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3494-2023</t>
        </is>
      </c>
      <c r="B553" s="1" t="n">
        <v>44949</v>
      </c>
      <c r="C553" s="1" t="n">
        <v>45968</v>
      </c>
      <c r="D553" t="inlineStr">
        <is>
          <t>KALMAR LÄN</t>
        </is>
      </c>
      <c r="E553" t="inlineStr">
        <is>
          <t>VIMMERBY</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64428-2023</t>
        </is>
      </c>
      <c r="B554" s="1" t="n">
        <v>45280.66769675926</v>
      </c>
      <c r="C554" s="1" t="n">
        <v>45968</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36600-2025</t>
        </is>
      </c>
      <c r="B555" s="1" t="n">
        <v>45870.51958333333</v>
      </c>
      <c r="C555" s="1" t="n">
        <v>45968</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36601-2025</t>
        </is>
      </c>
      <c r="B556" s="1" t="n">
        <v>45870.52005787037</v>
      </c>
      <c r="C556" s="1" t="n">
        <v>45968</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30588-2023</t>
        </is>
      </c>
      <c r="B557" s="1" t="n">
        <v>45112.33599537037</v>
      </c>
      <c r="C557" s="1" t="n">
        <v>45968</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30503-2023</t>
        </is>
      </c>
      <c r="B558" s="1" t="n">
        <v>45111</v>
      </c>
      <c r="C558" s="1" t="n">
        <v>45968</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20129-2024</t>
        </is>
      </c>
      <c r="B559" s="1" t="n">
        <v>45434.55831018519</v>
      </c>
      <c r="C559" s="1" t="n">
        <v>45968</v>
      </c>
      <c r="D559" t="inlineStr">
        <is>
          <t>KALMAR LÄN</t>
        </is>
      </c>
      <c r="E559" t="inlineStr">
        <is>
          <t>VIMMERBY</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20137-2024</t>
        </is>
      </c>
      <c r="B560" s="1" t="n">
        <v>45434.56398148148</v>
      </c>
      <c r="C560" s="1" t="n">
        <v>45968</v>
      </c>
      <c r="D560" t="inlineStr">
        <is>
          <t>KALMAR LÄN</t>
        </is>
      </c>
      <c r="E560" t="inlineStr">
        <is>
          <t>VIMMERBY</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7456-2024</t>
        </is>
      </c>
      <c r="B561" s="1" t="n">
        <v>45345.83557870371</v>
      </c>
      <c r="C561" s="1" t="n">
        <v>45968</v>
      </c>
      <c r="D561" t="inlineStr">
        <is>
          <t>KALMAR LÄN</t>
        </is>
      </c>
      <c r="E561" t="inlineStr">
        <is>
          <t>VIMMERBY</t>
        </is>
      </c>
      <c r="G561" t="n">
        <v>4.1</v>
      </c>
      <c r="H561" t="n">
        <v>0</v>
      </c>
      <c r="I561" t="n">
        <v>0</v>
      </c>
      <c r="J561" t="n">
        <v>0</v>
      </c>
      <c r="K561" t="n">
        <v>0</v>
      </c>
      <c r="L561" t="n">
        <v>0</v>
      </c>
      <c r="M561" t="n">
        <v>0</v>
      </c>
      <c r="N561" t="n">
        <v>0</v>
      </c>
      <c r="O561" t="n">
        <v>0</v>
      </c>
      <c r="P561" t="n">
        <v>0</v>
      </c>
      <c r="Q561" t="n">
        <v>0</v>
      </c>
      <c r="R561" s="2" t="inlineStr"/>
    </row>
    <row r="562" ht="15" customHeight="1">
      <c r="A562" t="inlineStr">
        <is>
          <t>A 15449-2023</t>
        </is>
      </c>
      <c r="B562" s="1" t="n">
        <v>45020</v>
      </c>
      <c r="C562" s="1" t="n">
        <v>45968</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43242-2024</t>
        </is>
      </c>
      <c r="B563" s="1" t="n">
        <v>45568.30189814815</v>
      </c>
      <c r="C563" s="1" t="n">
        <v>45968</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37088-2025</t>
        </is>
      </c>
      <c r="B564" s="1" t="n">
        <v>45875.45716435185</v>
      </c>
      <c r="C564" s="1" t="n">
        <v>45968</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37102-2025</t>
        </is>
      </c>
      <c r="B565" s="1" t="n">
        <v>45875.47454861111</v>
      </c>
      <c r="C565" s="1" t="n">
        <v>45968</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37079-2025</t>
        </is>
      </c>
      <c r="B566" s="1" t="n">
        <v>45875.42716435185</v>
      </c>
      <c r="C566" s="1" t="n">
        <v>45968</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61878-2020</t>
        </is>
      </c>
      <c r="B567" s="1" t="n">
        <v>44159</v>
      </c>
      <c r="C567" s="1" t="n">
        <v>45968</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47263-2023</t>
        </is>
      </c>
      <c r="B568" s="1" t="n">
        <v>45202.4209837963</v>
      </c>
      <c r="C568" s="1" t="n">
        <v>45968</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58100-2024</t>
        </is>
      </c>
      <c r="B569" s="1" t="n">
        <v>45632.36706018518</v>
      </c>
      <c r="C569" s="1" t="n">
        <v>45968</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58159-2024</t>
        </is>
      </c>
      <c r="B570" s="1" t="n">
        <v>45632.44886574074</v>
      </c>
      <c r="C570" s="1" t="n">
        <v>45968</v>
      </c>
      <c r="D570" t="inlineStr">
        <is>
          <t>KALMAR LÄN</t>
        </is>
      </c>
      <c r="E570" t="inlineStr">
        <is>
          <t>VIMMERBY</t>
        </is>
      </c>
      <c r="G570" t="n">
        <v>7.5</v>
      </c>
      <c r="H570" t="n">
        <v>0</v>
      </c>
      <c r="I570" t="n">
        <v>0</v>
      </c>
      <c r="J570" t="n">
        <v>0</v>
      </c>
      <c r="K570" t="n">
        <v>0</v>
      </c>
      <c r="L570" t="n">
        <v>0</v>
      </c>
      <c r="M570" t="n">
        <v>0</v>
      </c>
      <c r="N570" t="n">
        <v>0</v>
      </c>
      <c r="O570" t="n">
        <v>0</v>
      </c>
      <c r="P570" t="n">
        <v>0</v>
      </c>
      <c r="Q570" t="n">
        <v>0</v>
      </c>
      <c r="R570" s="2" t="inlineStr"/>
    </row>
    <row r="571" ht="15" customHeight="1">
      <c r="A571" t="inlineStr">
        <is>
          <t>A 56853-2022</t>
        </is>
      </c>
      <c r="B571" s="1" t="n">
        <v>44894.49538194444</v>
      </c>
      <c r="C571" s="1" t="n">
        <v>45968</v>
      </c>
      <c r="D571" t="inlineStr">
        <is>
          <t>KALMAR LÄN</t>
        </is>
      </c>
      <c r="E571" t="inlineStr">
        <is>
          <t>VIMMERBY</t>
        </is>
      </c>
      <c r="G571" t="n">
        <v>4.3</v>
      </c>
      <c r="H571" t="n">
        <v>0</v>
      </c>
      <c r="I571" t="n">
        <v>0</v>
      </c>
      <c r="J571" t="n">
        <v>0</v>
      </c>
      <c r="K571" t="n">
        <v>0</v>
      </c>
      <c r="L571" t="n">
        <v>0</v>
      </c>
      <c r="M571" t="n">
        <v>0</v>
      </c>
      <c r="N571" t="n">
        <v>0</v>
      </c>
      <c r="O571" t="n">
        <v>0</v>
      </c>
      <c r="P571" t="n">
        <v>0</v>
      </c>
      <c r="Q571" t="n">
        <v>0</v>
      </c>
      <c r="R571" s="2" t="inlineStr"/>
    </row>
    <row r="572" ht="15" customHeight="1">
      <c r="A572" t="inlineStr">
        <is>
          <t>A 36934-2025</t>
        </is>
      </c>
      <c r="B572" s="1" t="n">
        <v>45874.57109953704</v>
      </c>
      <c r="C572" s="1" t="n">
        <v>45968</v>
      </c>
      <c r="D572" t="inlineStr">
        <is>
          <t>KALMAR LÄN</t>
        </is>
      </c>
      <c r="E572" t="inlineStr">
        <is>
          <t>VIMMERBY</t>
        </is>
      </c>
      <c r="G572" t="n">
        <v>4.2</v>
      </c>
      <c r="H572" t="n">
        <v>0</v>
      </c>
      <c r="I572" t="n">
        <v>0</v>
      </c>
      <c r="J572" t="n">
        <v>0</v>
      </c>
      <c r="K572" t="n">
        <v>0</v>
      </c>
      <c r="L572" t="n">
        <v>0</v>
      </c>
      <c r="M572" t="n">
        <v>0</v>
      </c>
      <c r="N572" t="n">
        <v>0</v>
      </c>
      <c r="O572" t="n">
        <v>0</v>
      </c>
      <c r="P572" t="n">
        <v>0</v>
      </c>
      <c r="Q572" t="n">
        <v>0</v>
      </c>
      <c r="R572" s="2" t="inlineStr"/>
    </row>
    <row r="573" ht="15" customHeight="1">
      <c r="A573" t="inlineStr">
        <is>
          <t>A 57114-2023</t>
        </is>
      </c>
      <c r="B573" s="1" t="n">
        <v>45245.36174768519</v>
      </c>
      <c r="C573" s="1" t="n">
        <v>45968</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65049-2020</t>
        </is>
      </c>
      <c r="B574" s="1" t="n">
        <v>44172</v>
      </c>
      <c r="C574" s="1" t="n">
        <v>45968</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3423-2022</t>
        </is>
      </c>
      <c r="B575" s="1" t="n">
        <v>44585.50431712963</v>
      </c>
      <c r="C575" s="1" t="n">
        <v>45968</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40665-2023</t>
        </is>
      </c>
      <c r="B576" s="1" t="n">
        <v>45170</v>
      </c>
      <c r="C576" s="1" t="n">
        <v>45968</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33815-2022</t>
        </is>
      </c>
      <c r="B577" s="1" t="n">
        <v>44790.45876157407</v>
      </c>
      <c r="C577" s="1" t="n">
        <v>45968</v>
      </c>
      <c r="D577" t="inlineStr">
        <is>
          <t>KALMAR LÄN</t>
        </is>
      </c>
      <c r="E577" t="inlineStr">
        <is>
          <t>VIMMERBY</t>
        </is>
      </c>
      <c r="G577" t="n">
        <v>0.9</v>
      </c>
      <c r="H577" t="n">
        <v>0</v>
      </c>
      <c r="I577" t="n">
        <v>0</v>
      </c>
      <c r="J577" t="n">
        <v>0</v>
      </c>
      <c r="K577" t="n">
        <v>0</v>
      </c>
      <c r="L577" t="n">
        <v>0</v>
      </c>
      <c r="M577" t="n">
        <v>0</v>
      </c>
      <c r="N577" t="n">
        <v>0</v>
      </c>
      <c r="O577" t="n">
        <v>0</v>
      </c>
      <c r="P577" t="n">
        <v>0</v>
      </c>
      <c r="Q577" t="n">
        <v>0</v>
      </c>
      <c r="R577" s="2" t="inlineStr"/>
    </row>
    <row r="578" ht="15" customHeight="1">
      <c r="A578" t="inlineStr">
        <is>
          <t>A 33842-2022</t>
        </is>
      </c>
      <c r="B578" s="1" t="n">
        <v>44790.49523148148</v>
      </c>
      <c r="C578" s="1" t="n">
        <v>45968</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37578-2025</t>
        </is>
      </c>
      <c r="B579" s="1" t="n">
        <v>45880.38380787037</v>
      </c>
      <c r="C579" s="1" t="n">
        <v>45968</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52324-2023</t>
        </is>
      </c>
      <c r="B580" s="1" t="n">
        <v>45224.64659722222</v>
      </c>
      <c r="C580" s="1" t="n">
        <v>45968</v>
      </c>
      <c r="D580" t="inlineStr">
        <is>
          <t>KALMAR LÄN</t>
        </is>
      </c>
      <c r="E580" t="inlineStr">
        <is>
          <t>VIMMERBY</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49408-2023</t>
        </is>
      </c>
      <c r="B581" s="1" t="n">
        <v>45211.43555555555</v>
      </c>
      <c r="C581" s="1" t="n">
        <v>45968</v>
      </c>
      <c r="D581" t="inlineStr">
        <is>
          <t>KALMAR LÄN</t>
        </is>
      </c>
      <c r="E581" t="inlineStr">
        <is>
          <t>VIMMERBY</t>
        </is>
      </c>
      <c r="G581" t="n">
        <v>13.1</v>
      </c>
      <c r="H581" t="n">
        <v>0</v>
      </c>
      <c r="I581" t="n">
        <v>0</v>
      </c>
      <c r="J581" t="n">
        <v>0</v>
      </c>
      <c r="K581" t="n">
        <v>0</v>
      </c>
      <c r="L581" t="n">
        <v>0</v>
      </c>
      <c r="M581" t="n">
        <v>0</v>
      </c>
      <c r="N581" t="n">
        <v>0</v>
      </c>
      <c r="O581" t="n">
        <v>0</v>
      </c>
      <c r="P581" t="n">
        <v>0</v>
      </c>
      <c r="Q581" t="n">
        <v>0</v>
      </c>
      <c r="R581" s="2" t="inlineStr"/>
    </row>
    <row r="582" ht="15" customHeight="1">
      <c r="A582" t="inlineStr">
        <is>
          <t>A 37668-2025</t>
        </is>
      </c>
      <c r="B582" s="1" t="n">
        <v>45880.51550925926</v>
      </c>
      <c r="C582" s="1" t="n">
        <v>45968</v>
      </c>
      <c r="D582" t="inlineStr">
        <is>
          <t>KALMAR LÄN</t>
        </is>
      </c>
      <c r="E582" t="inlineStr">
        <is>
          <t>VIMMERBY</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56536-2022</t>
        </is>
      </c>
      <c r="B583" s="1" t="n">
        <v>44893</v>
      </c>
      <c r="C583" s="1" t="n">
        <v>45968</v>
      </c>
      <c r="D583" t="inlineStr">
        <is>
          <t>KALMAR LÄN</t>
        </is>
      </c>
      <c r="E583" t="inlineStr">
        <is>
          <t>VIMMERBY</t>
        </is>
      </c>
      <c r="G583" t="n">
        <v>3.2</v>
      </c>
      <c r="H583" t="n">
        <v>0</v>
      </c>
      <c r="I583" t="n">
        <v>0</v>
      </c>
      <c r="J583" t="n">
        <v>0</v>
      </c>
      <c r="K583" t="n">
        <v>0</v>
      </c>
      <c r="L583" t="n">
        <v>0</v>
      </c>
      <c r="M583" t="n">
        <v>0</v>
      </c>
      <c r="N583" t="n">
        <v>0</v>
      </c>
      <c r="O583" t="n">
        <v>0</v>
      </c>
      <c r="P583" t="n">
        <v>0</v>
      </c>
      <c r="Q583" t="n">
        <v>0</v>
      </c>
      <c r="R583" s="2" t="inlineStr"/>
    </row>
    <row r="584" ht="15" customHeight="1">
      <c r="A584" t="inlineStr">
        <is>
          <t>A 50860-2022</t>
        </is>
      </c>
      <c r="B584" s="1" t="n">
        <v>44867</v>
      </c>
      <c r="C584" s="1" t="n">
        <v>45968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25370-2022</t>
        </is>
      </c>
      <c r="B585" s="1" t="n">
        <v>44732.3659837963</v>
      </c>
      <c r="C585" s="1" t="n">
        <v>45968</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41199-2023</t>
        </is>
      </c>
      <c r="B586" s="1" t="n">
        <v>45174.40454861111</v>
      </c>
      <c r="C586" s="1" t="n">
        <v>45968</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58577-2024</t>
        </is>
      </c>
      <c r="B587" s="1" t="n">
        <v>45635.4874537037</v>
      </c>
      <c r="C587" s="1" t="n">
        <v>45968</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17988-2025</t>
        </is>
      </c>
      <c r="B588" s="1" t="n">
        <v>45761.39600694444</v>
      </c>
      <c r="C588" s="1" t="n">
        <v>45968</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23341-2022</t>
        </is>
      </c>
      <c r="B589" s="1" t="n">
        <v>44720.53898148148</v>
      </c>
      <c r="C589" s="1" t="n">
        <v>45968</v>
      </c>
      <c r="D589" t="inlineStr">
        <is>
          <t>KALMAR LÄN</t>
        </is>
      </c>
      <c r="E589" t="inlineStr">
        <is>
          <t>VIMMERBY</t>
        </is>
      </c>
      <c r="G589" t="n">
        <v>0.8</v>
      </c>
      <c r="H589" t="n">
        <v>0</v>
      </c>
      <c r="I589" t="n">
        <v>0</v>
      </c>
      <c r="J589" t="n">
        <v>0</v>
      </c>
      <c r="K589" t="n">
        <v>0</v>
      </c>
      <c r="L589" t="n">
        <v>0</v>
      </c>
      <c r="M589" t="n">
        <v>0</v>
      </c>
      <c r="N589" t="n">
        <v>0</v>
      </c>
      <c r="O589" t="n">
        <v>0</v>
      </c>
      <c r="P589" t="n">
        <v>0</v>
      </c>
      <c r="Q589" t="n">
        <v>0</v>
      </c>
      <c r="R589" s="2" t="inlineStr"/>
    </row>
    <row r="590" ht="15" customHeight="1">
      <c r="A590" t="inlineStr">
        <is>
          <t>A 37939-2025</t>
        </is>
      </c>
      <c r="B590" s="1" t="n">
        <v>45881.59877314815</v>
      </c>
      <c r="C590" s="1" t="n">
        <v>45968</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29440-2024</t>
        </is>
      </c>
      <c r="B591" s="1" t="n">
        <v>45483.82479166667</v>
      </c>
      <c r="C591" s="1" t="n">
        <v>45968</v>
      </c>
      <c r="D591" t="inlineStr">
        <is>
          <t>KALMAR LÄN</t>
        </is>
      </c>
      <c r="E591" t="inlineStr">
        <is>
          <t>VIMMERBY</t>
        </is>
      </c>
      <c r="G591" t="n">
        <v>4.5</v>
      </c>
      <c r="H591" t="n">
        <v>0</v>
      </c>
      <c r="I591" t="n">
        <v>0</v>
      </c>
      <c r="J591" t="n">
        <v>0</v>
      </c>
      <c r="K591" t="n">
        <v>0</v>
      </c>
      <c r="L591" t="n">
        <v>0</v>
      </c>
      <c r="M591" t="n">
        <v>0</v>
      </c>
      <c r="N591" t="n">
        <v>0</v>
      </c>
      <c r="O591" t="n">
        <v>0</v>
      </c>
      <c r="P591" t="n">
        <v>0</v>
      </c>
      <c r="Q591" t="n">
        <v>0</v>
      </c>
      <c r="R591" s="2" t="inlineStr"/>
    </row>
    <row r="592" ht="15" customHeight="1">
      <c r="A592" t="inlineStr">
        <is>
          <t>A 37866-2025</t>
        </is>
      </c>
      <c r="B592" s="1" t="n">
        <v>45881</v>
      </c>
      <c r="C592" s="1" t="n">
        <v>45968</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8945-2025</t>
        </is>
      </c>
      <c r="B593" s="1" t="n">
        <v>45713.45311342592</v>
      </c>
      <c r="C593" s="1" t="n">
        <v>45968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37028-2024</t>
        </is>
      </c>
      <c r="B594" s="1" t="n">
        <v>45539.38744212963</v>
      </c>
      <c r="C594" s="1" t="n">
        <v>45968</v>
      </c>
      <c r="D594" t="inlineStr">
        <is>
          <t>KALMAR LÄN</t>
        </is>
      </c>
      <c r="E594" t="inlineStr">
        <is>
          <t>VIMMERBY</t>
        </is>
      </c>
      <c r="G594" t="n">
        <v>5.2</v>
      </c>
      <c r="H594" t="n">
        <v>0</v>
      </c>
      <c r="I594" t="n">
        <v>0</v>
      </c>
      <c r="J594" t="n">
        <v>0</v>
      </c>
      <c r="K594" t="n">
        <v>0</v>
      </c>
      <c r="L594" t="n">
        <v>0</v>
      </c>
      <c r="M594" t="n">
        <v>0</v>
      </c>
      <c r="N594" t="n">
        <v>0</v>
      </c>
      <c r="O594" t="n">
        <v>0</v>
      </c>
      <c r="P594" t="n">
        <v>0</v>
      </c>
      <c r="Q594" t="n">
        <v>0</v>
      </c>
      <c r="R594" s="2" t="inlineStr"/>
    </row>
    <row r="595" ht="15" customHeight="1">
      <c r="A595" t="inlineStr">
        <is>
          <t>A 11619-2023</t>
        </is>
      </c>
      <c r="B595" s="1" t="n">
        <v>44994.42113425926</v>
      </c>
      <c r="C595" s="1" t="n">
        <v>45968</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9129-2025</t>
        </is>
      </c>
      <c r="B596" s="1" t="n">
        <v>45713.92412037037</v>
      </c>
      <c r="C596" s="1" t="n">
        <v>45968</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22197-2024</t>
        </is>
      </c>
      <c r="B597" s="1" t="n">
        <v>45446.36774305555</v>
      </c>
      <c r="C597" s="1" t="n">
        <v>45968</v>
      </c>
      <c r="D597" t="inlineStr">
        <is>
          <t>KALMAR LÄN</t>
        </is>
      </c>
      <c r="E597" t="inlineStr">
        <is>
          <t>VIMMERBY</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53752-2024</t>
        </is>
      </c>
      <c r="B598" s="1" t="n">
        <v>45615.48927083334</v>
      </c>
      <c r="C598" s="1" t="n">
        <v>45968</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41896-2023</t>
        </is>
      </c>
      <c r="B599" s="1" t="n">
        <v>45176.72427083334</v>
      </c>
      <c r="C599" s="1" t="n">
        <v>45968</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6668-2023</t>
        </is>
      </c>
      <c r="B600" s="1" t="n">
        <v>44966</v>
      </c>
      <c r="C600" s="1" t="n">
        <v>45968</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29168-2024</t>
        </is>
      </c>
      <c r="B601" s="1" t="n">
        <v>45482.49870370371</v>
      </c>
      <c r="C601" s="1" t="n">
        <v>45968</v>
      </c>
      <c r="D601" t="inlineStr">
        <is>
          <t>KALMAR LÄN</t>
        </is>
      </c>
      <c r="E601" t="inlineStr">
        <is>
          <t>VIMMERBY</t>
        </is>
      </c>
      <c r="G601" t="n">
        <v>1.4</v>
      </c>
      <c r="H601" t="n">
        <v>0</v>
      </c>
      <c r="I601" t="n">
        <v>0</v>
      </c>
      <c r="J601" t="n">
        <v>0</v>
      </c>
      <c r="K601" t="n">
        <v>0</v>
      </c>
      <c r="L601" t="n">
        <v>0</v>
      </c>
      <c r="M601" t="n">
        <v>0</v>
      </c>
      <c r="N601" t="n">
        <v>0</v>
      </c>
      <c r="O601" t="n">
        <v>0</v>
      </c>
      <c r="P601" t="n">
        <v>0</v>
      </c>
      <c r="Q601" t="n">
        <v>0</v>
      </c>
      <c r="R601" s="2" t="inlineStr"/>
    </row>
    <row r="602" ht="15" customHeight="1">
      <c r="A602" t="inlineStr">
        <is>
          <t>A 38964-2025</t>
        </is>
      </c>
      <c r="B602" s="1" t="n">
        <v>45887.68759259259</v>
      </c>
      <c r="C602" s="1" t="n">
        <v>45968</v>
      </c>
      <c r="D602" t="inlineStr">
        <is>
          <t>KALMAR LÄN</t>
        </is>
      </c>
      <c r="E602" t="inlineStr">
        <is>
          <t>VIMMERBY</t>
        </is>
      </c>
      <c r="G602" t="n">
        <v>7.5</v>
      </c>
      <c r="H602" t="n">
        <v>0</v>
      </c>
      <c r="I602" t="n">
        <v>0</v>
      </c>
      <c r="J602" t="n">
        <v>0</v>
      </c>
      <c r="K602" t="n">
        <v>0</v>
      </c>
      <c r="L602" t="n">
        <v>0</v>
      </c>
      <c r="M602" t="n">
        <v>0</v>
      </c>
      <c r="N602" t="n">
        <v>0</v>
      </c>
      <c r="O602" t="n">
        <v>0</v>
      </c>
      <c r="P602" t="n">
        <v>0</v>
      </c>
      <c r="Q602" t="n">
        <v>0</v>
      </c>
      <c r="R602" s="2" t="inlineStr"/>
    </row>
    <row r="603" ht="15" customHeight="1">
      <c r="A603" t="inlineStr">
        <is>
          <t>A 45856-2025</t>
        </is>
      </c>
      <c r="B603" s="1" t="n">
        <v>45923</v>
      </c>
      <c r="C603" s="1" t="n">
        <v>45968</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8086-2021</t>
        </is>
      </c>
      <c r="B604" s="1" t="n">
        <v>44243</v>
      </c>
      <c r="C604" s="1" t="n">
        <v>45968</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55236-2023</t>
        </is>
      </c>
      <c r="B605" s="1" t="n">
        <v>45237.63225694445</v>
      </c>
      <c r="C605" s="1" t="n">
        <v>45968</v>
      </c>
      <c r="D605" t="inlineStr">
        <is>
          <t>KALMAR LÄN</t>
        </is>
      </c>
      <c r="E605" t="inlineStr">
        <is>
          <t>VIMMERBY</t>
        </is>
      </c>
      <c r="G605" t="n">
        <v>1.1</v>
      </c>
      <c r="H605" t="n">
        <v>0</v>
      </c>
      <c r="I605" t="n">
        <v>0</v>
      </c>
      <c r="J605" t="n">
        <v>0</v>
      </c>
      <c r="K605" t="n">
        <v>0</v>
      </c>
      <c r="L605" t="n">
        <v>0</v>
      </c>
      <c r="M605" t="n">
        <v>0</v>
      </c>
      <c r="N605" t="n">
        <v>0</v>
      </c>
      <c r="O605" t="n">
        <v>0</v>
      </c>
      <c r="P605" t="n">
        <v>0</v>
      </c>
      <c r="Q605" t="n">
        <v>0</v>
      </c>
      <c r="R605" s="2" t="inlineStr"/>
    </row>
    <row r="606" ht="15" customHeight="1">
      <c r="A606" t="inlineStr">
        <is>
          <t>A 55245-2023</t>
        </is>
      </c>
      <c r="B606" s="1" t="n">
        <v>45237.64408564815</v>
      </c>
      <c r="C606" s="1" t="n">
        <v>45968</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12121-2025</t>
        </is>
      </c>
      <c r="B607" s="1" t="n">
        <v>45729.36868055556</v>
      </c>
      <c r="C607" s="1" t="n">
        <v>45968</v>
      </c>
      <c r="D607" t="inlineStr">
        <is>
          <t>KALMAR LÄN</t>
        </is>
      </c>
      <c r="E607" t="inlineStr">
        <is>
          <t>VIMMERBY</t>
        </is>
      </c>
      <c r="G607" t="n">
        <v>4.3</v>
      </c>
      <c r="H607" t="n">
        <v>0</v>
      </c>
      <c r="I607" t="n">
        <v>0</v>
      </c>
      <c r="J607" t="n">
        <v>0</v>
      </c>
      <c r="K607" t="n">
        <v>0</v>
      </c>
      <c r="L607" t="n">
        <v>0</v>
      </c>
      <c r="M607" t="n">
        <v>0</v>
      </c>
      <c r="N607" t="n">
        <v>0</v>
      </c>
      <c r="O607" t="n">
        <v>0</v>
      </c>
      <c r="P607" t="n">
        <v>0</v>
      </c>
      <c r="Q607" t="n">
        <v>0</v>
      </c>
      <c r="R607" s="2" t="inlineStr"/>
    </row>
    <row r="608" ht="15" customHeight="1">
      <c r="A608" t="inlineStr">
        <is>
          <t>A 36055-2024</t>
        </is>
      </c>
      <c r="B608" s="1" t="n">
        <v>45533.63056712963</v>
      </c>
      <c r="C608" s="1" t="n">
        <v>45968</v>
      </c>
      <c r="D608" t="inlineStr">
        <is>
          <t>KALMAR LÄN</t>
        </is>
      </c>
      <c r="E608" t="inlineStr">
        <is>
          <t>VIMMERBY</t>
        </is>
      </c>
      <c r="F608" t="inlineStr">
        <is>
          <t>Kommuner</t>
        </is>
      </c>
      <c r="G608" t="n">
        <v>1.9</v>
      </c>
      <c r="H608" t="n">
        <v>0</v>
      </c>
      <c r="I608" t="n">
        <v>0</v>
      </c>
      <c r="J608" t="n">
        <v>0</v>
      </c>
      <c r="K608" t="n">
        <v>0</v>
      </c>
      <c r="L608" t="n">
        <v>0</v>
      </c>
      <c r="M608" t="n">
        <v>0</v>
      </c>
      <c r="N608" t="n">
        <v>0</v>
      </c>
      <c r="O608" t="n">
        <v>0</v>
      </c>
      <c r="P608" t="n">
        <v>0</v>
      </c>
      <c r="Q608" t="n">
        <v>0</v>
      </c>
      <c r="R608" s="2" t="inlineStr"/>
    </row>
    <row r="609" ht="15" customHeight="1">
      <c r="A609" t="inlineStr">
        <is>
          <t>A 17926-2025</t>
        </is>
      </c>
      <c r="B609" s="1" t="n">
        <v>45759.38987268518</v>
      </c>
      <c r="C609" s="1" t="n">
        <v>45968</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21028-2023</t>
        </is>
      </c>
      <c r="B610" s="1" t="n">
        <v>45061</v>
      </c>
      <c r="C610" s="1" t="n">
        <v>45968</v>
      </c>
      <c r="D610" t="inlineStr">
        <is>
          <t>KALMAR LÄN</t>
        </is>
      </c>
      <c r="E610" t="inlineStr">
        <is>
          <t>VIMMERBY</t>
        </is>
      </c>
      <c r="F610" t="inlineStr">
        <is>
          <t>Övriga Aktiebolag</t>
        </is>
      </c>
      <c r="G610" t="n">
        <v>0.7</v>
      </c>
      <c r="H610" t="n">
        <v>0</v>
      </c>
      <c r="I610" t="n">
        <v>0</v>
      </c>
      <c r="J610" t="n">
        <v>0</v>
      </c>
      <c r="K610" t="n">
        <v>0</v>
      </c>
      <c r="L610" t="n">
        <v>0</v>
      </c>
      <c r="M610" t="n">
        <v>0</v>
      </c>
      <c r="N610" t="n">
        <v>0</v>
      </c>
      <c r="O610" t="n">
        <v>0</v>
      </c>
      <c r="P610" t="n">
        <v>0</v>
      </c>
      <c r="Q610" t="n">
        <v>0</v>
      </c>
      <c r="R610" s="2" t="inlineStr"/>
    </row>
    <row r="611" ht="15" customHeight="1">
      <c r="A611" t="inlineStr">
        <is>
          <t>A 9710-2023</t>
        </is>
      </c>
      <c r="B611" s="1" t="n">
        <v>44984</v>
      </c>
      <c r="C611" s="1" t="n">
        <v>45968</v>
      </c>
      <c r="D611" t="inlineStr">
        <is>
          <t>KALMAR LÄN</t>
        </is>
      </c>
      <c r="E611" t="inlineStr">
        <is>
          <t>VIMMERBY</t>
        </is>
      </c>
      <c r="G611" t="n">
        <v>3.7</v>
      </c>
      <c r="H611" t="n">
        <v>0</v>
      </c>
      <c r="I611" t="n">
        <v>0</v>
      </c>
      <c r="J611" t="n">
        <v>0</v>
      </c>
      <c r="K611" t="n">
        <v>0</v>
      </c>
      <c r="L611" t="n">
        <v>0</v>
      </c>
      <c r="M611" t="n">
        <v>0</v>
      </c>
      <c r="N611" t="n">
        <v>0</v>
      </c>
      <c r="O611" t="n">
        <v>0</v>
      </c>
      <c r="P611" t="n">
        <v>0</v>
      </c>
      <c r="Q611" t="n">
        <v>0</v>
      </c>
      <c r="R611" s="2" t="inlineStr"/>
    </row>
    <row r="612" ht="15" customHeight="1">
      <c r="A612" t="inlineStr">
        <is>
          <t>A 9720-2023</t>
        </is>
      </c>
      <c r="B612" s="1" t="n">
        <v>44984</v>
      </c>
      <c r="C612" s="1" t="n">
        <v>45968</v>
      </c>
      <c r="D612" t="inlineStr">
        <is>
          <t>KALMAR LÄN</t>
        </is>
      </c>
      <c r="E612" t="inlineStr">
        <is>
          <t>VIMMERBY</t>
        </is>
      </c>
      <c r="G612" t="n">
        <v>4.4</v>
      </c>
      <c r="H612" t="n">
        <v>0</v>
      </c>
      <c r="I612" t="n">
        <v>0</v>
      </c>
      <c r="J612" t="n">
        <v>0</v>
      </c>
      <c r="K612" t="n">
        <v>0</v>
      </c>
      <c r="L612" t="n">
        <v>0</v>
      </c>
      <c r="M612" t="n">
        <v>0</v>
      </c>
      <c r="N612" t="n">
        <v>0</v>
      </c>
      <c r="O612" t="n">
        <v>0</v>
      </c>
      <c r="P612" t="n">
        <v>0</v>
      </c>
      <c r="Q612" t="n">
        <v>0</v>
      </c>
      <c r="R612" s="2" t="inlineStr"/>
    </row>
    <row r="613" ht="15" customHeight="1">
      <c r="A613" t="inlineStr">
        <is>
          <t>A 19445-2021</t>
        </is>
      </c>
      <c r="B613" s="1" t="n">
        <v>44310</v>
      </c>
      <c r="C613" s="1" t="n">
        <v>45968</v>
      </c>
      <c r="D613" t="inlineStr">
        <is>
          <t>KALMAR LÄN</t>
        </is>
      </c>
      <c r="E613" t="inlineStr">
        <is>
          <t>VIMMERBY</t>
        </is>
      </c>
      <c r="G613" t="n">
        <v>6.8</v>
      </c>
      <c r="H613" t="n">
        <v>0</v>
      </c>
      <c r="I613" t="n">
        <v>0</v>
      </c>
      <c r="J613" t="n">
        <v>0</v>
      </c>
      <c r="K613" t="n">
        <v>0</v>
      </c>
      <c r="L613" t="n">
        <v>0</v>
      </c>
      <c r="M613" t="n">
        <v>0</v>
      </c>
      <c r="N613" t="n">
        <v>0</v>
      </c>
      <c r="O613" t="n">
        <v>0</v>
      </c>
      <c r="P613" t="n">
        <v>0</v>
      </c>
      <c r="Q613" t="n">
        <v>0</v>
      </c>
      <c r="R613" s="2" t="inlineStr"/>
    </row>
    <row r="614" ht="15" customHeight="1">
      <c r="A614" t="inlineStr">
        <is>
          <t>A 15493-2023</t>
        </is>
      </c>
      <c r="B614" s="1" t="n">
        <v>45018</v>
      </c>
      <c r="C614" s="1" t="n">
        <v>45968</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27122-2023</t>
        </is>
      </c>
      <c r="B615" s="1" t="n">
        <v>45096.45247685185</v>
      </c>
      <c r="C615" s="1" t="n">
        <v>45968</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13813-2024</t>
        </is>
      </c>
      <c r="B616" s="1" t="n">
        <v>45391.41310185185</v>
      </c>
      <c r="C616" s="1" t="n">
        <v>45968</v>
      </c>
      <c r="D616" t="inlineStr">
        <is>
          <t>KALMAR LÄN</t>
        </is>
      </c>
      <c r="E616" t="inlineStr">
        <is>
          <t>VIMMERBY</t>
        </is>
      </c>
      <c r="G616" t="n">
        <v>0.4</v>
      </c>
      <c r="H616" t="n">
        <v>0</v>
      </c>
      <c r="I616" t="n">
        <v>0</v>
      </c>
      <c r="J616" t="n">
        <v>0</v>
      </c>
      <c r="K616" t="n">
        <v>0</v>
      </c>
      <c r="L616" t="n">
        <v>0</v>
      </c>
      <c r="M616" t="n">
        <v>0</v>
      </c>
      <c r="N616" t="n">
        <v>0</v>
      </c>
      <c r="O616" t="n">
        <v>0</v>
      </c>
      <c r="P616" t="n">
        <v>0</v>
      </c>
      <c r="Q616" t="n">
        <v>0</v>
      </c>
      <c r="R616" s="2" t="inlineStr"/>
    </row>
    <row r="617" ht="15" customHeight="1">
      <c r="A617" t="inlineStr">
        <is>
          <t>A 38969-2023</t>
        </is>
      </c>
      <c r="B617" s="1" t="n">
        <v>45163.63621527778</v>
      </c>
      <c r="C617" s="1" t="n">
        <v>45968</v>
      </c>
      <c r="D617" t="inlineStr">
        <is>
          <t>KALMAR LÄN</t>
        </is>
      </c>
      <c r="E617" t="inlineStr">
        <is>
          <t>VIMMERBY</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26937-2023</t>
        </is>
      </c>
      <c r="B618" s="1" t="n">
        <v>45093.62777777778</v>
      </c>
      <c r="C618" s="1" t="n">
        <v>45968</v>
      </c>
      <c r="D618" t="inlineStr">
        <is>
          <t>KALMAR LÄN</t>
        </is>
      </c>
      <c r="E618" t="inlineStr">
        <is>
          <t>VIMMERBY</t>
        </is>
      </c>
      <c r="F618" t="inlineStr">
        <is>
          <t>Sveaskog</t>
        </is>
      </c>
      <c r="G618" t="n">
        <v>14.5</v>
      </c>
      <c r="H618" t="n">
        <v>0</v>
      </c>
      <c r="I618" t="n">
        <v>0</v>
      </c>
      <c r="J618" t="n">
        <v>0</v>
      </c>
      <c r="K618" t="n">
        <v>0</v>
      </c>
      <c r="L618" t="n">
        <v>0</v>
      </c>
      <c r="M618" t="n">
        <v>0</v>
      </c>
      <c r="N618" t="n">
        <v>0</v>
      </c>
      <c r="O618" t="n">
        <v>0</v>
      </c>
      <c r="P618" t="n">
        <v>0</v>
      </c>
      <c r="Q618" t="n">
        <v>0</v>
      </c>
      <c r="R618" s="2" t="inlineStr"/>
    </row>
    <row r="619" ht="15" customHeight="1">
      <c r="A619" t="inlineStr">
        <is>
          <t>A 57486-2024</t>
        </is>
      </c>
      <c r="B619" s="1" t="n">
        <v>45630.35827546296</v>
      </c>
      <c r="C619" s="1" t="n">
        <v>45968</v>
      </c>
      <c r="D619" t="inlineStr">
        <is>
          <t>KALMAR LÄN</t>
        </is>
      </c>
      <c r="E619" t="inlineStr">
        <is>
          <t>VIMMERBY</t>
        </is>
      </c>
      <c r="G619" t="n">
        <v>0.4</v>
      </c>
      <c r="H619" t="n">
        <v>0</v>
      </c>
      <c r="I619" t="n">
        <v>0</v>
      </c>
      <c r="J619" t="n">
        <v>0</v>
      </c>
      <c r="K619" t="n">
        <v>0</v>
      </c>
      <c r="L619" t="n">
        <v>0</v>
      </c>
      <c r="M619" t="n">
        <v>0</v>
      </c>
      <c r="N619" t="n">
        <v>0</v>
      </c>
      <c r="O619" t="n">
        <v>0</v>
      </c>
      <c r="P619" t="n">
        <v>0</v>
      </c>
      <c r="Q619" t="n">
        <v>0</v>
      </c>
      <c r="R619" s="2" t="inlineStr"/>
    </row>
    <row r="620" ht="15" customHeight="1">
      <c r="A620" t="inlineStr">
        <is>
          <t>A 43186-2021</t>
        </is>
      </c>
      <c r="B620" s="1" t="n">
        <v>44431.84840277778</v>
      </c>
      <c r="C620" s="1" t="n">
        <v>45968</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1799-2025</t>
        </is>
      </c>
      <c r="B621" s="1" t="n">
        <v>45671.46746527778</v>
      </c>
      <c r="C621" s="1" t="n">
        <v>45968</v>
      </c>
      <c r="D621" t="inlineStr">
        <is>
          <t>KALMAR LÄN</t>
        </is>
      </c>
      <c r="E621" t="inlineStr">
        <is>
          <t>VIMMERBY</t>
        </is>
      </c>
      <c r="G621" t="n">
        <v>3.3</v>
      </c>
      <c r="H621" t="n">
        <v>0</v>
      </c>
      <c r="I621" t="n">
        <v>0</v>
      </c>
      <c r="J621" t="n">
        <v>0</v>
      </c>
      <c r="K621" t="n">
        <v>0</v>
      </c>
      <c r="L621" t="n">
        <v>0</v>
      </c>
      <c r="M621" t="n">
        <v>0</v>
      </c>
      <c r="N621" t="n">
        <v>0</v>
      </c>
      <c r="O621" t="n">
        <v>0</v>
      </c>
      <c r="P621" t="n">
        <v>0</v>
      </c>
      <c r="Q621" t="n">
        <v>0</v>
      </c>
      <c r="R621" s="2" t="inlineStr"/>
    </row>
    <row r="622" ht="15" customHeight="1">
      <c r="A622" t="inlineStr">
        <is>
          <t>A 30063-2023</t>
        </is>
      </c>
      <c r="B622" s="1" t="n">
        <v>45110.4184375</v>
      </c>
      <c r="C622" s="1" t="n">
        <v>45968</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29093-2023</t>
        </is>
      </c>
      <c r="B623" s="1" t="n">
        <v>45105</v>
      </c>
      <c r="C623" s="1" t="n">
        <v>45968</v>
      </c>
      <c r="D623" t="inlineStr">
        <is>
          <t>KALMAR LÄN</t>
        </is>
      </c>
      <c r="E623" t="inlineStr">
        <is>
          <t>VIMMERBY</t>
        </is>
      </c>
      <c r="G623" t="n">
        <v>2.9</v>
      </c>
      <c r="H623" t="n">
        <v>0</v>
      </c>
      <c r="I623" t="n">
        <v>0</v>
      </c>
      <c r="J623" t="n">
        <v>0</v>
      </c>
      <c r="K623" t="n">
        <v>0</v>
      </c>
      <c r="L623" t="n">
        <v>0</v>
      </c>
      <c r="M623" t="n">
        <v>0</v>
      </c>
      <c r="N623" t="n">
        <v>0</v>
      </c>
      <c r="O623" t="n">
        <v>0</v>
      </c>
      <c r="P623" t="n">
        <v>0</v>
      </c>
      <c r="Q623" t="n">
        <v>0</v>
      </c>
      <c r="R623" s="2" t="inlineStr"/>
    </row>
    <row r="624" ht="15" customHeight="1">
      <c r="A624" t="inlineStr">
        <is>
          <t>A 33352-2022</t>
        </is>
      </c>
      <c r="B624" s="1" t="n">
        <v>44788</v>
      </c>
      <c r="C624" s="1" t="n">
        <v>45968</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10674-2021</t>
        </is>
      </c>
      <c r="B625" s="1" t="n">
        <v>44258</v>
      </c>
      <c r="C625" s="1" t="n">
        <v>45968</v>
      </c>
      <c r="D625" t="inlineStr">
        <is>
          <t>KALMAR LÄN</t>
        </is>
      </c>
      <c r="E625" t="inlineStr">
        <is>
          <t>VIMMERBY</t>
        </is>
      </c>
      <c r="G625" t="n">
        <v>8.4</v>
      </c>
      <c r="H625" t="n">
        <v>0</v>
      </c>
      <c r="I625" t="n">
        <v>0</v>
      </c>
      <c r="J625" t="n">
        <v>0</v>
      </c>
      <c r="K625" t="n">
        <v>0</v>
      </c>
      <c r="L625" t="n">
        <v>0</v>
      </c>
      <c r="M625" t="n">
        <v>0</v>
      </c>
      <c r="N625" t="n">
        <v>0</v>
      </c>
      <c r="O625" t="n">
        <v>0</v>
      </c>
      <c r="P625" t="n">
        <v>0</v>
      </c>
      <c r="Q625" t="n">
        <v>0</v>
      </c>
      <c r="R625" s="2" t="inlineStr"/>
    </row>
    <row r="626" ht="15" customHeight="1">
      <c r="A626" t="inlineStr">
        <is>
          <t>A 22264-2023</t>
        </is>
      </c>
      <c r="B626" s="1" t="n">
        <v>45070.3665625</v>
      </c>
      <c r="C626" s="1" t="n">
        <v>45968</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43068-2023</t>
        </is>
      </c>
      <c r="B627" s="1" t="n">
        <v>45182.78834490741</v>
      </c>
      <c r="C627" s="1" t="n">
        <v>45968</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16676-2023</t>
        </is>
      </c>
      <c r="B628" s="1" t="n">
        <v>45028</v>
      </c>
      <c r="C628" s="1" t="n">
        <v>45968</v>
      </c>
      <c r="D628" t="inlineStr">
        <is>
          <t>KALMAR LÄN</t>
        </is>
      </c>
      <c r="E628" t="inlineStr">
        <is>
          <t>VIMMERBY</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6220-2025</t>
        </is>
      </c>
      <c r="B629" s="1" t="n">
        <v>45698.53725694444</v>
      </c>
      <c r="C629" s="1" t="n">
        <v>45968</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18020-2025</t>
        </is>
      </c>
      <c r="B630" s="1" t="n">
        <v>45761.4437962963</v>
      </c>
      <c r="C630" s="1" t="n">
        <v>45968</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33424-2023</t>
        </is>
      </c>
      <c r="B631" s="1" t="n">
        <v>45128.9325</v>
      </c>
      <c r="C631" s="1" t="n">
        <v>45968</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33425-2023</t>
        </is>
      </c>
      <c r="B632" s="1" t="n">
        <v>45128.93540509259</v>
      </c>
      <c r="C632" s="1" t="n">
        <v>45968</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12327-2023</t>
        </is>
      </c>
      <c r="B633" s="1" t="n">
        <v>44999.36081018519</v>
      </c>
      <c r="C633" s="1" t="n">
        <v>45968</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24096-2024</t>
        </is>
      </c>
      <c r="B634" s="1" t="n">
        <v>45456.59289351852</v>
      </c>
      <c r="C634" s="1" t="n">
        <v>45968</v>
      </c>
      <c r="D634" t="inlineStr">
        <is>
          <t>KALMAR LÄN</t>
        </is>
      </c>
      <c r="E634" t="inlineStr">
        <is>
          <t>VIMMERBY</t>
        </is>
      </c>
      <c r="G634" t="n">
        <v>2.3</v>
      </c>
      <c r="H634" t="n">
        <v>0</v>
      </c>
      <c r="I634" t="n">
        <v>0</v>
      </c>
      <c r="J634" t="n">
        <v>0</v>
      </c>
      <c r="K634" t="n">
        <v>0</v>
      </c>
      <c r="L634" t="n">
        <v>0</v>
      </c>
      <c r="M634" t="n">
        <v>0</v>
      </c>
      <c r="N634" t="n">
        <v>0</v>
      </c>
      <c r="O634" t="n">
        <v>0</v>
      </c>
      <c r="P634" t="n">
        <v>0</v>
      </c>
      <c r="Q634" t="n">
        <v>0</v>
      </c>
      <c r="R634" s="2" t="inlineStr"/>
    </row>
    <row r="635" ht="15" customHeight="1">
      <c r="A635" t="inlineStr">
        <is>
          <t>A 43092-2024</t>
        </is>
      </c>
      <c r="B635" s="1" t="n">
        <v>45567</v>
      </c>
      <c r="C635" s="1" t="n">
        <v>45968</v>
      </c>
      <c r="D635" t="inlineStr">
        <is>
          <t>KALMAR LÄN</t>
        </is>
      </c>
      <c r="E635" t="inlineStr">
        <is>
          <t>VIMMERBY</t>
        </is>
      </c>
      <c r="G635" t="n">
        <v>2.7</v>
      </c>
      <c r="H635" t="n">
        <v>0</v>
      </c>
      <c r="I635" t="n">
        <v>0</v>
      </c>
      <c r="J635" t="n">
        <v>0</v>
      </c>
      <c r="K635" t="n">
        <v>0</v>
      </c>
      <c r="L635" t="n">
        <v>0</v>
      </c>
      <c r="M635" t="n">
        <v>0</v>
      </c>
      <c r="N635" t="n">
        <v>0</v>
      </c>
      <c r="O635" t="n">
        <v>0</v>
      </c>
      <c r="P635" t="n">
        <v>0</v>
      </c>
      <c r="Q635" t="n">
        <v>0</v>
      </c>
      <c r="R635" s="2" t="inlineStr"/>
    </row>
    <row r="636" ht="15" customHeight="1">
      <c r="A636" t="inlineStr">
        <is>
          <t>A 29013-2024</t>
        </is>
      </c>
      <c r="B636" s="1" t="n">
        <v>45481.55984953704</v>
      </c>
      <c r="C636" s="1" t="n">
        <v>45968</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6066-2023</t>
        </is>
      </c>
      <c r="B637" s="1" t="n">
        <v>44964.50894675926</v>
      </c>
      <c r="C637" s="1" t="n">
        <v>45968</v>
      </c>
      <c r="D637" t="inlineStr">
        <is>
          <t>KALMAR LÄN</t>
        </is>
      </c>
      <c r="E637" t="inlineStr">
        <is>
          <t>VIMMERBY</t>
        </is>
      </c>
      <c r="G637" t="n">
        <v>2.8</v>
      </c>
      <c r="H637" t="n">
        <v>0</v>
      </c>
      <c r="I637" t="n">
        <v>0</v>
      </c>
      <c r="J637" t="n">
        <v>0</v>
      </c>
      <c r="K637" t="n">
        <v>0</v>
      </c>
      <c r="L637" t="n">
        <v>0</v>
      </c>
      <c r="M637" t="n">
        <v>0</v>
      </c>
      <c r="N637" t="n">
        <v>0</v>
      </c>
      <c r="O637" t="n">
        <v>0</v>
      </c>
      <c r="P637" t="n">
        <v>0</v>
      </c>
      <c r="Q637" t="n">
        <v>0</v>
      </c>
      <c r="R637" s="2" t="inlineStr"/>
    </row>
    <row r="638" ht="15" customHeight="1">
      <c r="A638" t="inlineStr">
        <is>
          <t>A 59955-2023</t>
        </is>
      </c>
      <c r="B638" s="1" t="n">
        <v>45257.70313657408</v>
      </c>
      <c r="C638" s="1" t="n">
        <v>45968</v>
      </c>
      <c r="D638" t="inlineStr">
        <is>
          <t>KALMAR LÄN</t>
        </is>
      </c>
      <c r="E638" t="inlineStr">
        <is>
          <t>VIMMERBY</t>
        </is>
      </c>
      <c r="G638" t="n">
        <v>13.8</v>
      </c>
      <c r="H638" t="n">
        <v>0</v>
      </c>
      <c r="I638" t="n">
        <v>0</v>
      </c>
      <c r="J638" t="n">
        <v>0</v>
      </c>
      <c r="K638" t="n">
        <v>0</v>
      </c>
      <c r="L638" t="n">
        <v>0</v>
      </c>
      <c r="M638" t="n">
        <v>0</v>
      </c>
      <c r="N638" t="n">
        <v>0</v>
      </c>
      <c r="O638" t="n">
        <v>0</v>
      </c>
      <c r="P638" t="n">
        <v>0</v>
      </c>
      <c r="Q638" t="n">
        <v>0</v>
      </c>
      <c r="R638" s="2" t="inlineStr"/>
    </row>
    <row r="639" ht="15" customHeight="1">
      <c r="A639" t="inlineStr">
        <is>
          <t>A 38604-2025</t>
        </is>
      </c>
      <c r="B639" s="1" t="n">
        <v>45884.50613425926</v>
      </c>
      <c r="C639" s="1" t="n">
        <v>45968</v>
      </c>
      <c r="D639" t="inlineStr">
        <is>
          <t>KALMAR LÄN</t>
        </is>
      </c>
      <c r="E639" t="inlineStr">
        <is>
          <t>VIMMERBY</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52435-2021</t>
        </is>
      </c>
      <c r="B640" s="1" t="n">
        <v>44466.34962962963</v>
      </c>
      <c r="C640" s="1" t="n">
        <v>45968</v>
      </c>
      <c r="D640" t="inlineStr">
        <is>
          <t>KALMAR LÄN</t>
        </is>
      </c>
      <c r="E640" t="inlineStr">
        <is>
          <t>VIMMERBY</t>
        </is>
      </c>
      <c r="G640" t="n">
        <v>2.8</v>
      </c>
      <c r="H640" t="n">
        <v>0</v>
      </c>
      <c r="I640" t="n">
        <v>0</v>
      </c>
      <c r="J640" t="n">
        <v>0</v>
      </c>
      <c r="K640" t="n">
        <v>0</v>
      </c>
      <c r="L640" t="n">
        <v>0</v>
      </c>
      <c r="M640" t="n">
        <v>0</v>
      </c>
      <c r="N640" t="n">
        <v>0</v>
      </c>
      <c r="O640" t="n">
        <v>0</v>
      </c>
      <c r="P640" t="n">
        <v>0</v>
      </c>
      <c r="Q640" t="n">
        <v>0</v>
      </c>
      <c r="R640" s="2" t="inlineStr"/>
    </row>
    <row r="641" ht="15" customHeight="1">
      <c r="A641" t="inlineStr">
        <is>
          <t>A 36040-2024</t>
        </is>
      </c>
      <c r="B641" s="1" t="n">
        <v>45533.60232638889</v>
      </c>
      <c r="C641" s="1" t="n">
        <v>45968</v>
      </c>
      <c r="D641" t="inlineStr">
        <is>
          <t>KALMAR LÄN</t>
        </is>
      </c>
      <c r="E641" t="inlineStr">
        <is>
          <t>VIMMERBY</t>
        </is>
      </c>
      <c r="F641" t="inlineStr">
        <is>
          <t>Kommuner</t>
        </is>
      </c>
      <c r="G641" t="n">
        <v>3.6</v>
      </c>
      <c r="H641" t="n">
        <v>0</v>
      </c>
      <c r="I641" t="n">
        <v>0</v>
      </c>
      <c r="J641" t="n">
        <v>0</v>
      </c>
      <c r="K641" t="n">
        <v>0</v>
      </c>
      <c r="L641" t="n">
        <v>0</v>
      </c>
      <c r="M641" t="n">
        <v>0</v>
      </c>
      <c r="N641" t="n">
        <v>0</v>
      </c>
      <c r="O641" t="n">
        <v>0</v>
      </c>
      <c r="P641" t="n">
        <v>0</v>
      </c>
      <c r="Q641" t="n">
        <v>0</v>
      </c>
      <c r="R641" s="2" t="inlineStr"/>
    </row>
    <row r="642" ht="15" customHeight="1">
      <c r="A642" t="inlineStr">
        <is>
          <t>A 36043-2024</t>
        </is>
      </c>
      <c r="B642" s="1" t="n">
        <v>45533.60770833334</v>
      </c>
      <c r="C642" s="1" t="n">
        <v>45968</v>
      </c>
      <c r="D642" t="inlineStr">
        <is>
          <t>KALMAR LÄN</t>
        </is>
      </c>
      <c r="E642" t="inlineStr">
        <is>
          <t>VIMMERBY</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12890-2023</t>
        </is>
      </c>
      <c r="B643" s="1" t="n">
        <v>45001.59209490741</v>
      </c>
      <c r="C643" s="1" t="n">
        <v>45968</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43594-2024</t>
        </is>
      </c>
      <c r="B644" s="1" t="n">
        <v>45569.44295138889</v>
      </c>
      <c r="C644" s="1" t="n">
        <v>45968</v>
      </c>
      <c r="D644" t="inlineStr">
        <is>
          <t>KALMAR LÄN</t>
        </is>
      </c>
      <c r="E644" t="inlineStr">
        <is>
          <t>VIMMERBY</t>
        </is>
      </c>
      <c r="G644" t="n">
        <v>3.9</v>
      </c>
      <c r="H644" t="n">
        <v>0</v>
      </c>
      <c r="I644" t="n">
        <v>0</v>
      </c>
      <c r="J644" t="n">
        <v>0</v>
      </c>
      <c r="K644" t="n">
        <v>0</v>
      </c>
      <c r="L644" t="n">
        <v>0</v>
      </c>
      <c r="M644" t="n">
        <v>0</v>
      </c>
      <c r="N644" t="n">
        <v>0</v>
      </c>
      <c r="O644" t="n">
        <v>0</v>
      </c>
      <c r="P644" t="n">
        <v>0</v>
      </c>
      <c r="Q644" t="n">
        <v>0</v>
      </c>
      <c r="R644" s="2" t="inlineStr"/>
    </row>
    <row r="645" ht="15" customHeight="1">
      <c r="A645" t="inlineStr">
        <is>
          <t>A 53482-2022</t>
        </is>
      </c>
      <c r="B645" s="1" t="n">
        <v>44879</v>
      </c>
      <c r="C645" s="1" t="n">
        <v>45968</v>
      </c>
      <c r="D645" t="inlineStr">
        <is>
          <t>KALMAR LÄN</t>
        </is>
      </c>
      <c r="E645" t="inlineStr">
        <is>
          <t>VIMMERBY</t>
        </is>
      </c>
      <c r="G645" t="n">
        <v>10.1</v>
      </c>
      <c r="H645" t="n">
        <v>0</v>
      </c>
      <c r="I645" t="n">
        <v>0</v>
      </c>
      <c r="J645" t="n">
        <v>0</v>
      </c>
      <c r="K645" t="n">
        <v>0</v>
      </c>
      <c r="L645" t="n">
        <v>0</v>
      </c>
      <c r="M645" t="n">
        <v>0</v>
      </c>
      <c r="N645" t="n">
        <v>0</v>
      </c>
      <c r="O645" t="n">
        <v>0</v>
      </c>
      <c r="P645" t="n">
        <v>0</v>
      </c>
      <c r="Q645" t="n">
        <v>0</v>
      </c>
      <c r="R645" s="2" t="inlineStr"/>
    </row>
    <row r="646" ht="15" customHeight="1">
      <c r="A646" t="inlineStr">
        <is>
          <t>A 46887-2025</t>
        </is>
      </c>
      <c r="B646" s="1" t="n">
        <v>45929.3672337963</v>
      </c>
      <c r="C646" s="1" t="n">
        <v>45968</v>
      </c>
      <c r="D646" t="inlineStr">
        <is>
          <t>KALMAR LÄN</t>
        </is>
      </c>
      <c r="E646" t="inlineStr">
        <is>
          <t>VIMMERBY</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35127-2024</t>
        </is>
      </c>
      <c r="B647" s="1" t="n">
        <v>45530.33202546297</v>
      </c>
      <c r="C647" s="1" t="n">
        <v>45968</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27761-2024</t>
        </is>
      </c>
      <c r="B648" s="1" t="n">
        <v>45475.49018518518</v>
      </c>
      <c r="C648" s="1" t="n">
        <v>45968</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64203-2021</t>
        </is>
      </c>
      <c r="B649" s="1" t="n">
        <v>44510.60921296296</v>
      </c>
      <c r="C649" s="1" t="n">
        <v>45968</v>
      </c>
      <c r="D649" t="inlineStr">
        <is>
          <t>KALMAR LÄN</t>
        </is>
      </c>
      <c r="E649" t="inlineStr">
        <is>
          <t>VIMMERBY</t>
        </is>
      </c>
      <c r="F649" t="inlineStr">
        <is>
          <t>Övriga Aktiebolag</t>
        </is>
      </c>
      <c r="G649" t="n">
        <v>5.4</v>
      </c>
      <c r="H649" t="n">
        <v>0</v>
      </c>
      <c r="I649" t="n">
        <v>0</v>
      </c>
      <c r="J649" t="n">
        <v>0</v>
      </c>
      <c r="K649" t="n">
        <v>0</v>
      </c>
      <c r="L649" t="n">
        <v>0</v>
      </c>
      <c r="M649" t="n">
        <v>0</v>
      </c>
      <c r="N649" t="n">
        <v>0</v>
      </c>
      <c r="O649" t="n">
        <v>0</v>
      </c>
      <c r="P649" t="n">
        <v>0</v>
      </c>
      <c r="Q649" t="n">
        <v>0</v>
      </c>
      <c r="R649" s="2" t="inlineStr"/>
    </row>
    <row r="650" ht="15" customHeight="1">
      <c r="A650" t="inlineStr">
        <is>
          <t>A 45854-2025</t>
        </is>
      </c>
      <c r="B650" s="1" t="n">
        <v>45923</v>
      </c>
      <c r="C650" s="1" t="n">
        <v>45968</v>
      </c>
      <c r="D650" t="inlineStr">
        <is>
          <t>KALMAR LÄN</t>
        </is>
      </c>
      <c r="E650" t="inlineStr">
        <is>
          <t>VIMMERBY</t>
        </is>
      </c>
      <c r="G650" t="n">
        <v>2.2</v>
      </c>
      <c r="H650" t="n">
        <v>0</v>
      </c>
      <c r="I650" t="n">
        <v>0</v>
      </c>
      <c r="J650" t="n">
        <v>0</v>
      </c>
      <c r="K650" t="n">
        <v>0</v>
      </c>
      <c r="L650" t="n">
        <v>0</v>
      </c>
      <c r="M650" t="n">
        <v>0</v>
      </c>
      <c r="N650" t="n">
        <v>0</v>
      </c>
      <c r="O650" t="n">
        <v>0</v>
      </c>
      <c r="P650" t="n">
        <v>0</v>
      </c>
      <c r="Q650" t="n">
        <v>0</v>
      </c>
      <c r="R650" s="2" t="inlineStr"/>
    </row>
    <row r="651" ht="15" customHeight="1">
      <c r="A651" t="inlineStr">
        <is>
          <t>A 5720-2023</t>
        </is>
      </c>
      <c r="B651" s="1" t="n">
        <v>44961</v>
      </c>
      <c r="C651" s="1" t="n">
        <v>45968</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60215-2022</t>
        </is>
      </c>
      <c r="B652" s="1" t="n">
        <v>44910.41346064815</v>
      </c>
      <c r="C652" s="1" t="n">
        <v>45968</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9643-2023</t>
        </is>
      </c>
      <c r="B653" s="1" t="n">
        <v>44984</v>
      </c>
      <c r="C653" s="1" t="n">
        <v>45968</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25728-2023</t>
        </is>
      </c>
      <c r="B654" s="1" t="n">
        <v>45090.38012731481</v>
      </c>
      <c r="C654" s="1" t="n">
        <v>45968</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29441-2024</t>
        </is>
      </c>
      <c r="B655" s="1" t="n">
        <v>45483.82834490741</v>
      </c>
      <c r="C655" s="1" t="n">
        <v>45968</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47227-2025</t>
        </is>
      </c>
      <c r="B656" s="1" t="n">
        <v>45930.39769675926</v>
      </c>
      <c r="C656" s="1" t="n">
        <v>45968</v>
      </c>
      <c r="D656" t="inlineStr">
        <is>
          <t>KALMAR LÄN</t>
        </is>
      </c>
      <c r="E656" t="inlineStr">
        <is>
          <t>VIMMERBY</t>
        </is>
      </c>
      <c r="G656" t="n">
        <v>1.3</v>
      </c>
      <c r="H656" t="n">
        <v>0</v>
      </c>
      <c r="I656" t="n">
        <v>0</v>
      </c>
      <c r="J656" t="n">
        <v>0</v>
      </c>
      <c r="K656" t="n">
        <v>0</v>
      </c>
      <c r="L656" t="n">
        <v>0</v>
      </c>
      <c r="M656" t="n">
        <v>0</v>
      </c>
      <c r="N656" t="n">
        <v>0</v>
      </c>
      <c r="O656" t="n">
        <v>0</v>
      </c>
      <c r="P656" t="n">
        <v>0</v>
      </c>
      <c r="Q656" t="n">
        <v>0</v>
      </c>
      <c r="R656" s="2" t="inlineStr"/>
    </row>
    <row r="657" ht="15" customHeight="1">
      <c r="A657" t="inlineStr">
        <is>
          <t>A 6216-2025</t>
        </is>
      </c>
      <c r="B657" s="1" t="n">
        <v>45698.52806712963</v>
      </c>
      <c r="C657" s="1" t="n">
        <v>45968</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62779-2023</t>
        </is>
      </c>
      <c r="B658" s="1" t="n">
        <v>45271.66576388889</v>
      </c>
      <c r="C658" s="1" t="n">
        <v>45968</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52294-2023</t>
        </is>
      </c>
      <c r="B659" s="1" t="n">
        <v>45224.60075231481</v>
      </c>
      <c r="C659" s="1" t="n">
        <v>45968</v>
      </c>
      <c r="D659" t="inlineStr">
        <is>
          <t>KALMAR LÄN</t>
        </is>
      </c>
      <c r="E659" t="inlineStr">
        <is>
          <t>VIMMERBY</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41311-2023</t>
        </is>
      </c>
      <c r="B660" s="1" t="n">
        <v>45174</v>
      </c>
      <c r="C660" s="1" t="n">
        <v>45968</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29726-2025</t>
        </is>
      </c>
      <c r="B661" s="1" t="n">
        <v>45825.57805555555</v>
      </c>
      <c r="C661" s="1" t="n">
        <v>45968</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31013-2023</t>
        </is>
      </c>
      <c r="B662" s="1" t="n">
        <v>45113.56574074074</v>
      </c>
      <c r="C662" s="1" t="n">
        <v>45968</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26318-2023</t>
        </is>
      </c>
      <c r="B663" s="1" t="n">
        <v>45091.67936342592</v>
      </c>
      <c r="C663" s="1" t="n">
        <v>45968</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72067-2021</t>
        </is>
      </c>
      <c r="B664" s="1" t="n">
        <v>44540</v>
      </c>
      <c r="C664" s="1" t="n">
        <v>45968</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61538-2022</t>
        </is>
      </c>
      <c r="B665" s="1" t="n">
        <v>44916.55414351852</v>
      </c>
      <c r="C665" s="1" t="n">
        <v>45968</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27443-2023</t>
        </is>
      </c>
      <c r="B666" s="1" t="n">
        <v>45097.40524305555</v>
      </c>
      <c r="C666" s="1" t="n">
        <v>45968</v>
      </c>
      <c r="D666" t="inlineStr">
        <is>
          <t>KALMAR LÄN</t>
        </is>
      </c>
      <c r="E666" t="inlineStr">
        <is>
          <t>VIMMERBY</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845-2023</t>
        </is>
      </c>
      <c r="B667" s="1" t="n">
        <v>44931</v>
      </c>
      <c r="C667" s="1" t="n">
        <v>45968</v>
      </c>
      <c r="D667" t="inlineStr">
        <is>
          <t>KALMAR LÄN</t>
        </is>
      </c>
      <c r="E667" t="inlineStr">
        <is>
          <t>VIMMERBY</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36155-2023</t>
        </is>
      </c>
      <c r="B668" s="1" t="n">
        <v>45149.60917824074</v>
      </c>
      <c r="C668" s="1" t="n">
        <v>45968</v>
      </c>
      <c r="D668" t="inlineStr">
        <is>
          <t>KALMAR LÄN</t>
        </is>
      </c>
      <c r="E668" t="inlineStr">
        <is>
          <t>VIMMERBY</t>
        </is>
      </c>
      <c r="G668" t="n">
        <v>5</v>
      </c>
      <c r="H668" t="n">
        <v>0</v>
      </c>
      <c r="I668" t="n">
        <v>0</v>
      </c>
      <c r="J668" t="n">
        <v>0</v>
      </c>
      <c r="K668" t="n">
        <v>0</v>
      </c>
      <c r="L668" t="n">
        <v>0</v>
      </c>
      <c r="M668" t="n">
        <v>0</v>
      </c>
      <c r="N668" t="n">
        <v>0</v>
      </c>
      <c r="O668" t="n">
        <v>0</v>
      </c>
      <c r="P668" t="n">
        <v>0</v>
      </c>
      <c r="Q668" t="n">
        <v>0</v>
      </c>
      <c r="R668" s="2" t="inlineStr"/>
    </row>
    <row r="669" ht="15" customHeight="1">
      <c r="A669" t="inlineStr">
        <is>
          <t>A 29173-2024</t>
        </is>
      </c>
      <c r="B669" s="1" t="n">
        <v>45482.52887731481</v>
      </c>
      <c r="C669" s="1" t="n">
        <v>45968</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53542-2022</t>
        </is>
      </c>
      <c r="B670" s="1" t="n">
        <v>44879.62173611111</v>
      </c>
      <c r="C670" s="1" t="n">
        <v>45968</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61355-2024</t>
        </is>
      </c>
      <c r="B671" s="1" t="n">
        <v>45646.38200231481</v>
      </c>
      <c r="C671" s="1" t="n">
        <v>45968</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39801-2025</t>
        </is>
      </c>
      <c r="B672" s="1" t="n">
        <v>45891.50216435185</v>
      </c>
      <c r="C672" s="1" t="n">
        <v>45968</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47955-2025</t>
        </is>
      </c>
      <c r="B673" s="1" t="n">
        <v>45932.58896990741</v>
      </c>
      <c r="C673" s="1" t="n">
        <v>45968</v>
      </c>
      <c r="D673" t="inlineStr">
        <is>
          <t>KALMAR LÄN</t>
        </is>
      </c>
      <c r="E673" t="inlineStr">
        <is>
          <t>VIMMERBY</t>
        </is>
      </c>
      <c r="G673" t="n">
        <v>3.4</v>
      </c>
      <c r="H673" t="n">
        <v>0</v>
      </c>
      <c r="I673" t="n">
        <v>0</v>
      </c>
      <c r="J673" t="n">
        <v>0</v>
      </c>
      <c r="K673" t="n">
        <v>0</v>
      </c>
      <c r="L673" t="n">
        <v>0</v>
      </c>
      <c r="M673" t="n">
        <v>0</v>
      </c>
      <c r="N673" t="n">
        <v>0</v>
      </c>
      <c r="O673" t="n">
        <v>0</v>
      </c>
      <c r="P673" t="n">
        <v>0</v>
      </c>
      <c r="Q673" t="n">
        <v>0</v>
      </c>
      <c r="R673" s="2" t="inlineStr"/>
    </row>
    <row r="674" ht="15" customHeight="1">
      <c r="A674" t="inlineStr">
        <is>
          <t>A 36802-2021</t>
        </is>
      </c>
      <c r="B674" s="1" t="n">
        <v>44392</v>
      </c>
      <c r="C674" s="1" t="n">
        <v>45968</v>
      </c>
      <c r="D674" t="inlineStr">
        <is>
          <t>KALMAR LÄN</t>
        </is>
      </c>
      <c r="E674" t="inlineStr">
        <is>
          <t>VIMMERBY</t>
        </is>
      </c>
      <c r="F674" t="inlineStr">
        <is>
          <t>Sveaskog</t>
        </is>
      </c>
      <c r="G674" t="n">
        <v>4.6</v>
      </c>
      <c r="H674" t="n">
        <v>0</v>
      </c>
      <c r="I674" t="n">
        <v>0</v>
      </c>
      <c r="J674" t="n">
        <v>0</v>
      </c>
      <c r="K674" t="n">
        <v>0</v>
      </c>
      <c r="L674" t="n">
        <v>0</v>
      </c>
      <c r="M674" t="n">
        <v>0</v>
      </c>
      <c r="N674" t="n">
        <v>0</v>
      </c>
      <c r="O674" t="n">
        <v>0</v>
      </c>
      <c r="P674" t="n">
        <v>0</v>
      </c>
      <c r="Q674" t="n">
        <v>0</v>
      </c>
      <c r="R674" s="2" t="inlineStr"/>
    </row>
    <row r="675" ht="15" customHeight="1">
      <c r="A675" t="inlineStr">
        <is>
          <t>A 39807-2025</t>
        </is>
      </c>
      <c r="B675" s="1" t="n">
        <v>45891.50986111111</v>
      </c>
      <c r="C675" s="1" t="n">
        <v>45968</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6807-2025</t>
        </is>
      </c>
      <c r="B676" s="1" t="n">
        <v>45700.68672453704</v>
      </c>
      <c r="C676" s="1" t="n">
        <v>45968</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39736-2025</t>
        </is>
      </c>
      <c r="B677" s="1" t="n">
        <v>45891</v>
      </c>
      <c r="C677" s="1" t="n">
        <v>45968</v>
      </c>
      <c r="D677" t="inlineStr">
        <is>
          <t>KALMAR LÄN</t>
        </is>
      </c>
      <c r="E677" t="inlineStr">
        <is>
          <t>VIMMERBY</t>
        </is>
      </c>
      <c r="G677" t="n">
        <v>12.8</v>
      </c>
      <c r="H677" t="n">
        <v>0</v>
      </c>
      <c r="I677" t="n">
        <v>0</v>
      </c>
      <c r="J677" t="n">
        <v>0</v>
      </c>
      <c r="K677" t="n">
        <v>0</v>
      </c>
      <c r="L677" t="n">
        <v>0</v>
      </c>
      <c r="M677" t="n">
        <v>0</v>
      </c>
      <c r="N677" t="n">
        <v>0</v>
      </c>
      <c r="O677" t="n">
        <v>0</v>
      </c>
      <c r="P677" t="n">
        <v>0</v>
      </c>
      <c r="Q677" t="n">
        <v>0</v>
      </c>
      <c r="R677" s="2" t="inlineStr"/>
    </row>
    <row r="678" ht="15" customHeight="1">
      <c r="A678" t="inlineStr">
        <is>
          <t>A 7047-2022</t>
        </is>
      </c>
      <c r="B678" s="1" t="n">
        <v>44603</v>
      </c>
      <c r="C678" s="1" t="n">
        <v>45968</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35711-2023</t>
        </is>
      </c>
      <c r="B679" s="1" t="n">
        <v>45147.67172453704</v>
      </c>
      <c r="C679" s="1" t="n">
        <v>45968</v>
      </c>
      <c r="D679" t="inlineStr">
        <is>
          <t>KALMAR LÄN</t>
        </is>
      </c>
      <c r="E679" t="inlineStr">
        <is>
          <t>VIMMERBY</t>
        </is>
      </c>
      <c r="G679" t="n">
        <v>1</v>
      </c>
      <c r="H679" t="n">
        <v>0</v>
      </c>
      <c r="I679" t="n">
        <v>0</v>
      </c>
      <c r="J679" t="n">
        <v>0</v>
      </c>
      <c r="K679" t="n">
        <v>0</v>
      </c>
      <c r="L679" t="n">
        <v>0</v>
      </c>
      <c r="M679" t="n">
        <v>0</v>
      </c>
      <c r="N679" t="n">
        <v>0</v>
      </c>
      <c r="O679" t="n">
        <v>0</v>
      </c>
      <c r="P679" t="n">
        <v>0</v>
      </c>
      <c r="Q679" t="n">
        <v>0</v>
      </c>
      <c r="R679" s="2" t="inlineStr"/>
    </row>
    <row r="680" ht="15" customHeight="1">
      <c r="A680" t="inlineStr">
        <is>
          <t>A 5382-2023</t>
        </is>
      </c>
      <c r="B680" s="1" t="n">
        <v>44959.66407407408</v>
      </c>
      <c r="C680" s="1" t="n">
        <v>45968</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47965-2025</t>
        </is>
      </c>
      <c r="B681" s="1" t="n">
        <v>45932.59597222223</v>
      </c>
      <c r="C681" s="1" t="n">
        <v>45968</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40823-2023</t>
        </is>
      </c>
      <c r="B682" s="1" t="n">
        <v>45171.77335648148</v>
      </c>
      <c r="C682" s="1" t="n">
        <v>45968</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6218-2025</t>
        </is>
      </c>
      <c r="B683" s="1" t="n">
        <v>45698.53336805556</v>
      </c>
      <c r="C683" s="1" t="n">
        <v>45968</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38198-2024</t>
        </is>
      </c>
      <c r="B684" s="1" t="n">
        <v>45545.49508101852</v>
      </c>
      <c r="C684" s="1" t="n">
        <v>45968</v>
      </c>
      <c r="D684" t="inlineStr">
        <is>
          <t>KALMAR LÄN</t>
        </is>
      </c>
      <c r="E684" t="inlineStr">
        <is>
          <t>VIMMERBY</t>
        </is>
      </c>
      <c r="G684" t="n">
        <v>7.9</v>
      </c>
      <c r="H684" t="n">
        <v>0</v>
      </c>
      <c r="I684" t="n">
        <v>0</v>
      </c>
      <c r="J684" t="n">
        <v>0</v>
      </c>
      <c r="K684" t="n">
        <v>0</v>
      </c>
      <c r="L684" t="n">
        <v>0</v>
      </c>
      <c r="M684" t="n">
        <v>0</v>
      </c>
      <c r="N684" t="n">
        <v>0</v>
      </c>
      <c r="O684" t="n">
        <v>0</v>
      </c>
      <c r="P684" t="n">
        <v>0</v>
      </c>
      <c r="Q684" t="n">
        <v>0</v>
      </c>
      <c r="R684" s="2" t="inlineStr"/>
    </row>
    <row r="685" ht="15" customHeight="1">
      <c r="A685" t="inlineStr">
        <is>
          <t>A 9623-2024</t>
        </is>
      </c>
      <c r="B685" s="1" t="n">
        <v>45361.87975694444</v>
      </c>
      <c r="C685" s="1" t="n">
        <v>45968</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58967-2022</t>
        </is>
      </c>
      <c r="B686" s="1" t="n">
        <v>44896</v>
      </c>
      <c r="C686" s="1" t="n">
        <v>45968</v>
      </c>
      <c r="D686" t="inlineStr">
        <is>
          <t>KALMAR LÄN</t>
        </is>
      </c>
      <c r="E686" t="inlineStr">
        <is>
          <t>VIMMERBY</t>
        </is>
      </c>
      <c r="G686" t="n">
        <v>5</v>
      </c>
      <c r="H686" t="n">
        <v>0</v>
      </c>
      <c r="I686" t="n">
        <v>0</v>
      </c>
      <c r="J686" t="n">
        <v>0</v>
      </c>
      <c r="K686" t="n">
        <v>0</v>
      </c>
      <c r="L686" t="n">
        <v>0</v>
      </c>
      <c r="M686" t="n">
        <v>0</v>
      </c>
      <c r="N686" t="n">
        <v>0</v>
      </c>
      <c r="O686" t="n">
        <v>0</v>
      </c>
      <c r="P686" t="n">
        <v>0</v>
      </c>
      <c r="Q686" t="n">
        <v>0</v>
      </c>
      <c r="R686" s="2" t="inlineStr"/>
    </row>
    <row r="687" ht="15" customHeight="1">
      <c r="A687" t="inlineStr">
        <is>
          <t>A 30920-2023</t>
        </is>
      </c>
      <c r="B687" s="1" t="n">
        <v>45113.43921296296</v>
      </c>
      <c r="C687" s="1" t="n">
        <v>45968</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48299-2025</t>
        </is>
      </c>
      <c r="B688" s="1" t="n">
        <v>45933.60982638889</v>
      </c>
      <c r="C688" s="1" t="n">
        <v>45968</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6399-2025</t>
        </is>
      </c>
      <c r="B689" s="1" t="n">
        <v>45699.44291666667</v>
      </c>
      <c r="C689" s="1" t="n">
        <v>45968</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31355-2023</t>
        </is>
      </c>
      <c r="B690" s="1" t="n">
        <v>45114.49505787037</v>
      </c>
      <c r="C690" s="1" t="n">
        <v>45968</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6857-2023</t>
        </is>
      </c>
      <c r="B691" s="1" t="n">
        <v>44967.45122685185</v>
      </c>
      <c r="C691" s="1" t="n">
        <v>45968</v>
      </c>
      <c r="D691" t="inlineStr">
        <is>
          <t>KALMAR LÄN</t>
        </is>
      </c>
      <c r="E691" t="inlineStr">
        <is>
          <t>VIMMERBY</t>
        </is>
      </c>
      <c r="G691" t="n">
        <v>2.1</v>
      </c>
      <c r="H691" t="n">
        <v>0</v>
      </c>
      <c r="I691" t="n">
        <v>0</v>
      </c>
      <c r="J691" t="n">
        <v>0</v>
      </c>
      <c r="K691" t="n">
        <v>0</v>
      </c>
      <c r="L691" t="n">
        <v>0</v>
      </c>
      <c r="M691" t="n">
        <v>0</v>
      </c>
      <c r="N691" t="n">
        <v>0</v>
      </c>
      <c r="O691" t="n">
        <v>0</v>
      </c>
      <c r="P691" t="n">
        <v>0</v>
      </c>
      <c r="Q691" t="n">
        <v>0</v>
      </c>
      <c r="R691" s="2" t="inlineStr"/>
    </row>
    <row r="692" ht="15" customHeight="1">
      <c r="A692" t="inlineStr">
        <is>
          <t>A 66295-2020</t>
        </is>
      </c>
      <c r="B692" s="1" t="n">
        <v>44176</v>
      </c>
      <c r="C692" s="1" t="n">
        <v>45968</v>
      </c>
      <c r="D692" t="inlineStr">
        <is>
          <t>KALMAR LÄN</t>
        </is>
      </c>
      <c r="E692" t="inlineStr">
        <is>
          <t>VIMMERBY</t>
        </is>
      </c>
      <c r="G692" t="n">
        <v>4.1</v>
      </c>
      <c r="H692" t="n">
        <v>0</v>
      </c>
      <c r="I692" t="n">
        <v>0</v>
      </c>
      <c r="J692" t="n">
        <v>0</v>
      </c>
      <c r="K692" t="n">
        <v>0</v>
      </c>
      <c r="L692" t="n">
        <v>0</v>
      </c>
      <c r="M692" t="n">
        <v>0</v>
      </c>
      <c r="N692" t="n">
        <v>0</v>
      </c>
      <c r="O692" t="n">
        <v>0</v>
      </c>
      <c r="P692" t="n">
        <v>0</v>
      </c>
      <c r="Q692" t="n">
        <v>0</v>
      </c>
      <c r="R692" s="2" t="inlineStr"/>
    </row>
    <row r="693" ht="15" customHeight="1">
      <c r="A693" t="inlineStr">
        <is>
          <t>A 39803-2025</t>
        </is>
      </c>
      <c r="B693" s="1" t="n">
        <v>45891.50525462963</v>
      </c>
      <c r="C693" s="1" t="n">
        <v>45968</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30400-2023</t>
        </is>
      </c>
      <c r="B694" s="1" t="n">
        <v>45111.48225694444</v>
      </c>
      <c r="C694" s="1" t="n">
        <v>45968</v>
      </c>
      <c r="D694" t="inlineStr">
        <is>
          <t>KALMAR LÄN</t>
        </is>
      </c>
      <c r="E694" t="inlineStr">
        <is>
          <t>VIMMERBY</t>
        </is>
      </c>
      <c r="G694" t="n">
        <v>2.7</v>
      </c>
      <c r="H694" t="n">
        <v>0</v>
      </c>
      <c r="I694" t="n">
        <v>0</v>
      </c>
      <c r="J694" t="n">
        <v>0</v>
      </c>
      <c r="K694" t="n">
        <v>0</v>
      </c>
      <c r="L694" t="n">
        <v>0</v>
      </c>
      <c r="M694" t="n">
        <v>0</v>
      </c>
      <c r="N694" t="n">
        <v>0</v>
      </c>
      <c r="O694" t="n">
        <v>0</v>
      </c>
      <c r="P694" t="n">
        <v>0</v>
      </c>
      <c r="Q694" t="n">
        <v>0</v>
      </c>
      <c r="R694" s="2" t="inlineStr"/>
    </row>
    <row r="695" ht="15" customHeight="1">
      <c r="A695" t="inlineStr">
        <is>
          <t>A 30404-2023</t>
        </is>
      </c>
      <c r="B695" s="1" t="n">
        <v>45111.48636574074</v>
      </c>
      <c r="C695" s="1" t="n">
        <v>45968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39889-2025</t>
        </is>
      </c>
      <c r="B696" s="1" t="n">
        <v>45891</v>
      </c>
      <c r="C696" s="1" t="n">
        <v>45968</v>
      </c>
      <c r="D696" t="inlineStr">
        <is>
          <t>KALMAR LÄN</t>
        </is>
      </c>
      <c r="E696" t="inlineStr">
        <is>
          <t>VIMMERBY</t>
        </is>
      </c>
      <c r="G696" t="n">
        <v>4.5</v>
      </c>
      <c r="H696" t="n">
        <v>0</v>
      </c>
      <c r="I696" t="n">
        <v>0</v>
      </c>
      <c r="J696" t="n">
        <v>0</v>
      </c>
      <c r="K696" t="n">
        <v>0</v>
      </c>
      <c r="L696" t="n">
        <v>0</v>
      </c>
      <c r="M696" t="n">
        <v>0</v>
      </c>
      <c r="N696" t="n">
        <v>0</v>
      </c>
      <c r="O696" t="n">
        <v>0</v>
      </c>
      <c r="P696" t="n">
        <v>0</v>
      </c>
      <c r="Q696" t="n">
        <v>0</v>
      </c>
      <c r="R696" s="2" t="inlineStr"/>
    </row>
    <row r="697" ht="15" customHeight="1">
      <c r="A697" t="inlineStr">
        <is>
          <t>A 27705-2023</t>
        </is>
      </c>
      <c r="B697" s="1" t="n">
        <v>45098.30535879629</v>
      </c>
      <c r="C697" s="1" t="n">
        <v>45968</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48723-2025</t>
        </is>
      </c>
      <c r="B698" s="1" t="n">
        <v>45936.65121527778</v>
      </c>
      <c r="C698" s="1" t="n">
        <v>45968</v>
      </c>
      <c r="D698" t="inlineStr">
        <is>
          <t>KALMAR LÄN</t>
        </is>
      </c>
      <c r="E698" t="inlineStr">
        <is>
          <t>VIMMERBY</t>
        </is>
      </c>
      <c r="G698" t="n">
        <v>3</v>
      </c>
      <c r="H698" t="n">
        <v>0</v>
      </c>
      <c r="I698" t="n">
        <v>0</v>
      </c>
      <c r="J698" t="n">
        <v>0</v>
      </c>
      <c r="K698" t="n">
        <v>0</v>
      </c>
      <c r="L698" t="n">
        <v>0</v>
      </c>
      <c r="M698" t="n">
        <v>0</v>
      </c>
      <c r="N698" t="n">
        <v>0</v>
      </c>
      <c r="O698" t="n">
        <v>0</v>
      </c>
      <c r="P698" t="n">
        <v>0</v>
      </c>
      <c r="Q698" t="n">
        <v>0</v>
      </c>
      <c r="R698" s="2" t="inlineStr"/>
    </row>
    <row r="699" ht="15" customHeight="1">
      <c r="A699" t="inlineStr">
        <is>
          <t>A 5792-2023</t>
        </is>
      </c>
      <c r="B699" s="1" t="n">
        <v>44963.44769675926</v>
      </c>
      <c r="C699" s="1" t="n">
        <v>45968</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10303-2025</t>
        </is>
      </c>
      <c r="B700" s="1" t="n">
        <v>45720.44217592593</v>
      </c>
      <c r="C700" s="1" t="n">
        <v>45968</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48600-2025</t>
        </is>
      </c>
      <c r="B701" s="1" t="n">
        <v>45935</v>
      </c>
      <c r="C701" s="1" t="n">
        <v>45968</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60110-2022</t>
        </is>
      </c>
      <c r="B702" s="1" t="n">
        <v>44909</v>
      </c>
      <c r="C702" s="1" t="n">
        <v>45968</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36843-2023</t>
        </is>
      </c>
      <c r="B703" s="1" t="n">
        <v>45154.49831018518</v>
      </c>
      <c r="C703" s="1" t="n">
        <v>45968</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15394-2025</t>
        </is>
      </c>
      <c r="B704" s="1" t="n">
        <v>45747.43196759259</v>
      </c>
      <c r="C704" s="1" t="n">
        <v>45968</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15388-2025</t>
        </is>
      </c>
      <c r="B705" s="1" t="n">
        <v>45747.42633101852</v>
      </c>
      <c r="C705" s="1" t="n">
        <v>45968</v>
      </c>
      <c r="D705" t="inlineStr">
        <is>
          <t>KALMAR LÄN</t>
        </is>
      </c>
      <c r="E705" t="inlineStr">
        <is>
          <t>VIMMERBY</t>
        </is>
      </c>
      <c r="G705" t="n">
        <v>1.3</v>
      </c>
      <c r="H705" t="n">
        <v>0</v>
      </c>
      <c r="I705" t="n">
        <v>0</v>
      </c>
      <c r="J705" t="n">
        <v>0</v>
      </c>
      <c r="K705" t="n">
        <v>0</v>
      </c>
      <c r="L705" t="n">
        <v>0</v>
      </c>
      <c r="M705" t="n">
        <v>0</v>
      </c>
      <c r="N705" t="n">
        <v>0</v>
      </c>
      <c r="O705" t="n">
        <v>0</v>
      </c>
      <c r="P705" t="n">
        <v>0</v>
      </c>
      <c r="Q705" t="n">
        <v>0</v>
      </c>
      <c r="R705" s="2" t="inlineStr"/>
    </row>
    <row r="706" ht="15" customHeight="1">
      <c r="A706" t="inlineStr">
        <is>
          <t>A 15391-2025</t>
        </is>
      </c>
      <c r="B706" s="1" t="n">
        <v>45747.42958333333</v>
      </c>
      <c r="C706" s="1" t="n">
        <v>45968</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6474-2025</t>
        </is>
      </c>
      <c r="B707" s="1" t="n">
        <v>45699.60055555555</v>
      </c>
      <c r="C707" s="1" t="n">
        <v>45968</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48408-2025</t>
        </is>
      </c>
      <c r="B708" s="1" t="n">
        <v>45934.40527777778</v>
      </c>
      <c r="C708" s="1" t="n">
        <v>45968</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32919-2022</t>
        </is>
      </c>
      <c r="B709" s="1" t="n">
        <v>44784.62724537037</v>
      </c>
      <c r="C709" s="1" t="n">
        <v>45968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48409-2025</t>
        </is>
      </c>
      <c r="B710" s="1" t="n">
        <v>45934.41387731482</v>
      </c>
      <c r="C710" s="1" t="n">
        <v>45968</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10785-2025</t>
        </is>
      </c>
      <c r="B711" s="1" t="n">
        <v>45722.48634259259</v>
      </c>
      <c r="C711" s="1" t="n">
        <v>45968</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29017-2024</t>
        </is>
      </c>
      <c r="B712" s="1" t="n">
        <v>45481.56722222222</v>
      </c>
      <c r="C712" s="1" t="n">
        <v>45968</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23263-2024</t>
        </is>
      </c>
      <c r="B713" s="1" t="n">
        <v>45453.36854166666</v>
      </c>
      <c r="C713" s="1" t="n">
        <v>45968</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11074-2023</t>
        </is>
      </c>
      <c r="B714" s="1" t="n">
        <v>44992.34151620371</v>
      </c>
      <c r="C714" s="1" t="n">
        <v>45968</v>
      </c>
      <c r="D714" t="inlineStr">
        <is>
          <t>KALMAR LÄN</t>
        </is>
      </c>
      <c r="E714" t="inlineStr">
        <is>
          <t>VIMMERBY</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61939-2021</t>
        </is>
      </c>
      <c r="B715" s="1" t="n">
        <v>44502</v>
      </c>
      <c r="C715" s="1" t="n">
        <v>45968</v>
      </c>
      <c r="D715" t="inlineStr">
        <is>
          <t>KALMAR LÄN</t>
        </is>
      </c>
      <c r="E715" t="inlineStr">
        <is>
          <t>VIMMERBY</t>
        </is>
      </c>
      <c r="G715" t="n">
        <v>2.7</v>
      </c>
      <c r="H715" t="n">
        <v>0</v>
      </c>
      <c r="I715" t="n">
        <v>0</v>
      </c>
      <c r="J715" t="n">
        <v>0</v>
      </c>
      <c r="K715" t="n">
        <v>0</v>
      </c>
      <c r="L715" t="n">
        <v>0</v>
      </c>
      <c r="M715" t="n">
        <v>0</v>
      </c>
      <c r="N715" t="n">
        <v>0</v>
      </c>
      <c r="O715" t="n">
        <v>0</v>
      </c>
      <c r="P715" t="n">
        <v>0</v>
      </c>
      <c r="Q715" t="n">
        <v>0</v>
      </c>
      <c r="R715" s="2" t="inlineStr"/>
    </row>
    <row r="716" ht="15" customHeight="1">
      <c r="A716" t="inlineStr">
        <is>
          <t>A 12215-2024</t>
        </is>
      </c>
      <c r="B716" s="1" t="n">
        <v>45378.32185185186</v>
      </c>
      <c r="C716" s="1" t="n">
        <v>45968</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11303-2025</t>
        </is>
      </c>
      <c r="B717" s="1" t="n">
        <v>45726.44471064815</v>
      </c>
      <c r="C717" s="1" t="n">
        <v>45968</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56659-2023</t>
        </is>
      </c>
      <c r="B718" s="1" t="n">
        <v>45243.84869212963</v>
      </c>
      <c r="C718" s="1" t="n">
        <v>45968</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48712-2025</t>
        </is>
      </c>
      <c r="B719" s="1" t="n">
        <v>45936.63373842592</v>
      </c>
      <c r="C719" s="1" t="n">
        <v>45968</v>
      </c>
      <c r="D719" t="inlineStr">
        <is>
          <t>KALMAR LÄN</t>
        </is>
      </c>
      <c r="E719" t="inlineStr">
        <is>
          <t>VIMMERBY</t>
        </is>
      </c>
      <c r="G719" t="n">
        <v>3</v>
      </c>
      <c r="H719" t="n">
        <v>0</v>
      </c>
      <c r="I719" t="n">
        <v>0</v>
      </c>
      <c r="J719" t="n">
        <v>0</v>
      </c>
      <c r="K719" t="n">
        <v>0</v>
      </c>
      <c r="L719" t="n">
        <v>0</v>
      </c>
      <c r="M719" t="n">
        <v>0</v>
      </c>
      <c r="N719" t="n">
        <v>0</v>
      </c>
      <c r="O719" t="n">
        <v>0</v>
      </c>
      <c r="P719" t="n">
        <v>0</v>
      </c>
      <c r="Q719" t="n">
        <v>0</v>
      </c>
      <c r="R719" s="2" t="inlineStr"/>
    </row>
    <row r="720" ht="15" customHeight="1">
      <c r="A720" t="inlineStr">
        <is>
          <t>A 12033-2024</t>
        </is>
      </c>
      <c r="B720" s="1" t="n">
        <v>45377.40043981482</v>
      </c>
      <c r="C720" s="1" t="n">
        <v>45968</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13015-2022</t>
        </is>
      </c>
      <c r="B721" s="1" t="n">
        <v>44643</v>
      </c>
      <c r="C721" s="1" t="n">
        <v>45968</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51408-2023</t>
        </is>
      </c>
      <c r="B722" s="1" t="n">
        <v>45219.69356481481</v>
      </c>
      <c r="C722" s="1" t="n">
        <v>45968</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49488-2023</t>
        </is>
      </c>
      <c r="B723" s="1" t="n">
        <v>45211.55472222222</v>
      </c>
      <c r="C723" s="1" t="n">
        <v>45968</v>
      </c>
      <c r="D723" t="inlineStr">
        <is>
          <t>KALMAR LÄN</t>
        </is>
      </c>
      <c r="E723" t="inlineStr">
        <is>
          <t>VIMMERBY</t>
        </is>
      </c>
      <c r="F723" t="inlineStr">
        <is>
          <t>Sveaskog</t>
        </is>
      </c>
      <c r="G723" t="n">
        <v>6.2</v>
      </c>
      <c r="H723" t="n">
        <v>0</v>
      </c>
      <c r="I723" t="n">
        <v>0</v>
      </c>
      <c r="J723" t="n">
        <v>0</v>
      </c>
      <c r="K723" t="n">
        <v>0</v>
      </c>
      <c r="L723" t="n">
        <v>0</v>
      </c>
      <c r="M723" t="n">
        <v>0</v>
      </c>
      <c r="N723" t="n">
        <v>0</v>
      </c>
      <c r="O723" t="n">
        <v>0</v>
      </c>
      <c r="P723" t="n">
        <v>0</v>
      </c>
      <c r="Q723" t="n">
        <v>0</v>
      </c>
      <c r="R723" s="2" t="inlineStr"/>
    </row>
    <row r="724" ht="15" customHeight="1">
      <c r="A724" t="inlineStr">
        <is>
          <t>A 40925-2025</t>
        </is>
      </c>
      <c r="B724" s="1" t="n">
        <v>45897.64208333333</v>
      </c>
      <c r="C724" s="1" t="n">
        <v>45968</v>
      </c>
      <c r="D724" t="inlineStr">
        <is>
          <t>KALMAR LÄN</t>
        </is>
      </c>
      <c r="E724" t="inlineStr">
        <is>
          <t>VIMMERBY</t>
        </is>
      </c>
      <c r="G724" t="n">
        <v>1.9</v>
      </c>
      <c r="H724" t="n">
        <v>0</v>
      </c>
      <c r="I724" t="n">
        <v>0</v>
      </c>
      <c r="J724" t="n">
        <v>0</v>
      </c>
      <c r="K724" t="n">
        <v>0</v>
      </c>
      <c r="L724" t="n">
        <v>0</v>
      </c>
      <c r="M724" t="n">
        <v>0</v>
      </c>
      <c r="N724" t="n">
        <v>0</v>
      </c>
      <c r="O724" t="n">
        <v>0</v>
      </c>
      <c r="P724" t="n">
        <v>0</v>
      </c>
      <c r="Q724" t="n">
        <v>0</v>
      </c>
      <c r="R724" s="2" t="inlineStr"/>
    </row>
    <row r="725" ht="15" customHeight="1">
      <c r="A725" t="inlineStr">
        <is>
          <t>A 17968-2025</t>
        </is>
      </c>
      <c r="B725" s="1" t="n">
        <v>45761.35990740741</v>
      </c>
      <c r="C725" s="1" t="n">
        <v>45968</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8410-2023</t>
        </is>
      </c>
      <c r="B726" s="1" t="n">
        <v>44977</v>
      </c>
      <c r="C726" s="1" t="n">
        <v>45968</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6028-2023</t>
        </is>
      </c>
      <c r="B727" s="1" t="n">
        <v>44964.44356481481</v>
      </c>
      <c r="C727" s="1" t="n">
        <v>45968</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55436-2023</t>
        </is>
      </c>
      <c r="B728" s="1" t="n">
        <v>45238.4328587963</v>
      </c>
      <c r="C728" s="1" t="n">
        <v>45968</v>
      </c>
      <c r="D728" t="inlineStr">
        <is>
          <t>KALMAR LÄN</t>
        </is>
      </c>
      <c r="E728" t="inlineStr">
        <is>
          <t>VIMMERBY</t>
        </is>
      </c>
      <c r="G728" t="n">
        <v>5.6</v>
      </c>
      <c r="H728" t="n">
        <v>0</v>
      </c>
      <c r="I728" t="n">
        <v>0</v>
      </c>
      <c r="J728" t="n">
        <v>0</v>
      </c>
      <c r="K728" t="n">
        <v>0</v>
      </c>
      <c r="L728" t="n">
        <v>0</v>
      </c>
      <c r="M728" t="n">
        <v>0</v>
      </c>
      <c r="N728" t="n">
        <v>0</v>
      </c>
      <c r="O728" t="n">
        <v>0</v>
      </c>
      <c r="P728" t="n">
        <v>0</v>
      </c>
      <c r="Q728" t="n">
        <v>0</v>
      </c>
      <c r="R728" s="2" t="inlineStr"/>
    </row>
    <row r="729" ht="15" customHeight="1">
      <c r="A729" t="inlineStr">
        <is>
          <t>A 40921-2025</t>
        </is>
      </c>
      <c r="B729" s="1" t="n">
        <v>45897.63520833333</v>
      </c>
      <c r="C729" s="1" t="n">
        <v>45968</v>
      </c>
      <c r="D729" t="inlineStr">
        <is>
          <t>KALMAR LÄN</t>
        </is>
      </c>
      <c r="E729" t="inlineStr">
        <is>
          <t>VIMMERBY</t>
        </is>
      </c>
      <c r="G729" t="n">
        <v>4.2</v>
      </c>
      <c r="H729" t="n">
        <v>0</v>
      </c>
      <c r="I729" t="n">
        <v>0</v>
      </c>
      <c r="J729" t="n">
        <v>0</v>
      </c>
      <c r="K729" t="n">
        <v>0</v>
      </c>
      <c r="L729" t="n">
        <v>0</v>
      </c>
      <c r="M729" t="n">
        <v>0</v>
      </c>
      <c r="N729" t="n">
        <v>0</v>
      </c>
      <c r="O729" t="n">
        <v>0</v>
      </c>
      <c r="P729" t="n">
        <v>0</v>
      </c>
      <c r="Q729" t="n">
        <v>0</v>
      </c>
      <c r="R729" s="2" t="inlineStr"/>
    </row>
    <row r="730" ht="15" customHeight="1">
      <c r="A730" t="inlineStr">
        <is>
          <t>A 30920-2024</t>
        </is>
      </c>
      <c r="B730" s="1" t="n">
        <v>45498.673125</v>
      </c>
      <c r="C730" s="1" t="n">
        <v>45968</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56582-2022</t>
        </is>
      </c>
      <c r="B731" s="1" t="n">
        <v>44893</v>
      </c>
      <c r="C731" s="1" t="n">
        <v>45968</v>
      </c>
      <c r="D731" t="inlineStr">
        <is>
          <t>KALMAR LÄN</t>
        </is>
      </c>
      <c r="E731" t="inlineStr">
        <is>
          <t>VIMMERBY</t>
        </is>
      </c>
      <c r="G731" t="n">
        <v>2.2</v>
      </c>
      <c r="H731" t="n">
        <v>0</v>
      </c>
      <c r="I731" t="n">
        <v>0</v>
      </c>
      <c r="J731" t="n">
        <v>0</v>
      </c>
      <c r="K731" t="n">
        <v>0</v>
      </c>
      <c r="L731" t="n">
        <v>0</v>
      </c>
      <c r="M731" t="n">
        <v>0</v>
      </c>
      <c r="N731" t="n">
        <v>0</v>
      </c>
      <c r="O731" t="n">
        <v>0</v>
      </c>
      <c r="P731" t="n">
        <v>0</v>
      </c>
      <c r="Q731" t="n">
        <v>0</v>
      </c>
      <c r="R731" s="2" t="inlineStr"/>
    </row>
    <row r="732" ht="15" customHeight="1">
      <c r="A732" t="inlineStr">
        <is>
          <t>A 20-2025</t>
        </is>
      </c>
      <c r="B732" s="1" t="n">
        <v>45658.80232638889</v>
      </c>
      <c r="C732" s="1" t="n">
        <v>45968</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23-2025</t>
        </is>
      </c>
      <c r="B733" s="1" t="n">
        <v>45658.80827546296</v>
      </c>
      <c r="C733" s="1" t="n">
        <v>45968</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43962-2024</t>
        </is>
      </c>
      <c r="B734" s="1" t="n">
        <v>45572.48293981481</v>
      </c>
      <c r="C734" s="1" t="n">
        <v>45968</v>
      </c>
      <c r="D734" t="inlineStr">
        <is>
          <t>KALMAR LÄN</t>
        </is>
      </c>
      <c r="E734" t="inlineStr">
        <is>
          <t>VIMMERBY</t>
        </is>
      </c>
      <c r="G734" t="n">
        <v>0.6</v>
      </c>
      <c r="H734" t="n">
        <v>0</v>
      </c>
      <c r="I734" t="n">
        <v>0</v>
      </c>
      <c r="J734" t="n">
        <v>0</v>
      </c>
      <c r="K734" t="n">
        <v>0</v>
      </c>
      <c r="L734" t="n">
        <v>0</v>
      </c>
      <c r="M734" t="n">
        <v>0</v>
      </c>
      <c r="N734" t="n">
        <v>0</v>
      </c>
      <c r="O734" t="n">
        <v>0</v>
      </c>
      <c r="P734" t="n">
        <v>0</v>
      </c>
      <c r="Q734" t="n">
        <v>0</v>
      </c>
      <c r="R734" s="2" t="inlineStr"/>
    </row>
    <row r="735" ht="15" customHeight="1">
      <c r="A735" t="inlineStr">
        <is>
          <t>A 35713-2023</t>
        </is>
      </c>
      <c r="B735" s="1" t="n">
        <v>45147</v>
      </c>
      <c r="C735" s="1" t="n">
        <v>45968</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40929-2022</t>
        </is>
      </c>
      <c r="B736" s="1" t="n">
        <v>44825.4336574074</v>
      </c>
      <c r="C736" s="1" t="n">
        <v>45968</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50091-2023</t>
        </is>
      </c>
      <c r="B737" s="1" t="n">
        <v>45215.60199074074</v>
      </c>
      <c r="C737" s="1" t="n">
        <v>45968</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45855-2025</t>
        </is>
      </c>
      <c r="B738" s="1" t="n">
        <v>45923</v>
      </c>
      <c r="C738" s="1" t="n">
        <v>45968</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36008-2024</t>
        </is>
      </c>
      <c r="B739" s="1" t="n">
        <v>45533.55362268518</v>
      </c>
      <c r="C739" s="1" t="n">
        <v>45968</v>
      </c>
      <c r="D739" t="inlineStr">
        <is>
          <t>KALMAR LÄN</t>
        </is>
      </c>
      <c r="E739" t="inlineStr">
        <is>
          <t>VIMMERBY</t>
        </is>
      </c>
      <c r="G739" t="n">
        <v>3.7</v>
      </c>
      <c r="H739" t="n">
        <v>0</v>
      </c>
      <c r="I739" t="n">
        <v>0</v>
      </c>
      <c r="J739" t="n">
        <v>0</v>
      </c>
      <c r="K739" t="n">
        <v>0</v>
      </c>
      <c r="L739" t="n">
        <v>0</v>
      </c>
      <c r="M739" t="n">
        <v>0</v>
      </c>
      <c r="N739" t="n">
        <v>0</v>
      </c>
      <c r="O739" t="n">
        <v>0</v>
      </c>
      <c r="P739" t="n">
        <v>0</v>
      </c>
      <c r="Q739" t="n">
        <v>0</v>
      </c>
      <c r="R739" s="2" t="inlineStr"/>
    </row>
    <row r="740" ht="15" customHeight="1">
      <c r="A740" t="inlineStr">
        <is>
          <t>A 16622-2025</t>
        </is>
      </c>
      <c r="B740" s="1" t="n">
        <v>45754.33641203704</v>
      </c>
      <c r="C740" s="1" t="n">
        <v>45968</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17511-2024</t>
        </is>
      </c>
      <c r="B741" s="1" t="n">
        <v>45415.57682870371</v>
      </c>
      <c r="C741" s="1" t="n">
        <v>45968</v>
      </c>
      <c r="D741" t="inlineStr">
        <is>
          <t>KALMAR LÄN</t>
        </is>
      </c>
      <c r="E741" t="inlineStr">
        <is>
          <t>VIMMERBY</t>
        </is>
      </c>
      <c r="G741" t="n">
        <v>5.3</v>
      </c>
      <c r="H741" t="n">
        <v>0</v>
      </c>
      <c r="I741" t="n">
        <v>0</v>
      </c>
      <c r="J741" t="n">
        <v>0</v>
      </c>
      <c r="K741" t="n">
        <v>0</v>
      </c>
      <c r="L741" t="n">
        <v>0</v>
      </c>
      <c r="M741" t="n">
        <v>0</v>
      </c>
      <c r="N741" t="n">
        <v>0</v>
      </c>
      <c r="O741" t="n">
        <v>0</v>
      </c>
      <c r="P741" t="n">
        <v>0</v>
      </c>
      <c r="Q741" t="n">
        <v>0</v>
      </c>
      <c r="R741" s="2" t="inlineStr"/>
    </row>
    <row r="742" ht="15" customHeight="1">
      <c r="A742" t="inlineStr">
        <is>
          <t>A 43705-2023</t>
        </is>
      </c>
      <c r="B742" s="1" t="n">
        <v>45187.42854166667</v>
      </c>
      <c r="C742" s="1" t="n">
        <v>45968</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40147-2023</t>
        </is>
      </c>
      <c r="B743" s="1" t="n">
        <v>45169</v>
      </c>
      <c r="C743" s="1" t="n">
        <v>45968</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41224-2025</t>
        </is>
      </c>
      <c r="B744" s="1" t="n">
        <v>45898.58861111111</v>
      </c>
      <c r="C744" s="1" t="n">
        <v>45968</v>
      </c>
      <c r="D744" t="inlineStr">
        <is>
          <t>KALMAR LÄN</t>
        </is>
      </c>
      <c r="E744" t="inlineStr">
        <is>
          <t>VIMMERBY</t>
        </is>
      </c>
      <c r="G744" t="n">
        <v>4.4</v>
      </c>
      <c r="H744" t="n">
        <v>0</v>
      </c>
      <c r="I744" t="n">
        <v>0</v>
      </c>
      <c r="J744" t="n">
        <v>0</v>
      </c>
      <c r="K744" t="n">
        <v>0</v>
      </c>
      <c r="L744" t="n">
        <v>0</v>
      </c>
      <c r="M744" t="n">
        <v>0</v>
      </c>
      <c r="N744" t="n">
        <v>0</v>
      </c>
      <c r="O744" t="n">
        <v>0</v>
      </c>
      <c r="P744" t="n">
        <v>0</v>
      </c>
      <c r="Q744" t="n">
        <v>0</v>
      </c>
      <c r="R744" s="2" t="inlineStr"/>
    </row>
    <row r="745" ht="15" customHeight="1">
      <c r="A745" t="inlineStr">
        <is>
          <t>A 50995-2022</t>
        </is>
      </c>
      <c r="B745" s="1" t="n">
        <v>44867</v>
      </c>
      <c r="C745" s="1" t="n">
        <v>45968</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49871-2025</t>
        </is>
      </c>
      <c r="B746" s="1" t="n">
        <v>45940.54104166666</v>
      </c>
      <c r="C746" s="1" t="n">
        <v>45968</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41591-2025</t>
        </is>
      </c>
      <c r="B747" s="1" t="n">
        <v>45901.6327662037</v>
      </c>
      <c r="C747" s="1" t="n">
        <v>45968</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40971-2025</t>
        </is>
      </c>
      <c r="B748" s="1" t="n">
        <v>45897.88836805556</v>
      </c>
      <c r="C748" s="1" t="n">
        <v>45968</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55300-2021</t>
        </is>
      </c>
      <c r="B749" s="1" t="n">
        <v>44475</v>
      </c>
      <c r="C749" s="1" t="n">
        <v>45968</v>
      </c>
      <c r="D749" t="inlineStr">
        <is>
          <t>KALMAR LÄN</t>
        </is>
      </c>
      <c r="E749" t="inlineStr">
        <is>
          <t>VIMMERBY</t>
        </is>
      </c>
      <c r="G749" t="n">
        <v>3.4</v>
      </c>
      <c r="H749" t="n">
        <v>0</v>
      </c>
      <c r="I749" t="n">
        <v>0</v>
      </c>
      <c r="J749" t="n">
        <v>0</v>
      </c>
      <c r="K749" t="n">
        <v>0</v>
      </c>
      <c r="L749" t="n">
        <v>0</v>
      </c>
      <c r="M749" t="n">
        <v>0</v>
      </c>
      <c r="N749" t="n">
        <v>0</v>
      </c>
      <c r="O749" t="n">
        <v>0</v>
      </c>
      <c r="P749" t="n">
        <v>0</v>
      </c>
      <c r="Q749" t="n">
        <v>0</v>
      </c>
      <c r="R749" s="2" t="inlineStr"/>
    </row>
    <row r="750" ht="15" customHeight="1">
      <c r="A750" t="inlineStr">
        <is>
          <t>A 41589-2025</t>
        </is>
      </c>
      <c r="B750" s="1" t="n">
        <v>45901.63219907408</v>
      </c>
      <c r="C750" s="1" t="n">
        <v>45968</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44179-2022</t>
        </is>
      </c>
      <c r="B751" s="1" t="n">
        <v>44839.4528125</v>
      </c>
      <c r="C751" s="1" t="n">
        <v>45968</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40970-2025</t>
        </is>
      </c>
      <c r="B752" s="1" t="n">
        <v>45897.88706018519</v>
      </c>
      <c r="C752" s="1" t="n">
        <v>45968</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40973-2025</t>
        </is>
      </c>
      <c r="B753" s="1" t="n">
        <v>45897.89737268518</v>
      </c>
      <c r="C753" s="1" t="n">
        <v>45968</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27993-2022</t>
        </is>
      </c>
      <c r="B754" s="1" t="n">
        <v>44745.84396990741</v>
      </c>
      <c r="C754" s="1" t="n">
        <v>45968</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52755-2022</t>
        </is>
      </c>
      <c r="B755" s="1" t="n">
        <v>44875.27736111111</v>
      </c>
      <c r="C755" s="1" t="n">
        <v>45968</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35998-2024</t>
        </is>
      </c>
      <c r="B756" s="1" t="n">
        <v>45533.54429398148</v>
      </c>
      <c r="C756" s="1" t="n">
        <v>45968</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7797-2023</t>
        </is>
      </c>
      <c r="B757" s="1" t="n">
        <v>44973.43075231482</v>
      </c>
      <c r="C757" s="1" t="n">
        <v>45968</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57555-2024</t>
        </is>
      </c>
      <c r="B758" s="1" t="n">
        <v>45630.45069444444</v>
      </c>
      <c r="C758" s="1" t="n">
        <v>45968</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29351-2023</t>
        </is>
      </c>
      <c r="B759" s="1" t="n">
        <v>45106.2610300926</v>
      </c>
      <c r="C759" s="1" t="n">
        <v>45968</v>
      </c>
      <c r="D759" t="inlineStr">
        <is>
          <t>KALMAR LÄN</t>
        </is>
      </c>
      <c r="E759" t="inlineStr">
        <is>
          <t>VIMMERBY</t>
        </is>
      </c>
      <c r="G759" t="n">
        <v>0.4</v>
      </c>
      <c r="H759" t="n">
        <v>0</v>
      </c>
      <c r="I759" t="n">
        <v>0</v>
      </c>
      <c r="J759" t="n">
        <v>0</v>
      </c>
      <c r="K759" t="n">
        <v>0</v>
      </c>
      <c r="L759" t="n">
        <v>0</v>
      </c>
      <c r="M759" t="n">
        <v>0</v>
      </c>
      <c r="N759" t="n">
        <v>0</v>
      </c>
      <c r="O759" t="n">
        <v>0</v>
      </c>
      <c r="P759" t="n">
        <v>0</v>
      </c>
      <c r="Q759" t="n">
        <v>0</v>
      </c>
      <c r="R759" s="2" t="inlineStr"/>
    </row>
    <row r="760" ht="15" customHeight="1">
      <c r="A760" t="inlineStr">
        <is>
          <t>A 7630-2025</t>
        </is>
      </c>
      <c r="B760" s="1" t="n">
        <v>45705.74418981482</v>
      </c>
      <c r="C760" s="1" t="n">
        <v>45968</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1024-2024</t>
        </is>
      </c>
      <c r="B761" s="1" t="n">
        <v>45301.68237268519</v>
      </c>
      <c r="C761" s="1" t="n">
        <v>45968</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34090-2025</t>
        </is>
      </c>
      <c r="B762" s="1" t="n">
        <v>45845</v>
      </c>
      <c r="C762" s="1" t="n">
        <v>45968</v>
      </c>
      <c r="D762" t="inlineStr">
        <is>
          <t>KALMAR LÄN</t>
        </is>
      </c>
      <c r="E762" t="inlineStr">
        <is>
          <t>VIMMERBY</t>
        </is>
      </c>
      <c r="G762" t="n">
        <v>2.8</v>
      </c>
      <c r="H762" t="n">
        <v>0</v>
      </c>
      <c r="I762" t="n">
        <v>0</v>
      </c>
      <c r="J762" t="n">
        <v>0</v>
      </c>
      <c r="K762" t="n">
        <v>0</v>
      </c>
      <c r="L762" t="n">
        <v>0</v>
      </c>
      <c r="M762" t="n">
        <v>0</v>
      </c>
      <c r="N762" t="n">
        <v>0</v>
      </c>
      <c r="O762" t="n">
        <v>0</v>
      </c>
      <c r="P762" t="n">
        <v>0</v>
      </c>
      <c r="Q762" t="n">
        <v>0</v>
      </c>
      <c r="R762" s="2" t="inlineStr"/>
    </row>
    <row r="763" ht="15" customHeight="1">
      <c r="A763" t="inlineStr">
        <is>
          <t>A 36014-2024</t>
        </is>
      </c>
      <c r="B763" s="1" t="n">
        <v>45533.56108796296</v>
      </c>
      <c r="C763" s="1" t="n">
        <v>45968</v>
      </c>
      <c r="D763" t="inlineStr">
        <is>
          <t>KALMAR LÄN</t>
        </is>
      </c>
      <c r="E763" t="inlineStr">
        <is>
          <t>VIMMERBY</t>
        </is>
      </c>
      <c r="G763" t="n">
        <v>2.3</v>
      </c>
      <c r="H763" t="n">
        <v>0</v>
      </c>
      <c r="I763" t="n">
        <v>0</v>
      </c>
      <c r="J763" t="n">
        <v>0</v>
      </c>
      <c r="K763" t="n">
        <v>0</v>
      </c>
      <c r="L763" t="n">
        <v>0</v>
      </c>
      <c r="M763" t="n">
        <v>0</v>
      </c>
      <c r="N763" t="n">
        <v>0</v>
      </c>
      <c r="O763" t="n">
        <v>0</v>
      </c>
      <c r="P763" t="n">
        <v>0</v>
      </c>
      <c r="Q763" t="n">
        <v>0</v>
      </c>
      <c r="R763" s="2" t="inlineStr"/>
    </row>
    <row r="764" ht="15" customHeight="1">
      <c r="A764" t="inlineStr">
        <is>
          <t>A 36030-2024</t>
        </is>
      </c>
      <c r="B764" s="1" t="n">
        <v>45533.58302083334</v>
      </c>
      <c r="C764" s="1" t="n">
        <v>45968</v>
      </c>
      <c r="D764" t="inlineStr">
        <is>
          <t>KALMAR LÄN</t>
        </is>
      </c>
      <c r="E764" t="inlineStr">
        <is>
          <t>VIMMERBY</t>
        </is>
      </c>
      <c r="F764" t="inlineStr">
        <is>
          <t>Kommuner</t>
        </is>
      </c>
      <c r="G764" t="n">
        <v>4</v>
      </c>
      <c r="H764" t="n">
        <v>0</v>
      </c>
      <c r="I764" t="n">
        <v>0</v>
      </c>
      <c r="J764" t="n">
        <v>0</v>
      </c>
      <c r="K764" t="n">
        <v>0</v>
      </c>
      <c r="L764" t="n">
        <v>0</v>
      </c>
      <c r="M764" t="n">
        <v>0</v>
      </c>
      <c r="N764" t="n">
        <v>0</v>
      </c>
      <c r="O764" t="n">
        <v>0</v>
      </c>
      <c r="P764" t="n">
        <v>0</v>
      </c>
      <c r="Q764" t="n">
        <v>0</v>
      </c>
      <c r="R764" s="2" t="inlineStr"/>
    </row>
    <row r="765" ht="15" customHeight="1">
      <c r="A765" t="inlineStr">
        <is>
          <t>A 10787-2025</t>
        </is>
      </c>
      <c r="B765" s="1" t="n">
        <v>45722.48915509259</v>
      </c>
      <c r="C765" s="1" t="n">
        <v>45968</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32865-2023</t>
        </is>
      </c>
      <c r="B766" s="1" t="n">
        <v>45124</v>
      </c>
      <c r="C766" s="1" t="n">
        <v>45968</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29350-2023</t>
        </is>
      </c>
      <c r="B767" s="1" t="n">
        <v>45106</v>
      </c>
      <c r="C767" s="1" t="n">
        <v>45968</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14855-2025</t>
        </is>
      </c>
      <c r="B768" s="1" t="n">
        <v>45743.41148148148</v>
      </c>
      <c r="C768" s="1" t="n">
        <v>45968</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43601-2024</t>
        </is>
      </c>
      <c r="B769" s="1" t="n">
        <v>45569.44684027778</v>
      </c>
      <c r="C769" s="1" t="n">
        <v>45968</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35913-2023</t>
        </is>
      </c>
      <c r="B770" s="1" t="n">
        <v>45148</v>
      </c>
      <c r="C770" s="1" t="n">
        <v>45968</v>
      </c>
      <c r="D770" t="inlineStr">
        <is>
          <t>KALMAR LÄN</t>
        </is>
      </c>
      <c r="E770" t="inlineStr">
        <is>
          <t>VIMMERBY</t>
        </is>
      </c>
      <c r="G770" t="n">
        <v>6.9</v>
      </c>
      <c r="H770" t="n">
        <v>0</v>
      </c>
      <c r="I770" t="n">
        <v>0</v>
      </c>
      <c r="J770" t="n">
        <v>0</v>
      </c>
      <c r="K770" t="n">
        <v>0</v>
      </c>
      <c r="L770" t="n">
        <v>0</v>
      </c>
      <c r="M770" t="n">
        <v>0</v>
      </c>
      <c r="N770" t="n">
        <v>0</v>
      </c>
      <c r="O770" t="n">
        <v>0</v>
      </c>
      <c r="P770" t="n">
        <v>0</v>
      </c>
      <c r="Q770" t="n">
        <v>0</v>
      </c>
      <c r="R770" s="2" t="inlineStr"/>
    </row>
    <row r="771" ht="15" customHeight="1">
      <c r="A771" t="inlineStr">
        <is>
          <t>A 42918-2021</t>
        </is>
      </c>
      <c r="B771" s="1" t="n">
        <v>44431</v>
      </c>
      <c r="C771" s="1" t="n">
        <v>45968</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9624-2024</t>
        </is>
      </c>
      <c r="B772" s="1" t="n">
        <v>45361.90282407407</v>
      </c>
      <c r="C772" s="1" t="n">
        <v>45968</v>
      </c>
      <c r="D772" t="inlineStr">
        <is>
          <t>KALMAR LÄN</t>
        </is>
      </c>
      <c r="E772" t="inlineStr">
        <is>
          <t>VIMMERBY</t>
        </is>
      </c>
      <c r="G772" t="n">
        <v>3.8</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44952.35775462963</v>
      </c>
      <c r="C773" s="1" t="n">
        <v>45968</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50324-2025</t>
        </is>
      </c>
      <c r="B774" s="1" t="n">
        <v>45944.45962962963</v>
      </c>
      <c r="C774" s="1" t="n">
        <v>45968</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39053-2024</t>
        </is>
      </c>
      <c r="B775" s="1" t="n">
        <v>45548</v>
      </c>
      <c r="C775" s="1" t="n">
        <v>45968</v>
      </c>
      <c r="D775" t="inlineStr">
        <is>
          <t>KALMAR LÄN</t>
        </is>
      </c>
      <c r="E775" t="inlineStr">
        <is>
          <t>VIMMERBY</t>
        </is>
      </c>
      <c r="G775" t="n">
        <v>5</v>
      </c>
      <c r="H775" t="n">
        <v>0</v>
      </c>
      <c r="I775" t="n">
        <v>0</v>
      </c>
      <c r="J775" t="n">
        <v>0</v>
      </c>
      <c r="K775" t="n">
        <v>0</v>
      </c>
      <c r="L775" t="n">
        <v>0</v>
      </c>
      <c r="M775" t="n">
        <v>0</v>
      </c>
      <c r="N775" t="n">
        <v>0</v>
      </c>
      <c r="O775" t="n">
        <v>0</v>
      </c>
      <c r="P775" t="n">
        <v>0</v>
      </c>
      <c r="Q775" t="n">
        <v>0</v>
      </c>
      <c r="R775" s="2" t="inlineStr"/>
    </row>
    <row r="776" ht="15" customHeight="1">
      <c r="A776" t="inlineStr">
        <is>
          <t>A 22643-2023</t>
        </is>
      </c>
      <c r="B776" s="1" t="n">
        <v>45071</v>
      </c>
      <c r="C776" s="1" t="n">
        <v>45968</v>
      </c>
      <c r="D776" t="inlineStr">
        <is>
          <t>KALMAR LÄN</t>
        </is>
      </c>
      <c r="E776" t="inlineStr">
        <is>
          <t>VIMMERBY</t>
        </is>
      </c>
      <c r="G776" t="n">
        <v>3.9</v>
      </c>
      <c r="H776" t="n">
        <v>0</v>
      </c>
      <c r="I776" t="n">
        <v>0</v>
      </c>
      <c r="J776" t="n">
        <v>0</v>
      </c>
      <c r="K776" t="n">
        <v>0</v>
      </c>
      <c r="L776" t="n">
        <v>0</v>
      </c>
      <c r="M776" t="n">
        <v>0</v>
      </c>
      <c r="N776" t="n">
        <v>0</v>
      </c>
      <c r="O776" t="n">
        <v>0</v>
      </c>
      <c r="P776" t="n">
        <v>0</v>
      </c>
      <c r="Q776" t="n">
        <v>0</v>
      </c>
      <c r="R776" s="2" t="inlineStr"/>
    </row>
    <row r="777" ht="15" customHeight="1">
      <c r="A777" t="inlineStr">
        <is>
          <t>A 14451-2024</t>
        </is>
      </c>
      <c r="B777" s="1" t="n">
        <v>45394.50028935185</v>
      </c>
      <c r="C777" s="1" t="n">
        <v>45968</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18669-2025</t>
        </is>
      </c>
      <c r="B778" s="1" t="n">
        <v>45763.59436342592</v>
      </c>
      <c r="C778" s="1" t="n">
        <v>45968</v>
      </c>
      <c r="D778" t="inlineStr">
        <is>
          <t>KALMAR LÄN</t>
        </is>
      </c>
      <c r="E778" t="inlineStr">
        <is>
          <t>VIMMERBY</t>
        </is>
      </c>
      <c r="G778" t="n">
        <v>2.7</v>
      </c>
      <c r="H778" t="n">
        <v>0</v>
      </c>
      <c r="I778" t="n">
        <v>0</v>
      </c>
      <c r="J778" t="n">
        <v>0</v>
      </c>
      <c r="K778" t="n">
        <v>0</v>
      </c>
      <c r="L778" t="n">
        <v>0</v>
      </c>
      <c r="M778" t="n">
        <v>0</v>
      </c>
      <c r="N778" t="n">
        <v>0</v>
      </c>
      <c r="O778" t="n">
        <v>0</v>
      </c>
      <c r="P778" t="n">
        <v>0</v>
      </c>
      <c r="Q778" t="n">
        <v>0</v>
      </c>
      <c r="R778" s="2" t="inlineStr"/>
    </row>
    <row r="779" ht="15" customHeight="1">
      <c r="A779" t="inlineStr">
        <is>
          <t>A 38780-2021</t>
        </is>
      </c>
      <c r="B779" s="1" t="n">
        <v>44410</v>
      </c>
      <c r="C779" s="1" t="n">
        <v>45968</v>
      </c>
      <c r="D779" t="inlineStr">
        <is>
          <t>KALMAR LÄN</t>
        </is>
      </c>
      <c r="E779" t="inlineStr">
        <is>
          <t>VIMMERBY</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34205-2023</t>
        </is>
      </c>
      <c r="B780" s="1" t="n">
        <v>45138</v>
      </c>
      <c r="C780" s="1" t="n">
        <v>45968</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41735-2025</t>
        </is>
      </c>
      <c r="B781" s="1" t="n">
        <v>45902.47164351852</v>
      </c>
      <c r="C781" s="1" t="n">
        <v>45968</v>
      </c>
      <c r="D781" t="inlineStr">
        <is>
          <t>KALMAR LÄN</t>
        </is>
      </c>
      <c r="E781" t="inlineStr">
        <is>
          <t>VIMMERBY</t>
        </is>
      </c>
      <c r="G781" t="n">
        <v>3</v>
      </c>
      <c r="H781" t="n">
        <v>0</v>
      </c>
      <c r="I781" t="n">
        <v>0</v>
      </c>
      <c r="J781" t="n">
        <v>0</v>
      </c>
      <c r="K781" t="n">
        <v>0</v>
      </c>
      <c r="L781" t="n">
        <v>0</v>
      </c>
      <c r="M781" t="n">
        <v>0</v>
      </c>
      <c r="N781" t="n">
        <v>0</v>
      </c>
      <c r="O781" t="n">
        <v>0</v>
      </c>
      <c r="P781" t="n">
        <v>0</v>
      </c>
      <c r="Q781" t="n">
        <v>0</v>
      </c>
      <c r="R781" s="2" t="inlineStr"/>
    </row>
    <row r="782" ht="15" customHeight="1">
      <c r="A782" t="inlineStr">
        <is>
          <t>A 29020-2024</t>
        </is>
      </c>
      <c r="B782" s="1" t="n">
        <v>45481.58048611111</v>
      </c>
      <c r="C782" s="1" t="n">
        <v>45968</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30406-2023</t>
        </is>
      </c>
      <c r="B783" s="1" t="n">
        <v>45111.48787037037</v>
      </c>
      <c r="C783" s="1" t="n">
        <v>45968</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13817-2024</t>
        </is>
      </c>
      <c r="B784" s="1" t="n">
        <v>45391.41976851852</v>
      </c>
      <c r="C784" s="1" t="n">
        <v>45968</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50544-2025</t>
        </is>
      </c>
      <c r="B785" s="1" t="n">
        <v>45945.50736111111</v>
      </c>
      <c r="C785" s="1" t="n">
        <v>45968</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3268-2024</t>
        </is>
      </c>
      <c r="B786" s="1" t="n">
        <v>45317</v>
      </c>
      <c r="C786" s="1" t="n">
        <v>45968</v>
      </c>
      <c r="D786" t="inlineStr">
        <is>
          <t>KALMAR LÄN</t>
        </is>
      </c>
      <c r="E786" t="inlineStr">
        <is>
          <t>VIMMERBY</t>
        </is>
      </c>
      <c r="F786" t="inlineStr">
        <is>
          <t>Övriga Aktiebolag</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12819-2024</t>
        </is>
      </c>
      <c r="B787" s="1" t="n">
        <v>45384.66917824074</v>
      </c>
      <c r="C787" s="1" t="n">
        <v>45968</v>
      </c>
      <c r="D787" t="inlineStr">
        <is>
          <t>KALMAR LÄN</t>
        </is>
      </c>
      <c r="E787" t="inlineStr">
        <is>
          <t>VIMMERBY</t>
        </is>
      </c>
      <c r="G787" t="n">
        <v>5.1</v>
      </c>
      <c r="H787" t="n">
        <v>0</v>
      </c>
      <c r="I787" t="n">
        <v>0</v>
      </c>
      <c r="J787" t="n">
        <v>0</v>
      </c>
      <c r="K787" t="n">
        <v>0</v>
      </c>
      <c r="L787" t="n">
        <v>0</v>
      </c>
      <c r="M787" t="n">
        <v>0</v>
      </c>
      <c r="N787" t="n">
        <v>0</v>
      </c>
      <c r="O787" t="n">
        <v>0</v>
      </c>
      <c r="P787" t="n">
        <v>0</v>
      </c>
      <c r="Q787" t="n">
        <v>0</v>
      </c>
      <c r="R787" s="2" t="inlineStr"/>
    </row>
    <row r="788" ht="15" customHeight="1">
      <c r="A788" t="inlineStr">
        <is>
          <t>A 51062-2025</t>
        </is>
      </c>
      <c r="B788" s="1" t="n">
        <v>45947.44685185186</v>
      </c>
      <c r="C788" s="1" t="n">
        <v>45968</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6214-2025</t>
        </is>
      </c>
      <c r="B789" s="1" t="n">
        <v>45698.51711805556</v>
      </c>
      <c r="C789" s="1" t="n">
        <v>45968</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32569-2024</t>
        </is>
      </c>
      <c r="B790" s="1" t="n">
        <v>45513.55840277778</v>
      </c>
      <c r="C790" s="1" t="n">
        <v>45968</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32575-2024</t>
        </is>
      </c>
      <c r="B791" s="1" t="n">
        <v>45513.56527777778</v>
      </c>
      <c r="C791" s="1" t="n">
        <v>45968</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59300-2024</t>
        </is>
      </c>
      <c r="B792" s="1" t="n">
        <v>45637.66542824074</v>
      </c>
      <c r="C792" s="1" t="n">
        <v>45968</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59768-2024</t>
        </is>
      </c>
      <c r="B793" s="1" t="n">
        <v>45639.56185185185</v>
      </c>
      <c r="C793" s="1" t="n">
        <v>45968</v>
      </c>
      <c r="D793" t="inlineStr">
        <is>
          <t>KALMAR LÄN</t>
        </is>
      </c>
      <c r="E793" t="inlineStr">
        <is>
          <t>VIMMERBY</t>
        </is>
      </c>
      <c r="G793" t="n">
        <v>5.9</v>
      </c>
      <c r="H793" t="n">
        <v>0</v>
      </c>
      <c r="I793" t="n">
        <v>0</v>
      </c>
      <c r="J793" t="n">
        <v>0</v>
      </c>
      <c r="K793" t="n">
        <v>0</v>
      </c>
      <c r="L793" t="n">
        <v>0</v>
      </c>
      <c r="M793" t="n">
        <v>0</v>
      </c>
      <c r="N793" t="n">
        <v>0</v>
      </c>
      <c r="O793" t="n">
        <v>0</v>
      </c>
      <c r="P793" t="n">
        <v>0</v>
      </c>
      <c r="Q793" t="n">
        <v>0</v>
      </c>
      <c r="R793" s="2" t="inlineStr"/>
    </row>
    <row r="794" ht="15" customHeight="1">
      <c r="A794" t="inlineStr">
        <is>
          <t>A 36526-2023</t>
        </is>
      </c>
      <c r="B794" s="1" t="n">
        <v>45153.32778935185</v>
      </c>
      <c r="C794" s="1" t="n">
        <v>45968</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58728-2024</t>
        </is>
      </c>
      <c r="B795" s="1" t="n">
        <v>45635.66695601852</v>
      </c>
      <c r="C795" s="1" t="n">
        <v>45968</v>
      </c>
      <c r="D795" t="inlineStr">
        <is>
          <t>KALMAR LÄN</t>
        </is>
      </c>
      <c r="E795" t="inlineStr">
        <is>
          <t>VIMMERBY</t>
        </is>
      </c>
      <c r="G795" t="n">
        <v>0.4</v>
      </c>
      <c r="H795" t="n">
        <v>0</v>
      </c>
      <c r="I795" t="n">
        <v>0</v>
      </c>
      <c r="J795" t="n">
        <v>0</v>
      </c>
      <c r="K795" t="n">
        <v>0</v>
      </c>
      <c r="L795" t="n">
        <v>0</v>
      </c>
      <c r="M795" t="n">
        <v>0</v>
      </c>
      <c r="N795" t="n">
        <v>0</v>
      </c>
      <c r="O795" t="n">
        <v>0</v>
      </c>
      <c r="P795" t="n">
        <v>0</v>
      </c>
      <c r="Q795" t="n">
        <v>0</v>
      </c>
      <c r="R795" s="2" t="inlineStr"/>
    </row>
    <row r="796" ht="15" customHeight="1">
      <c r="A796" t="inlineStr">
        <is>
          <t>A 42828-2025</t>
        </is>
      </c>
      <c r="B796" s="1" t="n">
        <v>45908.57716435185</v>
      </c>
      <c r="C796" s="1" t="n">
        <v>45968</v>
      </c>
      <c r="D796" t="inlineStr">
        <is>
          <t>KALMAR LÄN</t>
        </is>
      </c>
      <c r="E796" t="inlineStr">
        <is>
          <t>VIMMERBY</t>
        </is>
      </c>
      <c r="G796" t="n">
        <v>5.2</v>
      </c>
      <c r="H796" t="n">
        <v>0</v>
      </c>
      <c r="I796" t="n">
        <v>0</v>
      </c>
      <c r="J796" t="n">
        <v>0</v>
      </c>
      <c r="K796" t="n">
        <v>0</v>
      </c>
      <c r="L796" t="n">
        <v>0</v>
      </c>
      <c r="M796" t="n">
        <v>0</v>
      </c>
      <c r="N796" t="n">
        <v>0</v>
      </c>
      <c r="O796" t="n">
        <v>0</v>
      </c>
      <c r="P796" t="n">
        <v>0</v>
      </c>
      <c r="Q796" t="n">
        <v>0</v>
      </c>
      <c r="R796" s="2" t="inlineStr"/>
    </row>
    <row r="797" ht="15" customHeight="1">
      <c r="A797" t="inlineStr">
        <is>
          <t>A 49474-2023</t>
        </is>
      </c>
      <c r="B797" s="1" t="n">
        <v>45211.541875</v>
      </c>
      <c r="C797" s="1" t="n">
        <v>45968</v>
      </c>
      <c r="D797" t="inlineStr">
        <is>
          <t>KALMAR LÄN</t>
        </is>
      </c>
      <c r="E797" t="inlineStr">
        <is>
          <t>VIMMERBY</t>
        </is>
      </c>
      <c r="G797" t="n">
        <v>3.6</v>
      </c>
      <c r="H797" t="n">
        <v>0</v>
      </c>
      <c r="I797" t="n">
        <v>0</v>
      </c>
      <c r="J797" t="n">
        <v>0</v>
      </c>
      <c r="K797" t="n">
        <v>0</v>
      </c>
      <c r="L797" t="n">
        <v>0</v>
      </c>
      <c r="M797" t="n">
        <v>0</v>
      </c>
      <c r="N797" t="n">
        <v>0</v>
      </c>
      <c r="O797" t="n">
        <v>0</v>
      </c>
      <c r="P797" t="n">
        <v>0</v>
      </c>
      <c r="Q797" t="n">
        <v>0</v>
      </c>
      <c r="R797" s="2" t="inlineStr"/>
    </row>
    <row r="798" ht="15" customHeight="1">
      <c r="A798" t="inlineStr">
        <is>
          <t>A 57682-2022</t>
        </is>
      </c>
      <c r="B798" s="1" t="n">
        <v>44890</v>
      </c>
      <c r="C798" s="1" t="n">
        <v>45968</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14220-2021</t>
        </is>
      </c>
      <c r="B799" s="1" t="n">
        <v>44278.54855324074</v>
      </c>
      <c r="C799" s="1" t="n">
        <v>45968</v>
      </c>
      <c r="D799" t="inlineStr">
        <is>
          <t>KALMAR LÄN</t>
        </is>
      </c>
      <c r="E799" t="inlineStr">
        <is>
          <t>VIMMERBY</t>
        </is>
      </c>
      <c r="G799" t="n">
        <v>0.3</v>
      </c>
      <c r="H799" t="n">
        <v>0</v>
      </c>
      <c r="I799" t="n">
        <v>0</v>
      </c>
      <c r="J799" t="n">
        <v>0</v>
      </c>
      <c r="K799" t="n">
        <v>0</v>
      </c>
      <c r="L799" t="n">
        <v>0</v>
      </c>
      <c r="M799" t="n">
        <v>0</v>
      </c>
      <c r="N799" t="n">
        <v>0</v>
      </c>
      <c r="O799" t="n">
        <v>0</v>
      </c>
      <c r="P799" t="n">
        <v>0</v>
      </c>
      <c r="Q799" t="n">
        <v>0</v>
      </c>
      <c r="R799" s="2" t="inlineStr"/>
    </row>
    <row r="800" ht="15" customHeight="1">
      <c r="A800" t="inlineStr">
        <is>
          <t>A 42794-2025</t>
        </is>
      </c>
      <c r="B800" s="1" t="n">
        <v>45908</v>
      </c>
      <c r="C800" s="1" t="n">
        <v>45968</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42820-2025</t>
        </is>
      </c>
      <c r="B801" s="1" t="n">
        <v>45908</v>
      </c>
      <c r="C801" s="1" t="n">
        <v>45968</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63950-2023</t>
        </is>
      </c>
      <c r="B802" s="1" t="n">
        <v>45278</v>
      </c>
      <c r="C802" s="1" t="n">
        <v>45968</v>
      </c>
      <c r="D802" t="inlineStr">
        <is>
          <t>KALMAR LÄN</t>
        </is>
      </c>
      <c r="E802" t="inlineStr">
        <is>
          <t>VIMMERBY</t>
        </is>
      </c>
      <c r="F802" t="inlineStr">
        <is>
          <t>Kyrkan</t>
        </is>
      </c>
      <c r="G802" t="n">
        <v>2.7</v>
      </c>
      <c r="H802" t="n">
        <v>0</v>
      </c>
      <c r="I802" t="n">
        <v>0</v>
      </c>
      <c r="J802" t="n">
        <v>0</v>
      </c>
      <c r="K802" t="n">
        <v>0</v>
      </c>
      <c r="L802" t="n">
        <v>0</v>
      </c>
      <c r="M802" t="n">
        <v>0</v>
      </c>
      <c r="N802" t="n">
        <v>0</v>
      </c>
      <c r="O802" t="n">
        <v>0</v>
      </c>
      <c r="P802" t="n">
        <v>0</v>
      </c>
      <c r="Q802" t="n">
        <v>0</v>
      </c>
      <c r="R802" s="2" t="inlineStr"/>
    </row>
    <row r="803" ht="15" customHeight="1">
      <c r="A803" t="inlineStr">
        <is>
          <t>A 22399-2025</t>
        </is>
      </c>
      <c r="B803" s="1" t="n">
        <v>45786.52996527778</v>
      </c>
      <c r="C803" s="1" t="n">
        <v>45968</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22397-2025</t>
        </is>
      </c>
      <c r="B804" s="1" t="n">
        <v>45786.52878472222</v>
      </c>
      <c r="C804" s="1" t="n">
        <v>45968</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25582-2024</t>
        </is>
      </c>
      <c r="B805" s="1" t="n">
        <v>45463</v>
      </c>
      <c r="C805" s="1" t="n">
        <v>45968</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16516-2023</t>
        </is>
      </c>
      <c r="B806" s="1" t="n">
        <v>45029</v>
      </c>
      <c r="C806" s="1" t="n">
        <v>45968</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47842-2024</t>
        </is>
      </c>
      <c r="B807" s="1" t="n">
        <v>45588.65545138889</v>
      </c>
      <c r="C807" s="1" t="n">
        <v>45968</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6408-2025</t>
        </is>
      </c>
      <c r="B808" s="1" t="n">
        <v>45699.45671296296</v>
      </c>
      <c r="C808" s="1" t="n">
        <v>45968</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25109-2023</t>
        </is>
      </c>
      <c r="B809" s="1" t="n">
        <v>45086</v>
      </c>
      <c r="C809" s="1" t="n">
        <v>45968</v>
      </c>
      <c r="D809" t="inlineStr">
        <is>
          <t>KALMAR LÄN</t>
        </is>
      </c>
      <c r="E809" t="inlineStr">
        <is>
          <t>VIMMERBY</t>
        </is>
      </c>
      <c r="G809" t="n">
        <v>1.5</v>
      </c>
      <c r="H809" t="n">
        <v>0</v>
      </c>
      <c r="I809" t="n">
        <v>0</v>
      </c>
      <c r="J809" t="n">
        <v>0</v>
      </c>
      <c r="K809" t="n">
        <v>0</v>
      </c>
      <c r="L809" t="n">
        <v>0</v>
      </c>
      <c r="M809" t="n">
        <v>0</v>
      </c>
      <c r="N809" t="n">
        <v>0</v>
      </c>
      <c r="O809" t="n">
        <v>0</v>
      </c>
      <c r="P809" t="n">
        <v>0</v>
      </c>
      <c r="Q809" t="n">
        <v>0</v>
      </c>
      <c r="R809" s="2" t="inlineStr"/>
    </row>
    <row r="810" ht="15" customHeight="1">
      <c r="A810" t="inlineStr">
        <is>
          <t>A 33380-2023</t>
        </is>
      </c>
      <c r="B810" s="1" t="n">
        <v>45128</v>
      </c>
      <c r="C810" s="1" t="n">
        <v>45968</v>
      </c>
      <c r="D810" t="inlineStr">
        <is>
          <t>KALMAR LÄN</t>
        </is>
      </c>
      <c r="E810" t="inlineStr">
        <is>
          <t>VIMMERBY</t>
        </is>
      </c>
      <c r="G810" t="n">
        <v>5.2</v>
      </c>
      <c r="H810" t="n">
        <v>0</v>
      </c>
      <c r="I810" t="n">
        <v>0</v>
      </c>
      <c r="J810" t="n">
        <v>0</v>
      </c>
      <c r="K810" t="n">
        <v>0</v>
      </c>
      <c r="L810" t="n">
        <v>0</v>
      </c>
      <c r="M810" t="n">
        <v>0</v>
      </c>
      <c r="N810" t="n">
        <v>0</v>
      </c>
      <c r="O810" t="n">
        <v>0</v>
      </c>
      <c r="P810" t="n">
        <v>0</v>
      </c>
      <c r="Q810" t="n">
        <v>0</v>
      </c>
      <c r="R810" s="2" t="inlineStr"/>
    </row>
    <row r="811" ht="15" customHeight="1">
      <c r="A811" t="inlineStr">
        <is>
          <t>A 57578-2024</t>
        </is>
      </c>
      <c r="B811" s="1" t="n">
        <v>45630.47564814815</v>
      </c>
      <c r="C811" s="1" t="n">
        <v>45968</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32639-2023</t>
        </is>
      </c>
      <c r="B812" s="1" t="n">
        <v>45121.5965162037</v>
      </c>
      <c r="C812" s="1" t="n">
        <v>45968</v>
      </c>
      <c r="D812" t="inlineStr">
        <is>
          <t>KALMAR LÄN</t>
        </is>
      </c>
      <c r="E812" t="inlineStr">
        <is>
          <t>VIMMERBY</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32642-2023</t>
        </is>
      </c>
      <c r="B813" s="1" t="n">
        <v>45121.59954861111</v>
      </c>
      <c r="C813" s="1" t="n">
        <v>45968</v>
      </c>
      <c r="D813" t="inlineStr">
        <is>
          <t>KALMAR LÄN</t>
        </is>
      </c>
      <c r="E813" t="inlineStr">
        <is>
          <t>VIMMERBY</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32651-2023</t>
        </is>
      </c>
      <c r="B814" s="1" t="n">
        <v>45121.6096875</v>
      </c>
      <c r="C814" s="1" t="n">
        <v>45968</v>
      </c>
      <c r="D814" t="inlineStr">
        <is>
          <t>KALMAR LÄN</t>
        </is>
      </c>
      <c r="E814" t="inlineStr">
        <is>
          <t>VIMMERBY</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11928-2022</t>
        </is>
      </c>
      <c r="B815" s="1" t="n">
        <v>44635</v>
      </c>
      <c r="C815" s="1" t="n">
        <v>45968</v>
      </c>
      <c r="D815" t="inlineStr">
        <is>
          <t>KALMAR LÄN</t>
        </is>
      </c>
      <c r="E815" t="inlineStr">
        <is>
          <t>VIMMERBY</t>
        </is>
      </c>
      <c r="G815" t="n">
        <v>2.8</v>
      </c>
      <c r="H815" t="n">
        <v>0</v>
      </c>
      <c r="I815" t="n">
        <v>0</v>
      </c>
      <c r="J815" t="n">
        <v>0</v>
      </c>
      <c r="K815" t="n">
        <v>0</v>
      </c>
      <c r="L815" t="n">
        <v>0</v>
      </c>
      <c r="M815" t="n">
        <v>0</v>
      </c>
      <c r="N815" t="n">
        <v>0</v>
      </c>
      <c r="O815" t="n">
        <v>0</v>
      </c>
      <c r="P815" t="n">
        <v>0</v>
      </c>
      <c r="Q815" t="n">
        <v>0</v>
      </c>
      <c r="R815" s="2" t="inlineStr"/>
    </row>
    <row r="816" ht="15" customHeight="1">
      <c r="A816" t="inlineStr">
        <is>
          <t>A 6307-2025</t>
        </is>
      </c>
      <c r="B816" s="1" t="n">
        <v>45698.69016203703</v>
      </c>
      <c r="C816" s="1" t="n">
        <v>45968</v>
      </c>
      <c r="D816" t="inlineStr">
        <is>
          <t>KALMAR LÄN</t>
        </is>
      </c>
      <c r="E816" t="inlineStr">
        <is>
          <t>VIMMERBY</t>
        </is>
      </c>
      <c r="G816" t="n">
        <v>3</v>
      </c>
      <c r="H816" t="n">
        <v>0</v>
      </c>
      <c r="I816" t="n">
        <v>0</v>
      </c>
      <c r="J816" t="n">
        <v>0</v>
      </c>
      <c r="K816" t="n">
        <v>0</v>
      </c>
      <c r="L816" t="n">
        <v>0</v>
      </c>
      <c r="M816" t="n">
        <v>0</v>
      </c>
      <c r="N816" t="n">
        <v>0</v>
      </c>
      <c r="O816" t="n">
        <v>0</v>
      </c>
      <c r="P816" t="n">
        <v>0</v>
      </c>
      <c r="Q816" t="n">
        <v>0</v>
      </c>
      <c r="R816" s="2" t="inlineStr"/>
    </row>
    <row r="817" ht="15" customHeight="1">
      <c r="A817" t="inlineStr">
        <is>
          <t>A 34060-2025</t>
        </is>
      </c>
      <c r="B817" s="1" t="n">
        <v>45845.42015046296</v>
      </c>
      <c r="C817" s="1" t="n">
        <v>45968</v>
      </c>
      <c r="D817" t="inlineStr">
        <is>
          <t>KALMAR LÄN</t>
        </is>
      </c>
      <c r="E817" t="inlineStr">
        <is>
          <t>VIMMERBY</t>
        </is>
      </c>
      <c r="G817" t="n">
        <v>5.7</v>
      </c>
      <c r="H817" t="n">
        <v>0</v>
      </c>
      <c r="I817" t="n">
        <v>0</v>
      </c>
      <c r="J817" t="n">
        <v>0</v>
      </c>
      <c r="K817" t="n">
        <v>0</v>
      </c>
      <c r="L817" t="n">
        <v>0</v>
      </c>
      <c r="M817" t="n">
        <v>0</v>
      </c>
      <c r="N817" t="n">
        <v>0</v>
      </c>
      <c r="O817" t="n">
        <v>0</v>
      </c>
      <c r="P817" t="n">
        <v>0</v>
      </c>
      <c r="Q817" t="n">
        <v>0</v>
      </c>
      <c r="R817" s="2" t="inlineStr"/>
    </row>
    <row r="818" ht="15" customHeight="1">
      <c r="A818" t="inlineStr">
        <is>
          <t>A 11442-2025</t>
        </is>
      </c>
      <c r="B818" s="1" t="n">
        <v>45726.62721064815</v>
      </c>
      <c r="C818" s="1" t="n">
        <v>45968</v>
      </c>
      <c r="D818" t="inlineStr">
        <is>
          <t>KALMAR LÄN</t>
        </is>
      </c>
      <c r="E818" t="inlineStr">
        <is>
          <t>VIMMERBY</t>
        </is>
      </c>
      <c r="G818" t="n">
        <v>2.6</v>
      </c>
      <c r="H818" t="n">
        <v>0</v>
      </c>
      <c r="I818" t="n">
        <v>0</v>
      </c>
      <c r="J818" t="n">
        <v>0</v>
      </c>
      <c r="K818" t="n">
        <v>0</v>
      </c>
      <c r="L818" t="n">
        <v>0</v>
      </c>
      <c r="M818" t="n">
        <v>0</v>
      </c>
      <c r="N818" t="n">
        <v>0</v>
      </c>
      <c r="O818" t="n">
        <v>0</v>
      </c>
      <c r="P818" t="n">
        <v>0</v>
      </c>
      <c r="Q818" t="n">
        <v>0</v>
      </c>
      <c r="R818" s="2" t="inlineStr"/>
    </row>
    <row r="819" ht="15" customHeight="1">
      <c r="A819" t="inlineStr">
        <is>
          <t>A 43465-2025</t>
        </is>
      </c>
      <c r="B819" s="1" t="n">
        <v>45911.47138888889</v>
      </c>
      <c r="C819" s="1" t="n">
        <v>45968</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7068-2024</t>
        </is>
      </c>
      <c r="B820" s="1" t="n">
        <v>45343.68038194445</v>
      </c>
      <c r="C820" s="1" t="n">
        <v>45968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46234-2024</t>
        </is>
      </c>
      <c r="B821" s="1" t="n">
        <v>45581.57958333333</v>
      </c>
      <c r="C821" s="1" t="n">
        <v>45968</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37187-2024</t>
        </is>
      </c>
      <c r="B822" s="1" t="n">
        <v>45539.65212962963</v>
      </c>
      <c r="C822" s="1" t="n">
        <v>45968</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51990-2025</t>
        </is>
      </c>
      <c r="B823" s="1" t="n">
        <v>45952.58061342593</v>
      </c>
      <c r="C823" s="1" t="n">
        <v>45968</v>
      </c>
      <c r="D823" t="inlineStr">
        <is>
          <t>KALMAR LÄN</t>
        </is>
      </c>
      <c r="E823" t="inlineStr">
        <is>
          <t>VIMMERBY</t>
        </is>
      </c>
      <c r="G823" t="n">
        <v>2.4</v>
      </c>
      <c r="H823" t="n">
        <v>0</v>
      </c>
      <c r="I823" t="n">
        <v>0</v>
      </c>
      <c r="J823" t="n">
        <v>0</v>
      </c>
      <c r="K823" t="n">
        <v>0</v>
      </c>
      <c r="L823" t="n">
        <v>0</v>
      </c>
      <c r="M823" t="n">
        <v>0</v>
      </c>
      <c r="N823" t="n">
        <v>0</v>
      </c>
      <c r="O823" t="n">
        <v>0</v>
      </c>
      <c r="P823" t="n">
        <v>0</v>
      </c>
      <c r="Q823" t="n">
        <v>0</v>
      </c>
      <c r="R823" s="2" t="inlineStr"/>
    </row>
    <row r="824" ht="15" customHeight="1">
      <c r="A824" t="inlineStr">
        <is>
          <t>A 43617-2025</t>
        </is>
      </c>
      <c r="B824" s="1" t="n">
        <v>45911.67798611111</v>
      </c>
      <c r="C824" s="1" t="n">
        <v>45968</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1021-2024</t>
        </is>
      </c>
      <c r="B825" s="1" t="n">
        <v>45301.67736111111</v>
      </c>
      <c r="C825" s="1" t="n">
        <v>45968</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72701-2021</t>
        </is>
      </c>
      <c r="B826" s="1" t="n">
        <v>44546</v>
      </c>
      <c r="C826" s="1" t="n">
        <v>45968</v>
      </c>
      <c r="D826" t="inlineStr">
        <is>
          <t>KALMAR LÄN</t>
        </is>
      </c>
      <c r="E826" t="inlineStr">
        <is>
          <t>VIMMERBY</t>
        </is>
      </c>
      <c r="G826" t="n">
        <v>0.7</v>
      </c>
      <c r="H826" t="n">
        <v>0</v>
      </c>
      <c r="I826" t="n">
        <v>0</v>
      </c>
      <c r="J826" t="n">
        <v>0</v>
      </c>
      <c r="K826" t="n">
        <v>0</v>
      </c>
      <c r="L826" t="n">
        <v>0</v>
      </c>
      <c r="M826" t="n">
        <v>0</v>
      </c>
      <c r="N826" t="n">
        <v>0</v>
      </c>
      <c r="O826" t="n">
        <v>0</v>
      </c>
      <c r="P826" t="n">
        <v>0</v>
      </c>
      <c r="Q826" t="n">
        <v>0</v>
      </c>
      <c r="R826" s="2" t="inlineStr"/>
    </row>
    <row r="827" ht="15" customHeight="1">
      <c r="A827" t="inlineStr">
        <is>
          <t>A 19111-2025</t>
        </is>
      </c>
      <c r="B827" s="1" t="n">
        <v>45768.65611111111</v>
      </c>
      <c r="C827" s="1" t="n">
        <v>45968</v>
      </c>
      <c r="D827" t="inlineStr">
        <is>
          <t>KALMAR LÄN</t>
        </is>
      </c>
      <c r="E827" t="inlineStr">
        <is>
          <t>VIMMERBY</t>
        </is>
      </c>
      <c r="G827" t="n">
        <v>6.2</v>
      </c>
      <c r="H827" t="n">
        <v>0</v>
      </c>
      <c r="I827" t="n">
        <v>0</v>
      </c>
      <c r="J827" t="n">
        <v>0</v>
      </c>
      <c r="K827" t="n">
        <v>0</v>
      </c>
      <c r="L827" t="n">
        <v>0</v>
      </c>
      <c r="M827" t="n">
        <v>0</v>
      </c>
      <c r="N827" t="n">
        <v>0</v>
      </c>
      <c r="O827" t="n">
        <v>0</v>
      </c>
      <c r="P827" t="n">
        <v>0</v>
      </c>
      <c r="Q827" t="n">
        <v>0</v>
      </c>
      <c r="R827" s="2" t="inlineStr"/>
    </row>
    <row r="828" ht="15" customHeight="1">
      <c r="A828" t="inlineStr">
        <is>
          <t>A 33374-2021</t>
        </is>
      </c>
      <c r="B828" s="1" t="n">
        <v>44377</v>
      </c>
      <c r="C828" s="1" t="n">
        <v>45968</v>
      </c>
      <c r="D828" t="inlineStr">
        <is>
          <t>KALMAR LÄN</t>
        </is>
      </c>
      <c r="E828" t="inlineStr">
        <is>
          <t>VIMMERBY</t>
        </is>
      </c>
      <c r="G828" t="n">
        <v>3.3</v>
      </c>
      <c r="H828" t="n">
        <v>0</v>
      </c>
      <c r="I828" t="n">
        <v>0</v>
      </c>
      <c r="J828" t="n">
        <v>0</v>
      </c>
      <c r="K828" t="n">
        <v>0</v>
      </c>
      <c r="L828" t="n">
        <v>0</v>
      </c>
      <c r="M828" t="n">
        <v>0</v>
      </c>
      <c r="N828" t="n">
        <v>0</v>
      </c>
      <c r="O828" t="n">
        <v>0</v>
      </c>
      <c r="P828" t="n">
        <v>0</v>
      </c>
      <c r="Q828" t="n">
        <v>0</v>
      </c>
      <c r="R828" s="2" t="inlineStr"/>
    </row>
    <row r="829" ht="15" customHeight="1">
      <c r="A829" t="inlineStr">
        <is>
          <t>A 10807-2024</t>
        </is>
      </c>
      <c r="B829" s="1" t="n">
        <v>45369.62780092593</v>
      </c>
      <c r="C829" s="1" t="n">
        <v>45968</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51993-2025</t>
        </is>
      </c>
      <c r="B830" s="1" t="n">
        <v>45952.58194444444</v>
      </c>
      <c r="C830" s="1" t="n">
        <v>45968</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33359-2021</t>
        </is>
      </c>
      <c r="B831" s="1" t="n">
        <v>44377.49684027778</v>
      </c>
      <c r="C831" s="1" t="n">
        <v>45968</v>
      </c>
      <c r="D831" t="inlineStr">
        <is>
          <t>KALMAR LÄN</t>
        </is>
      </c>
      <c r="E831" t="inlineStr">
        <is>
          <t>VIMMERBY</t>
        </is>
      </c>
      <c r="F831" t="inlineStr">
        <is>
          <t>Kommuner</t>
        </is>
      </c>
      <c r="G831" t="n">
        <v>8</v>
      </c>
      <c r="H831" t="n">
        <v>0</v>
      </c>
      <c r="I831" t="n">
        <v>0</v>
      </c>
      <c r="J831" t="n">
        <v>0</v>
      </c>
      <c r="K831" t="n">
        <v>0</v>
      </c>
      <c r="L831" t="n">
        <v>0</v>
      </c>
      <c r="M831" t="n">
        <v>0</v>
      </c>
      <c r="N831" t="n">
        <v>0</v>
      </c>
      <c r="O831" t="n">
        <v>0</v>
      </c>
      <c r="P831" t="n">
        <v>0</v>
      </c>
      <c r="Q831" t="n">
        <v>0</v>
      </c>
      <c r="R831" s="2" t="inlineStr"/>
    </row>
    <row r="832" ht="15" customHeight="1">
      <c r="A832" t="inlineStr">
        <is>
          <t>A 34588-2024</t>
        </is>
      </c>
      <c r="B832" s="1" t="n">
        <v>45526.3865625</v>
      </c>
      <c r="C832" s="1" t="n">
        <v>45968</v>
      </c>
      <c r="D832" t="inlineStr">
        <is>
          <t>KALMAR LÄN</t>
        </is>
      </c>
      <c r="E832" t="inlineStr">
        <is>
          <t>VIMMERBY</t>
        </is>
      </c>
      <c r="F832" t="inlineStr">
        <is>
          <t>Övriga Aktiebolag</t>
        </is>
      </c>
      <c r="G832" t="n">
        <v>3.3</v>
      </c>
      <c r="H832" t="n">
        <v>0</v>
      </c>
      <c r="I832" t="n">
        <v>0</v>
      </c>
      <c r="J832" t="n">
        <v>0</v>
      </c>
      <c r="K832" t="n">
        <v>0</v>
      </c>
      <c r="L832" t="n">
        <v>0</v>
      </c>
      <c r="M832" t="n">
        <v>0</v>
      </c>
      <c r="N832" t="n">
        <v>0</v>
      </c>
      <c r="O832" t="n">
        <v>0</v>
      </c>
      <c r="P832" t="n">
        <v>0</v>
      </c>
      <c r="Q832" t="n">
        <v>0</v>
      </c>
      <c r="R832" s="2" t="inlineStr"/>
    </row>
    <row r="833" ht="15" customHeight="1">
      <c r="A833" t="inlineStr">
        <is>
          <t>A 44095-2025</t>
        </is>
      </c>
      <c r="B833" s="1" t="n">
        <v>45915.56430555556</v>
      </c>
      <c r="C833" s="1" t="n">
        <v>45968</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52451-2025</t>
        </is>
      </c>
      <c r="B834" s="1" t="n">
        <v>45954.42326388889</v>
      </c>
      <c r="C834" s="1" t="n">
        <v>45968</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17084-2025</t>
        </is>
      </c>
      <c r="B835" s="1" t="n">
        <v>45755.64450231481</v>
      </c>
      <c r="C835" s="1" t="n">
        <v>45968</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33161-2024</t>
        </is>
      </c>
      <c r="B836" s="1" t="n">
        <v>45518.40657407408</v>
      </c>
      <c r="C836" s="1" t="n">
        <v>45968</v>
      </c>
      <c r="D836" t="inlineStr">
        <is>
          <t>KALMAR LÄN</t>
        </is>
      </c>
      <c r="E836" t="inlineStr">
        <is>
          <t>VIMMERBY</t>
        </is>
      </c>
      <c r="G836" t="n">
        <v>4.7</v>
      </c>
      <c r="H836" t="n">
        <v>0</v>
      </c>
      <c r="I836" t="n">
        <v>0</v>
      </c>
      <c r="J836" t="n">
        <v>0</v>
      </c>
      <c r="K836" t="n">
        <v>0</v>
      </c>
      <c r="L836" t="n">
        <v>0</v>
      </c>
      <c r="M836" t="n">
        <v>0</v>
      </c>
      <c r="N836" t="n">
        <v>0</v>
      </c>
      <c r="O836" t="n">
        <v>0</v>
      </c>
      <c r="P836" t="n">
        <v>0</v>
      </c>
      <c r="Q836" t="n">
        <v>0</v>
      </c>
      <c r="R836" s="2" t="inlineStr"/>
    </row>
    <row r="837" ht="15" customHeight="1">
      <c r="A837" t="inlineStr">
        <is>
          <t>A 14359-2025</t>
        </is>
      </c>
      <c r="B837" s="1" t="n">
        <v>45741.37270833334</v>
      </c>
      <c r="C837" s="1" t="n">
        <v>45968</v>
      </c>
      <c r="D837" t="inlineStr">
        <is>
          <t>KALMAR LÄN</t>
        </is>
      </c>
      <c r="E837" t="inlineStr">
        <is>
          <t>VIMMERBY</t>
        </is>
      </c>
      <c r="G837" t="n">
        <v>2</v>
      </c>
      <c r="H837" t="n">
        <v>0</v>
      </c>
      <c r="I837" t="n">
        <v>0</v>
      </c>
      <c r="J837" t="n">
        <v>0</v>
      </c>
      <c r="K837" t="n">
        <v>0</v>
      </c>
      <c r="L837" t="n">
        <v>0</v>
      </c>
      <c r="M837" t="n">
        <v>0</v>
      </c>
      <c r="N837" t="n">
        <v>0</v>
      </c>
      <c r="O837" t="n">
        <v>0</v>
      </c>
      <c r="P837" t="n">
        <v>0</v>
      </c>
      <c r="Q837" t="n">
        <v>0</v>
      </c>
      <c r="R837" s="2" t="inlineStr"/>
    </row>
    <row r="838" ht="15" customHeight="1">
      <c r="A838" t="inlineStr">
        <is>
          <t>A 52473-2025</t>
        </is>
      </c>
      <c r="B838" s="1" t="n">
        <v>45954.45947916667</v>
      </c>
      <c r="C838" s="1" t="n">
        <v>45968</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52480-2025</t>
        </is>
      </c>
      <c r="B839" s="1" t="n">
        <v>45954.47172453703</v>
      </c>
      <c r="C839" s="1" t="n">
        <v>45968</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44091-2025</t>
        </is>
      </c>
      <c r="B840" s="1" t="n">
        <v>45915.55950231481</v>
      </c>
      <c r="C840" s="1" t="n">
        <v>45968</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52466-2025</t>
        </is>
      </c>
      <c r="B841" s="1" t="n">
        <v>45954.44707175926</v>
      </c>
      <c r="C841" s="1" t="n">
        <v>45968</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7075-2021</t>
        </is>
      </c>
      <c r="B842" s="1" t="n">
        <v>44237</v>
      </c>
      <c r="C842" s="1" t="n">
        <v>45968</v>
      </c>
      <c r="D842" t="inlineStr">
        <is>
          <t>KALMAR LÄN</t>
        </is>
      </c>
      <c r="E842" t="inlineStr">
        <is>
          <t>VIMMERBY</t>
        </is>
      </c>
      <c r="G842" t="n">
        <v>3.6</v>
      </c>
      <c r="H842" t="n">
        <v>0</v>
      </c>
      <c r="I842" t="n">
        <v>0</v>
      </c>
      <c r="J842" t="n">
        <v>0</v>
      </c>
      <c r="K842" t="n">
        <v>0</v>
      </c>
      <c r="L842" t="n">
        <v>0</v>
      </c>
      <c r="M842" t="n">
        <v>0</v>
      </c>
      <c r="N842" t="n">
        <v>0</v>
      </c>
      <c r="O842" t="n">
        <v>0</v>
      </c>
      <c r="P842" t="n">
        <v>0</v>
      </c>
      <c r="Q842" t="n">
        <v>0</v>
      </c>
      <c r="R842" s="2" t="inlineStr"/>
    </row>
    <row r="843" ht="15" customHeight="1">
      <c r="A843" t="inlineStr">
        <is>
          <t>A 52475-2025</t>
        </is>
      </c>
      <c r="B843" s="1" t="n">
        <v>45954.468125</v>
      </c>
      <c r="C843" s="1" t="n">
        <v>45968</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55605-2024</t>
        </is>
      </c>
      <c r="B844" s="1" t="n">
        <v>45622</v>
      </c>
      <c r="C844" s="1" t="n">
        <v>45968</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44464-2024</t>
        </is>
      </c>
      <c r="B845" s="1" t="n">
        <v>45574.35809027778</v>
      </c>
      <c r="C845" s="1" t="n">
        <v>45968</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36049-2024</t>
        </is>
      </c>
      <c r="B846" s="1" t="n">
        <v>45533.61996527778</v>
      </c>
      <c r="C846" s="1" t="n">
        <v>45968</v>
      </c>
      <c r="D846" t="inlineStr">
        <is>
          <t>KALMAR LÄN</t>
        </is>
      </c>
      <c r="E846" t="inlineStr">
        <is>
          <t>VIMMERBY</t>
        </is>
      </c>
      <c r="F846" t="inlineStr">
        <is>
          <t>Kommuner</t>
        </is>
      </c>
      <c r="G846" t="n">
        <v>2.6</v>
      </c>
      <c r="H846" t="n">
        <v>0</v>
      </c>
      <c r="I846" t="n">
        <v>0</v>
      </c>
      <c r="J846" t="n">
        <v>0</v>
      </c>
      <c r="K846" t="n">
        <v>0</v>
      </c>
      <c r="L846" t="n">
        <v>0</v>
      </c>
      <c r="M846" t="n">
        <v>0</v>
      </c>
      <c r="N846" t="n">
        <v>0</v>
      </c>
      <c r="O846" t="n">
        <v>0</v>
      </c>
      <c r="P846" t="n">
        <v>0</v>
      </c>
      <c r="Q846" t="n">
        <v>0</v>
      </c>
      <c r="R846" s="2" t="inlineStr"/>
    </row>
    <row r="847" ht="15" customHeight="1">
      <c r="A847" t="inlineStr">
        <is>
          <t>A 4297-2022</t>
        </is>
      </c>
      <c r="B847" s="1" t="n">
        <v>44588</v>
      </c>
      <c r="C847" s="1" t="n">
        <v>45968</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52465-2025</t>
        </is>
      </c>
      <c r="B848" s="1" t="n">
        <v>45954.44543981482</v>
      </c>
      <c r="C848" s="1" t="n">
        <v>45968</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52516-2025</t>
        </is>
      </c>
      <c r="B849" s="1" t="n">
        <v>45954.51412037037</v>
      </c>
      <c r="C849" s="1" t="n">
        <v>45968</v>
      </c>
      <c r="D849" t="inlineStr">
        <is>
          <t>KALMAR LÄN</t>
        </is>
      </c>
      <c r="E849" t="inlineStr">
        <is>
          <t>VIMMERBY</t>
        </is>
      </c>
      <c r="G849" t="n">
        <v>2.8</v>
      </c>
      <c r="H849" t="n">
        <v>0</v>
      </c>
      <c r="I849" t="n">
        <v>0</v>
      </c>
      <c r="J849" t="n">
        <v>0</v>
      </c>
      <c r="K849" t="n">
        <v>0</v>
      </c>
      <c r="L849" t="n">
        <v>0</v>
      </c>
      <c r="M849" t="n">
        <v>0</v>
      </c>
      <c r="N849" t="n">
        <v>0</v>
      </c>
      <c r="O849" t="n">
        <v>0</v>
      </c>
      <c r="P849" t="n">
        <v>0</v>
      </c>
      <c r="Q849" t="n">
        <v>0</v>
      </c>
      <c r="R849" s="2" t="inlineStr"/>
    </row>
    <row r="850" ht="15" customHeight="1">
      <c r="A850" t="inlineStr">
        <is>
          <t>A 46399-2024</t>
        </is>
      </c>
      <c r="B850" s="1" t="n">
        <v>45582.41200231481</v>
      </c>
      <c r="C850" s="1" t="n">
        <v>45968</v>
      </c>
      <c r="D850" t="inlineStr">
        <is>
          <t>KALMAR LÄN</t>
        </is>
      </c>
      <c r="E850" t="inlineStr">
        <is>
          <t>VIMMERBY</t>
        </is>
      </c>
      <c r="G850" t="n">
        <v>4.6</v>
      </c>
      <c r="H850" t="n">
        <v>0</v>
      </c>
      <c r="I850" t="n">
        <v>0</v>
      </c>
      <c r="J850" t="n">
        <v>0</v>
      </c>
      <c r="K850" t="n">
        <v>0</v>
      </c>
      <c r="L850" t="n">
        <v>0</v>
      </c>
      <c r="M850" t="n">
        <v>0</v>
      </c>
      <c r="N850" t="n">
        <v>0</v>
      </c>
      <c r="O850" t="n">
        <v>0</v>
      </c>
      <c r="P850" t="n">
        <v>0</v>
      </c>
      <c r="Q850" t="n">
        <v>0</v>
      </c>
      <c r="R850" s="2" t="inlineStr"/>
    </row>
    <row r="851" ht="15" customHeight="1">
      <c r="A851" t="inlineStr">
        <is>
          <t>A 53393-2025</t>
        </is>
      </c>
      <c r="B851" s="1" t="n">
        <v>45959.55284722222</v>
      </c>
      <c r="C851" s="1" t="n">
        <v>45968</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53398-2025</t>
        </is>
      </c>
      <c r="B852" s="1" t="n">
        <v>45959.56247685185</v>
      </c>
      <c r="C852" s="1" t="n">
        <v>45968</v>
      </c>
      <c r="D852" t="inlineStr">
        <is>
          <t>KALMAR LÄN</t>
        </is>
      </c>
      <c r="E852" t="inlineStr">
        <is>
          <t>VIMMERBY</t>
        </is>
      </c>
      <c r="G852" t="n">
        <v>0.8</v>
      </c>
      <c r="H852" t="n">
        <v>0</v>
      </c>
      <c r="I852" t="n">
        <v>0</v>
      </c>
      <c r="J852" t="n">
        <v>0</v>
      </c>
      <c r="K852" t="n">
        <v>0</v>
      </c>
      <c r="L852" t="n">
        <v>0</v>
      </c>
      <c r="M852" t="n">
        <v>0</v>
      </c>
      <c r="N852" t="n">
        <v>0</v>
      </c>
      <c r="O852" t="n">
        <v>0</v>
      </c>
      <c r="P852" t="n">
        <v>0</v>
      </c>
      <c r="Q852" t="n">
        <v>0</v>
      </c>
      <c r="R852" s="2" t="inlineStr"/>
    </row>
    <row r="853" ht="15" customHeight="1">
      <c r="A853" t="inlineStr">
        <is>
          <t>A 44517-2025</t>
        </is>
      </c>
      <c r="B853" s="1" t="n">
        <v>45916.7103587963</v>
      </c>
      <c r="C853" s="1" t="n">
        <v>45968</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13532-2025</t>
        </is>
      </c>
      <c r="B854" s="1" t="n">
        <v>45736.50743055555</v>
      </c>
      <c r="C854" s="1" t="n">
        <v>45968</v>
      </c>
      <c r="D854" t="inlineStr">
        <is>
          <t>KALMAR LÄN</t>
        </is>
      </c>
      <c r="E854" t="inlineStr">
        <is>
          <t>VIMMERBY</t>
        </is>
      </c>
      <c r="G854" t="n">
        <v>3.6</v>
      </c>
      <c r="H854" t="n">
        <v>0</v>
      </c>
      <c r="I854" t="n">
        <v>0</v>
      </c>
      <c r="J854" t="n">
        <v>0</v>
      </c>
      <c r="K854" t="n">
        <v>0</v>
      </c>
      <c r="L854" t="n">
        <v>0</v>
      </c>
      <c r="M854" t="n">
        <v>0</v>
      </c>
      <c r="N854" t="n">
        <v>0</v>
      </c>
      <c r="O854" t="n">
        <v>0</v>
      </c>
      <c r="P854" t="n">
        <v>0</v>
      </c>
      <c r="Q854" t="n">
        <v>0</v>
      </c>
      <c r="R854" s="2" t="inlineStr"/>
    </row>
    <row r="855" ht="15" customHeight="1">
      <c r="A855" t="inlineStr">
        <is>
          <t>A 43038-2022</t>
        </is>
      </c>
      <c r="B855" s="1" t="n">
        <v>44833.60123842592</v>
      </c>
      <c r="C855" s="1" t="n">
        <v>45968</v>
      </c>
      <c r="D855" t="inlineStr">
        <is>
          <t>KALMAR LÄN</t>
        </is>
      </c>
      <c r="E855" t="inlineStr">
        <is>
          <t>VIMMERBY</t>
        </is>
      </c>
      <c r="G855" t="n">
        <v>4.2</v>
      </c>
      <c r="H855" t="n">
        <v>0</v>
      </c>
      <c r="I855" t="n">
        <v>0</v>
      </c>
      <c r="J855" t="n">
        <v>0</v>
      </c>
      <c r="K855" t="n">
        <v>0</v>
      </c>
      <c r="L855" t="n">
        <v>0</v>
      </c>
      <c r="M855" t="n">
        <v>0</v>
      </c>
      <c r="N855" t="n">
        <v>0</v>
      </c>
      <c r="O855" t="n">
        <v>0</v>
      </c>
      <c r="P855" t="n">
        <v>0</v>
      </c>
      <c r="Q855" t="n">
        <v>0</v>
      </c>
      <c r="R855" s="2" t="inlineStr"/>
    </row>
    <row r="856" ht="15" customHeight="1">
      <c r="A856" t="inlineStr">
        <is>
          <t>A 44742-2025</t>
        </is>
      </c>
      <c r="B856" s="1" t="n">
        <v>45917.67054398148</v>
      </c>
      <c r="C856" s="1" t="n">
        <v>45968</v>
      </c>
      <c r="D856" t="inlineStr">
        <is>
          <t>KALMAR LÄN</t>
        </is>
      </c>
      <c r="E856" t="inlineStr">
        <is>
          <t>VIMMERBY</t>
        </is>
      </c>
      <c r="G856" t="n">
        <v>4.7</v>
      </c>
      <c r="H856" t="n">
        <v>0</v>
      </c>
      <c r="I856" t="n">
        <v>0</v>
      </c>
      <c r="J856" t="n">
        <v>0</v>
      </c>
      <c r="K856" t="n">
        <v>0</v>
      </c>
      <c r="L856" t="n">
        <v>0</v>
      </c>
      <c r="M856" t="n">
        <v>0</v>
      </c>
      <c r="N856" t="n">
        <v>0</v>
      </c>
      <c r="O856" t="n">
        <v>0</v>
      </c>
      <c r="P856" t="n">
        <v>0</v>
      </c>
      <c r="Q856" t="n">
        <v>0</v>
      </c>
      <c r="R856" s="2" t="inlineStr"/>
    </row>
    <row r="857" ht="15" customHeight="1">
      <c r="A857" t="inlineStr">
        <is>
          <t>A 44329-2025</t>
        </is>
      </c>
      <c r="B857" s="1" t="n">
        <v>45916.41019675926</v>
      </c>
      <c r="C857" s="1" t="n">
        <v>45968</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41896-2025</t>
        </is>
      </c>
      <c r="B858" s="1" t="n">
        <v>45903.38800925926</v>
      </c>
      <c r="C858" s="1" t="n">
        <v>45968</v>
      </c>
      <c r="D858" t="inlineStr">
        <is>
          <t>KALMAR LÄN</t>
        </is>
      </c>
      <c r="E858" t="inlineStr">
        <is>
          <t>VIMMERBY</t>
        </is>
      </c>
      <c r="G858" t="n">
        <v>2.9</v>
      </c>
      <c r="H858" t="n">
        <v>0</v>
      </c>
      <c r="I858" t="n">
        <v>0</v>
      </c>
      <c r="J858" t="n">
        <v>0</v>
      </c>
      <c r="K858" t="n">
        <v>0</v>
      </c>
      <c r="L858" t="n">
        <v>0</v>
      </c>
      <c r="M858" t="n">
        <v>0</v>
      </c>
      <c r="N858" t="n">
        <v>0</v>
      </c>
      <c r="O858" t="n">
        <v>0</v>
      </c>
      <c r="P858" t="n">
        <v>0</v>
      </c>
      <c r="Q858" t="n">
        <v>0</v>
      </c>
      <c r="R858" s="2" t="inlineStr"/>
    </row>
    <row r="859" ht="15" customHeight="1">
      <c r="A859" t="inlineStr">
        <is>
          <t>A 12596-2021</t>
        </is>
      </c>
      <c r="B859" s="1" t="n">
        <v>44270.39765046296</v>
      </c>
      <c r="C859" s="1" t="n">
        <v>45968</v>
      </c>
      <c r="D859" t="inlineStr">
        <is>
          <t>KALMAR LÄN</t>
        </is>
      </c>
      <c r="E859" t="inlineStr">
        <is>
          <t>VIMMERBY</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53413-2025</t>
        </is>
      </c>
      <c r="B860" s="1" t="n">
        <v>45959.5787037037</v>
      </c>
      <c r="C860" s="1" t="n">
        <v>45968</v>
      </c>
      <c r="D860" t="inlineStr">
        <is>
          <t>KALMAR LÄN</t>
        </is>
      </c>
      <c r="E860" t="inlineStr">
        <is>
          <t>VIMMERBY</t>
        </is>
      </c>
      <c r="G860" t="n">
        <v>4.3</v>
      </c>
      <c r="H860" t="n">
        <v>0</v>
      </c>
      <c r="I860" t="n">
        <v>0</v>
      </c>
      <c r="J860" t="n">
        <v>0</v>
      </c>
      <c r="K860" t="n">
        <v>0</v>
      </c>
      <c r="L860" t="n">
        <v>0</v>
      </c>
      <c r="M860" t="n">
        <v>0</v>
      </c>
      <c r="N860" t="n">
        <v>0</v>
      </c>
      <c r="O860" t="n">
        <v>0</v>
      </c>
      <c r="P860" t="n">
        <v>0</v>
      </c>
      <c r="Q860" t="n">
        <v>0</v>
      </c>
      <c r="R860" s="2" t="inlineStr"/>
    </row>
    <row r="861" ht="15" customHeight="1">
      <c r="A861" t="inlineStr">
        <is>
          <t>A 53397-2025</t>
        </is>
      </c>
      <c r="B861" s="1" t="n">
        <v>45959.55918981481</v>
      </c>
      <c r="C861" s="1" t="n">
        <v>45968</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53220-2025</t>
        </is>
      </c>
      <c r="B862" s="1" t="n">
        <v>45958.60146990741</v>
      </c>
      <c r="C862" s="1" t="n">
        <v>45968</v>
      </c>
      <c r="D862" t="inlineStr">
        <is>
          <t>KALMAR LÄN</t>
        </is>
      </c>
      <c r="E862" t="inlineStr">
        <is>
          <t>VIMMERBY</t>
        </is>
      </c>
      <c r="G862" t="n">
        <v>2.2</v>
      </c>
      <c r="H862" t="n">
        <v>0</v>
      </c>
      <c r="I862" t="n">
        <v>0</v>
      </c>
      <c r="J862" t="n">
        <v>0</v>
      </c>
      <c r="K862" t="n">
        <v>0</v>
      </c>
      <c r="L862" t="n">
        <v>0</v>
      </c>
      <c r="M862" t="n">
        <v>0</v>
      </c>
      <c r="N862" t="n">
        <v>0</v>
      </c>
      <c r="O862" t="n">
        <v>0</v>
      </c>
      <c r="P862" t="n">
        <v>0</v>
      </c>
      <c r="Q862" t="n">
        <v>0</v>
      </c>
      <c r="R862" s="2" t="inlineStr"/>
    </row>
    <row r="863" ht="15" customHeight="1">
      <c r="A863" t="inlineStr">
        <is>
          <t>A 53396-2025</t>
        </is>
      </c>
      <c r="B863" s="1" t="n">
        <v>45959.55577546296</v>
      </c>
      <c r="C863" s="1" t="n">
        <v>45968</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53416-2025</t>
        </is>
      </c>
      <c r="B864" s="1" t="n">
        <v>45959.58387731481</v>
      </c>
      <c r="C864" s="1" t="n">
        <v>45968</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53923-2025</t>
        </is>
      </c>
      <c r="B865" s="1" t="n">
        <v>45961.4569212963</v>
      </c>
      <c r="C865" s="1" t="n">
        <v>45968</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53927-2025</t>
        </is>
      </c>
      <c r="B866" s="1" t="n">
        <v>45961.46740740741</v>
      </c>
      <c r="C866" s="1" t="n">
        <v>45968</v>
      </c>
      <c r="D866" t="inlineStr">
        <is>
          <t>KALMAR LÄN</t>
        </is>
      </c>
      <c r="E866" t="inlineStr">
        <is>
          <t>VIMMERBY</t>
        </is>
      </c>
      <c r="G866" t="n">
        <v>2.5</v>
      </c>
      <c r="H866" t="n">
        <v>0</v>
      </c>
      <c r="I866" t="n">
        <v>0</v>
      </c>
      <c r="J866" t="n">
        <v>0</v>
      </c>
      <c r="K866" t="n">
        <v>0</v>
      </c>
      <c r="L866" t="n">
        <v>0</v>
      </c>
      <c r="M866" t="n">
        <v>0</v>
      </c>
      <c r="N866" t="n">
        <v>0</v>
      </c>
      <c r="O866" t="n">
        <v>0</v>
      </c>
      <c r="P866" t="n">
        <v>0</v>
      </c>
      <c r="Q866" t="n">
        <v>0</v>
      </c>
      <c r="R866" s="2" t="inlineStr"/>
    </row>
    <row r="867" ht="15" customHeight="1">
      <c r="A867" t="inlineStr">
        <is>
          <t>A 53933-2025</t>
        </is>
      </c>
      <c r="B867" s="1" t="n">
        <v>45961.47650462963</v>
      </c>
      <c r="C867" s="1" t="n">
        <v>45968</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45114-2025</t>
        </is>
      </c>
      <c r="B868" s="1" t="n">
        <v>45919.42387731482</v>
      </c>
      <c r="C868" s="1" t="n">
        <v>45968</v>
      </c>
      <c r="D868" t="inlineStr">
        <is>
          <t>KALMAR LÄN</t>
        </is>
      </c>
      <c r="E868" t="inlineStr">
        <is>
          <t>VIMMERBY</t>
        </is>
      </c>
      <c r="G868" t="n">
        <v>2.7</v>
      </c>
      <c r="H868" t="n">
        <v>0</v>
      </c>
      <c r="I868" t="n">
        <v>0</v>
      </c>
      <c r="J868" t="n">
        <v>0</v>
      </c>
      <c r="K868" t="n">
        <v>0</v>
      </c>
      <c r="L868" t="n">
        <v>0</v>
      </c>
      <c r="M868" t="n">
        <v>0</v>
      </c>
      <c r="N868" t="n">
        <v>0</v>
      </c>
      <c r="O868" t="n">
        <v>0</v>
      </c>
      <c r="P868" t="n">
        <v>0</v>
      </c>
      <c r="Q868" t="n">
        <v>0</v>
      </c>
      <c r="R868" s="2" t="inlineStr"/>
    </row>
    <row r="869" ht="15" customHeight="1">
      <c r="A869" t="inlineStr">
        <is>
          <t>A 53903-2025</t>
        </is>
      </c>
      <c r="B869" s="1" t="n">
        <v>45961.43738425926</v>
      </c>
      <c r="C869" s="1" t="n">
        <v>45968</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53920-2025</t>
        </is>
      </c>
      <c r="B870" s="1" t="n">
        <v>45961.44951388889</v>
      </c>
      <c r="C870" s="1" t="n">
        <v>45968</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45319-2025</t>
        </is>
      </c>
      <c r="B871" s="1" t="n">
        <v>45921.95611111111</v>
      </c>
      <c r="C871" s="1" t="n">
        <v>45968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54236-2025</t>
        </is>
      </c>
      <c r="B872" s="1" t="n">
        <v>45964.62671296296</v>
      </c>
      <c r="C872" s="1" t="n">
        <v>45968</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45320-2025</t>
        </is>
      </c>
      <c r="B873" s="1" t="n">
        <v>45921.96395833333</v>
      </c>
      <c r="C873" s="1" t="n">
        <v>45968</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54234-2025</t>
        </is>
      </c>
      <c r="B874" s="1" t="n">
        <v>45964.62486111111</v>
      </c>
      <c r="C874" s="1" t="n">
        <v>45968</v>
      </c>
      <c r="D874" t="inlineStr">
        <is>
          <t>KALMAR LÄN</t>
        </is>
      </c>
      <c r="E874" t="inlineStr">
        <is>
          <t>VIMMERBY</t>
        </is>
      </c>
      <c r="G874" t="n">
        <v>4.1</v>
      </c>
      <c r="H874" t="n">
        <v>0</v>
      </c>
      <c r="I874" t="n">
        <v>0</v>
      </c>
      <c r="J874" t="n">
        <v>0</v>
      </c>
      <c r="K874" t="n">
        <v>0</v>
      </c>
      <c r="L874" t="n">
        <v>0</v>
      </c>
      <c r="M874" t="n">
        <v>0</v>
      </c>
      <c r="N874" t="n">
        <v>0</v>
      </c>
      <c r="O874" t="n">
        <v>0</v>
      </c>
      <c r="P874" t="n">
        <v>0</v>
      </c>
      <c r="Q874" t="n">
        <v>0</v>
      </c>
      <c r="R874" s="2" t="inlineStr"/>
    </row>
    <row r="875" ht="15" customHeight="1">
      <c r="A875" t="inlineStr">
        <is>
          <t>A 53786-2025</t>
        </is>
      </c>
      <c r="B875" s="1" t="n">
        <v>45960</v>
      </c>
      <c r="C875" s="1" t="n">
        <v>45968</v>
      </c>
      <c r="D875" t="inlineStr">
        <is>
          <t>KALMAR LÄN</t>
        </is>
      </c>
      <c r="E875" t="inlineStr">
        <is>
          <t>VIMMERBY</t>
        </is>
      </c>
      <c r="F875" t="inlineStr">
        <is>
          <t>Övriga statliga verk och myndigheter</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46118-2025</t>
        </is>
      </c>
      <c r="B876" s="1" t="n">
        <v>45924.57697916667</v>
      </c>
      <c r="C876" s="1" t="n">
        <v>45968</v>
      </c>
      <c r="D876" t="inlineStr">
        <is>
          <t>KALMAR LÄN</t>
        </is>
      </c>
      <c r="E876" t="inlineStr">
        <is>
          <t>VIMMERBY</t>
        </is>
      </c>
      <c r="G876" t="n">
        <v>2.9</v>
      </c>
      <c r="H876" t="n">
        <v>0</v>
      </c>
      <c r="I876" t="n">
        <v>0</v>
      </c>
      <c r="J876" t="n">
        <v>0</v>
      </c>
      <c r="K876" t="n">
        <v>0</v>
      </c>
      <c r="L876" t="n">
        <v>0</v>
      </c>
      <c r="M876" t="n">
        <v>0</v>
      </c>
      <c r="N876" t="n">
        <v>0</v>
      </c>
      <c r="O876" t="n">
        <v>0</v>
      </c>
      <c r="P876" t="n">
        <v>0</v>
      </c>
      <c r="Q876" t="n">
        <v>0</v>
      </c>
      <c r="R876" s="2" t="inlineStr"/>
    </row>
    <row r="877" ht="15" customHeight="1">
      <c r="A877" t="inlineStr">
        <is>
          <t>A 46365-2025</t>
        </is>
      </c>
      <c r="B877" s="1" t="n">
        <v>45925.50075231482</v>
      </c>
      <c r="C877" s="1" t="n">
        <v>45968</v>
      </c>
      <c r="D877" t="inlineStr">
        <is>
          <t>KALMAR LÄN</t>
        </is>
      </c>
      <c r="E877" t="inlineStr">
        <is>
          <t>VIMMERBY</t>
        </is>
      </c>
      <c r="G877" t="n">
        <v>5.6</v>
      </c>
      <c r="H877" t="n">
        <v>0</v>
      </c>
      <c r="I877" t="n">
        <v>0</v>
      </c>
      <c r="J877" t="n">
        <v>0</v>
      </c>
      <c r="K877" t="n">
        <v>0</v>
      </c>
      <c r="L877" t="n">
        <v>0</v>
      </c>
      <c r="M877" t="n">
        <v>0</v>
      </c>
      <c r="N877" t="n">
        <v>0</v>
      </c>
      <c r="O877" t="n">
        <v>0</v>
      </c>
      <c r="P877" t="n">
        <v>0</v>
      </c>
      <c r="Q877" t="n">
        <v>0</v>
      </c>
      <c r="R877" s="2" t="inlineStr"/>
    </row>
    <row r="878" ht="15" customHeight="1">
      <c r="A878" t="inlineStr">
        <is>
          <t>A 54737-2025</t>
        </is>
      </c>
      <c r="B878" s="1" t="n">
        <v>45966.56826388889</v>
      </c>
      <c r="C878" s="1" t="n">
        <v>45968</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46361-2025</t>
        </is>
      </c>
      <c r="B879" s="1" t="n">
        <v>45925.49670138889</v>
      </c>
      <c r="C879" s="1" t="n">
        <v>45968</v>
      </c>
      <c r="D879" t="inlineStr">
        <is>
          <t>KALMAR LÄN</t>
        </is>
      </c>
      <c r="E879" t="inlineStr">
        <is>
          <t>VIMMERBY</t>
        </is>
      </c>
      <c r="G879" t="n">
        <v>4.2</v>
      </c>
      <c r="H879" t="n">
        <v>0</v>
      </c>
      <c r="I879" t="n">
        <v>0</v>
      </c>
      <c r="J879" t="n">
        <v>0</v>
      </c>
      <c r="K879" t="n">
        <v>0</v>
      </c>
      <c r="L879" t="n">
        <v>0</v>
      </c>
      <c r="M879" t="n">
        <v>0</v>
      </c>
      <c r="N879" t="n">
        <v>0</v>
      </c>
      <c r="O879" t="n">
        <v>0</v>
      </c>
      <c r="P879" t="n">
        <v>0</v>
      </c>
      <c r="Q879" t="n">
        <v>0</v>
      </c>
      <c r="R879" s="2" t="inlineStr"/>
    </row>
    <row r="880" ht="15" customHeight="1">
      <c r="A880" t="inlineStr">
        <is>
          <t>A 53789-2025</t>
        </is>
      </c>
      <c r="B880" s="1" t="n">
        <v>45960</v>
      </c>
      <c r="C880" s="1" t="n">
        <v>45968</v>
      </c>
      <c r="D880" t="inlineStr">
        <is>
          <t>KALMAR LÄN</t>
        </is>
      </c>
      <c r="E880" t="inlineStr">
        <is>
          <t>VIMMERBY</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53788-2025</t>
        </is>
      </c>
      <c r="B881" s="1" t="n">
        <v>45960</v>
      </c>
      <c r="C881" s="1" t="n">
        <v>45968</v>
      </c>
      <c r="D881" t="inlineStr">
        <is>
          <t>KALMAR LÄN</t>
        </is>
      </c>
      <c r="E881" t="inlineStr">
        <is>
          <t>VIMMERBY</t>
        </is>
      </c>
      <c r="F881" t="inlineStr">
        <is>
          <t>Övriga statliga verk och myndigheter</t>
        </is>
      </c>
      <c r="G881" t="n">
        <v>6.3</v>
      </c>
      <c r="H881" t="n">
        <v>0</v>
      </c>
      <c r="I881" t="n">
        <v>0</v>
      </c>
      <c r="J881" t="n">
        <v>0</v>
      </c>
      <c r="K881" t="n">
        <v>0</v>
      </c>
      <c r="L881" t="n">
        <v>0</v>
      </c>
      <c r="M881" t="n">
        <v>0</v>
      </c>
      <c r="N881" t="n">
        <v>0</v>
      </c>
      <c r="O881" t="n">
        <v>0</v>
      </c>
      <c r="P881" t="n">
        <v>0</v>
      </c>
      <c r="Q881" t="n">
        <v>0</v>
      </c>
      <c r="R881" s="2" t="inlineStr"/>
    </row>
    <row r="882" ht="15" customHeight="1">
      <c r="A882" t="inlineStr">
        <is>
          <t>A 53586-2025</t>
        </is>
      </c>
      <c r="B882" s="1" t="n">
        <v>45960</v>
      </c>
      <c r="C882" s="1" t="n">
        <v>45968</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c r="A883" t="inlineStr">
        <is>
          <t>A 54813-2025</t>
        </is>
      </c>
      <c r="B883" s="1" t="n">
        <v>45966.64881944445</v>
      </c>
      <c r="C883" s="1" t="n">
        <v>45968</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2025-11-07T10:16:44Z</dcterms:created>
  <dcterms:modified xmlns:dcterms="http://purl.org/dc/terms/" xmlns:xsi="http://www.w3.org/2001/XMLSchema-instance" xsi:type="dcterms:W3CDTF">2025-11-07T10:16:44Z</dcterms:modified>
</cp:coreProperties>
</file>