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46203</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46203</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46203</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46203</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46203</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1023-2024</t>
        </is>
      </c>
      <c r="B8" s="1" t="n">
        <v>45301</v>
      </c>
      <c r="C8" s="1" t="n">
        <v>46203</v>
      </c>
      <c r="D8" t="inlineStr">
        <is>
          <t>KALMAR LÄN</t>
        </is>
      </c>
      <c r="E8" t="inlineStr">
        <is>
          <t>VIMMERBY</t>
        </is>
      </c>
      <c r="G8" t="n">
        <v>4.4</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46203</v>
      </c>
      <c r="D9" t="inlineStr">
        <is>
          <t>KALMAR LÄN</t>
        </is>
      </c>
      <c r="E9" t="inlineStr">
        <is>
          <t>VIMMERBY</t>
        </is>
      </c>
      <c r="G9" t="n">
        <v>3.5</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32645-2023</t>
        </is>
      </c>
      <c r="B10" s="1" t="n">
        <v>45121</v>
      </c>
      <c r="C10" s="1" t="n">
        <v>46203</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5</v>
      </c>
      <c r="R10" s="2" t="inlineStr">
        <is>
          <t>Dvärgbägarlav
Talltita
Vedtrappmossa
Mindre märgborre
Spillkråka</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25192-2026</t>
        </is>
      </c>
      <c r="B11" s="1" t="n">
        <v>46175</v>
      </c>
      <c r="C11" s="1" t="n">
        <v>46203</v>
      </c>
      <c r="D11" t="inlineStr">
        <is>
          <t>KALMAR LÄN</t>
        </is>
      </c>
      <c r="E11" t="inlineStr">
        <is>
          <t>VIMMERBY</t>
        </is>
      </c>
      <c r="G11" t="n">
        <v>3.2</v>
      </c>
      <c r="H11" t="n">
        <v>4</v>
      </c>
      <c r="I11" t="n">
        <v>0</v>
      </c>
      <c r="J11" t="n">
        <v>2</v>
      </c>
      <c r="K11" t="n">
        <v>1</v>
      </c>
      <c r="L11" t="n">
        <v>0</v>
      </c>
      <c r="M11" t="n">
        <v>0</v>
      </c>
      <c r="N11" t="n">
        <v>0</v>
      </c>
      <c r="O11" t="n">
        <v>3</v>
      </c>
      <c r="P11" t="n">
        <v>1</v>
      </c>
      <c r="Q11" t="n">
        <v>5</v>
      </c>
      <c r="R11" s="2" t="inlineStr">
        <is>
          <t>Knärot
Grönsångare
Tallticka
Fläcknycklar
Revlummer</t>
        </is>
      </c>
      <c r="S11">
        <f>HYPERLINK("https://klasma.github.io/Logging_0884/artfynd/A 25192-2026 artfynd.xlsx", "A 25192-2026")</f>
        <v/>
      </c>
      <c r="T11">
        <f>HYPERLINK("https://klasma.github.io/Logging_0884/kartor/A 25192-2026 karta.png", "A 25192-2026")</f>
        <v/>
      </c>
      <c r="U11">
        <f>HYPERLINK("https://klasma.github.io/Logging_0884/knärot/A 25192-2026 karta knärot.png", "A 25192-2026")</f>
        <v/>
      </c>
      <c r="V11">
        <f>HYPERLINK("https://klasma.github.io/Logging_0884/klagomål/A 25192-2026 FSC-klagomål.docx", "A 25192-2026")</f>
        <v/>
      </c>
      <c r="W11">
        <f>HYPERLINK("https://klasma.github.io/Logging_0884/klagomålsmail/A 25192-2026 FSC-klagomål mail.docx", "A 25192-2026")</f>
        <v/>
      </c>
      <c r="X11">
        <f>HYPERLINK("https://klasma.github.io/Logging_0884/tillsyn/A 25192-2026 tillsynsbegäran.docx", "A 25192-2026")</f>
        <v/>
      </c>
      <c r="Y11">
        <f>HYPERLINK("https://klasma.github.io/Logging_0884/tillsynsmail/A 25192-2026 tillsynsbegäran mail.docx", "A 25192-2026")</f>
        <v/>
      </c>
      <c r="Z11">
        <f>HYPERLINK("https://klasma.github.io/Logging_0884/fåglar/A 25192-2026 prioriterade fågelarter.docx", "A 25192-2026")</f>
        <v/>
      </c>
    </row>
    <row r="12" ht="15" customHeight="1">
      <c r="A12" t="inlineStr">
        <is>
          <t>A 12081-2024</t>
        </is>
      </c>
      <c r="B12" s="1" t="n">
        <v>45377</v>
      </c>
      <c r="C12" s="1" t="n">
        <v>46203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3075-2025</t>
        </is>
      </c>
      <c r="B13" s="1" t="n">
        <v>45678</v>
      </c>
      <c r="C13" s="1" t="n">
        <v>46203</v>
      </c>
      <c r="D13" t="inlineStr">
        <is>
          <t>KALMAR LÄN</t>
        </is>
      </c>
      <c r="E13" t="inlineStr">
        <is>
          <t>VIMMERBY</t>
        </is>
      </c>
      <c r="G13" t="n">
        <v>4.5</v>
      </c>
      <c r="H13" t="n">
        <v>4</v>
      </c>
      <c r="I13" t="n">
        <v>0</v>
      </c>
      <c r="J13" t="n">
        <v>1</v>
      </c>
      <c r="K13" t="n">
        <v>1</v>
      </c>
      <c r="L13" t="n">
        <v>0</v>
      </c>
      <c r="M13" t="n">
        <v>0</v>
      </c>
      <c r="N13" t="n">
        <v>0</v>
      </c>
      <c r="O13" t="n">
        <v>2</v>
      </c>
      <c r="P13" t="n">
        <v>1</v>
      </c>
      <c r="Q13" t="n">
        <v>4</v>
      </c>
      <c r="R13" s="2" t="inlineStr">
        <is>
          <t>Knärot
Talltita
Spillkråka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57053-2025</t>
        </is>
      </c>
      <c r="B14" s="1" t="n">
        <v>45979</v>
      </c>
      <c r="C14" s="1" t="n">
        <v>46203</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14426-2026</t>
        </is>
      </c>
      <c r="B15" s="1" t="n">
        <v>46100</v>
      </c>
      <c r="C15" s="1" t="n">
        <v>46203</v>
      </c>
      <c r="D15" t="inlineStr">
        <is>
          <t>KALMAR LÄN</t>
        </is>
      </c>
      <c r="E15" t="inlineStr">
        <is>
          <t>VIMMERBY</t>
        </is>
      </c>
      <c r="F15" t="inlineStr">
        <is>
          <t>Kyrkan</t>
        </is>
      </c>
      <c r="G15" t="n">
        <v>8.6</v>
      </c>
      <c r="H15" t="n">
        <v>1</v>
      </c>
      <c r="I15" t="n">
        <v>0</v>
      </c>
      <c r="J15" t="n">
        <v>1</v>
      </c>
      <c r="K15" t="n">
        <v>1</v>
      </c>
      <c r="L15" t="n">
        <v>0</v>
      </c>
      <c r="M15" t="n">
        <v>0</v>
      </c>
      <c r="N15" t="n">
        <v>0</v>
      </c>
      <c r="O15" t="n">
        <v>2</v>
      </c>
      <c r="P15" t="n">
        <v>1</v>
      </c>
      <c r="Q15" t="n">
        <v>3</v>
      </c>
      <c r="R15" s="2" t="inlineStr">
        <is>
          <t>Knärot
Tallticka
Linnea</t>
        </is>
      </c>
      <c r="S15">
        <f>HYPERLINK("https://klasma.github.io/Logging_0884/artfynd/A 14426-2026 artfynd.xlsx", "A 14426-2026")</f>
        <v/>
      </c>
      <c r="T15">
        <f>HYPERLINK("https://klasma.github.io/Logging_0884/kartor/A 14426-2026 karta.png", "A 14426-2026")</f>
        <v/>
      </c>
      <c r="U15">
        <f>HYPERLINK("https://klasma.github.io/Logging_0884/knärot/A 14426-2026 karta knärot.png", "A 14426-2026")</f>
        <v/>
      </c>
      <c r="V15">
        <f>HYPERLINK("https://klasma.github.io/Logging_0884/klagomål/A 14426-2026 FSC-klagomål.docx", "A 14426-2026")</f>
        <v/>
      </c>
      <c r="W15">
        <f>HYPERLINK("https://klasma.github.io/Logging_0884/klagomålsmail/A 14426-2026 FSC-klagomål mail.docx", "A 14426-2026")</f>
        <v/>
      </c>
      <c r="X15">
        <f>HYPERLINK("https://klasma.github.io/Logging_0884/tillsyn/A 14426-2026 tillsynsbegäran.docx", "A 14426-2026")</f>
        <v/>
      </c>
      <c r="Y15">
        <f>HYPERLINK("https://klasma.github.io/Logging_0884/tillsynsmail/A 14426-2026 tillsynsbegäran mail.docx", "A 14426-2026")</f>
        <v/>
      </c>
    </row>
    <row r="16" ht="15" customHeight="1">
      <c r="A16" t="inlineStr">
        <is>
          <t>A 14584-2025</t>
        </is>
      </c>
      <c r="B16" s="1" t="n">
        <v>45742</v>
      </c>
      <c r="C16" s="1" t="n">
        <v>46203</v>
      </c>
      <c r="D16" t="inlineStr">
        <is>
          <t>KALMAR LÄN</t>
        </is>
      </c>
      <c r="E16" t="inlineStr">
        <is>
          <t>VIMMERBY</t>
        </is>
      </c>
      <c r="G16" t="n">
        <v>5.4</v>
      </c>
      <c r="H16" t="n">
        <v>2</v>
      </c>
      <c r="I16" t="n">
        <v>1</v>
      </c>
      <c r="J16" t="n">
        <v>0</v>
      </c>
      <c r="K16" t="n">
        <v>1</v>
      </c>
      <c r="L16" t="n">
        <v>0</v>
      </c>
      <c r="M16" t="n">
        <v>0</v>
      </c>
      <c r="N16" t="n">
        <v>0</v>
      </c>
      <c r="O16" t="n">
        <v>1</v>
      </c>
      <c r="P16" t="n">
        <v>1</v>
      </c>
      <c r="Q16" t="n">
        <v>3</v>
      </c>
      <c r="R16" s="2" t="inlineStr">
        <is>
          <t>Knärot
Blåmossa
Spillkråka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46824-2025</t>
        </is>
      </c>
      <c r="B17" s="1" t="n">
        <v>45926</v>
      </c>
      <c r="C17" s="1" t="n">
        <v>46203</v>
      </c>
      <c r="D17" t="inlineStr">
        <is>
          <t>KALMAR LÄN</t>
        </is>
      </c>
      <c r="E17" t="inlineStr">
        <is>
          <t>VIMMERBY</t>
        </is>
      </c>
      <c r="G17" t="n">
        <v>2.8</v>
      </c>
      <c r="H17" t="n">
        <v>1</v>
      </c>
      <c r="I17" t="n">
        <v>0</v>
      </c>
      <c r="J17" t="n">
        <v>2</v>
      </c>
      <c r="K17" t="n">
        <v>1</v>
      </c>
      <c r="L17" t="n">
        <v>0</v>
      </c>
      <c r="M17" t="n">
        <v>0</v>
      </c>
      <c r="N17" t="n">
        <v>0</v>
      </c>
      <c r="O17" t="n">
        <v>3</v>
      </c>
      <c r="P17" t="n">
        <v>1</v>
      </c>
      <c r="Q17" t="n">
        <v>3</v>
      </c>
      <c r="R17" s="2" t="inlineStr">
        <is>
          <t>Knärot
Dropptaggsvamp
Fjällig taggsvamp s.str.</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row>
    <row r="18" ht="15" customHeight="1">
      <c r="A18" t="inlineStr">
        <is>
          <t>A 23602-2023</t>
        </is>
      </c>
      <c r="B18" s="1" t="n">
        <v>45077</v>
      </c>
      <c r="C18" s="1" t="n">
        <v>46203</v>
      </c>
      <c r="D18" t="inlineStr">
        <is>
          <t>KALMAR LÄN</t>
        </is>
      </c>
      <c r="E18" t="inlineStr">
        <is>
          <t>VIMMERBY</t>
        </is>
      </c>
      <c r="G18" t="n">
        <v>1.6</v>
      </c>
      <c r="H18" t="n">
        <v>0</v>
      </c>
      <c r="I18" t="n">
        <v>2</v>
      </c>
      <c r="J18" t="n">
        <v>1</v>
      </c>
      <c r="K18" t="n">
        <v>0</v>
      </c>
      <c r="L18" t="n">
        <v>0</v>
      </c>
      <c r="M18" t="n">
        <v>0</v>
      </c>
      <c r="N18" t="n">
        <v>0</v>
      </c>
      <c r="O18" t="n">
        <v>1</v>
      </c>
      <c r="P18" t="n">
        <v>0</v>
      </c>
      <c r="Q18" t="n">
        <v>3</v>
      </c>
      <c r="R18" s="2" t="inlineStr">
        <is>
          <t>Vedtrappmossa
Terpentinmossa
Vanlig rörsvepemossa</t>
        </is>
      </c>
      <c r="S18">
        <f>HYPERLINK("https://klasma.github.io/Logging_0884/artfynd/A 23602-2023 artfynd.xlsx", "A 23602-2023")</f>
        <v/>
      </c>
      <c r="T18">
        <f>HYPERLINK("https://klasma.github.io/Logging_0884/kartor/A 23602-2023 karta.png", "A 23602-2023")</f>
        <v/>
      </c>
      <c r="V18">
        <f>HYPERLINK("https://klasma.github.io/Logging_0884/klagomål/A 23602-2023 FSC-klagomål.docx", "A 23602-2023")</f>
        <v/>
      </c>
      <c r="W18">
        <f>HYPERLINK("https://klasma.github.io/Logging_0884/klagomålsmail/A 23602-2023 FSC-klagomål mail.docx", "A 23602-2023")</f>
        <v/>
      </c>
      <c r="X18">
        <f>HYPERLINK("https://klasma.github.io/Logging_0884/tillsyn/A 23602-2023 tillsynsbegäran.docx", "A 23602-2023")</f>
        <v/>
      </c>
      <c r="Y18">
        <f>HYPERLINK("https://klasma.github.io/Logging_0884/tillsynsmail/A 23602-2023 tillsynsbegäran mail.docx", "A 23602-2023")</f>
        <v/>
      </c>
    </row>
    <row r="19" ht="15" customHeight="1">
      <c r="A19" t="inlineStr">
        <is>
          <t>A 15427-2023</t>
        </is>
      </c>
      <c r="B19" s="1" t="n">
        <v>45020</v>
      </c>
      <c r="C19" s="1" t="n">
        <v>46203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46203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v>
      </c>
      <c r="C21" s="1" t="n">
        <v>46203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46203</v>
      </c>
      <c r="D22" t="inlineStr">
        <is>
          <t>KALMAR LÄN</t>
        </is>
      </c>
      <c r="E22" t="inlineStr">
        <is>
          <t>VIMMERBY</t>
        </is>
      </c>
      <c r="G22" t="n">
        <v>2</v>
      </c>
      <c r="H22" t="n">
        <v>1</v>
      </c>
      <c r="I22" t="n">
        <v>0</v>
      </c>
      <c r="J22" t="n">
        <v>1</v>
      </c>
      <c r="K22" t="n">
        <v>1</v>
      </c>
      <c r="L22" t="n">
        <v>0</v>
      </c>
      <c r="M22" t="n">
        <v>0</v>
      </c>
      <c r="N22" t="n">
        <v>0</v>
      </c>
      <c r="O22" t="n">
        <v>2</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37930-2021</t>
        </is>
      </c>
      <c r="B23" s="1" t="n">
        <v>44403</v>
      </c>
      <c r="C23" s="1" t="n">
        <v>46203</v>
      </c>
      <c r="D23" t="inlineStr">
        <is>
          <t>KALMAR LÄN</t>
        </is>
      </c>
      <c r="E23" t="inlineStr">
        <is>
          <t>VIMMERBY</t>
        </is>
      </c>
      <c r="G23" t="n">
        <v>4.4</v>
      </c>
      <c r="H23" t="n">
        <v>1</v>
      </c>
      <c r="I23" t="n">
        <v>1</v>
      </c>
      <c r="J23" t="n">
        <v>1</v>
      </c>
      <c r="K23" t="n">
        <v>0</v>
      </c>
      <c r="L23" t="n">
        <v>0</v>
      </c>
      <c r="M23" t="n">
        <v>0</v>
      </c>
      <c r="N23" t="n">
        <v>0</v>
      </c>
      <c r="O23" t="n">
        <v>1</v>
      </c>
      <c r="P23" t="n">
        <v>0</v>
      </c>
      <c r="Q23" t="n">
        <v>2</v>
      </c>
      <c r="R23" s="2" t="inlineStr">
        <is>
          <t>Spindelört
Grön sköldmossa</t>
        </is>
      </c>
      <c r="S23">
        <f>HYPERLINK("https://klasma.github.io/Logging_0884/artfynd/A 37930-2021 artfynd.xlsx", "A 37930-2021")</f>
        <v/>
      </c>
      <c r="T23">
        <f>HYPERLINK("https://klasma.github.io/Logging_0884/kartor/A 37930-2021 karta.png", "A 37930-2021")</f>
        <v/>
      </c>
      <c r="V23">
        <f>HYPERLINK("https://klasma.github.io/Logging_0884/klagomål/A 37930-2021 FSC-klagomål.docx", "A 37930-2021")</f>
        <v/>
      </c>
      <c r="W23">
        <f>HYPERLINK("https://klasma.github.io/Logging_0884/klagomålsmail/A 37930-2021 FSC-klagomål mail.docx", "A 37930-2021")</f>
        <v/>
      </c>
      <c r="X23">
        <f>HYPERLINK("https://klasma.github.io/Logging_0884/tillsyn/A 37930-2021 tillsynsbegäran.docx", "A 37930-2021")</f>
        <v/>
      </c>
      <c r="Y23">
        <f>HYPERLINK("https://klasma.github.io/Logging_0884/tillsynsmail/A 37930-2021 tillsynsbegäran mail.docx", "A 37930-2021")</f>
        <v/>
      </c>
    </row>
    <row r="24" ht="15" customHeight="1">
      <c r="A24" t="inlineStr">
        <is>
          <t>A 42802-2025</t>
        </is>
      </c>
      <c r="B24" s="1" t="n">
        <v>45908</v>
      </c>
      <c r="C24" s="1" t="n">
        <v>46203</v>
      </c>
      <c r="D24" t="inlineStr">
        <is>
          <t>KALMAR LÄN</t>
        </is>
      </c>
      <c r="E24" t="inlineStr">
        <is>
          <t>VIMMERBY</t>
        </is>
      </c>
      <c r="G24" t="n">
        <v>2.8</v>
      </c>
      <c r="H24" t="n">
        <v>1</v>
      </c>
      <c r="I24" t="n">
        <v>1</v>
      </c>
      <c r="J24" t="n">
        <v>0</v>
      </c>
      <c r="K24" t="n">
        <v>0</v>
      </c>
      <c r="L24" t="n">
        <v>0</v>
      </c>
      <c r="M24" t="n">
        <v>0</v>
      </c>
      <c r="N24" t="n">
        <v>0</v>
      </c>
      <c r="O24" t="n">
        <v>0</v>
      </c>
      <c r="P24" t="n">
        <v>0</v>
      </c>
      <c r="Q24" t="n">
        <v>2</v>
      </c>
      <c r="R24" s="2" t="inlineStr">
        <is>
          <t>Tibast
Fläcknycklar</t>
        </is>
      </c>
      <c r="S24">
        <f>HYPERLINK("https://klasma.github.io/Logging_0884/artfynd/A 42802-2025 artfynd.xlsx", "A 42802-2025")</f>
        <v/>
      </c>
      <c r="T24">
        <f>HYPERLINK("https://klasma.github.io/Logging_0884/kartor/A 42802-2025 karta.png", "A 42802-2025")</f>
        <v/>
      </c>
      <c r="V24">
        <f>HYPERLINK("https://klasma.github.io/Logging_0884/klagomål/A 42802-2025 FSC-klagomål.docx", "A 42802-2025")</f>
        <v/>
      </c>
      <c r="W24">
        <f>HYPERLINK("https://klasma.github.io/Logging_0884/klagomålsmail/A 42802-2025 FSC-klagomål mail.docx", "A 42802-2025")</f>
        <v/>
      </c>
      <c r="X24">
        <f>HYPERLINK("https://klasma.github.io/Logging_0884/tillsyn/A 42802-2025 tillsynsbegäran.docx", "A 42802-2025")</f>
        <v/>
      </c>
      <c r="Y24">
        <f>HYPERLINK("https://klasma.github.io/Logging_0884/tillsynsmail/A 42802-2025 tillsynsbegäran mail.docx", "A 42802-2025")</f>
        <v/>
      </c>
    </row>
    <row r="25" ht="15" customHeight="1">
      <c r="A25" t="inlineStr">
        <is>
          <t>A 22825-2023</t>
        </is>
      </c>
      <c r="B25" s="1" t="n">
        <v>45072</v>
      </c>
      <c r="C25" s="1" t="n">
        <v>46203</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2518-2023</t>
        </is>
      </c>
      <c r="B26" s="1" t="n">
        <v>44943</v>
      </c>
      <c r="C26" s="1" t="n">
        <v>46203</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v>
      </c>
      <c r="C27" s="1" t="n">
        <v>46203</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40083-2023</t>
        </is>
      </c>
      <c r="B28" s="1" t="n">
        <v>45168</v>
      </c>
      <c r="C28" s="1" t="n">
        <v>46203</v>
      </c>
      <c r="D28" t="inlineStr">
        <is>
          <t>KALMAR LÄN</t>
        </is>
      </c>
      <c r="E28" t="inlineStr">
        <is>
          <t>VIMMERBY</t>
        </is>
      </c>
      <c r="G28" t="n">
        <v>2.2</v>
      </c>
      <c r="H28" t="n">
        <v>2</v>
      </c>
      <c r="I28" t="n">
        <v>0</v>
      </c>
      <c r="J28" t="n">
        <v>1</v>
      </c>
      <c r="K28" t="n">
        <v>0</v>
      </c>
      <c r="L28" t="n">
        <v>0</v>
      </c>
      <c r="M28" t="n">
        <v>0</v>
      </c>
      <c r="N28" t="n">
        <v>0</v>
      </c>
      <c r="O28" t="n">
        <v>1</v>
      </c>
      <c r="P28" t="n">
        <v>0</v>
      </c>
      <c r="Q28" t="n">
        <v>2</v>
      </c>
      <c r="R28" s="2" t="inlineStr">
        <is>
          <t>Grönsångare
Revlummer</t>
        </is>
      </c>
      <c r="S28">
        <f>HYPERLINK("https://klasma.github.io/Logging_0884/artfynd/A 40083-2023 artfynd.xlsx", "A 40083-2023")</f>
        <v/>
      </c>
      <c r="T28">
        <f>HYPERLINK("https://klasma.github.io/Logging_0884/kartor/A 40083-2023 karta.png", "A 40083-2023")</f>
        <v/>
      </c>
      <c r="V28">
        <f>HYPERLINK("https://klasma.github.io/Logging_0884/klagomål/A 40083-2023 FSC-klagomål.docx", "A 40083-2023")</f>
        <v/>
      </c>
      <c r="W28">
        <f>HYPERLINK("https://klasma.github.io/Logging_0884/klagomålsmail/A 40083-2023 FSC-klagomål mail.docx", "A 40083-2023")</f>
        <v/>
      </c>
      <c r="X28">
        <f>HYPERLINK("https://klasma.github.io/Logging_0884/tillsyn/A 40083-2023 tillsynsbegäran.docx", "A 40083-2023")</f>
        <v/>
      </c>
      <c r="Y28">
        <f>HYPERLINK("https://klasma.github.io/Logging_0884/tillsynsmail/A 40083-2023 tillsynsbegäran mail.docx", "A 40083-2023")</f>
        <v/>
      </c>
      <c r="Z28">
        <f>HYPERLINK("https://klasma.github.io/Logging_0884/fåglar/A 40083-2023 prioriterade fågelarter.docx", "A 40083-2023")</f>
        <v/>
      </c>
    </row>
    <row r="29" ht="15" customHeight="1">
      <c r="A29" t="inlineStr">
        <is>
          <t>A 40084-2023</t>
        </is>
      </c>
      <c r="B29" s="1" t="n">
        <v>45168</v>
      </c>
      <c r="C29" s="1" t="n">
        <v>46203</v>
      </c>
      <c r="D29" t="inlineStr">
        <is>
          <t>KALMAR LÄN</t>
        </is>
      </c>
      <c r="E29" t="inlineStr">
        <is>
          <t>VIMMERBY</t>
        </is>
      </c>
      <c r="G29" t="n">
        <v>1.3</v>
      </c>
      <c r="H29" t="n">
        <v>2</v>
      </c>
      <c r="I29" t="n">
        <v>0</v>
      </c>
      <c r="J29" t="n">
        <v>2</v>
      </c>
      <c r="K29" t="n">
        <v>0</v>
      </c>
      <c r="L29" t="n">
        <v>0</v>
      </c>
      <c r="M29" t="n">
        <v>0</v>
      </c>
      <c r="N29" t="n">
        <v>0</v>
      </c>
      <c r="O29" t="n">
        <v>2</v>
      </c>
      <c r="P29" t="n">
        <v>0</v>
      </c>
      <c r="Q29" t="n">
        <v>2</v>
      </c>
      <c r="R29" s="2" t="inlineStr">
        <is>
          <t>Entita
Rödvingetrast</t>
        </is>
      </c>
      <c r="S29">
        <f>HYPERLINK("https://klasma.github.io/Logging_0884/artfynd/A 40084-2023 artfynd.xlsx", "A 40084-2023")</f>
        <v/>
      </c>
      <c r="T29">
        <f>HYPERLINK("https://klasma.github.io/Logging_0884/kartor/A 40084-2023 karta.png", "A 40084-2023")</f>
        <v/>
      </c>
      <c r="V29">
        <f>HYPERLINK("https://klasma.github.io/Logging_0884/klagomål/A 40084-2023 FSC-klagomål.docx", "A 40084-2023")</f>
        <v/>
      </c>
      <c r="W29">
        <f>HYPERLINK("https://klasma.github.io/Logging_0884/klagomålsmail/A 40084-2023 FSC-klagomål mail.docx", "A 40084-2023")</f>
        <v/>
      </c>
      <c r="X29">
        <f>HYPERLINK("https://klasma.github.io/Logging_0884/tillsyn/A 40084-2023 tillsynsbegäran.docx", "A 40084-2023")</f>
        <v/>
      </c>
      <c r="Y29">
        <f>HYPERLINK("https://klasma.github.io/Logging_0884/tillsynsmail/A 40084-2023 tillsynsbegäran mail.docx", "A 40084-2023")</f>
        <v/>
      </c>
      <c r="Z29">
        <f>HYPERLINK("https://klasma.github.io/Logging_0884/fåglar/A 40084-2023 prioriterade fågelarter.docx", "A 40084-2023")</f>
        <v/>
      </c>
    </row>
    <row r="30" ht="15" customHeight="1">
      <c r="A30" t="inlineStr">
        <is>
          <t>A 25155-2026</t>
        </is>
      </c>
      <c r="B30" s="1" t="n">
        <v>46175</v>
      </c>
      <c r="C30" s="1" t="n">
        <v>46203</v>
      </c>
      <c r="D30" t="inlineStr">
        <is>
          <t>KALMAR LÄN</t>
        </is>
      </c>
      <c r="E30" t="inlineStr">
        <is>
          <t>VIMMERBY</t>
        </is>
      </c>
      <c r="G30" t="n">
        <v>2.9</v>
      </c>
      <c r="H30" t="n">
        <v>0</v>
      </c>
      <c r="I30" t="n">
        <v>1</v>
      </c>
      <c r="J30" t="n">
        <v>0</v>
      </c>
      <c r="K30" t="n">
        <v>1</v>
      </c>
      <c r="L30" t="n">
        <v>0</v>
      </c>
      <c r="M30" t="n">
        <v>0</v>
      </c>
      <c r="N30" t="n">
        <v>0</v>
      </c>
      <c r="O30" t="n">
        <v>1</v>
      </c>
      <c r="P30" t="n">
        <v>1</v>
      </c>
      <c r="Q30" t="n">
        <v>2</v>
      </c>
      <c r="R30" s="2" t="inlineStr">
        <is>
          <t>Ryl
Grönpyrola</t>
        </is>
      </c>
      <c r="S30">
        <f>HYPERLINK("https://klasma.github.io/Logging_0884/artfynd/A 25155-2026 artfynd.xlsx", "A 25155-2026")</f>
        <v/>
      </c>
      <c r="T30">
        <f>HYPERLINK("https://klasma.github.io/Logging_0884/kartor/A 25155-2026 karta.png", "A 25155-2026")</f>
        <v/>
      </c>
      <c r="V30">
        <f>HYPERLINK("https://klasma.github.io/Logging_0884/klagomål/A 25155-2026 FSC-klagomål.docx", "A 25155-2026")</f>
        <v/>
      </c>
      <c r="W30">
        <f>HYPERLINK("https://klasma.github.io/Logging_0884/klagomålsmail/A 25155-2026 FSC-klagomål mail.docx", "A 25155-2026")</f>
        <v/>
      </c>
      <c r="X30">
        <f>HYPERLINK("https://klasma.github.io/Logging_0884/tillsyn/A 25155-2026 tillsynsbegäran.docx", "A 25155-2026")</f>
        <v/>
      </c>
      <c r="Y30">
        <f>HYPERLINK("https://klasma.github.io/Logging_0884/tillsynsmail/A 25155-2026 tillsynsbegäran mail.docx", "A 25155-2026")</f>
        <v/>
      </c>
    </row>
    <row r="31" ht="15" customHeight="1">
      <c r="A31" t="inlineStr">
        <is>
          <t>A 22396-2025</t>
        </is>
      </c>
      <c r="B31" s="1" t="n">
        <v>45786</v>
      </c>
      <c r="C31" s="1" t="n">
        <v>46203</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row>
    <row r="32" ht="15" customHeight="1">
      <c r="A32" t="inlineStr">
        <is>
          <t>A 19158-2023</t>
        </is>
      </c>
      <c r="B32" s="1" t="n">
        <v>45048</v>
      </c>
      <c r="C32" s="1" t="n">
        <v>46203</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v>
      </c>
      <c r="C33" s="1" t="n">
        <v>46203</v>
      </c>
      <c r="D33" t="inlineStr">
        <is>
          <t>KALMAR LÄN</t>
        </is>
      </c>
      <c r="E33" t="inlineStr">
        <is>
          <t>VIMMERBY</t>
        </is>
      </c>
      <c r="G33" t="n">
        <v>3.2</v>
      </c>
      <c r="H33" t="n">
        <v>1</v>
      </c>
      <c r="I33" t="n">
        <v>1</v>
      </c>
      <c r="J33" t="n">
        <v>0</v>
      </c>
      <c r="K33" t="n">
        <v>1</v>
      </c>
      <c r="L33" t="n">
        <v>0</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2604-2025</t>
        </is>
      </c>
      <c r="B34" s="1" t="n">
        <v>45674</v>
      </c>
      <c r="C34" s="1" t="n">
        <v>46203</v>
      </c>
      <c r="D34" t="inlineStr">
        <is>
          <t>KALMAR LÄN</t>
        </is>
      </c>
      <c r="E34" t="inlineStr">
        <is>
          <t>VIMMERBY</t>
        </is>
      </c>
      <c r="G34" t="n">
        <v>7.6</v>
      </c>
      <c r="H34" t="n">
        <v>0</v>
      </c>
      <c r="I34" t="n">
        <v>0</v>
      </c>
      <c r="J34" t="n">
        <v>2</v>
      </c>
      <c r="K34" t="n">
        <v>0</v>
      </c>
      <c r="L34" t="n">
        <v>0</v>
      </c>
      <c r="M34" t="n">
        <v>0</v>
      </c>
      <c r="N34" t="n">
        <v>0</v>
      </c>
      <c r="O34" t="n">
        <v>2</v>
      </c>
      <c r="P34" t="n">
        <v>0</v>
      </c>
      <c r="Q34" t="n">
        <v>2</v>
      </c>
      <c r="R34" s="2" t="inlineStr">
        <is>
          <t>Långfibbla
Spretfibbla</t>
        </is>
      </c>
      <c r="S34">
        <f>HYPERLINK("https://klasma.github.io/Logging_0884/artfynd/A 2604-2025 artfynd.xlsx", "A 2604-2025")</f>
        <v/>
      </c>
      <c r="T34">
        <f>HYPERLINK("https://klasma.github.io/Logging_0884/kartor/A 2604-2025 karta.png", "A 2604-2025")</f>
        <v/>
      </c>
      <c r="V34">
        <f>HYPERLINK("https://klasma.github.io/Logging_0884/klagomål/A 2604-2025 FSC-klagomål.docx", "A 2604-2025")</f>
        <v/>
      </c>
      <c r="W34">
        <f>HYPERLINK("https://klasma.github.io/Logging_0884/klagomålsmail/A 2604-2025 FSC-klagomål mail.docx", "A 2604-2025")</f>
        <v/>
      </c>
      <c r="X34">
        <f>HYPERLINK("https://klasma.github.io/Logging_0884/tillsyn/A 2604-2025 tillsynsbegäran.docx", "A 2604-2025")</f>
        <v/>
      </c>
      <c r="Y34">
        <f>HYPERLINK("https://klasma.github.io/Logging_0884/tillsynsmail/A 2604-2025 tillsynsbegäran mail.docx", "A 2604-2025")</f>
        <v/>
      </c>
    </row>
    <row r="35" ht="15" customHeight="1">
      <c r="A35" t="inlineStr">
        <is>
          <t>A 16288-2022</t>
        </is>
      </c>
      <c r="B35" s="1" t="n">
        <v>44670</v>
      </c>
      <c r="C35" s="1" t="n">
        <v>46203</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46203</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53404-2025</t>
        </is>
      </c>
      <c r="B37" s="1" t="n">
        <v>45959</v>
      </c>
      <c r="C37" s="1" t="n">
        <v>46203</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57062-2025</t>
        </is>
      </c>
      <c r="B38" s="1" t="n">
        <v>45979</v>
      </c>
      <c r="C38" s="1" t="n">
        <v>46203</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61860-2024</t>
        </is>
      </c>
      <c r="B39" s="1" t="n">
        <v>45649</v>
      </c>
      <c r="C39" s="1" t="n">
        <v>46203</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46203</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17511-2024</t>
        </is>
      </c>
      <c r="B41" s="1" t="n">
        <v>45415</v>
      </c>
      <c r="C41" s="1" t="n">
        <v>46203</v>
      </c>
      <c r="D41" t="inlineStr">
        <is>
          <t>KALMAR LÄN</t>
        </is>
      </c>
      <c r="E41" t="inlineStr">
        <is>
          <t>VIMMERBY</t>
        </is>
      </c>
      <c r="G41" t="n">
        <v>5.3</v>
      </c>
      <c r="H41" t="n">
        <v>0</v>
      </c>
      <c r="I41" t="n">
        <v>0</v>
      </c>
      <c r="J41" t="n">
        <v>1</v>
      </c>
      <c r="K41" t="n">
        <v>0</v>
      </c>
      <c r="L41" t="n">
        <v>0</v>
      </c>
      <c r="M41" t="n">
        <v>0</v>
      </c>
      <c r="N41" t="n">
        <v>0</v>
      </c>
      <c r="O41" t="n">
        <v>1</v>
      </c>
      <c r="P41" t="n">
        <v>0</v>
      </c>
      <c r="Q41" t="n">
        <v>1</v>
      </c>
      <c r="R41" s="2" t="inlineStr">
        <is>
          <t>Sydspärgel</t>
        </is>
      </c>
      <c r="S41">
        <f>HYPERLINK("https://klasma.github.io/Logging_0884/artfynd/A 17511-2024 artfynd.xlsx", "A 17511-2024")</f>
        <v/>
      </c>
      <c r="T41">
        <f>HYPERLINK("https://klasma.github.io/Logging_0884/kartor/A 17511-2024 karta.png", "A 17511-2024")</f>
        <v/>
      </c>
      <c r="V41">
        <f>HYPERLINK("https://klasma.github.io/Logging_0884/klagomål/A 17511-2024 FSC-klagomål.docx", "A 17511-2024")</f>
        <v/>
      </c>
      <c r="W41">
        <f>HYPERLINK("https://klasma.github.io/Logging_0884/klagomålsmail/A 17511-2024 FSC-klagomål mail.docx", "A 17511-2024")</f>
        <v/>
      </c>
      <c r="X41">
        <f>HYPERLINK("https://klasma.github.io/Logging_0884/tillsyn/A 17511-2024 tillsynsbegäran.docx", "A 17511-2024")</f>
        <v/>
      </c>
      <c r="Y41">
        <f>HYPERLINK("https://klasma.github.io/Logging_0884/tillsynsmail/A 17511-2024 tillsynsbegäran mail.docx", "A 17511-2024")</f>
        <v/>
      </c>
    </row>
    <row r="42" ht="15" customHeight="1">
      <c r="A42" t="inlineStr">
        <is>
          <t>A 15122-2024</t>
        </is>
      </c>
      <c r="B42" s="1" t="n">
        <v>45399</v>
      </c>
      <c r="C42" s="1" t="n">
        <v>46203</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46203</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46203</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v>
      </c>
      <c r="C45" s="1" t="n">
        <v>46203</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5527-2022</t>
        </is>
      </c>
      <c r="B46" s="1" t="n">
        <v>44595</v>
      </c>
      <c r="C46" s="1" t="n">
        <v>46203</v>
      </c>
      <c r="D46" t="inlineStr">
        <is>
          <t>KALMAR LÄN</t>
        </is>
      </c>
      <c r="E46" t="inlineStr">
        <is>
          <t>VIMMERBY</t>
        </is>
      </c>
      <c r="G46" t="n">
        <v>3.6</v>
      </c>
      <c r="H46" t="n">
        <v>0</v>
      </c>
      <c r="I46" t="n">
        <v>0</v>
      </c>
      <c r="J46" t="n">
        <v>1</v>
      </c>
      <c r="K46" t="n">
        <v>0</v>
      </c>
      <c r="L46" t="n">
        <v>0</v>
      </c>
      <c r="M46" t="n">
        <v>0</v>
      </c>
      <c r="N46" t="n">
        <v>0</v>
      </c>
      <c r="O46" t="n">
        <v>1</v>
      </c>
      <c r="P46" t="n">
        <v>0</v>
      </c>
      <c r="Q46" t="n">
        <v>1</v>
      </c>
      <c r="R46" s="2" t="inlineStr">
        <is>
          <t>Koralltaggsvamp</t>
        </is>
      </c>
      <c r="S46">
        <f>HYPERLINK("https://klasma.github.io/Logging_0884/artfynd/A 5527-2022 artfynd.xlsx", "A 5527-2022")</f>
        <v/>
      </c>
      <c r="T46">
        <f>HYPERLINK("https://klasma.github.io/Logging_0884/kartor/A 5527-2022 karta.png", "A 5527-2022")</f>
        <v/>
      </c>
      <c r="V46">
        <f>HYPERLINK("https://klasma.github.io/Logging_0884/klagomål/A 5527-2022 FSC-klagomål.docx", "A 5527-2022")</f>
        <v/>
      </c>
      <c r="W46">
        <f>HYPERLINK("https://klasma.github.io/Logging_0884/klagomålsmail/A 5527-2022 FSC-klagomål mail.docx", "A 5527-2022")</f>
        <v/>
      </c>
      <c r="X46">
        <f>HYPERLINK("https://klasma.github.io/Logging_0884/tillsyn/A 5527-2022 tillsynsbegäran.docx", "A 5527-2022")</f>
        <v/>
      </c>
      <c r="Y46">
        <f>HYPERLINK("https://klasma.github.io/Logging_0884/tillsynsmail/A 5527-2022 tillsynsbegäran mail.docx", "A 5527-2022")</f>
        <v/>
      </c>
    </row>
    <row r="47" ht="15" customHeight="1">
      <c r="A47" t="inlineStr">
        <is>
          <t>A 6358-2022</t>
        </is>
      </c>
      <c r="B47" s="1" t="n">
        <v>44600</v>
      </c>
      <c r="C47" s="1" t="n">
        <v>46203</v>
      </c>
      <c r="D47" t="inlineStr">
        <is>
          <t>KALMAR LÄN</t>
        </is>
      </c>
      <c r="E47" t="inlineStr">
        <is>
          <t>VIMMERBY</t>
        </is>
      </c>
      <c r="G47" t="n">
        <v>1.7</v>
      </c>
      <c r="H47" t="n">
        <v>1</v>
      </c>
      <c r="I47" t="n">
        <v>1</v>
      </c>
      <c r="J47" t="n">
        <v>0</v>
      </c>
      <c r="K47" t="n">
        <v>0</v>
      </c>
      <c r="L47" t="n">
        <v>0</v>
      </c>
      <c r="M47" t="n">
        <v>0</v>
      </c>
      <c r="N47" t="n">
        <v>0</v>
      </c>
      <c r="O47" t="n">
        <v>0</v>
      </c>
      <c r="P47" t="n">
        <v>0</v>
      </c>
      <c r="Q47" t="n">
        <v>1</v>
      </c>
      <c r="R47" s="2" t="inlineStr">
        <is>
          <t>Ekoxe</t>
        </is>
      </c>
      <c r="S47">
        <f>HYPERLINK("https://klasma.github.io/Logging_0884/artfynd/A 6358-2022 artfynd.xlsx", "A 6358-2022")</f>
        <v/>
      </c>
      <c r="T47">
        <f>HYPERLINK("https://klasma.github.io/Logging_0884/kartor/A 6358-2022 karta.png", "A 6358-2022")</f>
        <v/>
      </c>
      <c r="V47">
        <f>HYPERLINK("https://klasma.github.io/Logging_0884/klagomål/A 6358-2022 FSC-klagomål.docx", "A 6358-2022")</f>
        <v/>
      </c>
      <c r="W47">
        <f>HYPERLINK("https://klasma.github.io/Logging_0884/klagomålsmail/A 6358-2022 FSC-klagomål mail.docx", "A 6358-2022")</f>
        <v/>
      </c>
      <c r="X47">
        <f>HYPERLINK("https://klasma.github.io/Logging_0884/tillsyn/A 6358-2022 tillsynsbegäran.docx", "A 6358-2022")</f>
        <v/>
      </c>
      <c r="Y47">
        <f>HYPERLINK("https://klasma.github.io/Logging_0884/tillsynsmail/A 6358-2022 tillsynsbegäran mail.docx", "A 6358-2022")</f>
        <v/>
      </c>
    </row>
    <row r="48" ht="15" customHeight="1">
      <c r="A48" t="inlineStr">
        <is>
          <t>A 52301-2023</t>
        </is>
      </c>
      <c r="B48" s="1" t="n">
        <v>45224</v>
      </c>
      <c r="C48" s="1" t="n">
        <v>46203</v>
      </c>
      <c r="D48" t="inlineStr">
        <is>
          <t>KALMAR LÄN</t>
        </is>
      </c>
      <c r="E48" t="inlineStr">
        <is>
          <t>VIMMERBY</t>
        </is>
      </c>
      <c r="G48" t="n">
        <v>5.3</v>
      </c>
      <c r="H48" t="n">
        <v>0</v>
      </c>
      <c r="I48" t="n">
        <v>0</v>
      </c>
      <c r="J48" t="n">
        <v>0</v>
      </c>
      <c r="K48" t="n">
        <v>0</v>
      </c>
      <c r="L48" t="n">
        <v>1</v>
      </c>
      <c r="M48" t="n">
        <v>0</v>
      </c>
      <c r="N48" t="n">
        <v>0</v>
      </c>
      <c r="O48" t="n">
        <v>1</v>
      </c>
      <c r="P48" t="n">
        <v>1</v>
      </c>
      <c r="Q48" t="n">
        <v>1</v>
      </c>
      <c r="R48" s="2" t="inlineStr">
        <is>
          <t>Ask</t>
        </is>
      </c>
      <c r="S48">
        <f>HYPERLINK("https://klasma.github.io/Logging_0884/artfynd/A 52301-2023 artfynd.xlsx", "A 52301-2023")</f>
        <v/>
      </c>
      <c r="T48">
        <f>HYPERLINK("https://klasma.github.io/Logging_0884/kartor/A 52301-2023 karta.png", "A 52301-2023")</f>
        <v/>
      </c>
      <c r="V48">
        <f>HYPERLINK("https://klasma.github.io/Logging_0884/klagomål/A 52301-2023 FSC-klagomål.docx", "A 52301-2023")</f>
        <v/>
      </c>
      <c r="W48">
        <f>HYPERLINK("https://klasma.github.io/Logging_0884/klagomålsmail/A 52301-2023 FSC-klagomål mail.docx", "A 52301-2023")</f>
        <v/>
      </c>
      <c r="X48">
        <f>HYPERLINK("https://klasma.github.io/Logging_0884/tillsyn/A 52301-2023 tillsynsbegäran.docx", "A 52301-2023")</f>
        <v/>
      </c>
      <c r="Y48">
        <f>HYPERLINK("https://klasma.github.io/Logging_0884/tillsynsmail/A 52301-2023 tillsynsbegäran mail.docx", "A 52301-2023")</f>
        <v/>
      </c>
    </row>
    <row r="49" ht="15" customHeight="1">
      <c r="A49" t="inlineStr">
        <is>
          <t>A 22266-2023</t>
        </is>
      </c>
      <c r="B49" s="1" t="n">
        <v>45070</v>
      </c>
      <c r="C49" s="1" t="n">
        <v>46203</v>
      </c>
      <c r="D49" t="inlineStr">
        <is>
          <t>KALMAR LÄN</t>
        </is>
      </c>
      <c r="E49" t="inlineStr">
        <is>
          <t>VIMMERBY</t>
        </is>
      </c>
      <c r="G49" t="n">
        <v>0.5</v>
      </c>
      <c r="H49" t="n">
        <v>0</v>
      </c>
      <c r="I49" t="n">
        <v>1</v>
      </c>
      <c r="J49" t="n">
        <v>0</v>
      </c>
      <c r="K49" t="n">
        <v>0</v>
      </c>
      <c r="L49" t="n">
        <v>0</v>
      </c>
      <c r="M49" t="n">
        <v>0</v>
      </c>
      <c r="N49" t="n">
        <v>0</v>
      </c>
      <c r="O49" t="n">
        <v>0</v>
      </c>
      <c r="P49" t="n">
        <v>0</v>
      </c>
      <c r="Q49" t="n">
        <v>1</v>
      </c>
      <c r="R49" s="2" t="inlineStr">
        <is>
          <t>Vätteros</t>
        </is>
      </c>
      <c r="S49">
        <f>HYPERLINK("https://klasma.github.io/Logging_0884/artfynd/A 22266-2023 artfynd.xlsx", "A 22266-2023")</f>
        <v/>
      </c>
      <c r="T49">
        <f>HYPERLINK("https://klasma.github.io/Logging_0884/kartor/A 22266-2023 karta.png", "A 22266-2023")</f>
        <v/>
      </c>
      <c r="V49">
        <f>HYPERLINK("https://klasma.github.io/Logging_0884/klagomål/A 22266-2023 FSC-klagomål.docx", "A 22266-2023")</f>
        <v/>
      </c>
      <c r="W49">
        <f>HYPERLINK("https://klasma.github.io/Logging_0884/klagomålsmail/A 22266-2023 FSC-klagomål mail.docx", "A 22266-2023")</f>
        <v/>
      </c>
      <c r="X49">
        <f>HYPERLINK("https://klasma.github.io/Logging_0884/tillsyn/A 22266-2023 tillsynsbegäran.docx", "A 22266-2023")</f>
        <v/>
      </c>
      <c r="Y49">
        <f>HYPERLINK("https://klasma.github.io/Logging_0884/tillsynsmail/A 22266-2023 tillsynsbegäran mail.docx", "A 22266-2023")</f>
        <v/>
      </c>
    </row>
    <row r="50" ht="15" customHeight="1">
      <c r="A50" t="inlineStr">
        <is>
          <t>A 13015-2023</t>
        </is>
      </c>
      <c r="B50" s="1" t="n">
        <v>45002</v>
      </c>
      <c r="C50" s="1" t="n">
        <v>46203</v>
      </c>
      <c r="D50" t="inlineStr">
        <is>
          <t>KALMAR LÄN</t>
        </is>
      </c>
      <c r="E50" t="inlineStr">
        <is>
          <t>VIMMERBY</t>
        </is>
      </c>
      <c r="G50" t="n">
        <v>3.2</v>
      </c>
      <c r="H50" t="n">
        <v>0</v>
      </c>
      <c r="I50" t="n">
        <v>0</v>
      </c>
      <c r="J50" t="n">
        <v>0</v>
      </c>
      <c r="K50" t="n">
        <v>1</v>
      </c>
      <c r="L50" t="n">
        <v>0</v>
      </c>
      <c r="M50" t="n">
        <v>0</v>
      </c>
      <c r="N50" t="n">
        <v>0</v>
      </c>
      <c r="O50" t="n">
        <v>1</v>
      </c>
      <c r="P50" t="n">
        <v>1</v>
      </c>
      <c r="Q50" t="n">
        <v>1</v>
      </c>
      <c r="R50" s="2" t="inlineStr">
        <is>
          <t>Bredbrämad bastardsvärmare</t>
        </is>
      </c>
      <c r="S50">
        <f>HYPERLINK("https://klasma.github.io/Logging_0884/artfynd/A 13015-2023 artfynd.xlsx", "A 13015-2023")</f>
        <v/>
      </c>
      <c r="T50">
        <f>HYPERLINK("https://klasma.github.io/Logging_0884/kartor/A 13015-2023 karta.png", "A 13015-2023")</f>
        <v/>
      </c>
      <c r="V50">
        <f>HYPERLINK("https://klasma.github.io/Logging_0884/klagomål/A 13015-2023 FSC-klagomål.docx", "A 13015-2023")</f>
        <v/>
      </c>
      <c r="W50">
        <f>HYPERLINK("https://klasma.github.io/Logging_0884/klagomålsmail/A 13015-2023 FSC-klagomål mail.docx", "A 13015-2023")</f>
        <v/>
      </c>
      <c r="X50">
        <f>HYPERLINK("https://klasma.github.io/Logging_0884/tillsyn/A 13015-2023 tillsynsbegäran.docx", "A 13015-2023")</f>
        <v/>
      </c>
      <c r="Y50">
        <f>HYPERLINK("https://klasma.github.io/Logging_0884/tillsynsmail/A 13015-2023 tillsynsbegäran mail.docx", "A 13015-2023")</f>
        <v/>
      </c>
    </row>
    <row r="51" ht="15" customHeight="1">
      <c r="A51" t="inlineStr">
        <is>
          <t>A 33436-2021</t>
        </is>
      </c>
      <c r="B51" s="1" t="n">
        <v>44377</v>
      </c>
      <c r="C51" s="1" t="n">
        <v>46203</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59070-2021</t>
        </is>
      </c>
      <c r="B52" s="1" t="n">
        <v>44490</v>
      </c>
      <c r="C52" s="1" t="n">
        <v>46203</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56754-2021</t>
        </is>
      </c>
      <c r="B53" s="1" t="n">
        <v>44481</v>
      </c>
      <c r="C53" s="1" t="n">
        <v>46203</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46203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16283-2022</t>
        </is>
      </c>
      <c r="B56" s="1" t="n">
        <v>44670</v>
      </c>
      <c r="C56" s="1" t="n">
        <v>46203</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38348-2021</t>
        </is>
      </c>
      <c r="B57" s="1" t="n">
        <v>44406</v>
      </c>
      <c r="C57" s="1" t="n">
        <v>46203</v>
      </c>
      <c r="D57" t="inlineStr">
        <is>
          <t>KALMAR LÄN</t>
        </is>
      </c>
      <c r="E57" t="inlineStr">
        <is>
          <t>VIMMERBY</t>
        </is>
      </c>
      <c r="G57" t="n">
        <v>2.2</v>
      </c>
      <c r="H57" t="n">
        <v>0</v>
      </c>
      <c r="I57" t="n">
        <v>0</v>
      </c>
      <c r="J57" t="n">
        <v>0</v>
      </c>
      <c r="K57" t="n">
        <v>0</v>
      </c>
      <c r="L57" t="n">
        <v>0</v>
      </c>
      <c r="M57" t="n">
        <v>0</v>
      </c>
      <c r="N57" t="n">
        <v>0</v>
      </c>
      <c r="O57" t="n">
        <v>0</v>
      </c>
      <c r="P57" t="n">
        <v>0</v>
      </c>
      <c r="Q57" t="n">
        <v>0</v>
      </c>
      <c r="R57" s="2" t="inlineStr"/>
    </row>
    <row r="58" ht="15" customHeight="1">
      <c r="A58" t="inlineStr">
        <is>
          <t>A 63926-2021</t>
        </is>
      </c>
      <c r="B58" s="1" t="n">
        <v>44509</v>
      </c>
      <c r="C58" s="1" t="n">
        <v>46203</v>
      </c>
      <c r="D58" t="inlineStr">
        <is>
          <t>KALMAR LÄN</t>
        </is>
      </c>
      <c r="E58" t="inlineStr">
        <is>
          <t>VIMMERBY</t>
        </is>
      </c>
      <c r="G58" t="n">
        <v>0.7</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46203</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v>
      </c>
      <c r="C60" s="1" t="n">
        <v>46203</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v>
      </c>
      <c r="C61" s="1" t="n">
        <v>46203</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46203</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v>
      </c>
      <c r="C63" s="1" t="n">
        <v>46203</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v>
      </c>
      <c r="C64" s="1" t="n">
        <v>46203</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2183-2022</t>
        </is>
      </c>
      <c r="B65" s="1" t="n">
        <v>44578</v>
      </c>
      <c r="C65" s="1" t="n">
        <v>46203</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v>
      </c>
      <c r="C66" s="1" t="n">
        <v>46203</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46203</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46203</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46203</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v>
      </c>
      <c r="C70" s="1" t="n">
        <v>46203</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v>
      </c>
      <c r="C71" s="1" t="n">
        <v>46203</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46203</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v>
      </c>
      <c r="C73" s="1" t="n">
        <v>46203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64923-2021</t>
        </is>
      </c>
      <c r="B74" s="1" t="n">
        <v>44512</v>
      </c>
      <c r="C74" s="1" t="n">
        <v>46203</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46203</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46203</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4118-2022</t>
        </is>
      </c>
      <c r="B77" s="1" t="n">
        <v>44588</v>
      </c>
      <c r="C77" s="1" t="n">
        <v>46203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4126-2022</t>
        </is>
      </c>
      <c r="B78" s="1" t="n">
        <v>44588</v>
      </c>
      <c r="C78" s="1" t="n">
        <v>46203</v>
      </c>
      <c r="D78" t="inlineStr">
        <is>
          <t>KALMAR LÄN</t>
        </is>
      </c>
      <c r="E78" t="inlineStr">
        <is>
          <t>VIMMERBY</t>
        </is>
      </c>
      <c r="G78" t="n">
        <v>0.6</v>
      </c>
      <c r="H78" t="n">
        <v>0</v>
      </c>
      <c r="I78" t="n">
        <v>0</v>
      </c>
      <c r="J78" t="n">
        <v>0</v>
      </c>
      <c r="K78" t="n">
        <v>0</v>
      </c>
      <c r="L78" t="n">
        <v>0</v>
      </c>
      <c r="M78" t="n">
        <v>0</v>
      </c>
      <c r="N78" t="n">
        <v>0</v>
      </c>
      <c r="O78" t="n">
        <v>0</v>
      </c>
      <c r="P78" t="n">
        <v>0</v>
      </c>
      <c r="Q78" t="n">
        <v>0</v>
      </c>
      <c r="R78" s="2" t="inlineStr"/>
    </row>
    <row r="79" ht="15" customHeight="1">
      <c r="A79" t="inlineStr">
        <is>
          <t>A 33820-2022</t>
        </is>
      </c>
      <c r="B79" s="1" t="n">
        <v>44790</v>
      </c>
      <c r="C79" s="1" t="n">
        <v>46203</v>
      </c>
      <c r="D79" t="inlineStr">
        <is>
          <t>KALMAR LÄN</t>
        </is>
      </c>
      <c r="E79" t="inlineStr">
        <is>
          <t>VIMMERBY</t>
        </is>
      </c>
      <c r="G79" t="n">
        <v>3</v>
      </c>
      <c r="H79" t="n">
        <v>0</v>
      </c>
      <c r="I79" t="n">
        <v>0</v>
      </c>
      <c r="J79" t="n">
        <v>0</v>
      </c>
      <c r="K79" t="n">
        <v>0</v>
      </c>
      <c r="L79" t="n">
        <v>0</v>
      </c>
      <c r="M79" t="n">
        <v>0</v>
      </c>
      <c r="N79" t="n">
        <v>0</v>
      </c>
      <c r="O79" t="n">
        <v>0</v>
      </c>
      <c r="P79" t="n">
        <v>0</v>
      </c>
      <c r="Q79" t="n">
        <v>0</v>
      </c>
      <c r="R79" s="2" t="inlineStr"/>
    </row>
    <row r="80" ht="15" customHeight="1">
      <c r="A80" t="inlineStr">
        <is>
          <t>A 33824-2022</t>
        </is>
      </c>
      <c r="B80" s="1" t="n">
        <v>44790</v>
      </c>
      <c r="C80" s="1" t="n">
        <v>46203</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55297-2021</t>
        </is>
      </c>
      <c r="B81" s="1" t="n">
        <v>44475</v>
      </c>
      <c r="C81" s="1" t="n">
        <v>46203</v>
      </c>
      <c r="D81" t="inlineStr">
        <is>
          <t>KALMAR LÄN</t>
        </is>
      </c>
      <c r="E81" t="inlineStr">
        <is>
          <t>VIMMERBY</t>
        </is>
      </c>
      <c r="G81" t="n">
        <v>4.1</v>
      </c>
      <c r="H81" t="n">
        <v>0</v>
      </c>
      <c r="I81" t="n">
        <v>0</v>
      </c>
      <c r="J81" t="n">
        <v>0</v>
      </c>
      <c r="K81" t="n">
        <v>0</v>
      </c>
      <c r="L81" t="n">
        <v>0</v>
      </c>
      <c r="M81" t="n">
        <v>0</v>
      </c>
      <c r="N81" t="n">
        <v>0</v>
      </c>
      <c r="O81" t="n">
        <v>0</v>
      </c>
      <c r="P81" t="n">
        <v>0</v>
      </c>
      <c r="Q81" t="n">
        <v>0</v>
      </c>
      <c r="R81" s="2" t="inlineStr"/>
    </row>
    <row r="82" ht="15" customHeight="1">
      <c r="A82" t="inlineStr">
        <is>
          <t>A 35531-2021</t>
        </is>
      </c>
      <c r="B82" s="1" t="n">
        <v>44385</v>
      </c>
      <c r="C82" s="1" t="n">
        <v>46203</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38789-2021</t>
        </is>
      </c>
      <c r="B83" s="1" t="n">
        <v>44410</v>
      </c>
      <c r="C83" s="1" t="n">
        <v>46203</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16290-2022</t>
        </is>
      </c>
      <c r="B84" s="1" t="n">
        <v>44670</v>
      </c>
      <c r="C84" s="1" t="n">
        <v>46203</v>
      </c>
      <c r="D84" t="inlineStr">
        <is>
          <t>KALMAR LÄN</t>
        </is>
      </c>
      <c r="E84" t="inlineStr">
        <is>
          <t>VIMMERBY</t>
        </is>
      </c>
      <c r="G84" t="n">
        <v>1.2</v>
      </c>
      <c r="H84" t="n">
        <v>0</v>
      </c>
      <c r="I84" t="n">
        <v>0</v>
      </c>
      <c r="J84" t="n">
        <v>0</v>
      </c>
      <c r="K84" t="n">
        <v>0</v>
      </c>
      <c r="L84" t="n">
        <v>0</v>
      </c>
      <c r="M84" t="n">
        <v>0</v>
      </c>
      <c r="N84" t="n">
        <v>0</v>
      </c>
      <c r="O84" t="n">
        <v>0</v>
      </c>
      <c r="P84" t="n">
        <v>0</v>
      </c>
      <c r="Q84" t="n">
        <v>0</v>
      </c>
      <c r="R84" s="2" t="inlineStr"/>
    </row>
    <row r="85" ht="15" customHeight="1">
      <c r="A85" t="inlineStr">
        <is>
          <t>A 25049-2022</t>
        </is>
      </c>
      <c r="B85" s="1" t="n">
        <v>44729</v>
      </c>
      <c r="C85" s="1" t="n">
        <v>46203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31533-2022</t>
        </is>
      </c>
      <c r="B86" s="1" t="n">
        <v>44774</v>
      </c>
      <c r="C86" s="1" t="n">
        <v>46203</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25859-2022</t>
        </is>
      </c>
      <c r="B87" s="1" t="n">
        <v>44733</v>
      </c>
      <c r="C87" s="1" t="n">
        <v>46203</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25868-2022</t>
        </is>
      </c>
      <c r="B88" s="1" t="n">
        <v>44733</v>
      </c>
      <c r="C88" s="1" t="n">
        <v>46203</v>
      </c>
      <c r="D88" t="inlineStr">
        <is>
          <t>KALMAR LÄN</t>
        </is>
      </c>
      <c r="E88" t="inlineStr">
        <is>
          <t>VIMMERBY</t>
        </is>
      </c>
      <c r="G88" t="n">
        <v>1.7</v>
      </c>
      <c r="H88" t="n">
        <v>0</v>
      </c>
      <c r="I88" t="n">
        <v>0</v>
      </c>
      <c r="J88" t="n">
        <v>0</v>
      </c>
      <c r="K88" t="n">
        <v>0</v>
      </c>
      <c r="L88" t="n">
        <v>0</v>
      </c>
      <c r="M88" t="n">
        <v>0</v>
      </c>
      <c r="N88" t="n">
        <v>0</v>
      </c>
      <c r="O88" t="n">
        <v>0</v>
      </c>
      <c r="P88" t="n">
        <v>0</v>
      </c>
      <c r="Q88" t="n">
        <v>0</v>
      </c>
      <c r="R88" s="2" t="inlineStr"/>
    </row>
    <row r="89" ht="15" customHeight="1">
      <c r="A89" t="inlineStr">
        <is>
          <t>A 35633-2021</t>
        </is>
      </c>
      <c r="B89" s="1" t="n">
        <v>44386</v>
      </c>
      <c r="C89" s="1" t="n">
        <v>46203</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56343-2021</t>
        </is>
      </c>
      <c r="B90" s="1" t="n">
        <v>44480</v>
      </c>
      <c r="C90" s="1" t="n">
        <v>46203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51972-2021</t>
        </is>
      </c>
      <c r="B91" s="1" t="n">
        <v>44463</v>
      </c>
      <c r="C91" s="1" t="n">
        <v>46203</v>
      </c>
      <c r="D91" t="inlineStr">
        <is>
          <t>KALMAR LÄN</t>
        </is>
      </c>
      <c r="E91" t="inlineStr">
        <is>
          <t>VIMMERBY</t>
        </is>
      </c>
      <c r="G91" t="n">
        <v>4.5</v>
      </c>
      <c r="H91" t="n">
        <v>0</v>
      </c>
      <c r="I91" t="n">
        <v>0</v>
      </c>
      <c r="J91" t="n">
        <v>0</v>
      </c>
      <c r="K91" t="n">
        <v>0</v>
      </c>
      <c r="L91" t="n">
        <v>0</v>
      </c>
      <c r="M91" t="n">
        <v>0</v>
      </c>
      <c r="N91" t="n">
        <v>0</v>
      </c>
      <c r="O91" t="n">
        <v>0</v>
      </c>
      <c r="P91" t="n">
        <v>0</v>
      </c>
      <c r="Q91" t="n">
        <v>0</v>
      </c>
      <c r="R91" s="2" t="inlineStr"/>
    </row>
    <row r="92" ht="15" customHeight="1">
      <c r="A92" t="inlineStr">
        <is>
          <t>A 4042-2022</t>
        </is>
      </c>
      <c r="B92" s="1" t="n">
        <v>44588</v>
      </c>
      <c r="C92" s="1" t="n">
        <v>46203</v>
      </c>
      <c r="D92" t="inlineStr">
        <is>
          <t>KALMAR LÄN</t>
        </is>
      </c>
      <c r="E92" t="inlineStr">
        <is>
          <t>VIMMERBY</t>
        </is>
      </c>
      <c r="G92" t="n">
        <v>4.7</v>
      </c>
      <c r="H92" t="n">
        <v>0</v>
      </c>
      <c r="I92" t="n">
        <v>0</v>
      </c>
      <c r="J92" t="n">
        <v>0</v>
      </c>
      <c r="K92" t="n">
        <v>0</v>
      </c>
      <c r="L92" t="n">
        <v>0</v>
      </c>
      <c r="M92" t="n">
        <v>0</v>
      </c>
      <c r="N92" t="n">
        <v>0</v>
      </c>
      <c r="O92" t="n">
        <v>0</v>
      </c>
      <c r="P92" t="n">
        <v>0</v>
      </c>
      <c r="Q92" t="n">
        <v>0</v>
      </c>
      <c r="R92" s="2" t="inlineStr"/>
    </row>
    <row r="93" ht="15" customHeight="1">
      <c r="A93" t="inlineStr">
        <is>
          <t>A 35198-2021</t>
        </is>
      </c>
      <c r="B93" s="1" t="n">
        <v>44377</v>
      </c>
      <c r="C93" s="1" t="n">
        <v>46203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63244-2021</t>
        </is>
      </c>
      <c r="B94" s="1" t="n">
        <v>44508</v>
      </c>
      <c r="C94" s="1" t="n">
        <v>46203</v>
      </c>
      <c r="D94" t="inlineStr">
        <is>
          <t>KALMAR LÄN</t>
        </is>
      </c>
      <c r="E94" t="inlineStr">
        <is>
          <t>VIMMERBY</t>
        </is>
      </c>
      <c r="F94" t="inlineStr">
        <is>
          <t>Övriga statliga verk och myndigheter</t>
        </is>
      </c>
      <c r="G94" t="n">
        <v>0.6</v>
      </c>
      <c r="H94" t="n">
        <v>0</v>
      </c>
      <c r="I94" t="n">
        <v>0</v>
      </c>
      <c r="J94" t="n">
        <v>0</v>
      </c>
      <c r="K94" t="n">
        <v>0</v>
      </c>
      <c r="L94" t="n">
        <v>0</v>
      </c>
      <c r="M94" t="n">
        <v>0</v>
      </c>
      <c r="N94" t="n">
        <v>0</v>
      </c>
      <c r="O94" t="n">
        <v>0</v>
      </c>
      <c r="P94" t="n">
        <v>0</v>
      </c>
      <c r="Q94" t="n">
        <v>0</v>
      </c>
      <c r="R94" s="2" t="inlineStr"/>
    </row>
    <row r="95" ht="15" customHeight="1">
      <c r="A95" t="inlineStr">
        <is>
          <t>A 33690-2022</t>
        </is>
      </c>
      <c r="B95" s="1" t="n">
        <v>44789</v>
      </c>
      <c r="C95" s="1" t="n">
        <v>46203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11814-2022</t>
        </is>
      </c>
      <c r="B96" s="1" t="n">
        <v>44634</v>
      </c>
      <c r="C96" s="1" t="n">
        <v>46203</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56385-2021</t>
        </is>
      </c>
      <c r="B97" s="1" t="n">
        <v>44480</v>
      </c>
      <c r="C97" s="1" t="n">
        <v>46203</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31053-2022</t>
        </is>
      </c>
      <c r="B98" s="1" t="n">
        <v>44769</v>
      </c>
      <c r="C98" s="1" t="n">
        <v>46203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8454-2022</t>
        </is>
      </c>
      <c r="B99" s="1" t="n">
        <v>44612</v>
      </c>
      <c r="C99" s="1" t="n">
        <v>46203</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65887-2021</t>
        </is>
      </c>
      <c r="B100" s="1" t="n">
        <v>44517</v>
      </c>
      <c r="C100" s="1" t="n">
        <v>46203</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7917-2022</t>
        </is>
      </c>
      <c r="B101" s="1" t="n">
        <v>44608</v>
      </c>
      <c r="C101" s="1" t="n">
        <v>46203</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47208-2021</t>
        </is>
      </c>
      <c r="B102" s="1" t="n">
        <v>44447</v>
      </c>
      <c r="C102" s="1" t="n">
        <v>46203</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39959-2022</t>
        </is>
      </c>
      <c r="B103" s="1" t="n">
        <v>44819</v>
      </c>
      <c r="C103" s="1" t="n">
        <v>46203</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56389-2021</t>
        </is>
      </c>
      <c r="B104" s="1" t="n">
        <v>44480</v>
      </c>
      <c r="C104" s="1" t="n">
        <v>46203</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15533-2022</t>
        </is>
      </c>
      <c r="B105" s="1" t="n">
        <v>44662</v>
      </c>
      <c r="C105" s="1" t="n">
        <v>46203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67952-2021</t>
        </is>
      </c>
      <c r="B106" s="1" t="n">
        <v>44525</v>
      </c>
      <c r="C106" s="1" t="n">
        <v>46203</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165-2022</t>
        </is>
      </c>
      <c r="B107" s="1" t="n">
        <v>44564</v>
      </c>
      <c r="C107" s="1" t="n">
        <v>46203</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34040-2021</t>
        </is>
      </c>
      <c r="B108" s="1" t="n">
        <v>44379</v>
      </c>
      <c r="C108" s="1" t="n">
        <v>46203</v>
      </c>
      <c r="D108" t="inlineStr">
        <is>
          <t>KALMAR LÄN</t>
        </is>
      </c>
      <c r="E108" t="inlineStr">
        <is>
          <t>VIMMERBY</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12107-2022</t>
        </is>
      </c>
      <c r="B109" s="1" t="n">
        <v>44636</v>
      </c>
      <c r="C109" s="1" t="n">
        <v>46203</v>
      </c>
      <c r="D109" t="inlineStr">
        <is>
          <t>KALMAR LÄN</t>
        </is>
      </c>
      <c r="E109" t="inlineStr">
        <is>
          <t>VIMMERBY</t>
        </is>
      </c>
      <c r="G109" t="n">
        <v>1.8</v>
      </c>
      <c r="H109" t="n">
        <v>0</v>
      </c>
      <c r="I109" t="n">
        <v>0</v>
      </c>
      <c r="J109" t="n">
        <v>0</v>
      </c>
      <c r="K109" t="n">
        <v>0</v>
      </c>
      <c r="L109" t="n">
        <v>0</v>
      </c>
      <c r="M109" t="n">
        <v>0</v>
      </c>
      <c r="N109" t="n">
        <v>0</v>
      </c>
      <c r="O109" t="n">
        <v>0</v>
      </c>
      <c r="P109" t="n">
        <v>0</v>
      </c>
      <c r="Q109" t="n">
        <v>0</v>
      </c>
      <c r="R109" s="2" t="inlineStr"/>
    </row>
    <row r="110" ht="15" customHeight="1">
      <c r="A110" t="inlineStr">
        <is>
          <t>A 39225-2022</t>
        </is>
      </c>
      <c r="B110" s="1" t="n">
        <v>44817</v>
      </c>
      <c r="C110" s="1" t="n">
        <v>46203</v>
      </c>
      <c r="D110" t="inlineStr">
        <is>
          <t>KALMAR LÄN</t>
        </is>
      </c>
      <c r="E110" t="inlineStr">
        <is>
          <t>VIMMERBY</t>
        </is>
      </c>
      <c r="G110" t="n">
        <v>2.2</v>
      </c>
      <c r="H110" t="n">
        <v>0</v>
      </c>
      <c r="I110" t="n">
        <v>0</v>
      </c>
      <c r="J110" t="n">
        <v>0</v>
      </c>
      <c r="K110" t="n">
        <v>0</v>
      </c>
      <c r="L110" t="n">
        <v>0</v>
      </c>
      <c r="M110" t="n">
        <v>0</v>
      </c>
      <c r="N110" t="n">
        <v>0</v>
      </c>
      <c r="O110" t="n">
        <v>0</v>
      </c>
      <c r="P110" t="n">
        <v>0</v>
      </c>
      <c r="Q110" t="n">
        <v>0</v>
      </c>
      <c r="R110" s="2" t="inlineStr"/>
    </row>
    <row r="111" ht="15" customHeight="1">
      <c r="A111" t="inlineStr">
        <is>
          <t>A 17029-2022</t>
        </is>
      </c>
      <c r="B111" s="1" t="n">
        <v>44676</v>
      </c>
      <c r="C111" s="1" t="n">
        <v>46203</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7167-2022</t>
        </is>
      </c>
      <c r="B112" s="1" t="n">
        <v>44604</v>
      </c>
      <c r="C112" s="1" t="n">
        <v>46203</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35001-2021</t>
        </is>
      </c>
      <c r="B113" s="1" t="n">
        <v>44383</v>
      </c>
      <c r="C113" s="1" t="n">
        <v>46203</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55674-2021</t>
        </is>
      </c>
      <c r="B114" s="1" t="n">
        <v>44476</v>
      </c>
      <c r="C114" s="1" t="n">
        <v>46203</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40077-2021</t>
        </is>
      </c>
      <c r="B115" s="1" t="n">
        <v>44418</v>
      </c>
      <c r="C115" s="1" t="n">
        <v>46203</v>
      </c>
      <c r="D115" t="inlineStr">
        <is>
          <t>KALMAR LÄN</t>
        </is>
      </c>
      <c r="E115" t="inlineStr">
        <is>
          <t>VIMMERBY</t>
        </is>
      </c>
      <c r="G115" t="n">
        <v>2.9</v>
      </c>
      <c r="H115" t="n">
        <v>0</v>
      </c>
      <c r="I115" t="n">
        <v>0</v>
      </c>
      <c r="J115" t="n">
        <v>0</v>
      </c>
      <c r="K115" t="n">
        <v>0</v>
      </c>
      <c r="L115" t="n">
        <v>0</v>
      </c>
      <c r="M115" t="n">
        <v>0</v>
      </c>
      <c r="N115" t="n">
        <v>0</v>
      </c>
      <c r="O115" t="n">
        <v>0</v>
      </c>
      <c r="P115" t="n">
        <v>0</v>
      </c>
      <c r="Q115" t="n">
        <v>0</v>
      </c>
      <c r="R115" s="2" t="inlineStr"/>
    </row>
    <row r="116" ht="15" customHeight="1">
      <c r="A116" t="inlineStr">
        <is>
          <t>A 47769-2022</t>
        </is>
      </c>
      <c r="B116" s="1" t="n">
        <v>44854</v>
      </c>
      <c r="C116" s="1" t="n">
        <v>46203</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48377-2021</t>
        </is>
      </c>
      <c r="B117" s="1" t="n">
        <v>44451</v>
      </c>
      <c r="C117" s="1" t="n">
        <v>46203</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40472-2022</t>
        </is>
      </c>
      <c r="B118" s="1" t="n">
        <v>44823</v>
      </c>
      <c r="C118" s="1" t="n">
        <v>46203</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35316-2021</t>
        </is>
      </c>
      <c r="B119" s="1" t="n">
        <v>44384</v>
      </c>
      <c r="C119" s="1" t="n">
        <v>46203</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47708-2022</t>
        </is>
      </c>
      <c r="B120" s="1" t="n">
        <v>44854</v>
      </c>
      <c r="C120" s="1" t="n">
        <v>46203</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33831-2022</t>
        </is>
      </c>
      <c r="B121" s="1" t="n">
        <v>44790</v>
      </c>
      <c r="C121" s="1" t="n">
        <v>46203</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9918-2022</t>
        </is>
      </c>
      <c r="B122" s="1" t="n">
        <v>44620</v>
      </c>
      <c r="C122" s="1" t="n">
        <v>46203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23825-2022</t>
        </is>
      </c>
      <c r="B123" s="1" t="n">
        <v>44722</v>
      </c>
      <c r="C123" s="1" t="n">
        <v>46203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41056-2022</t>
        </is>
      </c>
      <c r="B124" s="1" t="n">
        <v>44824</v>
      </c>
      <c r="C124" s="1" t="n">
        <v>46203</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27455-2022</t>
        </is>
      </c>
      <c r="B125" s="1" t="n">
        <v>44742</v>
      </c>
      <c r="C125" s="1" t="n">
        <v>46203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36117-2021</t>
        </is>
      </c>
      <c r="B126" s="1" t="n">
        <v>44386</v>
      </c>
      <c r="C126" s="1" t="n">
        <v>46203</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42521-2021</t>
        </is>
      </c>
      <c r="B127" s="1" t="n">
        <v>44427</v>
      </c>
      <c r="C127" s="1" t="n">
        <v>46203</v>
      </c>
      <c r="D127" t="inlineStr">
        <is>
          <t>KALMAR LÄN</t>
        </is>
      </c>
      <c r="E127" t="inlineStr">
        <is>
          <t>VIMMERBY</t>
        </is>
      </c>
      <c r="G127" t="n">
        <v>5.4</v>
      </c>
      <c r="H127" t="n">
        <v>0</v>
      </c>
      <c r="I127" t="n">
        <v>0</v>
      </c>
      <c r="J127" t="n">
        <v>0</v>
      </c>
      <c r="K127" t="n">
        <v>0</v>
      </c>
      <c r="L127" t="n">
        <v>0</v>
      </c>
      <c r="M127" t="n">
        <v>0</v>
      </c>
      <c r="N127" t="n">
        <v>0</v>
      </c>
      <c r="O127" t="n">
        <v>0</v>
      </c>
      <c r="P127" t="n">
        <v>0</v>
      </c>
      <c r="Q127" t="n">
        <v>0</v>
      </c>
      <c r="R127" s="2" t="inlineStr"/>
    </row>
    <row r="128" ht="15" customHeight="1">
      <c r="A128" t="inlineStr">
        <is>
          <t>A 46964-2022</t>
        </is>
      </c>
      <c r="B128" s="1" t="n">
        <v>44851</v>
      </c>
      <c r="C128" s="1" t="n">
        <v>46203</v>
      </c>
      <c r="D128" t="inlineStr">
        <is>
          <t>KALMAR LÄN</t>
        </is>
      </c>
      <c r="E128" t="inlineStr">
        <is>
          <t>VIMMERBY</t>
        </is>
      </c>
      <c r="G128" t="n">
        <v>0.2</v>
      </c>
      <c r="H128" t="n">
        <v>0</v>
      </c>
      <c r="I128" t="n">
        <v>0</v>
      </c>
      <c r="J128" t="n">
        <v>0</v>
      </c>
      <c r="K128" t="n">
        <v>0</v>
      </c>
      <c r="L128" t="n">
        <v>0</v>
      </c>
      <c r="M128" t="n">
        <v>0</v>
      </c>
      <c r="N128" t="n">
        <v>0</v>
      </c>
      <c r="O128" t="n">
        <v>0</v>
      </c>
      <c r="P128" t="n">
        <v>0</v>
      </c>
      <c r="Q128" t="n">
        <v>0</v>
      </c>
      <c r="R128" s="2" t="inlineStr"/>
    </row>
    <row r="129" ht="15" customHeight="1">
      <c r="A129" t="inlineStr">
        <is>
          <t>A 13180-2022</t>
        </is>
      </c>
      <c r="B129" s="1" t="n">
        <v>44644</v>
      </c>
      <c r="C129" s="1" t="n">
        <v>46203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46203</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v>
      </c>
      <c r="C131" s="1" t="n">
        <v>46203</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v>
      </c>
      <c r="C132" s="1" t="n">
        <v>46203</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46203</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46203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54065-2021</t>
        </is>
      </c>
      <c r="B135" s="1" t="n">
        <v>44470</v>
      </c>
      <c r="C135" s="1" t="n">
        <v>46203</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8453-2022</t>
        </is>
      </c>
      <c r="B136" s="1" t="n">
        <v>44612</v>
      </c>
      <c r="C136" s="1" t="n">
        <v>46203</v>
      </c>
      <c r="D136" t="inlineStr">
        <is>
          <t>KALMAR LÄN</t>
        </is>
      </c>
      <c r="E136" t="inlineStr">
        <is>
          <t>VIMMERBY</t>
        </is>
      </c>
      <c r="G136" t="n">
        <v>1.7</v>
      </c>
      <c r="H136" t="n">
        <v>0</v>
      </c>
      <c r="I136" t="n">
        <v>0</v>
      </c>
      <c r="J136" t="n">
        <v>0</v>
      </c>
      <c r="K136" t="n">
        <v>0</v>
      </c>
      <c r="L136" t="n">
        <v>0</v>
      </c>
      <c r="M136" t="n">
        <v>0</v>
      </c>
      <c r="N136" t="n">
        <v>0</v>
      </c>
      <c r="O136" t="n">
        <v>0</v>
      </c>
      <c r="P136" t="n">
        <v>0</v>
      </c>
      <c r="Q136" t="n">
        <v>0</v>
      </c>
      <c r="R136" s="2" t="inlineStr"/>
    </row>
    <row r="137" ht="15" customHeight="1">
      <c r="A137" t="inlineStr">
        <is>
          <t>A 52433-2021</t>
        </is>
      </c>
      <c r="B137" s="1" t="n">
        <v>44466</v>
      </c>
      <c r="C137" s="1" t="n">
        <v>46203</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46203</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11733-2022</t>
        </is>
      </c>
      <c r="B139" s="1" t="n">
        <v>44634</v>
      </c>
      <c r="C139" s="1" t="n">
        <v>46203</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50621-2022</t>
        </is>
      </c>
      <c r="B140" s="1" t="n">
        <v>44866</v>
      </c>
      <c r="C140" s="1" t="n">
        <v>46203</v>
      </c>
      <c r="D140" t="inlineStr">
        <is>
          <t>KALMAR LÄN</t>
        </is>
      </c>
      <c r="E140" t="inlineStr">
        <is>
          <t>VIMMERBY</t>
        </is>
      </c>
      <c r="F140" t="inlineStr">
        <is>
          <t>Övriga Aktiebolag</t>
        </is>
      </c>
      <c r="G140" t="n">
        <v>5.1</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v>
      </c>
      <c r="C141" s="1" t="n">
        <v>46203</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46203</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29441-2024</t>
        </is>
      </c>
      <c r="B143" s="1" t="n">
        <v>45483</v>
      </c>
      <c r="C143" s="1" t="n">
        <v>46203</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25728-2023</t>
        </is>
      </c>
      <c r="B144" s="1" t="n">
        <v>45090</v>
      </c>
      <c r="C144" s="1" t="n">
        <v>46203</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52435-2021</t>
        </is>
      </c>
      <c r="B145" s="1" t="n">
        <v>44466</v>
      </c>
      <c r="C145" s="1" t="n">
        <v>46203</v>
      </c>
      <c r="D145" t="inlineStr">
        <is>
          <t>KALMAR LÄN</t>
        </is>
      </c>
      <c r="E145" t="inlineStr">
        <is>
          <t>VIMMERBY</t>
        </is>
      </c>
      <c r="G145" t="n">
        <v>2.8</v>
      </c>
      <c r="H145" t="n">
        <v>0</v>
      </c>
      <c r="I145" t="n">
        <v>0</v>
      </c>
      <c r="J145" t="n">
        <v>0</v>
      </c>
      <c r="K145" t="n">
        <v>0</v>
      </c>
      <c r="L145" t="n">
        <v>0</v>
      </c>
      <c r="M145" t="n">
        <v>0</v>
      </c>
      <c r="N145" t="n">
        <v>0</v>
      </c>
      <c r="O145" t="n">
        <v>0</v>
      </c>
      <c r="P145" t="n">
        <v>0</v>
      </c>
      <c r="Q145" t="n">
        <v>0</v>
      </c>
      <c r="R145" s="2" t="inlineStr"/>
    </row>
    <row r="146" ht="15" customHeight="1">
      <c r="A146" t="inlineStr">
        <is>
          <t>A 29093-2023</t>
        </is>
      </c>
      <c r="B146" s="1" t="n">
        <v>45105</v>
      </c>
      <c r="C146" s="1" t="n">
        <v>46203</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55716-2023</t>
        </is>
      </c>
      <c r="B147" s="1" t="n">
        <v>45232</v>
      </c>
      <c r="C147" s="1" t="n">
        <v>46203</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34386-2024</t>
        </is>
      </c>
      <c r="B148" s="1" t="n">
        <v>45525</v>
      </c>
      <c r="C148" s="1" t="n">
        <v>46203</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42429-2024</t>
        </is>
      </c>
      <c r="B149" s="1" t="n">
        <v>45565</v>
      </c>
      <c r="C149" s="1" t="n">
        <v>46203</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33359-2021</t>
        </is>
      </c>
      <c r="B150" s="1" t="n">
        <v>44377</v>
      </c>
      <c r="C150" s="1" t="n">
        <v>46203</v>
      </c>
      <c r="D150" t="inlineStr">
        <is>
          <t>KALMAR LÄN</t>
        </is>
      </c>
      <c r="E150" t="inlineStr">
        <is>
          <t>VIMMERBY</t>
        </is>
      </c>
      <c r="F150" t="inlineStr">
        <is>
          <t>Kommuner</t>
        </is>
      </c>
      <c r="G150" t="n">
        <v>8</v>
      </c>
      <c r="H150" t="n">
        <v>0</v>
      </c>
      <c r="I150" t="n">
        <v>0</v>
      </c>
      <c r="J150" t="n">
        <v>0</v>
      </c>
      <c r="K150" t="n">
        <v>0</v>
      </c>
      <c r="L150" t="n">
        <v>0</v>
      </c>
      <c r="M150" t="n">
        <v>0</v>
      </c>
      <c r="N150" t="n">
        <v>0</v>
      </c>
      <c r="O150" t="n">
        <v>0</v>
      </c>
      <c r="P150" t="n">
        <v>0</v>
      </c>
      <c r="Q150" t="n">
        <v>0</v>
      </c>
      <c r="R150" s="2" t="inlineStr"/>
    </row>
    <row r="151" ht="15" customHeight="1">
      <c r="A151" t="inlineStr">
        <is>
          <t>A 43038-2022</t>
        </is>
      </c>
      <c r="B151" s="1" t="n">
        <v>44833</v>
      </c>
      <c r="C151" s="1" t="n">
        <v>46203</v>
      </c>
      <c r="D151" t="inlineStr">
        <is>
          <t>KALMAR LÄN</t>
        </is>
      </c>
      <c r="E151" t="inlineStr">
        <is>
          <t>VIMMERBY</t>
        </is>
      </c>
      <c r="G151" t="n">
        <v>4.2</v>
      </c>
      <c r="H151" t="n">
        <v>0</v>
      </c>
      <c r="I151" t="n">
        <v>0</v>
      </c>
      <c r="J151" t="n">
        <v>0</v>
      </c>
      <c r="K151" t="n">
        <v>0</v>
      </c>
      <c r="L151" t="n">
        <v>0</v>
      </c>
      <c r="M151" t="n">
        <v>0</v>
      </c>
      <c r="N151" t="n">
        <v>0</v>
      </c>
      <c r="O151" t="n">
        <v>0</v>
      </c>
      <c r="P151" t="n">
        <v>0</v>
      </c>
      <c r="Q151" t="n">
        <v>0</v>
      </c>
      <c r="R151" s="2" t="inlineStr"/>
    </row>
    <row r="152" ht="15" customHeight="1">
      <c r="A152" t="inlineStr">
        <is>
          <t>A 50087-2023</t>
        </is>
      </c>
      <c r="B152" s="1" t="n">
        <v>45215</v>
      </c>
      <c r="C152" s="1" t="n">
        <v>46203</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33681-2022</t>
        </is>
      </c>
      <c r="B153" s="1" t="n">
        <v>44789</v>
      </c>
      <c r="C153" s="1" t="n">
        <v>46203</v>
      </c>
      <c r="D153" t="inlineStr">
        <is>
          <t>KALMAR LÄN</t>
        </is>
      </c>
      <c r="E153" t="inlineStr">
        <is>
          <t>VIMMERBY</t>
        </is>
      </c>
      <c r="G153" t="n">
        <v>3.2</v>
      </c>
      <c r="H153" t="n">
        <v>0</v>
      </c>
      <c r="I153" t="n">
        <v>0</v>
      </c>
      <c r="J153" t="n">
        <v>0</v>
      </c>
      <c r="K153" t="n">
        <v>0</v>
      </c>
      <c r="L153" t="n">
        <v>0</v>
      </c>
      <c r="M153" t="n">
        <v>0</v>
      </c>
      <c r="N153" t="n">
        <v>0</v>
      </c>
      <c r="O153" t="n">
        <v>0</v>
      </c>
      <c r="P153" t="n">
        <v>0</v>
      </c>
      <c r="Q153" t="n">
        <v>0</v>
      </c>
      <c r="R153" s="2" t="inlineStr"/>
    </row>
    <row r="154" ht="15" customHeight="1">
      <c r="A154" t="inlineStr">
        <is>
          <t>A 59943-2023</t>
        </is>
      </c>
      <c r="B154" s="1" t="n">
        <v>45257</v>
      </c>
      <c r="C154" s="1" t="n">
        <v>46203</v>
      </c>
      <c r="D154" t="inlineStr">
        <is>
          <t>KALMAR LÄN</t>
        </is>
      </c>
      <c r="E154" t="inlineStr">
        <is>
          <t>VIMMERBY</t>
        </is>
      </c>
      <c r="G154" t="n">
        <v>6.4</v>
      </c>
      <c r="H154" t="n">
        <v>0</v>
      </c>
      <c r="I154" t="n">
        <v>0</v>
      </c>
      <c r="J154" t="n">
        <v>0</v>
      </c>
      <c r="K154" t="n">
        <v>0</v>
      </c>
      <c r="L154" t="n">
        <v>0</v>
      </c>
      <c r="M154" t="n">
        <v>0</v>
      </c>
      <c r="N154" t="n">
        <v>0</v>
      </c>
      <c r="O154" t="n">
        <v>0</v>
      </c>
      <c r="P154" t="n">
        <v>0</v>
      </c>
      <c r="Q154" t="n">
        <v>0</v>
      </c>
      <c r="R154" s="2" t="inlineStr"/>
    </row>
    <row r="155" ht="15" customHeight="1">
      <c r="A155" t="inlineStr">
        <is>
          <t>A 15493-2023</t>
        </is>
      </c>
      <c r="B155" s="1" t="n">
        <v>45018</v>
      </c>
      <c r="C155" s="1" t="n">
        <v>46203</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51881-2024</t>
        </is>
      </c>
      <c r="B156" s="1" t="n">
        <v>45607</v>
      </c>
      <c r="C156" s="1" t="n">
        <v>46203</v>
      </c>
      <c r="D156" t="inlineStr">
        <is>
          <t>KALMAR LÄN</t>
        </is>
      </c>
      <c r="E156" t="inlineStr">
        <is>
          <t>VIMMERBY</t>
        </is>
      </c>
      <c r="G156" t="n">
        <v>3.4</v>
      </c>
      <c r="H156" t="n">
        <v>0</v>
      </c>
      <c r="I156" t="n">
        <v>0</v>
      </c>
      <c r="J156" t="n">
        <v>0</v>
      </c>
      <c r="K156" t="n">
        <v>0</v>
      </c>
      <c r="L156" t="n">
        <v>0</v>
      </c>
      <c r="M156" t="n">
        <v>0</v>
      </c>
      <c r="N156" t="n">
        <v>0</v>
      </c>
      <c r="O156" t="n">
        <v>0</v>
      </c>
      <c r="P156" t="n">
        <v>0</v>
      </c>
      <c r="Q156" t="n">
        <v>0</v>
      </c>
      <c r="R156" s="2" t="inlineStr"/>
    </row>
    <row r="157" ht="15" customHeight="1">
      <c r="A157" t="inlineStr">
        <is>
          <t>A 1021-2024</t>
        </is>
      </c>
      <c r="B157" s="1" t="n">
        <v>45301</v>
      </c>
      <c r="C157" s="1" t="n">
        <v>46203</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32569-2024</t>
        </is>
      </c>
      <c r="B158" s="1" t="n">
        <v>45513</v>
      </c>
      <c r="C158" s="1" t="n">
        <v>46203</v>
      </c>
      <c r="D158" t="inlineStr">
        <is>
          <t>KALMAR LÄN</t>
        </is>
      </c>
      <c r="E158" t="inlineStr">
        <is>
          <t>VIMMERBY</t>
        </is>
      </c>
      <c r="G158" t="n">
        <v>3.7</v>
      </c>
      <c r="H158" t="n">
        <v>0</v>
      </c>
      <c r="I158" t="n">
        <v>0</v>
      </c>
      <c r="J158" t="n">
        <v>0</v>
      </c>
      <c r="K158" t="n">
        <v>0</v>
      </c>
      <c r="L158" t="n">
        <v>0</v>
      </c>
      <c r="M158" t="n">
        <v>0</v>
      </c>
      <c r="N158" t="n">
        <v>0</v>
      </c>
      <c r="O158" t="n">
        <v>0</v>
      </c>
      <c r="P158" t="n">
        <v>0</v>
      </c>
      <c r="Q158" t="n">
        <v>0</v>
      </c>
      <c r="R158" s="2" t="inlineStr"/>
    </row>
    <row r="159" ht="15" customHeight="1">
      <c r="A159" t="inlineStr">
        <is>
          <t>A 32575-2024</t>
        </is>
      </c>
      <c r="B159" s="1" t="n">
        <v>45513</v>
      </c>
      <c r="C159" s="1" t="n">
        <v>46203</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30063-2023</t>
        </is>
      </c>
      <c r="B160" s="1" t="n">
        <v>45110</v>
      </c>
      <c r="C160" s="1" t="n">
        <v>46203</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17482-2024</t>
        </is>
      </c>
      <c r="B161" s="1" t="n">
        <v>45415</v>
      </c>
      <c r="C161" s="1" t="n">
        <v>46203</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13817-2024</t>
        </is>
      </c>
      <c r="B162" s="1" t="n">
        <v>45391</v>
      </c>
      <c r="C162" s="1" t="n">
        <v>46203</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30406-2023</t>
        </is>
      </c>
      <c r="B163" s="1" t="n">
        <v>45111</v>
      </c>
      <c r="C163" s="1" t="n">
        <v>46203</v>
      </c>
      <c r="D163" t="inlineStr">
        <is>
          <t>KALMAR LÄN</t>
        </is>
      </c>
      <c r="E163" t="inlineStr">
        <is>
          <t>VIMMERBY</t>
        </is>
      </c>
      <c r="G163" t="n">
        <v>2.4</v>
      </c>
      <c r="H163" t="n">
        <v>0</v>
      </c>
      <c r="I163" t="n">
        <v>0</v>
      </c>
      <c r="J163" t="n">
        <v>0</v>
      </c>
      <c r="K163" t="n">
        <v>0</v>
      </c>
      <c r="L163" t="n">
        <v>0</v>
      </c>
      <c r="M163" t="n">
        <v>0</v>
      </c>
      <c r="N163" t="n">
        <v>0</v>
      </c>
      <c r="O163" t="n">
        <v>0</v>
      </c>
      <c r="P163" t="n">
        <v>0</v>
      </c>
      <c r="Q163" t="n">
        <v>0</v>
      </c>
      <c r="R163" s="2" t="inlineStr"/>
    </row>
    <row r="164" ht="15" customHeight="1">
      <c r="A164" t="inlineStr">
        <is>
          <t>A 16825-2024</t>
        </is>
      </c>
      <c r="B164" s="1" t="n">
        <v>45411</v>
      </c>
      <c r="C164" s="1" t="n">
        <v>46203</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29020-2024</t>
        </is>
      </c>
      <c r="B165" s="1" t="n">
        <v>45481</v>
      </c>
      <c r="C165" s="1" t="n">
        <v>46203</v>
      </c>
      <c r="D165" t="inlineStr">
        <is>
          <t>KALMAR LÄN</t>
        </is>
      </c>
      <c r="E165" t="inlineStr">
        <is>
          <t>VIMMERBY</t>
        </is>
      </c>
      <c r="G165" t="n">
        <v>2.3</v>
      </c>
      <c r="H165" t="n">
        <v>0</v>
      </c>
      <c r="I165" t="n">
        <v>0</v>
      </c>
      <c r="J165" t="n">
        <v>0</v>
      </c>
      <c r="K165" t="n">
        <v>0</v>
      </c>
      <c r="L165" t="n">
        <v>0</v>
      </c>
      <c r="M165" t="n">
        <v>0</v>
      </c>
      <c r="N165" t="n">
        <v>0</v>
      </c>
      <c r="O165" t="n">
        <v>0</v>
      </c>
      <c r="P165" t="n">
        <v>0</v>
      </c>
      <c r="Q165" t="n">
        <v>0</v>
      </c>
      <c r="R165" s="2" t="inlineStr"/>
    </row>
    <row r="166" ht="15" customHeight="1">
      <c r="A166" t="inlineStr">
        <is>
          <t>A 48408-2025</t>
        </is>
      </c>
      <c r="B166" s="1" t="n">
        <v>45934</v>
      </c>
      <c r="C166" s="1" t="n">
        <v>46203</v>
      </c>
      <c r="D166" t="inlineStr">
        <is>
          <t>KALMAR LÄN</t>
        </is>
      </c>
      <c r="E166" t="inlineStr">
        <is>
          <t>VIMMERBY</t>
        </is>
      </c>
      <c r="G166" t="n">
        <v>2.4</v>
      </c>
      <c r="H166" t="n">
        <v>0</v>
      </c>
      <c r="I166" t="n">
        <v>0</v>
      </c>
      <c r="J166" t="n">
        <v>0</v>
      </c>
      <c r="K166" t="n">
        <v>0</v>
      </c>
      <c r="L166" t="n">
        <v>0</v>
      </c>
      <c r="M166" t="n">
        <v>0</v>
      </c>
      <c r="N166" t="n">
        <v>0</v>
      </c>
      <c r="O166" t="n">
        <v>0</v>
      </c>
      <c r="P166" t="n">
        <v>0</v>
      </c>
      <c r="Q166" t="n">
        <v>0</v>
      </c>
      <c r="R166" s="2" t="inlineStr"/>
    </row>
    <row r="167" ht="15" customHeight="1">
      <c r="A167" t="inlineStr">
        <is>
          <t>A 38604-2025</t>
        </is>
      </c>
      <c r="B167" s="1" t="n">
        <v>45884</v>
      </c>
      <c r="C167" s="1" t="n">
        <v>46203</v>
      </c>
      <c r="D167" t="inlineStr">
        <is>
          <t>KALMAR LÄN</t>
        </is>
      </c>
      <c r="E167" t="inlineStr">
        <is>
          <t>VIMMERBY</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25582-2024</t>
        </is>
      </c>
      <c r="B168" s="1" t="n">
        <v>45463</v>
      </c>
      <c r="C168" s="1" t="n">
        <v>46203</v>
      </c>
      <c r="D168" t="inlineStr">
        <is>
          <t>KALMAR LÄN</t>
        </is>
      </c>
      <c r="E168" t="inlineStr">
        <is>
          <t>VIMMERBY</t>
        </is>
      </c>
      <c r="G168" t="n">
        <v>1.4</v>
      </c>
      <c r="H168" t="n">
        <v>0</v>
      </c>
      <c r="I168" t="n">
        <v>0</v>
      </c>
      <c r="J168" t="n">
        <v>0</v>
      </c>
      <c r="K168" t="n">
        <v>0</v>
      </c>
      <c r="L168" t="n">
        <v>0</v>
      </c>
      <c r="M168" t="n">
        <v>0</v>
      </c>
      <c r="N168" t="n">
        <v>0</v>
      </c>
      <c r="O168" t="n">
        <v>0</v>
      </c>
      <c r="P168" t="n">
        <v>0</v>
      </c>
      <c r="Q168" t="n">
        <v>0</v>
      </c>
      <c r="R168" s="2" t="inlineStr"/>
    </row>
    <row r="169" ht="15" customHeight="1">
      <c r="A169" t="inlineStr">
        <is>
          <t>A 57578-2024</t>
        </is>
      </c>
      <c r="B169" s="1" t="n">
        <v>45630</v>
      </c>
      <c r="C169" s="1" t="n">
        <v>46203</v>
      </c>
      <c r="D169" t="inlineStr">
        <is>
          <t>KALMAR LÄN</t>
        </is>
      </c>
      <c r="E169" t="inlineStr">
        <is>
          <t>VIMMERBY</t>
        </is>
      </c>
      <c r="G169" t="n">
        <v>2.6</v>
      </c>
      <c r="H169" t="n">
        <v>0</v>
      </c>
      <c r="I169" t="n">
        <v>0</v>
      </c>
      <c r="J169" t="n">
        <v>0</v>
      </c>
      <c r="K169" t="n">
        <v>0</v>
      </c>
      <c r="L169" t="n">
        <v>0</v>
      </c>
      <c r="M169" t="n">
        <v>0</v>
      </c>
      <c r="N169" t="n">
        <v>0</v>
      </c>
      <c r="O169" t="n">
        <v>0</v>
      </c>
      <c r="P169" t="n">
        <v>0</v>
      </c>
      <c r="Q169" t="n">
        <v>0</v>
      </c>
      <c r="R169" s="2" t="inlineStr"/>
    </row>
    <row r="170" ht="15" customHeight="1">
      <c r="A170" t="inlineStr">
        <is>
          <t>A 12033-2024</t>
        </is>
      </c>
      <c r="B170" s="1" t="n">
        <v>45377</v>
      </c>
      <c r="C170" s="1" t="n">
        <v>46203</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49408-2023</t>
        </is>
      </c>
      <c r="B171" s="1" t="n">
        <v>45211</v>
      </c>
      <c r="C171" s="1" t="n">
        <v>46203</v>
      </c>
      <c r="D171" t="inlineStr">
        <is>
          <t>KALMAR LÄN</t>
        </is>
      </c>
      <c r="E171" t="inlineStr">
        <is>
          <t>VIMMERBY</t>
        </is>
      </c>
      <c r="G171" t="n">
        <v>13.1</v>
      </c>
      <c r="H171" t="n">
        <v>0</v>
      </c>
      <c r="I171" t="n">
        <v>0</v>
      </c>
      <c r="J171" t="n">
        <v>0</v>
      </c>
      <c r="K171" t="n">
        <v>0</v>
      </c>
      <c r="L171" t="n">
        <v>0</v>
      </c>
      <c r="M171" t="n">
        <v>0</v>
      </c>
      <c r="N171" t="n">
        <v>0</v>
      </c>
      <c r="O171" t="n">
        <v>0</v>
      </c>
      <c r="P171" t="n">
        <v>0</v>
      </c>
      <c r="Q171" t="n">
        <v>0</v>
      </c>
      <c r="R171" s="2" t="inlineStr"/>
    </row>
    <row r="172" ht="15" customHeight="1">
      <c r="A172" t="inlineStr">
        <is>
          <t>A 27443-2023</t>
        </is>
      </c>
      <c r="B172" s="1" t="n">
        <v>45097</v>
      </c>
      <c r="C172" s="1" t="n">
        <v>46203</v>
      </c>
      <c r="D172" t="inlineStr">
        <is>
          <t>KALMAR LÄN</t>
        </is>
      </c>
      <c r="E172" t="inlineStr">
        <is>
          <t>VIMMERBY</t>
        </is>
      </c>
      <c r="F172" t="inlineStr">
        <is>
          <t>Övriga Aktiebolag</t>
        </is>
      </c>
      <c r="G172" t="n">
        <v>2.3</v>
      </c>
      <c r="H172" t="n">
        <v>0</v>
      </c>
      <c r="I172" t="n">
        <v>0</v>
      </c>
      <c r="J172" t="n">
        <v>0</v>
      </c>
      <c r="K172" t="n">
        <v>0</v>
      </c>
      <c r="L172" t="n">
        <v>0</v>
      </c>
      <c r="M172" t="n">
        <v>0</v>
      </c>
      <c r="N172" t="n">
        <v>0</v>
      </c>
      <c r="O172" t="n">
        <v>0</v>
      </c>
      <c r="P172" t="n">
        <v>0</v>
      </c>
      <c r="Q172" t="n">
        <v>0</v>
      </c>
      <c r="R172" s="2" t="inlineStr"/>
    </row>
    <row r="173" ht="15" customHeight="1">
      <c r="A173" t="inlineStr">
        <is>
          <t>A 28395-2023</t>
        </is>
      </c>
      <c r="B173" s="1" t="n">
        <v>45100</v>
      </c>
      <c r="C173" s="1" t="n">
        <v>46203</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18501-2024</t>
        </is>
      </c>
      <c r="B174" s="1" t="n">
        <v>45425</v>
      </c>
      <c r="C174" s="1" t="n">
        <v>46203</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11442-2025</t>
        </is>
      </c>
      <c r="B175" s="1" t="n">
        <v>45726</v>
      </c>
      <c r="C175" s="1" t="n">
        <v>46203</v>
      </c>
      <c r="D175" t="inlineStr">
        <is>
          <t>KALMAR LÄN</t>
        </is>
      </c>
      <c r="E175" t="inlineStr">
        <is>
          <t>VIMMERBY</t>
        </is>
      </c>
      <c r="G175" t="n">
        <v>2.6</v>
      </c>
      <c r="H175" t="n">
        <v>0</v>
      </c>
      <c r="I175" t="n">
        <v>0</v>
      </c>
      <c r="J175" t="n">
        <v>0</v>
      </c>
      <c r="K175" t="n">
        <v>0</v>
      </c>
      <c r="L175" t="n">
        <v>0</v>
      </c>
      <c r="M175" t="n">
        <v>0</v>
      </c>
      <c r="N175" t="n">
        <v>0</v>
      </c>
      <c r="O175" t="n">
        <v>0</v>
      </c>
      <c r="P175" t="n">
        <v>0</v>
      </c>
      <c r="Q175" t="n">
        <v>0</v>
      </c>
      <c r="R175" s="2" t="inlineStr"/>
    </row>
    <row r="176" ht="15" customHeight="1">
      <c r="A176" t="inlineStr">
        <is>
          <t>A 51062-2025</t>
        </is>
      </c>
      <c r="B176" s="1" t="n">
        <v>45947</v>
      </c>
      <c r="C176" s="1" t="n">
        <v>46203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6307-2025</t>
        </is>
      </c>
      <c r="B177" s="1" t="n">
        <v>45698</v>
      </c>
      <c r="C177" s="1" t="n">
        <v>46203</v>
      </c>
      <c r="D177" t="inlineStr">
        <is>
          <t>KALMAR LÄN</t>
        </is>
      </c>
      <c r="E177" t="inlineStr">
        <is>
          <t>VIMMERBY</t>
        </is>
      </c>
      <c r="G177" t="n">
        <v>3</v>
      </c>
      <c r="H177" t="n">
        <v>0</v>
      </c>
      <c r="I177" t="n">
        <v>0</v>
      </c>
      <c r="J177" t="n">
        <v>0</v>
      </c>
      <c r="K177" t="n">
        <v>0</v>
      </c>
      <c r="L177" t="n">
        <v>0</v>
      </c>
      <c r="M177" t="n">
        <v>0</v>
      </c>
      <c r="N177" t="n">
        <v>0</v>
      </c>
      <c r="O177" t="n">
        <v>0</v>
      </c>
      <c r="P177" t="n">
        <v>0</v>
      </c>
      <c r="Q177" t="n">
        <v>0</v>
      </c>
      <c r="R177" s="2" t="inlineStr"/>
    </row>
    <row r="178" ht="15" customHeight="1">
      <c r="A178" t="inlineStr">
        <is>
          <t>A 25799-2023</t>
        </is>
      </c>
      <c r="B178" s="1" t="n">
        <v>45090</v>
      </c>
      <c r="C178" s="1" t="n">
        <v>46203</v>
      </c>
      <c r="D178" t="inlineStr">
        <is>
          <t>KALMAR LÄN</t>
        </is>
      </c>
      <c r="E178" t="inlineStr">
        <is>
          <t>VIMMERBY</t>
        </is>
      </c>
      <c r="G178" t="n">
        <v>7.7</v>
      </c>
      <c r="H178" t="n">
        <v>0</v>
      </c>
      <c r="I178" t="n">
        <v>0</v>
      </c>
      <c r="J178" t="n">
        <v>0</v>
      </c>
      <c r="K178" t="n">
        <v>0</v>
      </c>
      <c r="L178" t="n">
        <v>0</v>
      </c>
      <c r="M178" t="n">
        <v>0</v>
      </c>
      <c r="N178" t="n">
        <v>0</v>
      </c>
      <c r="O178" t="n">
        <v>0</v>
      </c>
      <c r="P178" t="n">
        <v>0</v>
      </c>
      <c r="Q178" t="n">
        <v>0</v>
      </c>
      <c r="R178" s="2" t="inlineStr"/>
    </row>
    <row r="179" ht="15" customHeight="1">
      <c r="A179" t="inlineStr">
        <is>
          <t>A 39807-2025</t>
        </is>
      </c>
      <c r="B179" s="1" t="n">
        <v>45891</v>
      </c>
      <c r="C179" s="1" t="n">
        <v>46203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51990-2025</t>
        </is>
      </c>
      <c r="B180" s="1" t="n">
        <v>45952</v>
      </c>
      <c r="C180" s="1" t="n">
        <v>46203</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57256-2023</t>
        </is>
      </c>
      <c r="B181" s="1" t="n">
        <v>45245</v>
      </c>
      <c r="C181" s="1" t="n">
        <v>46203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39736-2025</t>
        </is>
      </c>
      <c r="B182" s="1" t="n">
        <v>45891</v>
      </c>
      <c r="C182" s="1" t="n">
        <v>46203</v>
      </c>
      <c r="D182" t="inlineStr">
        <is>
          <t>KALMAR LÄN</t>
        </is>
      </c>
      <c r="E182" t="inlineStr">
        <is>
          <t>VIMMERBY</t>
        </is>
      </c>
      <c r="G182" t="n">
        <v>12.8</v>
      </c>
      <c r="H182" t="n">
        <v>0</v>
      </c>
      <c r="I182" t="n">
        <v>0</v>
      </c>
      <c r="J182" t="n">
        <v>0</v>
      </c>
      <c r="K182" t="n">
        <v>0</v>
      </c>
      <c r="L182" t="n">
        <v>0</v>
      </c>
      <c r="M182" t="n">
        <v>0</v>
      </c>
      <c r="N182" t="n">
        <v>0</v>
      </c>
      <c r="O182" t="n">
        <v>0</v>
      </c>
      <c r="P182" t="n">
        <v>0</v>
      </c>
      <c r="Q182" t="n">
        <v>0</v>
      </c>
      <c r="R182" s="2" t="inlineStr"/>
    </row>
    <row r="183" ht="15" customHeight="1">
      <c r="A183" t="inlineStr">
        <is>
          <t>A 39803-2025</t>
        </is>
      </c>
      <c r="B183" s="1" t="n">
        <v>45891</v>
      </c>
      <c r="C183" s="1" t="n">
        <v>46203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52466-2025</t>
        </is>
      </c>
      <c r="B184" s="1" t="n">
        <v>45954</v>
      </c>
      <c r="C184" s="1" t="n">
        <v>46203</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23088-2024</t>
        </is>
      </c>
      <c r="B185" s="1" t="n">
        <v>45450</v>
      </c>
      <c r="C185" s="1" t="n">
        <v>46203</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40970-2025</t>
        </is>
      </c>
      <c r="B186" s="1" t="n">
        <v>45897</v>
      </c>
      <c r="C186" s="1" t="n">
        <v>46203</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40973-2025</t>
        </is>
      </c>
      <c r="B187" s="1" t="n">
        <v>45897</v>
      </c>
      <c r="C187" s="1" t="n">
        <v>46203</v>
      </c>
      <c r="D187" t="inlineStr">
        <is>
          <t>KALMAR LÄN</t>
        </is>
      </c>
      <c r="E187" t="inlineStr">
        <is>
          <t>VIMMERBY</t>
        </is>
      </c>
      <c r="G187" t="n">
        <v>1.8</v>
      </c>
      <c r="H187" t="n">
        <v>0</v>
      </c>
      <c r="I187" t="n">
        <v>0</v>
      </c>
      <c r="J187" t="n">
        <v>0</v>
      </c>
      <c r="K187" t="n">
        <v>0</v>
      </c>
      <c r="L187" t="n">
        <v>0</v>
      </c>
      <c r="M187" t="n">
        <v>0</v>
      </c>
      <c r="N187" t="n">
        <v>0</v>
      </c>
      <c r="O187" t="n">
        <v>0</v>
      </c>
      <c r="P187" t="n">
        <v>0</v>
      </c>
      <c r="Q187" t="n">
        <v>0</v>
      </c>
      <c r="R187" s="2" t="inlineStr"/>
    </row>
    <row r="188" ht="15" customHeight="1">
      <c r="A188" t="inlineStr">
        <is>
          <t>A 57189-2022</t>
        </is>
      </c>
      <c r="B188" s="1" t="n">
        <v>44895</v>
      </c>
      <c r="C188" s="1" t="n">
        <v>46203</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1987-2024</t>
        </is>
      </c>
      <c r="B189" s="1" t="n">
        <v>45308</v>
      </c>
      <c r="C189" s="1" t="n">
        <v>46203</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527-2024</t>
        </is>
      </c>
      <c r="B190" s="1" t="n">
        <v>45299</v>
      </c>
      <c r="C190" s="1" t="n">
        <v>46203</v>
      </c>
      <c r="D190" t="inlineStr">
        <is>
          <t>KALMAR LÄN</t>
        </is>
      </c>
      <c r="E190" t="inlineStr">
        <is>
          <t>VIMMERBY</t>
        </is>
      </c>
      <c r="G190" t="n">
        <v>2.2</v>
      </c>
      <c r="H190" t="n">
        <v>0</v>
      </c>
      <c r="I190" t="n">
        <v>0</v>
      </c>
      <c r="J190" t="n">
        <v>0</v>
      </c>
      <c r="K190" t="n">
        <v>0</v>
      </c>
      <c r="L190" t="n">
        <v>0</v>
      </c>
      <c r="M190" t="n">
        <v>0</v>
      </c>
      <c r="N190" t="n">
        <v>0</v>
      </c>
      <c r="O190" t="n">
        <v>0</v>
      </c>
      <c r="P190" t="n">
        <v>0</v>
      </c>
      <c r="Q190" t="n">
        <v>0</v>
      </c>
      <c r="R190" s="2" t="inlineStr"/>
    </row>
    <row r="191" ht="15" customHeight="1">
      <c r="A191" t="inlineStr">
        <is>
          <t>A 40971-2025</t>
        </is>
      </c>
      <c r="B191" s="1" t="n">
        <v>45897</v>
      </c>
      <c r="C191" s="1" t="n">
        <v>46203</v>
      </c>
      <c r="D191" t="inlineStr">
        <is>
          <t>KALMAR LÄN</t>
        </is>
      </c>
      <c r="E191" t="inlineStr">
        <is>
          <t>VIMMERBY</t>
        </is>
      </c>
      <c r="G191" t="n">
        <v>1.5</v>
      </c>
      <c r="H191" t="n">
        <v>0</v>
      </c>
      <c r="I191" t="n">
        <v>0</v>
      </c>
      <c r="J191" t="n">
        <v>0</v>
      </c>
      <c r="K191" t="n">
        <v>0</v>
      </c>
      <c r="L191" t="n">
        <v>0</v>
      </c>
      <c r="M191" t="n">
        <v>0</v>
      </c>
      <c r="N191" t="n">
        <v>0</v>
      </c>
      <c r="O191" t="n">
        <v>0</v>
      </c>
      <c r="P191" t="n">
        <v>0</v>
      </c>
      <c r="Q191" t="n">
        <v>0</v>
      </c>
      <c r="R191" s="2" t="inlineStr"/>
    </row>
    <row r="192" ht="15" customHeight="1">
      <c r="A192" t="inlineStr">
        <is>
          <t>A 41591-2025</t>
        </is>
      </c>
      <c r="B192" s="1" t="n">
        <v>45901</v>
      </c>
      <c r="C192" s="1" t="n">
        <v>46203</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53398-2025</t>
        </is>
      </c>
      <c r="B193" s="1" t="n">
        <v>45959</v>
      </c>
      <c r="C193" s="1" t="n">
        <v>46203</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41589-2025</t>
        </is>
      </c>
      <c r="B194" s="1" t="n">
        <v>45901</v>
      </c>
      <c r="C194" s="1" t="n">
        <v>46203</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53397-2025</t>
        </is>
      </c>
      <c r="B195" s="1" t="n">
        <v>45959</v>
      </c>
      <c r="C195" s="1" t="n">
        <v>46203</v>
      </c>
      <c r="D195" t="inlineStr">
        <is>
          <t>KALMAR LÄN</t>
        </is>
      </c>
      <c r="E195" t="inlineStr">
        <is>
          <t>VIMMERBY</t>
        </is>
      </c>
      <c r="G195" t="n">
        <v>1.6</v>
      </c>
      <c r="H195" t="n">
        <v>0</v>
      </c>
      <c r="I195" t="n">
        <v>0</v>
      </c>
      <c r="J195" t="n">
        <v>0</v>
      </c>
      <c r="K195" t="n">
        <v>0</v>
      </c>
      <c r="L195" t="n">
        <v>0</v>
      </c>
      <c r="M195" t="n">
        <v>0</v>
      </c>
      <c r="N195" t="n">
        <v>0</v>
      </c>
      <c r="O195" t="n">
        <v>0</v>
      </c>
      <c r="P195" t="n">
        <v>0</v>
      </c>
      <c r="Q195" t="n">
        <v>0</v>
      </c>
      <c r="R195" s="2" t="inlineStr"/>
    </row>
    <row r="196" ht="15" customHeight="1">
      <c r="A196" t="inlineStr">
        <is>
          <t>A 23984-2025</t>
        </is>
      </c>
      <c r="B196" s="1" t="n">
        <v>45796</v>
      </c>
      <c r="C196" s="1" t="n">
        <v>46203</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37192-2024</t>
        </is>
      </c>
      <c r="B197" s="1" t="n">
        <v>45539</v>
      </c>
      <c r="C197" s="1" t="n">
        <v>46203</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53396-2025</t>
        </is>
      </c>
      <c r="B198" s="1" t="n">
        <v>45959</v>
      </c>
      <c r="C198" s="1" t="n">
        <v>46203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53933-2025</t>
        </is>
      </c>
      <c r="B199" s="1" t="n">
        <v>45961</v>
      </c>
      <c r="C199" s="1" t="n">
        <v>46203</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47063-2022</t>
        </is>
      </c>
      <c r="B200" s="1" t="n">
        <v>44852</v>
      </c>
      <c r="C200" s="1" t="n">
        <v>46203</v>
      </c>
      <c r="D200" t="inlineStr">
        <is>
          <t>KALMAR LÄN</t>
        </is>
      </c>
      <c r="E200" t="inlineStr">
        <is>
          <t>VIMMERBY</t>
        </is>
      </c>
      <c r="G200" t="n">
        <v>2.5</v>
      </c>
      <c r="H200" t="n">
        <v>0</v>
      </c>
      <c r="I200" t="n">
        <v>0</v>
      </c>
      <c r="J200" t="n">
        <v>0</v>
      </c>
      <c r="K200" t="n">
        <v>0</v>
      </c>
      <c r="L200" t="n">
        <v>0</v>
      </c>
      <c r="M200" t="n">
        <v>0</v>
      </c>
      <c r="N200" t="n">
        <v>0</v>
      </c>
      <c r="O200" t="n">
        <v>0</v>
      </c>
      <c r="P200" t="n">
        <v>0</v>
      </c>
      <c r="Q200" t="n">
        <v>0</v>
      </c>
      <c r="R200" s="2" t="inlineStr"/>
    </row>
    <row r="201" ht="15" customHeight="1">
      <c r="A201" t="inlineStr">
        <is>
          <t>A 12819-2024</t>
        </is>
      </c>
      <c r="B201" s="1" t="n">
        <v>45384</v>
      </c>
      <c r="C201" s="1" t="n">
        <v>46203</v>
      </c>
      <c r="D201" t="inlineStr">
        <is>
          <t>KALMAR LÄN</t>
        </is>
      </c>
      <c r="E201" t="inlineStr">
        <is>
          <t>VIMMERBY</t>
        </is>
      </c>
      <c r="G201" t="n">
        <v>5.1</v>
      </c>
      <c r="H201" t="n">
        <v>0</v>
      </c>
      <c r="I201" t="n">
        <v>0</v>
      </c>
      <c r="J201" t="n">
        <v>0</v>
      </c>
      <c r="K201" t="n">
        <v>0</v>
      </c>
      <c r="L201" t="n">
        <v>0</v>
      </c>
      <c r="M201" t="n">
        <v>0</v>
      </c>
      <c r="N201" t="n">
        <v>0</v>
      </c>
      <c r="O201" t="n">
        <v>0</v>
      </c>
      <c r="P201" t="n">
        <v>0</v>
      </c>
      <c r="Q201" t="n">
        <v>0</v>
      </c>
      <c r="R201" s="2" t="inlineStr"/>
    </row>
    <row r="202" ht="15" customHeight="1">
      <c r="A202" t="inlineStr">
        <is>
          <t>A 53920-2025</t>
        </is>
      </c>
      <c r="B202" s="1" t="n">
        <v>45961</v>
      </c>
      <c r="C202" s="1" t="n">
        <v>46203</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31382-2023</t>
        </is>
      </c>
      <c r="B203" s="1" t="n">
        <v>45114</v>
      </c>
      <c r="C203" s="1" t="n">
        <v>46203</v>
      </c>
      <c r="D203" t="inlineStr">
        <is>
          <t>KALMAR LÄN</t>
        </is>
      </c>
      <c r="E203" t="inlineStr">
        <is>
          <t>VIMMERBY</t>
        </is>
      </c>
      <c r="G203" t="n">
        <v>3.7</v>
      </c>
      <c r="H203" t="n">
        <v>0</v>
      </c>
      <c r="I203" t="n">
        <v>0</v>
      </c>
      <c r="J203" t="n">
        <v>0</v>
      </c>
      <c r="K203" t="n">
        <v>0</v>
      </c>
      <c r="L203" t="n">
        <v>0</v>
      </c>
      <c r="M203" t="n">
        <v>0</v>
      </c>
      <c r="N203" t="n">
        <v>0</v>
      </c>
      <c r="O203" t="n">
        <v>0</v>
      </c>
      <c r="P203" t="n">
        <v>0</v>
      </c>
      <c r="Q203" t="n">
        <v>0</v>
      </c>
      <c r="R203" s="2" t="inlineStr"/>
    </row>
    <row r="204" ht="15" customHeight="1">
      <c r="A204" t="inlineStr">
        <is>
          <t>A 11073-2023</t>
        </is>
      </c>
      <c r="B204" s="1" t="n">
        <v>44992</v>
      </c>
      <c r="C204" s="1" t="n">
        <v>46203</v>
      </c>
      <c r="D204" t="inlineStr">
        <is>
          <t>KALMAR LÄN</t>
        </is>
      </c>
      <c r="E204" t="inlineStr">
        <is>
          <t>VIMMERBY</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59955-2023</t>
        </is>
      </c>
      <c r="B205" s="1" t="n">
        <v>45257</v>
      </c>
      <c r="C205" s="1" t="n">
        <v>46203</v>
      </c>
      <c r="D205" t="inlineStr">
        <is>
          <t>KALMAR LÄN</t>
        </is>
      </c>
      <c r="E205" t="inlineStr">
        <is>
          <t>VIMMERBY</t>
        </is>
      </c>
      <c r="G205" t="n">
        <v>13.8</v>
      </c>
      <c r="H205" t="n">
        <v>0</v>
      </c>
      <c r="I205" t="n">
        <v>0</v>
      </c>
      <c r="J205" t="n">
        <v>0</v>
      </c>
      <c r="K205" t="n">
        <v>0</v>
      </c>
      <c r="L205" t="n">
        <v>0</v>
      </c>
      <c r="M205" t="n">
        <v>0</v>
      </c>
      <c r="N205" t="n">
        <v>0</v>
      </c>
      <c r="O205" t="n">
        <v>0</v>
      </c>
      <c r="P205" t="n">
        <v>0</v>
      </c>
      <c r="Q205" t="n">
        <v>0</v>
      </c>
      <c r="R205" s="2" t="inlineStr"/>
    </row>
    <row r="206" ht="15" customHeight="1">
      <c r="A206" t="inlineStr">
        <is>
          <t>A 51278-2024</t>
        </is>
      </c>
      <c r="B206" s="1" t="n">
        <v>45603</v>
      </c>
      <c r="C206" s="1" t="n">
        <v>46203</v>
      </c>
      <c r="D206" t="inlineStr">
        <is>
          <t>KALMAR LÄN</t>
        </is>
      </c>
      <c r="E206" t="inlineStr">
        <is>
          <t>VIMMERBY</t>
        </is>
      </c>
      <c r="G206" t="n">
        <v>3.4</v>
      </c>
      <c r="H206" t="n">
        <v>0</v>
      </c>
      <c r="I206" t="n">
        <v>0</v>
      </c>
      <c r="J206" t="n">
        <v>0</v>
      </c>
      <c r="K206" t="n">
        <v>0</v>
      </c>
      <c r="L206" t="n">
        <v>0</v>
      </c>
      <c r="M206" t="n">
        <v>0</v>
      </c>
      <c r="N206" t="n">
        <v>0</v>
      </c>
      <c r="O206" t="n">
        <v>0</v>
      </c>
      <c r="P206" t="n">
        <v>0</v>
      </c>
      <c r="Q206" t="n">
        <v>0</v>
      </c>
      <c r="R206" s="2" t="inlineStr"/>
    </row>
    <row r="207" ht="15" customHeight="1">
      <c r="A207" t="inlineStr">
        <is>
          <t>A 36802-2021</t>
        </is>
      </c>
      <c r="B207" s="1" t="n">
        <v>44392</v>
      </c>
      <c r="C207" s="1" t="n">
        <v>46203</v>
      </c>
      <c r="D207" t="inlineStr">
        <is>
          <t>KALMAR LÄN</t>
        </is>
      </c>
      <c r="E207" t="inlineStr">
        <is>
          <t>VIMMERBY</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35082-2024</t>
        </is>
      </c>
      <c r="B208" s="1" t="n">
        <v>45527</v>
      </c>
      <c r="C208" s="1" t="n">
        <v>46203</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44582-2024</t>
        </is>
      </c>
      <c r="B209" s="1" t="n">
        <v>45574</v>
      </c>
      <c r="C209" s="1" t="n">
        <v>46203</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9456-2025</t>
        </is>
      </c>
      <c r="B210" s="1" t="n">
        <v>45715</v>
      </c>
      <c r="C210" s="1" t="n">
        <v>46203</v>
      </c>
      <c r="D210" t="inlineStr">
        <is>
          <t>KALMAR LÄN</t>
        </is>
      </c>
      <c r="E210" t="inlineStr">
        <is>
          <t>VIMMERBY</t>
        </is>
      </c>
      <c r="G210" t="n">
        <v>1.5</v>
      </c>
      <c r="H210" t="n">
        <v>0</v>
      </c>
      <c r="I210" t="n">
        <v>0</v>
      </c>
      <c r="J210" t="n">
        <v>0</v>
      </c>
      <c r="K210" t="n">
        <v>0</v>
      </c>
      <c r="L210" t="n">
        <v>0</v>
      </c>
      <c r="M210" t="n">
        <v>0</v>
      </c>
      <c r="N210" t="n">
        <v>0</v>
      </c>
      <c r="O210" t="n">
        <v>0</v>
      </c>
      <c r="P210" t="n">
        <v>0</v>
      </c>
      <c r="Q210" t="n">
        <v>0</v>
      </c>
      <c r="R210" s="2" t="inlineStr"/>
    </row>
    <row r="211" ht="15" customHeight="1">
      <c r="A211" t="inlineStr">
        <is>
          <t>A 55385-2025</t>
        </is>
      </c>
      <c r="B211" s="1" t="n">
        <v>45971</v>
      </c>
      <c r="C211" s="1" t="n">
        <v>46203</v>
      </c>
      <c r="D211" t="inlineStr">
        <is>
          <t>KALMAR LÄN</t>
        </is>
      </c>
      <c r="E211" t="inlineStr">
        <is>
          <t>VIMMERBY</t>
        </is>
      </c>
      <c r="G211" t="n">
        <v>5</v>
      </c>
      <c r="H211" t="n">
        <v>0</v>
      </c>
      <c r="I211" t="n">
        <v>0</v>
      </c>
      <c r="J211" t="n">
        <v>0</v>
      </c>
      <c r="K211" t="n">
        <v>0</v>
      </c>
      <c r="L211" t="n">
        <v>0</v>
      </c>
      <c r="M211" t="n">
        <v>0</v>
      </c>
      <c r="N211" t="n">
        <v>0</v>
      </c>
      <c r="O211" t="n">
        <v>0</v>
      </c>
      <c r="P211" t="n">
        <v>0</v>
      </c>
      <c r="Q211" t="n">
        <v>0</v>
      </c>
      <c r="R211" s="2" t="inlineStr"/>
    </row>
    <row r="212" ht="15" customHeight="1">
      <c r="A212" t="inlineStr">
        <is>
          <t>A 11111-2023</t>
        </is>
      </c>
      <c r="B212" s="1" t="n">
        <v>44992</v>
      </c>
      <c r="C212" s="1" t="n">
        <v>46203</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58724-2024</t>
        </is>
      </c>
      <c r="B213" s="1" t="n">
        <v>45635</v>
      </c>
      <c r="C213" s="1" t="n">
        <v>46203</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15494-2024</t>
        </is>
      </c>
      <c r="B214" s="1" t="n">
        <v>45401</v>
      </c>
      <c r="C214" s="1" t="n">
        <v>46203</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55603-2025</t>
        </is>
      </c>
      <c r="B215" s="1" t="n">
        <v>45971</v>
      </c>
      <c r="C215" s="1" t="n">
        <v>46203</v>
      </c>
      <c r="D215" t="inlineStr">
        <is>
          <t>KALMAR LÄN</t>
        </is>
      </c>
      <c r="E215" t="inlineStr">
        <is>
          <t>VIMMERBY</t>
        </is>
      </c>
      <c r="G215" t="n">
        <v>0.9</v>
      </c>
      <c r="H215" t="n">
        <v>0</v>
      </c>
      <c r="I215" t="n">
        <v>0</v>
      </c>
      <c r="J215" t="n">
        <v>0</v>
      </c>
      <c r="K215" t="n">
        <v>0</v>
      </c>
      <c r="L215" t="n">
        <v>0</v>
      </c>
      <c r="M215" t="n">
        <v>0</v>
      </c>
      <c r="N215" t="n">
        <v>0</v>
      </c>
      <c r="O215" t="n">
        <v>0</v>
      </c>
      <c r="P215" t="n">
        <v>0</v>
      </c>
      <c r="Q215" t="n">
        <v>0</v>
      </c>
      <c r="R215" s="2" t="inlineStr"/>
    </row>
    <row r="216" ht="15" customHeight="1">
      <c r="A216" t="inlineStr">
        <is>
          <t>A 26046-2025</t>
        </is>
      </c>
      <c r="B216" s="1" t="n">
        <v>45804</v>
      </c>
      <c r="C216" s="1" t="n">
        <v>46203</v>
      </c>
      <c r="D216" t="inlineStr">
        <is>
          <t>KALMAR LÄN</t>
        </is>
      </c>
      <c r="E216" t="inlineStr">
        <is>
          <t>VIMMERBY</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25792-2025</t>
        </is>
      </c>
      <c r="B217" s="1" t="n">
        <v>45804</v>
      </c>
      <c r="C217" s="1" t="n">
        <v>46203</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44091-2025</t>
        </is>
      </c>
      <c r="B218" s="1" t="n">
        <v>45915</v>
      </c>
      <c r="C218" s="1" t="n">
        <v>46203</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44095-2025</t>
        </is>
      </c>
      <c r="B219" s="1" t="n">
        <v>45915</v>
      </c>
      <c r="C219" s="1" t="n">
        <v>46203</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26207-2025</t>
        </is>
      </c>
      <c r="B220" s="1" t="n">
        <v>45805</v>
      </c>
      <c r="C220" s="1" t="n">
        <v>46203</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61820-2023</t>
        </is>
      </c>
      <c r="B221" s="1" t="n">
        <v>45266</v>
      </c>
      <c r="C221" s="1" t="n">
        <v>46203</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3269-2024</t>
        </is>
      </c>
      <c r="B222" s="1" t="n">
        <v>45317</v>
      </c>
      <c r="C222" s="1" t="n">
        <v>46203</v>
      </c>
      <c r="D222" t="inlineStr">
        <is>
          <t>KALMAR LÄN</t>
        </is>
      </c>
      <c r="E222" t="inlineStr">
        <is>
          <t>VIMMERBY</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2157-2024</t>
        </is>
      </c>
      <c r="B223" s="1" t="n">
        <v>45309</v>
      </c>
      <c r="C223" s="1" t="n">
        <v>46203</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28290-2025</t>
        </is>
      </c>
      <c r="B224" s="1" t="n">
        <v>45818</v>
      </c>
      <c r="C224" s="1" t="n">
        <v>46203</v>
      </c>
      <c r="D224" t="inlineStr">
        <is>
          <t>KALMAR LÄN</t>
        </is>
      </c>
      <c r="E224" t="inlineStr">
        <is>
          <t>VIMMERBY</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47227-2025</t>
        </is>
      </c>
      <c r="B225" s="1" t="n">
        <v>45930</v>
      </c>
      <c r="C225" s="1" t="n">
        <v>46203</v>
      </c>
      <c r="D225" t="inlineStr">
        <is>
          <t>KALMAR LÄN</t>
        </is>
      </c>
      <c r="E225" t="inlineStr">
        <is>
          <t>VIMMERBY</t>
        </is>
      </c>
      <c r="G225" t="n">
        <v>1.3</v>
      </c>
      <c r="H225" t="n">
        <v>0</v>
      </c>
      <c r="I225" t="n">
        <v>0</v>
      </c>
      <c r="J225" t="n">
        <v>0</v>
      </c>
      <c r="K225" t="n">
        <v>0</v>
      </c>
      <c r="L225" t="n">
        <v>0</v>
      </c>
      <c r="M225" t="n">
        <v>0</v>
      </c>
      <c r="N225" t="n">
        <v>0</v>
      </c>
      <c r="O225" t="n">
        <v>0</v>
      </c>
      <c r="P225" t="n">
        <v>0</v>
      </c>
      <c r="Q225" t="n">
        <v>0</v>
      </c>
      <c r="R225" s="2" t="inlineStr"/>
    </row>
    <row r="226" ht="15" customHeight="1">
      <c r="A226" t="inlineStr">
        <is>
          <t>A 28294-2025</t>
        </is>
      </c>
      <c r="B226" s="1" t="n">
        <v>45818</v>
      </c>
      <c r="C226" s="1" t="n">
        <v>46203</v>
      </c>
      <c r="D226" t="inlineStr">
        <is>
          <t>KALMAR LÄN</t>
        </is>
      </c>
      <c r="E226" t="inlineStr">
        <is>
          <t>VIMMERBY</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58498-2025</t>
        </is>
      </c>
      <c r="B227" s="1" t="n">
        <v>45985</v>
      </c>
      <c r="C227" s="1" t="n">
        <v>46203</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58501-2025</t>
        </is>
      </c>
      <c r="B228" s="1" t="n">
        <v>45985</v>
      </c>
      <c r="C228" s="1" t="n">
        <v>46203</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28713-2025</t>
        </is>
      </c>
      <c r="B229" s="1" t="n">
        <v>45820</v>
      </c>
      <c r="C229" s="1" t="n">
        <v>46203</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58503-2025</t>
        </is>
      </c>
      <c r="B230" s="1" t="n">
        <v>45985</v>
      </c>
      <c r="C230" s="1" t="n">
        <v>46203</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58446-2025</t>
        </is>
      </c>
      <c r="B231" s="1" t="n">
        <v>45985</v>
      </c>
      <c r="C231" s="1" t="n">
        <v>46203</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58500-2025</t>
        </is>
      </c>
      <c r="B232" s="1" t="n">
        <v>45985</v>
      </c>
      <c r="C232" s="1" t="n">
        <v>46203</v>
      </c>
      <c r="D232" t="inlineStr">
        <is>
          <t>KALMAR LÄN</t>
        </is>
      </c>
      <c r="E232" t="inlineStr">
        <is>
          <t>VIMMERBY</t>
        </is>
      </c>
      <c r="G232" t="n">
        <v>1.8</v>
      </c>
      <c r="H232" t="n">
        <v>0</v>
      </c>
      <c r="I232" t="n">
        <v>0</v>
      </c>
      <c r="J232" t="n">
        <v>0</v>
      </c>
      <c r="K232" t="n">
        <v>0</v>
      </c>
      <c r="L232" t="n">
        <v>0</v>
      </c>
      <c r="M232" t="n">
        <v>0</v>
      </c>
      <c r="N232" t="n">
        <v>0</v>
      </c>
      <c r="O232" t="n">
        <v>0</v>
      </c>
      <c r="P232" t="n">
        <v>0</v>
      </c>
      <c r="Q232" t="n">
        <v>0</v>
      </c>
      <c r="R232" s="2" t="inlineStr"/>
    </row>
    <row r="233" ht="15" customHeight="1">
      <c r="A233" t="inlineStr">
        <is>
          <t>A 9416-2024</t>
        </is>
      </c>
      <c r="B233" s="1" t="n">
        <v>45359</v>
      </c>
      <c r="C233" s="1" t="n">
        <v>46203</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58318-2021</t>
        </is>
      </c>
      <c r="B234" s="1" t="n">
        <v>44488</v>
      </c>
      <c r="C234" s="1" t="n">
        <v>46203</v>
      </c>
      <c r="D234" t="inlineStr">
        <is>
          <t>KALMAR LÄN</t>
        </is>
      </c>
      <c r="E234" t="inlineStr">
        <is>
          <t>VIMMERBY</t>
        </is>
      </c>
      <c r="G234" t="n">
        <v>4</v>
      </c>
      <c r="H234" t="n">
        <v>0</v>
      </c>
      <c r="I234" t="n">
        <v>0</v>
      </c>
      <c r="J234" t="n">
        <v>0</v>
      </c>
      <c r="K234" t="n">
        <v>0</v>
      </c>
      <c r="L234" t="n">
        <v>0</v>
      </c>
      <c r="M234" t="n">
        <v>0</v>
      </c>
      <c r="N234" t="n">
        <v>0</v>
      </c>
      <c r="O234" t="n">
        <v>0</v>
      </c>
      <c r="P234" t="n">
        <v>0</v>
      </c>
      <c r="Q234" t="n">
        <v>0</v>
      </c>
      <c r="R234" s="2" t="inlineStr"/>
    </row>
    <row r="235" ht="15" customHeight="1">
      <c r="A235" t="inlineStr">
        <is>
          <t>A 59037-2025</t>
        </is>
      </c>
      <c r="B235" s="1" t="n">
        <v>45988</v>
      </c>
      <c r="C235" s="1" t="n">
        <v>46203</v>
      </c>
      <c r="D235" t="inlineStr">
        <is>
          <t>KALMAR LÄN</t>
        </is>
      </c>
      <c r="E235" t="inlineStr">
        <is>
          <t>VIMMERBY</t>
        </is>
      </c>
      <c r="F235" t="inlineStr">
        <is>
          <t>Sveaskog</t>
        </is>
      </c>
      <c r="G235" t="n">
        <v>4</v>
      </c>
      <c r="H235" t="n">
        <v>0</v>
      </c>
      <c r="I235" t="n">
        <v>0</v>
      </c>
      <c r="J235" t="n">
        <v>0</v>
      </c>
      <c r="K235" t="n">
        <v>0</v>
      </c>
      <c r="L235" t="n">
        <v>0</v>
      </c>
      <c r="M235" t="n">
        <v>0</v>
      </c>
      <c r="N235" t="n">
        <v>0</v>
      </c>
      <c r="O235" t="n">
        <v>0</v>
      </c>
      <c r="P235" t="n">
        <v>0</v>
      </c>
      <c r="Q235" t="n">
        <v>0</v>
      </c>
      <c r="R235" s="2" t="inlineStr"/>
    </row>
    <row r="236" ht="15" customHeight="1">
      <c r="A236" t="inlineStr">
        <is>
          <t>A 59034-2025</t>
        </is>
      </c>
      <c r="B236" s="1" t="n">
        <v>45988</v>
      </c>
      <c r="C236" s="1" t="n">
        <v>46203</v>
      </c>
      <c r="D236" t="inlineStr">
        <is>
          <t>KALMAR LÄN</t>
        </is>
      </c>
      <c r="E236" t="inlineStr">
        <is>
          <t>VIMMERBY</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59039-2025</t>
        </is>
      </c>
      <c r="B237" s="1" t="n">
        <v>45988</v>
      </c>
      <c r="C237" s="1" t="n">
        <v>46203</v>
      </c>
      <c r="D237" t="inlineStr">
        <is>
          <t>KALMAR LÄN</t>
        </is>
      </c>
      <c r="E237" t="inlineStr">
        <is>
          <t>VIMMERBY</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53083-2021</t>
        </is>
      </c>
      <c r="B238" s="1" t="n">
        <v>44467</v>
      </c>
      <c r="C238" s="1" t="n">
        <v>46203</v>
      </c>
      <c r="D238" t="inlineStr">
        <is>
          <t>KALMAR LÄN</t>
        </is>
      </c>
      <c r="E238" t="inlineStr">
        <is>
          <t>VIMMERBY</t>
        </is>
      </c>
      <c r="G238" t="n">
        <v>6.8</v>
      </c>
      <c r="H238" t="n">
        <v>0</v>
      </c>
      <c r="I238" t="n">
        <v>0</v>
      </c>
      <c r="J238" t="n">
        <v>0</v>
      </c>
      <c r="K238" t="n">
        <v>0</v>
      </c>
      <c r="L238" t="n">
        <v>0</v>
      </c>
      <c r="M238" t="n">
        <v>0</v>
      </c>
      <c r="N238" t="n">
        <v>0</v>
      </c>
      <c r="O238" t="n">
        <v>0</v>
      </c>
      <c r="P238" t="n">
        <v>0</v>
      </c>
      <c r="Q238" t="n">
        <v>0</v>
      </c>
      <c r="R238" s="2" t="inlineStr"/>
    </row>
    <row r="239" ht="15" customHeight="1">
      <c r="A239" t="inlineStr">
        <is>
          <t>A 29737-2025</t>
        </is>
      </c>
      <c r="B239" s="1" t="n">
        <v>45825</v>
      </c>
      <c r="C239" s="1" t="n">
        <v>46203</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29173-2024</t>
        </is>
      </c>
      <c r="B240" s="1" t="n">
        <v>45482</v>
      </c>
      <c r="C240" s="1" t="n">
        <v>46203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11111-2024</t>
        </is>
      </c>
      <c r="B241" s="1" t="n">
        <v>45371</v>
      </c>
      <c r="C241" s="1" t="n">
        <v>46203</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11141-2024</t>
        </is>
      </c>
      <c r="B242" s="1" t="n">
        <v>45371</v>
      </c>
      <c r="C242" s="1" t="n">
        <v>46203</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9418-2024</t>
        </is>
      </c>
      <c r="B243" s="1" t="n">
        <v>45359</v>
      </c>
      <c r="C243" s="1" t="n">
        <v>46203</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58841-2025</t>
        </is>
      </c>
      <c r="B244" s="1" t="n">
        <v>45987</v>
      </c>
      <c r="C244" s="1" t="n">
        <v>46203</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30293-2025</t>
        </is>
      </c>
      <c r="B245" s="1" t="n">
        <v>45827</v>
      </c>
      <c r="C245" s="1" t="n">
        <v>46203</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49313-2022</t>
        </is>
      </c>
      <c r="B246" s="1" t="n">
        <v>44861</v>
      </c>
      <c r="C246" s="1" t="n">
        <v>46203</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35998-2024</t>
        </is>
      </c>
      <c r="B247" s="1" t="n">
        <v>45533</v>
      </c>
      <c r="C247" s="1" t="n">
        <v>46203</v>
      </c>
      <c r="D247" t="inlineStr">
        <is>
          <t>KALMAR LÄN</t>
        </is>
      </c>
      <c r="E247" t="inlineStr">
        <is>
          <t>VIMMERBY</t>
        </is>
      </c>
      <c r="G247" t="n">
        <v>8.6</v>
      </c>
      <c r="H247" t="n">
        <v>0</v>
      </c>
      <c r="I247" t="n">
        <v>0</v>
      </c>
      <c r="J247" t="n">
        <v>0</v>
      </c>
      <c r="K247" t="n">
        <v>0</v>
      </c>
      <c r="L247" t="n">
        <v>0</v>
      </c>
      <c r="M247" t="n">
        <v>0</v>
      </c>
      <c r="N247" t="n">
        <v>0</v>
      </c>
      <c r="O247" t="n">
        <v>0</v>
      </c>
      <c r="P247" t="n">
        <v>0</v>
      </c>
      <c r="Q247" t="n">
        <v>0</v>
      </c>
      <c r="R247" s="2" t="inlineStr"/>
    </row>
    <row r="248" ht="15" customHeight="1">
      <c r="A248" t="inlineStr">
        <is>
          <t>A 36040-2024</t>
        </is>
      </c>
      <c r="B248" s="1" t="n">
        <v>45533</v>
      </c>
      <c r="C248" s="1" t="n">
        <v>46203</v>
      </c>
      <c r="D248" t="inlineStr">
        <is>
          <t>KALMAR LÄN</t>
        </is>
      </c>
      <c r="E248" t="inlineStr">
        <is>
          <t>VIMMERBY</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36043-2024</t>
        </is>
      </c>
      <c r="B249" s="1" t="n">
        <v>45533</v>
      </c>
      <c r="C249" s="1" t="n">
        <v>46203</v>
      </c>
      <c r="D249" t="inlineStr">
        <is>
          <t>KALMAR LÄN</t>
        </is>
      </c>
      <c r="E249" t="inlineStr">
        <is>
          <t>VIMMERBY</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60180-2025</t>
        </is>
      </c>
      <c r="B250" s="1" t="n">
        <v>45994</v>
      </c>
      <c r="C250" s="1" t="n">
        <v>46203</v>
      </c>
      <c r="D250" t="inlineStr">
        <is>
          <t>KALMAR LÄN</t>
        </is>
      </c>
      <c r="E250" t="inlineStr">
        <is>
          <t>VIMMERBY</t>
        </is>
      </c>
      <c r="G250" t="n">
        <v>6.8</v>
      </c>
      <c r="H250" t="n">
        <v>0</v>
      </c>
      <c r="I250" t="n">
        <v>0</v>
      </c>
      <c r="J250" t="n">
        <v>0</v>
      </c>
      <c r="K250" t="n">
        <v>0</v>
      </c>
      <c r="L250" t="n">
        <v>0</v>
      </c>
      <c r="M250" t="n">
        <v>0</v>
      </c>
      <c r="N250" t="n">
        <v>0</v>
      </c>
      <c r="O250" t="n">
        <v>0</v>
      </c>
      <c r="P250" t="n">
        <v>0</v>
      </c>
      <c r="Q250" t="n">
        <v>0</v>
      </c>
      <c r="R250" s="2" t="inlineStr"/>
    </row>
    <row r="251" ht="15" customHeight="1">
      <c r="A251" t="inlineStr">
        <is>
          <t>A 30882-2025</t>
        </is>
      </c>
      <c r="B251" s="1" t="n">
        <v>45832</v>
      </c>
      <c r="C251" s="1" t="n">
        <v>46203</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30971-2025</t>
        </is>
      </c>
      <c r="B252" s="1" t="n">
        <v>45832</v>
      </c>
      <c r="C252" s="1" t="n">
        <v>46203</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35710-2023</t>
        </is>
      </c>
      <c r="B253" s="1" t="n">
        <v>45147</v>
      </c>
      <c r="C253" s="1" t="n">
        <v>46203</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35711-2023</t>
        </is>
      </c>
      <c r="B254" s="1" t="n">
        <v>45147</v>
      </c>
      <c r="C254" s="1" t="n">
        <v>46203</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8559-2025</t>
        </is>
      </c>
      <c r="B255" s="1" t="n">
        <v>45709</v>
      </c>
      <c r="C255" s="1" t="n">
        <v>46203</v>
      </c>
      <c r="D255" t="inlineStr">
        <is>
          <t>KALMAR LÄN</t>
        </is>
      </c>
      <c r="E255" t="inlineStr">
        <is>
          <t>VIMMERBY</t>
        </is>
      </c>
      <c r="G255" t="n">
        <v>8.9</v>
      </c>
      <c r="H255" t="n">
        <v>0</v>
      </c>
      <c r="I255" t="n">
        <v>0</v>
      </c>
      <c r="J255" t="n">
        <v>0</v>
      </c>
      <c r="K255" t="n">
        <v>0</v>
      </c>
      <c r="L255" t="n">
        <v>0</v>
      </c>
      <c r="M255" t="n">
        <v>0</v>
      </c>
      <c r="N255" t="n">
        <v>0</v>
      </c>
      <c r="O255" t="n">
        <v>0</v>
      </c>
      <c r="P255" t="n">
        <v>0</v>
      </c>
      <c r="Q255" t="n">
        <v>0</v>
      </c>
      <c r="R255" s="2" t="inlineStr"/>
    </row>
    <row r="256" ht="15" customHeight="1">
      <c r="A256" t="inlineStr">
        <is>
          <t>A 31551-2025</t>
        </is>
      </c>
      <c r="B256" s="1" t="n">
        <v>45833</v>
      </c>
      <c r="C256" s="1" t="n">
        <v>46203</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32116-2025</t>
        </is>
      </c>
      <c r="B257" s="1" t="n">
        <v>45835</v>
      </c>
      <c r="C257" s="1" t="n">
        <v>46203</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32380-2025</t>
        </is>
      </c>
      <c r="B258" s="1" t="n">
        <v>45837</v>
      </c>
      <c r="C258" s="1" t="n">
        <v>46203</v>
      </c>
      <c r="D258" t="inlineStr">
        <is>
          <t>KALMAR LÄN</t>
        </is>
      </c>
      <c r="E258" t="inlineStr">
        <is>
          <t>VIMMERBY</t>
        </is>
      </c>
      <c r="G258" t="n">
        <v>3.1</v>
      </c>
      <c r="H258" t="n">
        <v>0</v>
      </c>
      <c r="I258" t="n">
        <v>0</v>
      </c>
      <c r="J258" t="n">
        <v>0</v>
      </c>
      <c r="K258" t="n">
        <v>0</v>
      </c>
      <c r="L258" t="n">
        <v>0</v>
      </c>
      <c r="M258" t="n">
        <v>0</v>
      </c>
      <c r="N258" t="n">
        <v>0</v>
      </c>
      <c r="O258" t="n">
        <v>0</v>
      </c>
      <c r="P258" t="n">
        <v>0</v>
      </c>
      <c r="Q258" t="n">
        <v>0</v>
      </c>
      <c r="R258" s="2" t="inlineStr"/>
    </row>
    <row r="259" ht="15" customHeight="1">
      <c r="A259" t="inlineStr">
        <is>
          <t>A 34588-2024</t>
        </is>
      </c>
      <c r="B259" s="1" t="n">
        <v>45526</v>
      </c>
      <c r="C259" s="1" t="n">
        <v>46203</v>
      </c>
      <c r="D259" t="inlineStr">
        <is>
          <t>KALMAR LÄN</t>
        </is>
      </c>
      <c r="E259" t="inlineStr">
        <is>
          <t>VIMMERBY</t>
        </is>
      </c>
      <c r="F259" t="inlineStr">
        <is>
          <t>Övriga Aktiebolag</t>
        </is>
      </c>
      <c r="G259" t="n">
        <v>3.3</v>
      </c>
      <c r="H259" t="n">
        <v>0</v>
      </c>
      <c r="I259" t="n">
        <v>0</v>
      </c>
      <c r="J259" t="n">
        <v>0</v>
      </c>
      <c r="K259" t="n">
        <v>0</v>
      </c>
      <c r="L259" t="n">
        <v>0</v>
      </c>
      <c r="M259" t="n">
        <v>0</v>
      </c>
      <c r="N259" t="n">
        <v>0</v>
      </c>
      <c r="O259" t="n">
        <v>0</v>
      </c>
      <c r="P259" t="n">
        <v>0</v>
      </c>
      <c r="Q259" t="n">
        <v>0</v>
      </c>
      <c r="R259" s="2" t="inlineStr"/>
    </row>
    <row r="260" ht="15" customHeight="1">
      <c r="A260" t="inlineStr">
        <is>
          <t>A 56659-2023</t>
        </is>
      </c>
      <c r="B260" s="1" t="n">
        <v>45243</v>
      </c>
      <c r="C260" s="1" t="n">
        <v>46203</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61790-2025</t>
        </is>
      </c>
      <c r="B261" s="1" t="n">
        <v>46002</v>
      </c>
      <c r="C261" s="1" t="n">
        <v>46203</v>
      </c>
      <c r="D261" t="inlineStr">
        <is>
          <t>KALMAR LÄN</t>
        </is>
      </c>
      <c r="E261" t="inlineStr">
        <is>
          <t>VIMMERBY</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61726-2025</t>
        </is>
      </c>
      <c r="B262" s="1" t="n">
        <v>46002</v>
      </c>
      <c r="C262" s="1" t="n">
        <v>46203</v>
      </c>
      <c r="D262" t="inlineStr">
        <is>
          <t>KALMAR LÄN</t>
        </is>
      </c>
      <c r="E262" t="inlineStr">
        <is>
          <t>VIMMERBY</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33186-2025</t>
        </is>
      </c>
      <c r="B263" s="1" t="n">
        <v>45840</v>
      </c>
      <c r="C263" s="1" t="n">
        <v>46203</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61725-2025</t>
        </is>
      </c>
      <c r="B264" s="1" t="n">
        <v>46002</v>
      </c>
      <c r="C264" s="1" t="n">
        <v>46203</v>
      </c>
      <c r="D264" t="inlineStr">
        <is>
          <t>KALMAR LÄN</t>
        </is>
      </c>
      <c r="E264" t="inlineStr">
        <is>
          <t>VIMMERBY</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30977-2025</t>
        </is>
      </c>
      <c r="B265" s="1" t="n">
        <v>45832</v>
      </c>
      <c r="C265" s="1" t="n">
        <v>46203</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3331-2023</t>
        </is>
      </c>
      <c r="B266" s="1" t="n">
        <v>44949</v>
      </c>
      <c r="C266" s="1" t="n">
        <v>46203</v>
      </c>
      <c r="D266" t="inlineStr">
        <is>
          <t>KALMAR LÄN</t>
        </is>
      </c>
      <c r="E266" t="inlineStr">
        <is>
          <t>VIMMERBY</t>
        </is>
      </c>
      <c r="G266" t="n">
        <v>6.2</v>
      </c>
      <c r="H266" t="n">
        <v>0</v>
      </c>
      <c r="I266" t="n">
        <v>0</v>
      </c>
      <c r="J266" t="n">
        <v>0</v>
      </c>
      <c r="K266" t="n">
        <v>0</v>
      </c>
      <c r="L266" t="n">
        <v>0</v>
      </c>
      <c r="M266" t="n">
        <v>0</v>
      </c>
      <c r="N266" t="n">
        <v>0</v>
      </c>
      <c r="O266" t="n">
        <v>0</v>
      </c>
      <c r="P266" t="n">
        <v>0</v>
      </c>
      <c r="Q266" t="n">
        <v>0</v>
      </c>
      <c r="R266" s="2" t="inlineStr"/>
    </row>
    <row r="267" ht="15" customHeight="1">
      <c r="A267" t="inlineStr">
        <is>
          <t>A 28702-2025</t>
        </is>
      </c>
      <c r="B267" s="1" t="n">
        <v>45820</v>
      </c>
      <c r="C267" s="1" t="n">
        <v>46203</v>
      </c>
      <c r="D267" t="inlineStr">
        <is>
          <t>KALMAR LÄN</t>
        </is>
      </c>
      <c r="E267" t="inlineStr">
        <is>
          <t>VIMMERBY</t>
        </is>
      </c>
      <c r="G267" t="n">
        <v>2.1</v>
      </c>
      <c r="H267" t="n">
        <v>0</v>
      </c>
      <c r="I267" t="n">
        <v>0</v>
      </c>
      <c r="J267" t="n">
        <v>0</v>
      </c>
      <c r="K267" t="n">
        <v>0</v>
      </c>
      <c r="L267" t="n">
        <v>0</v>
      </c>
      <c r="M267" t="n">
        <v>0</v>
      </c>
      <c r="N267" t="n">
        <v>0</v>
      </c>
      <c r="O267" t="n">
        <v>0</v>
      </c>
      <c r="P267" t="n">
        <v>0</v>
      </c>
      <c r="Q267" t="n">
        <v>0</v>
      </c>
      <c r="R267" s="2" t="inlineStr"/>
    </row>
    <row r="268" ht="15" customHeight="1">
      <c r="A268" t="inlineStr">
        <is>
          <t>A 40828-2023</t>
        </is>
      </c>
      <c r="B268" s="1" t="n">
        <v>45171</v>
      </c>
      <c r="C268" s="1" t="n">
        <v>46203</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16734-2023</t>
        </is>
      </c>
      <c r="B269" s="1" t="n">
        <v>45030</v>
      </c>
      <c r="C269" s="1" t="n">
        <v>46203</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26956-2025</t>
        </is>
      </c>
      <c r="B270" s="1" t="n">
        <v>45811</v>
      </c>
      <c r="C270" s="1" t="n">
        <v>46203</v>
      </c>
      <c r="D270" t="inlineStr">
        <is>
          <t>KALMAR LÄN</t>
        </is>
      </c>
      <c r="E270" t="inlineStr">
        <is>
          <t>VIMMERBY</t>
        </is>
      </c>
      <c r="G270" t="n">
        <v>1.1</v>
      </c>
      <c r="H270" t="n">
        <v>0</v>
      </c>
      <c r="I270" t="n">
        <v>0</v>
      </c>
      <c r="J270" t="n">
        <v>0</v>
      </c>
      <c r="K270" t="n">
        <v>0</v>
      </c>
      <c r="L270" t="n">
        <v>0</v>
      </c>
      <c r="M270" t="n">
        <v>0</v>
      </c>
      <c r="N270" t="n">
        <v>0</v>
      </c>
      <c r="O270" t="n">
        <v>0</v>
      </c>
      <c r="P270" t="n">
        <v>0</v>
      </c>
      <c r="Q270" t="n">
        <v>0</v>
      </c>
      <c r="R270" s="2" t="inlineStr"/>
    </row>
    <row r="271" ht="15" customHeight="1">
      <c r="A271" t="inlineStr">
        <is>
          <t>A 64143-2021</t>
        </is>
      </c>
      <c r="B271" s="1" t="n">
        <v>44510</v>
      </c>
      <c r="C271" s="1" t="n">
        <v>46203</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9720-2023</t>
        </is>
      </c>
      <c r="B272" s="1" t="n">
        <v>44984</v>
      </c>
      <c r="C272" s="1" t="n">
        <v>46203</v>
      </c>
      <c r="D272" t="inlineStr">
        <is>
          <t>KALMAR LÄN</t>
        </is>
      </c>
      <c r="E272" t="inlineStr">
        <is>
          <t>VIMMERBY</t>
        </is>
      </c>
      <c r="G272" t="n">
        <v>4.4</v>
      </c>
      <c r="H272" t="n">
        <v>0</v>
      </c>
      <c r="I272" t="n">
        <v>0</v>
      </c>
      <c r="J272" t="n">
        <v>0</v>
      </c>
      <c r="K272" t="n">
        <v>0</v>
      </c>
      <c r="L272" t="n">
        <v>0</v>
      </c>
      <c r="M272" t="n">
        <v>0</v>
      </c>
      <c r="N272" t="n">
        <v>0</v>
      </c>
      <c r="O272" t="n">
        <v>0</v>
      </c>
      <c r="P272" t="n">
        <v>0</v>
      </c>
      <c r="Q272" t="n">
        <v>0</v>
      </c>
      <c r="R272" s="2" t="inlineStr"/>
    </row>
    <row r="273" ht="15" customHeight="1">
      <c r="A273" t="inlineStr">
        <is>
          <t>A 5938-2022</t>
        </is>
      </c>
      <c r="B273" s="1" t="n">
        <v>44598</v>
      </c>
      <c r="C273" s="1" t="n">
        <v>46203</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1687-2023</t>
        </is>
      </c>
      <c r="B274" s="1" t="n">
        <v>44938</v>
      </c>
      <c r="C274" s="1" t="n">
        <v>46203</v>
      </c>
      <c r="D274" t="inlineStr">
        <is>
          <t>KALMAR LÄN</t>
        </is>
      </c>
      <c r="E274" t="inlineStr">
        <is>
          <t>VIMMERBY</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29440-2024</t>
        </is>
      </c>
      <c r="B275" s="1" t="n">
        <v>45483</v>
      </c>
      <c r="C275" s="1" t="n">
        <v>46203</v>
      </c>
      <c r="D275" t="inlineStr">
        <is>
          <t>KALMAR LÄN</t>
        </is>
      </c>
      <c r="E275" t="inlineStr">
        <is>
          <t>VIMMERBY</t>
        </is>
      </c>
      <c r="G275" t="n">
        <v>4.5</v>
      </c>
      <c r="H275" t="n">
        <v>0</v>
      </c>
      <c r="I275" t="n">
        <v>0</v>
      </c>
      <c r="J275" t="n">
        <v>0</v>
      </c>
      <c r="K275" t="n">
        <v>0</v>
      </c>
      <c r="L275" t="n">
        <v>0</v>
      </c>
      <c r="M275" t="n">
        <v>0</v>
      </c>
      <c r="N275" t="n">
        <v>0</v>
      </c>
      <c r="O275" t="n">
        <v>0</v>
      </c>
      <c r="P275" t="n">
        <v>0</v>
      </c>
      <c r="Q275" t="n">
        <v>0</v>
      </c>
      <c r="R275" s="2" t="inlineStr"/>
    </row>
    <row r="276" ht="15" customHeight="1">
      <c r="A276" t="inlineStr">
        <is>
          <t>A 30921-2024</t>
        </is>
      </c>
      <c r="B276" s="1" t="n">
        <v>45498</v>
      </c>
      <c r="C276" s="1" t="n">
        <v>46203</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34628-2025</t>
        </is>
      </c>
      <c r="B277" s="1" t="n">
        <v>45847</v>
      </c>
      <c r="C277" s="1" t="n">
        <v>46203</v>
      </c>
      <c r="D277" t="inlineStr">
        <is>
          <t>KALMAR LÄN</t>
        </is>
      </c>
      <c r="E277" t="inlineStr">
        <is>
          <t>VIMMERBY</t>
        </is>
      </c>
      <c r="G277" t="n">
        <v>4.2</v>
      </c>
      <c r="H277" t="n">
        <v>0</v>
      </c>
      <c r="I277" t="n">
        <v>0</v>
      </c>
      <c r="J277" t="n">
        <v>0</v>
      </c>
      <c r="K277" t="n">
        <v>0</v>
      </c>
      <c r="L277" t="n">
        <v>0</v>
      </c>
      <c r="M277" t="n">
        <v>0</v>
      </c>
      <c r="N277" t="n">
        <v>0</v>
      </c>
      <c r="O277" t="n">
        <v>0</v>
      </c>
      <c r="P277" t="n">
        <v>0</v>
      </c>
      <c r="Q277" t="n">
        <v>0</v>
      </c>
      <c r="R277" s="2" t="inlineStr"/>
    </row>
    <row r="278" ht="15" customHeight="1">
      <c r="A278" t="inlineStr">
        <is>
          <t>A 53482-2022</t>
        </is>
      </c>
      <c r="B278" s="1" t="n">
        <v>44879</v>
      </c>
      <c r="C278" s="1" t="n">
        <v>46203</v>
      </c>
      <c r="D278" t="inlineStr">
        <is>
          <t>KALMAR LÄN</t>
        </is>
      </c>
      <c r="E278" t="inlineStr">
        <is>
          <t>VIMMERBY</t>
        </is>
      </c>
      <c r="G278" t="n">
        <v>10.1</v>
      </c>
      <c r="H278" t="n">
        <v>0</v>
      </c>
      <c r="I278" t="n">
        <v>0</v>
      </c>
      <c r="J278" t="n">
        <v>0</v>
      </c>
      <c r="K278" t="n">
        <v>0</v>
      </c>
      <c r="L278" t="n">
        <v>0</v>
      </c>
      <c r="M278" t="n">
        <v>0</v>
      </c>
      <c r="N278" t="n">
        <v>0</v>
      </c>
      <c r="O278" t="n">
        <v>0</v>
      </c>
      <c r="P278" t="n">
        <v>0</v>
      </c>
      <c r="Q278" t="n">
        <v>0</v>
      </c>
      <c r="R278" s="2" t="inlineStr"/>
    </row>
    <row r="279" ht="15" customHeight="1">
      <c r="A279" t="inlineStr">
        <is>
          <t>A 35271-2025</t>
        </is>
      </c>
      <c r="B279" s="1" t="n">
        <v>45853</v>
      </c>
      <c r="C279" s="1" t="n">
        <v>46203</v>
      </c>
      <c r="D279" t="inlineStr">
        <is>
          <t>KALMAR LÄN</t>
        </is>
      </c>
      <c r="E279" t="inlineStr">
        <is>
          <t>VIMMERBY</t>
        </is>
      </c>
      <c r="G279" t="n">
        <v>0.4</v>
      </c>
      <c r="H279" t="n">
        <v>0</v>
      </c>
      <c r="I279" t="n">
        <v>0</v>
      </c>
      <c r="J279" t="n">
        <v>0</v>
      </c>
      <c r="K279" t="n">
        <v>0</v>
      </c>
      <c r="L279" t="n">
        <v>0</v>
      </c>
      <c r="M279" t="n">
        <v>0</v>
      </c>
      <c r="N279" t="n">
        <v>0</v>
      </c>
      <c r="O279" t="n">
        <v>0</v>
      </c>
      <c r="P279" t="n">
        <v>0</v>
      </c>
      <c r="Q279" t="n">
        <v>0</v>
      </c>
      <c r="R279" s="2" t="inlineStr"/>
    </row>
    <row r="280" ht="15" customHeight="1">
      <c r="A280" t="inlineStr">
        <is>
          <t>A 16953-2025</t>
        </is>
      </c>
      <c r="B280" s="1" t="n">
        <v>45755</v>
      </c>
      <c r="C280" s="1" t="n">
        <v>46203</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63848-2025</t>
        </is>
      </c>
      <c r="B281" s="1" t="n">
        <v>46020</v>
      </c>
      <c r="C281" s="1" t="n">
        <v>46203</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63758-2025</t>
        </is>
      </c>
      <c r="B282" s="1" t="n">
        <v>46018</v>
      </c>
      <c r="C282" s="1" t="n">
        <v>46203</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29180-2024</t>
        </is>
      </c>
      <c r="B283" s="1" t="n">
        <v>45482</v>
      </c>
      <c r="C283" s="1" t="n">
        <v>46203</v>
      </c>
      <c r="D283" t="inlineStr">
        <is>
          <t>KALMAR LÄN</t>
        </is>
      </c>
      <c r="E283" t="inlineStr">
        <is>
          <t>VIMMERBY</t>
        </is>
      </c>
      <c r="G283" t="n">
        <v>3.8</v>
      </c>
      <c r="H283" t="n">
        <v>0</v>
      </c>
      <c r="I283" t="n">
        <v>0</v>
      </c>
      <c r="J283" t="n">
        <v>0</v>
      </c>
      <c r="K283" t="n">
        <v>0</v>
      </c>
      <c r="L283" t="n">
        <v>0</v>
      </c>
      <c r="M283" t="n">
        <v>0</v>
      </c>
      <c r="N283" t="n">
        <v>0</v>
      </c>
      <c r="O283" t="n">
        <v>0</v>
      </c>
      <c r="P283" t="n">
        <v>0</v>
      </c>
      <c r="Q283" t="n">
        <v>0</v>
      </c>
      <c r="R283" s="2" t="inlineStr"/>
    </row>
    <row r="284" ht="15" customHeight="1">
      <c r="A284" t="inlineStr">
        <is>
          <t>A 54838-2024</t>
        </is>
      </c>
      <c r="B284" s="1" t="n">
        <v>45618</v>
      </c>
      <c r="C284" s="1" t="n">
        <v>46203</v>
      </c>
      <c r="D284" t="inlineStr">
        <is>
          <t>KALMAR LÄN</t>
        </is>
      </c>
      <c r="E284" t="inlineStr">
        <is>
          <t>VIMMERBY</t>
        </is>
      </c>
      <c r="G284" t="n">
        <v>3.3</v>
      </c>
      <c r="H284" t="n">
        <v>0</v>
      </c>
      <c r="I284" t="n">
        <v>0</v>
      </c>
      <c r="J284" t="n">
        <v>0</v>
      </c>
      <c r="K284" t="n">
        <v>0</v>
      </c>
      <c r="L284" t="n">
        <v>0</v>
      </c>
      <c r="M284" t="n">
        <v>0</v>
      </c>
      <c r="N284" t="n">
        <v>0</v>
      </c>
      <c r="O284" t="n">
        <v>0</v>
      </c>
      <c r="P284" t="n">
        <v>0</v>
      </c>
      <c r="Q284" t="n">
        <v>0</v>
      </c>
      <c r="R284" s="2" t="inlineStr"/>
    </row>
    <row r="285" ht="15" customHeight="1">
      <c r="A285" t="inlineStr">
        <is>
          <t>A 25987-2024</t>
        </is>
      </c>
      <c r="B285" s="1" t="n">
        <v>45467</v>
      </c>
      <c r="C285" s="1" t="n">
        <v>46203</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409-2026</t>
        </is>
      </c>
      <c r="B286" s="1" t="n">
        <v>46028</v>
      </c>
      <c r="C286" s="1" t="n">
        <v>46203</v>
      </c>
      <c r="D286" t="inlineStr">
        <is>
          <t>KALMAR LÄN</t>
        </is>
      </c>
      <c r="E286" t="inlineStr">
        <is>
          <t>VIMMERBY</t>
        </is>
      </c>
      <c r="G286" t="n">
        <v>2.2</v>
      </c>
      <c r="H286" t="n">
        <v>0</v>
      </c>
      <c r="I286" t="n">
        <v>0</v>
      </c>
      <c r="J286" t="n">
        <v>0</v>
      </c>
      <c r="K286" t="n">
        <v>0</v>
      </c>
      <c r="L286" t="n">
        <v>0</v>
      </c>
      <c r="M286" t="n">
        <v>0</v>
      </c>
      <c r="N286" t="n">
        <v>0</v>
      </c>
      <c r="O286" t="n">
        <v>0</v>
      </c>
      <c r="P286" t="n">
        <v>0</v>
      </c>
      <c r="Q286" t="n">
        <v>0</v>
      </c>
      <c r="R286" s="2" t="inlineStr"/>
    </row>
    <row r="287" ht="15" customHeight="1">
      <c r="A287" t="inlineStr">
        <is>
          <t>A 25109-2023</t>
        </is>
      </c>
      <c r="B287" s="1" t="n">
        <v>45086</v>
      </c>
      <c r="C287" s="1" t="n">
        <v>46203</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406-2026</t>
        </is>
      </c>
      <c r="B288" s="1" t="n">
        <v>46028</v>
      </c>
      <c r="C288" s="1" t="n">
        <v>46203</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62023-2022</t>
        </is>
      </c>
      <c r="B289" s="1" t="n">
        <v>44918</v>
      </c>
      <c r="C289" s="1" t="n">
        <v>46203</v>
      </c>
      <c r="D289" t="inlineStr">
        <is>
          <t>KALMAR LÄN</t>
        </is>
      </c>
      <c r="E289" t="inlineStr">
        <is>
          <t>VIMMERBY</t>
        </is>
      </c>
      <c r="G289" t="n">
        <v>0.3</v>
      </c>
      <c r="H289" t="n">
        <v>0</v>
      </c>
      <c r="I289" t="n">
        <v>0</v>
      </c>
      <c r="J289" t="n">
        <v>0</v>
      </c>
      <c r="K289" t="n">
        <v>0</v>
      </c>
      <c r="L289" t="n">
        <v>0</v>
      </c>
      <c r="M289" t="n">
        <v>0</v>
      </c>
      <c r="N289" t="n">
        <v>0</v>
      </c>
      <c r="O289" t="n">
        <v>0</v>
      </c>
      <c r="P289" t="n">
        <v>0</v>
      </c>
      <c r="Q289" t="n">
        <v>0</v>
      </c>
      <c r="R289" s="2" t="inlineStr"/>
    </row>
    <row r="290" ht="15" customHeight="1">
      <c r="A290" t="inlineStr">
        <is>
          <t>A 579-2026</t>
        </is>
      </c>
      <c r="B290" s="1" t="n">
        <v>46029</v>
      </c>
      <c r="C290" s="1" t="n">
        <v>46203</v>
      </c>
      <c r="D290" t="inlineStr">
        <is>
          <t>KALMAR LÄN</t>
        </is>
      </c>
      <c r="E290" t="inlineStr">
        <is>
          <t>VIMMERBY</t>
        </is>
      </c>
      <c r="G290" t="n">
        <v>3</v>
      </c>
      <c r="H290" t="n">
        <v>0</v>
      </c>
      <c r="I290" t="n">
        <v>0</v>
      </c>
      <c r="J290" t="n">
        <v>0</v>
      </c>
      <c r="K290" t="n">
        <v>0</v>
      </c>
      <c r="L290" t="n">
        <v>0</v>
      </c>
      <c r="M290" t="n">
        <v>0</v>
      </c>
      <c r="N290" t="n">
        <v>0</v>
      </c>
      <c r="O290" t="n">
        <v>0</v>
      </c>
      <c r="P290" t="n">
        <v>0</v>
      </c>
      <c r="Q290" t="n">
        <v>0</v>
      </c>
      <c r="R290" s="2" t="inlineStr"/>
    </row>
    <row r="291" ht="15" customHeight="1">
      <c r="A291" t="inlineStr">
        <is>
          <t>A 58104-2024</t>
        </is>
      </c>
      <c r="B291" s="1" t="n">
        <v>45632</v>
      </c>
      <c r="C291" s="1" t="n">
        <v>46203</v>
      </c>
      <c r="D291" t="inlineStr">
        <is>
          <t>KALMAR LÄN</t>
        </is>
      </c>
      <c r="E291" t="inlineStr">
        <is>
          <t>VIMMERBY</t>
        </is>
      </c>
      <c r="G291" t="n">
        <v>5</v>
      </c>
      <c r="H291" t="n">
        <v>0</v>
      </c>
      <c r="I291" t="n">
        <v>0</v>
      </c>
      <c r="J291" t="n">
        <v>0</v>
      </c>
      <c r="K291" t="n">
        <v>0</v>
      </c>
      <c r="L291" t="n">
        <v>0</v>
      </c>
      <c r="M291" t="n">
        <v>0</v>
      </c>
      <c r="N291" t="n">
        <v>0</v>
      </c>
      <c r="O291" t="n">
        <v>0</v>
      </c>
      <c r="P291" t="n">
        <v>0</v>
      </c>
      <c r="Q291" t="n">
        <v>0</v>
      </c>
      <c r="R291" s="2" t="inlineStr"/>
    </row>
    <row r="292" ht="15" customHeight="1">
      <c r="A292" t="inlineStr">
        <is>
          <t>A 12215-2024</t>
        </is>
      </c>
      <c r="B292" s="1" t="n">
        <v>45378</v>
      </c>
      <c r="C292" s="1" t="n">
        <v>46203</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30920-2024</t>
        </is>
      </c>
      <c r="B293" s="1" t="n">
        <v>45498</v>
      </c>
      <c r="C293" s="1" t="n">
        <v>46203</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19502-2025</t>
        </is>
      </c>
      <c r="B294" s="1" t="n">
        <v>45769</v>
      </c>
      <c r="C294" s="1" t="n">
        <v>46203</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56536-2022</t>
        </is>
      </c>
      <c r="B295" s="1" t="n">
        <v>44893</v>
      </c>
      <c r="C295" s="1" t="n">
        <v>46203</v>
      </c>
      <c r="D295" t="inlineStr">
        <is>
          <t>KALMAR LÄN</t>
        </is>
      </c>
      <c r="E295" t="inlineStr">
        <is>
          <t>VIMMERBY</t>
        </is>
      </c>
      <c r="G295" t="n">
        <v>3.2</v>
      </c>
      <c r="H295" t="n">
        <v>0</v>
      </c>
      <c r="I295" t="n">
        <v>0</v>
      </c>
      <c r="J295" t="n">
        <v>0</v>
      </c>
      <c r="K295" t="n">
        <v>0</v>
      </c>
      <c r="L295" t="n">
        <v>0</v>
      </c>
      <c r="M295" t="n">
        <v>0</v>
      </c>
      <c r="N295" t="n">
        <v>0</v>
      </c>
      <c r="O295" t="n">
        <v>0</v>
      </c>
      <c r="P295" t="n">
        <v>0</v>
      </c>
      <c r="Q295" t="n">
        <v>0</v>
      </c>
      <c r="R295" s="2" t="inlineStr"/>
    </row>
    <row r="296" ht="15" customHeight="1">
      <c r="A296" t="inlineStr">
        <is>
          <t>A 63541-2023</t>
        </is>
      </c>
      <c r="B296" s="1" t="n">
        <v>45275</v>
      </c>
      <c r="C296" s="1" t="n">
        <v>46203</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842-2026</t>
        </is>
      </c>
      <c r="B297" s="1" t="n">
        <v>46030</v>
      </c>
      <c r="C297" s="1" t="n">
        <v>46203</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37323-2024</t>
        </is>
      </c>
      <c r="B298" s="1" t="n">
        <v>45540</v>
      </c>
      <c r="C298" s="1" t="n">
        <v>46203</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1069-2026</t>
        </is>
      </c>
      <c r="B299" s="1" t="n">
        <v>46030</v>
      </c>
      <c r="C299" s="1" t="n">
        <v>46203</v>
      </c>
      <c r="D299" t="inlineStr">
        <is>
          <t>KALMAR LÄN</t>
        </is>
      </c>
      <c r="E299" t="inlineStr">
        <is>
          <t>VIMMERBY</t>
        </is>
      </c>
      <c r="G299" t="n">
        <v>3.3</v>
      </c>
      <c r="H299" t="n">
        <v>0</v>
      </c>
      <c r="I299" t="n">
        <v>0</v>
      </c>
      <c r="J299" t="n">
        <v>0</v>
      </c>
      <c r="K299" t="n">
        <v>0</v>
      </c>
      <c r="L299" t="n">
        <v>0</v>
      </c>
      <c r="M299" t="n">
        <v>0</v>
      </c>
      <c r="N299" t="n">
        <v>0</v>
      </c>
      <c r="O299" t="n">
        <v>0</v>
      </c>
      <c r="P299" t="n">
        <v>0</v>
      </c>
      <c r="Q299" t="n">
        <v>0</v>
      </c>
      <c r="R299" s="2" t="inlineStr"/>
    </row>
    <row r="300" ht="15" customHeight="1">
      <c r="A300" t="inlineStr">
        <is>
          <t>A 36299-2025</t>
        </is>
      </c>
      <c r="B300" s="1" t="n">
        <v>45867</v>
      </c>
      <c r="C300" s="1" t="n">
        <v>46203</v>
      </c>
      <c r="D300" t="inlineStr">
        <is>
          <t>KALMAR LÄN</t>
        </is>
      </c>
      <c r="E300" t="inlineStr">
        <is>
          <t>VIMMERBY</t>
        </is>
      </c>
      <c r="G300" t="n">
        <v>7.6</v>
      </c>
      <c r="H300" t="n">
        <v>0</v>
      </c>
      <c r="I300" t="n">
        <v>0</v>
      </c>
      <c r="J300" t="n">
        <v>0</v>
      </c>
      <c r="K300" t="n">
        <v>0</v>
      </c>
      <c r="L300" t="n">
        <v>0</v>
      </c>
      <c r="M300" t="n">
        <v>0</v>
      </c>
      <c r="N300" t="n">
        <v>0</v>
      </c>
      <c r="O300" t="n">
        <v>0</v>
      </c>
      <c r="P300" t="n">
        <v>0</v>
      </c>
      <c r="Q300" t="n">
        <v>0</v>
      </c>
      <c r="R300" s="2" t="inlineStr"/>
    </row>
    <row r="301" ht="15" customHeight="1">
      <c r="A301" t="inlineStr">
        <is>
          <t>A 36297-2025</t>
        </is>
      </c>
      <c r="B301" s="1" t="n">
        <v>45867</v>
      </c>
      <c r="C301" s="1" t="n">
        <v>46203</v>
      </c>
      <c r="D301" t="inlineStr">
        <is>
          <t>KALMAR LÄN</t>
        </is>
      </c>
      <c r="E301" t="inlineStr">
        <is>
          <t>VIMMERBY</t>
        </is>
      </c>
      <c r="G301" t="n">
        <v>4.9</v>
      </c>
      <c r="H301" t="n">
        <v>0</v>
      </c>
      <c r="I301" t="n">
        <v>0</v>
      </c>
      <c r="J301" t="n">
        <v>0</v>
      </c>
      <c r="K301" t="n">
        <v>0</v>
      </c>
      <c r="L301" t="n">
        <v>0</v>
      </c>
      <c r="M301" t="n">
        <v>0</v>
      </c>
      <c r="N301" t="n">
        <v>0</v>
      </c>
      <c r="O301" t="n">
        <v>0</v>
      </c>
      <c r="P301" t="n">
        <v>0</v>
      </c>
      <c r="Q301" t="n">
        <v>0</v>
      </c>
      <c r="R301" s="2" t="inlineStr"/>
    </row>
    <row r="302" ht="15" customHeight="1">
      <c r="A302" t="inlineStr">
        <is>
          <t>A 36538-2025</t>
        </is>
      </c>
      <c r="B302" s="1" t="n">
        <v>45869</v>
      </c>
      <c r="C302" s="1" t="n">
        <v>46203</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36601-2025</t>
        </is>
      </c>
      <c r="B303" s="1" t="n">
        <v>45870</v>
      </c>
      <c r="C303" s="1" t="n">
        <v>46203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36603-2025</t>
        </is>
      </c>
      <c r="B304" s="1" t="n">
        <v>45870</v>
      </c>
      <c r="C304" s="1" t="n">
        <v>46203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1743-2026</t>
        </is>
      </c>
      <c r="B305" s="1" t="n">
        <v>46034</v>
      </c>
      <c r="C305" s="1" t="n">
        <v>46203</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1748-2026</t>
        </is>
      </c>
      <c r="B306" s="1" t="n">
        <v>46034</v>
      </c>
      <c r="C306" s="1" t="n">
        <v>46203</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1862-2026</t>
        </is>
      </c>
      <c r="B307" s="1" t="n">
        <v>46035</v>
      </c>
      <c r="C307" s="1" t="n">
        <v>46203</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11429-2022</t>
        </is>
      </c>
      <c r="B308" s="1" t="n">
        <v>44630</v>
      </c>
      <c r="C308" s="1" t="n">
        <v>46203</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56582-2022</t>
        </is>
      </c>
      <c r="B309" s="1" t="n">
        <v>44893</v>
      </c>
      <c r="C309" s="1" t="n">
        <v>46203</v>
      </c>
      <c r="D309" t="inlineStr">
        <is>
          <t>KALMAR LÄN</t>
        </is>
      </c>
      <c r="E309" t="inlineStr">
        <is>
          <t>VIMMERBY</t>
        </is>
      </c>
      <c r="G309" t="n">
        <v>2.2</v>
      </c>
      <c r="H309" t="n">
        <v>0</v>
      </c>
      <c r="I309" t="n">
        <v>0</v>
      </c>
      <c r="J309" t="n">
        <v>0</v>
      </c>
      <c r="K309" t="n">
        <v>0</v>
      </c>
      <c r="L309" t="n">
        <v>0</v>
      </c>
      <c r="M309" t="n">
        <v>0</v>
      </c>
      <c r="N309" t="n">
        <v>0</v>
      </c>
      <c r="O309" t="n">
        <v>0</v>
      </c>
      <c r="P309" t="n">
        <v>0</v>
      </c>
      <c r="Q309" t="n">
        <v>0</v>
      </c>
      <c r="R309" s="2" t="inlineStr"/>
    </row>
    <row r="310" ht="15" customHeight="1">
      <c r="A310" t="inlineStr">
        <is>
          <t>A 2523-2026</t>
        </is>
      </c>
      <c r="B310" s="1" t="n">
        <v>46037</v>
      </c>
      <c r="C310" s="1" t="n">
        <v>46203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2514-2026</t>
        </is>
      </c>
      <c r="B311" s="1" t="n">
        <v>46037</v>
      </c>
      <c r="C311" s="1" t="n">
        <v>46203</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2518-2026</t>
        </is>
      </c>
      <c r="B312" s="1" t="n">
        <v>46037</v>
      </c>
      <c r="C312" s="1" t="n">
        <v>46203</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37668-2025</t>
        </is>
      </c>
      <c r="B313" s="1" t="n">
        <v>45880</v>
      </c>
      <c r="C313" s="1" t="n">
        <v>46203</v>
      </c>
      <c r="D313" t="inlineStr">
        <is>
          <t>KALMAR LÄN</t>
        </is>
      </c>
      <c r="E313" t="inlineStr">
        <is>
          <t>VIMMERBY</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37578-2025</t>
        </is>
      </c>
      <c r="B314" s="1" t="n">
        <v>45880</v>
      </c>
      <c r="C314" s="1" t="n">
        <v>46203</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6408-2025</t>
        </is>
      </c>
      <c r="B315" s="1" t="n">
        <v>45699</v>
      </c>
      <c r="C315" s="1" t="n">
        <v>46203</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11609-2023</t>
        </is>
      </c>
      <c r="B316" s="1" t="n">
        <v>44994</v>
      </c>
      <c r="C316" s="1" t="n">
        <v>46203</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3965-2026</t>
        </is>
      </c>
      <c r="B317" s="1" t="n">
        <v>46044</v>
      </c>
      <c r="C317" s="1" t="n">
        <v>46203</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3868-2026</t>
        </is>
      </c>
      <c r="B318" s="1" t="n">
        <v>46043</v>
      </c>
      <c r="C318" s="1" t="n">
        <v>46203</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3869-2026</t>
        </is>
      </c>
      <c r="B319" s="1" t="n">
        <v>46043</v>
      </c>
      <c r="C319" s="1" t="n">
        <v>46203</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44464-2024</t>
        </is>
      </c>
      <c r="B320" s="1" t="n">
        <v>45574</v>
      </c>
      <c r="C320" s="1" t="n">
        <v>46203</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41066-2024</t>
        </is>
      </c>
      <c r="B321" s="1" t="n">
        <v>45559</v>
      </c>
      <c r="C321" s="1" t="n">
        <v>46203</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3816-2022</t>
        </is>
      </c>
      <c r="B322" s="1" t="n">
        <v>44587</v>
      </c>
      <c r="C322" s="1" t="n">
        <v>46203</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1081-2023</t>
        </is>
      </c>
      <c r="B323" s="1" t="n">
        <v>44935</v>
      </c>
      <c r="C323" s="1" t="n">
        <v>46203</v>
      </c>
      <c r="D323" t="inlineStr">
        <is>
          <t>KALMAR LÄN</t>
        </is>
      </c>
      <c r="E323" t="inlineStr">
        <is>
          <t>VIMMERBY</t>
        </is>
      </c>
      <c r="G323" t="n">
        <v>1.3</v>
      </c>
      <c r="H323" t="n">
        <v>0</v>
      </c>
      <c r="I323" t="n">
        <v>0</v>
      </c>
      <c r="J323" t="n">
        <v>0</v>
      </c>
      <c r="K323" t="n">
        <v>0</v>
      </c>
      <c r="L323" t="n">
        <v>0</v>
      </c>
      <c r="M323" t="n">
        <v>0</v>
      </c>
      <c r="N323" t="n">
        <v>0</v>
      </c>
      <c r="O323" t="n">
        <v>0</v>
      </c>
      <c r="P323" t="n">
        <v>0</v>
      </c>
      <c r="Q323" t="n">
        <v>0</v>
      </c>
      <c r="R323" s="2" t="inlineStr"/>
    </row>
    <row r="324" ht="15" customHeight="1">
      <c r="A324" t="inlineStr">
        <is>
          <t>A 7047-2022</t>
        </is>
      </c>
      <c r="B324" s="1" t="n">
        <v>44603</v>
      </c>
      <c r="C324" s="1" t="n">
        <v>46203</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12499-2023</t>
        </is>
      </c>
      <c r="B325" s="1" t="n">
        <v>44999</v>
      </c>
      <c r="C325" s="1" t="n">
        <v>46203</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12500-2023</t>
        </is>
      </c>
      <c r="B326" s="1" t="n">
        <v>44999</v>
      </c>
      <c r="C326" s="1" t="n">
        <v>46203</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6066-2023</t>
        </is>
      </c>
      <c r="B327" s="1" t="n">
        <v>44964</v>
      </c>
      <c r="C327" s="1" t="n">
        <v>46203</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33103-2024</t>
        </is>
      </c>
      <c r="B328" s="1" t="n">
        <v>45517</v>
      </c>
      <c r="C328" s="1" t="n">
        <v>46203</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12510-2022</t>
        </is>
      </c>
      <c r="B329" s="1" t="n">
        <v>44638</v>
      </c>
      <c r="C329" s="1" t="n">
        <v>46203</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1146-2025</t>
        </is>
      </c>
      <c r="B330" s="1" t="n">
        <v>45666</v>
      </c>
      <c r="C330" s="1" t="n">
        <v>46203</v>
      </c>
      <c r="D330" t="inlineStr">
        <is>
          <t>KALMAR LÄN</t>
        </is>
      </c>
      <c r="E330" t="inlineStr">
        <is>
          <t>VIMMERBY</t>
        </is>
      </c>
      <c r="G330" t="n">
        <v>4</v>
      </c>
      <c r="H330" t="n">
        <v>0</v>
      </c>
      <c r="I330" t="n">
        <v>0</v>
      </c>
      <c r="J330" t="n">
        <v>0</v>
      </c>
      <c r="K330" t="n">
        <v>0</v>
      </c>
      <c r="L330" t="n">
        <v>0</v>
      </c>
      <c r="M330" t="n">
        <v>0</v>
      </c>
      <c r="N330" t="n">
        <v>0</v>
      </c>
      <c r="O330" t="n">
        <v>0</v>
      </c>
      <c r="P330" t="n">
        <v>0</v>
      </c>
      <c r="Q330" t="n">
        <v>0</v>
      </c>
      <c r="R330" s="2" t="inlineStr"/>
    </row>
    <row r="331" ht="15" customHeight="1">
      <c r="A331" t="inlineStr">
        <is>
          <t>A 12890-2023</t>
        </is>
      </c>
      <c r="B331" s="1" t="n">
        <v>45001</v>
      </c>
      <c r="C331" s="1" t="n">
        <v>46203</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3902-2022</t>
        </is>
      </c>
      <c r="B332" s="1" t="n">
        <v>44587</v>
      </c>
      <c r="C332" s="1" t="n">
        <v>46203</v>
      </c>
      <c r="D332" t="inlineStr">
        <is>
          <t>KALMAR LÄN</t>
        </is>
      </c>
      <c r="E332" t="inlineStr">
        <is>
          <t>VIMMERBY</t>
        </is>
      </c>
      <c r="G332" t="n">
        <v>2.6</v>
      </c>
      <c r="H332" t="n">
        <v>0</v>
      </c>
      <c r="I332" t="n">
        <v>0</v>
      </c>
      <c r="J332" t="n">
        <v>0</v>
      </c>
      <c r="K332" t="n">
        <v>0</v>
      </c>
      <c r="L332" t="n">
        <v>0</v>
      </c>
      <c r="M332" t="n">
        <v>0</v>
      </c>
      <c r="N332" t="n">
        <v>0</v>
      </c>
      <c r="O332" t="n">
        <v>0</v>
      </c>
      <c r="P332" t="n">
        <v>0</v>
      </c>
      <c r="Q332" t="n">
        <v>0</v>
      </c>
      <c r="R332" s="2" t="inlineStr"/>
    </row>
    <row r="333" ht="15" customHeight="1">
      <c r="A333" t="inlineStr">
        <is>
          <t>A 89-2023</t>
        </is>
      </c>
      <c r="B333" s="1" t="n">
        <v>44918</v>
      </c>
      <c r="C333" s="1" t="n">
        <v>46203</v>
      </c>
      <c r="D333" t="inlineStr">
        <is>
          <t>KALMAR LÄN</t>
        </is>
      </c>
      <c r="E333" t="inlineStr">
        <is>
          <t>VIMMERBY</t>
        </is>
      </c>
      <c r="G333" t="n">
        <v>16.1</v>
      </c>
      <c r="H333" t="n">
        <v>0</v>
      </c>
      <c r="I333" t="n">
        <v>0</v>
      </c>
      <c r="J333" t="n">
        <v>0</v>
      </c>
      <c r="K333" t="n">
        <v>0</v>
      </c>
      <c r="L333" t="n">
        <v>0</v>
      </c>
      <c r="M333" t="n">
        <v>0</v>
      </c>
      <c r="N333" t="n">
        <v>0</v>
      </c>
      <c r="O333" t="n">
        <v>0</v>
      </c>
      <c r="P333" t="n">
        <v>0</v>
      </c>
      <c r="Q333" t="n">
        <v>0</v>
      </c>
      <c r="R333" s="2" t="inlineStr"/>
    </row>
    <row r="334" ht="15" customHeight="1">
      <c r="A334" t="inlineStr">
        <is>
          <t>A 5382-2023</t>
        </is>
      </c>
      <c r="B334" s="1" t="n">
        <v>44959</v>
      </c>
      <c r="C334" s="1" t="n">
        <v>46203</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6668-2023</t>
        </is>
      </c>
      <c r="B335" s="1" t="n">
        <v>44966</v>
      </c>
      <c r="C335" s="1" t="n">
        <v>46203</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30634-2024</t>
        </is>
      </c>
      <c r="B336" s="1" t="n">
        <v>45495</v>
      </c>
      <c r="C336" s="1" t="n">
        <v>46203</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6355-2022</t>
        </is>
      </c>
      <c r="B337" s="1" t="n">
        <v>44600</v>
      </c>
      <c r="C337" s="1" t="n">
        <v>46203</v>
      </c>
      <c r="D337" t="inlineStr">
        <is>
          <t>KALMAR LÄN</t>
        </is>
      </c>
      <c r="E337" t="inlineStr">
        <is>
          <t>VIMMERBY</t>
        </is>
      </c>
      <c r="G337" t="n">
        <v>4.9</v>
      </c>
      <c r="H337" t="n">
        <v>0</v>
      </c>
      <c r="I337" t="n">
        <v>0</v>
      </c>
      <c r="J337" t="n">
        <v>0</v>
      </c>
      <c r="K337" t="n">
        <v>0</v>
      </c>
      <c r="L337" t="n">
        <v>0</v>
      </c>
      <c r="M337" t="n">
        <v>0</v>
      </c>
      <c r="N337" t="n">
        <v>0</v>
      </c>
      <c r="O337" t="n">
        <v>0</v>
      </c>
      <c r="P337" t="n">
        <v>0</v>
      </c>
      <c r="Q337" t="n">
        <v>0</v>
      </c>
      <c r="R337" s="2" t="inlineStr"/>
    </row>
    <row r="338" ht="15" customHeight="1">
      <c r="A338" t="inlineStr">
        <is>
          <t>A 16020-2023</t>
        </is>
      </c>
      <c r="B338" s="1" t="n">
        <v>45026</v>
      </c>
      <c r="C338" s="1" t="n">
        <v>46203</v>
      </c>
      <c r="D338" t="inlineStr">
        <is>
          <t>KALMAR LÄN</t>
        </is>
      </c>
      <c r="E338" t="inlineStr">
        <is>
          <t>VIMMERBY</t>
        </is>
      </c>
      <c r="G338" t="n">
        <v>1.1</v>
      </c>
      <c r="H338" t="n">
        <v>0</v>
      </c>
      <c r="I338" t="n">
        <v>0</v>
      </c>
      <c r="J338" t="n">
        <v>0</v>
      </c>
      <c r="K338" t="n">
        <v>0</v>
      </c>
      <c r="L338" t="n">
        <v>0</v>
      </c>
      <c r="M338" t="n">
        <v>0</v>
      </c>
      <c r="N338" t="n">
        <v>0</v>
      </c>
      <c r="O338" t="n">
        <v>0</v>
      </c>
      <c r="P338" t="n">
        <v>0</v>
      </c>
      <c r="Q338" t="n">
        <v>0</v>
      </c>
      <c r="R338" s="2" t="inlineStr"/>
    </row>
    <row r="339" ht="15" customHeight="1">
      <c r="A339" t="inlineStr">
        <is>
          <t>A 60292-2022</t>
        </is>
      </c>
      <c r="B339" s="1" t="n">
        <v>44910</v>
      </c>
      <c r="C339" s="1" t="n">
        <v>46203</v>
      </c>
      <c r="D339" t="inlineStr">
        <is>
          <t>KALMAR LÄN</t>
        </is>
      </c>
      <c r="E339" t="inlineStr">
        <is>
          <t>VIMMERBY</t>
        </is>
      </c>
      <c r="G339" t="n">
        <v>4.4</v>
      </c>
      <c r="H339" t="n">
        <v>0</v>
      </c>
      <c r="I339" t="n">
        <v>0</v>
      </c>
      <c r="J339" t="n">
        <v>0</v>
      </c>
      <c r="K339" t="n">
        <v>0</v>
      </c>
      <c r="L339" t="n">
        <v>0</v>
      </c>
      <c r="M339" t="n">
        <v>0</v>
      </c>
      <c r="N339" t="n">
        <v>0</v>
      </c>
      <c r="O339" t="n">
        <v>0</v>
      </c>
      <c r="P339" t="n">
        <v>0</v>
      </c>
      <c r="Q339" t="n">
        <v>0</v>
      </c>
      <c r="R339" s="2" t="inlineStr"/>
    </row>
    <row r="340" ht="15" customHeight="1">
      <c r="A340" t="inlineStr">
        <is>
          <t>A 43034-2024</t>
        </is>
      </c>
      <c r="B340" s="1" t="n">
        <v>45567</v>
      </c>
      <c r="C340" s="1" t="n">
        <v>46203</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40256-2024</t>
        </is>
      </c>
      <c r="B341" s="1" t="n">
        <v>45554</v>
      </c>
      <c r="C341" s="1" t="n">
        <v>46203</v>
      </c>
      <c r="D341" t="inlineStr">
        <is>
          <t>KALMAR LÄN</t>
        </is>
      </c>
      <c r="E341" t="inlineStr">
        <is>
          <t>VIMMERBY</t>
        </is>
      </c>
      <c r="G341" t="n">
        <v>0.9</v>
      </c>
      <c r="H341" t="n">
        <v>0</v>
      </c>
      <c r="I341" t="n">
        <v>0</v>
      </c>
      <c r="J341" t="n">
        <v>0</v>
      </c>
      <c r="K341" t="n">
        <v>0</v>
      </c>
      <c r="L341" t="n">
        <v>0</v>
      </c>
      <c r="M341" t="n">
        <v>0</v>
      </c>
      <c r="N341" t="n">
        <v>0</v>
      </c>
      <c r="O341" t="n">
        <v>0</v>
      </c>
      <c r="P341" t="n">
        <v>0</v>
      </c>
      <c r="Q341" t="n">
        <v>0</v>
      </c>
      <c r="R341" s="2" t="inlineStr"/>
    </row>
    <row r="342" ht="15" customHeight="1">
      <c r="A342" t="inlineStr">
        <is>
          <t>A 6817-2026</t>
        </is>
      </c>
      <c r="B342" s="1" t="n">
        <v>46057</v>
      </c>
      <c r="C342" s="1" t="n">
        <v>46203</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43093-2024</t>
        </is>
      </c>
      <c r="B343" s="1" t="n">
        <v>45567</v>
      </c>
      <c r="C343" s="1" t="n">
        <v>46203</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35198-2023</t>
        </is>
      </c>
      <c r="B344" s="1" t="n">
        <v>45145</v>
      </c>
      <c r="C344" s="1" t="n">
        <v>46203</v>
      </c>
      <c r="D344" t="inlineStr">
        <is>
          <t>KALMAR LÄN</t>
        </is>
      </c>
      <c r="E344" t="inlineStr">
        <is>
          <t>VIMMERBY</t>
        </is>
      </c>
      <c r="G344" t="n">
        <v>1.6</v>
      </c>
      <c r="H344" t="n">
        <v>0</v>
      </c>
      <c r="I344" t="n">
        <v>0</v>
      </c>
      <c r="J344" t="n">
        <v>0</v>
      </c>
      <c r="K344" t="n">
        <v>0</v>
      </c>
      <c r="L344" t="n">
        <v>0</v>
      </c>
      <c r="M344" t="n">
        <v>0</v>
      </c>
      <c r="N344" t="n">
        <v>0</v>
      </c>
      <c r="O344" t="n">
        <v>0</v>
      </c>
      <c r="P344" t="n">
        <v>0</v>
      </c>
      <c r="Q344" t="n">
        <v>0</v>
      </c>
      <c r="R344" s="2" t="inlineStr"/>
    </row>
    <row r="345" ht="15" customHeight="1">
      <c r="A345" t="inlineStr">
        <is>
          <t>A 8595-2026</t>
        </is>
      </c>
      <c r="B345" s="1" t="n">
        <v>46065</v>
      </c>
      <c r="C345" s="1" t="n">
        <v>46203</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55300-2021</t>
        </is>
      </c>
      <c r="B346" s="1" t="n">
        <v>44475</v>
      </c>
      <c r="C346" s="1" t="n">
        <v>46203</v>
      </c>
      <c r="D346" t="inlineStr">
        <is>
          <t>KALMAR LÄN</t>
        </is>
      </c>
      <c r="E346" t="inlineStr">
        <is>
          <t>VIMMERBY</t>
        </is>
      </c>
      <c r="G346" t="n">
        <v>3.4</v>
      </c>
      <c r="H346" t="n">
        <v>0</v>
      </c>
      <c r="I346" t="n">
        <v>0</v>
      </c>
      <c r="J346" t="n">
        <v>0</v>
      </c>
      <c r="K346" t="n">
        <v>0</v>
      </c>
      <c r="L346" t="n">
        <v>0</v>
      </c>
      <c r="M346" t="n">
        <v>0</v>
      </c>
      <c r="N346" t="n">
        <v>0</v>
      </c>
      <c r="O346" t="n">
        <v>0</v>
      </c>
      <c r="P346" t="n">
        <v>0</v>
      </c>
      <c r="Q346" t="n">
        <v>0</v>
      </c>
      <c r="R346" s="2" t="inlineStr"/>
    </row>
    <row r="347" ht="15" customHeight="1">
      <c r="A347" t="inlineStr">
        <is>
          <t>A 47263-2023</t>
        </is>
      </c>
      <c r="B347" s="1" t="n">
        <v>45202</v>
      </c>
      <c r="C347" s="1" t="n">
        <v>46203</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2536-2023</t>
        </is>
      </c>
      <c r="B348" s="1" t="n">
        <v>44943</v>
      </c>
      <c r="C348" s="1" t="n">
        <v>46203</v>
      </c>
      <c r="D348" t="inlineStr">
        <is>
          <t>KALMAR LÄN</t>
        </is>
      </c>
      <c r="E348" t="inlineStr">
        <is>
          <t>VIMMERBY</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2801-2023</t>
        </is>
      </c>
      <c r="B349" s="1" t="n">
        <v>44944</v>
      </c>
      <c r="C349" s="1" t="n">
        <v>46203</v>
      </c>
      <c r="D349" t="inlineStr">
        <is>
          <t>KALMAR LÄN</t>
        </is>
      </c>
      <c r="E349" t="inlineStr">
        <is>
          <t>VIMMERBY</t>
        </is>
      </c>
      <c r="G349" t="n">
        <v>0.6</v>
      </c>
      <c r="H349" t="n">
        <v>0</v>
      </c>
      <c r="I349" t="n">
        <v>0</v>
      </c>
      <c r="J349" t="n">
        <v>0</v>
      </c>
      <c r="K349" t="n">
        <v>0</v>
      </c>
      <c r="L349" t="n">
        <v>0</v>
      </c>
      <c r="M349" t="n">
        <v>0</v>
      </c>
      <c r="N349" t="n">
        <v>0</v>
      </c>
      <c r="O349" t="n">
        <v>0</v>
      </c>
      <c r="P349" t="n">
        <v>0</v>
      </c>
      <c r="Q349" t="n">
        <v>0</v>
      </c>
      <c r="R349" s="2" t="inlineStr"/>
    </row>
    <row r="350" ht="15" customHeight="1">
      <c r="A350" t="inlineStr">
        <is>
          <t>A 14451-2024</t>
        </is>
      </c>
      <c r="B350" s="1" t="n">
        <v>45394</v>
      </c>
      <c r="C350" s="1" t="n">
        <v>46203</v>
      </c>
      <c r="D350" t="inlineStr">
        <is>
          <t>KALMAR LÄN</t>
        </is>
      </c>
      <c r="E350" t="inlineStr">
        <is>
          <t>VIMMERBY</t>
        </is>
      </c>
      <c r="G350" t="n">
        <v>1.9</v>
      </c>
      <c r="H350" t="n">
        <v>0</v>
      </c>
      <c r="I350" t="n">
        <v>0</v>
      </c>
      <c r="J350" t="n">
        <v>0</v>
      </c>
      <c r="K350" t="n">
        <v>0</v>
      </c>
      <c r="L350" t="n">
        <v>0</v>
      </c>
      <c r="M350" t="n">
        <v>0</v>
      </c>
      <c r="N350" t="n">
        <v>0</v>
      </c>
      <c r="O350" t="n">
        <v>0</v>
      </c>
      <c r="P350" t="n">
        <v>0</v>
      </c>
      <c r="Q350" t="n">
        <v>0</v>
      </c>
      <c r="R350" s="2" t="inlineStr"/>
    </row>
    <row r="351" ht="15" customHeight="1">
      <c r="A351" t="inlineStr">
        <is>
          <t>A 50993-2022</t>
        </is>
      </c>
      <c r="B351" s="1" t="n">
        <v>44867</v>
      </c>
      <c r="C351" s="1" t="n">
        <v>46203</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46225-2024</t>
        </is>
      </c>
      <c r="B352" s="1" t="n">
        <v>45581</v>
      </c>
      <c r="C352" s="1" t="n">
        <v>46203</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36055-2024</t>
        </is>
      </c>
      <c r="B353" s="1" t="n">
        <v>45533</v>
      </c>
      <c r="C353" s="1" t="n">
        <v>46203</v>
      </c>
      <c r="D353" t="inlineStr">
        <is>
          <t>KALMAR LÄN</t>
        </is>
      </c>
      <c r="E353" t="inlineStr">
        <is>
          <t>VIMMERBY</t>
        </is>
      </c>
      <c r="F353" t="inlineStr">
        <is>
          <t>Kommuner</t>
        </is>
      </c>
      <c r="G353" t="n">
        <v>1.9</v>
      </c>
      <c r="H353" t="n">
        <v>0</v>
      </c>
      <c r="I353" t="n">
        <v>0</v>
      </c>
      <c r="J353" t="n">
        <v>0</v>
      </c>
      <c r="K353" t="n">
        <v>0</v>
      </c>
      <c r="L353" t="n">
        <v>0</v>
      </c>
      <c r="M353" t="n">
        <v>0</v>
      </c>
      <c r="N353" t="n">
        <v>0</v>
      </c>
      <c r="O353" t="n">
        <v>0</v>
      </c>
      <c r="P353" t="n">
        <v>0</v>
      </c>
      <c r="Q353" t="n">
        <v>0</v>
      </c>
      <c r="R353" s="2" t="inlineStr"/>
    </row>
    <row r="354" ht="15" customHeight="1">
      <c r="A354" t="inlineStr">
        <is>
          <t>A 47859-2024</t>
        </is>
      </c>
      <c r="B354" s="1" t="n">
        <v>45588</v>
      </c>
      <c r="C354" s="1" t="n">
        <v>46203</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11407-2026</t>
        </is>
      </c>
      <c r="B355" s="1" t="n">
        <v>46083</v>
      </c>
      <c r="C355" s="1" t="n">
        <v>46203</v>
      </c>
      <c r="D355" t="inlineStr">
        <is>
          <t>KALMAR LÄN</t>
        </is>
      </c>
      <c r="E355" t="inlineStr">
        <is>
          <t>VIMMERBY</t>
        </is>
      </c>
      <c r="G355" t="n">
        <v>2.3</v>
      </c>
      <c r="H355" t="n">
        <v>0</v>
      </c>
      <c r="I355" t="n">
        <v>0</v>
      </c>
      <c r="J355" t="n">
        <v>0</v>
      </c>
      <c r="K355" t="n">
        <v>0</v>
      </c>
      <c r="L355" t="n">
        <v>0</v>
      </c>
      <c r="M355" t="n">
        <v>0</v>
      </c>
      <c r="N355" t="n">
        <v>0</v>
      </c>
      <c r="O355" t="n">
        <v>0</v>
      </c>
      <c r="P355" t="n">
        <v>0</v>
      </c>
      <c r="Q355" t="n">
        <v>0</v>
      </c>
      <c r="R355" s="2" t="inlineStr"/>
    </row>
    <row r="356" ht="15" customHeight="1">
      <c r="A356" t="inlineStr">
        <is>
          <t>A 32835-2022</t>
        </is>
      </c>
      <c r="B356" s="1" t="n">
        <v>44784</v>
      </c>
      <c r="C356" s="1" t="n">
        <v>46203</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11415-2026</t>
        </is>
      </c>
      <c r="B357" s="1" t="n">
        <v>46083</v>
      </c>
      <c r="C357" s="1" t="n">
        <v>46203</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41896-2023</t>
        </is>
      </c>
      <c r="B358" s="1" t="n">
        <v>45176</v>
      </c>
      <c r="C358" s="1" t="n">
        <v>46203</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43606-2024</t>
        </is>
      </c>
      <c r="B359" s="1" t="n">
        <v>45569</v>
      </c>
      <c r="C359" s="1" t="n">
        <v>46203</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12325-2023</t>
        </is>
      </c>
      <c r="B360" s="1" t="n">
        <v>44999</v>
      </c>
      <c r="C360" s="1" t="n">
        <v>46203</v>
      </c>
      <c r="D360" t="inlineStr">
        <is>
          <t>KALMAR LÄN</t>
        </is>
      </c>
      <c r="E360" t="inlineStr">
        <is>
          <t>VIMMERBY</t>
        </is>
      </c>
      <c r="G360" t="n">
        <v>3.4</v>
      </c>
      <c r="H360" t="n">
        <v>0</v>
      </c>
      <c r="I360" t="n">
        <v>0</v>
      </c>
      <c r="J360" t="n">
        <v>0</v>
      </c>
      <c r="K360" t="n">
        <v>0</v>
      </c>
      <c r="L360" t="n">
        <v>0</v>
      </c>
      <c r="M360" t="n">
        <v>0</v>
      </c>
      <c r="N360" t="n">
        <v>0</v>
      </c>
      <c r="O360" t="n">
        <v>0</v>
      </c>
      <c r="P360" t="n">
        <v>0</v>
      </c>
      <c r="Q360" t="n">
        <v>0</v>
      </c>
      <c r="R360" s="2" t="inlineStr"/>
    </row>
    <row r="361" ht="15" customHeight="1">
      <c r="A361" t="inlineStr">
        <is>
          <t>A 40665-2023</t>
        </is>
      </c>
      <c r="B361" s="1" t="n">
        <v>45170</v>
      </c>
      <c r="C361" s="1" t="n">
        <v>46203</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28034-2022</t>
        </is>
      </c>
      <c r="B362" s="1" t="n">
        <v>44746</v>
      </c>
      <c r="C362" s="1" t="n">
        <v>46203</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12730-2026</t>
        </is>
      </c>
      <c r="B363" s="1" t="n">
        <v>46091</v>
      </c>
      <c r="C363" s="1" t="n">
        <v>46203</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55605-2024</t>
        </is>
      </c>
      <c r="B364" s="1" t="n">
        <v>45622</v>
      </c>
      <c r="C364" s="1" t="n">
        <v>46203</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42165-2024</t>
        </is>
      </c>
      <c r="B365" s="1" t="n">
        <v>45562</v>
      </c>
      <c r="C365" s="1" t="n">
        <v>46203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12820-2026</t>
        </is>
      </c>
      <c r="B366" s="1" t="n">
        <v>46092</v>
      </c>
      <c r="C366" s="1" t="n">
        <v>46203</v>
      </c>
      <c r="D366" t="inlineStr">
        <is>
          <t>KALMAR LÄN</t>
        </is>
      </c>
      <c r="E366" t="inlineStr">
        <is>
          <t>VIMMERBY</t>
        </is>
      </c>
      <c r="G366" t="n">
        <v>4.3</v>
      </c>
      <c r="H366" t="n">
        <v>0</v>
      </c>
      <c r="I366" t="n">
        <v>0</v>
      </c>
      <c r="J366" t="n">
        <v>0</v>
      </c>
      <c r="K366" t="n">
        <v>0</v>
      </c>
      <c r="L366" t="n">
        <v>0</v>
      </c>
      <c r="M366" t="n">
        <v>0</v>
      </c>
      <c r="N366" t="n">
        <v>0</v>
      </c>
      <c r="O366" t="n">
        <v>0</v>
      </c>
      <c r="P366" t="n">
        <v>0</v>
      </c>
      <c r="Q366" t="n">
        <v>0</v>
      </c>
      <c r="R366" s="2" t="inlineStr"/>
    </row>
    <row r="367" ht="15" customHeight="1">
      <c r="A367" t="inlineStr">
        <is>
          <t>A 12821-2026</t>
        </is>
      </c>
      <c r="B367" s="1" t="n">
        <v>46092</v>
      </c>
      <c r="C367" s="1" t="n">
        <v>46203</v>
      </c>
      <c r="D367" t="inlineStr">
        <is>
          <t>KALMAR LÄN</t>
        </is>
      </c>
      <c r="E367" t="inlineStr">
        <is>
          <t>VIMMERBY</t>
        </is>
      </c>
      <c r="G367" t="n">
        <v>2.5</v>
      </c>
      <c r="H367" t="n">
        <v>0</v>
      </c>
      <c r="I367" t="n">
        <v>0</v>
      </c>
      <c r="J367" t="n">
        <v>0</v>
      </c>
      <c r="K367" t="n">
        <v>0</v>
      </c>
      <c r="L367" t="n">
        <v>0</v>
      </c>
      <c r="M367" t="n">
        <v>0</v>
      </c>
      <c r="N367" t="n">
        <v>0</v>
      </c>
      <c r="O367" t="n">
        <v>0</v>
      </c>
      <c r="P367" t="n">
        <v>0</v>
      </c>
      <c r="Q367" t="n">
        <v>0</v>
      </c>
      <c r="R367" s="2" t="inlineStr"/>
    </row>
    <row r="368" ht="15" customHeight="1">
      <c r="A368" t="inlineStr">
        <is>
          <t>A 12825-2026</t>
        </is>
      </c>
      <c r="B368" s="1" t="n">
        <v>46092</v>
      </c>
      <c r="C368" s="1" t="n">
        <v>46203</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23095-2023</t>
        </is>
      </c>
      <c r="B369" s="1" t="n">
        <v>45075</v>
      </c>
      <c r="C369" s="1" t="n">
        <v>46203</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32919-2022</t>
        </is>
      </c>
      <c r="B370" s="1" t="n">
        <v>44784</v>
      </c>
      <c r="C370" s="1" t="n">
        <v>46203</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7068-2024</t>
        </is>
      </c>
      <c r="B371" s="1" t="n">
        <v>45343</v>
      </c>
      <c r="C371" s="1" t="n">
        <v>46203</v>
      </c>
      <c r="D371" t="inlineStr">
        <is>
          <t>KALMAR LÄN</t>
        </is>
      </c>
      <c r="E371" t="inlineStr">
        <is>
          <t>VIMMERBY</t>
        </is>
      </c>
      <c r="G371" t="n">
        <v>2.5</v>
      </c>
      <c r="H371" t="n">
        <v>0</v>
      </c>
      <c r="I371" t="n">
        <v>0</v>
      </c>
      <c r="J371" t="n">
        <v>0</v>
      </c>
      <c r="K371" t="n">
        <v>0</v>
      </c>
      <c r="L371" t="n">
        <v>0</v>
      </c>
      <c r="M371" t="n">
        <v>0</v>
      </c>
      <c r="N371" t="n">
        <v>0</v>
      </c>
      <c r="O371" t="n">
        <v>0</v>
      </c>
      <c r="P371" t="n">
        <v>0</v>
      </c>
      <c r="Q371" t="n">
        <v>0</v>
      </c>
      <c r="R371" s="2" t="inlineStr"/>
    </row>
    <row r="372" ht="15" customHeight="1">
      <c r="A372" t="inlineStr">
        <is>
          <t>A 13793-2026</t>
        </is>
      </c>
      <c r="B372" s="1" t="n">
        <v>46097</v>
      </c>
      <c r="C372" s="1" t="n">
        <v>46203</v>
      </c>
      <c r="D372" t="inlineStr">
        <is>
          <t>KALMAR LÄN</t>
        </is>
      </c>
      <c r="E372" t="inlineStr">
        <is>
          <t>VIMMERBY</t>
        </is>
      </c>
      <c r="G372" t="n">
        <v>2.9</v>
      </c>
      <c r="H372" t="n">
        <v>0</v>
      </c>
      <c r="I372" t="n">
        <v>0</v>
      </c>
      <c r="J372" t="n">
        <v>0</v>
      </c>
      <c r="K372" t="n">
        <v>0</v>
      </c>
      <c r="L372" t="n">
        <v>0</v>
      </c>
      <c r="M372" t="n">
        <v>0</v>
      </c>
      <c r="N372" t="n">
        <v>0</v>
      </c>
      <c r="O372" t="n">
        <v>0</v>
      </c>
      <c r="P372" t="n">
        <v>0</v>
      </c>
      <c r="Q372" t="n">
        <v>0</v>
      </c>
      <c r="R372" s="2" t="inlineStr"/>
    </row>
    <row r="373" ht="15" customHeight="1">
      <c r="A373" t="inlineStr">
        <is>
          <t>A 14279-2026</t>
        </is>
      </c>
      <c r="B373" s="1" t="n">
        <v>46099</v>
      </c>
      <c r="C373" s="1" t="n">
        <v>46203</v>
      </c>
      <c r="D373" t="inlineStr">
        <is>
          <t>KALMAR LÄN</t>
        </is>
      </c>
      <c r="E373" t="inlineStr">
        <is>
          <t>VIMMERBY</t>
        </is>
      </c>
      <c r="G373" t="n">
        <v>2.8</v>
      </c>
      <c r="H373" t="n">
        <v>0</v>
      </c>
      <c r="I373" t="n">
        <v>0</v>
      </c>
      <c r="J373" t="n">
        <v>0</v>
      </c>
      <c r="K373" t="n">
        <v>0</v>
      </c>
      <c r="L373" t="n">
        <v>0</v>
      </c>
      <c r="M373" t="n">
        <v>0</v>
      </c>
      <c r="N373" t="n">
        <v>0</v>
      </c>
      <c r="O373" t="n">
        <v>0</v>
      </c>
      <c r="P373" t="n">
        <v>0</v>
      </c>
      <c r="Q373" t="n">
        <v>0</v>
      </c>
      <c r="R373" s="2" t="inlineStr"/>
    </row>
    <row r="374" ht="15" customHeight="1">
      <c r="A374" t="inlineStr">
        <is>
          <t>A 32655-2023</t>
        </is>
      </c>
      <c r="B374" s="1" t="n">
        <v>45121</v>
      </c>
      <c r="C374" s="1" t="n">
        <v>46203</v>
      </c>
      <c r="D374" t="inlineStr">
        <is>
          <t>KALMAR LÄN</t>
        </is>
      </c>
      <c r="E374" t="inlineStr">
        <is>
          <t>VIMMERBY</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54409-2024</t>
        </is>
      </c>
      <c r="B375" s="1" t="n">
        <v>45617</v>
      </c>
      <c r="C375" s="1" t="n">
        <v>46203</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14320-2026</t>
        </is>
      </c>
      <c r="B376" s="1" t="n">
        <v>46099</v>
      </c>
      <c r="C376" s="1" t="n">
        <v>46203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9475-2023</t>
        </is>
      </c>
      <c r="B377" s="1" t="n">
        <v>44981</v>
      </c>
      <c r="C377" s="1" t="n">
        <v>46203</v>
      </c>
      <c r="D377" t="inlineStr">
        <is>
          <t>KALMAR LÄN</t>
        </is>
      </c>
      <c r="E377" t="inlineStr">
        <is>
          <t>VIMMERBY</t>
        </is>
      </c>
      <c r="G377" t="n">
        <v>2</v>
      </c>
      <c r="H377" t="n">
        <v>0</v>
      </c>
      <c r="I377" t="n">
        <v>0</v>
      </c>
      <c r="J377" t="n">
        <v>0</v>
      </c>
      <c r="K377" t="n">
        <v>0</v>
      </c>
      <c r="L377" t="n">
        <v>0</v>
      </c>
      <c r="M377" t="n">
        <v>0</v>
      </c>
      <c r="N377" t="n">
        <v>0</v>
      </c>
      <c r="O377" t="n">
        <v>0</v>
      </c>
      <c r="P377" t="n">
        <v>0</v>
      </c>
      <c r="Q377" t="n">
        <v>0</v>
      </c>
      <c r="R377" s="2" t="inlineStr"/>
    </row>
    <row r="378" ht="15" customHeight="1">
      <c r="A378" t="inlineStr">
        <is>
          <t>A 14318-2026</t>
        </is>
      </c>
      <c r="B378" s="1" t="n">
        <v>46099</v>
      </c>
      <c r="C378" s="1" t="n">
        <v>46203</v>
      </c>
      <c r="D378" t="inlineStr">
        <is>
          <t>KALMAR LÄN</t>
        </is>
      </c>
      <c r="E378" t="inlineStr">
        <is>
          <t>VIMMERBY</t>
        </is>
      </c>
      <c r="G378" t="n">
        <v>0.7</v>
      </c>
      <c r="H378" t="n">
        <v>0</v>
      </c>
      <c r="I378" t="n">
        <v>0</v>
      </c>
      <c r="J378" t="n">
        <v>0</v>
      </c>
      <c r="K378" t="n">
        <v>0</v>
      </c>
      <c r="L378" t="n">
        <v>0</v>
      </c>
      <c r="M378" t="n">
        <v>0</v>
      </c>
      <c r="N378" t="n">
        <v>0</v>
      </c>
      <c r="O378" t="n">
        <v>0</v>
      </c>
      <c r="P378" t="n">
        <v>0</v>
      </c>
      <c r="Q378" t="n">
        <v>0</v>
      </c>
      <c r="R378" s="2" t="inlineStr"/>
    </row>
    <row r="379" ht="15" customHeight="1">
      <c r="A379" t="inlineStr">
        <is>
          <t>A 15205-2026</t>
        </is>
      </c>
      <c r="B379" s="1" t="n">
        <v>46105</v>
      </c>
      <c r="C379" s="1" t="n">
        <v>46203</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14793-2026</t>
        </is>
      </c>
      <c r="B380" s="1" t="n">
        <v>46101</v>
      </c>
      <c r="C380" s="1" t="n">
        <v>46203</v>
      </c>
      <c r="D380" t="inlineStr">
        <is>
          <t>KALMAR LÄN</t>
        </is>
      </c>
      <c r="E380" t="inlineStr">
        <is>
          <t>VIMMERBY</t>
        </is>
      </c>
      <c r="G380" t="n">
        <v>5.7</v>
      </c>
      <c r="H380" t="n">
        <v>0</v>
      </c>
      <c r="I380" t="n">
        <v>0</v>
      </c>
      <c r="J380" t="n">
        <v>0</v>
      </c>
      <c r="K380" t="n">
        <v>0</v>
      </c>
      <c r="L380" t="n">
        <v>0</v>
      </c>
      <c r="M380" t="n">
        <v>0</v>
      </c>
      <c r="N380" t="n">
        <v>0</v>
      </c>
      <c r="O380" t="n">
        <v>0</v>
      </c>
      <c r="P380" t="n">
        <v>0</v>
      </c>
      <c r="Q380" t="n">
        <v>0</v>
      </c>
      <c r="R380" s="2" t="inlineStr"/>
    </row>
    <row r="381" ht="15" customHeight="1">
      <c r="A381" t="inlineStr">
        <is>
          <t>A 14792-2026</t>
        </is>
      </c>
      <c r="B381" s="1" t="n">
        <v>46101</v>
      </c>
      <c r="C381" s="1" t="n">
        <v>46203</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11619-2023</t>
        </is>
      </c>
      <c r="B382" s="1" t="n">
        <v>44994</v>
      </c>
      <c r="C382" s="1" t="n">
        <v>46203</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5074-2023</t>
        </is>
      </c>
      <c r="B383" s="1" t="n">
        <v>44958</v>
      </c>
      <c r="C383" s="1" t="n">
        <v>46203</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6368-2023</t>
        </is>
      </c>
      <c r="B384" s="1" t="n">
        <v>44965</v>
      </c>
      <c r="C384" s="1" t="n">
        <v>46203</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5701-2024</t>
        </is>
      </c>
      <c r="B385" s="1" t="n">
        <v>45334</v>
      </c>
      <c r="C385" s="1" t="n">
        <v>46203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16183-2026</t>
        </is>
      </c>
      <c r="B386" s="1" t="n">
        <v>46111</v>
      </c>
      <c r="C386" s="1" t="n">
        <v>46203</v>
      </c>
      <c r="D386" t="inlineStr">
        <is>
          <t>KALMAR LÄN</t>
        </is>
      </c>
      <c r="E386" t="inlineStr">
        <is>
          <t>VIMMERBY</t>
        </is>
      </c>
      <c r="G386" t="n">
        <v>1.7</v>
      </c>
      <c r="H386" t="n">
        <v>0</v>
      </c>
      <c r="I386" t="n">
        <v>0</v>
      </c>
      <c r="J386" t="n">
        <v>0</v>
      </c>
      <c r="K386" t="n">
        <v>0</v>
      </c>
      <c r="L386" t="n">
        <v>0</v>
      </c>
      <c r="M386" t="n">
        <v>0</v>
      </c>
      <c r="N386" t="n">
        <v>0</v>
      </c>
      <c r="O386" t="n">
        <v>0</v>
      </c>
      <c r="P386" t="n">
        <v>0</v>
      </c>
      <c r="Q386" t="n">
        <v>0</v>
      </c>
      <c r="R386" s="2" t="inlineStr"/>
    </row>
    <row r="387" ht="15" customHeight="1">
      <c r="A387" t="inlineStr">
        <is>
          <t>A 7797-2023</t>
        </is>
      </c>
      <c r="B387" s="1" t="n">
        <v>44973</v>
      </c>
      <c r="C387" s="1" t="n">
        <v>46203</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16632-2026</t>
        </is>
      </c>
      <c r="B388" s="1" t="n">
        <v>46112</v>
      </c>
      <c r="C388" s="1" t="n">
        <v>46203</v>
      </c>
      <c r="D388" t="inlineStr">
        <is>
          <t>KALMAR LÄN</t>
        </is>
      </c>
      <c r="E388" t="inlineStr">
        <is>
          <t>VIMMERBY</t>
        </is>
      </c>
      <c r="G388" t="n">
        <v>2.1</v>
      </c>
      <c r="H388" t="n">
        <v>0</v>
      </c>
      <c r="I388" t="n">
        <v>0</v>
      </c>
      <c r="J388" t="n">
        <v>0</v>
      </c>
      <c r="K388" t="n">
        <v>0</v>
      </c>
      <c r="L388" t="n">
        <v>0</v>
      </c>
      <c r="M388" t="n">
        <v>0</v>
      </c>
      <c r="N388" t="n">
        <v>0</v>
      </c>
      <c r="O388" t="n">
        <v>0</v>
      </c>
      <c r="P388" t="n">
        <v>0</v>
      </c>
      <c r="Q388" t="n">
        <v>0</v>
      </c>
      <c r="R388" s="2" t="inlineStr"/>
    </row>
    <row r="389" ht="15" customHeight="1">
      <c r="A389" t="inlineStr">
        <is>
          <t>A 16653-2026</t>
        </is>
      </c>
      <c r="B389" s="1" t="n">
        <v>46112</v>
      </c>
      <c r="C389" s="1" t="n">
        <v>46203</v>
      </c>
      <c r="D389" t="inlineStr">
        <is>
          <t>KALMAR LÄN</t>
        </is>
      </c>
      <c r="E389" t="inlineStr">
        <is>
          <t>VIMMERBY</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16672-2026</t>
        </is>
      </c>
      <c r="B390" s="1" t="n">
        <v>46112</v>
      </c>
      <c r="C390" s="1" t="n">
        <v>46203</v>
      </c>
      <c r="D390" t="inlineStr">
        <is>
          <t>KALMAR LÄN</t>
        </is>
      </c>
      <c r="E390" t="inlineStr">
        <is>
          <t>VIMMERBY</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16870-2026</t>
        </is>
      </c>
      <c r="B391" s="1" t="n">
        <v>46113</v>
      </c>
      <c r="C391" s="1" t="n">
        <v>46203</v>
      </c>
      <c r="D391" t="inlineStr">
        <is>
          <t>KALMAR LÄN</t>
        </is>
      </c>
      <c r="E391" t="inlineStr">
        <is>
          <t>VIMMERBY</t>
        </is>
      </c>
      <c r="G391" t="n">
        <v>2</v>
      </c>
      <c r="H391" t="n">
        <v>0</v>
      </c>
      <c r="I391" t="n">
        <v>0</v>
      </c>
      <c r="J391" t="n">
        <v>0</v>
      </c>
      <c r="K391" t="n">
        <v>0</v>
      </c>
      <c r="L391" t="n">
        <v>0</v>
      </c>
      <c r="M391" t="n">
        <v>0</v>
      </c>
      <c r="N391" t="n">
        <v>0</v>
      </c>
      <c r="O391" t="n">
        <v>0</v>
      </c>
      <c r="P391" t="n">
        <v>0</v>
      </c>
      <c r="Q391" t="n">
        <v>0</v>
      </c>
      <c r="R391" s="2" t="inlineStr"/>
    </row>
    <row r="392" ht="15" customHeight="1">
      <c r="A392" t="inlineStr">
        <is>
          <t>A 16795-2026</t>
        </is>
      </c>
      <c r="B392" s="1" t="n">
        <v>46113</v>
      </c>
      <c r="C392" s="1" t="n">
        <v>46203</v>
      </c>
      <c r="D392" t="inlineStr">
        <is>
          <t>KALMAR LÄN</t>
        </is>
      </c>
      <c r="E392" t="inlineStr">
        <is>
          <t>VIMMERBY</t>
        </is>
      </c>
      <c r="G392" t="n">
        <v>2.1</v>
      </c>
      <c r="H392" t="n">
        <v>0</v>
      </c>
      <c r="I392" t="n">
        <v>0</v>
      </c>
      <c r="J392" t="n">
        <v>0</v>
      </c>
      <c r="K392" t="n">
        <v>0</v>
      </c>
      <c r="L392" t="n">
        <v>0</v>
      </c>
      <c r="M392" t="n">
        <v>0</v>
      </c>
      <c r="N392" t="n">
        <v>0</v>
      </c>
      <c r="O392" t="n">
        <v>0</v>
      </c>
      <c r="P392" t="n">
        <v>0</v>
      </c>
      <c r="Q392" t="n">
        <v>0</v>
      </c>
      <c r="R392" s="2" t="inlineStr"/>
    </row>
    <row r="393" ht="15" customHeight="1">
      <c r="A393" t="inlineStr">
        <is>
          <t>A 16799-2026</t>
        </is>
      </c>
      <c r="B393" s="1" t="n">
        <v>46113</v>
      </c>
      <c r="C393" s="1" t="n">
        <v>46203</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16801-2026</t>
        </is>
      </c>
      <c r="B394" s="1" t="n">
        <v>46113</v>
      </c>
      <c r="C394" s="1" t="n">
        <v>46203</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16675-2026</t>
        </is>
      </c>
      <c r="B395" s="1" t="n">
        <v>46112</v>
      </c>
      <c r="C395" s="1" t="n">
        <v>46203</v>
      </c>
      <c r="D395" t="inlineStr">
        <is>
          <t>KALMAR LÄN</t>
        </is>
      </c>
      <c r="E395" t="inlineStr">
        <is>
          <t>VIMMERBY</t>
        </is>
      </c>
      <c r="F395" t="inlineStr">
        <is>
          <t>Kommuner</t>
        </is>
      </c>
      <c r="G395" t="n">
        <v>0.8</v>
      </c>
      <c r="H395" t="n">
        <v>0</v>
      </c>
      <c r="I395" t="n">
        <v>0</v>
      </c>
      <c r="J395" t="n">
        <v>0</v>
      </c>
      <c r="K395" t="n">
        <v>0</v>
      </c>
      <c r="L395" t="n">
        <v>0</v>
      </c>
      <c r="M395" t="n">
        <v>0</v>
      </c>
      <c r="N395" t="n">
        <v>0</v>
      </c>
      <c r="O395" t="n">
        <v>0</v>
      </c>
      <c r="P395" t="n">
        <v>0</v>
      </c>
      <c r="Q395" t="n">
        <v>0</v>
      </c>
      <c r="R395" s="2" t="inlineStr"/>
    </row>
    <row r="396" ht="15" customHeight="1">
      <c r="A396" t="inlineStr">
        <is>
          <t>A 16678-2026</t>
        </is>
      </c>
      <c r="B396" s="1" t="n">
        <v>46112</v>
      </c>
      <c r="C396" s="1" t="n">
        <v>46203</v>
      </c>
      <c r="D396" t="inlineStr">
        <is>
          <t>KALMAR LÄN</t>
        </is>
      </c>
      <c r="E396" t="inlineStr">
        <is>
          <t>VIMMERBY</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16648-2026</t>
        </is>
      </c>
      <c r="B397" s="1" t="n">
        <v>46112</v>
      </c>
      <c r="C397" s="1" t="n">
        <v>46203</v>
      </c>
      <c r="D397" t="inlineStr">
        <is>
          <t>KALMAR LÄN</t>
        </is>
      </c>
      <c r="E397" t="inlineStr">
        <is>
          <t>VIMMERBY</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16656-2026</t>
        </is>
      </c>
      <c r="B398" s="1" t="n">
        <v>46112</v>
      </c>
      <c r="C398" s="1" t="n">
        <v>46203</v>
      </c>
      <c r="D398" t="inlineStr">
        <is>
          <t>KALMAR LÄN</t>
        </is>
      </c>
      <c r="E398" t="inlineStr">
        <is>
          <t>VIMMERBY</t>
        </is>
      </c>
      <c r="F398" t="inlineStr">
        <is>
          <t>Kommuner</t>
        </is>
      </c>
      <c r="G398" t="n">
        <v>5.5</v>
      </c>
      <c r="H398" t="n">
        <v>0</v>
      </c>
      <c r="I398" t="n">
        <v>0</v>
      </c>
      <c r="J398" t="n">
        <v>0</v>
      </c>
      <c r="K398" t="n">
        <v>0</v>
      </c>
      <c r="L398" t="n">
        <v>0</v>
      </c>
      <c r="M398" t="n">
        <v>0</v>
      </c>
      <c r="N398" t="n">
        <v>0</v>
      </c>
      <c r="O398" t="n">
        <v>0</v>
      </c>
      <c r="P398" t="n">
        <v>0</v>
      </c>
      <c r="Q398" t="n">
        <v>0</v>
      </c>
      <c r="R398" s="2" t="inlineStr"/>
    </row>
    <row r="399" ht="15" customHeight="1">
      <c r="A399" t="inlineStr">
        <is>
          <t>A 8410-2023</t>
        </is>
      </c>
      <c r="B399" s="1" t="n">
        <v>44977</v>
      </c>
      <c r="C399" s="1" t="n">
        <v>46203</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16823-2026</t>
        </is>
      </c>
      <c r="B400" s="1" t="n">
        <v>46113</v>
      </c>
      <c r="C400" s="1" t="n">
        <v>46203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16617-2026</t>
        </is>
      </c>
      <c r="B401" s="1" t="n">
        <v>46112</v>
      </c>
      <c r="C401" s="1" t="n">
        <v>46203</v>
      </c>
      <c r="D401" t="inlineStr">
        <is>
          <t>KALMAR LÄN</t>
        </is>
      </c>
      <c r="E401" t="inlineStr">
        <is>
          <t>VIMMERBY</t>
        </is>
      </c>
      <c r="F401" t="inlineStr">
        <is>
          <t>Kommuner</t>
        </is>
      </c>
      <c r="G401" t="n">
        <v>0.6</v>
      </c>
      <c r="H401" t="n">
        <v>0</v>
      </c>
      <c r="I401" t="n">
        <v>0</v>
      </c>
      <c r="J401" t="n">
        <v>0</v>
      </c>
      <c r="K401" t="n">
        <v>0</v>
      </c>
      <c r="L401" t="n">
        <v>0</v>
      </c>
      <c r="M401" t="n">
        <v>0</v>
      </c>
      <c r="N401" t="n">
        <v>0</v>
      </c>
      <c r="O401" t="n">
        <v>0</v>
      </c>
      <c r="P401" t="n">
        <v>0</v>
      </c>
      <c r="Q401" t="n">
        <v>0</v>
      </c>
      <c r="R401" s="2" t="inlineStr"/>
    </row>
    <row r="402" ht="15" customHeight="1">
      <c r="A402" t="inlineStr">
        <is>
          <t>A 52823-2024</t>
        </is>
      </c>
      <c r="B402" s="1" t="n">
        <v>45610</v>
      </c>
      <c r="C402" s="1" t="n">
        <v>46203</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56853-2022</t>
        </is>
      </c>
      <c r="B403" s="1" t="n">
        <v>44894</v>
      </c>
      <c r="C403" s="1" t="n">
        <v>46203</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11152-2023</t>
        </is>
      </c>
      <c r="B404" s="1" t="n">
        <v>44992</v>
      </c>
      <c r="C404" s="1" t="n">
        <v>46203</v>
      </c>
      <c r="D404" t="inlineStr">
        <is>
          <t>KALMAR LÄN</t>
        </is>
      </c>
      <c r="E404" t="inlineStr">
        <is>
          <t>VIMMERBY</t>
        </is>
      </c>
      <c r="G404" t="n">
        <v>10.6</v>
      </c>
      <c r="H404" t="n">
        <v>0</v>
      </c>
      <c r="I404" t="n">
        <v>0</v>
      </c>
      <c r="J404" t="n">
        <v>0</v>
      </c>
      <c r="K404" t="n">
        <v>0</v>
      </c>
      <c r="L404" t="n">
        <v>0</v>
      </c>
      <c r="M404" t="n">
        <v>0</v>
      </c>
      <c r="N404" t="n">
        <v>0</v>
      </c>
      <c r="O404" t="n">
        <v>0</v>
      </c>
      <c r="P404" t="n">
        <v>0</v>
      </c>
      <c r="Q404" t="n">
        <v>0</v>
      </c>
      <c r="R404" s="2" t="inlineStr"/>
    </row>
    <row r="405" ht="15" customHeight="1">
      <c r="A405" t="inlineStr">
        <is>
          <t>A 15550-2023</t>
        </is>
      </c>
      <c r="B405" s="1" t="n">
        <v>45020</v>
      </c>
      <c r="C405" s="1" t="n">
        <v>46203</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31355-2023</t>
        </is>
      </c>
      <c r="B406" s="1" t="n">
        <v>45114</v>
      </c>
      <c r="C406" s="1" t="n">
        <v>46203</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18330-2023</t>
        </is>
      </c>
      <c r="B407" s="1" t="n">
        <v>45041</v>
      </c>
      <c r="C407" s="1" t="n">
        <v>46203</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58100-2024</t>
        </is>
      </c>
      <c r="B408" s="1" t="n">
        <v>45632</v>
      </c>
      <c r="C408" s="1" t="n">
        <v>46203</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27993-2022</t>
        </is>
      </c>
      <c r="B409" s="1" t="n">
        <v>44745</v>
      </c>
      <c r="C409" s="1" t="n">
        <v>46203</v>
      </c>
      <c r="D409" t="inlineStr">
        <is>
          <t>KALMAR LÄN</t>
        </is>
      </c>
      <c r="E409" t="inlineStr">
        <is>
          <t>VIMMERBY</t>
        </is>
      </c>
      <c r="G409" t="n">
        <v>2.8</v>
      </c>
      <c r="H409" t="n">
        <v>0</v>
      </c>
      <c r="I409" t="n">
        <v>0</v>
      </c>
      <c r="J409" t="n">
        <v>0</v>
      </c>
      <c r="K409" t="n">
        <v>0</v>
      </c>
      <c r="L409" t="n">
        <v>0</v>
      </c>
      <c r="M409" t="n">
        <v>0</v>
      </c>
      <c r="N409" t="n">
        <v>0</v>
      </c>
      <c r="O409" t="n">
        <v>0</v>
      </c>
      <c r="P409" t="n">
        <v>0</v>
      </c>
      <c r="Q409" t="n">
        <v>0</v>
      </c>
      <c r="R409" s="2" t="inlineStr"/>
    </row>
    <row r="410" ht="15" customHeight="1">
      <c r="A410" t="inlineStr">
        <is>
          <t>A 17713-2026</t>
        </is>
      </c>
      <c r="B410" s="1" t="n">
        <v>46121</v>
      </c>
      <c r="C410" s="1" t="n">
        <v>46203</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18122-2026</t>
        </is>
      </c>
      <c r="B411" s="1" t="n">
        <v>46125</v>
      </c>
      <c r="C411" s="1" t="n">
        <v>46203</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53752-2024</t>
        </is>
      </c>
      <c r="B412" s="1" t="n">
        <v>45615</v>
      </c>
      <c r="C412" s="1" t="n">
        <v>46203</v>
      </c>
      <c r="D412" t="inlineStr">
        <is>
          <t>KALMAR LÄN</t>
        </is>
      </c>
      <c r="E412" t="inlineStr">
        <is>
          <t>VIMMERBY</t>
        </is>
      </c>
      <c r="G412" t="n">
        <v>2.4</v>
      </c>
      <c r="H412" t="n">
        <v>0</v>
      </c>
      <c r="I412" t="n">
        <v>0</v>
      </c>
      <c r="J412" t="n">
        <v>0</v>
      </c>
      <c r="K412" t="n">
        <v>0</v>
      </c>
      <c r="L412" t="n">
        <v>0</v>
      </c>
      <c r="M412" t="n">
        <v>0</v>
      </c>
      <c r="N412" t="n">
        <v>0</v>
      </c>
      <c r="O412" t="n">
        <v>0</v>
      </c>
      <c r="P412" t="n">
        <v>0</v>
      </c>
      <c r="Q412" t="n">
        <v>0</v>
      </c>
      <c r="R412" s="2" t="inlineStr"/>
    </row>
    <row r="413" ht="15" customHeight="1">
      <c r="A413" t="inlineStr">
        <is>
          <t>A 24932-2026</t>
        </is>
      </c>
      <c r="B413" s="1" t="n">
        <v>46174</v>
      </c>
      <c r="C413" s="1" t="n">
        <v>46203</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58728-2024</t>
        </is>
      </c>
      <c r="B414" s="1" t="n">
        <v>45635</v>
      </c>
      <c r="C414" s="1" t="n">
        <v>46203</v>
      </c>
      <c r="D414" t="inlineStr">
        <is>
          <t>KALMAR LÄN</t>
        </is>
      </c>
      <c r="E414" t="inlineStr">
        <is>
          <t>VIMMERBY</t>
        </is>
      </c>
      <c r="G414" t="n">
        <v>0.4</v>
      </c>
      <c r="H414" t="n">
        <v>0</v>
      </c>
      <c r="I414" t="n">
        <v>0</v>
      </c>
      <c r="J414" t="n">
        <v>0</v>
      </c>
      <c r="K414" t="n">
        <v>0</v>
      </c>
      <c r="L414" t="n">
        <v>0</v>
      </c>
      <c r="M414" t="n">
        <v>0</v>
      </c>
      <c r="N414" t="n">
        <v>0</v>
      </c>
      <c r="O414" t="n">
        <v>0</v>
      </c>
      <c r="P414" t="n">
        <v>0</v>
      </c>
      <c r="Q414" t="n">
        <v>0</v>
      </c>
      <c r="R414" s="2" t="inlineStr"/>
    </row>
    <row r="415" ht="15" customHeight="1">
      <c r="A415" t="inlineStr">
        <is>
          <t>A 43242-2024</t>
        </is>
      </c>
      <c r="B415" s="1" t="n">
        <v>45568</v>
      </c>
      <c r="C415" s="1" t="n">
        <v>46203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16983-2023</t>
        </is>
      </c>
      <c r="B416" s="1" t="n">
        <v>45033</v>
      </c>
      <c r="C416" s="1" t="n">
        <v>46203</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6405-2025</t>
        </is>
      </c>
      <c r="B417" s="1" t="n">
        <v>45699</v>
      </c>
      <c r="C417" s="1" t="n">
        <v>46203</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36843-2023</t>
        </is>
      </c>
      <c r="B418" s="1" t="n">
        <v>45154</v>
      </c>
      <c r="C418" s="1" t="n">
        <v>46203</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18633-2026</t>
        </is>
      </c>
      <c r="B419" s="1" t="n">
        <v>46128</v>
      </c>
      <c r="C419" s="1" t="n">
        <v>46203</v>
      </c>
      <c r="D419" t="inlineStr">
        <is>
          <t>KALMAR LÄN</t>
        </is>
      </c>
      <c r="E419" t="inlineStr">
        <is>
          <t>VIMMERBY</t>
        </is>
      </c>
      <c r="G419" t="n">
        <v>2</v>
      </c>
      <c r="H419" t="n">
        <v>0</v>
      </c>
      <c r="I419" t="n">
        <v>0</v>
      </c>
      <c r="J419" t="n">
        <v>0</v>
      </c>
      <c r="K419" t="n">
        <v>0</v>
      </c>
      <c r="L419" t="n">
        <v>0</v>
      </c>
      <c r="M419" t="n">
        <v>0</v>
      </c>
      <c r="N419" t="n">
        <v>0</v>
      </c>
      <c r="O419" t="n">
        <v>0</v>
      </c>
      <c r="P419" t="n">
        <v>0</v>
      </c>
      <c r="Q419" t="n">
        <v>0</v>
      </c>
      <c r="R419" s="2" t="inlineStr"/>
    </row>
    <row r="420" ht="15" customHeight="1">
      <c r="A420" t="inlineStr">
        <is>
          <t>A 57486-2024</t>
        </is>
      </c>
      <c r="B420" s="1" t="n">
        <v>45630</v>
      </c>
      <c r="C420" s="1" t="n">
        <v>46203</v>
      </c>
      <c r="D420" t="inlineStr">
        <is>
          <t>KALMAR LÄN</t>
        </is>
      </c>
      <c r="E420" t="inlineStr">
        <is>
          <t>VIMMERBY</t>
        </is>
      </c>
      <c r="G420" t="n">
        <v>0.4</v>
      </c>
      <c r="H420" t="n">
        <v>0</v>
      </c>
      <c r="I420" t="n">
        <v>0</v>
      </c>
      <c r="J420" t="n">
        <v>0</v>
      </c>
      <c r="K420" t="n">
        <v>0</v>
      </c>
      <c r="L420" t="n">
        <v>0</v>
      </c>
      <c r="M420" t="n">
        <v>0</v>
      </c>
      <c r="N420" t="n">
        <v>0</v>
      </c>
      <c r="O420" t="n">
        <v>0</v>
      </c>
      <c r="P420" t="n">
        <v>0</v>
      </c>
      <c r="Q420" t="n">
        <v>0</v>
      </c>
      <c r="R420" s="2" t="inlineStr"/>
    </row>
    <row r="421" ht="15" customHeight="1">
      <c r="A421" t="inlineStr">
        <is>
          <t>A 44423-2023</t>
        </is>
      </c>
      <c r="B421" s="1" t="n">
        <v>45189</v>
      </c>
      <c r="C421" s="1" t="n">
        <v>46203</v>
      </c>
      <c r="D421" t="inlineStr">
        <is>
          <t>KALMAR LÄN</t>
        </is>
      </c>
      <c r="E421" t="inlineStr">
        <is>
          <t>VIMMERBY</t>
        </is>
      </c>
      <c r="G421" t="n">
        <v>0.7</v>
      </c>
      <c r="H421" t="n">
        <v>0</v>
      </c>
      <c r="I421" t="n">
        <v>0</v>
      </c>
      <c r="J421" t="n">
        <v>0</v>
      </c>
      <c r="K421" t="n">
        <v>0</v>
      </c>
      <c r="L421" t="n">
        <v>0</v>
      </c>
      <c r="M421" t="n">
        <v>0</v>
      </c>
      <c r="N421" t="n">
        <v>0</v>
      </c>
      <c r="O421" t="n">
        <v>0</v>
      </c>
      <c r="P421" t="n">
        <v>0</v>
      </c>
      <c r="Q421" t="n">
        <v>0</v>
      </c>
      <c r="R421" s="2" t="inlineStr"/>
    </row>
    <row r="422" ht="15" customHeight="1">
      <c r="A422" t="inlineStr">
        <is>
          <t>A 21496-2023</t>
        </is>
      </c>
      <c r="B422" s="1" t="n">
        <v>45063</v>
      </c>
      <c r="C422" s="1" t="n">
        <v>46203</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24930-2026</t>
        </is>
      </c>
      <c r="B423" s="1" t="n">
        <v>46174</v>
      </c>
      <c r="C423" s="1" t="n">
        <v>46203</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25194-2026</t>
        </is>
      </c>
      <c r="B424" s="1" t="n">
        <v>46175</v>
      </c>
      <c r="C424" s="1" t="n">
        <v>46203</v>
      </c>
      <c r="D424" t="inlineStr">
        <is>
          <t>KALMAR LÄN</t>
        </is>
      </c>
      <c r="E424" t="inlineStr">
        <is>
          <t>VIMMERBY</t>
        </is>
      </c>
      <c r="G424" t="n">
        <v>3.4</v>
      </c>
      <c r="H424" t="n">
        <v>0</v>
      </c>
      <c r="I424" t="n">
        <v>0</v>
      </c>
      <c r="J424" t="n">
        <v>0</v>
      </c>
      <c r="K424" t="n">
        <v>0</v>
      </c>
      <c r="L424" t="n">
        <v>0</v>
      </c>
      <c r="M424" t="n">
        <v>0</v>
      </c>
      <c r="N424" t="n">
        <v>0</v>
      </c>
      <c r="O424" t="n">
        <v>0</v>
      </c>
      <c r="P424" t="n">
        <v>0</v>
      </c>
      <c r="Q424" t="n">
        <v>0</v>
      </c>
      <c r="R424" s="2" t="inlineStr"/>
    </row>
    <row r="425" ht="15" customHeight="1">
      <c r="A425" t="inlineStr">
        <is>
          <t>A 25106-2026</t>
        </is>
      </c>
      <c r="B425" s="1" t="n">
        <v>46175</v>
      </c>
      <c r="C425" s="1" t="n">
        <v>46203</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25284-2026</t>
        </is>
      </c>
      <c r="B426" s="1" t="n">
        <v>46176</v>
      </c>
      <c r="C426" s="1" t="n">
        <v>46203</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31056-2022</t>
        </is>
      </c>
      <c r="B427" s="1" t="n">
        <v>44769</v>
      </c>
      <c r="C427" s="1" t="n">
        <v>46203</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25105-2026</t>
        </is>
      </c>
      <c r="B428" s="1" t="n">
        <v>46175</v>
      </c>
      <c r="C428" s="1" t="n">
        <v>46203</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25345-2026</t>
        </is>
      </c>
      <c r="B429" s="1" t="n">
        <v>46176</v>
      </c>
      <c r="C429" s="1" t="n">
        <v>46203</v>
      </c>
      <c r="D429" t="inlineStr">
        <is>
          <t>KALMAR LÄN</t>
        </is>
      </c>
      <c r="E429" t="inlineStr">
        <is>
          <t>VIMMERBY</t>
        </is>
      </c>
      <c r="G429" t="n">
        <v>1.9</v>
      </c>
      <c r="H429" t="n">
        <v>0</v>
      </c>
      <c r="I429" t="n">
        <v>0</v>
      </c>
      <c r="J429" t="n">
        <v>0</v>
      </c>
      <c r="K429" t="n">
        <v>0</v>
      </c>
      <c r="L429" t="n">
        <v>0</v>
      </c>
      <c r="M429" t="n">
        <v>0</v>
      </c>
      <c r="N429" t="n">
        <v>0</v>
      </c>
      <c r="O429" t="n">
        <v>0</v>
      </c>
      <c r="P429" t="n">
        <v>0</v>
      </c>
      <c r="Q429" t="n">
        <v>0</v>
      </c>
      <c r="R429" s="2" t="inlineStr"/>
    </row>
    <row r="430" ht="15" customHeight="1">
      <c r="A430" t="inlineStr">
        <is>
          <t>A 25395-2026</t>
        </is>
      </c>
      <c r="B430" s="1" t="n">
        <v>46176</v>
      </c>
      <c r="C430" s="1" t="n">
        <v>46203</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25158-2026</t>
        </is>
      </c>
      <c r="B431" s="1" t="n">
        <v>46175</v>
      </c>
      <c r="C431" s="1" t="n">
        <v>46203</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37866-2025</t>
        </is>
      </c>
      <c r="B432" s="1" t="n">
        <v>45881</v>
      </c>
      <c r="C432" s="1" t="n">
        <v>46203</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20018-2026</t>
        </is>
      </c>
      <c r="B433" s="1" t="n">
        <v>46136</v>
      </c>
      <c r="C433" s="1" t="n">
        <v>46203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72701-2021</t>
        </is>
      </c>
      <c r="B434" s="1" t="n">
        <v>44546</v>
      </c>
      <c r="C434" s="1" t="n">
        <v>46203</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61355-2024</t>
        </is>
      </c>
      <c r="B435" s="1" t="n">
        <v>45646</v>
      </c>
      <c r="C435" s="1" t="n">
        <v>46203</v>
      </c>
      <c r="D435" t="inlineStr">
        <is>
          <t>KALMAR LÄN</t>
        </is>
      </c>
      <c r="E435" t="inlineStr">
        <is>
          <t>VIMMERBY</t>
        </is>
      </c>
      <c r="G435" t="n">
        <v>2.7</v>
      </c>
      <c r="H435" t="n">
        <v>0</v>
      </c>
      <c r="I435" t="n">
        <v>0</v>
      </c>
      <c r="J435" t="n">
        <v>0</v>
      </c>
      <c r="K435" t="n">
        <v>0</v>
      </c>
      <c r="L435" t="n">
        <v>0</v>
      </c>
      <c r="M435" t="n">
        <v>0</v>
      </c>
      <c r="N435" t="n">
        <v>0</v>
      </c>
      <c r="O435" t="n">
        <v>0</v>
      </c>
      <c r="P435" t="n">
        <v>0</v>
      </c>
      <c r="Q435" t="n">
        <v>0</v>
      </c>
      <c r="R435" s="2" t="inlineStr"/>
    </row>
    <row r="436" ht="15" customHeight="1">
      <c r="A436" t="inlineStr">
        <is>
          <t>A 45114-2025</t>
        </is>
      </c>
      <c r="B436" s="1" t="n">
        <v>45919</v>
      </c>
      <c r="C436" s="1" t="n">
        <v>46203</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52294-2023</t>
        </is>
      </c>
      <c r="B437" s="1" t="n">
        <v>45224</v>
      </c>
      <c r="C437" s="1" t="n">
        <v>46203</v>
      </c>
      <c r="D437" t="inlineStr">
        <is>
          <t>KALMAR LÄN</t>
        </is>
      </c>
      <c r="E437" t="inlineStr">
        <is>
          <t>VIMMERBY</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33374-2021</t>
        </is>
      </c>
      <c r="B438" s="1" t="n">
        <v>44377</v>
      </c>
      <c r="C438" s="1" t="n">
        <v>46203</v>
      </c>
      <c r="D438" t="inlineStr">
        <is>
          <t>KALMAR LÄN</t>
        </is>
      </c>
      <c r="E438" t="inlineStr">
        <is>
          <t>VIMMERBY</t>
        </is>
      </c>
      <c r="G438" t="n">
        <v>3.3</v>
      </c>
      <c r="H438" t="n">
        <v>0</v>
      </c>
      <c r="I438" t="n">
        <v>0</v>
      </c>
      <c r="J438" t="n">
        <v>0</v>
      </c>
      <c r="K438" t="n">
        <v>0</v>
      </c>
      <c r="L438" t="n">
        <v>0</v>
      </c>
      <c r="M438" t="n">
        <v>0</v>
      </c>
      <c r="N438" t="n">
        <v>0</v>
      </c>
      <c r="O438" t="n">
        <v>0</v>
      </c>
      <c r="P438" t="n">
        <v>0</v>
      </c>
      <c r="Q438" t="n">
        <v>0</v>
      </c>
      <c r="R438" s="2" t="inlineStr"/>
    </row>
    <row r="439" ht="15" customHeight="1">
      <c r="A439" t="inlineStr">
        <is>
          <t>A 10759-2023</t>
        </is>
      </c>
      <c r="B439" s="1" t="n">
        <v>44988</v>
      </c>
      <c r="C439" s="1" t="n">
        <v>46203</v>
      </c>
      <c r="D439" t="inlineStr">
        <is>
          <t>KALMAR LÄN</t>
        </is>
      </c>
      <c r="E439" t="inlineStr">
        <is>
          <t>VIMMERBY</t>
        </is>
      </c>
      <c r="G439" t="n">
        <v>0.4</v>
      </c>
      <c r="H439" t="n">
        <v>0</v>
      </c>
      <c r="I439" t="n">
        <v>0</v>
      </c>
      <c r="J439" t="n">
        <v>0</v>
      </c>
      <c r="K439" t="n">
        <v>0</v>
      </c>
      <c r="L439" t="n">
        <v>0</v>
      </c>
      <c r="M439" t="n">
        <v>0</v>
      </c>
      <c r="N439" t="n">
        <v>0</v>
      </c>
      <c r="O439" t="n">
        <v>0</v>
      </c>
      <c r="P439" t="n">
        <v>0</v>
      </c>
      <c r="Q439" t="n">
        <v>0</v>
      </c>
      <c r="R439" s="2" t="inlineStr"/>
    </row>
    <row r="440" ht="15" customHeight="1">
      <c r="A440" t="inlineStr">
        <is>
          <t>A 25830-2025</t>
        </is>
      </c>
      <c r="B440" s="1" t="n">
        <v>45804</v>
      </c>
      <c r="C440" s="1" t="n">
        <v>46203</v>
      </c>
      <c r="D440" t="inlineStr">
        <is>
          <t>KALMAR LÄN</t>
        </is>
      </c>
      <c r="E440" t="inlineStr">
        <is>
          <t>VIMMERBY</t>
        </is>
      </c>
      <c r="G440" t="n">
        <v>4.9</v>
      </c>
      <c r="H440" t="n">
        <v>0</v>
      </c>
      <c r="I440" t="n">
        <v>0</v>
      </c>
      <c r="J440" t="n">
        <v>0</v>
      </c>
      <c r="K440" t="n">
        <v>0</v>
      </c>
      <c r="L440" t="n">
        <v>0</v>
      </c>
      <c r="M440" t="n">
        <v>0</v>
      </c>
      <c r="N440" t="n">
        <v>0</v>
      </c>
      <c r="O440" t="n">
        <v>0</v>
      </c>
      <c r="P440" t="n">
        <v>0</v>
      </c>
      <c r="Q440" t="n">
        <v>0</v>
      </c>
      <c r="R440" s="2" t="inlineStr"/>
    </row>
    <row r="441" ht="15" customHeight="1">
      <c r="A441" t="inlineStr">
        <is>
          <t>A 36273-2025</t>
        </is>
      </c>
      <c r="B441" s="1" t="n">
        <v>45867</v>
      </c>
      <c r="C441" s="1" t="n">
        <v>46203</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36282-2025</t>
        </is>
      </c>
      <c r="B442" s="1" t="n">
        <v>45867</v>
      </c>
      <c r="C442" s="1" t="n">
        <v>46203</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31876-2025</t>
        </is>
      </c>
      <c r="B443" s="1" t="n">
        <v>45834</v>
      </c>
      <c r="C443" s="1" t="n">
        <v>46203</v>
      </c>
      <c r="D443" t="inlineStr">
        <is>
          <t>KALMAR LÄN</t>
        </is>
      </c>
      <c r="E443" t="inlineStr">
        <is>
          <t>VIMMERBY</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58159-2024</t>
        </is>
      </c>
      <c r="B444" s="1" t="n">
        <v>45632</v>
      </c>
      <c r="C444" s="1" t="n">
        <v>46203</v>
      </c>
      <c r="D444" t="inlineStr">
        <is>
          <t>KALMAR LÄN</t>
        </is>
      </c>
      <c r="E444" t="inlineStr">
        <is>
          <t>VIMMERBY</t>
        </is>
      </c>
      <c r="G444" t="n">
        <v>7.5</v>
      </c>
      <c r="H444" t="n">
        <v>0</v>
      </c>
      <c r="I444" t="n">
        <v>0</v>
      </c>
      <c r="J444" t="n">
        <v>0</v>
      </c>
      <c r="K444" t="n">
        <v>0</v>
      </c>
      <c r="L444" t="n">
        <v>0</v>
      </c>
      <c r="M444" t="n">
        <v>0</v>
      </c>
      <c r="N444" t="n">
        <v>0</v>
      </c>
      <c r="O444" t="n">
        <v>0</v>
      </c>
      <c r="P444" t="n">
        <v>0</v>
      </c>
      <c r="Q444" t="n">
        <v>0</v>
      </c>
      <c r="R444" s="2" t="inlineStr"/>
    </row>
    <row r="445" ht="15" customHeight="1">
      <c r="A445" t="inlineStr">
        <is>
          <t>A 20017-2026</t>
        </is>
      </c>
      <c r="B445" s="1" t="n">
        <v>46136</v>
      </c>
      <c r="C445" s="1" t="n">
        <v>46203</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28282-2025</t>
        </is>
      </c>
      <c r="B446" s="1" t="n">
        <v>45818</v>
      </c>
      <c r="C446" s="1" t="n">
        <v>46203</v>
      </c>
      <c r="D446" t="inlineStr">
        <is>
          <t>KALMAR LÄN</t>
        </is>
      </c>
      <c r="E446" t="inlineStr">
        <is>
          <t>VIMMERBY</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16015-2025</t>
        </is>
      </c>
      <c r="B447" s="1" t="n">
        <v>45749</v>
      </c>
      <c r="C447" s="1" t="n">
        <v>46203</v>
      </c>
      <c r="D447" t="inlineStr">
        <is>
          <t>KALMAR LÄN</t>
        </is>
      </c>
      <c r="E447" t="inlineStr">
        <is>
          <t>VIMMERBY</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29727-2025</t>
        </is>
      </c>
      <c r="B448" s="1" t="n">
        <v>45825</v>
      </c>
      <c r="C448" s="1" t="n">
        <v>46203</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32614-2023</t>
        </is>
      </c>
      <c r="B449" s="1" t="n">
        <v>45121</v>
      </c>
      <c r="C449" s="1" t="n">
        <v>46203</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61939-2021</t>
        </is>
      </c>
      <c r="B450" s="1" t="n">
        <v>44502</v>
      </c>
      <c r="C450" s="1" t="n">
        <v>46203</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29783-2024</t>
        </is>
      </c>
      <c r="B451" s="1" t="n">
        <v>45485</v>
      </c>
      <c r="C451" s="1" t="n">
        <v>46203</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46118-2025</t>
        </is>
      </c>
      <c r="B452" s="1" t="n">
        <v>45924</v>
      </c>
      <c r="C452" s="1" t="n">
        <v>46203</v>
      </c>
      <c r="D452" t="inlineStr">
        <is>
          <t>KALMAR LÄN</t>
        </is>
      </c>
      <c r="E452" t="inlineStr">
        <is>
          <t>VIMMERBY</t>
        </is>
      </c>
      <c r="G452" t="n">
        <v>2.9</v>
      </c>
      <c r="H452" t="n">
        <v>0</v>
      </c>
      <c r="I452" t="n">
        <v>0</v>
      </c>
      <c r="J452" t="n">
        <v>0</v>
      </c>
      <c r="K452" t="n">
        <v>0</v>
      </c>
      <c r="L452" t="n">
        <v>0</v>
      </c>
      <c r="M452" t="n">
        <v>0</v>
      </c>
      <c r="N452" t="n">
        <v>0</v>
      </c>
      <c r="O452" t="n">
        <v>0</v>
      </c>
      <c r="P452" t="n">
        <v>0</v>
      </c>
      <c r="Q452" t="n">
        <v>0</v>
      </c>
      <c r="R452" s="2" t="inlineStr"/>
    </row>
    <row r="453" ht="15" customHeight="1">
      <c r="A453" t="inlineStr">
        <is>
          <t>A 45854-2025</t>
        </is>
      </c>
      <c r="B453" s="1" t="n">
        <v>45923</v>
      </c>
      <c r="C453" s="1" t="n">
        <v>46203</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60215-2022</t>
        </is>
      </c>
      <c r="B454" s="1" t="n">
        <v>44910</v>
      </c>
      <c r="C454" s="1" t="n">
        <v>46203</v>
      </c>
      <c r="D454" t="inlineStr">
        <is>
          <t>KALMAR LÄN</t>
        </is>
      </c>
      <c r="E454" t="inlineStr">
        <is>
          <t>VIMMERBY</t>
        </is>
      </c>
      <c r="G454" t="n">
        <v>1.1</v>
      </c>
      <c r="H454" t="n">
        <v>0</v>
      </c>
      <c r="I454" t="n">
        <v>0</v>
      </c>
      <c r="J454" t="n">
        <v>0</v>
      </c>
      <c r="K454" t="n">
        <v>0</v>
      </c>
      <c r="L454" t="n">
        <v>0</v>
      </c>
      <c r="M454" t="n">
        <v>0</v>
      </c>
      <c r="N454" t="n">
        <v>0</v>
      </c>
      <c r="O454" t="n">
        <v>0</v>
      </c>
      <c r="P454" t="n">
        <v>0</v>
      </c>
      <c r="Q454" t="n">
        <v>0</v>
      </c>
      <c r="R454" s="2" t="inlineStr"/>
    </row>
    <row r="455" ht="15" customHeight="1">
      <c r="A455" t="inlineStr">
        <is>
          <t>A 40076-2021</t>
        </is>
      </c>
      <c r="B455" s="1" t="n">
        <v>44418</v>
      </c>
      <c r="C455" s="1" t="n">
        <v>46203</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20-2025</t>
        </is>
      </c>
      <c r="B456" s="1" t="n">
        <v>45658</v>
      </c>
      <c r="C456" s="1" t="n">
        <v>46203</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6028-2023</t>
        </is>
      </c>
      <c r="B457" s="1" t="n">
        <v>44964</v>
      </c>
      <c r="C457" s="1" t="n">
        <v>46203</v>
      </c>
      <c r="D457" t="inlineStr">
        <is>
          <t>KALMAR LÄN</t>
        </is>
      </c>
      <c r="E457" t="inlineStr">
        <is>
          <t>VIMMERBY</t>
        </is>
      </c>
      <c r="G457" t="n">
        <v>2.5</v>
      </c>
      <c r="H457" t="n">
        <v>0</v>
      </c>
      <c r="I457" t="n">
        <v>0</v>
      </c>
      <c r="J457" t="n">
        <v>0</v>
      </c>
      <c r="K457" t="n">
        <v>0</v>
      </c>
      <c r="L457" t="n">
        <v>0</v>
      </c>
      <c r="M457" t="n">
        <v>0</v>
      </c>
      <c r="N457" t="n">
        <v>0</v>
      </c>
      <c r="O457" t="n">
        <v>0</v>
      </c>
      <c r="P457" t="n">
        <v>0</v>
      </c>
      <c r="Q457" t="n">
        <v>0</v>
      </c>
      <c r="R457" s="2" t="inlineStr"/>
    </row>
    <row r="458" ht="15" customHeight="1">
      <c r="A458" t="inlineStr">
        <is>
          <t>A 42850-2022</t>
        </is>
      </c>
      <c r="B458" s="1" t="n">
        <v>44832</v>
      </c>
      <c r="C458" s="1" t="n">
        <v>46203</v>
      </c>
      <c r="D458" t="inlineStr">
        <is>
          <t>KALMAR LÄN</t>
        </is>
      </c>
      <c r="E458" t="inlineStr">
        <is>
          <t>VIMMERBY</t>
        </is>
      </c>
      <c r="G458" t="n">
        <v>5.9</v>
      </c>
      <c r="H458" t="n">
        <v>0</v>
      </c>
      <c r="I458" t="n">
        <v>0</v>
      </c>
      <c r="J458" t="n">
        <v>0</v>
      </c>
      <c r="K458" t="n">
        <v>0</v>
      </c>
      <c r="L458" t="n">
        <v>0</v>
      </c>
      <c r="M458" t="n">
        <v>0</v>
      </c>
      <c r="N458" t="n">
        <v>0</v>
      </c>
      <c r="O458" t="n">
        <v>0</v>
      </c>
      <c r="P458" t="n">
        <v>0</v>
      </c>
      <c r="Q458" t="n">
        <v>0</v>
      </c>
      <c r="R458" s="2" t="inlineStr"/>
    </row>
    <row r="459" ht="15" customHeight="1">
      <c r="A459" t="inlineStr">
        <is>
          <t>A 26254-2025</t>
        </is>
      </c>
      <c r="B459" s="1" t="n">
        <v>45805</v>
      </c>
      <c r="C459" s="1" t="n">
        <v>46203</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52465-2025</t>
        </is>
      </c>
      <c r="B460" s="1" t="n">
        <v>45954</v>
      </c>
      <c r="C460" s="1" t="n">
        <v>46203</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26029-2026</t>
        </is>
      </c>
      <c r="B461" s="1" t="n">
        <v>46181</v>
      </c>
      <c r="C461" s="1" t="n">
        <v>46203</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59579-2025</t>
        </is>
      </c>
      <c r="B462" s="1" t="n">
        <v>45992</v>
      </c>
      <c r="C462" s="1" t="n">
        <v>46203</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37088-2025</t>
        </is>
      </c>
      <c r="B463" s="1" t="n">
        <v>45875</v>
      </c>
      <c r="C463" s="1" t="n">
        <v>46203</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37102-2025</t>
        </is>
      </c>
      <c r="B464" s="1" t="n">
        <v>45875</v>
      </c>
      <c r="C464" s="1" t="n">
        <v>46203</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19111-2025</t>
        </is>
      </c>
      <c r="B465" s="1" t="n">
        <v>45768</v>
      </c>
      <c r="C465" s="1" t="n">
        <v>46203</v>
      </c>
      <c r="D465" t="inlineStr">
        <is>
          <t>KALMAR LÄN</t>
        </is>
      </c>
      <c r="E465" t="inlineStr">
        <is>
          <t>VIMMERBY</t>
        </is>
      </c>
      <c r="G465" t="n">
        <v>6.2</v>
      </c>
      <c r="H465" t="n">
        <v>0</v>
      </c>
      <c r="I465" t="n">
        <v>0</v>
      </c>
      <c r="J465" t="n">
        <v>0</v>
      </c>
      <c r="K465" t="n">
        <v>0</v>
      </c>
      <c r="L465" t="n">
        <v>0</v>
      </c>
      <c r="M465" t="n">
        <v>0</v>
      </c>
      <c r="N465" t="n">
        <v>0</v>
      </c>
      <c r="O465" t="n">
        <v>0</v>
      </c>
      <c r="P465" t="n">
        <v>0</v>
      </c>
      <c r="Q465" t="n">
        <v>0</v>
      </c>
      <c r="R465" s="2" t="inlineStr"/>
    </row>
    <row r="466" ht="15" customHeight="1">
      <c r="A466" t="inlineStr">
        <is>
          <t>A 12588-2025</t>
        </is>
      </c>
      <c r="B466" s="1" t="n">
        <v>45732</v>
      </c>
      <c r="C466" s="1" t="n">
        <v>46203</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25979-2023</t>
        </is>
      </c>
      <c r="B467" s="1" t="n">
        <v>45090</v>
      </c>
      <c r="C467" s="1" t="n">
        <v>46203</v>
      </c>
      <c r="D467" t="inlineStr">
        <is>
          <t>KALMAR LÄN</t>
        </is>
      </c>
      <c r="E467" t="inlineStr">
        <is>
          <t>VIMMERBY</t>
        </is>
      </c>
      <c r="G467" t="n">
        <v>2</v>
      </c>
      <c r="H467" t="n">
        <v>0</v>
      </c>
      <c r="I467" t="n">
        <v>0</v>
      </c>
      <c r="J467" t="n">
        <v>0</v>
      </c>
      <c r="K467" t="n">
        <v>0</v>
      </c>
      <c r="L467" t="n">
        <v>0</v>
      </c>
      <c r="M467" t="n">
        <v>0</v>
      </c>
      <c r="N467" t="n">
        <v>0</v>
      </c>
      <c r="O467" t="n">
        <v>0</v>
      </c>
      <c r="P467" t="n">
        <v>0</v>
      </c>
      <c r="Q467" t="n">
        <v>0</v>
      </c>
      <c r="R467" s="2" t="inlineStr"/>
    </row>
    <row r="468" ht="15" customHeight="1">
      <c r="A468" t="inlineStr">
        <is>
          <t>A 25980-2023</t>
        </is>
      </c>
      <c r="B468" s="1" t="n">
        <v>45090</v>
      </c>
      <c r="C468" s="1" t="n">
        <v>46203</v>
      </c>
      <c r="D468" t="inlineStr">
        <is>
          <t>KALMAR LÄN</t>
        </is>
      </c>
      <c r="E468" t="inlineStr">
        <is>
          <t>VIMMERBY</t>
        </is>
      </c>
      <c r="G468" t="n">
        <v>0.7</v>
      </c>
      <c r="H468" t="n">
        <v>0</v>
      </c>
      <c r="I468" t="n">
        <v>0</v>
      </c>
      <c r="J468" t="n">
        <v>0</v>
      </c>
      <c r="K468" t="n">
        <v>0</v>
      </c>
      <c r="L468" t="n">
        <v>0</v>
      </c>
      <c r="M468" t="n">
        <v>0</v>
      </c>
      <c r="N468" t="n">
        <v>0</v>
      </c>
      <c r="O468" t="n">
        <v>0</v>
      </c>
      <c r="P468" t="n">
        <v>0</v>
      </c>
      <c r="Q468" t="n">
        <v>0</v>
      </c>
      <c r="R468" s="2" t="inlineStr"/>
    </row>
    <row r="469" ht="15" customHeight="1">
      <c r="A469" t="inlineStr">
        <is>
          <t>A 23394-2025</t>
        </is>
      </c>
      <c r="B469" s="1" t="n">
        <v>45791</v>
      </c>
      <c r="C469" s="1" t="n">
        <v>46203</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46921-2023</t>
        </is>
      </c>
      <c r="B470" s="1" t="n">
        <v>45201</v>
      </c>
      <c r="C470" s="1" t="n">
        <v>46203</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10837-2023</t>
        </is>
      </c>
      <c r="B471" s="1" t="n">
        <v>44991</v>
      </c>
      <c r="C471" s="1" t="n">
        <v>46203</v>
      </c>
      <c r="D471" t="inlineStr">
        <is>
          <t>KALMAR LÄN</t>
        </is>
      </c>
      <c r="E471" t="inlineStr">
        <is>
          <t>VIMMERBY</t>
        </is>
      </c>
      <c r="G471" t="n">
        <v>7.3</v>
      </c>
      <c r="H471" t="n">
        <v>0</v>
      </c>
      <c r="I471" t="n">
        <v>0</v>
      </c>
      <c r="J471" t="n">
        <v>0</v>
      </c>
      <c r="K471" t="n">
        <v>0</v>
      </c>
      <c r="L471" t="n">
        <v>0</v>
      </c>
      <c r="M471" t="n">
        <v>0</v>
      </c>
      <c r="N471" t="n">
        <v>0</v>
      </c>
      <c r="O471" t="n">
        <v>0</v>
      </c>
      <c r="P471" t="n">
        <v>0</v>
      </c>
      <c r="Q471" t="n">
        <v>0</v>
      </c>
      <c r="R471" s="2" t="inlineStr"/>
    </row>
    <row r="472" ht="15" customHeight="1">
      <c r="A472" t="inlineStr">
        <is>
          <t>A 10838-2023</t>
        </is>
      </c>
      <c r="B472" s="1" t="n">
        <v>44991</v>
      </c>
      <c r="C472" s="1" t="n">
        <v>46203</v>
      </c>
      <c r="D472" t="inlineStr">
        <is>
          <t>KALMAR LÄN</t>
        </is>
      </c>
      <c r="E472" t="inlineStr">
        <is>
          <t>VIMMERBY</t>
        </is>
      </c>
      <c r="G472" t="n">
        <v>5.1</v>
      </c>
      <c r="H472" t="n">
        <v>0</v>
      </c>
      <c r="I472" t="n">
        <v>0</v>
      </c>
      <c r="J472" t="n">
        <v>0</v>
      </c>
      <c r="K472" t="n">
        <v>0</v>
      </c>
      <c r="L472" t="n">
        <v>0</v>
      </c>
      <c r="M472" t="n">
        <v>0</v>
      </c>
      <c r="N472" t="n">
        <v>0</v>
      </c>
      <c r="O472" t="n">
        <v>0</v>
      </c>
      <c r="P472" t="n">
        <v>0</v>
      </c>
      <c r="Q472" t="n">
        <v>0</v>
      </c>
      <c r="R472" s="2" t="inlineStr"/>
    </row>
    <row r="473" ht="15" customHeight="1">
      <c r="A473" t="inlineStr">
        <is>
          <t>A 30912-2023</t>
        </is>
      </c>
      <c r="B473" s="1" t="n">
        <v>45113</v>
      </c>
      <c r="C473" s="1" t="n">
        <v>46203</v>
      </c>
      <c r="D473" t="inlineStr">
        <is>
          <t>KALMAR LÄN</t>
        </is>
      </c>
      <c r="E473" t="inlineStr">
        <is>
          <t>VIMMERBY</t>
        </is>
      </c>
      <c r="G473" t="n">
        <v>5</v>
      </c>
      <c r="H473" t="n">
        <v>0</v>
      </c>
      <c r="I473" t="n">
        <v>0</v>
      </c>
      <c r="J473" t="n">
        <v>0</v>
      </c>
      <c r="K473" t="n">
        <v>0</v>
      </c>
      <c r="L473" t="n">
        <v>0</v>
      </c>
      <c r="M473" t="n">
        <v>0</v>
      </c>
      <c r="N473" t="n">
        <v>0</v>
      </c>
      <c r="O473" t="n">
        <v>0</v>
      </c>
      <c r="P473" t="n">
        <v>0</v>
      </c>
      <c r="Q473" t="n">
        <v>0</v>
      </c>
      <c r="R473" s="2" t="inlineStr"/>
    </row>
    <row r="474" ht="15" customHeight="1">
      <c r="A474" t="inlineStr">
        <is>
          <t>A 26768-2026</t>
        </is>
      </c>
      <c r="B474" s="1" t="n">
        <v>46184</v>
      </c>
      <c r="C474" s="1" t="n">
        <v>46203</v>
      </c>
      <c r="D474" t="inlineStr">
        <is>
          <t>KALMAR LÄN</t>
        </is>
      </c>
      <c r="E474" t="inlineStr">
        <is>
          <t>VIMMERBY</t>
        </is>
      </c>
      <c r="G474" t="n">
        <v>1.7</v>
      </c>
      <c r="H474" t="n">
        <v>0</v>
      </c>
      <c r="I474" t="n">
        <v>0</v>
      </c>
      <c r="J474" t="n">
        <v>0</v>
      </c>
      <c r="K474" t="n">
        <v>0</v>
      </c>
      <c r="L474" t="n">
        <v>0</v>
      </c>
      <c r="M474" t="n">
        <v>0</v>
      </c>
      <c r="N474" t="n">
        <v>0</v>
      </c>
      <c r="O474" t="n">
        <v>0</v>
      </c>
      <c r="P474" t="n">
        <v>0</v>
      </c>
      <c r="Q474" t="n">
        <v>0</v>
      </c>
      <c r="R474" s="2" t="inlineStr"/>
    </row>
    <row r="475" ht="15" customHeight="1">
      <c r="A475" t="inlineStr">
        <is>
          <t>A 26722-2026</t>
        </is>
      </c>
      <c r="B475" s="1" t="n">
        <v>46184</v>
      </c>
      <c r="C475" s="1" t="n">
        <v>46203</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26734-2026</t>
        </is>
      </c>
      <c r="B476" s="1" t="n">
        <v>46184</v>
      </c>
      <c r="C476" s="1" t="n">
        <v>46203</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55436-2023</t>
        </is>
      </c>
      <c r="B477" s="1" t="n">
        <v>45238</v>
      </c>
      <c r="C477" s="1" t="n">
        <v>46203</v>
      </c>
      <c r="D477" t="inlineStr">
        <is>
          <t>KALMAR LÄN</t>
        </is>
      </c>
      <c r="E477" t="inlineStr">
        <is>
          <t>VIMMERBY</t>
        </is>
      </c>
      <c r="G477" t="n">
        <v>5.6</v>
      </c>
      <c r="H477" t="n">
        <v>0</v>
      </c>
      <c r="I477" t="n">
        <v>0</v>
      </c>
      <c r="J477" t="n">
        <v>0</v>
      </c>
      <c r="K477" t="n">
        <v>0</v>
      </c>
      <c r="L477" t="n">
        <v>0</v>
      </c>
      <c r="M477" t="n">
        <v>0</v>
      </c>
      <c r="N477" t="n">
        <v>0</v>
      </c>
      <c r="O477" t="n">
        <v>0</v>
      </c>
      <c r="P477" t="n">
        <v>0</v>
      </c>
      <c r="Q477" t="n">
        <v>0</v>
      </c>
      <c r="R477" s="2" t="inlineStr"/>
    </row>
    <row r="478" ht="15" customHeight="1">
      <c r="A478" t="inlineStr">
        <is>
          <t>A 26462-2026</t>
        </is>
      </c>
      <c r="B478" s="1" t="n">
        <v>46183</v>
      </c>
      <c r="C478" s="1" t="n">
        <v>46203</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21507-2023</t>
        </is>
      </c>
      <c r="B479" s="1" t="n">
        <v>45063</v>
      </c>
      <c r="C479" s="1" t="n">
        <v>46203</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51187-2023</t>
        </is>
      </c>
      <c r="B480" s="1" t="n">
        <v>45219</v>
      </c>
      <c r="C480" s="1" t="n">
        <v>46203</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26762-2026</t>
        </is>
      </c>
      <c r="B481" s="1" t="n">
        <v>46184</v>
      </c>
      <c r="C481" s="1" t="n">
        <v>46203</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45560-2021</t>
        </is>
      </c>
      <c r="B482" s="1" t="n">
        <v>44440</v>
      </c>
      <c r="C482" s="1" t="n">
        <v>46203</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26704-2026</t>
        </is>
      </c>
      <c r="B483" s="1" t="n">
        <v>46184</v>
      </c>
      <c r="C483" s="1" t="n">
        <v>46203</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27074-2026</t>
        </is>
      </c>
      <c r="B484" s="1" t="n">
        <v>46186</v>
      </c>
      <c r="C484" s="1" t="n">
        <v>46203</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16622-2025</t>
        </is>
      </c>
      <c r="B485" s="1" t="n">
        <v>45754</v>
      </c>
      <c r="C485" s="1" t="n">
        <v>46203</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31340-2023</t>
        </is>
      </c>
      <c r="B486" s="1" t="n">
        <v>45114</v>
      </c>
      <c r="C486" s="1" t="n">
        <v>46203</v>
      </c>
      <c r="D486" t="inlineStr">
        <is>
          <t>KALMAR LÄN</t>
        </is>
      </c>
      <c r="E486" t="inlineStr">
        <is>
          <t>VIMMERBY</t>
        </is>
      </c>
      <c r="G486" t="n">
        <v>1.8</v>
      </c>
      <c r="H486" t="n">
        <v>0</v>
      </c>
      <c r="I486" t="n">
        <v>0</v>
      </c>
      <c r="J486" t="n">
        <v>0</v>
      </c>
      <c r="K486" t="n">
        <v>0</v>
      </c>
      <c r="L486" t="n">
        <v>0</v>
      </c>
      <c r="M486" t="n">
        <v>0</v>
      </c>
      <c r="N486" t="n">
        <v>0</v>
      </c>
      <c r="O486" t="n">
        <v>0</v>
      </c>
      <c r="P486" t="n">
        <v>0</v>
      </c>
      <c r="Q486" t="n">
        <v>0</v>
      </c>
      <c r="R486" s="2" t="inlineStr"/>
    </row>
    <row r="487" ht="15" customHeight="1">
      <c r="A487" t="inlineStr">
        <is>
          <t>A 29168-2024</t>
        </is>
      </c>
      <c r="B487" s="1" t="n">
        <v>45482</v>
      </c>
      <c r="C487" s="1" t="n">
        <v>46203</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29186-2024</t>
        </is>
      </c>
      <c r="B488" s="1" t="n">
        <v>45482</v>
      </c>
      <c r="C488" s="1" t="n">
        <v>46203</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35895-2024</t>
        </is>
      </c>
      <c r="B489" s="1" t="n">
        <v>45533</v>
      </c>
      <c r="C489" s="1" t="n">
        <v>46203</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12590-2025</t>
        </is>
      </c>
      <c r="B490" s="1" t="n">
        <v>45732</v>
      </c>
      <c r="C490" s="1" t="n">
        <v>46203</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30318-2023</t>
        </is>
      </c>
      <c r="B491" s="1" t="n">
        <v>45111</v>
      </c>
      <c r="C491" s="1" t="n">
        <v>46203</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21882-2026</t>
        </is>
      </c>
      <c r="B492" s="1" t="n">
        <v>46150</v>
      </c>
      <c r="C492" s="1" t="n">
        <v>46203</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28296-2026</t>
        </is>
      </c>
      <c r="B493" s="1" t="n">
        <v>46196</v>
      </c>
      <c r="C493" s="1" t="n">
        <v>46203</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46203</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60230-2022</t>
        </is>
      </c>
      <c r="B495" s="1" t="n">
        <v>44910</v>
      </c>
      <c r="C495" s="1" t="n">
        <v>46203</v>
      </c>
      <c r="D495" t="inlineStr">
        <is>
          <t>KALMAR LÄN</t>
        </is>
      </c>
      <c r="E495" t="inlineStr">
        <is>
          <t>VIMMERBY</t>
        </is>
      </c>
      <c r="G495" t="n">
        <v>11.3</v>
      </c>
      <c r="H495" t="n">
        <v>0</v>
      </c>
      <c r="I495" t="n">
        <v>0</v>
      </c>
      <c r="J495" t="n">
        <v>0</v>
      </c>
      <c r="K495" t="n">
        <v>0</v>
      </c>
      <c r="L495" t="n">
        <v>0</v>
      </c>
      <c r="M495" t="n">
        <v>0</v>
      </c>
      <c r="N495" t="n">
        <v>0</v>
      </c>
      <c r="O495" t="n">
        <v>0</v>
      </c>
      <c r="P495" t="n">
        <v>0</v>
      </c>
      <c r="Q495" t="n">
        <v>0</v>
      </c>
      <c r="R495" s="2" t="inlineStr"/>
    </row>
    <row r="496" ht="15" customHeight="1">
      <c r="A496" t="inlineStr">
        <is>
          <t>A 5925-2022</t>
        </is>
      </c>
      <c r="B496" s="1" t="n">
        <v>44598</v>
      </c>
      <c r="C496" s="1" t="n">
        <v>46203</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845-2023</t>
        </is>
      </c>
      <c r="B497" s="1" t="n">
        <v>44931</v>
      </c>
      <c r="C497" s="1" t="n">
        <v>46203</v>
      </c>
      <c r="D497" t="inlineStr">
        <is>
          <t>KALMAR LÄN</t>
        </is>
      </c>
      <c r="E497" t="inlineStr">
        <is>
          <t>VIMMERBY</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16119-2023</t>
        </is>
      </c>
      <c r="B498" s="1" t="n">
        <v>45027</v>
      </c>
      <c r="C498" s="1" t="n">
        <v>46203</v>
      </c>
      <c r="D498" t="inlineStr">
        <is>
          <t>KALMAR LÄN</t>
        </is>
      </c>
      <c r="E498" t="inlineStr">
        <is>
          <t>VIMMERBY</t>
        </is>
      </c>
      <c r="F498" t="inlineStr">
        <is>
          <t>Kommuner</t>
        </is>
      </c>
      <c r="G498" t="n">
        <v>4.4</v>
      </c>
      <c r="H498" t="n">
        <v>0</v>
      </c>
      <c r="I498" t="n">
        <v>0</v>
      </c>
      <c r="J498" t="n">
        <v>0</v>
      </c>
      <c r="K498" t="n">
        <v>0</v>
      </c>
      <c r="L498" t="n">
        <v>0</v>
      </c>
      <c r="M498" t="n">
        <v>0</v>
      </c>
      <c r="N498" t="n">
        <v>0</v>
      </c>
      <c r="O498" t="n">
        <v>0</v>
      </c>
      <c r="P498" t="n">
        <v>0</v>
      </c>
      <c r="Q498" t="n">
        <v>0</v>
      </c>
      <c r="R498" s="2" t="inlineStr"/>
    </row>
    <row r="499" ht="15" customHeight="1">
      <c r="A499" t="inlineStr">
        <is>
          <t>A 30588-2023</t>
        </is>
      </c>
      <c r="B499" s="1" t="n">
        <v>45112</v>
      </c>
      <c r="C499" s="1" t="n">
        <v>46203</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28229-2026</t>
        </is>
      </c>
      <c r="B500" s="1" t="n">
        <v>46196</v>
      </c>
      <c r="C500" s="1" t="n">
        <v>46203</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28784-2026</t>
        </is>
      </c>
      <c r="B501" s="1" t="n">
        <v>46198</v>
      </c>
      <c r="C501" s="1" t="n">
        <v>46203</v>
      </c>
      <c r="D501" t="inlineStr">
        <is>
          <t>KALMAR LÄN</t>
        </is>
      </c>
      <c r="E501" t="inlineStr">
        <is>
          <t>VIMMERBY</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46203</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28510-2026</t>
        </is>
      </c>
      <c r="B503" s="1" t="n">
        <v>46197</v>
      </c>
      <c r="C503" s="1" t="n">
        <v>46203</v>
      </c>
      <c r="D503" t="inlineStr">
        <is>
          <t>KALMAR LÄN</t>
        </is>
      </c>
      <c r="E503" t="inlineStr">
        <is>
          <t>VIMMERBY</t>
        </is>
      </c>
      <c r="G503" t="n">
        <v>3.3</v>
      </c>
      <c r="H503" t="n">
        <v>0</v>
      </c>
      <c r="I503" t="n">
        <v>0</v>
      </c>
      <c r="J503" t="n">
        <v>0</v>
      </c>
      <c r="K503" t="n">
        <v>0</v>
      </c>
      <c r="L503" t="n">
        <v>0</v>
      </c>
      <c r="M503" t="n">
        <v>0</v>
      </c>
      <c r="N503" t="n">
        <v>0</v>
      </c>
      <c r="O503" t="n">
        <v>0</v>
      </c>
      <c r="P503" t="n">
        <v>0</v>
      </c>
      <c r="Q503" t="n">
        <v>0</v>
      </c>
      <c r="R503" s="2" t="inlineStr"/>
    </row>
    <row r="504" ht="15" customHeight="1">
      <c r="A504" t="inlineStr">
        <is>
          <t>A 28511-2026</t>
        </is>
      </c>
      <c r="B504" s="1" t="n">
        <v>46197</v>
      </c>
      <c r="C504" s="1" t="n">
        <v>46203</v>
      </c>
      <c r="D504" t="inlineStr">
        <is>
          <t>KALMAR LÄN</t>
        </is>
      </c>
      <c r="E504" t="inlineStr">
        <is>
          <t>VIMMERBY</t>
        </is>
      </c>
      <c r="G504" t="n">
        <v>3.3</v>
      </c>
      <c r="H504" t="n">
        <v>0</v>
      </c>
      <c r="I504" t="n">
        <v>0</v>
      </c>
      <c r="J504" t="n">
        <v>0</v>
      </c>
      <c r="K504" t="n">
        <v>0</v>
      </c>
      <c r="L504" t="n">
        <v>0</v>
      </c>
      <c r="M504" t="n">
        <v>0</v>
      </c>
      <c r="N504" t="n">
        <v>0</v>
      </c>
      <c r="O504" t="n">
        <v>0</v>
      </c>
      <c r="P504" t="n">
        <v>0</v>
      </c>
      <c r="Q504" t="n">
        <v>0</v>
      </c>
      <c r="R504" s="2" t="inlineStr"/>
    </row>
    <row r="505" ht="15" customHeight="1">
      <c r="A505" t="inlineStr">
        <is>
          <t>A 16516-2023</t>
        </is>
      </c>
      <c r="B505" s="1" t="n">
        <v>45029</v>
      </c>
      <c r="C505" s="1" t="n">
        <v>46203</v>
      </c>
      <c r="D505" t="inlineStr">
        <is>
          <t>KALMAR LÄN</t>
        </is>
      </c>
      <c r="E505" t="inlineStr">
        <is>
          <t>VIMMERBY</t>
        </is>
      </c>
      <c r="G505" t="n">
        <v>4.3</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46203</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7485-2024</t>
        </is>
      </c>
      <c r="B507" s="1" t="n">
        <v>45346</v>
      </c>
      <c r="C507" s="1" t="n">
        <v>46203</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28530-2026</t>
        </is>
      </c>
      <c r="B508" s="1" t="n">
        <v>46197</v>
      </c>
      <c r="C508" s="1" t="n">
        <v>46203</v>
      </c>
      <c r="D508" t="inlineStr">
        <is>
          <t>KALMAR LÄN</t>
        </is>
      </c>
      <c r="E508" t="inlineStr">
        <is>
          <t>VIMMERBY</t>
        </is>
      </c>
      <c r="G508" t="n">
        <v>4.6</v>
      </c>
      <c r="H508" t="n">
        <v>0</v>
      </c>
      <c r="I508" t="n">
        <v>0</v>
      </c>
      <c r="J508" t="n">
        <v>0</v>
      </c>
      <c r="K508" t="n">
        <v>0</v>
      </c>
      <c r="L508" t="n">
        <v>0</v>
      </c>
      <c r="M508" t="n">
        <v>0</v>
      </c>
      <c r="N508" t="n">
        <v>0</v>
      </c>
      <c r="O508" t="n">
        <v>0</v>
      </c>
      <c r="P508" t="n">
        <v>0</v>
      </c>
      <c r="Q508" t="n">
        <v>0</v>
      </c>
      <c r="R508" s="2" t="inlineStr"/>
    </row>
    <row r="509" ht="15" customHeight="1">
      <c r="A509" t="inlineStr">
        <is>
          <t>A 13667-2026</t>
        </is>
      </c>
      <c r="B509" s="1" t="n">
        <v>46097</v>
      </c>
      <c r="C509" s="1" t="n">
        <v>46203</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6574-2023</t>
        </is>
      </c>
      <c r="B510" s="1" t="n">
        <v>44966</v>
      </c>
      <c r="C510" s="1" t="n">
        <v>46203</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58750-2022</t>
        </is>
      </c>
      <c r="B511" s="1" t="n">
        <v>44903</v>
      </c>
      <c r="C511" s="1" t="n">
        <v>46203</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15054-2026</t>
        </is>
      </c>
      <c r="B512" s="1" t="n">
        <v>46104</v>
      </c>
      <c r="C512" s="1" t="n">
        <v>46203</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57728-2025</t>
        </is>
      </c>
      <c r="B513" s="1" t="n">
        <v>45981</v>
      </c>
      <c r="C513" s="1" t="n">
        <v>46203</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2260-2022</t>
        </is>
      </c>
      <c r="B514" s="1" t="n">
        <v>44578</v>
      </c>
      <c r="C514" s="1" t="n">
        <v>46203</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36246-2025</t>
        </is>
      </c>
      <c r="B515" s="1" t="n">
        <v>45867</v>
      </c>
      <c r="C515" s="1" t="n">
        <v>46203</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17084-2025</t>
        </is>
      </c>
      <c r="B516" s="1" t="n">
        <v>45755</v>
      </c>
      <c r="C516" s="1" t="n">
        <v>46203</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50860-2022</t>
        </is>
      </c>
      <c r="B517" s="1" t="n">
        <v>44867</v>
      </c>
      <c r="C517" s="1" t="n">
        <v>46203</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53483-2022</t>
        </is>
      </c>
      <c r="B518" s="1" t="n">
        <v>44879</v>
      </c>
      <c r="C518" s="1" t="n">
        <v>46203</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58962-2022</t>
        </is>
      </c>
      <c r="B519" s="1" t="n">
        <v>44903</v>
      </c>
      <c r="C519" s="1" t="n">
        <v>46203</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58967-2022</t>
        </is>
      </c>
      <c r="B520" s="1" t="n">
        <v>44896</v>
      </c>
      <c r="C520" s="1" t="n">
        <v>46203</v>
      </c>
      <c r="D520" t="inlineStr">
        <is>
          <t>KALMAR LÄN</t>
        </is>
      </c>
      <c r="E520" t="inlineStr">
        <is>
          <t>VIMMERBY</t>
        </is>
      </c>
      <c r="G520" t="n">
        <v>5</v>
      </c>
      <c r="H520" t="n">
        <v>0</v>
      </c>
      <c r="I520" t="n">
        <v>0</v>
      </c>
      <c r="J520" t="n">
        <v>0</v>
      </c>
      <c r="K520" t="n">
        <v>0</v>
      </c>
      <c r="L520" t="n">
        <v>0</v>
      </c>
      <c r="M520" t="n">
        <v>0</v>
      </c>
      <c r="N520" t="n">
        <v>0</v>
      </c>
      <c r="O520" t="n">
        <v>0</v>
      </c>
      <c r="P520" t="n">
        <v>0</v>
      </c>
      <c r="Q520" t="n">
        <v>0</v>
      </c>
      <c r="R520" s="2" t="inlineStr"/>
    </row>
    <row r="521" ht="15" customHeight="1">
      <c r="A521" t="inlineStr">
        <is>
          <t>A 57682-2022</t>
        </is>
      </c>
      <c r="B521" s="1" t="n">
        <v>44890</v>
      </c>
      <c r="C521" s="1" t="n">
        <v>46203</v>
      </c>
      <c r="D521" t="inlineStr">
        <is>
          <t>KALMAR LÄN</t>
        </is>
      </c>
      <c r="E521" t="inlineStr">
        <is>
          <t>VIMMERBY</t>
        </is>
      </c>
      <c r="G521" t="n">
        <v>1.5</v>
      </c>
      <c r="H521" t="n">
        <v>0</v>
      </c>
      <c r="I521" t="n">
        <v>0</v>
      </c>
      <c r="J521" t="n">
        <v>0</v>
      </c>
      <c r="K521" t="n">
        <v>0</v>
      </c>
      <c r="L521" t="n">
        <v>0</v>
      </c>
      <c r="M521" t="n">
        <v>0</v>
      </c>
      <c r="N521" t="n">
        <v>0</v>
      </c>
      <c r="O521" t="n">
        <v>0</v>
      </c>
      <c r="P521" t="n">
        <v>0</v>
      </c>
      <c r="Q521" t="n">
        <v>0</v>
      </c>
      <c r="R521" s="2" t="inlineStr"/>
    </row>
    <row r="522" ht="15" customHeight="1">
      <c r="A522" t="inlineStr">
        <is>
          <t>A 4076-2022</t>
        </is>
      </c>
      <c r="B522" s="1" t="n">
        <v>44588</v>
      </c>
      <c r="C522" s="1" t="n">
        <v>46203</v>
      </c>
      <c r="D522" t="inlineStr">
        <is>
          <t>KALMAR LÄN</t>
        </is>
      </c>
      <c r="E522" t="inlineStr">
        <is>
          <t>VIMMERBY</t>
        </is>
      </c>
      <c r="G522" t="n">
        <v>3</v>
      </c>
      <c r="H522" t="n">
        <v>0</v>
      </c>
      <c r="I522" t="n">
        <v>0</v>
      </c>
      <c r="J522" t="n">
        <v>0</v>
      </c>
      <c r="K522" t="n">
        <v>0</v>
      </c>
      <c r="L522" t="n">
        <v>0</v>
      </c>
      <c r="M522" t="n">
        <v>0</v>
      </c>
      <c r="N522" t="n">
        <v>0</v>
      </c>
      <c r="O522" t="n">
        <v>0</v>
      </c>
      <c r="P522" t="n">
        <v>0</v>
      </c>
      <c r="Q522" t="n">
        <v>0</v>
      </c>
      <c r="R522" s="2" t="inlineStr"/>
    </row>
    <row r="523" ht="15" customHeight="1">
      <c r="A523" t="inlineStr">
        <is>
          <t>A 4122-2022</t>
        </is>
      </c>
      <c r="B523" s="1" t="n">
        <v>44588</v>
      </c>
      <c r="C523" s="1" t="n">
        <v>46203</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9624-2024</t>
        </is>
      </c>
      <c r="B524" s="1" t="n">
        <v>45361</v>
      </c>
      <c r="C524" s="1" t="n">
        <v>46203</v>
      </c>
      <c r="D524" t="inlineStr">
        <is>
          <t>KALMAR LÄN</t>
        </is>
      </c>
      <c r="E524" t="inlineStr">
        <is>
          <t>VIMMERBY</t>
        </is>
      </c>
      <c r="G524" t="n">
        <v>3.8</v>
      </c>
      <c r="H524" t="n">
        <v>0</v>
      </c>
      <c r="I524" t="n">
        <v>0</v>
      </c>
      <c r="J524" t="n">
        <v>0</v>
      </c>
      <c r="K524" t="n">
        <v>0</v>
      </c>
      <c r="L524" t="n">
        <v>0</v>
      </c>
      <c r="M524" t="n">
        <v>0</v>
      </c>
      <c r="N524" t="n">
        <v>0</v>
      </c>
      <c r="O524" t="n">
        <v>0</v>
      </c>
      <c r="P524" t="n">
        <v>0</v>
      </c>
      <c r="Q524" t="n">
        <v>0</v>
      </c>
      <c r="R524" s="2" t="inlineStr"/>
    </row>
    <row r="525" ht="15" customHeight="1">
      <c r="A525" t="inlineStr">
        <is>
          <t>A 52327-2023</t>
        </is>
      </c>
      <c r="B525" s="1" t="n">
        <v>45224</v>
      </c>
      <c r="C525" s="1" t="n">
        <v>46203</v>
      </c>
      <c r="D525" t="inlineStr">
        <is>
          <t>KALMAR LÄN</t>
        </is>
      </c>
      <c r="E525" t="inlineStr">
        <is>
          <t>VIMMERBY</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29616-2022</t>
        </is>
      </c>
      <c r="B526" s="1" t="n">
        <v>44754</v>
      </c>
      <c r="C526" s="1" t="n">
        <v>46203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28403-2023</t>
        </is>
      </c>
      <c r="B527" s="1" t="n">
        <v>45100</v>
      </c>
      <c r="C527" s="1" t="n">
        <v>46203</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66022-2021</t>
        </is>
      </c>
      <c r="B528" s="1" t="n">
        <v>44517</v>
      </c>
      <c r="C528" s="1" t="n">
        <v>46203</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30070-2023</t>
        </is>
      </c>
      <c r="B529" s="1" t="n">
        <v>45110</v>
      </c>
      <c r="C529" s="1" t="n">
        <v>46203</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46078-2023</t>
        </is>
      </c>
      <c r="B530" s="1" t="n">
        <v>45196</v>
      </c>
      <c r="C530" s="1" t="n">
        <v>46203</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7643-2022</t>
        </is>
      </c>
      <c r="B531" s="1" t="n">
        <v>44607</v>
      </c>
      <c r="C531" s="1" t="n">
        <v>46203</v>
      </c>
      <c r="D531" t="inlineStr">
        <is>
          <t>KALMAR LÄN</t>
        </is>
      </c>
      <c r="E531" t="inlineStr">
        <is>
          <t>VIMMERBY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3494-2023</t>
        </is>
      </c>
      <c r="B532" s="1" t="n">
        <v>44949</v>
      </c>
      <c r="C532" s="1" t="n">
        <v>46203</v>
      </c>
      <c r="D532" t="inlineStr">
        <is>
          <t>KALMAR LÄN</t>
        </is>
      </c>
      <c r="E532" t="inlineStr">
        <is>
          <t>VIMMERBY</t>
        </is>
      </c>
      <c r="F532" t="inlineStr">
        <is>
          <t>Kyrkan</t>
        </is>
      </c>
      <c r="G532" t="n">
        <v>0.8</v>
      </c>
      <c r="H532" t="n">
        <v>0</v>
      </c>
      <c r="I532" t="n">
        <v>0</v>
      </c>
      <c r="J532" t="n">
        <v>0</v>
      </c>
      <c r="K532" t="n">
        <v>0</v>
      </c>
      <c r="L532" t="n">
        <v>0</v>
      </c>
      <c r="M532" t="n">
        <v>0</v>
      </c>
      <c r="N532" t="n">
        <v>0</v>
      </c>
      <c r="O532" t="n">
        <v>0</v>
      </c>
      <c r="P532" t="n">
        <v>0</v>
      </c>
      <c r="Q532" t="n">
        <v>0</v>
      </c>
      <c r="R532" s="2" t="inlineStr"/>
    </row>
    <row r="533" ht="15" customHeight="1">
      <c r="A533" t="inlineStr">
        <is>
          <t>A 32633-2023</t>
        </is>
      </c>
      <c r="B533" s="1" t="n">
        <v>45121</v>
      </c>
      <c r="C533" s="1" t="n">
        <v>46203</v>
      </c>
      <c r="D533" t="inlineStr">
        <is>
          <t>KALMAR LÄN</t>
        </is>
      </c>
      <c r="E533" t="inlineStr">
        <is>
          <t>VIMMERBY</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43601-2024</t>
        </is>
      </c>
      <c r="B534" s="1" t="n">
        <v>45569</v>
      </c>
      <c r="C534" s="1" t="n">
        <v>46203</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13813-2024</t>
        </is>
      </c>
      <c r="B535" s="1" t="n">
        <v>45391</v>
      </c>
      <c r="C535" s="1" t="n">
        <v>46203</v>
      </c>
      <c r="D535" t="inlineStr">
        <is>
          <t>KALMAR LÄN</t>
        </is>
      </c>
      <c r="E535" t="inlineStr">
        <is>
          <t>VIMMERBY</t>
        </is>
      </c>
      <c r="G535" t="n">
        <v>0.4</v>
      </c>
      <c r="H535" t="n">
        <v>0</v>
      </c>
      <c r="I535" t="n">
        <v>0</v>
      </c>
      <c r="J535" t="n">
        <v>0</v>
      </c>
      <c r="K535" t="n">
        <v>0</v>
      </c>
      <c r="L535" t="n">
        <v>0</v>
      </c>
      <c r="M535" t="n">
        <v>0</v>
      </c>
      <c r="N535" t="n">
        <v>0</v>
      </c>
      <c r="O535" t="n">
        <v>0</v>
      </c>
      <c r="P535" t="n">
        <v>0</v>
      </c>
      <c r="Q535" t="n">
        <v>0</v>
      </c>
      <c r="R535" s="2" t="inlineStr"/>
    </row>
    <row r="536" ht="15" customHeight="1">
      <c r="A536" t="inlineStr">
        <is>
          <t>A 25234-2023</t>
        </is>
      </c>
      <c r="B536" s="1" t="n">
        <v>45086</v>
      </c>
      <c r="C536" s="1" t="n">
        <v>46203</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25236-2023</t>
        </is>
      </c>
      <c r="B537" s="1" t="n">
        <v>45086</v>
      </c>
      <c r="C537" s="1" t="n">
        <v>46203</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25244-2023</t>
        </is>
      </c>
      <c r="B538" s="1" t="n">
        <v>45086</v>
      </c>
      <c r="C538" s="1" t="n">
        <v>46203</v>
      </c>
      <c r="D538" t="inlineStr">
        <is>
          <t>KALMAR LÄN</t>
        </is>
      </c>
      <c r="E538" t="inlineStr">
        <is>
          <t>VIMMERBY</t>
        </is>
      </c>
      <c r="G538" t="n">
        <v>4.7</v>
      </c>
      <c r="H538" t="n">
        <v>0</v>
      </c>
      <c r="I538" t="n">
        <v>0</v>
      </c>
      <c r="J538" t="n">
        <v>0</v>
      </c>
      <c r="K538" t="n">
        <v>0</v>
      </c>
      <c r="L538" t="n">
        <v>0</v>
      </c>
      <c r="M538" t="n">
        <v>0</v>
      </c>
      <c r="N538" t="n">
        <v>0</v>
      </c>
      <c r="O538" t="n">
        <v>0</v>
      </c>
      <c r="P538" t="n">
        <v>0</v>
      </c>
      <c r="Q538" t="n">
        <v>0</v>
      </c>
      <c r="R538" s="2" t="inlineStr"/>
    </row>
    <row r="539" ht="15" customHeight="1">
      <c r="A539" t="inlineStr">
        <is>
          <t>A 23341-2022</t>
        </is>
      </c>
      <c r="B539" s="1" t="n">
        <v>44720</v>
      </c>
      <c r="C539" s="1" t="n">
        <v>46203</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46203</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73938-2021</t>
        </is>
      </c>
      <c r="B541" s="1" t="n">
        <v>44553</v>
      </c>
      <c r="C541" s="1" t="n">
        <v>46203</v>
      </c>
      <c r="D541" t="inlineStr">
        <is>
          <t>KALMAR LÄN</t>
        </is>
      </c>
      <c r="E541" t="inlineStr">
        <is>
          <t>VIMMERBY</t>
        </is>
      </c>
      <c r="G541" t="n">
        <v>3.2</v>
      </c>
      <c r="H541" t="n">
        <v>0</v>
      </c>
      <c r="I541" t="n">
        <v>0</v>
      </c>
      <c r="J541" t="n">
        <v>0</v>
      </c>
      <c r="K541" t="n">
        <v>0</v>
      </c>
      <c r="L541" t="n">
        <v>0</v>
      </c>
      <c r="M541" t="n">
        <v>0</v>
      </c>
      <c r="N541" t="n">
        <v>0</v>
      </c>
      <c r="O541" t="n">
        <v>0</v>
      </c>
      <c r="P541" t="n">
        <v>0</v>
      </c>
      <c r="Q541" t="n">
        <v>0</v>
      </c>
      <c r="R541" s="2" t="inlineStr"/>
    </row>
    <row r="542" ht="15" customHeight="1">
      <c r="A542" t="inlineStr">
        <is>
          <t>A 6069-2023</t>
        </is>
      </c>
      <c r="B542" s="1" t="n">
        <v>44964</v>
      </c>
      <c r="C542" s="1" t="n">
        <v>46203</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50995-2022</t>
        </is>
      </c>
      <c r="B543" s="1" t="n">
        <v>44867</v>
      </c>
      <c r="C543" s="1" t="n">
        <v>46203</v>
      </c>
      <c r="D543" t="inlineStr">
        <is>
          <t>KALMAR LÄN</t>
        </is>
      </c>
      <c r="E543" t="inlineStr">
        <is>
          <t>VIMMERBY</t>
        </is>
      </c>
      <c r="G543" t="n">
        <v>2.4</v>
      </c>
      <c r="H543" t="n">
        <v>0</v>
      </c>
      <c r="I543" t="n">
        <v>0</v>
      </c>
      <c r="J543" t="n">
        <v>0</v>
      </c>
      <c r="K543" t="n">
        <v>0</v>
      </c>
      <c r="L543" t="n">
        <v>0</v>
      </c>
      <c r="M543" t="n">
        <v>0</v>
      </c>
      <c r="N543" t="n">
        <v>0</v>
      </c>
      <c r="O543" t="n">
        <v>0</v>
      </c>
      <c r="P543" t="n">
        <v>0</v>
      </c>
      <c r="Q543" t="n">
        <v>0</v>
      </c>
      <c r="R543" s="2" t="inlineStr"/>
    </row>
    <row r="544" ht="15" customHeight="1">
      <c r="A544" t="inlineStr">
        <is>
          <t>A 27122-2023</t>
        </is>
      </c>
      <c r="B544" s="1" t="n">
        <v>45096</v>
      </c>
      <c r="C544" s="1" t="n">
        <v>46203</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30402-2023</t>
        </is>
      </c>
      <c r="B545" s="1" t="n">
        <v>45111</v>
      </c>
      <c r="C545" s="1" t="n">
        <v>46203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47842-2024</t>
        </is>
      </c>
      <c r="B546" s="1" t="n">
        <v>45588</v>
      </c>
      <c r="C546" s="1" t="n">
        <v>46203</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6857-2023</t>
        </is>
      </c>
      <c r="B547" s="1" t="n">
        <v>44967</v>
      </c>
      <c r="C547" s="1" t="n">
        <v>46203</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46224-2024</t>
        </is>
      </c>
      <c r="B548" s="1" t="n">
        <v>45581</v>
      </c>
      <c r="C548" s="1" t="n">
        <v>46203</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29013-2024</t>
        </is>
      </c>
      <c r="B549" s="1" t="n">
        <v>45481</v>
      </c>
      <c r="C549" s="1" t="n">
        <v>46203</v>
      </c>
      <c r="D549" t="inlineStr">
        <is>
          <t>KALMAR LÄN</t>
        </is>
      </c>
      <c r="E549" t="inlineStr">
        <is>
          <t>VIMMERBY</t>
        </is>
      </c>
      <c r="G549" t="n">
        <v>3.4</v>
      </c>
      <c r="H549" t="n">
        <v>0</v>
      </c>
      <c r="I549" t="n">
        <v>0</v>
      </c>
      <c r="J549" t="n">
        <v>0</v>
      </c>
      <c r="K549" t="n">
        <v>0</v>
      </c>
      <c r="L549" t="n">
        <v>0</v>
      </c>
      <c r="M549" t="n">
        <v>0</v>
      </c>
      <c r="N549" t="n">
        <v>0</v>
      </c>
      <c r="O549" t="n">
        <v>0</v>
      </c>
      <c r="P549" t="n">
        <v>0</v>
      </c>
      <c r="Q549" t="n">
        <v>0</v>
      </c>
      <c r="R549" s="2" t="inlineStr"/>
    </row>
    <row r="550" ht="15" customHeight="1">
      <c r="A550" t="inlineStr">
        <is>
          <t>A 37028-2024</t>
        </is>
      </c>
      <c r="B550" s="1" t="n">
        <v>45539</v>
      </c>
      <c r="C550" s="1" t="n">
        <v>46203</v>
      </c>
      <c r="D550" t="inlineStr">
        <is>
          <t>KALMAR LÄN</t>
        </is>
      </c>
      <c r="E550" t="inlineStr">
        <is>
          <t>VIMMERBY</t>
        </is>
      </c>
      <c r="G550" t="n">
        <v>5.2</v>
      </c>
      <c r="H550" t="n">
        <v>0</v>
      </c>
      <c r="I550" t="n">
        <v>0</v>
      </c>
      <c r="J550" t="n">
        <v>0</v>
      </c>
      <c r="K550" t="n">
        <v>0</v>
      </c>
      <c r="L550" t="n">
        <v>0</v>
      </c>
      <c r="M550" t="n">
        <v>0</v>
      </c>
      <c r="N550" t="n">
        <v>0</v>
      </c>
      <c r="O550" t="n">
        <v>0</v>
      </c>
      <c r="P550" t="n">
        <v>0</v>
      </c>
      <c r="Q550" t="n">
        <v>0</v>
      </c>
      <c r="R550" s="2" t="inlineStr"/>
    </row>
    <row r="551" ht="15" customHeight="1">
      <c r="A551" t="inlineStr">
        <is>
          <t>A 37187-2024</t>
        </is>
      </c>
      <c r="B551" s="1" t="n">
        <v>45539</v>
      </c>
      <c r="C551" s="1" t="n">
        <v>46203</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12630-2023</t>
        </is>
      </c>
      <c r="B552" s="1" t="n">
        <v>45000</v>
      </c>
      <c r="C552" s="1" t="n">
        <v>46203</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39584-2024</t>
        </is>
      </c>
      <c r="B553" s="1" t="n">
        <v>45552</v>
      </c>
      <c r="C553" s="1" t="n">
        <v>46203</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27705-2023</t>
        </is>
      </c>
      <c r="B554" s="1" t="n">
        <v>45098</v>
      </c>
      <c r="C554" s="1" t="n">
        <v>46203</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31013-2023</t>
        </is>
      </c>
      <c r="B555" s="1" t="n">
        <v>45113</v>
      </c>
      <c r="C555" s="1" t="n">
        <v>46203</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33352-2022</t>
        </is>
      </c>
      <c r="B556" s="1" t="n">
        <v>44788</v>
      </c>
      <c r="C556" s="1" t="n">
        <v>46203</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46234-2024</t>
        </is>
      </c>
      <c r="B557" s="1" t="n">
        <v>45581</v>
      </c>
      <c r="C557" s="1" t="n">
        <v>46203</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39053-2024</t>
        </is>
      </c>
      <c r="B558" s="1" t="n">
        <v>45548</v>
      </c>
      <c r="C558" s="1" t="n">
        <v>46203</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15449-2023</t>
        </is>
      </c>
      <c r="B559" s="1" t="n">
        <v>45020</v>
      </c>
      <c r="C559" s="1" t="n">
        <v>46203</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43594-2024</t>
        </is>
      </c>
      <c r="B560" s="1" t="n">
        <v>45569</v>
      </c>
      <c r="C560" s="1" t="n">
        <v>46203</v>
      </c>
      <c r="D560" t="inlineStr">
        <is>
          <t>KALMAR LÄN</t>
        </is>
      </c>
      <c r="E560" t="inlineStr">
        <is>
          <t>VIMMERBY</t>
        </is>
      </c>
      <c r="G560" t="n">
        <v>3.9</v>
      </c>
      <c r="H560" t="n">
        <v>0</v>
      </c>
      <c r="I560" t="n">
        <v>0</v>
      </c>
      <c r="J560" t="n">
        <v>0</v>
      </c>
      <c r="K560" t="n">
        <v>0</v>
      </c>
      <c r="L560" t="n">
        <v>0</v>
      </c>
      <c r="M560" t="n">
        <v>0</v>
      </c>
      <c r="N560" t="n">
        <v>0</v>
      </c>
      <c r="O560" t="n">
        <v>0</v>
      </c>
      <c r="P560" t="n">
        <v>0</v>
      </c>
      <c r="Q560" t="n">
        <v>0</v>
      </c>
      <c r="R560" s="2" t="inlineStr"/>
    </row>
    <row r="561" ht="15" customHeight="1">
      <c r="A561" t="inlineStr">
        <is>
          <t>A 17486-2024</t>
        </is>
      </c>
      <c r="B561" s="1" t="n">
        <v>45415</v>
      </c>
      <c r="C561" s="1" t="n">
        <v>46203</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14248-2023</t>
        </is>
      </c>
      <c r="B562" s="1" t="n">
        <v>45009</v>
      </c>
      <c r="C562" s="1" t="n">
        <v>46203</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30400-2023</t>
        </is>
      </c>
      <c r="B563" s="1" t="n">
        <v>45111</v>
      </c>
      <c r="C563" s="1" t="n">
        <v>46203</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30404-2023</t>
        </is>
      </c>
      <c r="B564" s="1" t="n">
        <v>45111</v>
      </c>
      <c r="C564" s="1" t="n">
        <v>46203</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55123-2024</t>
        </is>
      </c>
      <c r="B565" s="1" t="n">
        <v>45621</v>
      </c>
      <c r="C565" s="1" t="n">
        <v>46203</v>
      </c>
      <c r="D565" t="inlineStr">
        <is>
          <t>KALMAR LÄN</t>
        </is>
      </c>
      <c r="E565" t="inlineStr">
        <is>
          <t>VIMMERBY</t>
        </is>
      </c>
      <c r="G565" t="n">
        <v>3.1</v>
      </c>
      <c r="H565" t="n">
        <v>0</v>
      </c>
      <c r="I565" t="n">
        <v>0</v>
      </c>
      <c r="J565" t="n">
        <v>0</v>
      </c>
      <c r="K565" t="n">
        <v>0</v>
      </c>
      <c r="L565" t="n">
        <v>0</v>
      </c>
      <c r="M565" t="n">
        <v>0</v>
      </c>
      <c r="N565" t="n">
        <v>0</v>
      </c>
      <c r="O565" t="n">
        <v>0</v>
      </c>
      <c r="P565" t="n">
        <v>0</v>
      </c>
      <c r="Q565" t="n">
        <v>0</v>
      </c>
      <c r="R565" s="2" t="inlineStr"/>
    </row>
    <row r="566" ht="15" customHeight="1">
      <c r="A566" t="inlineStr">
        <is>
          <t>A 31405-2023</t>
        </is>
      </c>
      <c r="B566" s="1" t="n">
        <v>45114</v>
      </c>
      <c r="C566" s="1" t="n">
        <v>46203</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24707-2024</t>
        </is>
      </c>
      <c r="B567" s="1" t="n">
        <v>45460</v>
      </c>
      <c r="C567" s="1" t="n">
        <v>46203</v>
      </c>
      <c r="D567" t="inlineStr">
        <is>
          <t>KALMAR LÄN</t>
        </is>
      </c>
      <c r="E567" t="inlineStr">
        <is>
          <t>VIMMERBY</t>
        </is>
      </c>
      <c r="G567" t="n">
        <v>1.7</v>
      </c>
      <c r="H567" t="n">
        <v>0</v>
      </c>
      <c r="I567" t="n">
        <v>0</v>
      </c>
      <c r="J567" t="n">
        <v>0</v>
      </c>
      <c r="K567" t="n">
        <v>0</v>
      </c>
      <c r="L567" t="n">
        <v>0</v>
      </c>
      <c r="M567" t="n">
        <v>0</v>
      </c>
      <c r="N567" t="n">
        <v>0</v>
      </c>
      <c r="O567" t="n">
        <v>0</v>
      </c>
      <c r="P567" t="n">
        <v>0</v>
      </c>
      <c r="Q567" t="n">
        <v>0</v>
      </c>
      <c r="R567" s="2" t="inlineStr"/>
    </row>
    <row r="568" ht="15" customHeight="1">
      <c r="A568" t="inlineStr">
        <is>
          <t>A 36049-2024</t>
        </is>
      </c>
      <c r="B568" s="1" t="n">
        <v>45533</v>
      </c>
      <c r="C568" s="1" t="n">
        <v>46203</v>
      </c>
      <c r="D568" t="inlineStr">
        <is>
          <t>KALMAR LÄN</t>
        </is>
      </c>
      <c r="E568" t="inlineStr">
        <is>
          <t>VIMMERBY</t>
        </is>
      </c>
      <c r="F568" t="inlineStr">
        <is>
          <t>Kommuner</t>
        </is>
      </c>
      <c r="G568" t="n">
        <v>2.6</v>
      </c>
      <c r="H568" t="n">
        <v>0</v>
      </c>
      <c r="I568" t="n">
        <v>0</v>
      </c>
      <c r="J568" t="n">
        <v>0</v>
      </c>
      <c r="K568" t="n">
        <v>0</v>
      </c>
      <c r="L568" t="n">
        <v>0</v>
      </c>
      <c r="M568" t="n">
        <v>0</v>
      </c>
      <c r="N568" t="n">
        <v>0</v>
      </c>
      <c r="O568" t="n">
        <v>0</v>
      </c>
      <c r="P568" t="n">
        <v>0</v>
      </c>
      <c r="Q568" t="n">
        <v>0</v>
      </c>
      <c r="R568" s="2" t="inlineStr"/>
    </row>
    <row r="569" ht="15" customHeight="1">
      <c r="A569" t="inlineStr">
        <is>
          <t>A 14359-2025</t>
        </is>
      </c>
      <c r="B569" s="1" t="n">
        <v>45741</v>
      </c>
      <c r="C569" s="1" t="n">
        <v>46203</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39578-2024</t>
        </is>
      </c>
      <c r="B570" s="1" t="n">
        <v>45552</v>
      </c>
      <c r="C570" s="1" t="n">
        <v>46203</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62779-2023</t>
        </is>
      </c>
      <c r="B571" s="1" t="n">
        <v>45271</v>
      </c>
      <c r="C571" s="1" t="n">
        <v>46203</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46203</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43962-2024</t>
        </is>
      </c>
      <c r="B573" s="1" t="n">
        <v>45572</v>
      </c>
      <c r="C573" s="1" t="n">
        <v>46203</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12810-2023</t>
        </is>
      </c>
      <c r="B574" s="1" t="n">
        <v>45001</v>
      </c>
      <c r="C574" s="1" t="n">
        <v>46203</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43068-2023</t>
        </is>
      </c>
      <c r="B575" s="1" t="n">
        <v>45182</v>
      </c>
      <c r="C575" s="1" t="n">
        <v>46203</v>
      </c>
      <c r="D575" t="inlineStr">
        <is>
          <t>KALMAR LÄN</t>
        </is>
      </c>
      <c r="E575" t="inlineStr">
        <is>
          <t>VIMMERBY</t>
        </is>
      </c>
      <c r="G575" t="n">
        <v>1.5</v>
      </c>
      <c r="H575" t="n">
        <v>0</v>
      </c>
      <c r="I575" t="n">
        <v>0</v>
      </c>
      <c r="J575" t="n">
        <v>0</v>
      </c>
      <c r="K575" t="n">
        <v>0</v>
      </c>
      <c r="L575" t="n">
        <v>0</v>
      </c>
      <c r="M575" t="n">
        <v>0</v>
      </c>
      <c r="N575" t="n">
        <v>0</v>
      </c>
      <c r="O575" t="n">
        <v>0</v>
      </c>
      <c r="P575" t="n">
        <v>0</v>
      </c>
      <c r="Q575" t="n">
        <v>0</v>
      </c>
      <c r="R575" s="2" t="inlineStr"/>
    </row>
    <row r="576" ht="15" customHeight="1">
      <c r="A576" t="inlineStr">
        <is>
          <t>A 12075-2024</t>
        </is>
      </c>
      <c r="B576" s="1" t="n">
        <v>45377</v>
      </c>
      <c r="C576" s="1" t="n">
        <v>46203</v>
      </c>
      <c r="D576" t="inlineStr">
        <is>
          <t>KALMAR LÄN</t>
        </is>
      </c>
      <c r="E576" t="inlineStr">
        <is>
          <t>VIMMERBY</t>
        </is>
      </c>
      <c r="G576" t="n">
        <v>3.7</v>
      </c>
      <c r="H576" t="n">
        <v>0</v>
      </c>
      <c r="I576" t="n">
        <v>0</v>
      </c>
      <c r="J576" t="n">
        <v>0</v>
      </c>
      <c r="K576" t="n">
        <v>0</v>
      </c>
      <c r="L576" t="n">
        <v>0</v>
      </c>
      <c r="M576" t="n">
        <v>0</v>
      </c>
      <c r="N576" t="n">
        <v>0</v>
      </c>
      <c r="O576" t="n">
        <v>0</v>
      </c>
      <c r="P576" t="n">
        <v>0</v>
      </c>
      <c r="Q576" t="n">
        <v>0</v>
      </c>
      <c r="R576" s="2" t="inlineStr"/>
    </row>
    <row r="577" ht="15" customHeight="1">
      <c r="A577" t="inlineStr">
        <is>
          <t>A 2462-2022</t>
        </is>
      </c>
      <c r="B577" s="1" t="n">
        <v>44579</v>
      </c>
      <c r="C577" s="1" t="n">
        <v>46203</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13015-2022</t>
        </is>
      </c>
      <c r="B578" s="1" t="n">
        <v>44643</v>
      </c>
      <c r="C578" s="1" t="n">
        <v>46203</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4624-2024</t>
        </is>
      </c>
      <c r="B579" s="1" t="n">
        <v>45328</v>
      </c>
      <c r="C579" s="1" t="n">
        <v>46203</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9129-2025</t>
        </is>
      </c>
      <c r="B580" s="1" t="n">
        <v>45713</v>
      </c>
      <c r="C580" s="1" t="n">
        <v>46203</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22643-2023</t>
        </is>
      </c>
      <c r="B581" s="1" t="n">
        <v>45071</v>
      </c>
      <c r="C581" s="1" t="n">
        <v>46203</v>
      </c>
      <c r="D581" t="inlineStr">
        <is>
          <t>KALMAR LÄN</t>
        </is>
      </c>
      <c r="E581" t="inlineStr">
        <is>
          <t>VIMMERBY</t>
        </is>
      </c>
      <c r="G581" t="n">
        <v>3.9</v>
      </c>
      <c r="H581" t="n">
        <v>0</v>
      </c>
      <c r="I581" t="n">
        <v>0</v>
      </c>
      <c r="J581" t="n">
        <v>0</v>
      </c>
      <c r="K581" t="n">
        <v>0</v>
      </c>
      <c r="L581" t="n">
        <v>0</v>
      </c>
      <c r="M581" t="n">
        <v>0</v>
      </c>
      <c r="N581" t="n">
        <v>0</v>
      </c>
      <c r="O581" t="n">
        <v>0</v>
      </c>
      <c r="P581" t="n">
        <v>0</v>
      </c>
      <c r="Q581" t="n">
        <v>0</v>
      </c>
      <c r="R581" s="2" t="inlineStr"/>
    </row>
    <row r="582" ht="15" customHeight="1">
      <c r="A582" t="inlineStr">
        <is>
          <t>A 34597-2022</t>
        </is>
      </c>
      <c r="B582" s="1" t="n">
        <v>44795</v>
      </c>
      <c r="C582" s="1" t="n">
        <v>46203</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40079-2023</t>
        </is>
      </c>
      <c r="B583" s="1" t="n">
        <v>45168</v>
      </c>
      <c r="C583" s="1" t="n">
        <v>46203</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19833-2023</t>
        </is>
      </c>
      <c r="B584" s="1" t="n">
        <v>45052</v>
      </c>
      <c r="C584" s="1" t="n">
        <v>46203</v>
      </c>
      <c r="D584" t="inlineStr">
        <is>
          <t>KALMAR LÄN</t>
        </is>
      </c>
      <c r="E584" t="inlineStr">
        <is>
          <t>VIMMERBY</t>
        </is>
      </c>
      <c r="G584" t="n">
        <v>6.7</v>
      </c>
      <c r="H584" t="n">
        <v>0</v>
      </c>
      <c r="I584" t="n">
        <v>0</v>
      </c>
      <c r="J584" t="n">
        <v>0</v>
      </c>
      <c r="K584" t="n">
        <v>0</v>
      </c>
      <c r="L584" t="n">
        <v>0</v>
      </c>
      <c r="M584" t="n">
        <v>0</v>
      </c>
      <c r="N584" t="n">
        <v>0</v>
      </c>
      <c r="O584" t="n">
        <v>0</v>
      </c>
      <c r="P584" t="n">
        <v>0</v>
      </c>
      <c r="Q584" t="n">
        <v>0</v>
      </c>
      <c r="R584" s="2" t="inlineStr"/>
    </row>
    <row r="585" ht="15" customHeight="1">
      <c r="A585" t="inlineStr">
        <is>
          <t>A 56022-2024</t>
        </is>
      </c>
      <c r="B585" s="1" t="n">
        <v>45623</v>
      </c>
      <c r="C585" s="1" t="n">
        <v>46203</v>
      </c>
      <c r="D585" t="inlineStr">
        <is>
          <t>KALMAR LÄN</t>
        </is>
      </c>
      <c r="E585" t="inlineStr">
        <is>
          <t>VIMMERBY</t>
        </is>
      </c>
      <c r="G585" t="n">
        <v>0.3</v>
      </c>
      <c r="H585" t="n">
        <v>0</v>
      </c>
      <c r="I585" t="n">
        <v>0</v>
      </c>
      <c r="J585" t="n">
        <v>0</v>
      </c>
      <c r="K585" t="n">
        <v>0</v>
      </c>
      <c r="L585" t="n">
        <v>0</v>
      </c>
      <c r="M585" t="n">
        <v>0</v>
      </c>
      <c r="N585" t="n">
        <v>0</v>
      </c>
      <c r="O585" t="n">
        <v>0</v>
      </c>
      <c r="P585" t="n">
        <v>0</v>
      </c>
      <c r="Q585" t="n">
        <v>0</v>
      </c>
      <c r="R585" s="2" t="inlineStr"/>
    </row>
    <row r="586" ht="15" customHeight="1">
      <c r="A586" t="inlineStr">
        <is>
          <t>A 11928-2022</t>
        </is>
      </c>
      <c r="B586" s="1" t="n">
        <v>44635</v>
      </c>
      <c r="C586" s="1" t="n">
        <v>46203</v>
      </c>
      <c r="D586" t="inlineStr">
        <is>
          <t>KALMAR LÄN</t>
        </is>
      </c>
      <c r="E586" t="inlineStr">
        <is>
          <t>VIMMERBY</t>
        </is>
      </c>
      <c r="G586" t="n">
        <v>2.8</v>
      </c>
      <c r="H586" t="n">
        <v>0</v>
      </c>
      <c r="I586" t="n">
        <v>0</v>
      </c>
      <c r="J586" t="n">
        <v>0</v>
      </c>
      <c r="K586" t="n">
        <v>0</v>
      </c>
      <c r="L586" t="n">
        <v>0</v>
      </c>
      <c r="M586" t="n">
        <v>0</v>
      </c>
      <c r="N586" t="n">
        <v>0</v>
      </c>
      <c r="O586" t="n">
        <v>0</v>
      </c>
      <c r="P586" t="n">
        <v>0</v>
      </c>
      <c r="Q586" t="n">
        <v>0</v>
      </c>
      <c r="R586" s="2" t="inlineStr"/>
    </row>
    <row r="587" ht="15" customHeight="1">
      <c r="A587" t="inlineStr">
        <is>
          <t>A 49461-2023</t>
        </is>
      </c>
      <c r="B587" s="1" t="n">
        <v>45211</v>
      </c>
      <c r="C587" s="1" t="n">
        <v>46203</v>
      </c>
      <c r="D587" t="inlineStr">
        <is>
          <t>KALMAR LÄN</t>
        </is>
      </c>
      <c r="E587" t="inlineStr">
        <is>
          <t>VIMMERBY</t>
        </is>
      </c>
      <c r="G587" t="n">
        <v>1.5</v>
      </c>
      <c r="H587" t="n">
        <v>0</v>
      </c>
      <c r="I587" t="n">
        <v>0</v>
      </c>
      <c r="J587" t="n">
        <v>0</v>
      </c>
      <c r="K587" t="n">
        <v>0</v>
      </c>
      <c r="L587" t="n">
        <v>0</v>
      </c>
      <c r="M587" t="n">
        <v>0</v>
      </c>
      <c r="N587" t="n">
        <v>0</v>
      </c>
      <c r="O587" t="n">
        <v>0</v>
      </c>
      <c r="P587" t="n">
        <v>0</v>
      </c>
      <c r="Q587" t="n">
        <v>0</v>
      </c>
      <c r="R587" s="2" t="inlineStr"/>
    </row>
    <row r="588" ht="15" customHeight="1">
      <c r="A588" t="inlineStr">
        <is>
          <t>A 49474-2023</t>
        </is>
      </c>
      <c r="B588" s="1" t="n">
        <v>45211</v>
      </c>
      <c r="C588" s="1" t="n">
        <v>46203</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61861-2024</t>
        </is>
      </c>
      <c r="B589" s="1" t="n">
        <v>45650</v>
      </c>
      <c r="C589" s="1" t="n">
        <v>46203</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45846-2023</t>
        </is>
      </c>
      <c r="B590" s="1" t="n">
        <v>45195</v>
      </c>
      <c r="C590" s="1" t="n">
        <v>46203</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8167-2024</t>
        </is>
      </c>
      <c r="B591" s="1" t="n">
        <v>45351</v>
      </c>
      <c r="C591" s="1" t="n">
        <v>46203</v>
      </c>
      <c r="D591" t="inlineStr">
        <is>
          <t>KALMAR LÄN</t>
        </is>
      </c>
      <c r="E591" t="inlineStr">
        <is>
          <t>VIMMERBY</t>
        </is>
      </c>
      <c r="G591" t="n">
        <v>3.8</v>
      </c>
      <c r="H591" t="n">
        <v>0</v>
      </c>
      <c r="I591" t="n">
        <v>0</v>
      </c>
      <c r="J591" t="n">
        <v>0</v>
      </c>
      <c r="K591" t="n">
        <v>0</v>
      </c>
      <c r="L591" t="n">
        <v>0</v>
      </c>
      <c r="M591" t="n">
        <v>0</v>
      </c>
      <c r="N591" t="n">
        <v>0</v>
      </c>
      <c r="O591" t="n">
        <v>0</v>
      </c>
      <c r="P591" t="n">
        <v>0</v>
      </c>
      <c r="Q591" t="n">
        <v>0</v>
      </c>
      <c r="R591" s="2" t="inlineStr"/>
    </row>
    <row r="592" ht="15" customHeight="1">
      <c r="A592" t="inlineStr">
        <is>
          <t>A 49382-2023</t>
        </is>
      </c>
      <c r="B592" s="1" t="n">
        <v>45208</v>
      </c>
      <c r="C592" s="1" t="n">
        <v>46203</v>
      </c>
      <c r="D592" t="inlineStr">
        <is>
          <t>KALMAR LÄN</t>
        </is>
      </c>
      <c r="E592" t="inlineStr">
        <is>
          <t>VIMMERBY</t>
        </is>
      </c>
      <c r="G592" t="n">
        <v>2.2</v>
      </c>
      <c r="H592" t="n">
        <v>0</v>
      </c>
      <c r="I592" t="n">
        <v>0</v>
      </c>
      <c r="J592" t="n">
        <v>0</v>
      </c>
      <c r="K592" t="n">
        <v>0</v>
      </c>
      <c r="L592" t="n">
        <v>0</v>
      </c>
      <c r="M592" t="n">
        <v>0</v>
      </c>
      <c r="N592" t="n">
        <v>0</v>
      </c>
      <c r="O592" t="n">
        <v>0</v>
      </c>
      <c r="P592" t="n">
        <v>0</v>
      </c>
      <c r="Q592" t="n">
        <v>0</v>
      </c>
      <c r="R592" s="2" t="inlineStr"/>
    </row>
    <row r="593" ht="15" customHeight="1">
      <c r="A593" t="inlineStr">
        <is>
          <t>A 35846-2023</t>
        </is>
      </c>
      <c r="B593" s="1" t="n">
        <v>45148</v>
      </c>
      <c r="C593" s="1" t="n">
        <v>46203</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35913-2023</t>
        </is>
      </c>
      <c r="B594" s="1" t="n">
        <v>45148</v>
      </c>
      <c r="C594" s="1" t="n">
        <v>46203</v>
      </c>
      <c r="D594" t="inlineStr">
        <is>
          <t>KALMAR LÄN</t>
        </is>
      </c>
      <c r="E594" t="inlineStr">
        <is>
          <t>VIMMERBY</t>
        </is>
      </c>
      <c r="G594" t="n">
        <v>6.9</v>
      </c>
      <c r="H594" t="n">
        <v>0</v>
      </c>
      <c r="I594" t="n">
        <v>0</v>
      </c>
      <c r="J594" t="n">
        <v>0</v>
      </c>
      <c r="K594" t="n">
        <v>0</v>
      </c>
      <c r="L594" t="n">
        <v>0</v>
      </c>
      <c r="M594" t="n">
        <v>0</v>
      </c>
      <c r="N594" t="n">
        <v>0</v>
      </c>
      <c r="O594" t="n">
        <v>0</v>
      </c>
      <c r="P594" t="n">
        <v>0</v>
      </c>
      <c r="Q594" t="n">
        <v>0</v>
      </c>
      <c r="R594" s="2" t="inlineStr"/>
    </row>
    <row r="595" ht="15" customHeight="1">
      <c r="A595" t="inlineStr">
        <is>
          <t>A 38757-2023</t>
        </is>
      </c>
      <c r="B595" s="1" t="n">
        <v>45163</v>
      </c>
      <c r="C595" s="1" t="n">
        <v>46203</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24283-2023</t>
        </is>
      </c>
      <c r="B596" s="1" t="n">
        <v>45079</v>
      </c>
      <c r="C596" s="1" t="n">
        <v>46203</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59598-2023</t>
        </is>
      </c>
      <c r="B597" s="1" t="n">
        <v>45254</v>
      </c>
      <c r="C597" s="1" t="n">
        <v>46203</v>
      </c>
      <c r="D597" t="inlineStr">
        <is>
          <t>KALMAR LÄN</t>
        </is>
      </c>
      <c r="E597" t="inlineStr">
        <is>
          <t>VIMMERBY</t>
        </is>
      </c>
      <c r="F597" t="inlineStr">
        <is>
          <t>Övriga Aktiebolag</t>
        </is>
      </c>
      <c r="G597" t="n">
        <v>4</v>
      </c>
      <c r="H597" t="n">
        <v>0</v>
      </c>
      <c r="I597" t="n">
        <v>0</v>
      </c>
      <c r="J597" t="n">
        <v>0</v>
      </c>
      <c r="K597" t="n">
        <v>0</v>
      </c>
      <c r="L597" t="n">
        <v>0</v>
      </c>
      <c r="M597" t="n">
        <v>0</v>
      </c>
      <c r="N597" t="n">
        <v>0</v>
      </c>
      <c r="O597" t="n">
        <v>0</v>
      </c>
      <c r="P597" t="n">
        <v>0</v>
      </c>
      <c r="Q597" t="n">
        <v>0</v>
      </c>
      <c r="R597" s="2" t="inlineStr"/>
    </row>
    <row r="598" ht="15" customHeight="1">
      <c r="A598" t="inlineStr">
        <is>
          <t>A 30920-2023</t>
        </is>
      </c>
      <c r="B598" s="1" t="n">
        <v>45113</v>
      </c>
      <c r="C598" s="1" t="n">
        <v>46203</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40929-2022</t>
        </is>
      </c>
      <c r="B599" s="1" t="n">
        <v>44825</v>
      </c>
      <c r="C599" s="1" t="n">
        <v>46203</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33380-2023</t>
        </is>
      </c>
      <c r="B600" s="1" t="n">
        <v>45128</v>
      </c>
      <c r="C600" s="1" t="n">
        <v>46203</v>
      </c>
      <c r="D600" t="inlineStr">
        <is>
          <t>KALMAR LÄN</t>
        </is>
      </c>
      <c r="E600" t="inlineStr">
        <is>
          <t>VIMMERBY</t>
        </is>
      </c>
      <c r="G600" t="n">
        <v>5.2</v>
      </c>
      <c r="H600" t="n">
        <v>0</v>
      </c>
      <c r="I600" t="n">
        <v>0</v>
      </c>
      <c r="J600" t="n">
        <v>0</v>
      </c>
      <c r="K600" t="n">
        <v>0</v>
      </c>
      <c r="L600" t="n">
        <v>0</v>
      </c>
      <c r="M600" t="n">
        <v>0</v>
      </c>
      <c r="N600" t="n">
        <v>0</v>
      </c>
      <c r="O600" t="n">
        <v>0</v>
      </c>
      <c r="P600" t="n">
        <v>0</v>
      </c>
      <c r="Q600" t="n">
        <v>0</v>
      </c>
      <c r="R600" s="2" t="inlineStr"/>
    </row>
    <row r="601" ht="15" customHeight="1">
      <c r="A601" t="inlineStr">
        <is>
          <t>A 46144-2023</t>
        </is>
      </c>
      <c r="B601" s="1" t="n">
        <v>45196</v>
      </c>
      <c r="C601" s="1" t="n">
        <v>46203</v>
      </c>
      <c r="D601" t="inlineStr">
        <is>
          <t>KALMAR LÄN</t>
        </is>
      </c>
      <c r="E601" t="inlineStr">
        <is>
          <t>VIMMERBY</t>
        </is>
      </c>
      <c r="G601" t="n">
        <v>6.5</v>
      </c>
      <c r="H601" t="n">
        <v>0</v>
      </c>
      <c r="I601" t="n">
        <v>0</v>
      </c>
      <c r="J601" t="n">
        <v>0</v>
      </c>
      <c r="K601" t="n">
        <v>0</v>
      </c>
      <c r="L601" t="n">
        <v>0</v>
      </c>
      <c r="M601" t="n">
        <v>0</v>
      </c>
      <c r="N601" t="n">
        <v>0</v>
      </c>
      <c r="O601" t="n">
        <v>0</v>
      </c>
      <c r="P601" t="n">
        <v>0</v>
      </c>
      <c r="Q601" t="n">
        <v>0</v>
      </c>
      <c r="R601" s="2" t="inlineStr"/>
    </row>
    <row r="602" ht="15" customHeight="1">
      <c r="A602" t="inlineStr">
        <is>
          <t>A 54787-2023</t>
        </is>
      </c>
      <c r="B602" s="1" t="n">
        <v>45236</v>
      </c>
      <c r="C602" s="1" t="n">
        <v>46203</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15715-2022</t>
        </is>
      </c>
      <c r="B603" s="1" t="n">
        <v>44663</v>
      </c>
      <c r="C603" s="1" t="n">
        <v>46203</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43774-2023</t>
        </is>
      </c>
      <c r="B604" s="1" t="n">
        <v>45187</v>
      </c>
      <c r="C604" s="1" t="n">
        <v>46203</v>
      </c>
      <c r="D604" t="inlineStr">
        <is>
          <t>KALMAR LÄN</t>
        </is>
      </c>
      <c r="E604" t="inlineStr">
        <is>
          <t>VIMMERBY</t>
        </is>
      </c>
      <c r="G604" t="n">
        <v>3.4</v>
      </c>
      <c r="H604" t="n">
        <v>0</v>
      </c>
      <c r="I604" t="n">
        <v>0</v>
      </c>
      <c r="J604" t="n">
        <v>0</v>
      </c>
      <c r="K604" t="n">
        <v>0</v>
      </c>
      <c r="L604" t="n">
        <v>0</v>
      </c>
      <c r="M604" t="n">
        <v>0</v>
      </c>
      <c r="N604" t="n">
        <v>0</v>
      </c>
      <c r="O604" t="n">
        <v>0</v>
      </c>
      <c r="P604" t="n">
        <v>0</v>
      </c>
      <c r="Q604" t="n">
        <v>0</v>
      </c>
      <c r="R604" s="2" t="inlineStr"/>
    </row>
    <row r="605" ht="15" customHeight="1">
      <c r="A605" t="inlineStr">
        <is>
          <t>A 43705-2023</t>
        </is>
      </c>
      <c r="B605" s="1" t="n">
        <v>45187</v>
      </c>
      <c r="C605" s="1" t="n">
        <v>46203</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7932-2025</t>
        </is>
      </c>
      <c r="B606" s="1" t="n">
        <v>45707</v>
      </c>
      <c r="C606" s="1" t="n">
        <v>46203</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1978-2024</t>
        </is>
      </c>
      <c r="B607" s="1" t="n">
        <v>45308</v>
      </c>
      <c r="C607" s="1" t="n">
        <v>46203</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6399-2025</t>
        </is>
      </c>
      <c r="B608" s="1" t="n">
        <v>45699</v>
      </c>
      <c r="C608" s="1" t="n">
        <v>46203</v>
      </c>
      <c r="D608" t="inlineStr">
        <is>
          <t>KALMAR LÄN</t>
        </is>
      </c>
      <c r="E608" t="inlineStr">
        <is>
          <t>VIMMERBY</t>
        </is>
      </c>
      <c r="G608" t="n">
        <v>3.1</v>
      </c>
      <c r="H608" t="n">
        <v>0</v>
      </c>
      <c r="I608" t="n">
        <v>0</v>
      </c>
      <c r="J608" t="n">
        <v>0</v>
      </c>
      <c r="K608" t="n">
        <v>0</v>
      </c>
      <c r="L608" t="n">
        <v>0</v>
      </c>
      <c r="M608" t="n">
        <v>0</v>
      </c>
      <c r="N608" t="n">
        <v>0</v>
      </c>
      <c r="O608" t="n">
        <v>0</v>
      </c>
      <c r="P608" t="n">
        <v>0</v>
      </c>
      <c r="Q608" t="n">
        <v>0</v>
      </c>
      <c r="R608" s="2" t="inlineStr"/>
    </row>
    <row r="609" ht="15" customHeight="1">
      <c r="A609" t="inlineStr">
        <is>
          <t>A 41311-2023</t>
        </is>
      </c>
      <c r="B609" s="1" t="n">
        <v>45174</v>
      </c>
      <c r="C609" s="1" t="n">
        <v>46203</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10785-2025</t>
        </is>
      </c>
      <c r="B610" s="1" t="n">
        <v>45722</v>
      </c>
      <c r="C610" s="1" t="n">
        <v>46203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18020-2025</t>
        </is>
      </c>
      <c r="B611" s="1" t="n">
        <v>45761</v>
      </c>
      <c r="C611" s="1" t="n">
        <v>46203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585-2024</t>
        </is>
      </c>
      <c r="B612" s="1" t="n">
        <v>45299</v>
      </c>
      <c r="C612" s="1" t="n">
        <v>46203</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6802-2025</t>
        </is>
      </c>
      <c r="B613" s="1" t="n">
        <v>45700</v>
      </c>
      <c r="C613" s="1" t="n">
        <v>46203</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56020-2024</t>
        </is>
      </c>
      <c r="B614" s="1" t="n">
        <v>45623</v>
      </c>
      <c r="C614" s="1" t="n">
        <v>46203</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33842-2022</t>
        </is>
      </c>
      <c r="B615" s="1" t="n">
        <v>44790</v>
      </c>
      <c r="C615" s="1" t="n">
        <v>46203</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60675-2023</t>
        </is>
      </c>
      <c r="B616" s="1" t="n">
        <v>45260</v>
      </c>
      <c r="C616" s="1" t="n">
        <v>46203</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40095-2022</t>
        </is>
      </c>
      <c r="B617" s="1" t="n">
        <v>44820</v>
      </c>
      <c r="C617" s="1" t="n">
        <v>46203</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46203</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57311-2023</t>
        </is>
      </c>
      <c r="B619" s="1" t="n">
        <v>45245</v>
      </c>
      <c r="C619" s="1" t="n">
        <v>46203</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64428-2023</t>
        </is>
      </c>
      <c r="B620" s="1" t="n">
        <v>45280</v>
      </c>
      <c r="C620" s="1" t="n">
        <v>46203</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4527-2023</t>
        </is>
      </c>
      <c r="B621" s="1" t="n">
        <v>44956</v>
      </c>
      <c r="C621" s="1" t="n">
        <v>46203</v>
      </c>
      <c r="D621" t="inlineStr">
        <is>
          <t>KALMAR LÄN</t>
        </is>
      </c>
      <c r="E621" t="inlineStr">
        <is>
          <t>VIMMERBY</t>
        </is>
      </c>
      <c r="F621" t="inlineStr">
        <is>
          <t>Kommuner</t>
        </is>
      </c>
      <c r="G621" t="n">
        <v>8.5</v>
      </c>
      <c r="H621" t="n">
        <v>0</v>
      </c>
      <c r="I621" t="n">
        <v>0</v>
      </c>
      <c r="J621" t="n">
        <v>0</v>
      </c>
      <c r="K621" t="n">
        <v>0</v>
      </c>
      <c r="L621" t="n">
        <v>0</v>
      </c>
      <c r="M621" t="n">
        <v>0</v>
      </c>
      <c r="N621" t="n">
        <v>0</v>
      </c>
      <c r="O621" t="n">
        <v>0</v>
      </c>
      <c r="P621" t="n">
        <v>0</v>
      </c>
      <c r="Q621" t="n">
        <v>0</v>
      </c>
      <c r="R621" s="2" t="inlineStr"/>
    </row>
    <row r="622" ht="15" customHeight="1">
      <c r="A622" t="inlineStr">
        <is>
          <t>A 3268-2024</t>
        </is>
      </c>
      <c r="B622" s="1" t="n">
        <v>45317</v>
      </c>
      <c r="C622" s="1" t="n">
        <v>46203</v>
      </c>
      <c r="D622" t="inlineStr">
        <is>
          <t>KALMAR LÄN</t>
        </is>
      </c>
      <c r="E622" t="inlineStr">
        <is>
          <t>VIMMERBY</t>
        </is>
      </c>
      <c r="F622" t="inlineStr">
        <is>
          <t>Övriga Aktiebolag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51408-2023</t>
        </is>
      </c>
      <c r="B623" s="1" t="n">
        <v>45219</v>
      </c>
      <c r="C623" s="1" t="n">
        <v>46203</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52588-2023</t>
        </is>
      </c>
      <c r="B624" s="1" t="n">
        <v>45225</v>
      </c>
      <c r="C624" s="1" t="n">
        <v>46203</v>
      </c>
      <c r="D624" t="inlineStr">
        <is>
          <t>KALMAR LÄN</t>
        </is>
      </c>
      <c r="E624" t="inlineStr">
        <is>
          <t>VIMMERBY</t>
        </is>
      </c>
      <c r="G624" t="n">
        <v>2.9</v>
      </c>
      <c r="H624" t="n">
        <v>0</v>
      </c>
      <c r="I624" t="n">
        <v>0</v>
      </c>
      <c r="J624" t="n">
        <v>0</v>
      </c>
      <c r="K624" t="n">
        <v>0</v>
      </c>
      <c r="L624" t="n">
        <v>0</v>
      </c>
      <c r="M624" t="n">
        <v>0</v>
      </c>
      <c r="N624" t="n">
        <v>0</v>
      </c>
      <c r="O624" t="n">
        <v>0</v>
      </c>
      <c r="P624" t="n">
        <v>0</v>
      </c>
      <c r="Q624" t="n">
        <v>0</v>
      </c>
      <c r="R624" s="2" t="inlineStr"/>
    </row>
    <row r="625" ht="15" customHeight="1">
      <c r="A625" t="inlineStr">
        <is>
          <t>A 55236-2023</t>
        </is>
      </c>
      <c r="B625" s="1" t="n">
        <v>45237</v>
      </c>
      <c r="C625" s="1" t="n">
        <v>46203</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55245-2023</t>
        </is>
      </c>
      <c r="B626" s="1" t="n">
        <v>45237</v>
      </c>
      <c r="C626" s="1" t="n">
        <v>46203</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25370-2022</t>
        </is>
      </c>
      <c r="B627" s="1" t="n">
        <v>44732</v>
      </c>
      <c r="C627" s="1" t="n">
        <v>46203</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33838-2022</t>
        </is>
      </c>
      <c r="B628" s="1" t="n">
        <v>44790</v>
      </c>
      <c r="C628" s="1" t="n">
        <v>46203</v>
      </c>
      <c r="D628" t="inlineStr">
        <is>
          <t>KALMAR LÄN</t>
        </is>
      </c>
      <c r="E628" t="inlineStr">
        <is>
          <t>VIMMERBY</t>
        </is>
      </c>
      <c r="G628" t="n">
        <v>0.7</v>
      </c>
      <c r="H628" t="n">
        <v>0</v>
      </c>
      <c r="I628" t="n">
        <v>0</v>
      </c>
      <c r="J628" t="n">
        <v>0</v>
      </c>
      <c r="K628" t="n">
        <v>0</v>
      </c>
      <c r="L628" t="n">
        <v>0</v>
      </c>
      <c r="M628" t="n">
        <v>0</v>
      </c>
      <c r="N628" t="n">
        <v>0</v>
      </c>
      <c r="O628" t="n">
        <v>0</v>
      </c>
      <c r="P628" t="n">
        <v>0</v>
      </c>
      <c r="Q628" t="n">
        <v>0</v>
      </c>
      <c r="R628" s="2" t="inlineStr"/>
    </row>
    <row r="629" ht="15" customHeight="1">
      <c r="A629" t="inlineStr">
        <is>
          <t>A 4058-2024</t>
        </is>
      </c>
      <c r="B629" s="1" t="n">
        <v>45323</v>
      </c>
      <c r="C629" s="1" t="n">
        <v>46203</v>
      </c>
      <c r="D629" t="inlineStr">
        <is>
          <t>KALMAR LÄN</t>
        </is>
      </c>
      <c r="E629" t="inlineStr">
        <is>
          <t>VIMMERBY</t>
        </is>
      </c>
      <c r="G629" t="n">
        <v>6.5</v>
      </c>
      <c r="H629" t="n">
        <v>0</v>
      </c>
      <c r="I629" t="n">
        <v>0</v>
      </c>
      <c r="J629" t="n">
        <v>0</v>
      </c>
      <c r="K629" t="n">
        <v>0</v>
      </c>
      <c r="L629" t="n">
        <v>0</v>
      </c>
      <c r="M629" t="n">
        <v>0</v>
      </c>
      <c r="N629" t="n">
        <v>0</v>
      </c>
      <c r="O629" t="n">
        <v>0</v>
      </c>
      <c r="P629" t="n">
        <v>0</v>
      </c>
      <c r="Q629" t="n">
        <v>0</v>
      </c>
      <c r="R629" s="2" t="inlineStr"/>
    </row>
    <row r="630" ht="15" customHeight="1">
      <c r="A630" t="inlineStr">
        <is>
          <t>A 36008-2024</t>
        </is>
      </c>
      <c r="B630" s="1" t="n">
        <v>45533</v>
      </c>
      <c r="C630" s="1" t="n">
        <v>46203</v>
      </c>
      <c r="D630" t="inlineStr">
        <is>
          <t>KALMAR LÄN</t>
        </is>
      </c>
      <c r="E630" t="inlineStr">
        <is>
          <t>VIMMERBY</t>
        </is>
      </c>
      <c r="G630" t="n">
        <v>3.7</v>
      </c>
      <c r="H630" t="n">
        <v>0</v>
      </c>
      <c r="I630" t="n">
        <v>0</v>
      </c>
      <c r="J630" t="n">
        <v>0</v>
      </c>
      <c r="K630" t="n">
        <v>0</v>
      </c>
      <c r="L630" t="n">
        <v>0</v>
      </c>
      <c r="M630" t="n">
        <v>0</v>
      </c>
      <c r="N630" t="n">
        <v>0</v>
      </c>
      <c r="O630" t="n">
        <v>0</v>
      </c>
      <c r="P630" t="n">
        <v>0</v>
      </c>
      <c r="Q630" t="n">
        <v>0</v>
      </c>
      <c r="R630" s="2" t="inlineStr"/>
    </row>
    <row r="631" ht="15" customHeight="1">
      <c r="A631" t="inlineStr">
        <is>
          <t>A 8540-2024</t>
        </is>
      </c>
      <c r="B631" s="1" t="n">
        <v>45355</v>
      </c>
      <c r="C631" s="1" t="n">
        <v>46203</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9623-2024</t>
        </is>
      </c>
      <c r="B632" s="1" t="n">
        <v>45361</v>
      </c>
      <c r="C632" s="1" t="n">
        <v>46203</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5146-2024</t>
        </is>
      </c>
      <c r="B633" s="1" t="n">
        <v>45330</v>
      </c>
      <c r="C633" s="1" t="n">
        <v>46203</v>
      </c>
      <c r="D633" t="inlineStr">
        <is>
          <t>KALMAR LÄN</t>
        </is>
      </c>
      <c r="E633" t="inlineStr">
        <is>
          <t>VIMMERBY</t>
        </is>
      </c>
      <c r="G633" t="n">
        <v>5.3</v>
      </c>
      <c r="H633" t="n">
        <v>0</v>
      </c>
      <c r="I633" t="n">
        <v>0</v>
      </c>
      <c r="J633" t="n">
        <v>0</v>
      </c>
      <c r="K633" t="n">
        <v>0</v>
      </c>
      <c r="L633" t="n">
        <v>0</v>
      </c>
      <c r="M633" t="n">
        <v>0</v>
      </c>
      <c r="N633" t="n">
        <v>0</v>
      </c>
      <c r="O633" t="n">
        <v>0</v>
      </c>
      <c r="P633" t="n">
        <v>0</v>
      </c>
      <c r="Q633" t="n">
        <v>0</v>
      </c>
      <c r="R633" s="2" t="inlineStr"/>
    </row>
    <row r="634" ht="15" customHeight="1">
      <c r="A634" t="inlineStr">
        <is>
          <t>A 5148-2024</t>
        </is>
      </c>
      <c r="B634" s="1" t="n">
        <v>45330</v>
      </c>
      <c r="C634" s="1" t="n">
        <v>46203</v>
      </c>
      <c r="D634" t="inlineStr">
        <is>
          <t>KALMAR LÄN</t>
        </is>
      </c>
      <c r="E634" t="inlineStr">
        <is>
          <t>VIMMERBY</t>
        </is>
      </c>
      <c r="G634" t="n">
        <v>5.6</v>
      </c>
      <c r="H634" t="n">
        <v>0</v>
      </c>
      <c r="I634" t="n">
        <v>0</v>
      </c>
      <c r="J634" t="n">
        <v>0</v>
      </c>
      <c r="K634" t="n">
        <v>0</v>
      </c>
      <c r="L634" t="n">
        <v>0</v>
      </c>
      <c r="M634" t="n">
        <v>0</v>
      </c>
      <c r="N634" t="n">
        <v>0</v>
      </c>
      <c r="O634" t="n">
        <v>0</v>
      </c>
      <c r="P634" t="n">
        <v>0</v>
      </c>
      <c r="Q634" t="n">
        <v>0</v>
      </c>
      <c r="R634" s="2" t="inlineStr"/>
    </row>
    <row r="635" ht="15" customHeight="1">
      <c r="A635" t="inlineStr">
        <is>
          <t>A 44179-2022</t>
        </is>
      </c>
      <c r="B635" s="1" t="n">
        <v>44839</v>
      </c>
      <c r="C635" s="1" t="n">
        <v>46203</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50648-2023</t>
        </is>
      </c>
      <c r="B636" s="1" t="n">
        <v>45217</v>
      </c>
      <c r="C636" s="1" t="n">
        <v>46203</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2121-2022</t>
        </is>
      </c>
      <c r="B637" s="1" t="n">
        <v>44578</v>
      </c>
      <c r="C637" s="1" t="n">
        <v>46203</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57799-2022</t>
        </is>
      </c>
      <c r="B638" s="1" t="n">
        <v>44897</v>
      </c>
      <c r="C638" s="1" t="n">
        <v>46203</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26318-2023</t>
        </is>
      </c>
      <c r="B639" s="1" t="n">
        <v>45091</v>
      </c>
      <c r="C639" s="1" t="n">
        <v>46203</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60437-2023</t>
        </is>
      </c>
      <c r="B640" s="1" t="n">
        <v>45259</v>
      </c>
      <c r="C640" s="1" t="n">
        <v>46203</v>
      </c>
      <c r="D640" t="inlineStr">
        <is>
          <t>KALMAR LÄN</t>
        </is>
      </c>
      <c r="E640" t="inlineStr">
        <is>
          <t>VIMMERBY</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60438-2023</t>
        </is>
      </c>
      <c r="B641" s="1" t="n">
        <v>45259</v>
      </c>
      <c r="C641" s="1" t="n">
        <v>46203</v>
      </c>
      <c r="D641" t="inlineStr">
        <is>
          <t>KALMAR LÄN</t>
        </is>
      </c>
      <c r="E641" t="inlineStr">
        <is>
          <t>VIMMERBY</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7758-2024</t>
        </is>
      </c>
      <c r="B642" s="1" t="n">
        <v>45349</v>
      </c>
      <c r="C642" s="1" t="n">
        <v>46203</v>
      </c>
      <c r="D642" t="inlineStr">
        <is>
          <t>KALMAR LÄN</t>
        </is>
      </c>
      <c r="E642" t="inlineStr">
        <is>
          <t>VIMMERBY</t>
        </is>
      </c>
      <c r="G642" t="n">
        <v>3.5</v>
      </c>
      <c r="H642" t="n">
        <v>0</v>
      </c>
      <c r="I642" t="n">
        <v>0</v>
      </c>
      <c r="J642" t="n">
        <v>0</v>
      </c>
      <c r="K642" t="n">
        <v>0</v>
      </c>
      <c r="L642" t="n">
        <v>0</v>
      </c>
      <c r="M642" t="n">
        <v>0</v>
      </c>
      <c r="N642" t="n">
        <v>0</v>
      </c>
      <c r="O642" t="n">
        <v>0</v>
      </c>
      <c r="P642" t="n">
        <v>0</v>
      </c>
      <c r="Q642" t="n">
        <v>0</v>
      </c>
      <c r="R642" s="2" t="inlineStr"/>
    </row>
    <row r="643" ht="15" customHeight="1">
      <c r="A643" t="inlineStr">
        <is>
          <t>A 6082-2022</t>
        </is>
      </c>
      <c r="B643" s="1" t="n">
        <v>44599</v>
      </c>
      <c r="C643" s="1" t="n">
        <v>46203</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46979-2023</t>
        </is>
      </c>
      <c r="B644" s="1" t="n">
        <v>45201</v>
      </c>
      <c r="C644" s="1" t="n">
        <v>46203</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2596-2025</t>
        </is>
      </c>
      <c r="B645" s="1" t="n">
        <v>45674</v>
      </c>
      <c r="C645" s="1" t="n">
        <v>46203</v>
      </c>
      <c r="D645" t="inlineStr">
        <is>
          <t>KALMAR LÄN</t>
        </is>
      </c>
      <c r="E645" t="inlineStr">
        <is>
          <t>VIMMERBY</t>
        </is>
      </c>
      <c r="G645" t="n">
        <v>9</v>
      </c>
      <c r="H645" t="n">
        <v>0</v>
      </c>
      <c r="I645" t="n">
        <v>0</v>
      </c>
      <c r="J645" t="n">
        <v>0</v>
      </c>
      <c r="K645" t="n">
        <v>0</v>
      </c>
      <c r="L645" t="n">
        <v>0</v>
      </c>
      <c r="M645" t="n">
        <v>0</v>
      </c>
      <c r="N645" t="n">
        <v>0</v>
      </c>
      <c r="O645" t="n">
        <v>0</v>
      </c>
      <c r="P645" t="n">
        <v>0</v>
      </c>
      <c r="Q645" t="n">
        <v>0</v>
      </c>
      <c r="R645" s="2" t="inlineStr"/>
    </row>
    <row r="646" ht="15" customHeight="1">
      <c r="A646" t="inlineStr">
        <is>
          <t>A 47855-2024</t>
        </is>
      </c>
      <c r="B646" s="1" t="n">
        <v>45588</v>
      </c>
      <c r="C646" s="1" t="n">
        <v>46203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63583-2023</t>
        </is>
      </c>
      <c r="B647" s="1" t="n">
        <v>45275</v>
      </c>
      <c r="C647" s="1" t="n">
        <v>46203</v>
      </c>
      <c r="D647" t="inlineStr">
        <is>
          <t>KALMAR LÄN</t>
        </is>
      </c>
      <c r="E647" t="inlineStr">
        <is>
          <t>VIMMERBY</t>
        </is>
      </c>
      <c r="G647" t="n">
        <v>1.4</v>
      </c>
      <c r="H647" t="n">
        <v>0</v>
      </c>
      <c r="I647" t="n">
        <v>0</v>
      </c>
      <c r="J647" t="n">
        <v>0</v>
      </c>
      <c r="K647" t="n">
        <v>0</v>
      </c>
      <c r="L647" t="n">
        <v>0</v>
      </c>
      <c r="M647" t="n">
        <v>0</v>
      </c>
      <c r="N647" t="n">
        <v>0</v>
      </c>
      <c r="O647" t="n">
        <v>0</v>
      </c>
      <c r="P647" t="n">
        <v>0</v>
      </c>
      <c r="Q647" t="n">
        <v>0</v>
      </c>
      <c r="R647" s="2" t="inlineStr"/>
    </row>
    <row r="648" ht="15" customHeight="1">
      <c r="A648" t="inlineStr">
        <is>
          <t>A 60228-2021</t>
        </is>
      </c>
      <c r="B648" s="1" t="n">
        <v>44495</v>
      </c>
      <c r="C648" s="1" t="n">
        <v>46203</v>
      </c>
      <c r="D648" t="inlineStr">
        <is>
          <t>KALMAR LÄN</t>
        </is>
      </c>
      <c r="E648" t="inlineStr">
        <is>
          <t>VIMMERBY</t>
        </is>
      </c>
      <c r="G648" t="n">
        <v>4.1</v>
      </c>
      <c r="H648" t="n">
        <v>0</v>
      </c>
      <c r="I648" t="n">
        <v>0</v>
      </c>
      <c r="J648" t="n">
        <v>0</v>
      </c>
      <c r="K648" t="n">
        <v>0</v>
      </c>
      <c r="L648" t="n">
        <v>0</v>
      </c>
      <c r="M648" t="n">
        <v>0</v>
      </c>
      <c r="N648" t="n">
        <v>0</v>
      </c>
      <c r="O648" t="n">
        <v>0</v>
      </c>
      <c r="P648" t="n">
        <v>0</v>
      </c>
      <c r="Q648" t="n">
        <v>0</v>
      </c>
      <c r="R648" s="2" t="inlineStr"/>
    </row>
    <row r="649" ht="15" customHeight="1">
      <c r="A649" t="inlineStr">
        <is>
          <t>A 46522-2022</t>
        </is>
      </c>
      <c r="B649" s="1" t="n">
        <v>44848</v>
      </c>
      <c r="C649" s="1" t="n">
        <v>46203</v>
      </c>
      <c r="D649" t="inlineStr">
        <is>
          <t>KALMAR LÄN</t>
        </is>
      </c>
      <c r="E649" t="inlineStr">
        <is>
          <t>VIMMERBY</t>
        </is>
      </c>
      <c r="G649" t="n">
        <v>1.4</v>
      </c>
      <c r="H649" t="n">
        <v>0</v>
      </c>
      <c r="I649" t="n">
        <v>0</v>
      </c>
      <c r="J649" t="n">
        <v>0</v>
      </c>
      <c r="K649" t="n">
        <v>0</v>
      </c>
      <c r="L649" t="n">
        <v>0</v>
      </c>
      <c r="M649" t="n">
        <v>0</v>
      </c>
      <c r="N649" t="n">
        <v>0</v>
      </c>
      <c r="O649" t="n">
        <v>0</v>
      </c>
      <c r="P649" t="n">
        <v>0</v>
      </c>
      <c r="Q649" t="n">
        <v>0</v>
      </c>
      <c r="R649" s="2" t="inlineStr"/>
    </row>
    <row r="650" ht="15" customHeight="1">
      <c r="A650" t="inlineStr">
        <is>
          <t>A 21109-2024</t>
        </is>
      </c>
      <c r="B650" s="1" t="n">
        <v>45440</v>
      </c>
      <c r="C650" s="1" t="n">
        <v>46203</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46203</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49461-2022</t>
        </is>
      </c>
      <c r="B652" s="1" t="n">
        <v>44861</v>
      </c>
      <c r="C652" s="1" t="n">
        <v>46203</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53542-2022</t>
        </is>
      </c>
      <c r="B653" s="1" t="n">
        <v>44879</v>
      </c>
      <c r="C653" s="1" t="n">
        <v>46203</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35713-2023</t>
        </is>
      </c>
      <c r="B654" s="1" t="n">
        <v>45147</v>
      </c>
      <c r="C654" s="1" t="n">
        <v>46203</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10424-2023</t>
        </is>
      </c>
      <c r="B655" s="1" t="n">
        <v>44987</v>
      </c>
      <c r="C655" s="1" t="n">
        <v>46203</v>
      </c>
      <c r="D655" t="inlineStr">
        <is>
          <t>KALMAR LÄN</t>
        </is>
      </c>
      <c r="E655" t="inlineStr">
        <is>
          <t>VIMMERBY</t>
        </is>
      </c>
      <c r="G655" t="n">
        <v>0.5</v>
      </c>
      <c r="H655" t="n">
        <v>0</v>
      </c>
      <c r="I655" t="n">
        <v>0</v>
      </c>
      <c r="J655" t="n">
        <v>0</v>
      </c>
      <c r="K655" t="n">
        <v>0</v>
      </c>
      <c r="L655" t="n">
        <v>0</v>
      </c>
      <c r="M655" t="n">
        <v>0</v>
      </c>
      <c r="N655" t="n">
        <v>0</v>
      </c>
      <c r="O655" t="n">
        <v>0</v>
      </c>
      <c r="P655" t="n">
        <v>0</v>
      </c>
      <c r="Q655" t="n">
        <v>0</v>
      </c>
      <c r="R655" s="2" t="inlineStr"/>
    </row>
    <row r="656" ht="15" customHeight="1">
      <c r="A656" t="inlineStr">
        <is>
          <t>A 33340-2023</t>
        </is>
      </c>
      <c r="B656" s="1" t="n">
        <v>45128</v>
      </c>
      <c r="C656" s="1" t="n">
        <v>46203</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29017-2024</t>
        </is>
      </c>
      <c r="B657" s="1" t="n">
        <v>45481</v>
      </c>
      <c r="C657" s="1" t="n">
        <v>46203</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58046-2022</t>
        </is>
      </c>
      <c r="B658" s="1" t="n">
        <v>44900</v>
      </c>
      <c r="C658" s="1" t="n">
        <v>46203</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14548-2024</t>
        </is>
      </c>
      <c r="B659" s="1" t="n">
        <v>45394</v>
      </c>
      <c r="C659" s="1" t="n">
        <v>46203</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48120-2022</t>
        </is>
      </c>
      <c r="B660" s="1" t="n">
        <v>44857</v>
      </c>
      <c r="C660" s="1" t="n">
        <v>46203</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3423-2022</t>
        </is>
      </c>
      <c r="B661" s="1" t="n">
        <v>44585</v>
      </c>
      <c r="C661" s="1" t="n">
        <v>46203</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11074-2023</t>
        </is>
      </c>
      <c r="B662" s="1" t="n">
        <v>44992</v>
      </c>
      <c r="C662" s="1" t="n">
        <v>46203</v>
      </c>
      <c r="D662" t="inlineStr">
        <is>
          <t>KALMAR LÄN</t>
        </is>
      </c>
      <c r="E662" t="inlineStr">
        <is>
          <t>VIMMERBY</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71631-2021</t>
        </is>
      </c>
      <c r="B663" s="1" t="n">
        <v>44542</v>
      </c>
      <c r="C663" s="1" t="n">
        <v>46203</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49039-2021</t>
        </is>
      </c>
      <c r="B664" s="1" t="n">
        <v>44453</v>
      </c>
      <c r="C664" s="1" t="n">
        <v>46203</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42918-2021</t>
        </is>
      </c>
      <c r="B665" s="1" t="n">
        <v>44431</v>
      </c>
      <c r="C665" s="1" t="n">
        <v>46203</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529-2022</t>
        </is>
      </c>
      <c r="B666" s="1" t="n">
        <v>44566</v>
      </c>
      <c r="C666" s="1" t="n">
        <v>46203</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14855-2025</t>
        </is>
      </c>
      <c r="B667" s="1" t="n">
        <v>45743</v>
      </c>
      <c r="C667" s="1" t="n">
        <v>46203</v>
      </c>
      <c r="D667" t="inlineStr">
        <is>
          <t>KALMAR LÄN</t>
        </is>
      </c>
      <c r="E667" t="inlineStr">
        <is>
          <t>VIMMERBY</t>
        </is>
      </c>
      <c r="G667" t="n">
        <v>1.2</v>
      </c>
      <c r="H667" t="n">
        <v>0</v>
      </c>
      <c r="I667" t="n">
        <v>0</v>
      </c>
      <c r="J667" t="n">
        <v>0</v>
      </c>
      <c r="K667" t="n">
        <v>0</v>
      </c>
      <c r="L667" t="n">
        <v>0</v>
      </c>
      <c r="M667" t="n">
        <v>0</v>
      </c>
      <c r="N667" t="n">
        <v>0</v>
      </c>
      <c r="O667" t="n">
        <v>0</v>
      </c>
      <c r="P667" t="n">
        <v>0</v>
      </c>
      <c r="Q667" t="n">
        <v>0</v>
      </c>
      <c r="R667" s="2" t="inlineStr"/>
    </row>
    <row r="668" ht="15" customHeight="1">
      <c r="A668" t="inlineStr">
        <is>
          <t>A 60951-2023</t>
        </is>
      </c>
      <c r="B668" s="1" t="n">
        <v>45261</v>
      </c>
      <c r="C668" s="1" t="n">
        <v>46203</v>
      </c>
      <c r="D668" t="inlineStr">
        <is>
          <t>KALMAR LÄN</t>
        </is>
      </c>
      <c r="E668" t="inlineStr">
        <is>
          <t>VIMMERBY</t>
        </is>
      </c>
      <c r="G668" t="n">
        <v>4.3</v>
      </c>
      <c r="H668" t="n">
        <v>0</v>
      </c>
      <c r="I668" t="n">
        <v>0</v>
      </c>
      <c r="J668" t="n">
        <v>0</v>
      </c>
      <c r="K668" t="n">
        <v>0</v>
      </c>
      <c r="L668" t="n">
        <v>0</v>
      </c>
      <c r="M668" t="n">
        <v>0</v>
      </c>
      <c r="N668" t="n">
        <v>0</v>
      </c>
      <c r="O668" t="n">
        <v>0</v>
      </c>
      <c r="P668" t="n">
        <v>0</v>
      </c>
      <c r="Q668" t="n">
        <v>0</v>
      </c>
      <c r="R668" s="2" t="inlineStr"/>
    </row>
    <row r="669" ht="15" customHeight="1">
      <c r="A669" t="inlineStr">
        <is>
          <t>A 19162-2023</t>
        </is>
      </c>
      <c r="B669" s="1" t="n">
        <v>45048</v>
      </c>
      <c r="C669" s="1" t="n">
        <v>46203</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31209-2024</t>
        </is>
      </c>
      <c r="B670" s="1" t="n">
        <v>45503</v>
      </c>
      <c r="C670" s="1" t="n">
        <v>46203</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5864-2022</t>
        </is>
      </c>
      <c r="B671" s="1" t="n">
        <v>44596</v>
      </c>
      <c r="C671" s="1" t="n">
        <v>46203</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3938-2023</t>
        </is>
      </c>
      <c r="B672" s="1" t="n">
        <v>44952</v>
      </c>
      <c r="C672" s="1" t="n">
        <v>46203</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50085-2023</t>
        </is>
      </c>
      <c r="B673" s="1" t="n">
        <v>45215</v>
      </c>
      <c r="C673" s="1" t="n">
        <v>46203</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11219-2023</t>
        </is>
      </c>
      <c r="B674" s="1" t="n">
        <v>44992</v>
      </c>
      <c r="C674" s="1" t="n">
        <v>46203</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6850-2023</t>
        </is>
      </c>
      <c r="B675" s="1" t="n">
        <v>44967</v>
      </c>
      <c r="C675" s="1" t="n">
        <v>46203</v>
      </c>
      <c r="D675" t="inlineStr">
        <is>
          <t>KALMAR LÄN</t>
        </is>
      </c>
      <c r="E675" t="inlineStr">
        <is>
          <t>VIMMERBY</t>
        </is>
      </c>
      <c r="G675" t="n">
        <v>0.6</v>
      </c>
      <c r="H675" t="n">
        <v>0</v>
      </c>
      <c r="I675" t="n">
        <v>0</v>
      </c>
      <c r="J675" t="n">
        <v>0</v>
      </c>
      <c r="K675" t="n">
        <v>0</v>
      </c>
      <c r="L675" t="n">
        <v>0</v>
      </c>
      <c r="M675" t="n">
        <v>0</v>
      </c>
      <c r="N675" t="n">
        <v>0</v>
      </c>
      <c r="O675" t="n">
        <v>0</v>
      </c>
      <c r="P675" t="n">
        <v>0</v>
      </c>
      <c r="Q675" t="n">
        <v>0</v>
      </c>
      <c r="R675" s="2" t="inlineStr"/>
    </row>
    <row r="676" ht="15" customHeight="1">
      <c r="A676" t="inlineStr">
        <is>
          <t>A 43853-2023</t>
        </is>
      </c>
      <c r="B676" s="1" t="n">
        <v>45187</v>
      </c>
      <c r="C676" s="1" t="n">
        <v>46203</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48673-2021</t>
        </is>
      </c>
      <c r="B677" s="1" t="n">
        <v>44452</v>
      </c>
      <c r="C677" s="1" t="n">
        <v>46203</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14137-2023</t>
        </is>
      </c>
      <c r="B678" s="1" t="n">
        <v>45009</v>
      </c>
      <c r="C678" s="1" t="n">
        <v>46203</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38780-2021</t>
        </is>
      </c>
      <c r="B679" s="1" t="n">
        <v>44410</v>
      </c>
      <c r="C679" s="1" t="n">
        <v>46203</v>
      </c>
      <c r="D679" t="inlineStr">
        <is>
          <t>KALMAR LÄN</t>
        </is>
      </c>
      <c r="E679" t="inlineStr">
        <is>
          <t>VIMMERBY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30503-2023</t>
        </is>
      </c>
      <c r="B680" s="1" t="n">
        <v>45111</v>
      </c>
      <c r="C680" s="1" t="n">
        <v>46203</v>
      </c>
      <c r="D680" t="inlineStr">
        <is>
          <t>KALMAR LÄN</t>
        </is>
      </c>
      <c r="E680" t="inlineStr">
        <is>
          <t>VIMMERBY</t>
        </is>
      </c>
      <c r="G680" t="n">
        <v>0.5</v>
      </c>
      <c r="H680" t="n">
        <v>0</v>
      </c>
      <c r="I680" t="n">
        <v>0</v>
      </c>
      <c r="J680" t="n">
        <v>0</v>
      </c>
      <c r="K680" t="n">
        <v>0</v>
      </c>
      <c r="L680" t="n">
        <v>0</v>
      </c>
      <c r="M680" t="n">
        <v>0</v>
      </c>
      <c r="N680" t="n">
        <v>0</v>
      </c>
      <c r="O680" t="n">
        <v>0</v>
      </c>
      <c r="P680" t="n">
        <v>0</v>
      </c>
      <c r="Q680" t="n">
        <v>0</v>
      </c>
      <c r="R680" s="2" t="inlineStr"/>
    </row>
    <row r="681" ht="15" customHeight="1">
      <c r="A681" t="inlineStr">
        <is>
          <t>A 60110-2022</t>
        </is>
      </c>
      <c r="B681" s="1" t="n">
        <v>44909</v>
      </c>
      <c r="C681" s="1" t="n">
        <v>46203</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59300-2024</t>
        </is>
      </c>
      <c r="B682" s="1" t="n">
        <v>45637</v>
      </c>
      <c r="C682" s="1" t="n">
        <v>46203</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18329-2023</t>
        </is>
      </c>
      <c r="B683" s="1" t="n">
        <v>45041</v>
      </c>
      <c r="C683" s="1" t="n">
        <v>46203</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5720-2023</t>
        </is>
      </c>
      <c r="B684" s="1" t="n">
        <v>44961</v>
      </c>
      <c r="C684" s="1" t="n">
        <v>46203</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61538-2022</t>
        </is>
      </c>
      <c r="B685" s="1" t="n">
        <v>44916</v>
      </c>
      <c r="C685" s="1" t="n">
        <v>46203</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694-2024</t>
        </is>
      </c>
      <c r="B686" s="1" t="n">
        <v>45300</v>
      </c>
      <c r="C686" s="1" t="n">
        <v>46203</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57114-2023</t>
        </is>
      </c>
      <c r="B687" s="1" t="n">
        <v>45245</v>
      </c>
      <c r="C687" s="1" t="n">
        <v>46203</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12327-2023</t>
        </is>
      </c>
      <c r="B688" s="1" t="n">
        <v>44999</v>
      </c>
      <c r="C688" s="1" t="n">
        <v>46203</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30633-2024</t>
        </is>
      </c>
      <c r="B689" s="1" t="n">
        <v>45495</v>
      </c>
      <c r="C689" s="1" t="n">
        <v>46203</v>
      </c>
      <c r="D689" t="inlineStr">
        <is>
          <t>KALMAR LÄN</t>
        </is>
      </c>
      <c r="E689" t="inlineStr">
        <is>
          <t>VIMMERBY</t>
        </is>
      </c>
      <c r="G689" t="n">
        <v>0.5</v>
      </c>
      <c r="H689" t="n">
        <v>0</v>
      </c>
      <c r="I689" t="n">
        <v>0</v>
      </c>
      <c r="J689" t="n">
        <v>0</v>
      </c>
      <c r="K689" t="n">
        <v>0</v>
      </c>
      <c r="L689" t="n">
        <v>0</v>
      </c>
      <c r="M689" t="n">
        <v>0</v>
      </c>
      <c r="N689" t="n">
        <v>0</v>
      </c>
      <c r="O689" t="n">
        <v>0</v>
      </c>
      <c r="P689" t="n">
        <v>0</v>
      </c>
      <c r="Q689" t="n">
        <v>0</v>
      </c>
      <c r="R689" s="2" t="inlineStr"/>
    </row>
    <row r="690" ht="15" customHeight="1">
      <c r="A690" t="inlineStr">
        <is>
          <t>A 33424-2023</t>
        </is>
      </c>
      <c r="B690" s="1" t="n">
        <v>45128</v>
      </c>
      <c r="C690" s="1" t="n">
        <v>46203</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33425-2023</t>
        </is>
      </c>
      <c r="B691" s="1" t="n">
        <v>45128</v>
      </c>
      <c r="C691" s="1" t="n">
        <v>46203</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3609-2024</t>
        </is>
      </c>
      <c r="B692" s="1" t="n">
        <v>45320</v>
      </c>
      <c r="C692" s="1" t="n">
        <v>46203</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8650-2022</t>
        </is>
      </c>
      <c r="B693" s="1" t="n">
        <v>44613</v>
      </c>
      <c r="C693" s="1" t="n">
        <v>46203</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11147-2023</t>
        </is>
      </c>
      <c r="B694" s="1" t="n">
        <v>44992</v>
      </c>
      <c r="C694" s="1" t="n">
        <v>46203</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16676-2023</t>
        </is>
      </c>
      <c r="B695" s="1" t="n">
        <v>45028</v>
      </c>
      <c r="C695" s="1" t="n">
        <v>46203</v>
      </c>
      <c r="D695" t="inlineStr">
        <is>
          <t>KALMAR LÄN</t>
        </is>
      </c>
      <c r="E695" t="inlineStr">
        <is>
          <t>VIMMERBY</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23263-2024</t>
        </is>
      </c>
      <c r="B696" s="1" t="n">
        <v>45453</v>
      </c>
      <c r="C696" s="1" t="n">
        <v>46203</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49488-2023</t>
        </is>
      </c>
      <c r="B697" s="1" t="n">
        <v>45211</v>
      </c>
      <c r="C697" s="1" t="n">
        <v>46203</v>
      </c>
      <c r="D697" t="inlineStr">
        <is>
          <t>KALMAR LÄN</t>
        </is>
      </c>
      <c r="E697" t="inlineStr">
        <is>
          <t>VIMMERBY</t>
        </is>
      </c>
      <c r="F697" t="inlineStr">
        <is>
          <t>Sveaskog</t>
        </is>
      </c>
      <c r="G697" t="n">
        <v>6.2</v>
      </c>
      <c r="H697" t="n">
        <v>0</v>
      </c>
      <c r="I697" t="n">
        <v>0</v>
      </c>
      <c r="J697" t="n">
        <v>0</v>
      </c>
      <c r="K697" t="n">
        <v>0</v>
      </c>
      <c r="L697" t="n">
        <v>0</v>
      </c>
      <c r="M697" t="n">
        <v>0</v>
      </c>
      <c r="N697" t="n">
        <v>0</v>
      </c>
      <c r="O697" t="n">
        <v>0</v>
      </c>
      <c r="P697" t="n">
        <v>0</v>
      </c>
      <c r="Q697" t="n">
        <v>0</v>
      </c>
      <c r="R697" s="2" t="inlineStr"/>
    </row>
    <row r="698" ht="15" customHeight="1">
      <c r="A698" t="inlineStr">
        <is>
          <t>A 72067-2021</t>
        </is>
      </c>
      <c r="B698" s="1" t="n">
        <v>44540</v>
      </c>
      <c r="C698" s="1" t="n">
        <v>46203</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41158-2023</t>
        </is>
      </c>
      <c r="B699" s="1" t="n">
        <v>45174</v>
      </c>
      <c r="C699" s="1" t="n">
        <v>46203</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9511-2023</t>
        </is>
      </c>
      <c r="B700" s="1" t="n">
        <v>44981</v>
      </c>
      <c r="C700" s="1" t="n">
        <v>46203</v>
      </c>
      <c r="D700" t="inlineStr">
        <is>
          <t>KALMAR LÄN</t>
        </is>
      </c>
      <c r="E700" t="inlineStr">
        <is>
          <t>VIMMERBY</t>
        </is>
      </c>
      <c r="G700" t="n">
        <v>3.5</v>
      </c>
      <c r="H700" t="n">
        <v>0</v>
      </c>
      <c r="I700" t="n">
        <v>0</v>
      </c>
      <c r="J700" t="n">
        <v>0</v>
      </c>
      <c r="K700" t="n">
        <v>0</v>
      </c>
      <c r="L700" t="n">
        <v>0</v>
      </c>
      <c r="M700" t="n">
        <v>0</v>
      </c>
      <c r="N700" t="n">
        <v>0</v>
      </c>
      <c r="O700" t="n">
        <v>0</v>
      </c>
      <c r="P700" t="n">
        <v>0</v>
      </c>
      <c r="Q700" t="n">
        <v>0</v>
      </c>
      <c r="R700" s="2" t="inlineStr"/>
    </row>
    <row r="701" ht="15" customHeight="1">
      <c r="A701" t="inlineStr">
        <is>
          <t>A 34205-2023</t>
        </is>
      </c>
      <c r="B701" s="1" t="n">
        <v>45138</v>
      </c>
      <c r="C701" s="1" t="n">
        <v>46203</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57091-2022</t>
        </is>
      </c>
      <c r="B702" s="1" t="n">
        <v>44895</v>
      </c>
      <c r="C702" s="1" t="n">
        <v>46203</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6807-2025</t>
        </is>
      </c>
      <c r="B703" s="1" t="n">
        <v>45700</v>
      </c>
      <c r="C703" s="1" t="n">
        <v>46203</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38851-2023</t>
        </is>
      </c>
      <c r="B704" s="1" t="n">
        <v>45163</v>
      </c>
      <c r="C704" s="1" t="n">
        <v>46203</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23252-2024</t>
        </is>
      </c>
      <c r="B705" s="1" t="n">
        <v>45453</v>
      </c>
      <c r="C705" s="1" t="n">
        <v>46203</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5792-2023</t>
        </is>
      </c>
      <c r="B706" s="1" t="n">
        <v>44963</v>
      </c>
      <c r="C706" s="1" t="n">
        <v>46203</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2797-2023</t>
        </is>
      </c>
      <c r="B707" s="1" t="n">
        <v>44944</v>
      </c>
      <c r="C707" s="1" t="n">
        <v>46203</v>
      </c>
      <c r="D707" t="inlineStr">
        <is>
          <t>KALMAR LÄN</t>
        </is>
      </c>
      <c r="E707" t="inlineStr">
        <is>
          <t>VIMMERBY</t>
        </is>
      </c>
      <c r="G707" t="n">
        <v>3.4</v>
      </c>
      <c r="H707" t="n">
        <v>0</v>
      </c>
      <c r="I707" t="n">
        <v>0</v>
      </c>
      <c r="J707" t="n">
        <v>0</v>
      </c>
      <c r="K707" t="n">
        <v>0</v>
      </c>
      <c r="L707" t="n">
        <v>0</v>
      </c>
      <c r="M707" t="n">
        <v>0</v>
      </c>
      <c r="N707" t="n">
        <v>0</v>
      </c>
      <c r="O707" t="n">
        <v>0</v>
      </c>
      <c r="P707" t="n">
        <v>0</v>
      </c>
      <c r="Q707" t="n">
        <v>0</v>
      </c>
      <c r="R707" s="2" t="inlineStr"/>
    </row>
    <row r="708" ht="15" customHeight="1">
      <c r="A708" t="inlineStr">
        <is>
          <t>A 2799-2023</t>
        </is>
      </c>
      <c r="B708" s="1" t="n">
        <v>44944</v>
      </c>
      <c r="C708" s="1" t="n">
        <v>46203</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58278-2023</t>
        </is>
      </c>
      <c r="B709" s="1" t="n">
        <v>45250</v>
      </c>
      <c r="C709" s="1" t="n">
        <v>46203</v>
      </c>
      <c r="D709" t="inlineStr">
        <is>
          <t>KALMAR LÄN</t>
        </is>
      </c>
      <c r="E709" t="inlineStr">
        <is>
          <t>VIMMERBY</t>
        </is>
      </c>
      <c r="G709" t="n">
        <v>1.8</v>
      </c>
      <c r="H709" t="n">
        <v>0</v>
      </c>
      <c r="I709" t="n">
        <v>0</v>
      </c>
      <c r="J709" t="n">
        <v>0</v>
      </c>
      <c r="K709" t="n">
        <v>0</v>
      </c>
      <c r="L709" t="n">
        <v>0</v>
      </c>
      <c r="M709" t="n">
        <v>0</v>
      </c>
      <c r="N709" t="n">
        <v>0</v>
      </c>
      <c r="O709" t="n">
        <v>0</v>
      </c>
      <c r="P709" t="n">
        <v>0</v>
      </c>
      <c r="Q709" t="n">
        <v>0</v>
      </c>
      <c r="R709" s="2" t="inlineStr"/>
    </row>
    <row r="710" ht="15" customHeight="1">
      <c r="A710" t="inlineStr">
        <is>
          <t>A 36259-2022</t>
        </is>
      </c>
      <c r="B710" s="1" t="n">
        <v>44803</v>
      </c>
      <c r="C710" s="1" t="n">
        <v>46203</v>
      </c>
      <c r="D710" t="inlineStr">
        <is>
          <t>KALMAR LÄN</t>
        </is>
      </c>
      <c r="E710" t="inlineStr">
        <is>
          <t>VIMMERBY</t>
        </is>
      </c>
      <c r="G710" t="n">
        <v>3.9</v>
      </c>
      <c r="H710" t="n">
        <v>0</v>
      </c>
      <c r="I710" t="n">
        <v>0</v>
      </c>
      <c r="J710" t="n">
        <v>0</v>
      </c>
      <c r="K710" t="n">
        <v>0</v>
      </c>
      <c r="L710" t="n">
        <v>0</v>
      </c>
      <c r="M710" t="n">
        <v>0</v>
      </c>
      <c r="N710" t="n">
        <v>0</v>
      </c>
      <c r="O710" t="n">
        <v>0</v>
      </c>
      <c r="P710" t="n">
        <v>0</v>
      </c>
      <c r="Q710" t="n">
        <v>0</v>
      </c>
      <c r="R710" s="2" t="inlineStr"/>
    </row>
    <row r="711" ht="15" customHeight="1">
      <c r="A711" t="inlineStr">
        <is>
          <t>A 36526-2023</t>
        </is>
      </c>
      <c r="B711" s="1" t="n">
        <v>45153</v>
      </c>
      <c r="C711" s="1" t="n">
        <v>46203</v>
      </c>
      <c r="D711" t="inlineStr">
        <is>
          <t>KALMAR LÄN</t>
        </is>
      </c>
      <c r="E711" t="inlineStr">
        <is>
          <t>VIMMERBY</t>
        </is>
      </c>
      <c r="G711" t="n">
        <v>2.7</v>
      </c>
      <c r="H711" t="n">
        <v>0</v>
      </c>
      <c r="I711" t="n">
        <v>0</v>
      </c>
      <c r="J711" t="n">
        <v>0</v>
      </c>
      <c r="K711" t="n">
        <v>0</v>
      </c>
      <c r="L711" t="n">
        <v>0</v>
      </c>
      <c r="M711" t="n">
        <v>0</v>
      </c>
      <c r="N711" t="n">
        <v>0</v>
      </c>
      <c r="O711" t="n">
        <v>0</v>
      </c>
      <c r="P711" t="n">
        <v>0</v>
      </c>
      <c r="Q711" t="n">
        <v>0</v>
      </c>
      <c r="R711" s="2" t="inlineStr"/>
    </row>
    <row r="712" ht="15" customHeight="1">
      <c r="A712" t="inlineStr">
        <is>
          <t>A 29350-2023</t>
        </is>
      </c>
      <c r="B712" s="1" t="n">
        <v>45106</v>
      </c>
      <c r="C712" s="1" t="n">
        <v>46203</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29351-2023</t>
        </is>
      </c>
      <c r="B713" s="1" t="n">
        <v>45106</v>
      </c>
      <c r="C713" s="1" t="n">
        <v>46203</v>
      </c>
      <c r="D713" t="inlineStr">
        <is>
          <t>KALMAR LÄN</t>
        </is>
      </c>
      <c r="E713" t="inlineStr">
        <is>
          <t>VIMMERBY</t>
        </is>
      </c>
      <c r="G713" t="n">
        <v>0.4</v>
      </c>
      <c r="H713" t="n">
        <v>0</v>
      </c>
      <c r="I713" t="n">
        <v>0</v>
      </c>
      <c r="J713" t="n">
        <v>0</v>
      </c>
      <c r="K713" t="n">
        <v>0</v>
      </c>
      <c r="L713" t="n">
        <v>0</v>
      </c>
      <c r="M713" t="n">
        <v>0</v>
      </c>
      <c r="N713" t="n">
        <v>0</v>
      </c>
      <c r="O713" t="n">
        <v>0</v>
      </c>
      <c r="P713" t="n">
        <v>0</v>
      </c>
      <c r="Q713" t="n">
        <v>0</v>
      </c>
      <c r="R713" s="2" t="inlineStr"/>
    </row>
    <row r="714" ht="15" customHeight="1">
      <c r="A714" t="inlineStr">
        <is>
          <t>A 6474-2025</t>
        </is>
      </c>
      <c r="B714" s="1" t="n">
        <v>45699</v>
      </c>
      <c r="C714" s="1" t="n">
        <v>46203</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57555-2024</t>
        </is>
      </c>
      <c r="B715" s="1" t="n">
        <v>45630</v>
      </c>
      <c r="C715" s="1" t="n">
        <v>46203</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52279-2023</t>
        </is>
      </c>
      <c r="B716" s="1" t="n">
        <v>45224</v>
      </c>
      <c r="C716" s="1" t="n">
        <v>46203</v>
      </c>
      <c r="D716" t="inlineStr">
        <is>
          <t>KALMAR LÄN</t>
        </is>
      </c>
      <c r="E716" t="inlineStr">
        <is>
          <t>VIMMERBY</t>
        </is>
      </c>
      <c r="G716" t="n">
        <v>1.8</v>
      </c>
      <c r="H716" t="n">
        <v>0</v>
      </c>
      <c r="I716" t="n">
        <v>0</v>
      </c>
      <c r="J716" t="n">
        <v>0</v>
      </c>
      <c r="K716" t="n">
        <v>0</v>
      </c>
      <c r="L716" t="n">
        <v>0</v>
      </c>
      <c r="M716" t="n">
        <v>0</v>
      </c>
      <c r="N716" t="n">
        <v>0</v>
      </c>
      <c r="O716" t="n">
        <v>0</v>
      </c>
      <c r="P716" t="n">
        <v>0</v>
      </c>
      <c r="Q716" t="n">
        <v>0</v>
      </c>
      <c r="R716" s="2" t="inlineStr"/>
    </row>
    <row r="717" ht="15" customHeight="1">
      <c r="A717" t="inlineStr">
        <is>
          <t>A 52324-2023</t>
        </is>
      </c>
      <c r="B717" s="1" t="n">
        <v>45224</v>
      </c>
      <c r="C717" s="1" t="n">
        <v>46203</v>
      </c>
      <c r="D717" t="inlineStr">
        <is>
          <t>KALMAR LÄN</t>
        </is>
      </c>
      <c r="E717" t="inlineStr">
        <is>
          <t>VIMMERBY</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40730-2024</t>
        </is>
      </c>
      <c r="B718" s="1" t="n">
        <v>45558</v>
      </c>
      <c r="C718" s="1" t="n">
        <v>46203</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9643-2023</t>
        </is>
      </c>
      <c r="B719" s="1" t="n">
        <v>44984</v>
      </c>
      <c r="C719" s="1" t="n">
        <v>46203</v>
      </c>
      <c r="D719" t="inlineStr">
        <is>
          <t>KALMAR LÄN</t>
        </is>
      </c>
      <c r="E719" t="inlineStr">
        <is>
          <t>VIMMERBY</t>
        </is>
      </c>
      <c r="G719" t="n">
        <v>2</v>
      </c>
      <c r="H719" t="n">
        <v>0</v>
      </c>
      <c r="I719" t="n">
        <v>0</v>
      </c>
      <c r="J719" t="n">
        <v>0</v>
      </c>
      <c r="K719" t="n">
        <v>0</v>
      </c>
      <c r="L719" t="n">
        <v>0</v>
      </c>
      <c r="M719" t="n">
        <v>0</v>
      </c>
      <c r="N719" t="n">
        <v>0</v>
      </c>
      <c r="O719" t="n">
        <v>0</v>
      </c>
      <c r="P719" t="n">
        <v>0</v>
      </c>
      <c r="Q719" t="n">
        <v>0</v>
      </c>
      <c r="R719" s="2" t="inlineStr"/>
    </row>
    <row r="720" ht="15" customHeight="1">
      <c r="A720" t="inlineStr">
        <is>
          <t>A 56213-2024</t>
        </is>
      </c>
      <c r="B720" s="1" t="n">
        <v>45624</v>
      </c>
      <c r="C720" s="1" t="n">
        <v>46203</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9694-2023</t>
        </is>
      </c>
      <c r="B721" s="1" t="n">
        <v>44984</v>
      </c>
      <c r="C721" s="1" t="n">
        <v>46203</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9710-2023</t>
        </is>
      </c>
      <c r="B722" s="1" t="n">
        <v>44984</v>
      </c>
      <c r="C722" s="1" t="n">
        <v>46203</v>
      </c>
      <c r="D722" t="inlineStr">
        <is>
          <t>KALMAR LÄN</t>
        </is>
      </c>
      <c r="E722" t="inlineStr">
        <is>
          <t>VIMMERBY</t>
        </is>
      </c>
      <c r="G722" t="n">
        <v>3.7</v>
      </c>
      <c r="H722" t="n">
        <v>0</v>
      </c>
      <c r="I722" t="n">
        <v>0</v>
      </c>
      <c r="J722" t="n">
        <v>0</v>
      </c>
      <c r="K722" t="n">
        <v>0</v>
      </c>
      <c r="L722" t="n">
        <v>0</v>
      </c>
      <c r="M722" t="n">
        <v>0</v>
      </c>
      <c r="N722" t="n">
        <v>0</v>
      </c>
      <c r="O722" t="n">
        <v>0</v>
      </c>
      <c r="P722" t="n">
        <v>0</v>
      </c>
      <c r="Q722" t="n">
        <v>0</v>
      </c>
      <c r="R722" s="2" t="inlineStr"/>
    </row>
    <row r="723" ht="15" customHeight="1">
      <c r="A723" t="inlineStr">
        <is>
          <t>A 7944-2024</t>
        </is>
      </c>
      <c r="B723" s="1" t="n">
        <v>45350</v>
      </c>
      <c r="C723" s="1" t="n">
        <v>46203</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10807-2024</t>
        </is>
      </c>
      <c r="B724" s="1" t="n">
        <v>45369</v>
      </c>
      <c r="C724" s="1" t="n">
        <v>46203</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40260-2024</t>
        </is>
      </c>
      <c r="B725" s="1" t="n">
        <v>45554</v>
      </c>
      <c r="C725" s="1" t="n">
        <v>46203</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10787-2025</t>
        </is>
      </c>
      <c r="B726" s="1" t="n">
        <v>45722</v>
      </c>
      <c r="C726" s="1" t="n">
        <v>46203</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58577-2024</t>
        </is>
      </c>
      <c r="B727" s="1" t="n">
        <v>45635</v>
      </c>
      <c r="C727" s="1" t="n">
        <v>46203</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38198-2024</t>
        </is>
      </c>
      <c r="B728" s="1" t="n">
        <v>45545</v>
      </c>
      <c r="C728" s="1" t="n">
        <v>46203</v>
      </c>
      <c r="D728" t="inlineStr">
        <is>
          <t>KALMAR LÄN</t>
        </is>
      </c>
      <c r="E728" t="inlineStr">
        <is>
          <t>VIMMERBY</t>
        </is>
      </c>
      <c r="G728" t="n">
        <v>7.9</v>
      </c>
      <c r="H728" t="n">
        <v>0</v>
      </c>
      <c r="I728" t="n">
        <v>0</v>
      </c>
      <c r="J728" t="n">
        <v>0</v>
      </c>
      <c r="K728" t="n">
        <v>0</v>
      </c>
      <c r="L728" t="n">
        <v>0</v>
      </c>
      <c r="M728" t="n">
        <v>0</v>
      </c>
      <c r="N728" t="n">
        <v>0</v>
      </c>
      <c r="O728" t="n">
        <v>0</v>
      </c>
      <c r="P728" t="n">
        <v>0</v>
      </c>
      <c r="Q728" t="n">
        <v>0</v>
      </c>
      <c r="R728" s="2" t="inlineStr"/>
    </row>
    <row r="729" ht="15" customHeight="1">
      <c r="A729" t="inlineStr">
        <is>
          <t>A 22264-2023</t>
        </is>
      </c>
      <c r="B729" s="1" t="n">
        <v>45070</v>
      </c>
      <c r="C729" s="1" t="n">
        <v>46203</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50091-2023</t>
        </is>
      </c>
      <c r="B730" s="1" t="n">
        <v>45215</v>
      </c>
      <c r="C730" s="1" t="n">
        <v>46203</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10303-2025</t>
        </is>
      </c>
      <c r="B731" s="1" t="n">
        <v>45720</v>
      </c>
      <c r="C731" s="1" t="n">
        <v>46203</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11027-2023</t>
        </is>
      </c>
      <c r="B732" s="1" t="n">
        <v>44991</v>
      </c>
      <c r="C732" s="1" t="n">
        <v>46203</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11661-2023</t>
        </is>
      </c>
      <c r="B733" s="1" t="n">
        <v>44994</v>
      </c>
      <c r="C733" s="1" t="n">
        <v>46203</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36155-2023</t>
        </is>
      </c>
      <c r="B734" s="1" t="n">
        <v>45149</v>
      </c>
      <c r="C734" s="1" t="n">
        <v>46203</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40147-2023</t>
        </is>
      </c>
      <c r="B735" s="1" t="n">
        <v>45169</v>
      </c>
      <c r="C735" s="1" t="n">
        <v>46203</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63950-2023</t>
        </is>
      </c>
      <c r="B736" s="1" t="n">
        <v>45278</v>
      </c>
      <c r="C736" s="1" t="n">
        <v>46203</v>
      </c>
      <c r="D736" t="inlineStr">
        <is>
          <t>KALMAR LÄN</t>
        </is>
      </c>
      <c r="E736" t="inlineStr">
        <is>
          <t>VIMMERBY</t>
        </is>
      </c>
      <c r="F736" t="inlineStr">
        <is>
          <t>Kyrkan</t>
        </is>
      </c>
      <c r="G736" t="n">
        <v>2.7</v>
      </c>
      <c r="H736" t="n">
        <v>0</v>
      </c>
      <c r="I736" t="n">
        <v>0</v>
      </c>
      <c r="J736" t="n">
        <v>0</v>
      </c>
      <c r="K736" t="n">
        <v>0</v>
      </c>
      <c r="L736" t="n">
        <v>0</v>
      </c>
      <c r="M736" t="n">
        <v>0</v>
      </c>
      <c r="N736" t="n">
        <v>0</v>
      </c>
      <c r="O736" t="n">
        <v>0</v>
      </c>
      <c r="P736" t="n">
        <v>0</v>
      </c>
      <c r="Q736" t="n">
        <v>0</v>
      </c>
      <c r="R736" s="2" t="inlineStr"/>
    </row>
    <row r="737" ht="15" customHeight="1">
      <c r="A737" t="inlineStr">
        <is>
          <t>A 24096-2024</t>
        </is>
      </c>
      <c r="B737" s="1" t="n">
        <v>45456</v>
      </c>
      <c r="C737" s="1" t="n">
        <v>46203</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41199-2023</t>
        </is>
      </c>
      <c r="B738" s="1" t="n">
        <v>45174</v>
      </c>
      <c r="C738" s="1" t="n">
        <v>46203</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36014-2024</t>
        </is>
      </c>
      <c r="B739" s="1" t="n">
        <v>45533</v>
      </c>
      <c r="C739" s="1" t="n">
        <v>46203</v>
      </c>
      <c r="D739" t="inlineStr">
        <is>
          <t>KALMAR LÄN</t>
        </is>
      </c>
      <c r="E739" t="inlineStr">
        <is>
          <t>VIMMERBY</t>
        </is>
      </c>
      <c r="G739" t="n">
        <v>2.3</v>
      </c>
      <c r="H739" t="n">
        <v>0</v>
      </c>
      <c r="I739" t="n">
        <v>0</v>
      </c>
      <c r="J739" t="n">
        <v>0</v>
      </c>
      <c r="K739" t="n">
        <v>0</v>
      </c>
      <c r="L739" t="n">
        <v>0</v>
      </c>
      <c r="M739" t="n">
        <v>0</v>
      </c>
      <c r="N739" t="n">
        <v>0</v>
      </c>
      <c r="O739" t="n">
        <v>0</v>
      </c>
      <c r="P739" t="n">
        <v>0</v>
      </c>
      <c r="Q739" t="n">
        <v>0</v>
      </c>
      <c r="R739" s="2" t="inlineStr"/>
    </row>
    <row r="740" ht="15" customHeight="1">
      <c r="A740" t="inlineStr">
        <is>
          <t>A 36030-2024</t>
        </is>
      </c>
      <c r="B740" s="1" t="n">
        <v>45533</v>
      </c>
      <c r="C740" s="1" t="n">
        <v>46203</v>
      </c>
      <c r="D740" t="inlineStr">
        <is>
          <t>KALMAR LÄN</t>
        </is>
      </c>
      <c r="E740" t="inlineStr">
        <is>
          <t>VIMMERBY</t>
        </is>
      </c>
      <c r="F740" t="inlineStr">
        <is>
          <t>Kommuner</t>
        </is>
      </c>
      <c r="G740" t="n">
        <v>4</v>
      </c>
      <c r="H740" t="n">
        <v>0</v>
      </c>
      <c r="I740" t="n">
        <v>0</v>
      </c>
      <c r="J740" t="n">
        <v>0</v>
      </c>
      <c r="K740" t="n">
        <v>0</v>
      </c>
      <c r="L740" t="n">
        <v>0</v>
      </c>
      <c r="M740" t="n">
        <v>0</v>
      </c>
      <c r="N740" t="n">
        <v>0</v>
      </c>
      <c r="O740" t="n">
        <v>0</v>
      </c>
      <c r="P740" t="n">
        <v>0</v>
      </c>
      <c r="Q740" t="n">
        <v>0</v>
      </c>
      <c r="R740" s="2" t="inlineStr"/>
    </row>
    <row r="741" ht="15" customHeight="1">
      <c r="A741" t="inlineStr">
        <is>
          <t>A 6321-2023</t>
        </is>
      </c>
      <c r="B741" s="1" t="n">
        <v>44965</v>
      </c>
      <c r="C741" s="1" t="n">
        <v>46203</v>
      </c>
      <c r="D741" t="inlineStr">
        <is>
          <t>KALMAR LÄN</t>
        </is>
      </c>
      <c r="E741" t="inlineStr">
        <is>
          <t>VIMMERBY</t>
        </is>
      </c>
      <c r="G741" t="n">
        <v>1.8</v>
      </c>
      <c r="H741" t="n">
        <v>0</v>
      </c>
      <c r="I741" t="n">
        <v>0</v>
      </c>
      <c r="J741" t="n">
        <v>0</v>
      </c>
      <c r="K741" t="n">
        <v>0</v>
      </c>
      <c r="L741" t="n">
        <v>0</v>
      </c>
      <c r="M741" t="n">
        <v>0</v>
      </c>
      <c r="N741" t="n">
        <v>0</v>
      </c>
      <c r="O741" t="n">
        <v>0</v>
      </c>
      <c r="P741" t="n">
        <v>0</v>
      </c>
      <c r="Q741" t="n">
        <v>0</v>
      </c>
      <c r="R741" s="2" t="inlineStr"/>
    </row>
    <row r="742" ht="15" customHeight="1">
      <c r="A742" t="inlineStr">
        <is>
          <t>A 52755-2022</t>
        </is>
      </c>
      <c r="B742" s="1" t="n">
        <v>44875</v>
      </c>
      <c r="C742" s="1" t="n">
        <v>46203</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40823-2023</t>
        </is>
      </c>
      <c r="B743" s="1" t="n">
        <v>45171</v>
      </c>
      <c r="C743" s="1" t="n">
        <v>46203</v>
      </c>
      <c r="D743" t="inlineStr">
        <is>
          <t>KALMAR LÄN</t>
        </is>
      </c>
      <c r="E743" t="inlineStr">
        <is>
          <t>VIMMERBY</t>
        </is>
      </c>
      <c r="G743" t="n">
        <v>2.7</v>
      </c>
      <c r="H743" t="n">
        <v>0</v>
      </c>
      <c r="I743" t="n">
        <v>0</v>
      </c>
      <c r="J743" t="n">
        <v>0</v>
      </c>
      <c r="K743" t="n">
        <v>0</v>
      </c>
      <c r="L743" t="n">
        <v>0</v>
      </c>
      <c r="M743" t="n">
        <v>0</v>
      </c>
      <c r="N743" t="n">
        <v>0</v>
      </c>
      <c r="O743" t="n">
        <v>0</v>
      </c>
      <c r="P743" t="n">
        <v>0</v>
      </c>
      <c r="Q743" t="n">
        <v>0</v>
      </c>
      <c r="R743" s="2" t="inlineStr"/>
    </row>
    <row r="744" ht="15" customHeight="1">
      <c r="A744" t="inlineStr">
        <is>
          <t>A 27761-2024</t>
        </is>
      </c>
      <c r="B744" s="1" t="n">
        <v>45475</v>
      </c>
      <c r="C744" s="1" t="n">
        <v>46203</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21028-2023</t>
        </is>
      </c>
      <c r="B745" s="1" t="n">
        <v>45061</v>
      </c>
      <c r="C745" s="1" t="n">
        <v>46203</v>
      </c>
      <c r="D745" t="inlineStr">
        <is>
          <t>KALMAR LÄN</t>
        </is>
      </c>
      <c r="E745" t="inlineStr">
        <is>
          <t>VIMMERBY</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64203-2021</t>
        </is>
      </c>
      <c r="B746" s="1" t="n">
        <v>44510</v>
      </c>
      <c r="C746" s="1" t="n">
        <v>46203</v>
      </c>
      <c r="D746" t="inlineStr">
        <is>
          <t>KALMAR LÄN</t>
        </is>
      </c>
      <c r="E746" t="inlineStr">
        <is>
          <t>VIMMERBY</t>
        </is>
      </c>
      <c r="F746" t="inlineStr">
        <is>
          <t>Övriga Aktiebolag</t>
        </is>
      </c>
      <c r="G746" t="n">
        <v>5.4</v>
      </c>
      <c r="H746" t="n">
        <v>0</v>
      </c>
      <c r="I746" t="n">
        <v>0</v>
      </c>
      <c r="J746" t="n">
        <v>0</v>
      </c>
      <c r="K746" t="n">
        <v>0</v>
      </c>
      <c r="L746" t="n">
        <v>0</v>
      </c>
      <c r="M746" t="n">
        <v>0</v>
      </c>
      <c r="N746" t="n">
        <v>0</v>
      </c>
      <c r="O746" t="n">
        <v>0</v>
      </c>
      <c r="P746" t="n">
        <v>0</v>
      </c>
      <c r="Q746" t="n">
        <v>0</v>
      </c>
      <c r="R746" s="2" t="inlineStr"/>
    </row>
    <row r="747" ht="15" customHeight="1">
      <c r="A747" t="inlineStr">
        <is>
          <t>A 1016-2024</t>
        </is>
      </c>
      <c r="B747" s="1" t="n">
        <v>45301</v>
      </c>
      <c r="C747" s="1" t="n">
        <v>46203</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1024-2024</t>
        </is>
      </c>
      <c r="B748" s="1" t="n">
        <v>45301</v>
      </c>
      <c r="C748" s="1" t="n">
        <v>46203</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27758-2024</t>
        </is>
      </c>
      <c r="B749" s="1" t="n">
        <v>45475</v>
      </c>
      <c r="C749" s="1" t="n">
        <v>46203</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32865-2023</t>
        </is>
      </c>
      <c r="B750" s="1" t="n">
        <v>45124</v>
      </c>
      <c r="C750" s="1" t="n">
        <v>46203</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17926-2025</t>
        </is>
      </c>
      <c r="B751" s="1" t="n">
        <v>45759</v>
      </c>
      <c r="C751" s="1" t="n">
        <v>46203</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35127-2024</t>
        </is>
      </c>
      <c r="B752" s="1" t="n">
        <v>45530</v>
      </c>
      <c r="C752" s="1" t="n">
        <v>46203</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c r="A753" t="inlineStr">
        <is>
          <t>A 33383-2023</t>
        </is>
      </c>
      <c r="B753" s="1" t="n">
        <v>45128</v>
      </c>
      <c r="C753" s="1" t="n">
        <v>46203</v>
      </c>
      <c r="D753" t="inlineStr">
        <is>
          <t>KALMAR LÄN</t>
        </is>
      </c>
      <c r="E753" t="inlineStr">
        <is>
          <t>VIMMERBY</t>
        </is>
      </c>
      <c r="G753" t="n">
        <v>2.3</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2026-06-30T00:54:57Z</dcterms:created>
  <dcterms:modified xmlns:dcterms="http://purl.org/dc/terms/" xmlns:xsi="http://www.w3.org/2001/XMLSchema-instance" xsi:type="dcterms:W3CDTF">2026-06-30T00:54:57Z</dcterms:modified>
</cp:coreProperties>
</file>