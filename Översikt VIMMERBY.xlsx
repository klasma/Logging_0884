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45960</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45960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45960</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45960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45960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45960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45960</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45960</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45960</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45960</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45960</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45960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45960</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45960</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45960</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45960</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45960</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14024-2023</t>
        </is>
      </c>
      <c r="B25" s="1" t="n">
        <v>45008.60878472222</v>
      </c>
      <c r="C25" s="1" t="n">
        <v>45960</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40684-2025</t>
        </is>
      </c>
      <c r="B26" s="1" t="n">
        <v>45896.86820601852</v>
      </c>
      <c r="C26" s="1" t="n">
        <v>45960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17935-2025</t>
        </is>
      </c>
      <c r="B27" s="1" t="n">
        <v>45760.34877314815</v>
      </c>
      <c r="C27" s="1" t="n">
        <v>45960</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45960</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42802-2025</t>
        </is>
      </c>
      <c r="B29" s="1" t="n">
        <v>45908</v>
      </c>
      <c r="C29" s="1" t="n">
        <v>45960</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45960</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45960</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45960</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45960</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23602-2023</t>
        </is>
      </c>
      <c r="B34" s="1" t="n">
        <v>45077</v>
      </c>
      <c r="C34" s="1" t="n">
        <v>45960</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52301-2023</t>
        </is>
      </c>
      <c r="B35" s="1" t="n">
        <v>45224</v>
      </c>
      <c r="C35" s="1" t="n">
        <v>45960</v>
      </c>
      <c r="D35" t="inlineStr">
        <is>
          <t>KALMAR LÄN</t>
        </is>
      </c>
      <c r="E35" t="inlineStr">
        <is>
          <t>VIMMERBY</t>
        </is>
      </c>
      <c r="G35" t="n">
        <v>5.3</v>
      </c>
      <c r="H35" t="n">
        <v>0</v>
      </c>
      <c r="I35" t="n">
        <v>0</v>
      </c>
      <c r="J35" t="n">
        <v>0</v>
      </c>
      <c r="K35" t="n">
        <v>0</v>
      </c>
      <c r="L35" t="n">
        <v>1</v>
      </c>
      <c r="M35" t="n">
        <v>0</v>
      </c>
      <c r="N35" t="n">
        <v>0</v>
      </c>
      <c r="O35" t="n">
        <v>1</v>
      </c>
      <c r="P35" t="n">
        <v>1</v>
      </c>
      <c r="Q35" t="n">
        <v>1</v>
      </c>
      <c r="R35" s="2" t="inlineStr">
        <is>
          <t>Ask</t>
        </is>
      </c>
      <c r="S35">
        <f>HYPERLINK("https://klasma.github.io/Logging_0884/artfynd/A 52301-2023 artfynd.xlsx", "A 52301-2023")</f>
        <v/>
      </c>
      <c r="T35">
        <f>HYPERLINK("https://klasma.github.io/Logging_0884/kartor/A 52301-2023 karta.png", "A 52301-2023")</f>
        <v/>
      </c>
      <c r="V35">
        <f>HYPERLINK("https://klasma.github.io/Logging_0884/klagomål/A 52301-2023 FSC-klagomål.docx", "A 52301-2023")</f>
        <v/>
      </c>
      <c r="W35">
        <f>HYPERLINK("https://klasma.github.io/Logging_0884/klagomålsmail/A 52301-2023 FSC-klagomål mail.docx", "A 52301-2023")</f>
        <v/>
      </c>
      <c r="X35">
        <f>HYPERLINK("https://klasma.github.io/Logging_0884/tillsyn/A 52301-2023 tillsynsbegäran.docx", "A 52301-2023")</f>
        <v/>
      </c>
      <c r="Y35">
        <f>HYPERLINK("https://klasma.github.io/Logging_0884/tillsynsmail/A 52301-2023 tillsynsbegäran mail.docx", "A 52301-2023")</f>
        <v/>
      </c>
    </row>
    <row r="36" ht="15" customHeight="1">
      <c r="A36" t="inlineStr">
        <is>
          <t>A 37930-2021</t>
        </is>
      </c>
      <c r="B36" s="1" t="n">
        <v>44403</v>
      </c>
      <c r="C36" s="1" t="n">
        <v>45960</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44515-2024</t>
        </is>
      </c>
      <c r="B37" s="1" t="n">
        <v>45574.42767361111</v>
      </c>
      <c r="C37" s="1" t="n">
        <v>45960</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33436-2021</t>
        </is>
      </c>
      <c r="B38" s="1" t="n">
        <v>44377.61104166666</v>
      </c>
      <c r="C38" s="1" t="n">
        <v>45960</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32985-2023</t>
        </is>
      </c>
      <c r="B39" s="1" t="n">
        <v>45125</v>
      </c>
      <c r="C39" s="1" t="n">
        <v>45960</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40083-2023</t>
        </is>
      </c>
      <c r="B40" s="1" t="n">
        <v>45168</v>
      </c>
      <c r="C40" s="1" t="n">
        <v>45960</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45960</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15122-2024</t>
        </is>
      </c>
      <c r="B42" s="1" t="n">
        <v>45399.71412037037</v>
      </c>
      <c r="C42" s="1" t="n">
        <v>45960</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6841-2021</t>
        </is>
      </c>
      <c r="B43" s="1" t="n">
        <v>44236</v>
      </c>
      <c r="C43" s="1" t="n">
        <v>45960</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38602-2025</t>
        </is>
      </c>
      <c r="B44" s="1" t="n">
        <v>45884.50331018519</v>
      </c>
      <c r="C44" s="1" t="n">
        <v>45960</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38602-2025 artfynd.xlsx", "A 38602-2025")</f>
        <v/>
      </c>
      <c r="T44">
        <f>HYPERLINK("https://klasma.github.io/Logging_0884/kartor/A 38602-2025 karta.png", "A 38602-2025")</f>
        <v/>
      </c>
      <c r="U44">
        <f>HYPERLINK("https://klasma.github.io/Logging_0884/knärot/A 38602-2025 karta knärot.png", "A 38602-2025")</f>
        <v/>
      </c>
      <c r="V44">
        <f>HYPERLINK("https://klasma.github.io/Logging_0884/klagomål/A 38602-2025 FSC-klagomål.docx", "A 38602-2025")</f>
        <v/>
      </c>
      <c r="W44">
        <f>HYPERLINK("https://klasma.github.io/Logging_0884/klagomålsmail/A 38602-2025 FSC-klagomål mail.docx", "A 38602-2025")</f>
        <v/>
      </c>
      <c r="X44">
        <f>HYPERLINK("https://klasma.github.io/Logging_0884/tillsyn/A 38602-2025 tillsynsbegäran.docx", "A 38602-2025")</f>
        <v/>
      </c>
      <c r="Y44">
        <f>HYPERLINK("https://klasma.github.io/Logging_0884/tillsynsmail/A 38602-2025 tillsynsbegäran mail.docx", "A 38602-2025")</f>
        <v/>
      </c>
    </row>
    <row r="45" ht="15" customHeight="1">
      <c r="A45" t="inlineStr">
        <is>
          <t>A 61860-2024</t>
        </is>
      </c>
      <c r="B45" s="1" t="n">
        <v>45649</v>
      </c>
      <c r="C45" s="1" t="n">
        <v>45960</v>
      </c>
      <c r="D45" t="inlineStr">
        <is>
          <t>KALMAR LÄN</t>
        </is>
      </c>
      <c r="E45" t="inlineStr">
        <is>
          <t>VIMMERBY</t>
        </is>
      </c>
      <c r="G45" t="n">
        <v>4.4</v>
      </c>
      <c r="H45" t="n">
        <v>1</v>
      </c>
      <c r="I45" t="n">
        <v>0</v>
      </c>
      <c r="J45" t="n">
        <v>0</v>
      </c>
      <c r="K45" t="n">
        <v>1</v>
      </c>
      <c r="L45" t="n">
        <v>0</v>
      </c>
      <c r="M45" t="n">
        <v>0</v>
      </c>
      <c r="N45" t="n">
        <v>0</v>
      </c>
      <c r="O45" t="n">
        <v>1</v>
      </c>
      <c r="P45" t="n">
        <v>1</v>
      </c>
      <c r="Q45" t="n">
        <v>1</v>
      </c>
      <c r="R45" s="2" t="inlineStr">
        <is>
          <t>Knärot</t>
        </is>
      </c>
      <c r="S45">
        <f>HYPERLINK("https://klasma.github.io/Logging_0884/artfynd/A 61860-2024 artfynd.xlsx", "A 61860-2024")</f>
        <v/>
      </c>
      <c r="T45">
        <f>HYPERLINK("https://klasma.github.io/Logging_0884/kartor/A 61860-2024 karta.png", "A 61860-2024")</f>
        <v/>
      </c>
      <c r="U45">
        <f>HYPERLINK("https://klasma.github.io/Logging_0884/knärot/A 61860-2024 karta knärot.png", "A 61860-2024")</f>
        <v/>
      </c>
      <c r="V45">
        <f>HYPERLINK("https://klasma.github.io/Logging_0884/klagomål/A 61860-2024 FSC-klagomål.docx", "A 61860-2024")</f>
        <v/>
      </c>
      <c r="W45">
        <f>HYPERLINK("https://klasma.github.io/Logging_0884/klagomålsmail/A 61860-2024 FSC-klagomål mail.docx", "A 61860-2024")</f>
        <v/>
      </c>
      <c r="X45">
        <f>HYPERLINK("https://klasma.github.io/Logging_0884/tillsyn/A 61860-2024 tillsynsbegäran.docx", "A 61860-2024")</f>
        <v/>
      </c>
      <c r="Y45">
        <f>HYPERLINK("https://klasma.github.io/Logging_0884/tillsynsmail/A 61860-2024 tillsynsbegäran mail.docx", "A 61860-2024")</f>
        <v/>
      </c>
    </row>
    <row r="46" ht="15" customHeight="1">
      <c r="A46" t="inlineStr">
        <is>
          <t>A 1201-2025</t>
        </is>
      </c>
      <c r="B46" s="1" t="n">
        <v>45667</v>
      </c>
      <c r="C46" s="1" t="n">
        <v>45960</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29183-2025</t>
        </is>
      </c>
      <c r="B47" s="1" t="n">
        <v>45821</v>
      </c>
      <c r="C47" s="1" t="n">
        <v>45960</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15903-2021</t>
        </is>
      </c>
      <c r="B48" s="1" t="n">
        <v>44287.33261574074</v>
      </c>
      <c r="C48" s="1" t="n">
        <v>45960</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1929-2021</t>
        </is>
      </c>
      <c r="B49" s="1" t="n">
        <v>44210</v>
      </c>
      <c r="C49" s="1" t="n">
        <v>45960</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45960</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45960</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56754-2021</t>
        </is>
      </c>
      <c r="B52" s="1" t="n">
        <v>44481.47483796296</v>
      </c>
      <c r="C52" s="1" t="n">
        <v>45960</v>
      </c>
      <c r="D52" t="inlineStr">
        <is>
          <t>KALMAR LÄN</t>
        </is>
      </c>
      <c r="E52" t="inlineStr">
        <is>
          <t>VIMMERBY</t>
        </is>
      </c>
      <c r="G52" t="n">
        <v>1.4</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45960</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27100-2021</t>
        </is>
      </c>
      <c r="B55" s="1" t="n">
        <v>44350</v>
      </c>
      <c r="C55" s="1" t="n">
        <v>45960</v>
      </c>
      <c r="D55" t="inlineStr">
        <is>
          <t>KALMAR LÄN</t>
        </is>
      </c>
      <c r="E55" t="inlineStr">
        <is>
          <t>VIMMERBY</t>
        </is>
      </c>
      <c r="G55" t="n">
        <v>9.6</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45960</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2654-2021</t>
        </is>
      </c>
      <c r="B57" s="1" t="n">
        <v>44215</v>
      </c>
      <c r="C57" s="1" t="n">
        <v>45960</v>
      </c>
      <c r="D57" t="inlineStr">
        <is>
          <t>KALMAR LÄN</t>
        </is>
      </c>
      <c r="E57" t="inlineStr">
        <is>
          <t>VIMMERBY</t>
        </is>
      </c>
      <c r="G57" t="n">
        <v>1.2</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45960</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45960</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18756-2021</t>
        </is>
      </c>
      <c r="B60" s="1" t="n">
        <v>44307</v>
      </c>
      <c r="C60" s="1" t="n">
        <v>45960</v>
      </c>
      <c r="D60" t="inlineStr">
        <is>
          <t>KALMAR LÄN</t>
        </is>
      </c>
      <c r="E60" t="inlineStr">
        <is>
          <t>VIMMERBY</t>
        </is>
      </c>
      <c r="G60" t="n">
        <v>7.4</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45960</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4762-2021</t>
        </is>
      </c>
      <c r="B62" s="1" t="n">
        <v>44225</v>
      </c>
      <c r="C62" s="1" t="n">
        <v>45960</v>
      </c>
      <c r="D62" t="inlineStr">
        <is>
          <t>KALMAR LÄN</t>
        </is>
      </c>
      <c r="E62" t="inlineStr">
        <is>
          <t>VIMMERBY</t>
        </is>
      </c>
      <c r="G62" t="n">
        <v>5.3</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45960</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45960</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63926-2021</t>
        </is>
      </c>
      <c r="B65" s="1" t="n">
        <v>44509</v>
      </c>
      <c r="C65" s="1" t="n">
        <v>45960</v>
      </c>
      <c r="D65" t="inlineStr">
        <is>
          <t>KALMAR LÄN</t>
        </is>
      </c>
      <c r="E65" t="inlineStr">
        <is>
          <t>VIMMERBY</t>
        </is>
      </c>
      <c r="G65" t="n">
        <v>0.7</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45960</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5689-2021</t>
        </is>
      </c>
      <c r="B67" s="1" t="n">
        <v>44230.58883101852</v>
      </c>
      <c r="C67" s="1" t="n">
        <v>45960</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45960</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7515-2021</t>
        </is>
      </c>
      <c r="B69" s="1" t="n">
        <v>44238</v>
      </c>
      <c r="C69" s="1" t="n">
        <v>45960</v>
      </c>
      <c r="D69" t="inlineStr">
        <is>
          <t>KALMAR LÄN</t>
        </is>
      </c>
      <c r="E69" t="inlineStr">
        <is>
          <t>VIMMERBY</t>
        </is>
      </c>
      <c r="G69" t="n">
        <v>20.9</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45960</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45960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45960</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45960</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45960</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45960</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45960</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45960</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45960</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45960</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45960</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45960</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45960</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45960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45960</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45960</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45960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45960</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45960</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45960</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45960</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45960</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45960</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45960</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45960</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45960</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45960</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45960</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45960</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45960</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45960</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45960</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45960</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32386-2021</t>
        </is>
      </c>
      <c r="B104" s="1" t="n">
        <v>44371.62743055556</v>
      </c>
      <c r="C104" s="1" t="n">
        <v>45960</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45960</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56389-2021</t>
        </is>
      </c>
      <c r="B106" s="1" t="n">
        <v>44480</v>
      </c>
      <c r="C106" s="1" t="n">
        <v>45960</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8415-2021</t>
        </is>
      </c>
      <c r="B107" s="1" t="n">
        <v>44245</v>
      </c>
      <c r="C107" s="1" t="n">
        <v>45960</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45960</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45960</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45960</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67952-2021</t>
        </is>
      </c>
      <c r="B111" s="1" t="n">
        <v>44525.63913194444</v>
      </c>
      <c r="C111" s="1" t="n">
        <v>45960</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14521-2021</t>
        </is>
      </c>
      <c r="B112" s="1" t="n">
        <v>44279.64934027778</v>
      </c>
      <c r="C112" s="1" t="n">
        <v>45960</v>
      </c>
      <c r="D112" t="inlineStr">
        <is>
          <t>KALMAR LÄN</t>
        </is>
      </c>
      <c r="E112" t="inlineStr">
        <is>
          <t>VIMMERBY</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15533-2022</t>
        </is>
      </c>
      <c r="B113" s="1" t="n">
        <v>44662</v>
      </c>
      <c r="C113" s="1" t="n">
        <v>45960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13492-2021</t>
        </is>
      </c>
      <c r="B114" s="1" t="n">
        <v>44273</v>
      </c>
      <c r="C114" s="1" t="n">
        <v>45960</v>
      </c>
      <c r="D114" t="inlineStr">
        <is>
          <t>KALMAR LÄN</t>
        </is>
      </c>
      <c r="E114" t="inlineStr">
        <is>
          <t>VIMMERBY</t>
        </is>
      </c>
      <c r="G114" t="n">
        <v>3.1</v>
      </c>
      <c r="H114" t="n">
        <v>0</v>
      </c>
      <c r="I114" t="n">
        <v>0</v>
      </c>
      <c r="J114" t="n">
        <v>0</v>
      </c>
      <c r="K114" t="n">
        <v>0</v>
      </c>
      <c r="L114" t="n">
        <v>0</v>
      </c>
      <c r="M114" t="n">
        <v>0</v>
      </c>
      <c r="N114" t="n">
        <v>0</v>
      </c>
      <c r="O114" t="n">
        <v>0</v>
      </c>
      <c r="P114" t="n">
        <v>0</v>
      </c>
      <c r="Q114" t="n">
        <v>0</v>
      </c>
      <c r="R114" s="2" t="inlineStr"/>
    </row>
    <row r="115" ht="15" customHeight="1">
      <c r="A115" t="inlineStr">
        <is>
          <t>A 17869-2021</t>
        </is>
      </c>
      <c r="B115" s="1" t="n">
        <v>44301.36048611111</v>
      </c>
      <c r="C115" s="1" t="n">
        <v>45960</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11814-2022</t>
        </is>
      </c>
      <c r="B116" s="1" t="n">
        <v>44634.69703703704</v>
      </c>
      <c r="C116" s="1" t="n">
        <v>45960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56385-2021</t>
        </is>
      </c>
      <c r="B117" s="1" t="n">
        <v>44480</v>
      </c>
      <c r="C117" s="1" t="n">
        <v>45960</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31053-2022</t>
        </is>
      </c>
      <c r="B118" s="1" t="n">
        <v>44769.45422453704</v>
      </c>
      <c r="C118" s="1" t="n">
        <v>45960</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24738-2021</t>
        </is>
      </c>
      <c r="B119" s="1" t="n">
        <v>44340.58002314815</v>
      </c>
      <c r="C119" s="1" t="n">
        <v>45960</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25049-2022</t>
        </is>
      </c>
      <c r="B120" s="1" t="n">
        <v>44729.28226851852</v>
      </c>
      <c r="C120" s="1" t="n">
        <v>45960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12848-2021</t>
        </is>
      </c>
      <c r="B121" s="1" t="n">
        <v>44271.37226851852</v>
      </c>
      <c r="C121" s="1" t="n">
        <v>45960</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45960</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165-2022</t>
        </is>
      </c>
      <c r="B123" s="1" t="n">
        <v>44564</v>
      </c>
      <c r="C123" s="1" t="n">
        <v>45960</v>
      </c>
      <c r="D123" t="inlineStr">
        <is>
          <t>KALMAR LÄN</t>
        </is>
      </c>
      <c r="E123" t="inlineStr">
        <is>
          <t>VIMMERBY</t>
        </is>
      </c>
      <c r="G123" t="n">
        <v>0.7</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45960</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51972-2021</t>
        </is>
      </c>
      <c r="B125" s="1" t="n">
        <v>44463.29439814815</v>
      </c>
      <c r="C125" s="1" t="n">
        <v>45960</v>
      </c>
      <c r="D125" t="inlineStr">
        <is>
          <t>KALMAR LÄN</t>
        </is>
      </c>
      <c r="E125" t="inlineStr">
        <is>
          <t>VIMMERBY</t>
        </is>
      </c>
      <c r="G125" t="n">
        <v>4.5</v>
      </c>
      <c r="H125" t="n">
        <v>0</v>
      </c>
      <c r="I125" t="n">
        <v>0</v>
      </c>
      <c r="J125" t="n">
        <v>0</v>
      </c>
      <c r="K125" t="n">
        <v>0</v>
      </c>
      <c r="L125" t="n">
        <v>0</v>
      </c>
      <c r="M125" t="n">
        <v>0</v>
      </c>
      <c r="N125" t="n">
        <v>0</v>
      </c>
      <c r="O125" t="n">
        <v>0</v>
      </c>
      <c r="P125" t="n">
        <v>0</v>
      </c>
      <c r="Q125" t="n">
        <v>0</v>
      </c>
      <c r="R125" s="2" t="inlineStr"/>
    </row>
    <row r="126" ht="15" customHeight="1">
      <c r="A126" t="inlineStr">
        <is>
          <t>A 24369-2021</t>
        </is>
      </c>
      <c r="B126" s="1" t="n">
        <v>44337</v>
      </c>
      <c r="C126" s="1" t="n">
        <v>45960</v>
      </c>
      <c r="D126" t="inlineStr">
        <is>
          <t>KALMAR LÄN</t>
        </is>
      </c>
      <c r="E126" t="inlineStr">
        <is>
          <t>VIMMERBY</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24752-2021</t>
        </is>
      </c>
      <c r="B127" s="1" t="n">
        <v>44340</v>
      </c>
      <c r="C127" s="1" t="n">
        <v>45960</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65887-2021</t>
        </is>
      </c>
      <c r="B128" s="1" t="n">
        <v>44517</v>
      </c>
      <c r="C128" s="1" t="n">
        <v>45960</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4042-2022</t>
        </is>
      </c>
      <c r="B129" s="1" t="n">
        <v>44588</v>
      </c>
      <c r="C129" s="1" t="n">
        <v>45960</v>
      </c>
      <c r="D129" t="inlineStr">
        <is>
          <t>KALMAR LÄN</t>
        </is>
      </c>
      <c r="E129" t="inlineStr">
        <is>
          <t>VIMMERBY</t>
        </is>
      </c>
      <c r="G129" t="n">
        <v>4.7</v>
      </c>
      <c r="H129" t="n">
        <v>0</v>
      </c>
      <c r="I129" t="n">
        <v>0</v>
      </c>
      <c r="J129" t="n">
        <v>0</v>
      </c>
      <c r="K129" t="n">
        <v>0</v>
      </c>
      <c r="L129" t="n">
        <v>0</v>
      </c>
      <c r="M129" t="n">
        <v>0</v>
      </c>
      <c r="N129" t="n">
        <v>0</v>
      </c>
      <c r="O129" t="n">
        <v>0</v>
      </c>
      <c r="P129" t="n">
        <v>0</v>
      </c>
      <c r="Q129" t="n">
        <v>0</v>
      </c>
      <c r="R129" s="2" t="inlineStr"/>
    </row>
    <row r="130" ht="15" customHeight="1">
      <c r="A130" t="inlineStr">
        <is>
          <t>A 31533-2022</t>
        </is>
      </c>
      <c r="B130" s="1" t="n">
        <v>44774</v>
      </c>
      <c r="C130" s="1" t="n">
        <v>45960</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39959-2022</t>
        </is>
      </c>
      <c r="B131" s="1" t="n">
        <v>44819</v>
      </c>
      <c r="C131" s="1" t="n">
        <v>45960</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33690-2022</t>
        </is>
      </c>
      <c r="B132" s="1" t="n">
        <v>44789</v>
      </c>
      <c r="C132" s="1" t="n">
        <v>45960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25859-2022</t>
        </is>
      </c>
      <c r="B133" s="1" t="n">
        <v>44733</v>
      </c>
      <c r="C133" s="1" t="n">
        <v>45960</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25868-2022</t>
        </is>
      </c>
      <c r="B134" s="1" t="n">
        <v>44733</v>
      </c>
      <c r="C134" s="1" t="n">
        <v>45960</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60810-2020</t>
        </is>
      </c>
      <c r="B135" s="1" t="n">
        <v>44154</v>
      </c>
      <c r="C135" s="1" t="n">
        <v>45960</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40077-2021</t>
        </is>
      </c>
      <c r="B136" s="1" t="n">
        <v>44418</v>
      </c>
      <c r="C136" s="1" t="n">
        <v>45960</v>
      </c>
      <c r="D136" t="inlineStr">
        <is>
          <t>KALMAR LÄN</t>
        </is>
      </c>
      <c r="E136" t="inlineStr">
        <is>
          <t>VIMMERBY</t>
        </is>
      </c>
      <c r="G136" t="n">
        <v>2.9</v>
      </c>
      <c r="H136" t="n">
        <v>0</v>
      </c>
      <c r="I136" t="n">
        <v>0</v>
      </c>
      <c r="J136" t="n">
        <v>0</v>
      </c>
      <c r="K136" t="n">
        <v>0</v>
      </c>
      <c r="L136" t="n">
        <v>0</v>
      </c>
      <c r="M136" t="n">
        <v>0</v>
      </c>
      <c r="N136" t="n">
        <v>0</v>
      </c>
      <c r="O136" t="n">
        <v>0</v>
      </c>
      <c r="P136" t="n">
        <v>0</v>
      </c>
      <c r="Q136" t="n">
        <v>0</v>
      </c>
      <c r="R136" s="2" t="inlineStr"/>
    </row>
    <row r="137" ht="15" customHeight="1">
      <c r="A137" t="inlineStr">
        <is>
          <t>A 47769-2022</t>
        </is>
      </c>
      <c r="B137" s="1" t="n">
        <v>44854</v>
      </c>
      <c r="C137" s="1" t="n">
        <v>45960</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35198-2021</t>
        </is>
      </c>
      <c r="B138" s="1" t="n">
        <v>44377</v>
      </c>
      <c r="C138" s="1" t="n">
        <v>45960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12661-2021</t>
        </is>
      </c>
      <c r="B139" s="1" t="n">
        <v>44270</v>
      </c>
      <c r="C139" s="1" t="n">
        <v>45960</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24999-2021</t>
        </is>
      </c>
      <c r="B140" s="1" t="n">
        <v>44341</v>
      </c>
      <c r="C140" s="1" t="n">
        <v>45960</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7917-2022</t>
        </is>
      </c>
      <c r="B141" s="1" t="n">
        <v>44608</v>
      </c>
      <c r="C141" s="1" t="n">
        <v>45960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47208-2021</t>
        </is>
      </c>
      <c r="B142" s="1" t="n">
        <v>44447.34237268518</v>
      </c>
      <c r="C142" s="1" t="n">
        <v>45960</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34036-2021</t>
        </is>
      </c>
      <c r="B143" s="1" t="n">
        <v>44379</v>
      </c>
      <c r="C143" s="1" t="n">
        <v>45960</v>
      </c>
      <c r="D143" t="inlineStr">
        <is>
          <t>KALMAR LÄN</t>
        </is>
      </c>
      <c r="E143" t="inlineStr">
        <is>
          <t>VIMMERBY</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16705-2021</t>
        </is>
      </c>
      <c r="B144" s="1" t="n">
        <v>44294</v>
      </c>
      <c r="C144" s="1" t="n">
        <v>45960</v>
      </c>
      <c r="D144" t="inlineStr">
        <is>
          <t>KALMAR LÄN</t>
        </is>
      </c>
      <c r="E144" t="inlineStr">
        <is>
          <t>VIMMERBY</t>
        </is>
      </c>
      <c r="G144" t="n">
        <v>2.6</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45960</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23825-2022</t>
        </is>
      </c>
      <c r="B146" s="1" t="n">
        <v>44722.48768518519</v>
      </c>
      <c r="C146" s="1" t="n">
        <v>45960</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48377-2021</t>
        </is>
      </c>
      <c r="B147" s="1" t="n">
        <v>44451.8375</v>
      </c>
      <c r="C147" s="1" t="n">
        <v>45960</v>
      </c>
      <c r="D147" t="inlineStr">
        <is>
          <t>KALMAR LÄN</t>
        </is>
      </c>
      <c r="E147" t="inlineStr">
        <is>
          <t>VIMMERBY</t>
        </is>
      </c>
      <c r="G147" t="n">
        <v>0.4</v>
      </c>
      <c r="H147" t="n">
        <v>0</v>
      </c>
      <c r="I147" t="n">
        <v>0</v>
      </c>
      <c r="J147" t="n">
        <v>0</v>
      </c>
      <c r="K147" t="n">
        <v>0</v>
      </c>
      <c r="L147" t="n">
        <v>0</v>
      </c>
      <c r="M147" t="n">
        <v>0</v>
      </c>
      <c r="N147" t="n">
        <v>0</v>
      </c>
      <c r="O147" t="n">
        <v>0</v>
      </c>
      <c r="P147" t="n">
        <v>0</v>
      </c>
      <c r="Q147" t="n">
        <v>0</v>
      </c>
      <c r="R147" s="2" t="inlineStr"/>
    </row>
    <row r="148" ht="15" customHeight="1">
      <c r="A148" t="inlineStr">
        <is>
          <t>A 40472-2022</t>
        </is>
      </c>
      <c r="B148" s="1" t="n">
        <v>44823</v>
      </c>
      <c r="C148" s="1" t="n">
        <v>45960</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35316-2021</t>
        </is>
      </c>
      <c r="B149" s="1" t="n">
        <v>44384</v>
      </c>
      <c r="C149" s="1" t="n">
        <v>45960</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33831-2022</t>
        </is>
      </c>
      <c r="B150" s="1" t="n">
        <v>44790.48503472222</v>
      </c>
      <c r="C150" s="1" t="n">
        <v>45960</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47708-2022</t>
        </is>
      </c>
      <c r="B151" s="1" t="n">
        <v>44854.59157407407</v>
      </c>
      <c r="C151" s="1" t="n">
        <v>45960</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45960</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57948-2020</t>
        </is>
      </c>
      <c r="B153" s="1" t="n">
        <v>44142</v>
      </c>
      <c r="C153" s="1" t="n">
        <v>45960</v>
      </c>
      <c r="D153" t="inlineStr">
        <is>
          <t>KALMAR LÄN</t>
        </is>
      </c>
      <c r="E153" t="inlineStr">
        <is>
          <t>VIMMERBY</t>
        </is>
      </c>
      <c r="G153" t="n">
        <v>7.1</v>
      </c>
      <c r="H153" t="n">
        <v>0</v>
      </c>
      <c r="I153" t="n">
        <v>0</v>
      </c>
      <c r="J153" t="n">
        <v>0</v>
      </c>
      <c r="K153" t="n">
        <v>0</v>
      </c>
      <c r="L153" t="n">
        <v>0</v>
      </c>
      <c r="M153" t="n">
        <v>0</v>
      </c>
      <c r="N153" t="n">
        <v>0</v>
      </c>
      <c r="O153" t="n">
        <v>0</v>
      </c>
      <c r="P153" t="n">
        <v>0</v>
      </c>
      <c r="Q153" t="n">
        <v>0</v>
      </c>
      <c r="R153" s="2" t="inlineStr"/>
    </row>
    <row r="154" ht="15" customHeight="1">
      <c r="A154" t="inlineStr">
        <is>
          <t>A 32603-2021</t>
        </is>
      </c>
      <c r="B154" s="1" t="n">
        <v>44375.38789351852</v>
      </c>
      <c r="C154" s="1" t="n">
        <v>45960</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34040-2021</t>
        </is>
      </c>
      <c r="B155" s="1" t="n">
        <v>44379</v>
      </c>
      <c r="C155" s="1" t="n">
        <v>45960</v>
      </c>
      <c r="D155" t="inlineStr">
        <is>
          <t>KALMAR LÄN</t>
        </is>
      </c>
      <c r="E155" t="inlineStr">
        <is>
          <t>VIMMERBY</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18276-2021</t>
        </is>
      </c>
      <c r="B156" s="1" t="n">
        <v>44305.40046296296</v>
      </c>
      <c r="C156" s="1" t="n">
        <v>45960</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45960</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36117-2021</t>
        </is>
      </c>
      <c r="B158" s="1" t="n">
        <v>44386</v>
      </c>
      <c r="C158" s="1" t="n">
        <v>45960</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42521-2021</t>
        </is>
      </c>
      <c r="B159" s="1" t="n">
        <v>44427</v>
      </c>
      <c r="C159" s="1" t="n">
        <v>45960</v>
      </c>
      <c r="D159" t="inlineStr">
        <is>
          <t>KALMAR LÄN</t>
        </is>
      </c>
      <c r="E159" t="inlineStr">
        <is>
          <t>VIMMERBY</t>
        </is>
      </c>
      <c r="G159" t="n">
        <v>5.4</v>
      </c>
      <c r="H159" t="n">
        <v>0</v>
      </c>
      <c r="I159" t="n">
        <v>0</v>
      </c>
      <c r="J159" t="n">
        <v>0</v>
      </c>
      <c r="K159" t="n">
        <v>0</v>
      </c>
      <c r="L159" t="n">
        <v>0</v>
      </c>
      <c r="M159" t="n">
        <v>0</v>
      </c>
      <c r="N159" t="n">
        <v>0</v>
      </c>
      <c r="O159" t="n">
        <v>0</v>
      </c>
      <c r="P159" t="n">
        <v>0</v>
      </c>
      <c r="Q159" t="n">
        <v>0</v>
      </c>
      <c r="R159" s="2" t="inlineStr"/>
    </row>
    <row r="160" ht="15" customHeight="1">
      <c r="A160" t="inlineStr">
        <is>
          <t>A 15200-2021</t>
        </is>
      </c>
      <c r="B160" s="1" t="n">
        <v>44284.44574074074</v>
      </c>
      <c r="C160" s="1" t="n">
        <v>45960</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618-2021</t>
        </is>
      </c>
      <c r="B161" s="1" t="n">
        <v>44203</v>
      </c>
      <c r="C161" s="1" t="n">
        <v>45960</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45960</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45960</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45960</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45960</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45960</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46964-2022</t>
        </is>
      </c>
      <c r="B167" s="1" t="n">
        <v>44851.95016203704</v>
      </c>
      <c r="C167" s="1" t="n">
        <v>45960</v>
      </c>
      <c r="D167" t="inlineStr">
        <is>
          <t>KALMAR LÄN</t>
        </is>
      </c>
      <c r="E167" t="inlineStr">
        <is>
          <t>VIMMERBY</t>
        </is>
      </c>
      <c r="G167" t="n">
        <v>0.2</v>
      </c>
      <c r="H167" t="n">
        <v>0</v>
      </c>
      <c r="I167" t="n">
        <v>0</v>
      </c>
      <c r="J167" t="n">
        <v>0</v>
      </c>
      <c r="K167" t="n">
        <v>0</v>
      </c>
      <c r="L167" t="n">
        <v>0</v>
      </c>
      <c r="M167" t="n">
        <v>0</v>
      </c>
      <c r="N167" t="n">
        <v>0</v>
      </c>
      <c r="O167" t="n">
        <v>0</v>
      </c>
      <c r="P167" t="n">
        <v>0</v>
      </c>
      <c r="Q167" t="n">
        <v>0</v>
      </c>
      <c r="R167" s="2" t="inlineStr"/>
    </row>
    <row r="168" ht="15" customHeight="1">
      <c r="A168" t="inlineStr">
        <is>
          <t>A 13180-2022</t>
        </is>
      </c>
      <c r="B168" s="1" t="n">
        <v>44644</v>
      </c>
      <c r="C168" s="1" t="n">
        <v>45960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3330-2021</t>
        </is>
      </c>
      <c r="B169" s="1" t="n">
        <v>44217.79856481482</v>
      </c>
      <c r="C169" s="1" t="n">
        <v>45960</v>
      </c>
      <c r="D169" t="inlineStr">
        <is>
          <t>KALMAR LÄN</t>
        </is>
      </c>
      <c r="E169" t="inlineStr">
        <is>
          <t>VIMMERBY</t>
        </is>
      </c>
      <c r="G169" t="n">
        <v>11.1</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45960</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45960</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45960</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45960</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54065-2021</t>
        </is>
      </c>
      <c r="B174" s="1" t="n">
        <v>44470.44232638889</v>
      </c>
      <c r="C174" s="1" t="n">
        <v>45960</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31824-2022</t>
        </is>
      </c>
      <c r="B175" s="1" t="n">
        <v>44776</v>
      </c>
      <c r="C175" s="1" t="n">
        <v>45960</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12630-2023</t>
        </is>
      </c>
      <c r="B176" s="1" t="n">
        <v>45000.47998842593</v>
      </c>
      <c r="C176" s="1" t="n">
        <v>45960</v>
      </c>
      <c r="D176" t="inlineStr">
        <is>
          <t>KALMAR LÄN</t>
        </is>
      </c>
      <c r="E176" t="inlineStr">
        <is>
          <t>VIMMERBY</t>
        </is>
      </c>
      <c r="G176" t="n">
        <v>2.1</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45960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10086-2022</t>
        </is>
      </c>
      <c r="B178" s="1" t="n">
        <v>44621</v>
      </c>
      <c r="C178" s="1" t="n">
        <v>45960</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21109-2024</t>
        </is>
      </c>
      <c r="B179" s="1" t="n">
        <v>45440.28329861111</v>
      </c>
      <c r="C179" s="1" t="n">
        <v>45960</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7804-2022</t>
        </is>
      </c>
      <c r="B180" s="1" t="n">
        <v>44608.50458333334</v>
      </c>
      <c r="C180" s="1" t="n">
        <v>45960</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39042-2022</t>
        </is>
      </c>
      <c r="B181" s="1" t="n">
        <v>44817</v>
      </c>
      <c r="C181" s="1" t="n">
        <v>45960</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45960</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30634-2024</t>
        </is>
      </c>
      <c r="B183" s="1" t="n">
        <v>45495</v>
      </c>
      <c r="C183" s="1" t="n">
        <v>45960</v>
      </c>
      <c r="D183" t="inlineStr">
        <is>
          <t>KALMAR LÄN</t>
        </is>
      </c>
      <c r="E183" t="inlineStr">
        <is>
          <t>VIMMERBY</t>
        </is>
      </c>
      <c r="G183" t="n">
        <v>1.2</v>
      </c>
      <c r="H183" t="n">
        <v>0</v>
      </c>
      <c r="I183" t="n">
        <v>0</v>
      </c>
      <c r="J183" t="n">
        <v>0</v>
      </c>
      <c r="K183" t="n">
        <v>0</v>
      </c>
      <c r="L183" t="n">
        <v>0</v>
      </c>
      <c r="M183" t="n">
        <v>0</v>
      </c>
      <c r="N183" t="n">
        <v>0</v>
      </c>
      <c r="O183" t="n">
        <v>0</v>
      </c>
      <c r="P183" t="n">
        <v>0</v>
      </c>
      <c r="Q183" t="n">
        <v>0</v>
      </c>
      <c r="R183" s="2" t="inlineStr"/>
    </row>
    <row r="184" ht="15" customHeight="1">
      <c r="A184" t="inlineStr">
        <is>
          <t>A 40260-2024</t>
        </is>
      </c>
      <c r="B184" s="1" t="n">
        <v>45554.63225694445</v>
      </c>
      <c r="C184" s="1" t="n">
        <v>45960</v>
      </c>
      <c r="D184" t="inlineStr">
        <is>
          <t>KALMAR LÄN</t>
        </is>
      </c>
      <c r="E184" t="inlineStr">
        <is>
          <t>VIMMERBY</t>
        </is>
      </c>
      <c r="G184" t="n">
        <v>1.2</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45960</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53145-2022</t>
        </is>
      </c>
      <c r="B186" s="1" t="n">
        <v>44876.48346064815</v>
      </c>
      <c r="C186" s="1" t="n">
        <v>45960</v>
      </c>
      <c r="D186" t="inlineStr">
        <is>
          <t>KALMAR LÄN</t>
        </is>
      </c>
      <c r="E186" t="inlineStr">
        <is>
          <t>VIMMERBY</t>
        </is>
      </c>
      <c r="G186" t="n">
        <v>0.4</v>
      </c>
      <c r="H186" t="n">
        <v>0</v>
      </c>
      <c r="I186" t="n">
        <v>0</v>
      </c>
      <c r="J186" t="n">
        <v>0</v>
      </c>
      <c r="K186" t="n">
        <v>0</v>
      </c>
      <c r="L186" t="n">
        <v>0</v>
      </c>
      <c r="M186" t="n">
        <v>0</v>
      </c>
      <c r="N186" t="n">
        <v>0</v>
      </c>
      <c r="O186" t="n">
        <v>0</v>
      </c>
      <c r="P186" t="n">
        <v>0</v>
      </c>
      <c r="Q186" t="n">
        <v>0</v>
      </c>
      <c r="R186" s="2" t="inlineStr"/>
    </row>
    <row r="187" ht="15" customHeight="1">
      <c r="A187" t="inlineStr">
        <is>
          <t>A 25738-2022</t>
        </is>
      </c>
      <c r="B187" s="1" t="n">
        <v>44733.43092592592</v>
      </c>
      <c r="C187" s="1" t="n">
        <v>45960</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59943-2023</t>
        </is>
      </c>
      <c r="B188" s="1" t="n">
        <v>45257.67958333333</v>
      </c>
      <c r="C188" s="1" t="n">
        <v>45960</v>
      </c>
      <c r="D188" t="inlineStr">
        <is>
          <t>KALMAR LÄN</t>
        </is>
      </c>
      <c r="E188" t="inlineStr">
        <is>
          <t>VIMMERBY</t>
        </is>
      </c>
      <c r="G188" t="n">
        <v>6.4</v>
      </c>
      <c r="H188" t="n">
        <v>0</v>
      </c>
      <c r="I188" t="n">
        <v>0</v>
      </c>
      <c r="J188" t="n">
        <v>0</v>
      </c>
      <c r="K188" t="n">
        <v>0</v>
      </c>
      <c r="L188" t="n">
        <v>0</v>
      </c>
      <c r="M188" t="n">
        <v>0</v>
      </c>
      <c r="N188" t="n">
        <v>0</v>
      </c>
      <c r="O188" t="n">
        <v>0</v>
      </c>
      <c r="P188" t="n">
        <v>0</v>
      </c>
      <c r="Q188" t="n">
        <v>0</v>
      </c>
      <c r="R188" s="2" t="inlineStr"/>
    </row>
    <row r="189" ht="15" customHeight="1">
      <c r="A189" t="inlineStr">
        <is>
          <t>A 4076-2022</t>
        </is>
      </c>
      <c r="B189" s="1" t="n">
        <v>44588.37998842593</v>
      </c>
      <c r="C189" s="1" t="n">
        <v>45960</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4122-2022</t>
        </is>
      </c>
      <c r="B190" s="1" t="n">
        <v>44588</v>
      </c>
      <c r="C190" s="1" t="n">
        <v>45960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58374-2024</t>
        </is>
      </c>
      <c r="B191" s="1" t="n">
        <v>45632.72635416667</v>
      </c>
      <c r="C191" s="1" t="n">
        <v>45960</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8194-2022</t>
        </is>
      </c>
      <c r="B192" s="1" t="n">
        <v>44609</v>
      </c>
      <c r="C192" s="1" t="n">
        <v>45960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15191-2021</t>
        </is>
      </c>
      <c r="B193" s="1" t="n">
        <v>44284.42348379629</v>
      </c>
      <c r="C193" s="1" t="n">
        <v>45960</v>
      </c>
      <c r="D193" t="inlineStr">
        <is>
          <t>KALMAR LÄN</t>
        </is>
      </c>
      <c r="E193" t="inlineStr">
        <is>
          <t>VIMMERBY</t>
        </is>
      </c>
      <c r="G193" t="n">
        <v>1.3</v>
      </c>
      <c r="H193" t="n">
        <v>0</v>
      </c>
      <c r="I193" t="n">
        <v>0</v>
      </c>
      <c r="J193" t="n">
        <v>0</v>
      </c>
      <c r="K193" t="n">
        <v>0</v>
      </c>
      <c r="L193" t="n">
        <v>0</v>
      </c>
      <c r="M193" t="n">
        <v>0</v>
      </c>
      <c r="N193" t="n">
        <v>0</v>
      </c>
      <c r="O193" t="n">
        <v>0</v>
      </c>
      <c r="P193" t="n">
        <v>0</v>
      </c>
      <c r="Q193" t="n">
        <v>0</v>
      </c>
      <c r="R193" s="2" t="inlineStr"/>
    </row>
    <row r="194" ht="15" customHeight="1">
      <c r="A194" t="inlineStr">
        <is>
          <t>A 40971-2021</t>
        </is>
      </c>
      <c r="B194" s="1" t="n">
        <v>44421</v>
      </c>
      <c r="C194" s="1" t="n">
        <v>45960</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68744-2020</t>
        </is>
      </c>
      <c r="B195" s="1" t="n">
        <v>44186</v>
      </c>
      <c r="C195" s="1" t="n">
        <v>45960</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13457-2021</t>
        </is>
      </c>
      <c r="B196" s="1" t="n">
        <v>44273</v>
      </c>
      <c r="C196" s="1" t="n">
        <v>45960</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14278-2021</t>
        </is>
      </c>
      <c r="B197" s="1" t="n">
        <v>44278.63479166666</v>
      </c>
      <c r="C197" s="1" t="n">
        <v>45960</v>
      </c>
      <c r="D197" t="inlineStr">
        <is>
          <t>KALMAR LÄN</t>
        </is>
      </c>
      <c r="E197" t="inlineStr">
        <is>
          <t>VIMMERBY</t>
        </is>
      </c>
      <c r="F197" t="inlineStr">
        <is>
          <t>Övriga statliga verk och myndigheter</t>
        </is>
      </c>
      <c r="G197" t="n">
        <v>0.8</v>
      </c>
      <c r="H197" t="n">
        <v>0</v>
      </c>
      <c r="I197" t="n">
        <v>0</v>
      </c>
      <c r="J197" t="n">
        <v>0</v>
      </c>
      <c r="K197" t="n">
        <v>0</v>
      </c>
      <c r="L197" t="n">
        <v>0</v>
      </c>
      <c r="M197" t="n">
        <v>0</v>
      </c>
      <c r="N197" t="n">
        <v>0</v>
      </c>
      <c r="O197" t="n">
        <v>0</v>
      </c>
      <c r="P197" t="n">
        <v>0</v>
      </c>
      <c r="Q197" t="n">
        <v>0</v>
      </c>
      <c r="R197" s="2" t="inlineStr"/>
    </row>
    <row r="198" ht="15" customHeight="1">
      <c r="A198" t="inlineStr">
        <is>
          <t>A 12107-2022</t>
        </is>
      </c>
      <c r="B198" s="1" t="n">
        <v>44636</v>
      </c>
      <c r="C198" s="1" t="n">
        <v>45960</v>
      </c>
      <c r="D198" t="inlineStr">
        <is>
          <t>KALMAR LÄN</t>
        </is>
      </c>
      <c r="E198" t="inlineStr">
        <is>
          <t>VIMMERBY</t>
        </is>
      </c>
      <c r="G198" t="n">
        <v>1.8</v>
      </c>
      <c r="H198" t="n">
        <v>0</v>
      </c>
      <c r="I198" t="n">
        <v>0</v>
      </c>
      <c r="J198" t="n">
        <v>0</v>
      </c>
      <c r="K198" t="n">
        <v>0</v>
      </c>
      <c r="L198" t="n">
        <v>0</v>
      </c>
      <c r="M198" t="n">
        <v>0</v>
      </c>
      <c r="N198" t="n">
        <v>0</v>
      </c>
      <c r="O198" t="n">
        <v>0</v>
      </c>
      <c r="P198" t="n">
        <v>0</v>
      </c>
      <c r="Q198" t="n">
        <v>0</v>
      </c>
      <c r="R198" s="2" t="inlineStr"/>
    </row>
    <row r="199" ht="15" customHeight="1">
      <c r="A199" t="inlineStr">
        <is>
          <t>A 5527-2022</t>
        </is>
      </c>
      <c r="B199" s="1" t="n">
        <v>44595.583125</v>
      </c>
      <c r="C199" s="1" t="n">
        <v>45960</v>
      </c>
      <c r="D199" t="inlineStr">
        <is>
          <t>KALMAR LÄN</t>
        </is>
      </c>
      <c r="E199" t="inlineStr">
        <is>
          <t>VIMMERBY</t>
        </is>
      </c>
      <c r="G199" t="n">
        <v>3.6</v>
      </c>
      <c r="H199" t="n">
        <v>0</v>
      </c>
      <c r="I199" t="n">
        <v>0</v>
      </c>
      <c r="J199" t="n">
        <v>0</v>
      </c>
      <c r="K199" t="n">
        <v>0</v>
      </c>
      <c r="L199" t="n">
        <v>0</v>
      </c>
      <c r="M199" t="n">
        <v>0</v>
      </c>
      <c r="N199" t="n">
        <v>0</v>
      </c>
      <c r="O199" t="n">
        <v>0</v>
      </c>
      <c r="P199" t="n">
        <v>0</v>
      </c>
      <c r="Q199" t="n">
        <v>0</v>
      </c>
      <c r="R199" s="2" t="inlineStr"/>
    </row>
    <row r="200" ht="15" customHeight="1">
      <c r="A200" t="inlineStr">
        <is>
          <t>A 12325-2023</t>
        </is>
      </c>
      <c r="B200" s="1" t="n">
        <v>44999.35858796296</v>
      </c>
      <c r="C200" s="1" t="n">
        <v>45960</v>
      </c>
      <c r="D200" t="inlineStr">
        <is>
          <t>KALMAR LÄN</t>
        </is>
      </c>
      <c r="E200" t="inlineStr">
        <is>
          <t>VIMMERBY</t>
        </is>
      </c>
      <c r="G200" t="n">
        <v>3.4</v>
      </c>
      <c r="H200" t="n">
        <v>0</v>
      </c>
      <c r="I200" t="n">
        <v>0</v>
      </c>
      <c r="J200" t="n">
        <v>0</v>
      </c>
      <c r="K200" t="n">
        <v>0</v>
      </c>
      <c r="L200" t="n">
        <v>0</v>
      </c>
      <c r="M200" t="n">
        <v>0</v>
      </c>
      <c r="N200" t="n">
        <v>0</v>
      </c>
      <c r="O200" t="n">
        <v>0</v>
      </c>
      <c r="P200" t="n">
        <v>0</v>
      </c>
      <c r="Q200" t="n">
        <v>0</v>
      </c>
      <c r="R200" s="2" t="inlineStr"/>
    </row>
    <row r="201" ht="15" customHeight="1">
      <c r="A201" t="inlineStr">
        <is>
          <t>A 30402-2023</t>
        </is>
      </c>
      <c r="B201" s="1" t="n">
        <v>45111.48395833333</v>
      </c>
      <c r="C201" s="1" t="n">
        <v>45960</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1016-2024</t>
        </is>
      </c>
      <c r="B202" s="1" t="n">
        <v>45301</v>
      </c>
      <c r="C202" s="1" t="n">
        <v>45960</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72701-2021</t>
        </is>
      </c>
      <c r="B203" s="1" t="n">
        <v>44546</v>
      </c>
      <c r="C203" s="1" t="n">
        <v>45960</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19111-2025</t>
        </is>
      </c>
      <c r="B204" s="1" t="n">
        <v>45768.65611111111</v>
      </c>
      <c r="C204" s="1" t="n">
        <v>45960</v>
      </c>
      <c r="D204" t="inlineStr">
        <is>
          <t>KALMAR LÄN</t>
        </is>
      </c>
      <c r="E204" t="inlineStr">
        <is>
          <t>VIMMERBY</t>
        </is>
      </c>
      <c r="G204" t="n">
        <v>6.2</v>
      </c>
      <c r="H204" t="n">
        <v>0</v>
      </c>
      <c r="I204" t="n">
        <v>0</v>
      </c>
      <c r="J204" t="n">
        <v>0</v>
      </c>
      <c r="K204" t="n">
        <v>0</v>
      </c>
      <c r="L204" t="n">
        <v>0</v>
      </c>
      <c r="M204" t="n">
        <v>0</v>
      </c>
      <c r="N204" t="n">
        <v>0</v>
      </c>
      <c r="O204" t="n">
        <v>0</v>
      </c>
      <c r="P204" t="n">
        <v>0</v>
      </c>
      <c r="Q204" t="n">
        <v>0</v>
      </c>
      <c r="R204" s="2" t="inlineStr"/>
    </row>
    <row r="205" ht="15" customHeight="1">
      <c r="A205" t="inlineStr">
        <is>
          <t>A 33374-2021</t>
        </is>
      </c>
      <c r="B205" s="1" t="n">
        <v>44377</v>
      </c>
      <c r="C205" s="1" t="n">
        <v>45960</v>
      </c>
      <c r="D205" t="inlineStr">
        <is>
          <t>KALMAR LÄN</t>
        </is>
      </c>
      <c r="E205" t="inlineStr">
        <is>
          <t>VIMMERBY</t>
        </is>
      </c>
      <c r="G205" t="n">
        <v>3.3</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45960</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10807-2024</t>
        </is>
      </c>
      <c r="B207" s="1" t="n">
        <v>45369.62780092593</v>
      </c>
      <c r="C207" s="1" t="n">
        <v>45960</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11609-2023</t>
        </is>
      </c>
      <c r="B208" s="1" t="n">
        <v>44994.40635416667</v>
      </c>
      <c r="C208" s="1" t="n">
        <v>45960</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39225-2022</t>
        </is>
      </c>
      <c r="B209" s="1" t="n">
        <v>44817.57988425926</v>
      </c>
      <c r="C209" s="1" t="n">
        <v>45960</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65961-2020</t>
        </is>
      </c>
      <c r="B210" s="1" t="n">
        <v>44175.39748842592</v>
      </c>
      <c r="C210" s="1" t="n">
        <v>45960</v>
      </c>
      <c r="D210" t="inlineStr">
        <is>
          <t>KALMAR LÄN</t>
        </is>
      </c>
      <c r="E210" t="inlineStr">
        <is>
          <t>VIMMERBY</t>
        </is>
      </c>
      <c r="G210" t="n">
        <v>2.6</v>
      </c>
      <c r="H210" t="n">
        <v>0</v>
      </c>
      <c r="I210" t="n">
        <v>0</v>
      </c>
      <c r="J210" t="n">
        <v>0</v>
      </c>
      <c r="K210" t="n">
        <v>0</v>
      </c>
      <c r="L210" t="n">
        <v>0</v>
      </c>
      <c r="M210" t="n">
        <v>0</v>
      </c>
      <c r="N210" t="n">
        <v>0</v>
      </c>
      <c r="O210" t="n">
        <v>0</v>
      </c>
      <c r="P210" t="n">
        <v>0</v>
      </c>
      <c r="Q210" t="n">
        <v>0</v>
      </c>
      <c r="R210" s="2" t="inlineStr"/>
    </row>
    <row r="211" ht="15" customHeight="1">
      <c r="A211" t="inlineStr">
        <is>
          <t>A 33359-2021</t>
        </is>
      </c>
      <c r="B211" s="1" t="n">
        <v>44377.49684027778</v>
      </c>
      <c r="C211" s="1" t="n">
        <v>45960</v>
      </c>
      <c r="D211" t="inlineStr">
        <is>
          <t>KALMAR LÄN</t>
        </is>
      </c>
      <c r="E211" t="inlineStr">
        <is>
          <t>VIMMERBY</t>
        </is>
      </c>
      <c r="F211" t="inlineStr">
        <is>
          <t>Kommuner</t>
        </is>
      </c>
      <c r="G211" t="n">
        <v>8</v>
      </c>
      <c r="H211" t="n">
        <v>0</v>
      </c>
      <c r="I211" t="n">
        <v>0</v>
      </c>
      <c r="J211" t="n">
        <v>0</v>
      </c>
      <c r="K211" t="n">
        <v>0</v>
      </c>
      <c r="L211" t="n">
        <v>0</v>
      </c>
      <c r="M211" t="n">
        <v>0</v>
      </c>
      <c r="N211" t="n">
        <v>0</v>
      </c>
      <c r="O211" t="n">
        <v>0</v>
      </c>
      <c r="P211" t="n">
        <v>0</v>
      </c>
      <c r="Q211" t="n">
        <v>0</v>
      </c>
      <c r="R211" s="2" t="inlineStr"/>
    </row>
    <row r="212" ht="15" customHeight="1">
      <c r="A212" t="inlineStr">
        <is>
          <t>A 16983-2023</t>
        </is>
      </c>
      <c r="B212" s="1" t="n">
        <v>45033.76043981482</v>
      </c>
      <c r="C212" s="1" t="n">
        <v>45960</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46144-2023</t>
        </is>
      </c>
      <c r="B213" s="1" t="n">
        <v>45196.57247685185</v>
      </c>
      <c r="C213" s="1" t="n">
        <v>45960</v>
      </c>
      <c r="D213" t="inlineStr">
        <is>
          <t>KALMAR LÄN</t>
        </is>
      </c>
      <c r="E213" t="inlineStr">
        <is>
          <t>VIMMERBY</t>
        </is>
      </c>
      <c r="G213" t="n">
        <v>6.5</v>
      </c>
      <c r="H213" t="n">
        <v>0</v>
      </c>
      <c r="I213" t="n">
        <v>0</v>
      </c>
      <c r="J213" t="n">
        <v>0</v>
      </c>
      <c r="K213" t="n">
        <v>0</v>
      </c>
      <c r="L213" t="n">
        <v>0</v>
      </c>
      <c r="M213" t="n">
        <v>0</v>
      </c>
      <c r="N213" t="n">
        <v>0</v>
      </c>
      <c r="O213" t="n">
        <v>0</v>
      </c>
      <c r="P213" t="n">
        <v>0</v>
      </c>
      <c r="Q213" t="n">
        <v>0</v>
      </c>
      <c r="R213" s="2" t="inlineStr"/>
    </row>
    <row r="214" ht="15" customHeight="1">
      <c r="A214" t="inlineStr">
        <is>
          <t>A 34588-2024</t>
        </is>
      </c>
      <c r="B214" s="1" t="n">
        <v>45526.3865625</v>
      </c>
      <c r="C214" s="1" t="n">
        <v>45960</v>
      </c>
      <c r="D214" t="inlineStr">
        <is>
          <t>KALMAR LÄN</t>
        </is>
      </c>
      <c r="E214" t="inlineStr">
        <is>
          <t>VIMMERBY</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17084-2025</t>
        </is>
      </c>
      <c r="B215" s="1" t="n">
        <v>45755.64450231481</v>
      </c>
      <c r="C215" s="1" t="n">
        <v>45960</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5074-2023</t>
        </is>
      </c>
      <c r="B216" s="1" t="n">
        <v>44958.61047453704</v>
      </c>
      <c r="C216" s="1" t="n">
        <v>45960</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16602-2021</t>
        </is>
      </c>
      <c r="B217" s="1" t="n">
        <v>44294</v>
      </c>
      <c r="C217" s="1" t="n">
        <v>45960</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16607-2021</t>
        </is>
      </c>
      <c r="B218" s="1" t="n">
        <v>44294</v>
      </c>
      <c r="C218" s="1" t="n">
        <v>45960</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17029-2022</t>
        </is>
      </c>
      <c r="B219" s="1" t="n">
        <v>44676.85248842592</v>
      </c>
      <c r="C219" s="1" t="n">
        <v>45960</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33161-2024</t>
        </is>
      </c>
      <c r="B220" s="1" t="n">
        <v>45518.40657407408</v>
      </c>
      <c r="C220" s="1" t="n">
        <v>45960</v>
      </c>
      <c r="D220" t="inlineStr">
        <is>
          <t>KALMAR LÄN</t>
        </is>
      </c>
      <c r="E220" t="inlineStr">
        <is>
          <t>VIMMERBY</t>
        </is>
      </c>
      <c r="G220" t="n">
        <v>4.7</v>
      </c>
      <c r="H220" t="n">
        <v>0</v>
      </c>
      <c r="I220" t="n">
        <v>0</v>
      </c>
      <c r="J220" t="n">
        <v>0</v>
      </c>
      <c r="K220" t="n">
        <v>0</v>
      </c>
      <c r="L220" t="n">
        <v>0</v>
      </c>
      <c r="M220" t="n">
        <v>0</v>
      </c>
      <c r="N220" t="n">
        <v>0</v>
      </c>
      <c r="O220" t="n">
        <v>0</v>
      </c>
      <c r="P220" t="n">
        <v>0</v>
      </c>
      <c r="Q220" t="n">
        <v>0</v>
      </c>
      <c r="R220" s="2" t="inlineStr"/>
    </row>
    <row r="221" ht="15" customHeight="1">
      <c r="A221" t="inlineStr">
        <is>
          <t>A 51187-2023</t>
        </is>
      </c>
      <c r="B221" s="1" t="n">
        <v>45219.40528935185</v>
      </c>
      <c r="C221" s="1" t="n">
        <v>45960</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31382-2023</t>
        </is>
      </c>
      <c r="B222" s="1" t="n">
        <v>45114.55136574074</v>
      </c>
      <c r="C222" s="1" t="n">
        <v>45960</v>
      </c>
      <c r="D222" t="inlineStr">
        <is>
          <t>KALMAR LÄN</t>
        </is>
      </c>
      <c r="E222" t="inlineStr">
        <is>
          <t>VIMMERBY</t>
        </is>
      </c>
      <c r="G222" t="n">
        <v>3.7</v>
      </c>
      <c r="H222" t="n">
        <v>0</v>
      </c>
      <c r="I222" t="n">
        <v>0</v>
      </c>
      <c r="J222" t="n">
        <v>0</v>
      </c>
      <c r="K222" t="n">
        <v>0</v>
      </c>
      <c r="L222" t="n">
        <v>0</v>
      </c>
      <c r="M222" t="n">
        <v>0</v>
      </c>
      <c r="N222" t="n">
        <v>0</v>
      </c>
      <c r="O222" t="n">
        <v>0</v>
      </c>
      <c r="P222" t="n">
        <v>0</v>
      </c>
      <c r="Q222" t="n">
        <v>0</v>
      </c>
      <c r="R222" s="2" t="inlineStr"/>
    </row>
    <row r="223" ht="15" customHeight="1">
      <c r="A223" t="inlineStr">
        <is>
          <t>A 56213-2024</t>
        </is>
      </c>
      <c r="B223" s="1" t="n">
        <v>45624.60141203704</v>
      </c>
      <c r="C223" s="1" t="n">
        <v>45960</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14359-2025</t>
        </is>
      </c>
      <c r="B224" s="1" t="n">
        <v>45741.37270833334</v>
      </c>
      <c r="C224" s="1" t="n">
        <v>45960</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15715-2022</t>
        </is>
      </c>
      <c r="B225" s="1" t="n">
        <v>44663</v>
      </c>
      <c r="C225" s="1" t="n">
        <v>45960</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54409-2024</t>
        </is>
      </c>
      <c r="B226" s="1" t="n">
        <v>45617.47570601852</v>
      </c>
      <c r="C226" s="1" t="n">
        <v>45960</v>
      </c>
      <c r="D226" t="inlineStr">
        <is>
          <t>KALMAR LÄN</t>
        </is>
      </c>
      <c r="E226" t="inlineStr">
        <is>
          <t>VIMMERBY</t>
        </is>
      </c>
      <c r="G226" t="n">
        <v>4.3</v>
      </c>
      <c r="H226" t="n">
        <v>0</v>
      </c>
      <c r="I226" t="n">
        <v>0</v>
      </c>
      <c r="J226" t="n">
        <v>0</v>
      </c>
      <c r="K226" t="n">
        <v>0</v>
      </c>
      <c r="L226" t="n">
        <v>0</v>
      </c>
      <c r="M226" t="n">
        <v>0</v>
      </c>
      <c r="N226" t="n">
        <v>0</v>
      </c>
      <c r="O226" t="n">
        <v>0</v>
      </c>
      <c r="P226" t="n">
        <v>0</v>
      </c>
      <c r="Q226" t="n">
        <v>0</v>
      </c>
      <c r="R226" s="2" t="inlineStr"/>
    </row>
    <row r="227" ht="15" customHeight="1">
      <c r="A227" t="inlineStr">
        <is>
          <t>A 43093-2024</t>
        </is>
      </c>
      <c r="B227" s="1" t="n">
        <v>45567</v>
      </c>
      <c r="C227" s="1" t="n">
        <v>45960</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56022-2024</t>
        </is>
      </c>
      <c r="B228" s="1" t="n">
        <v>45623.95947916667</v>
      </c>
      <c r="C228" s="1" t="n">
        <v>45960</v>
      </c>
      <c r="D228" t="inlineStr">
        <is>
          <t>KALMAR LÄN</t>
        </is>
      </c>
      <c r="E228" t="inlineStr">
        <is>
          <t>VIMMERBY</t>
        </is>
      </c>
      <c r="G228" t="n">
        <v>0.3</v>
      </c>
      <c r="H228" t="n">
        <v>0</v>
      </c>
      <c r="I228" t="n">
        <v>0</v>
      </c>
      <c r="J228" t="n">
        <v>0</v>
      </c>
      <c r="K228" t="n">
        <v>0</v>
      </c>
      <c r="L228" t="n">
        <v>0</v>
      </c>
      <c r="M228" t="n">
        <v>0</v>
      </c>
      <c r="N228" t="n">
        <v>0</v>
      </c>
      <c r="O228" t="n">
        <v>0</v>
      </c>
      <c r="P228" t="n">
        <v>0</v>
      </c>
      <c r="Q228" t="n">
        <v>0</v>
      </c>
      <c r="R228" s="2" t="inlineStr"/>
    </row>
    <row r="229" ht="15" customHeight="1">
      <c r="A229" t="inlineStr">
        <is>
          <t>A 16825-2024</t>
        </is>
      </c>
      <c r="B229" s="1" t="n">
        <v>45411.47335648148</v>
      </c>
      <c r="C229" s="1" t="n">
        <v>45960</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18330-2023</t>
        </is>
      </c>
      <c r="B230" s="1" t="n">
        <v>45041</v>
      </c>
      <c r="C230" s="1" t="n">
        <v>45960</v>
      </c>
      <c r="D230" t="inlineStr">
        <is>
          <t>KALMAR LÄN</t>
        </is>
      </c>
      <c r="E230" t="inlineStr">
        <is>
          <t>VIMMERBY</t>
        </is>
      </c>
      <c r="G230" t="n">
        <v>1.7</v>
      </c>
      <c r="H230" t="n">
        <v>0</v>
      </c>
      <c r="I230" t="n">
        <v>0</v>
      </c>
      <c r="J230" t="n">
        <v>0</v>
      </c>
      <c r="K230" t="n">
        <v>0</v>
      </c>
      <c r="L230" t="n">
        <v>0</v>
      </c>
      <c r="M230" t="n">
        <v>0</v>
      </c>
      <c r="N230" t="n">
        <v>0</v>
      </c>
      <c r="O230" t="n">
        <v>0</v>
      </c>
      <c r="P230" t="n">
        <v>0</v>
      </c>
      <c r="Q230" t="n">
        <v>0</v>
      </c>
      <c r="R230" s="2" t="inlineStr"/>
    </row>
    <row r="231" ht="15" customHeight="1">
      <c r="A231" t="inlineStr">
        <is>
          <t>A 7643-2022</t>
        </is>
      </c>
      <c r="B231" s="1" t="n">
        <v>44607</v>
      </c>
      <c r="C231" s="1" t="n">
        <v>45960</v>
      </c>
      <c r="D231" t="inlineStr">
        <is>
          <t>KALMAR LÄN</t>
        </is>
      </c>
      <c r="E231" t="inlineStr">
        <is>
          <t>VIMMERBY</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7075-2021</t>
        </is>
      </c>
      <c r="B232" s="1" t="n">
        <v>44237</v>
      </c>
      <c r="C232" s="1" t="n">
        <v>45960</v>
      </c>
      <c r="D232" t="inlineStr">
        <is>
          <t>KALMAR LÄN</t>
        </is>
      </c>
      <c r="E232" t="inlineStr">
        <is>
          <t>VIMMERBY</t>
        </is>
      </c>
      <c r="G232" t="n">
        <v>3.6</v>
      </c>
      <c r="H232" t="n">
        <v>0</v>
      </c>
      <c r="I232" t="n">
        <v>0</v>
      </c>
      <c r="J232" t="n">
        <v>0</v>
      </c>
      <c r="K232" t="n">
        <v>0</v>
      </c>
      <c r="L232" t="n">
        <v>0</v>
      </c>
      <c r="M232" t="n">
        <v>0</v>
      </c>
      <c r="N232" t="n">
        <v>0</v>
      </c>
      <c r="O232" t="n">
        <v>0</v>
      </c>
      <c r="P232" t="n">
        <v>0</v>
      </c>
      <c r="Q232" t="n">
        <v>0</v>
      </c>
      <c r="R232" s="2" t="inlineStr"/>
    </row>
    <row r="233" ht="15" customHeight="1">
      <c r="A233" t="inlineStr">
        <is>
          <t>A 7167-2022</t>
        </is>
      </c>
      <c r="B233" s="1" t="n">
        <v>44604</v>
      </c>
      <c r="C233" s="1" t="n">
        <v>45960</v>
      </c>
      <c r="D233" t="inlineStr">
        <is>
          <t>KALMAR LÄN</t>
        </is>
      </c>
      <c r="E233" t="inlineStr">
        <is>
          <t>VIMMERBY</t>
        </is>
      </c>
      <c r="G233" t="n">
        <v>1.7</v>
      </c>
      <c r="H233" t="n">
        <v>0</v>
      </c>
      <c r="I233" t="n">
        <v>0</v>
      </c>
      <c r="J233" t="n">
        <v>0</v>
      </c>
      <c r="K233" t="n">
        <v>0</v>
      </c>
      <c r="L233" t="n">
        <v>0</v>
      </c>
      <c r="M233" t="n">
        <v>0</v>
      </c>
      <c r="N233" t="n">
        <v>0</v>
      </c>
      <c r="O233" t="n">
        <v>0</v>
      </c>
      <c r="P233" t="n">
        <v>0</v>
      </c>
      <c r="Q233" t="n">
        <v>0</v>
      </c>
      <c r="R233" s="2" t="inlineStr"/>
    </row>
    <row r="234" ht="15" customHeight="1">
      <c r="A234" t="inlineStr">
        <is>
          <t>A 11027-2023</t>
        </is>
      </c>
      <c r="B234" s="1" t="n">
        <v>44991.89657407408</v>
      </c>
      <c r="C234" s="1" t="n">
        <v>45960</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55605-2024</t>
        </is>
      </c>
      <c r="B235" s="1" t="n">
        <v>45622</v>
      </c>
      <c r="C235" s="1" t="n">
        <v>45960</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44464-2024</t>
        </is>
      </c>
      <c r="B236" s="1" t="n">
        <v>45574.35809027778</v>
      </c>
      <c r="C236" s="1" t="n">
        <v>45960</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20126-2024</t>
        </is>
      </c>
      <c r="B237" s="1" t="n">
        <v>45434.55471064815</v>
      </c>
      <c r="C237" s="1" t="n">
        <v>45960</v>
      </c>
      <c r="D237" t="inlineStr">
        <is>
          <t>KALMAR LÄN</t>
        </is>
      </c>
      <c r="E237" t="inlineStr">
        <is>
          <t>VIMMERBY</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20136-2024</t>
        </is>
      </c>
      <c r="B238" s="1" t="n">
        <v>45434.56291666667</v>
      </c>
      <c r="C238" s="1" t="n">
        <v>45960</v>
      </c>
      <c r="D238" t="inlineStr">
        <is>
          <t>KALMAR LÄN</t>
        </is>
      </c>
      <c r="E238" t="inlineStr">
        <is>
          <t>VIMMERBY</t>
        </is>
      </c>
      <c r="F238" t="inlineStr">
        <is>
          <t>Sveaskog</t>
        </is>
      </c>
      <c r="G238" t="n">
        <v>8.4</v>
      </c>
      <c r="H238" t="n">
        <v>0</v>
      </c>
      <c r="I238" t="n">
        <v>0</v>
      </c>
      <c r="J238" t="n">
        <v>0</v>
      </c>
      <c r="K238" t="n">
        <v>0</v>
      </c>
      <c r="L238" t="n">
        <v>0</v>
      </c>
      <c r="M238" t="n">
        <v>0</v>
      </c>
      <c r="N238" t="n">
        <v>0</v>
      </c>
      <c r="O238" t="n">
        <v>0</v>
      </c>
      <c r="P238" t="n">
        <v>0</v>
      </c>
      <c r="Q238" t="n">
        <v>0</v>
      </c>
      <c r="R238" s="2" t="inlineStr"/>
    </row>
    <row r="239" ht="15" customHeight="1">
      <c r="A239" t="inlineStr">
        <is>
          <t>A 36049-2024</t>
        </is>
      </c>
      <c r="B239" s="1" t="n">
        <v>45533.61996527778</v>
      </c>
      <c r="C239" s="1" t="n">
        <v>45960</v>
      </c>
      <c r="D239" t="inlineStr">
        <is>
          <t>KALMAR LÄN</t>
        </is>
      </c>
      <c r="E239" t="inlineStr">
        <is>
          <t>VIMMERBY</t>
        </is>
      </c>
      <c r="F239" t="inlineStr">
        <is>
          <t>Kommuner</t>
        </is>
      </c>
      <c r="G239" t="n">
        <v>2.6</v>
      </c>
      <c r="H239" t="n">
        <v>0</v>
      </c>
      <c r="I239" t="n">
        <v>0</v>
      </c>
      <c r="J239" t="n">
        <v>0</v>
      </c>
      <c r="K239" t="n">
        <v>0</v>
      </c>
      <c r="L239" t="n">
        <v>0</v>
      </c>
      <c r="M239" t="n">
        <v>0</v>
      </c>
      <c r="N239" t="n">
        <v>0</v>
      </c>
      <c r="O239" t="n">
        <v>0</v>
      </c>
      <c r="P239" t="n">
        <v>0</v>
      </c>
      <c r="Q239" t="n">
        <v>0</v>
      </c>
      <c r="R239" s="2" t="inlineStr"/>
    </row>
    <row r="240" ht="15" customHeight="1">
      <c r="A240" t="inlineStr">
        <is>
          <t>A 4297-2022</t>
        </is>
      </c>
      <c r="B240" s="1" t="n">
        <v>44588</v>
      </c>
      <c r="C240" s="1" t="n">
        <v>45960</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53483-2022</t>
        </is>
      </c>
      <c r="B241" s="1" t="n">
        <v>44879.55940972222</v>
      </c>
      <c r="C241" s="1" t="n">
        <v>45960</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46921-2023</t>
        </is>
      </c>
      <c r="B242" s="1" t="n">
        <v>45201.39996527778</v>
      </c>
      <c r="C242" s="1" t="n">
        <v>45960</v>
      </c>
      <c r="D242" t="inlineStr">
        <is>
          <t>KALMAR LÄN</t>
        </is>
      </c>
      <c r="E242" t="inlineStr">
        <is>
          <t>VIMMERBY</t>
        </is>
      </c>
      <c r="G242" t="n">
        <v>2.6</v>
      </c>
      <c r="H242" t="n">
        <v>0</v>
      </c>
      <c r="I242" t="n">
        <v>0</v>
      </c>
      <c r="J242" t="n">
        <v>0</v>
      </c>
      <c r="K242" t="n">
        <v>0</v>
      </c>
      <c r="L242" t="n">
        <v>0</v>
      </c>
      <c r="M242" t="n">
        <v>0</v>
      </c>
      <c r="N242" t="n">
        <v>0</v>
      </c>
      <c r="O242" t="n">
        <v>0</v>
      </c>
      <c r="P242" t="n">
        <v>0</v>
      </c>
      <c r="Q242" t="n">
        <v>0</v>
      </c>
      <c r="R242" s="2" t="inlineStr"/>
    </row>
    <row r="243" ht="15" customHeight="1">
      <c r="A243" t="inlineStr">
        <is>
          <t>A 18899-2025</t>
        </is>
      </c>
      <c r="B243" s="1" t="n">
        <v>45764.44931712963</v>
      </c>
      <c r="C243" s="1" t="n">
        <v>45960</v>
      </c>
      <c r="D243" t="inlineStr">
        <is>
          <t>KALMAR LÄN</t>
        </is>
      </c>
      <c r="E243" t="inlineStr">
        <is>
          <t>VIMMERBY</t>
        </is>
      </c>
      <c r="F243" t="inlineStr">
        <is>
          <t>Kommuner</t>
        </is>
      </c>
      <c r="G243" t="n">
        <v>4</v>
      </c>
      <c r="H243" t="n">
        <v>0</v>
      </c>
      <c r="I243" t="n">
        <v>0</v>
      </c>
      <c r="J243" t="n">
        <v>0</v>
      </c>
      <c r="K243" t="n">
        <v>0</v>
      </c>
      <c r="L243" t="n">
        <v>0</v>
      </c>
      <c r="M243" t="n">
        <v>0</v>
      </c>
      <c r="N243" t="n">
        <v>0</v>
      </c>
      <c r="O243" t="n">
        <v>0</v>
      </c>
      <c r="P243" t="n">
        <v>0</v>
      </c>
      <c r="Q243" t="n">
        <v>0</v>
      </c>
      <c r="R243" s="2" t="inlineStr"/>
    </row>
    <row r="244" ht="15" customHeight="1">
      <c r="A244" t="inlineStr">
        <is>
          <t>A 20054-2023</t>
        </is>
      </c>
      <c r="B244" s="1" t="n">
        <v>45054.6750462963</v>
      </c>
      <c r="C244" s="1" t="n">
        <v>45960</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58962-2022</t>
        </is>
      </c>
      <c r="B245" s="1" t="n">
        <v>44903</v>
      </c>
      <c r="C245" s="1" t="n">
        <v>45960</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25236-2023</t>
        </is>
      </c>
      <c r="B246" s="1" t="n">
        <v>45086.63334490741</v>
      </c>
      <c r="C246" s="1" t="n">
        <v>45960</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18356-2021</t>
        </is>
      </c>
      <c r="B247" s="1" t="n">
        <v>44305</v>
      </c>
      <c r="C247" s="1" t="n">
        <v>45960</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10837-2023</t>
        </is>
      </c>
      <c r="B248" s="1" t="n">
        <v>44991.30547453704</v>
      </c>
      <c r="C248" s="1" t="n">
        <v>45960</v>
      </c>
      <c r="D248" t="inlineStr">
        <is>
          <t>KALMAR LÄN</t>
        </is>
      </c>
      <c r="E248" t="inlineStr">
        <is>
          <t>VIMMERBY</t>
        </is>
      </c>
      <c r="G248" t="n">
        <v>7.3</v>
      </c>
      <c r="H248" t="n">
        <v>0</v>
      </c>
      <c r="I248" t="n">
        <v>0</v>
      </c>
      <c r="J248" t="n">
        <v>0</v>
      </c>
      <c r="K248" t="n">
        <v>0</v>
      </c>
      <c r="L248" t="n">
        <v>0</v>
      </c>
      <c r="M248" t="n">
        <v>0</v>
      </c>
      <c r="N248" t="n">
        <v>0</v>
      </c>
      <c r="O248" t="n">
        <v>0</v>
      </c>
      <c r="P248" t="n">
        <v>0</v>
      </c>
      <c r="Q248" t="n">
        <v>0</v>
      </c>
      <c r="R248" s="2" t="inlineStr"/>
    </row>
    <row r="249" ht="15" customHeight="1">
      <c r="A249" t="inlineStr">
        <is>
          <t>A 46399-2024</t>
        </is>
      </c>
      <c r="B249" s="1" t="n">
        <v>45582.41200231481</v>
      </c>
      <c r="C249" s="1" t="n">
        <v>45960</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10838-2023</t>
        </is>
      </c>
      <c r="B250" s="1" t="n">
        <v>44991</v>
      </c>
      <c r="C250" s="1" t="n">
        <v>45960</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6082-2022</t>
        </is>
      </c>
      <c r="B251" s="1" t="n">
        <v>44599</v>
      </c>
      <c r="C251" s="1" t="n">
        <v>45960</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2801-2023</t>
        </is>
      </c>
      <c r="B252" s="1" t="n">
        <v>44944.73487268519</v>
      </c>
      <c r="C252" s="1" t="n">
        <v>45960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5146-2024</t>
        </is>
      </c>
      <c r="B253" s="1" t="n">
        <v>45330</v>
      </c>
      <c r="C253" s="1" t="n">
        <v>45960</v>
      </c>
      <c r="D253" t="inlineStr">
        <is>
          <t>KALMAR LÄN</t>
        </is>
      </c>
      <c r="E253" t="inlineStr">
        <is>
          <t>VIMMERBY</t>
        </is>
      </c>
      <c r="G253" t="n">
        <v>5.3</v>
      </c>
      <c r="H253" t="n">
        <v>0</v>
      </c>
      <c r="I253" t="n">
        <v>0</v>
      </c>
      <c r="J253" t="n">
        <v>0</v>
      </c>
      <c r="K253" t="n">
        <v>0</v>
      </c>
      <c r="L253" t="n">
        <v>0</v>
      </c>
      <c r="M253" t="n">
        <v>0</v>
      </c>
      <c r="N253" t="n">
        <v>0</v>
      </c>
      <c r="O253" t="n">
        <v>0</v>
      </c>
      <c r="P253" t="n">
        <v>0</v>
      </c>
      <c r="Q253" t="n">
        <v>0</v>
      </c>
      <c r="R253" s="2" t="inlineStr"/>
    </row>
    <row r="254" ht="15" customHeight="1">
      <c r="A254" t="inlineStr">
        <is>
          <t>A 5148-2024</t>
        </is>
      </c>
      <c r="B254" s="1" t="n">
        <v>45330</v>
      </c>
      <c r="C254" s="1" t="n">
        <v>45960</v>
      </c>
      <c r="D254" t="inlineStr">
        <is>
          <t>KALMAR LÄN</t>
        </is>
      </c>
      <c r="E254" t="inlineStr">
        <is>
          <t>VIMMERBY</t>
        </is>
      </c>
      <c r="G254" t="n">
        <v>5.6</v>
      </c>
      <c r="H254" t="n">
        <v>0</v>
      </c>
      <c r="I254" t="n">
        <v>0</v>
      </c>
      <c r="J254" t="n">
        <v>0</v>
      </c>
      <c r="K254" t="n">
        <v>0</v>
      </c>
      <c r="L254" t="n">
        <v>0</v>
      </c>
      <c r="M254" t="n">
        <v>0</v>
      </c>
      <c r="N254" t="n">
        <v>0</v>
      </c>
      <c r="O254" t="n">
        <v>0</v>
      </c>
      <c r="P254" t="n">
        <v>0</v>
      </c>
      <c r="Q254" t="n">
        <v>0</v>
      </c>
      <c r="R254" s="2" t="inlineStr"/>
    </row>
    <row r="255" ht="15" customHeight="1">
      <c r="A255" t="inlineStr">
        <is>
          <t>A 13532-2025</t>
        </is>
      </c>
      <c r="B255" s="1" t="n">
        <v>45736.50743055555</v>
      </c>
      <c r="C255" s="1" t="n">
        <v>45960</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43038-2022</t>
        </is>
      </c>
      <c r="B256" s="1" t="n">
        <v>44833.60123842592</v>
      </c>
      <c r="C256" s="1" t="n">
        <v>45960</v>
      </c>
      <c r="D256" t="inlineStr">
        <is>
          <t>KALMAR LÄN</t>
        </is>
      </c>
      <c r="E256" t="inlineStr">
        <is>
          <t>VIMMERBY</t>
        </is>
      </c>
      <c r="G256" t="n">
        <v>4.2</v>
      </c>
      <c r="H256" t="n">
        <v>0</v>
      </c>
      <c r="I256" t="n">
        <v>0</v>
      </c>
      <c r="J256" t="n">
        <v>0</v>
      </c>
      <c r="K256" t="n">
        <v>0</v>
      </c>
      <c r="L256" t="n">
        <v>0</v>
      </c>
      <c r="M256" t="n">
        <v>0</v>
      </c>
      <c r="N256" t="n">
        <v>0</v>
      </c>
      <c r="O256" t="n">
        <v>0</v>
      </c>
      <c r="P256" t="n">
        <v>0</v>
      </c>
      <c r="Q256" t="n">
        <v>0</v>
      </c>
      <c r="R256" s="2" t="inlineStr"/>
    </row>
    <row r="257" ht="15" customHeight="1">
      <c r="A257" t="inlineStr">
        <is>
          <t>A 13290-2025</t>
        </is>
      </c>
      <c r="B257" s="1" t="n">
        <v>45735.56751157407</v>
      </c>
      <c r="C257" s="1" t="n">
        <v>45960</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19162-2023</t>
        </is>
      </c>
      <c r="B258" s="1" t="n">
        <v>45048.59699074074</v>
      </c>
      <c r="C258" s="1" t="n">
        <v>45960</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58278-2023</t>
        </is>
      </c>
      <c r="B259" s="1" t="n">
        <v>45250.5278587963</v>
      </c>
      <c r="C259" s="1" t="n">
        <v>45960</v>
      </c>
      <c r="D259" t="inlineStr">
        <is>
          <t>KALMAR LÄN</t>
        </is>
      </c>
      <c r="E259" t="inlineStr">
        <is>
          <t>VIMMERBY</t>
        </is>
      </c>
      <c r="G259" t="n">
        <v>1.8</v>
      </c>
      <c r="H259" t="n">
        <v>0</v>
      </c>
      <c r="I259" t="n">
        <v>0</v>
      </c>
      <c r="J259" t="n">
        <v>0</v>
      </c>
      <c r="K259" t="n">
        <v>0</v>
      </c>
      <c r="L259" t="n">
        <v>0</v>
      </c>
      <c r="M259" t="n">
        <v>0</v>
      </c>
      <c r="N259" t="n">
        <v>0</v>
      </c>
      <c r="O259" t="n">
        <v>0</v>
      </c>
      <c r="P259" t="n">
        <v>0</v>
      </c>
      <c r="Q259" t="n">
        <v>0</v>
      </c>
      <c r="R259" s="2" t="inlineStr"/>
    </row>
    <row r="260" ht="15" customHeight="1">
      <c r="A260" t="inlineStr">
        <is>
          <t>A 9475-2023</t>
        </is>
      </c>
      <c r="B260" s="1" t="n">
        <v>44981.58834490741</v>
      </c>
      <c r="C260" s="1" t="n">
        <v>45960</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22266-2023</t>
        </is>
      </c>
      <c r="B261" s="1" t="n">
        <v>45070</v>
      </c>
      <c r="C261" s="1" t="n">
        <v>45960</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52588-2023</t>
        </is>
      </c>
      <c r="B262" s="1" t="n">
        <v>45225.60192129629</v>
      </c>
      <c r="C262" s="1" t="n">
        <v>45960</v>
      </c>
      <c r="D262" t="inlineStr">
        <is>
          <t>KALMAR LÄN</t>
        </is>
      </c>
      <c r="E262" t="inlineStr">
        <is>
          <t>VIMMERBY</t>
        </is>
      </c>
      <c r="G262" t="n">
        <v>2.9</v>
      </c>
      <c r="H262" t="n">
        <v>0</v>
      </c>
      <c r="I262" t="n">
        <v>0</v>
      </c>
      <c r="J262" t="n">
        <v>0</v>
      </c>
      <c r="K262" t="n">
        <v>0</v>
      </c>
      <c r="L262" t="n">
        <v>0</v>
      </c>
      <c r="M262" t="n">
        <v>0</v>
      </c>
      <c r="N262" t="n">
        <v>0</v>
      </c>
      <c r="O262" t="n">
        <v>0</v>
      </c>
      <c r="P262" t="n">
        <v>0</v>
      </c>
      <c r="Q262" t="n">
        <v>0</v>
      </c>
      <c r="R262" s="2" t="inlineStr"/>
    </row>
    <row r="263" ht="15" customHeight="1">
      <c r="A263" t="inlineStr">
        <is>
          <t>A 12596-2021</t>
        </is>
      </c>
      <c r="B263" s="1" t="n">
        <v>44270.39765046296</v>
      </c>
      <c r="C263" s="1" t="n">
        <v>45960</v>
      </c>
      <c r="D263" t="inlineStr">
        <is>
          <t>KALMAR LÄN</t>
        </is>
      </c>
      <c r="E263" t="inlineStr">
        <is>
          <t>VIMMERBY</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11946-2025</t>
        </is>
      </c>
      <c r="B264" s="1" t="n">
        <v>45728.54832175926</v>
      </c>
      <c r="C264" s="1" t="n">
        <v>45960</v>
      </c>
      <c r="D264" t="inlineStr">
        <is>
          <t>KALMAR LÄN</t>
        </is>
      </c>
      <c r="E264" t="inlineStr">
        <is>
          <t>VIMMERBY</t>
        </is>
      </c>
      <c r="G264" t="n">
        <v>0.4</v>
      </c>
      <c r="H264" t="n">
        <v>0</v>
      </c>
      <c r="I264" t="n">
        <v>0</v>
      </c>
      <c r="J264" t="n">
        <v>0</v>
      </c>
      <c r="K264" t="n">
        <v>0</v>
      </c>
      <c r="L264" t="n">
        <v>0</v>
      </c>
      <c r="M264" t="n">
        <v>0</v>
      </c>
      <c r="N264" t="n">
        <v>0</v>
      </c>
      <c r="O264" t="n">
        <v>0</v>
      </c>
      <c r="P264" t="n">
        <v>0</v>
      </c>
      <c r="Q264" t="n">
        <v>0</v>
      </c>
      <c r="R264" s="2" t="inlineStr"/>
    </row>
    <row r="265" ht="15" customHeight="1">
      <c r="A265" t="inlineStr">
        <is>
          <t>A 19537-2022</t>
        </is>
      </c>
      <c r="B265" s="1" t="n">
        <v>44693.62822916666</v>
      </c>
      <c r="C265" s="1" t="n">
        <v>45960</v>
      </c>
      <c r="D265" t="inlineStr">
        <is>
          <t>KALMAR LÄN</t>
        </is>
      </c>
      <c r="E265" t="inlineStr">
        <is>
          <t>VIMMERBY</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6802-2025</t>
        </is>
      </c>
      <c r="B266" s="1" t="n">
        <v>45700.68289351852</v>
      </c>
      <c r="C266" s="1" t="n">
        <v>45960</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71793-2021</t>
        </is>
      </c>
      <c r="B267" s="1" t="n">
        <v>44539</v>
      </c>
      <c r="C267" s="1" t="n">
        <v>45960</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57799-2022</t>
        </is>
      </c>
      <c r="B268" s="1" t="n">
        <v>44897</v>
      </c>
      <c r="C268" s="1" t="n">
        <v>45960</v>
      </c>
      <c r="D268" t="inlineStr">
        <is>
          <t>KALMAR LÄN</t>
        </is>
      </c>
      <c r="E268" t="inlineStr">
        <is>
          <t>VIMMERBY</t>
        </is>
      </c>
      <c r="G268" t="n">
        <v>1.4</v>
      </c>
      <c r="H268" t="n">
        <v>0</v>
      </c>
      <c r="I268" t="n">
        <v>0</v>
      </c>
      <c r="J268" t="n">
        <v>0</v>
      </c>
      <c r="K268" t="n">
        <v>0</v>
      </c>
      <c r="L268" t="n">
        <v>0</v>
      </c>
      <c r="M268" t="n">
        <v>0</v>
      </c>
      <c r="N268" t="n">
        <v>0</v>
      </c>
      <c r="O268" t="n">
        <v>0</v>
      </c>
      <c r="P268" t="n">
        <v>0</v>
      </c>
      <c r="Q268" t="n">
        <v>0</v>
      </c>
      <c r="R268" s="2" t="inlineStr"/>
    </row>
    <row r="269" ht="15" customHeight="1">
      <c r="A269" t="inlineStr">
        <is>
          <t>A 30921-2024</t>
        </is>
      </c>
      <c r="B269" s="1" t="n">
        <v>45498</v>
      </c>
      <c r="C269" s="1" t="n">
        <v>45960</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60951-2023</t>
        </is>
      </c>
      <c r="B270" s="1" t="n">
        <v>45261.44914351852</v>
      </c>
      <c r="C270" s="1" t="n">
        <v>45960</v>
      </c>
      <c r="D270" t="inlineStr">
        <is>
          <t>KALMAR LÄN</t>
        </is>
      </c>
      <c r="E270" t="inlineStr">
        <is>
          <t>VIMMERBY</t>
        </is>
      </c>
      <c r="G270" t="n">
        <v>4.3</v>
      </c>
      <c r="H270" t="n">
        <v>0</v>
      </c>
      <c r="I270" t="n">
        <v>0</v>
      </c>
      <c r="J270" t="n">
        <v>0</v>
      </c>
      <c r="K270" t="n">
        <v>0</v>
      </c>
      <c r="L270" t="n">
        <v>0</v>
      </c>
      <c r="M270" t="n">
        <v>0</v>
      </c>
      <c r="N270" t="n">
        <v>0</v>
      </c>
      <c r="O270" t="n">
        <v>0</v>
      </c>
      <c r="P270" t="n">
        <v>0</v>
      </c>
      <c r="Q270" t="n">
        <v>0</v>
      </c>
      <c r="R270" s="2" t="inlineStr"/>
    </row>
    <row r="271" ht="15" customHeight="1">
      <c r="A271" t="inlineStr">
        <is>
          <t>A 60292-2022</t>
        </is>
      </c>
      <c r="B271" s="1" t="n">
        <v>44910.54231481482</v>
      </c>
      <c r="C271" s="1" t="n">
        <v>45960</v>
      </c>
      <c r="D271" t="inlineStr">
        <is>
          <t>KALMAR LÄN</t>
        </is>
      </c>
      <c r="E271" t="inlineStr">
        <is>
          <t>VIMMERBY</t>
        </is>
      </c>
      <c r="G271" t="n">
        <v>4.4</v>
      </c>
      <c r="H271" t="n">
        <v>0</v>
      </c>
      <c r="I271" t="n">
        <v>0</v>
      </c>
      <c r="J271" t="n">
        <v>0</v>
      </c>
      <c r="K271" t="n">
        <v>0</v>
      </c>
      <c r="L271" t="n">
        <v>0</v>
      </c>
      <c r="M271" t="n">
        <v>0</v>
      </c>
      <c r="N271" t="n">
        <v>0</v>
      </c>
      <c r="O271" t="n">
        <v>0</v>
      </c>
      <c r="P271" t="n">
        <v>0</v>
      </c>
      <c r="Q271" t="n">
        <v>0</v>
      </c>
      <c r="R271" s="2" t="inlineStr"/>
    </row>
    <row r="272" ht="15" customHeight="1">
      <c r="A272" t="inlineStr">
        <is>
          <t>A 527-2024</t>
        </is>
      </c>
      <c r="B272" s="1" t="n">
        <v>45299.47513888889</v>
      </c>
      <c r="C272" s="1" t="n">
        <v>45960</v>
      </c>
      <c r="D272" t="inlineStr">
        <is>
          <t>KALMAR LÄN</t>
        </is>
      </c>
      <c r="E272" t="inlineStr">
        <is>
          <t>VIMMERBY</t>
        </is>
      </c>
      <c r="G272" t="n">
        <v>2.2</v>
      </c>
      <c r="H272" t="n">
        <v>0</v>
      </c>
      <c r="I272" t="n">
        <v>0</v>
      </c>
      <c r="J272" t="n">
        <v>0</v>
      </c>
      <c r="K272" t="n">
        <v>0</v>
      </c>
      <c r="L272" t="n">
        <v>0</v>
      </c>
      <c r="M272" t="n">
        <v>0</v>
      </c>
      <c r="N272" t="n">
        <v>0</v>
      </c>
      <c r="O272" t="n">
        <v>0</v>
      </c>
      <c r="P272" t="n">
        <v>0</v>
      </c>
      <c r="Q272" t="n">
        <v>0</v>
      </c>
      <c r="R272" s="2" t="inlineStr"/>
    </row>
    <row r="273" ht="15" customHeight="1">
      <c r="A273" t="inlineStr">
        <is>
          <t>A 60230-2022</t>
        </is>
      </c>
      <c r="B273" s="1" t="n">
        <v>44910</v>
      </c>
      <c r="C273" s="1" t="n">
        <v>45960</v>
      </c>
      <c r="D273" t="inlineStr">
        <is>
          <t>KALMAR LÄN</t>
        </is>
      </c>
      <c r="E273" t="inlineStr">
        <is>
          <t>VIMMERBY</t>
        </is>
      </c>
      <c r="G273" t="n">
        <v>11.3</v>
      </c>
      <c r="H273" t="n">
        <v>0</v>
      </c>
      <c r="I273" t="n">
        <v>0</v>
      </c>
      <c r="J273" t="n">
        <v>0</v>
      </c>
      <c r="K273" t="n">
        <v>0</v>
      </c>
      <c r="L273" t="n">
        <v>0</v>
      </c>
      <c r="M273" t="n">
        <v>0</v>
      </c>
      <c r="N273" t="n">
        <v>0</v>
      </c>
      <c r="O273" t="n">
        <v>0</v>
      </c>
      <c r="P273" t="n">
        <v>0</v>
      </c>
      <c r="Q273" t="n">
        <v>0</v>
      </c>
      <c r="R273" s="2" t="inlineStr"/>
    </row>
    <row r="274" ht="15" customHeight="1">
      <c r="A274" t="inlineStr">
        <is>
          <t>A 7485-2024</t>
        </is>
      </c>
      <c r="B274" s="1" t="n">
        <v>45346.67184027778</v>
      </c>
      <c r="C274" s="1" t="n">
        <v>45960</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14137-2023</t>
        </is>
      </c>
      <c r="B275" s="1" t="n">
        <v>45009.4671875</v>
      </c>
      <c r="C275" s="1" t="n">
        <v>45960</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12590-2025</t>
        </is>
      </c>
      <c r="B276" s="1" t="n">
        <v>45732.79925925926</v>
      </c>
      <c r="C276" s="1" t="n">
        <v>45960</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5925-2022</t>
        </is>
      </c>
      <c r="B277" s="1" t="n">
        <v>44598.7384837963</v>
      </c>
      <c r="C277" s="1" t="n">
        <v>45960</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35710-2023</t>
        </is>
      </c>
      <c r="B278" s="1" t="n">
        <v>45147.67096064815</v>
      </c>
      <c r="C278" s="1" t="n">
        <v>45960</v>
      </c>
      <c r="D278" t="inlineStr">
        <is>
          <t>KALMAR LÄN</t>
        </is>
      </c>
      <c r="E278" t="inlineStr">
        <is>
          <t>VIMMERBY</t>
        </is>
      </c>
      <c r="G278" t="n">
        <v>3.1</v>
      </c>
      <c r="H278" t="n">
        <v>0</v>
      </c>
      <c r="I278" t="n">
        <v>0</v>
      </c>
      <c r="J278" t="n">
        <v>0</v>
      </c>
      <c r="K278" t="n">
        <v>0</v>
      </c>
      <c r="L278" t="n">
        <v>0</v>
      </c>
      <c r="M278" t="n">
        <v>0</v>
      </c>
      <c r="N278" t="n">
        <v>0</v>
      </c>
      <c r="O278" t="n">
        <v>0</v>
      </c>
      <c r="P278" t="n">
        <v>0</v>
      </c>
      <c r="Q278" t="n">
        <v>0</v>
      </c>
      <c r="R278" s="2" t="inlineStr"/>
    </row>
    <row r="279" ht="15" customHeight="1">
      <c r="A279" t="inlineStr">
        <is>
          <t>A 52823-2024</t>
        </is>
      </c>
      <c r="B279" s="1" t="n">
        <v>45610.59094907407</v>
      </c>
      <c r="C279" s="1" t="n">
        <v>45960</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46522-2022</t>
        </is>
      </c>
      <c r="B280" s="1" t="n">
        <v>44848.59133101852</v>
      </c>
      <c r="C280" s="1" t="n">
        <v>45960</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11152-2023</t>
        </is>
      </c>
      <c r="B281" s="1" t="n">
        <v>44992</v>
      </c>
      <c r="C281" s="1" t="n">
        <v>45960</v>
      </c>
      <c r="D281" t="inlineStr">
        <is>
          <t>KALMAR LÄN</t>
        </is>
      </c>
      <c r="E281" t="inlineStr">
        <is>
          <t>VIMMERBY</t>
        </is>
      </c>
      <c r="G281" t="n">
        <v>10.6</v>
      </c>
      <c r="H281" t="n">
        <v>0</v>
      </c>
      <c r="I281" t="n">
        <v>0</v>
      </c>
      <c r="J281" t="n">
        <v>0</v>
      </c>
      <c r="K281" t="n">
        <v>0</v>
      </c>
      <c r="L281" t="n">
        <v>0</v>
      </c>
      <c r="M281" t="n">
        <v>0</v>
      </c>
      <c r="N281" t="n">
        <v>0</v>
      </c>
      <c r="O281" t="n">
        <v>0</v>
      </c>
      <c r="P281" t="n">
        <v>0</v>
      </c>
      <c r="Q281" t="n">
        <v>0</v>
      </c>
      <c r="R281" s="2" t="inlineStr"/>
    </row>
    <row r="282" ht="15" customHeight="1">
      <c r="A282" t="inlineStr">
        <is>
          <t>A 35001-2021</t>
        </is>
      </c>
      <c r="B282" s="1" t="n">
        <v>44383</v>
      </c>
      <c r="C282" s="1" t="n">
        <v>45960</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11147-2023</t>
        </is>
      </c>
      <c r="B283" s="1" t="n">
        <v>44992</v>
      </c>
      <c r="C283" s="1" t="n">
        <v>45960</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19833-2023</t>
        </is>
      </c>
      <c r="B284" s="1" t="n">
        <v>45052</v>
      </c>
      <c r="C284" s="1" t="n">
        <v>45960</v>
      </c>
      <c r="D284" t="inlineStr">
        <is>
          <t>KALMAR LÄN</t>
        </is>
      </c>
      <c r="E284" t="inlineStr">
        <is>
          <t>VIMMERBY</t>
        </is>
      </c>
      <c r="G284" t="n">
        <v>6.7</v>
      </c>
      <c r="H284" t="n">
        <v>0</v>
      </c>
      <c r="I284" t="n">
        <v>0</v>
      </c>
      <c r="J284" t="n">
        <v>0</v>
      </c>
      <c r="K284" t="n">
        <v>0</v>
      </c>
      <c r="L284" t="n">
        <v>0</v>
      </c>
      <c r="M284" t="n">
        <v>0</v>
      </c>
      <c r="N284" t="n">
        <v>0</v>
      </c>
      <c r="O284" t="n">
        <v>0</v>
      </c>
      <c r="P284" t="n">
        <v>0</v>
      </c>
      <c r="Q284" t="n">
        <v>0</v>
      </c>
      <c r="R284" s="2" t="inlineStr"/>
    </row>
    <row r="285" ht="15" customHeight="1">
      <c r="A285" t="inlineStr">
        <is>
          <t>A 41066-2024</t>
        </is>
      </c>
      <c r="B285" s="1" t="n">
        <v>45559.38876157408</v>
      </c>
      <c r="C285" s="1" t="n">
        <v>45960</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12499-2023</t>
        </is>
      </c>
      <c r="B286" s="1" t="n">
        <v>44999.86172453704</v>
      </c>
      <c r="C286" s="1" t="n">
        <v>45960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12500-2023</t>
        </is>
      </c>
      <c r="B287" s="1" t="n">
        <v>44999.8625</v>
      </c>
      <c r="C287" s="1" t="n">
        <v>45960</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55674-2021</t>
        </is>
      </c>
      <c r="B288" s="1" t="n">
        <v>44476</v>
      </c>
      <c r="C288" s="1" t="n">
        <v>45960</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35846-2023</t>
        </is>
      </c>
      <c r="B289" s="1" t="n">
        <v>45148</v>
      </c>
      <c r="C289" s="1" t="n">
        <v>45960</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49039-2021</t>
        </is>
      </c>
      <c r="B290" s="1" t="n">
        <v>44453.56578703703</v>
      </c>
      <c r="C290" s="1" t="n">
        <v>45960</v>
      </c>
      <c r="D290" t="inlineStr">
        <is>
          <t>KALMAR LÄN</t>
        </is>
      </c>
      <c r="E290" t="inlineStr">
        <is>
          <t>VIMMERBY</t>
        </is>
      </c>
      <c r="G290" t="n">
        <v>0.6</v>
      </c>
      <c r="H290" t="n">
        <v>0</v>
      </c>
      <c r="I290" t="n">
        <v>0</v>
      </c>
      <c r="J290" t="n">
        <v>0</v>
      </c>
      <c r="K290" t="n">
        <v>0</v>
      </c>
      <c r="L290" t="n">
        <v>0</v>
      </c>
      <c r="M290" t="n">
        <v>0</v>
      </c>
      <c r="N290" t="n">
        <v>0</v>
      </c>
      <c r="O290" t="n">
        <v>0</v>
      </c>
      <c r="P290" t="n">
        <v>0</v>
      </c>
      <c r="Q290" t="n">
        <v>0</v>
      </c>
      <c r="R290" s="2" t="inlineStr"/>
    </row>
    <row r="291" ht="15" customHeight="1">
      <c r="A291" t="inlineStr">
        <is>
          <t>A 52279-2023</t>
        </is>
      </c>
      <c r="B291" s="1" t="n">
        <v>45224</v>
      </c>
      <c r="C291" s="1" t="n">
        <v>45960</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14548-2024</t>
        </is>
      </c>
      <c r="B292" s="1" t="n">
        <v>45394.66887731481</v>
      </c>
      <c r="C292" s="1" t="n">
        <v>45960</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17486-2024</t>
        </is>
      </c>
      <c r="B293" s="1" t="n">
        <v>45415.48979166667</v>
      </c>
      <c r="C293" s="1" t="n">
        <v>45960</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585-2024</t>
        </is>
      </c>
      <c r="B294" s="1" t="n">
        <v>45299.62576388889</v>
      </c>
      <c r="C294" s="1" t="n">
        <v>45960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56020-2024</t>
        </is>
      </c>
      <c r="B295" s="1" t="n">
        <v>45623.9525462963</v>
      </c>
      <c r="C295" s="1" t="n">
        <v>45960</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71631-2021</t>
        </is>
      </c>
      <c r="B296" s="1" t="n">
        <v>44542.90072916666</v>
      </c>
      <c r="C296" s="1" t="n">
        <v>45960</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23252-2024</t>
        </is>
      </c>
      <c r="B297" s="1" t="n">
        <v>45453.36067129629</v>
      </c>
      <c r="C297" s="1" t="n">
        <v>45960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11619-2023</t>
        </is>
      </c>
      <c r="B298" s="1" t="n">
        <v>44994.42113425926</v>
      </c>
      <c r="C298" s="1" t="n">
        <v>45960</v>
      </c>
      <c r="D298" t="inlineStr">
        <is>
          <t>KALMAR LÄN</t>
        </is>
      </c>
      <c r="E298" t="inlineStr">
        <is>
          <t>VIMMERBY</t>
        </is>
      </c>
      <c r="G298" t="n">
        <v>2.5</v>
      </c>
      <c r="H298" t="n">
        <v>0</v>
      </c>
      <c r="I298" t="n">
        <v>0</v>
      </c>
      <c r="J298" t="n">
        <v>0</v>
      </c>
      <c r="K298" t="n">
        <v>0</v>
      </c>
      <c r="L298" t="n">
        <v>0</v>
      </c>
      <c r="M298" t="n">
        <v>0</v>
      </c>
      <c r="N298" t="n">
        <v>0</v>
      </c>
      <c r="O298" t="n">
        <v>0</v>
      </c>
      <c r="P298" t="n">
        <v>0</v>
      </c>
      <c r="Q298" t="n">
        <v>0</v>
      </c>
      <c r="R298" s="2" t="inlineStr"/>
    </row>
    <row r="299" ht="15" customHeight="1">
      <c r="A299" t="inlineStr">
        <is>
          <t>A 46224-2024</t>
        </is>
      </c>
      <c r="B299" s="1" t="n">
        <v>45581.57016203704</v>
      </c>
      <c r="C299" s="1" t="n">
        <v>45960</v>
      </c>
      <c r="D299" t="inlineStr">
        <is>
          <t>KALMAR LÄN</t>
        </is>
      </c>
      <c r="E299" t="inlineStr">
        <is>
          <t>VIMMERBY</t>
        </is>
      </c>
      <c r="G299" t="n">
        <v>3.1</v>
      </c>
      <c r="H299" t="n">
        <v>0</v>
      </c>
      <c r="I299" t="n">
        <v>0</v>
      </c>
      <c r="J299" t="n">
        <v>0</v>
      </c>
      <c r="K299" t="n">
        <v>0</v>
      </c>
      <c r="L299" t="n">
        <v>0</v>
      </c>
      <c r="M299" t="n">
        <v>0</v>
      </c>
      <c r="N299" t="n">
        <v>0</v>
      </c>
      <c r="O299" t="n">
        <v>0</v>
      </c>
      <c r="P299" t="n">
        <v>0</v>
      </c>
      <c r="Q299" t="n">
        <v>0</v>
      </c>
      <c r="R299" s="2" t="inlineStr"/>
    </row>
    <row r="300" ht="15" customHeight="1">
      <c r="A300" t="inlineStr">
        <is>
          <t>A 46238-2024</t>
        </is>
      </c>
      <c r="B300" s="1" t="n">
        <v>45581.58418981481</v>
      </c>
      <c r="C300" s="1" t="n">
        <v>45960</v>
      </c>
      <c r="D300" t="inlineStr">
        <is>
          <t>KALMAR LÄN</t>
        </is>
      </c>
      <c r="E300" t="inlineStr">
        <is>
          <t>VIMMERBY</t>
        </is>
      </c>
      <c r="G300" t="n">
        <v>2.1</v>
      </c>
      <c r="H300" t="n">
        <v>0</v>
      </c>
      <c r="I300" t="n">
        <v>0</v>
      </c>
      <c r="J300" t="n">
        <v>0</v>
      </c>
      <c r="K300" t="n">
        <v>0</v>
      </c>
      <c r="L300" t="n">
        <v>0</v>
      </c>
      <c r="M300" t="n">
        <v>0</v>
      </c>
      <c r="N300" t="n">
        <v>0</v>
      </c>
      <c r="O300" t="n">
        <v>0</v>
      </c>
      <c r="P300" t="n">
        <v>0</v>
      </c>
      <c r="Q300" t="n">
        <v>0</v>
      </c>
      <c r="R300" s="2" t="inlineStr"/>
    </row>
    <row r="301" ht="15" customHeight="1">
      <c r="A301" t="inlineStr">
        <is>
          <t>A 15550-2023</t>
        </is>
      </c>
      <c r="B301" s="1" t="n">
        <v>45020</v>
      </c>
      <c r="C301" s="1" t="n">
        <v>45960</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30633-2024</t>
        </is>
      </c>
      <c r="B302" s="1" t="n">
        <v>45495</v>
      </c>
      <c r="C302" s="1" t="n">
        <v>45960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54838-2024</t>
        </is>
      </c>
      <c r="B303" s="1" t="n">
        <v>45618.56787037037</v>
      </c>
      <c r="C303" s="1" t="n">
        <v>45960</v>
      </c>
      <c r="D303" t="inlineStr">
        <is>
          <t>KALMAR LÄN</t>
        </is>
      </c>
      <c r="E303" t="inlineStr">
        <is>
          <t>VIMMERBY</t>
        </is>
      </c>
      <c r="G303" t="n">
        <v>3.3</v>
      </c>
      <c r="H303" t="n">
        <v>0</v>
      </c>
      <c r="I303" t="n">
        <v>0</v>
      </c>
      <c r="J303" t="n">
        <v>0</v>
      </c>
      <c r="K303" t="n">
        <v>0</v>
      </c>
      <c r="L303" t="n">
        <v>0</v>
      </c>
      <c r="M303" t="n">
        <v>0</v>
      </c>
      <c r="N303" t="n">
        <v>0</v>
      </c>
      <c r="O303" t="n">
        <v>0</v>
      </c>
      <c r="P303" t="n">
        <v>0</v>
      </c>
      <c r="Q303" t="n">
        <v>0</v>
      </c>
      <c r="R303" s="2" t="inlineStr"/>
    </row>
    <row r="304" ht="15" customHeight="1">
      <c r="A304" t="inlineStr">
        <is>
          <t>A 6405-2025</t>
        </is>
      </c>
      <c r="B304" s="1" t="n">
        <v>45699.45392361111</v>
      </c>
      <c r="C304" s="1" t="n">
        <v>45960</v>
      </c>
      <c r="D304" t="inlineStr">
        <is>
          <t>KALMAR LÄN</t>
        </is>
      </c>
      <c r="E304" t="inlineStr">
        <is>
          <t>VIMMERBY</t>
        </is>
      </c>
      <c r="G304" t="n">
        <v>1.2</v>
      </c>
      <c r="H304" t="n">
        <v>0</v>
      </c>
      <c r="I304" t="n">
        <v>0</v>
      </c>
      <c r="J304" t="n">
        <v>0</v>
      </c>
      <c r="K304" t="n">
        <v>0</v>
      </c>
      <c r="L304" t="n">
        <v>0</v>
      </c>
      <c r="M304" t="n">
        <v>0</v>
      </c>
      <c r="N304" t="n">
        <v>0</v>
      </c>
      <c r="O304" t="n">
        <v>0</v>
      </c>
      <c r="P304" t="n">
        <v>0</v>
      </c>
      <c r="Q304" t="n">
        <v>0</v>
      </c>
      <c r="R304" s="2" t="inlineStr"/>
    </row>
    <row r="305" ht="15" customHeight="1">
      <c r="A305" t="inlineStr">
        <is>
          <t>A 11219-2023</t>
        </is>
      </c>
      <c r="B305" s="1" t="n">
        <v>44992.62498842592</v>
      </c>
      <c r="C305" s="1" t="n">
        <v>45960</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16015-2025</t>
        </is>
      </c>
      <c r="B306" s="1" t="n">
        <v>45749.60487268519</v>
      </c>
      <c r="C306" s="1" t="n">
        <v>45960</v>
      </c>
      <c r="D306" t="inlineStr">
        <is>
          <t>KALMAR LÄN</t>
        </is>
      </c>
      <c r="E306" t="inlineStr">
        <is>
          <t>VIMMERBY</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18411-2021</t>
        </is>
      </c>
      <c r="B307" s="1" t="n">
        <v>44302</v>
      </c>
      <c r="C307" s="1" t="n">
        <v>45960</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47855-2024</t>
        </is>
      </c>
      <c r="B308" s="1" t="n">
        <v>45588.66457175926</v>
      </c>
      <c r="C308" s="1" t="n">
        <v>45960</v>
      </c>
      <c r="D308" t="inlineStr">
        <is>
          <t>KALMAR LÄN</t>
        </is>
      </c>
      <c r="E308" t="inlineStr">
        <is>
          <t>VIMMERBY</t>
        </is>
      </c>
      <c r="G308" t="n">
        <v>0.8</v>
      </c>
      <c r="H308" t="n">
        <v>0</v>
      </c>
      <c r="I308" t="n">
        <v>0</v>
      </c>
      <c r="J308" t="n">
        <v>0</v>
      </c>
      <c r="K308" t="n">
        <v>0</v>
      </c>
      <c r="L308" t="n">
        <v>0</v>
      </c>
      <c r="M308" t="n">
        <v>0</v>
      </c>
      <c r="N308" t="n">
        <v>0</v>
      </c>
      <c r="O308" t="n">
        <v>0</v>
      </c>
      <c r="P308" t="n">
        <v>0</v>
      </c>
      <c r="Q308" t="n">
        <v>0</v>
      </c>
      <c r="R308" s="2" t="inlineStr"/>
    </row>
    <row r="309" ht="15" customHeight="1">
      <c r="A309" t="inlineStr">
        <is>
          <t>A 9694-2023</t>
        </is>
      </c>
      <c r="B309" s="1" t="n">
        <v>44984.45895833334</v>
      </c>
      <c r="C309" s="1" t="n">
        <v>45960</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172-2022</t>
        </is>
      </c>
      <c r="B310" s="1" t="n">
        <v>44564.62598379629</v>
      </c>
      <c r="C310" s="1" t="n">
        <v>45960</v>
      </c>
      <c r="D310" t="inlineStr">
        <is>
          <t>KALMAR LÄN</t>
        </is>
      </c>
      <c r="E310" t="inlineStr">
        <is>
          <t>VIMMERBY</t>
        </is>
      </c>
      <c r="G310" t="n">
        <v>2.1</v>
      </c>
      <c r="H310" t="n">
        <v>0</v>
      </c>
      <c r="I310" t="n">
        <v>0</v>
      </c>
      <c r="J310" t="n">
        <v>0</v>
      </c>
      <c r="K310" t="n">
        <v>0</v>
      </c>
      <c r="L310" t="n">
        <v>0</v>
      </c>
      <c r="M310" t="n">
        <v>0</v>
      </c>
      <c r="N310" t="n">
        <v>0</v>
      </c>
      <c r="O310" t="n">
        <v>0</v>
      </c>
      <c r="P310" t="n">
        <v>0</v>
      </c>
      <c r="Q310" t="n">
        <v>0</v>
      </c>
      <c r="R310" s="2" t="inlineStr"/>
    </row>
    <row r="311" ht="15" customHeight="1">
      <c r="A311" t="inlineStr">
        <is>
          <t>A 39584-2024</t>
        </is>
      </c>
      <c r="B311" s="1" t="n">
        <v>45552.36759259259</v>
      </c>
      <c r="C311" s="1" t="n">
        <v>45960</v>
      </c>
      <c r="D311" t="inlineStr">
        <is>
          <t>KALMAR LÄN</t>
        </is>
      </c>
      <c r="E311" t="inlineStr">
        <is>
          <t>VIMMERBY</t>
        </is>
      </c>
      <c r="G311" t="n">
        <v>1.9</v>
      </c>
      <c r="H311" t="n">
        <v>0</v>
      </c>
      <c r="I311" t="n">
        <v>0</v>
      </c>
      <c r="J311" t="n">
        <v>0</v>
      </c>
      <c r="K311" t="n">
        <v>0</v>
      </c>
      <c r="L311" t="n">
        <v>0</v>
      </c>
      <c r="M311" t="n">
        <v>0</v>
      </c>
      <c r="N311" t="n">
        <v>0</v>
      </c>
      <c r="O311" t="n">
        <v>0</v>
      </c>
      <c r="P311" t="n">
        <v>0</v>
      </c>
      <c r="Q311" t="n">
        <v>0</v>
      </c>
      <c r="R311" s="2" t="inlineStr"/>
    </row>
    <row r="312" ht="15" customHeight="1">
      <c r="A312" t="inlineStr">
        <is>
          <t>A 22198-2024</t>
        </is>
      </c>
      <c r="B312" s="1" t="n">
        <v>45446.36865740741</v>
      </c>
      <c r="C312" s="1" t="n">
        <v>45960</v>
      </c>
      <c r="D312" t="inlineStr">
        <is>
          <t>KALMAR LÄN</t>
        </is>
      </c>
      <c r="E312" t="inlineStr">
        <is>
          <t>VIMMERBY</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57311-2023</t>
        </is>
      </c>
      <c r="B313" s="1" t="n">
        <v>45245.63574074074</v>
      </c>
      <c r="C313" s="1" t="n">
        <v>45960</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60437-2023</t>
        </is>
      </c>
      <c r="B314" s="1" t="n">
        <v>45259.51916666667</v>
      </c>
      <c r="C314" s="1" t="n">
        <v>45960</v>
      </c>
      <c r="D314" t="inlineStr">
        <is>
          <t>KALMAR LÄN</t>
        </is>
      </c>
      <c r="E314" t="inlineStr">
        <is>
          <t>VIMMERBY</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60438-2023</t>
        </is>
      </c>
      <c r="B315" s="1" t="n">
        <v>45259.52020833334</v>
      </c>
      <c r="C315" s="1" t="n">
        <v>45960</v>
      </c>
      <c r="D315" t="inlineStr">
        <is>
          <t>KALMAR LÄN</t>
        </is>
      </c>
      <c r="E315" t="inlineStr">
        <is>
          <t>VIMMERBY</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51881-2024</t>
        </is>
      </c>
      <c r="B316" s="1" t="n">
        <v>45607.56773148148</v>
      </c>
      <c r="C316" s="1" t="n">
        <v>45960</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2596-2025</t>
        </is>
      </c>
      <c r="B317" s="1" t="n">
        <v>45674.71810185185</v>
      </c>
      <c r="C317" s="1" t="n">
        <v>45960</v>
      </c>
      <c r="D317" t="inlineStr">
        <is>
          <t>KALMAR LÄN</t>
        </is>
      </c>
      <c r="E317" t="inlineStr">
        <is>
          <t>VIMMERBY</t>
        </is>
      </c>
      <c r="G317" t="n">
        <v>9</v>
      </c>
      <c r="H317" t="n">
        <v>0</v>
      </c>
      <c r="I317" t="n">
        <v>0</v>
      </c>
      <c r="J317" t="n">
        <v>0</v>
      </c>
      <c r="K317" t="n">
        <v>0</v>
      </c>
      <c r="L317" t="n">
        <v>0</v>
      </c>
      <c r="M317" t="n">
        <v>0</v>
      </c>
      <c r="N317" t="n">
        <v>0</v>
      </c>
      <c r="O317" t="n">
        <v>0</v>
      </c>
      <c r="P317" t="n">
        <v>0</v>
      </c>
      <c r="Q317" t="n">
        <v>0</v>
      </c>
      <c r="R317" s="2" t="inlineStr"/>
    </row>
    <row r="318" ht="15" customHeight="1">
      <c r="A318" t="inlineStr">
        <is>
          <t>A 42165-2024</t>
        </is>
      </c>
      <c r="B318" s="1" t="n">
        <v>45562.46342592593</v>
      </c>
      <c r="C318" s="1" t="n">
        <v>45960</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12588-2025</t>
        </is>
      </c>
      <c r="B319" s="1" t="n">
        <v>45732.76936342593</v>
      </c>
      <c r="C319" s="1" t="n">
        <v>45960</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7932-2025</t>
        </is>
      </c>
      <c r="B320" s="1" t="n">
        <v>45707.3793287037</v>
      </c>
      <c r="C320" s="1" t="n">
        <v>45960</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25244-2023</t>
        </is>
      </c>
      <c r="B321" s="1" t="n">
        <v>45086</v>
      </c>
      <c r="C321" s="1" t="n">
        <v>45960</v>
      </c>
      <c r="D321" t="inlineStr">
        <is>
          <t>KALMAR LÄN</t>
        </is>
      </c>
      <c r="E321" t="inlineStr">
        <is>
          <t>VIMMERBY</t>
        </is>
      </c>
      <c r="G321" t="n">
        <v>4.7</v>
      </c>
      <c r="H321" t="n">
        <v>0</v>
      </c>
      <c r="I321" t="n">
        <v>0</v>
      </c>
      <c r="J321" t="n">
        <v>0</v>
      </c>
      <c r="K321" t="n">
        <v>0</v>
      </c>
      <c r="L321" t="n">
        <v>0</v>
      </c>
      <c r="M321" t="n">
        <v>0</v>
      </c>
      <c r="N321" t="n">
        <v>0</v>
      </c>
      <c r="O321" t="n">
        <v>0</v>
      </c>
      <c r="P321" t="n">
        <v>0</v>
      </c>
      <c r="Q321" t="n">
        <v>0</v>
      </c>
      <c r="R321" s="2" t="inlineStr"/>
    </row>
    <row r="322" ht="15" customHeight="1">
      <c r="A322" t="inlineStr">
        <is>
          <t>A 16734-2023</t>
        </is>
      </c>
      <c r="B322" s="1" t="n">
        <v>45030.71012731481</v>
      </c>
      <c r="C322" s="1" t="n">
        <v>45960</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41896-2023</t>
        </is>
      </c>
      <c r="B323" s="1" t="n">
        <v>45176.72427083334</v>
      </c>
      <c r="C323" s="1" t="n">
        <v>45960</v>
      </c>
      <c r="D323" t="inlineStr">
        <is>
          <t>KALMAR LÄN</t>
        </is>
      </c>
      <c r="E323" t="inlineStr">
        <is>
          <t>VIMMERBY</t>
        </is>
      </c>
      <c r="G323" t="n">
        <v>1.3</v>
      </c>
      <c r="H323" t="n">
        <v>0</v>
      </c>
      <c r="I323" t="n">
        <v>0</v>
      </c>
      <c r="J323" t="n">
        <v>0</v>
      </c>
      <c r="K323" t="n">
        <v>0</v>
      </c>
      <c r="L323" t="n">
        <v>0</v>
      </c>
      <c r="M323" t="n">
        <v>0</v>
      </c>
      <c r="N323" t="n">
        <v>0</v>
      </c>
      <c r="O323" t="n">
        <v>0</v>
      </c>
      <c r="P323" t="n">
        <v>0</v>
      </c>
      <c r="Q323" t="n">
        <v>0</v>
      </c>
      <c r="R323" s="2" t="inlineStr"/>
    </row>
    <row r="324" ht="15" customHeight="1">
      <c r="A324" t="inlineStr">
        <is>
          <t>A 66022-2021</t>
        </is>
      </c>
      <c r="B324" s="1" t="n">
        <v>44517</v>
      </c>
      <c r="C324" s="1" t="n">
        <v>45960</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35895-2024</t>
        </is>
      </c>
      <c r="B325" s="1" t="n">
        <v>45533.38870370371</v>
      </c>
      <c r="C325" s="1" t="n">
        <v>45960</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11073-2023</t>
        </is>
      </c>
      <c r="B326" s="1" t="n">
        <v>44992</v>
      </c>
      <c r="C326" s="1" t="n">
        <v>45960</v>
      </c>
      <c r="D326" t="inlineStr">
        <is>
          <t>KALMAR LÄN</t>
        </is>
      </c>
      <c r="E326" t="inlineStr">
        <is>
          <t>VIMMERBY</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20129-2024</t>
        </is>
      </c>
      <c r="B327" s="1" t="n">
        <v>45434.55831018519</v>
      </c>
      <c r="C327" s="1" t="n">
        <v>45960</v>
      </c>
      <c r="D327" t="inlineStr">
        <is>
          <t>KALMAR LÄN</t>
        </is>
      </c>
      <c r="E327" t="inlineStr">
        <is>
          <t>VIMMERBY</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20137-2024</t>
        </is>
      </c>
      <c r="B328" s="1" t="n">
        <v>45434.56398148148</v>
      </c>
      <c r="C328" s="1" t="n">
        <v>45960</v>
      </c>
      <c r="D328" t="inlineStr">
        <is>
          <t>KALMAR LÄN</t>
        </is>
      </c>
      <c r="E328" t="inlineStr">
        <is>
          <t>VIMMERBY</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7456-2024</t>
        </is>
      </c>
      <c r="B329" s="1" t="n">
        <v>45345.83557870371</v>
      </c>
      <c r="C329" s="1" t="n">
        <v>45960</v>
      </c>
      <c r="D329" t="inlineStr">
        <is>
          <t>KALMAR LÄN</t>
        </is>
      </c>
      <c r="E329" t="inlineStr">
        <is>
          <t>VIMMERBY</t>
        </is>
      </c>
      <c r="G329" t="n">
        <v>4.1</v>
      </c>
      <c r="H329" t="n">
        <v>0</v>
      </c>
      <c r="I329" t="n">
        <v>0</v>
      </c>
      <c r="J329" t="n">
        <v>0</v>
      </c>
      <c r="K329" t="n">
        <v>0</v>
      </c>
      <c r="L329" t="n">
        <v>0</v>
      </c>
      <c r="M329" t="n">
        <v>0</v>
      </c>
      <c r="N329" t="n">
        <v>0</v>
      </c>
      <c r="O329" t="n">
        <v>0</v>
      </c>
      <c r="P329" t="n">
        <v>0</v>
      </c>
      <c r="Q329" t="n">
        <v>0</v>
      </c>
      <c r="R329" s="2" t="inlineStr"/>
    </row>
    <row r="330" ht="15" customHeight="1">
      <c r="A330" t="inlineStr">
        <is>
          <t>A 2121-2022</t>
        </is>
      </c>
      <c r="B330" s="1" t="n">
        <v>44578.32717592592</v>
      </c>
      <c r="C330" s="1" t="n">
        <v>45960</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17-2025</t>
        </is>
      </c>
      <c r="B331" s="1" t="n">
        <v>45658.78774305555</v>
      </c>
      <c r="C331" s="1" t="n">
        <v>45960</v>
      </c>
      <c r="D331" t="inlineStr">
        <is>
          <t>KALMAR LÄN</t>
        </is>
      </c>
      <c r="E331" t="inlineStr">
        <is>
          <t>VIMMERBY</t>
        </is>
      </c>
      <c r="G331" t="n">
        <v>4.4</v>
      </c>
      <c r="H331" t="n">
        <v>0</v>
      </c>
      <c r="I331" t="n">
        <v>0</v>
      </c>
      <c r="J331" t="n">
        <v>0</v>
      </c>
      <c r="K331" t="n">
        <v>0</v>
      </c>
      <c r="L331" t="n">
        <v>0</v>
      </c>
      <c r="M331" t="n">
        <v>0</v>
      </c>
      <c r="N331" t="n">
        <v>0</v>
      </c>
      <c r="O331" t="n">
        <v>0</v>
      </c>
      <c r="P331" t="n">
        <v>0</v>
      </c>
      <c r="Q331" t="n">
        <v>0</v>
      </c>
      <c r="R331" s="2" t="inlineStr"/>
    </row>
    <row r="332" ht="15" customHeight="1">
      <c r="A332" t="inlineStr">
        <is>
          <t>A 34386-2024</t>
        </is>
      </c>
      <c r="B332" s="1" t="n">
        <v>45525.41762731481</v>
      </c>
      <c r="C332" s="1" t="n">
        <v>45960</v>
      </c>
      <c r="D332" t="inlineStr">
        <is>
          <t>KALMAR LÄN</t>
        </is>
      </c>
      <c r="E332" t="inlineStr">
        <is>
          <t>VIMMERBY</t>
        </is>
      </c>
      <c r="G332" t="n">
        <v>0.3</v>
      </c>
      <c r="H332" t="n">
        <v>0</v>
      </c>
      <c r="I332" t="n">
        <v>0</v>
      </c>
      <c r="J332" t="n">
        <v>0</v>
      </c>
      <c r="K332" t="n">
        <v>0</v>
      </c>
      <c r="L332" t="n">
        <v>0</v>
      </c>
      <c r="M332" t="n">
        <v>0</v>
      </c>
      <c r="N332" t="n">
        <v>0</v>
      </c>
      <c r="O332" t="n">
        <v>0</v>
      </c>
      <c r="P332" t="n">
        <v>0</v>
      </c>
      <c r="Q332" t="n">
        <v>0</v>
      </c>
      <c r="R332" s="2" t="inlineStr"/>
    </row>
    <row r="333" ht="15" customHeight="1">
      <c r="A333" t="inlineStr">
        <is>
          <t>A 32655-2023</t>
        </is>
      </c>
      <c r="B333" s="1" t="n">
        <v>45121.61318287037</v>
      </c>
      <c r="C333" s="1" t="n">
        <v>45960</v>
      </c>
      <c r="D333" t="inlineStr">
        <is>
          <t>KALMAR LÄN</t>
        </is>
      </c>
      <c r="E333" t="inlineStr">
        <is>
          <t>VIMMERBY</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52324-2023</t>
        </is>
      </c>
      <c r="B334" s="1" t="n">
        <v>45224.64659722222</v>
      </c>
      <c r="C334" s="1" t="n">
        <v>45960</v>
      </c>
      <c r="D334" t="inlineStr">
        <is>
          <t>KALMAR LÄN</t>
        </is>
      </c>
      <c r="E334" t="inlineStr">
        <is>
          <t>VIMMERBY</t>
        </is>
      </c>
      <c r="F334" t="inlineStr">
        <is>
          <t>Sveaskog</t>
        </is>
      </c>
      <c r="G334" t="n">
        <v>2.9</v>
      </c>
      <c r="H334" t="n">
        <v>0</v>
      </c>
      <c r="I334" t="n">
        <v>0</v>
      </c>
      <c r="J334" t="n">
        <v>0</v>
      </c>
      <c r="K334" t="n">
        <v>0</v>
      </c>
      <c r="L334" t="n">
        <v>0</v>
      </c>
      <c r="M334" t="n">
        <v>0</v>
      </c>
      <c r="N334" t="n">
        <v>0</v>
      </c>
      <c r="O334" t="n">
        <v>0</v>
      </c>
      <c r="P334" t="n">
        <v>0</v>
      </c>
      <c r="Q334" t="n">
        <v>0</v>
      </c>
      <c r="R334" s="2" t="inlineStr"/>
    </row>
    <row r="335" ht="15" customHeight="1">
      <c r="A335" t="inlineStr">
        <is>
          <t>A 6069-2023</t>
        </is>
      </c>
      <c r="B335" s="1" t="n">
        <v>44964.5115162037</v>
      </c>
      <c r="C335" s="1" t="n">
        <v>45960</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63541-2023</t>
        </is>
      </c>
      <c r="B336" s="1" t="n">
        <v>45275.32266203704</v>
      </c>
      <c r="C336" s="1" t="n">
        <v>45960</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17988-2025</t>
        </is>
      </c>
      <c r="B337" s="1" t="n">
        <v>45761.39600694444</v>
      </c>
      <c r="C337" s="1" t="n">
        <v>45960</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23341-2022</t>
        </is>
      </c>
      <c r="B338" s="1" t="n">
        <v>44720.53898148148</v>
      </c>
      <c r="C338" s="1" t="n">
        <v>45960</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28034-2022</t>
        </is>
      </c>
      <c r="B339" s="1" t="n">
        <v>44746.38834490741</v>
      </c>
      <c r="C339" s="1" t="n">
        <v>45960</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5938-2022</t>
        </is>
      </c>
      <c r="B340" s="1" t="n">
        <v>44598</v>
      </c>
      <c r="C340" s="1" t="n">
        <v>45960</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32633-2023</t>
        </is>
      </c>
      <c r="B341" s="1" t="n">
        <v>45121.58699074074</v>
      </c>
      <c r="C341" s="1" t="n">
        <v>45960</v>
      </c>
      <c r="D341" t="inlineStr">
        <is>
          <t>KALMAR LÄN</t>
        </is>
      </c>
      <c r="E341" t="inlineStr">
        <is>
          <t>VIMMERBY</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37028-2024</t>
        </is>
      </c>
      <c r="B342" s="1" t="n">
        <v>45539.38744212963</v>
      </c>
      <c r="C342" s="1" t="n">
        <v>45960</v>
      </c>
      <c r="D342" t="inlineStr">
        <is>
          <t>KALMAR LÄN</t>
        </is>
      </c>
      <c r="E342" t="inlineStr">
        <is>
          <t>VIMMERBY</t>
        </is>
      </c>
      <c r="G342" t="n">
        <v>5.2</v>
      </c>
      <c r="H342" t="n">
        <v>0</v>
      </c>
      <c r="I342" t="n">
        <v>0</v>
      </c>
      <c r="J342" t="n">
        <v>0</v>
      </c>
      <c r="K342" t="n">
        <v>0</v>
      </c>
      <c r="L342" t="n">
        <v>0</v>
      </c>
      <c r="M342" t="n">
        <v>0</v>
      </c>
      <c r="N342" t="n">
        <v>0</v>
      </c>
      <c r="O342" t="n">
        <v>0</v>
      </c>
      <c r="P342" t="n">
        <v>0</v>
      </c>
      <c r="Q342" t="n">
        <v>0</v>
      </c>
      <c r="R342" s="2" t="inlineStr"/>
    </row>
    <row r="343" ht="15" customHeight="1">
      <c r="A343" t="inlineStr">
        <is>
          <t>A 24283-2023</t>
        </is>
      </c>
      <c r="B343" s="1" t="n">
        <v>45079.87827546296</v>
      </c>
      <c r="C343" s="1" t="n">
        <v>45960</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49461-2023</t>
        </is>
      </c>
      <c r="B344" s="1" t="n">
        <v>45211.52642361111</v>
      </c>
      <c r="C344" s="1" t="n">
        <v>45960</v>
      </c>
      <c r="D344" t="inlineStr">
        <is>
          <t>KALMAR LÄN</t>
        </is>
      </c>
      <c r="E344" t="inlineStr">
        <is>
          <t>VIMMERBY</t>
        </is>
      </c>
      <c r="G344" t="n">
        <v>1.5</v>
      </c>
      <c r="H344" t="n">
        <v>0</v>
      </c>
      <c r="I344" t="n">
        <v>0</v>
      </c>
      <c r="J344" t="n">
        <v>0</v>
      </c>
      <c r="K344" t="n">
        <v>0</v>
      </c>
      <c r="L344" t="n">
        <v>0</v>
      </c>
      <c r="M344" t="n">
        <v>0</v>
      </c>
      <c r="N344" t="n">
        <v>0</v>
      </c>
      <c r="O344" t="n">
        <v>0</v>
      </c>
      <c r="P344" t="n">
        <v>0</v>
      </c>
      <c r="Q344" t="n">
        <v>0</v>
      </c>
      <c r="R344" s="2" t="inlineStr"/>
    </row>
    <row r="345" ht="15" customHeight="1">
      <c r="A345" t="inlineStr">
        <is>
          <t>A 23095-2023</t>
        </is>
      </c>
      <c r="B345" s="1" t="n">
        <v>45075.43059027778</v>
      </c>
      <c r="C345" s="1" t="n">
        <v>45960</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11429-2022</t>
        </is>
      </c>
      <c r="B346" s="1" t="n">
        <v>44630</v>
      </c>
      <c r="C346" s="1" t="n">
        <v>45960</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6668-2023</t>
        </is>
      </c>
      <c r="B347" s="1" t="n">
        <v>44966</v>
      </c>
      <c r="C347" s="1" t="n">
        <v>45960</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29168-2024</t>
        </is>
      </c>
      <c r="B348" s="1" t="n">
        <v>45482.49870370371</v>
      </c>
      <c r="C348" s="1" t="n">
        <v>45960</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8086-2021</t>
        </is>
      </c>
      <c r="B349" s="1" t="n">
        <v>44243</v>
      </c>
      <c r="C349" s="1" t="n">
        <v>45960</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55236-2023</t>
        </is>
      </c>
      <c r="B350" s="1" t="n">
        <v>45237.63225694445</v>
      </c>
      <c r="C350" s="1" t="n">
        <v>45960</v>
      </c>
      <c r="D350" t="inlineStr">
        <is>
          <t>KALMAR LÄN</t>
        </is>
      </c>
      <c r="E350" t="inlineStr">
        <is>
          <t>VIMMERBY</t>
        </is>
      </c>
      <c r="G350" t="n">
        <v>1.1</v>
      </c>
      <c r="H350" t="n">
        <v>0</v>
      </c>
      <c r="I350" t="n">
        <v>0</v>
      </c>
      <c r="J350" t="n">
        <v>0</v>
      </c>
      <c r="K350" t="n">
        <v>0</v>
      </c>
      <c r="L350" t="n">
        <v>0</v>
      </c>
      <c r="M350" t="n">
        <v>0</v>
      </c>
      <c r="N350" t="n">
        <v>0</v>
      </c>
      <c r="O350" t="n">
        <v>0</v>
      </c>
      <c r="P350" t="n">
        <v>0</v>
      </c>
      <c r="Q350" t="n">
        <v>0</v>
      </c>
      <c r="R350" s="2" t="inlineStr"/>
    </row>
    <row r="351" ht="15" customHeight="1">
      <c r="A351" t="inlineStr">
        <is>
          <t>A 55245-2023</t>
        </is>
      </c>
      <c r="B351" s="1" t="n">
        <v>45237.64408564815</v>
      </c>
      <c r="C351" s="1" t="n">
        <v>45960</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2462-2022</t>
        </is>
      </c>
      <c r="B352" s="1" t="n">
        <v>44579.62225694444</v>
      </c>
      <c r="C352" s="1" t="n">
        <v>45960</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60228-2021</t>
        </is>
      </c>
      <c r="B353" s="1" t="n">
        <v>44495</v>
      </c>
      <c r="C353" s="1" t="n">
        <v>45960</v>
      </c>
      <c r="D353" t="inlineStr">
        <is>
          <t>KALMAR LÄN</t>
        </is>
      </c>
      <c r="E353" t="inlineStr">
        <is>
          <t>VIMMERBY</t>
        </is>
      </c>
      <c r="G353" t="n">
        <v>4.1</v>
      </c>
      <c r="H353" t="n">
        <v>0</v>
      </c>
      <c r="I353" t="n">
        <v>0</v>
      </c>
      <c r="J353" t="n">
        <v>0</v>
      </c>
      <c r="K353" t="n">
        <v>0</v>
      </c>
      <c r="L353" t="n">
        <v>0</v>
      </c>
      <c r="M353" t="n">
        <v>0</v>
      </c>
      <c r="N353" t="n">
        <v>0</v>
      </c>
      <c r="O353" t="n">
        <v>0</v>
      </c>
      <c r="P353" t="n">
        <v>0</v>
      </c>
      <c r="Q353" t="n">
        <v>0</v>
      </c>
      <c r="R353" s="2" t="inlineStr"/>
    </row>
    <row r="354" ht="15" customHeight="1">
      <c r="A354" t="inlineStr">
        <is>
          <t>A 36055-2024</t>
        </is>
      </c>
      <c r="B354" s="1" t="n">
        <v>45533.63056712963</v>
      </c>
      <c r="C354" s="1" t="n">
        <v>45960</v>
      </c>
      <c r="D354" t="inlineStr">
        <is>
          <t>KALMAR LÄN</t>
        </is>
      </c>
      <c r="E354" t="inlineStr">
        <is>
          <t>VIMMERBY</t>
        </is>
      </c>
      <c r="F354" t="inlineStr">
        <is>
          <t>Kommuner</t>
        </is>
      </c>
      <c r="G354" t="n">
        <v>1.9</v>
      </c>
      <c r="H354" t="n">
        <v>0</v>
      </c>
      <c r="I354" t="n">
        <v>0</v>
      </c>
      <c r="J354" t="n">
        <v>0</v>
      </c>
      <c r="K354" t="n">
        <v>0</v>
      </c>
      <c r="L354" t="n">
        <v>0</v>
      </c>
      <c r="M354" t="n">
        <v>0</v>
      </c>
      <c r="N354" t="n">
        <v>0</v>
      </c>
      <c r="O354" t="n">
        <v>0</v>
      </c>
      <c r="P354" t="n">
        <v>0</v>
      </c>
      <c r="Q354" t="n">
        <v>0</v>
      </c>
      <c r="R354" s="2" t="inlineStr"/>
    </row>
    <row r="355" ht="15" customHeight="1">
      <c r="A355" t="inlineStr">
        <is>
          <t>A 25979-2023</t>
        </is>
      </c>
      <c r="B355" s="1" t="n">
        <v>45090.89653935185</v>
      </c>
      <c r="C355" s="1" t="n">
        <v>45960</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25980-2023</t>
        </is>
      </c>
      <c r="B356" s="1" t="n">
        <v>45090.89880787037</v>
      </c>
      <c r="C356" s="1" t="n">
        <v>45960</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12510-2022</t>
        </is>
      </c>
      <c r="B357" s="1" t="n">
        <v>44638.55256944444</v>
      </c>
      <c r="C357" s="1" t="n">
        <v>45960</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6358-2022</t>
        </is>
      </c>
      <c r="B358" s="1" t="n">
        <v>44600</v>
      </c>
      <c r="C358" s="1" t="n">
        <v>45960</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11141-2024</t>
        </is>
      </c>
      <c r="B359" s="1" t="n">
        <v>45371.45865740741</v>
      </c>
      <c r="C359" s="1" t="n">
        <v>45960</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28395-2023</t>
        </is>
      </c>
      <c r="B360" s="1" t="n">
        <v>45100.4062962963</v>
      </c>
      <c r="C360" s="1" t="n">
        <v>45960</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17926-2025</t>
        </is>
      </c>
      <c r="B361" s="1" t="n">
        <v>45759.38987268518</v>
      </c>
      <c r="C361" s="1" t="n">
        <v>45960</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34597-2022</t>
        </is>
      </c>
      <c r="B362" s="1" t="n">
        <v>44795</v>
      </c>
      <c r="C362" s="1" t="n">
        <v>45960</v>
      </c>
      <c r="D362" t="inlineStr">
        <is>
          <t>KALMAR LÄN</t>
        </is>
      </c>
      <c r="E362" t="inlineStr">
        <is>
          <t>VIMMERBY</t>
        </is>
      </c>
      <c r="G362" t="n">
        <v>2.2</v>
      </c>
      <c r="H362" t="n">
        <v>0</v>
      </c>
      <c r="I362" t="n">
        <v>0</v>
      </c>
      <c r="J362" t="n">
        <v>0</v>
      </c>
      <c r="K362" t="n">
        <v>0</v>
      </c>
      <c r="L362" t="n">
        <v>0</v>
      </c>
      <c r="M362" t="n">
        <v>0</v>
      </c>
      <c r="N362" t="n">
        <v>0</v>
      </c>
      <c r="O362" t="n">
        <v>0</v>
      </c>
      <c r="P362" t="n">
        <v>0</v>
      </c>
      <c r="Q362" t="n">
        <v>0</v>
      </c>
      <c r="R362" s="2" t="inlineStr"/>
    </row>
    <row r="363" ht="15" customHeight="1">
      <c r="A363" t="inlineStr">
        <is>
          <t>A 27443-2023</t>
        </is>
      </c>
      <c r="B363" s="1" t="n">
        <v>45097.40524305555</v>
      </c>
      <c r="C363" s="1" t="n">
        <v>45960</v>
      </c>
      <c r="D363" t="inlineStr">
        <is>
          <t>KALMAR LÄN</t>
        </is>
      </c>
      <c r="E363" t="inlineStr">
        <is>
          <t>VIMMERBY</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845-2023</t>
        </is>
      </c>
      <c r="B364" s="1" t="n">
        <v>44931</v>
      </c>
      <c r="C364" s="1" t="n">
        <v>45960</v>
      </c>
      <c r="D364" t="inlineStr">
        <is>
          <t>KALMAR LÄN</t>
        </is>
      </c>
      <c r="E364" t="inlineStr">
        <is>
          <t>VIMMERBY</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64428-2023</t>
        </is>
      </c>
      <c r="B365" s="1" t="n">
        <v>45280.66769675926</v>
      </c>
      <c r="C365" s="1" t="n">
        <v>45960</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48373-2021</t>
        </is>
      </c>
      <c r="B366" s="1" t="n">
        <v>44451</v>
      </c>
      <c r="C366" s="1" t="n">
        <v>45960</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30588-2023</t>
        </is>
      </c>
      <c r="B367" s="1" t="n">
        <v>45112.33599537037</v>
      </c>
      <c r="C367" s="1" t="n">
        <v>45960</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30503-2023</t>
        </is>
      </c>
      <c r="B368" s="1" t="n">
        <v>45111</v>
      </c>
      <c r="C368" s="1" t="n">
        <v>45960</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21028-2023</t>
        </is>
      </c>
      <c r="B369" s="1" t="n">
        <v>45061</v>
      </c>
      <c r="C369" s="1" t="n">
        <v>45960</v>
      </c>
      <c r="D369" t="inlineStr">
        <is>
          <t>KALMAR LÄN</t>
        </is>
      </c>
      <c r="E369" t="inlineStr">
        <is>
          <t>VIMMERBY</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19445-2021</t>
        </is>
      </c>
      <c r="B370" s="1" t="n">
        <v>44310</v>
      </c>
      <c r="C370" s="1" t="n">
        <v>45960</v>
      </c>
      <c r="D370" t="inlineStr">
        <is>
          <t>KALMAR LÄN</t>
        </is>
      </c>
      <c r="E370" t="inlineStr">
        <is>
          <t>VIMMERBY</t>
        </is>
      </c>
      <c r="G370" t="n">
        <v>6.8</v>
      </c>
      <c r="H370" t="n">
        <v>0</v>
      </c>
      <c r="I370" t="n">
        <v>0</v>
      </c>
      <c r="J370" t="n">
        <v>0</v>
      </c>
      <c r="K370" t="n">
        <v>0</v>
      </c>
      <c r="L370" t="n">
        <v>0</v>
      </c>
      <c r="M370" t="n">
        <v>0</v>
      </c>
      <c r="N370" t="n">
        <v>0</v>
      </c>
      <c r="O370" t="n">
        <v>0</v>
      </c>
      <c r="P370" t="n">
        <v>0</v>
      </c>
      <c r="Q370" t="n">
        <v>0</v>
      </c>
      <c r="R370" s="2" t="inlineStr"/>
    </row>
    <row r="371" ht="15" customHeight="1">
      <c r="A371" t="inlineStr">
        <is>
          <t>A 27122-2023</t>
        </is>
      </c>
      <c r="B371" s="1" t="n">
        <v>45096.45247685185</v>
      </c>
      <c r="C371" s="1" t="n">
        <v>45960</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6321-2023</t>
        </is>
      </c>
      <c r="B372" s="1" t="n">
        <v>44965.4815162037</v>
      </c>
      <c r="C372" s="1" t="n">
        <v>45960</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4624-2024</t>
        </is>
      </c>
      <c r="B373" s="1" t="n">
        <v>45328.38755787037</v>
      </c>
      <c r="C373" s="1" t="n">
        <v>45960</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57256-2023</t>
        </is>
      </c>
      <c r="B374" s="1" t="n">
        <v>45245.5735300926</v>
      </c>
      <c r="C374" s="1" t="n">
        <v>45960</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17482-2024</t>
        </is>
      </c>
      <c r="B375" s="1" t="n">
        <v>45415.47848379629</v>
      </c>
      <c r="C375" s="1" t="n">
        <v>45960</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47263-2023</t>
        </is>
      </c>
      <c r="B376" s="1" t="n">
        <v>45202.4209837963</v>
      </c>
      <c r="C376" s="1" t="n">
        <v>45960</v>
      </c>
      <c r="D376" t="inlineStr">
        <is>
          <t>KALMAR LÄN</t>
        </is>
      </c>
      <c r="E376" t="inlineStr">
        <is>
          <t>VIMMERBY</t>
        </is>
      </c>
      <c r="G376" t="n">
        <v>1.8</v>
      </c>
      <c r="H376" t="n">
        <v>0</v>
      </c>
      <c r="I376" t="n">
        <v>0</v>
      </c>
      <c r="J376" t="n">
        <v>0</v>
      </c>
      <c r="K376" t="n">
        <v>0</v>
      </c>
      <c r="L376" t="n">
        <v>0</v>
      </c>
      <c r="M376" t="n">
        <v>0</v>
      </c>
      <c r="N376" t="n">
        <v>0</v>
      </c>
      <c r="O376" t="n">
        <v>0</v>
      </c>
      <c r="P376" t="n">
        <v>0</v>
      </c>
      <c r="Q376" t="n">
        <v>0</v>
      </c>
      <c r="R376" s="2" t="inlineStr"/>
    </row>
    <row r="377" ht="15" customHeight="1">
      <c r="A377" t="inlineStr">
        <is>
          <t>A 13813-2024</t>
        </is>
      </c>
      <c r="B377" s="1" t="n">
        <v>45391.41310185185</v>
      </c>
      <c r="C377" s="1" t="n">
        <v>45960</v>
      </c>
      <c r="D377" t="inlineStr">
        <is>
          <t>KALMAR LÄN</t>
        </is>
      </c>
      <c r="E377" t="inlineStr">
        <is>
          <t>VIMMERBY</t>
        </is>
      </c>
      <c r="G377" t="n">
        <v>0.4</v>
      </c>
      <c r="H377" t="n">
        <v>0</v>
      </c>
      <c r="I377" t="n">
        <v>0</v>
      </c>
      <c r="J377" t="n">
        <v>0</v>
      </c>
      <c r="K377" t="n">
        <v>0</v>
      </c>
      <c r="L377" t="n">
        <v>0</v>
      </c>
      <c r="M377" t="n">
        <v>0</v>
      </c>
      <c r="N377" t="n">
        <v>0</v>
      </c>
      <c r="O377" t="n">
        <v>0</v>
      </c>
      <c r="P377" t="n">
        <v>0</v>
      </c>
      <c r="Q377" t="n">
        <v>0</v>
      </c>
      <c r="R377" s="2" t="inlineStr"/>
    </row>
    <row r="378" ht="15" customHeight="1">
      <c r="A378" t="inlineStr">
        <is>
          <t>A 58100-2024</t>
        </is>
      </c>
      <c r="B378" s="1" t="n">
        <v>45632.36706018518</v>
      </c>
      <c r="C378" s="1" t="n">
        <v>45960</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38969-2023</t>
        </is>
      </c>
      <c r="B379" s="1" t="n">
        <v>45163.63621527778</v>
      </c>
      <c r="C379" s="1" t="n">
        <v>45960</v>
      </c>
      <c r="D379" t="inlineStr">
        <is>
          <t>KALMAR LÄN</t>
        </is>
      </c>
      <c r="E379" t="inlineStr">
        <is>
          <t>VIMMERBY</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58159-2024</t>
        </is>
      </c>
      <c r="B380" s="1" t="n">
        <v>45632.44886574074</v>
      </c>
      <c r="C380" s="1" t="n">
        <v>45960</v>
      </c>
      <c r="D380" t="inlineStr">
        <is>
          <t>KALMAR LÄN</t>
        </is>
      </c>
      <c r="E380" t="inlineStr">
        <is>
          <t>VIMMERBY</t>
        </is>
      </c>
      <c r="G380" t="n">
        <v>7.5</v>
      </c>
      <c r="H380" t="n">
        <v>0</v>
      </c>
      <c r="I380" t="n">
        <v>0</v>
      </c>
      <c r="J380" t="n">
        <v>0</v>
      </c>
      <c r="K380" t="n">
        <v>0</v>
      </c>
      <c r="L380" t="n">
        <v>0</v>
      </c>
      <c r="M380" t="n">
        <v>0</v>
      </c>
      <c r="N380" t="n">
        <v>0</v>
      </c>
      <c r="O380" t="n">
        <v>0</v>
      </c>
      <c r="P380" t="n">
        <v>0</v>
      </c>
      <c r="Q380" t="n">
        <v>0</v>
      </c>
      <c r="R380" s="2" t="inlineStr"/>
    </row>
    <row r="381" ht="15" customHeight="1">
      <c r="A381" t="inlineStr">
        <is>
          <t>A 40730-2024</t>
        </is>
      </c>
      <c r="B381" s="1" t="n">
        <v>45558.44914351852</v>
      </c>
      <c r="C381" s="1" t="n">
        <v>45960</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57114-2023</t>
        </is>
      </c>
      <c r="B382" s="1" t="n">
        <v>45245.36174768519</v>
      </c>
      <c r="C382" s="1" t="n">
        <v>45960</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55123-2024</t>
        </is>
      </c>
      <c r="B383" s="1" t="n">
        <v>45621.46103009259</v>
      </c>
      <c r="C383" s="1" t="n">
        <v>45960</v>
      </c>
      <c r="D383" t="inlineStr">
        <is>
          <t>KALMAR LÄN</t>
        </is>
      </c>
      <c r="E383" t="inlineStr">
        <is>
          <t>VIMMERBY</t>
        </is>
      </c>
      <c r="G383" t="n">
        <v>3.1</v>
      </c>
      <c r="H383" t="n">
        <v>0</v>
      </c>
      <c r="I383" t="n">
        <v>0</v>
      </c>
      <c r="J383" t="n">
        <v>0</v>
      </c>
      <c r="K383" t="n">
        <v>0</v>
      </c>
      <c r="L383" t="n">
        <v>0</v>
      </c>
      <c r="M383" t="n">
        <v>0</v>
      </c>
      <c r="N383" t="n">
        <v>0</v>
      </c>
      <c r="O383" t="n">
        <v>0</v>
      </c>
      <c r="P383" t="n">
        <v>0</v>
      </c>
      <c r="Q383" t="n">
        <v>0</v>
      </c>
      <c r="R383" s="2" t="inlineStr"/>
    </row>
    <row r="384" ht="15" customHeight="1">
      <c r="A384" t="inlineStr">
        <is>
          <t>A 3423-2022</t>
        </is>
      </c>
      <c r="B384" s="1" t="n">
        <v>44585.50431712963</v>
      </c>
      <c r="C384" s="1" t="n">
        <v>45960</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2157-2024</t>
        </is>
      </c>
      <c r="B385" s="1" t="n">
        <v>45309.59487268519</v>
      </c>
      <c r="C385" s="1" t="n">
        <v>45960</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40665-2023</t>
        </is>
      </c>
      <c r="B386" s="1" t="n">
        <v>45170</v>
      </c>
      <c r="C386" s="1" t="n">
        <v>45960</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49313-2022</t>
        </is>
      </c>
      <c r="B387" s="1" t="n">
        <v>44861.52505787037</v>
      </c>
      <c r="C387" s="1" t="n">
        <v>45960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1987-2024</t>
        </is>
      </c>
      <c r="B388" s="1" t="n">
        <v>45308.61152777778</v>
      </c>
      <c r="C388" s="1" t="n">
        <v>45960</v>
      </c>
      <c r="D388" t="inlineStr">
        <is>
          <t>KALMAR LÄN</t>
        </is>
      </c>
      <c r="E388" t="inlineStr">
        <is>
          <t>VIMMERBY</t>
        </is>
      </c>
      <c r="G388" t="n">
        <v>3</v>
      </c>
      <c r="H388" t="n">
        <v>0</v>
      </c>
      <c r="I388" t="n">
        <v>0</v>
      </c>
      <c r="J388" t="n">
        <v>0</v>
      </c>
      <c r="K388" t="n">
        <v>0</v>
      </c>
      <c r="L388" t="n">
        <v>0</v>
      </c>
      <c r="M388" t="n">
        <v>0</v>
      </c>
      <c r="N388" t="n">
        <v>0</v>
      </c>
      <c r="O388" t="n">
        <v>0</v>
      </c>
      <c r="P388" t="n">
        <v>0</v>
      </c>
      <c r="Q388" t="n">
        <v>0</v>
      </c>
      <c r="R388" s="2" t="inlineStr"/>
    </row>
    <row r="389" ht="15" customHeight="1">
      <c r="A389" t="inlineStr">
        <is>
          <t>A 49461-2022</t>
        </is>
      </c>
      <c r="B389" s="1" t="n">
        <v>44861</v>
      </c>
      <c r="C389" s="1" t="n">
        <v>45960</v>
      </c>
      <c r="D389" t="inlineStr">
        <is>
          <t>KALMAR LÄN</t>
        </is>
      </c>
      <c r="E389" t="inlineStr">
        <is>
          <t>VIMMERBY</t>
        </is>
      </c>
      <c r="G389" t="n">
        <v>3.2</v>
      </c>
      <c r="H389" t="n">
        <v>0</v>
      </c>
      <c r="I389" t="n">
        <v>0</v>
      </c>
      <c r="J389" t="n">
        <v>0</v>
      </c>
      <c r="K389" t="n">
        <v>0</v>
      </c>
      <c r="L389" t="n">
        <v>0</v>
      </c>
      <c r="M389" t="n">
        <v>0</v>
      </c>
      <c r="N389" t="n">
        <v>0</v>
      </c>
      <c r="O389" t="n">
        <v>0</v>
      </c>
      <c r="P389" t="n">
        <v>0</v>
      </c>
      <c r="Q389" t="n">
        <v>0</v>
      </c>
      <c r="R389" s="2" t="inlineStr"/>
    </row>
    <row r="390" ht="15" customHeight="1">
      <c r="A390" t="inlineStr">
        <is>
          <t>A 694-2024</t>
        </is>
      </c>
      <c r="B390" s="1" t="n">
        <v>45300.3794212963</v>
      </c>
      <c r="C390" s="1" t="n">
        <v>45960</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21507-2023</t>
        </is>
      </c>
      <c r="B391" s="1" t="n">
        <v>45063.508125</v>
      </c>
      <c r="C391" s="1" t="n">
        <v>45960</v>
      </c>
      <c r="D391" t="inlineStr">
        <is>
          <t>KALMAR LÄN</t>
        </is>
      </c>
      <c r="E391" t="inlineStr">
        <is>
          <t>VIMMERBY</t>
        </is>
      </c>
      <c r="G391" t="n">
        <v>2.8</v>
      </c>
      <c r="H391" t="n">
        <v>0</v>
      </c>
      <c r="I391" t="n">
        <v>0</v>
      </c>
      <c r="J391" t="n">
        <v>0</v>
      </c>
      <c r="K391" t="n">
        <v>0</v>
      </c>
      <c r="L391" t="n">
        <v>0</v>
      </c>
      <c r="M391" t="n">
        <v>0</v>
      </c>
      <c r="N391" t="n">
        <v>0</v>
      </c>
      <c r="O391" t="n">
        <v>0</v>
      </c>
      <c r="P391" t="n">
        <v>0</v>
      </c>
      <c r="Q391" t="n">
        <v>0</v>
      </c>
      <c r="R391" s="2" t="inlineStr"/>
    </row>
    <row r="392" ht="15" customHeight="1">
      <c r="A392" t="inlineStr">
        <is>
          <t>A 57189-2022</t>
        </is>
      </c>
      <c r="B392" s="1" t="n">
        <v>44895.62296296296</v>
      </c>
      <c r="C392" s="1" t="n">
        <v>45960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59598-2023</t>
        </is>
      </c>
      <c r="B393" s="1" t="n">
        <v>45254.62489583333</v>
      </c>
      <c r="C393" s="1" t="n">
        <v>45960</v>
      </c>
      <c r="D393" t="inlineStr">
        <is>
          <t>KALMAR LÄN</t>
        </is>
      </c>
      <c r="E393" t="inlineStr">
        <is>
          <t>VIMMERBY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48673-2021</t>
        </is>
      </c>
      <c r="B394" s="1" t="n">
        <v>44452</v>
      </c>
      <c r="C394" s="1" t="n">
        <v>45960</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7944-2024</t>
        </is>
      </c>
      <c r="B395" s="1" t="n">
        <v>45350.53306712963</v>
      </c>
      <c r="C395" s="1" t="n">
        <v>45960</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14248-2023</t>
        </is>
      </c>
      <c r="B396" s="1" t="n">
        <v>45009</v>
      </c>
      <c r="C396" s="1" t="n">
        <v>45960</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12480-2024</t>
        </is>
      </c>
      <c r="B397" s="1" t="n">
        <v>45379</v>
      </c>
      <c r="C397" s="1" t="n">
        <v>45960</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21496-2023</t>
        </is>
      </c>
      <c r="B398" s="1" t="n">
        <v>45063.49936342592</v>
      </c>
      <c r="C398" s="1" t="n">
        <v>45960</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50860-2022</t>
        </is>
      </c>
      <c r="B399" s="1" t="n">
        <v>44867</v>
      </c>
      <c r="C399" s="1" t="n">
        <v>45960</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25370-2022</t>
        </is>
      </c>
      <c r="B400" s="1" t="n">
        <v>44732.3659837963</v>
      </c>
      <c r="C400" s="1" t="n">
        <v>45960</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58577-2024</t>
        </is>
      </c>
      <c r="B401" s="1" t="n">
        <v>45635.4874537037</v>
      </c>
      <c r="C401" s="1" t="n">
        <v>45960</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29440-2024</t>
        </is>
      </c>
      <c r="B402" s="1" t="n">
        <v>45483.82479166667</v>
      </c>
      <c r="C402" s="1" t="n">
        <v>45960</v>
      </c>
      <c r="D402" t="inlineStr">
        <is>
          <t>KALMAR LÄN</t>
        </is>
      </c>
      <c r="E402" t="inlineStr">
        <is>
          <t>VIMMERBY</t>
        </is>
      </c>
      <c r="G402" t="n">
        <v>4.5</v>
      </c>
      <c r="H402" t="n">
        <v>0</v>
      </c>
      <c r="I402" t="n">
        <v>0</v>
      </c>
      <c r="J402" t="n">
        <v>0</v>
      </c>
      <c r="K402" t="n">
        <v>0</v>
      </c>
      <c r="L402" t="n">
        <v>0</v>
      </c>
      <c r="M402" t="n">
        <v>0</v>
      </c>
      <c r="N402" t="n">
        <v>0</v>
      </c>
      <c r="O402" t="n">
        <v>0</v>
      </c>
      <c r="P402" t="n">
        <v>0</v>
      </c>
      <c r="Q402" t="n">
        <v>0</v>
      </c>
      <c r="R402" s="2" t="inlineStr"/>
    </row>
    <row r="403" ht="15" customHeight="1">
      <c r="A403" t="inlineStr">
        <is>
          <t>A 26937-2023</t>
        </is>
      </c>
      <c r="B403" s="1" t="n">
        <v>45093.62777777778</v>
      </c>
      <c r="C403" s="1" t="n">
        <v>45960</v>
      </c>
      <c r="D403" t="inlineStr">
        <is>
          <t>KALMAR LÄN</t>
        </is>
      </c>
      <c r="E403" t="inlineStr">
        <is>
          <t>VIMMERBY</t>
        </is>
      </c>
      <c r="F403" t="inlineStr">
        <is>
          <t>Sveaskog</t>
        </is>
      </c>
      <c r="G403" t="n">
        <v>14.5</v>
      </c>
      <c r="H403" t="n">
        <v>0</v>
      </c>
      <c r="I403" t="n">
        <v>0</v>
      </c>
      <c r="J403" t="n">
        <v>0</v>
      </c>
      <c r="K403" t="n">
        <v>0</v>
      </c>
      <c r="L403" t="n">
        <v>0</v>
      </c>
      <c r="M403" t="n">
        <v>0</v>
      </c>
      <c r="N403" t="n">
        <v>0</v>
      </c>
      <c r="O403" t="n">
        <v>0</v>
      </c>
      <c r="P403" t="n">
        <v>0</v>
      </c>
      <c r="Q403" t="n">
        <v>0</v>
      </c>
      <c r="R403" s="2" t="inlineStr"/>
    </row>
    <row r="404" ht="15" customHeight="1">
      <c r="A404" t="inlineStr">
        <is>
          <t>A 40095-2022</t>
        </is>
      </c>
      <c r="B404" s="1" t="n">
        <v>44820</v>
      </c>
      <c r="C404" s="1" t="n">
        <v>45960</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57486-2024</t>
        </is>
      </c>
      <c r="B405" s="1" t="n">
        <v>45630.35827546296</v>
      </c>
      <c r="C405" s="1" t="n">
        <v>45960</v>
      </c>
      <c r="D405" t="inlineStr">
        <is>
          <t>KALMAR LÄN</t>
        </is>
      </c>
      <c r="E405" t="inlineStr">
        <is>
          <t>VIMMERBY</t>
        </is>
      </c>
      <c r="G405" t="n">
        <v>0.4</v>
      </c>
      <c r="H405" t="n">
        <v>0</v>
      </c>
      <c r="I405" t="n">
        <v>0</v>
      </c>
      <c r="J405" t="n">
        <v>0</v>
      </c>
      <c r="K405" t="n">
        <v>0</v>
      </c>
      <c r="L405" t="n">
        <v>0</v>
      </c>
      <c r="M405" t="n">
        <v>0</v>
      </c>
      <c r="N405" t="n">
        <v>0</v>
      </c>
      <c r="O405" t="n">
        <v>0</v>
      </c>
      <c r="P405" t="n">
        <v>0</v>
      </c>
      <c r="Q405" t="n">
        <v>0</v>
      </c>
      <c r="R405" s="2" t="inlineStr"/>
    </row>
    <row r="406" ht="15" customHeight="1">
      <c r="A406" t="inlineStr">
        <is>
          <t>A 29783-2024</t>
        </is>
      </c>
      <c r="B406" s="1" t="n">
        <v>45485.45778935185</v>
      </c>
      <c r="C406" s="1" t="n">
        <v>45960</v>
      </c>
      <c r="D406" t="inlineStr">
        <is>
          <t>KALMAR LÄN</t>
        </is>
      </c>
      <c r="E406" t="inlineStr">
        <is>
          <t>VIMMERBY</t>
        </is>
      </c>
      <c r="G406" t="n">
        <v>3.1</v>
      </c>
      <c r="H406" t="n">
        <v>0</v>
      </c>
      <c r="I406" t="n">
        <v>0</v>
      </c>
      <c r="J406" t="n">
        <v>0</v>
      </c>
      <c r="K406" t="n">
        <v>0</v>
      </c>
      <c r="L406" t="n">
        <v>0</v>
      </c>
      <c r="M406" t="n">
        <v>0</v>
      </c>
      <c r="N406" t="n">
        <v>0</v>
      </c>
      <c r="O406" t="n">
        <v>0</v>
      </c>
      <c r="P406" t="n">
        <v>0</v>
      </c>
      <c r="Q406" t="n">
        <v>0</v>
      </c>
      <c r="R406" s="2" t="inlineStr"/>
    </row>
    <row r="407" ht="15" customHeight="1">
      <c r="A407" t="inlineStr">
        <is>
          <t>A 50085-2023</t>
        </is>
      </c>
      <c r="B407" s="1" t="n">
        <v>45215.5959375</v>
      </c>
      <c r="C407" s="1" t="n">
        <v>45960</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50087-2023</t>
        </is>
      </c>
      <c r="B408" s="1" t="n">
        <v>45215.59743055556</v>
      </c>
      <c r="C408" s="1" t="n">
        <v>45960</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8167-2024</t>
        </is>
      </c>
      <c r="B409" s="1" t="n">
        <v>45351.6062962963</v>
      </c>
      <c r="C409" s="1" t="n">
        <v>45960</v>
      </c>
      <c r="D409" t="inlineStr">
        <is>
          <t>KALMAR LÄN</t>
        </is>
      </c>
      <c r="E409" t="inlineStr">
        <is>
          <t>VIMMERBY</t>
        </is>
      </c>
      <c r="G409" t="n">
        <v>3.8</v>
      </c>
      <c r="H409" t="n">
        <v>0</v>
      </c>
      <c r="I409" t="n">
        <v>0</v>
      </c>
      <c r="J409" t="n">
        <v>0</v>
      </c>
      <c r="K409" t="n">
        <v>0</v>
      </c>
      <c r="L409" t="n">
        <v>0</v>
      </c>
      <c r="M409" t="n">
        <v>0</v>
      </c>
      <c r="N409" t="n">
        <v>0</v>
      </c>
      <c r="O409" t="n">
        <v>0</v>
      </c>
      <c r="P409" t="n">
        <v>0</v>
      </c>
      <c r="Q409" t="n">
        <v>0</v>
      </c>
      <c r="R409" s="2" t="inlineStr"/>
    </row>
    <row r="410" ht="15" customHeight="1">
      <c r="A410" t="inlineStr">
        <is>
          <t>A 9129-2025</t>
        </is>
      </c>
      <c r="B410" s="1" t="n">
        <v>45713.92412037037</v>
      </c>
      <c r="C410" s="1" t="n">
        <v>45960</v>
      </c>
      <c r="D410" t="inlineStr">
        <is>
          <t>KALMAR LÄN</t>
        </is>
      </c>
      <c r="E410" t="inlineStr">
        <is>
          <t>VIMMERBY</t>
        </is>
      </c>
      <c r="G410" t="n">
        <v>2.8</v>
      </c>
      <c r="H410" t="n">
        <v>0</v>
      </c>
      <c r="I410" t="n">
        <v>0</v>
      </c>
      <c r="J410" t="n">
        <v>0</v>
      </c>
      <c r="K410" t="n">
        <v>0</v>
      </c>
      <c r="L410" t="n">
        <v>0</v>
      </c>
      <c r="M410" t="n">
        <v>0</v>
      </c>
      <c r="N410" t="n">
        <v>0</v>
      </c>
      <c r="O410" t="n">
        <v>0</v>
      </c>
      <c r="P410" t="n">
        <v>0</v>
      </c>
      <c r="Q410" t="n">
        <v>0</v>
      </c>
      <c r="R410" s="2" t="inlineStr"/>
    </row>
    <row r="411" ht="15" customHeight="1">
      <c r="A411" t="inlineStr">
        <is>
          <t>A 43186-2021</t>
        </is>
      </c>
      <c r="B411" s="1" t="n">
        <v>44431.84840277778</v>
      </c>
      <c r="C411" s="1" t="n">
        <v>45960</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22197-2024</t>
        </is>
      </c>
      <c r="B412" s="1" t="n">
        <v>45446.36774305555</v>
      </c>
      <c r="C412" s="1" t="n">
        <v>45960</v>
      </c>
      <c r="D412" t="inlineStr">
        <is>
          <t>KALMAR LÄN</t>
        </is>
      </c>
      <c r="E412" t="inlineStr">
        <is>
          <t>VIMMERBY</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53752-2024</t>
        </is>
      </c>
      <c r="B413" s="1" t="n">
        <v>45615.48927083334</v>
      </c>
      <c r="C413" s="1" t="n">
        <v>45960</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35198-2023</t>
        </is>
      </c>
      <c r="B414" s="1" t="n">
        <v>45145</v>
      </c>
      <c r="C414" s="1" t="n">
        <v>45960</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43853-2023</t>
        </is>
      </c>
      <c r="B415" s="1" t="n">
        <v>45187.60813657408</v>
      </c>
      <c r="C415" s="1" t="n">
        <v>45960</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2604-2025</t>
        </is>
      </c>
      <c r="B416" s="1" t="n">
        <v>45674.74094907408</v>
      </c>
      <c r="C416" s="1" t="n">
        <v>45960</v>
      </c>
      <c r="D416" t="inlineStr">
        <is>
          <t>KALMAR LÄN</t>
        </is>
      </c>
      <c r="E416" t="inlineStr">
        <is>
          <t>VIMMERBY</t>
        </is>
      </c>
      <c r="G416" t="n">
        <v>7.6</v>
      </c>
      <c r="H416" t="n">
        <v>0</v>
      </c>
      <c r="I416" t="n">
        <v>0</v>
      </c>
      <c r="J416" t="n">
        <v>0</v>
      </c>
      <c r="K416" t="n">
        <v>0</v>
      </c>
      <c r="L416" t="n">
        <v>0</v>
      </c>
      <c r="M416" t="n">
        <v>0</v>
      </c>
      <c r="N416" t="n">
        <v>0</v>
      </c>
      <c r="O416" t="n">
        <v>0</v>
      </c>
      <c r="P416" t="n">
        <v>0</v>
      </c>
      <c r="Q416" t="n">
        <v>0</v>
      </c>
      <c r="R416" s="2" t="inlineStr"/>
    </row>
    <row r="417" ht="15" customHeight="1">
      <c r="A417" t="inlineStr">
        <is>
          <t>A 1799-2025</t>
        </is>
      </c>
      <c r="B417" s="1" t="n">
        <v>45671.46746527778</v>
      </c>
      <c r="C417" s="1" t="n">
        <v>45960</v>
      </c>
      <c r="D417" t="inlineStr">
        <is>
          <t>KALMAR LÄN</t>
        </is>
      </c>
      <c r="E417" t="inlineStr">
        <is>
          <t>VIMMERBY</t>
        </is>
      </c>
      <c r="G417" t="n">
        <v>3.3</v>
      </c>
      <c r="H417" t="n">
        <v>0</v>
      </c>
      <c r="I417" t="n">
        <v>0</v>
      </c>
      <c r="J417" t="n">
        <v>0</v>
      </c>
      <c r="K417" t="n">
        <v>0</v>
      </c>
      <c r="L417" t="n">
        <v>0</v>
      </c>
      <c r="M417" t="n">
        <v>0</v>
      </c>
      <c r="N417" t="n">
        <v>0</v>
      </c>
      <c r="O417" t="n">
        <v>0</v>
      </c>
      <c r="P417" t="n">
        <v>0</v>
      </c>
      <c r="Q417" t="n">
        <v>0</v>
      </c>
      <c r="R417" s="2" t="inlineStr"/>
    </row>
    <row r="418" ht="15" customHeight="1">
      <c r="A418" t="inlineStr">
        <is>
          <t>A 12121-2025</t>
        </is>
      </c>
      <c r="B418" s="1" t="n">
        <v>45729.36868055556</v>
      </c>
      <c r="C418" s="1" t="n">
        <v>45960</v>
      </c>
      <c r="D418" t="inlineStr">
        <is>
          <t>KALMAR LÄN</t>
        </is>
      </c>
      <c r="E418" t="inlineStr">
        <is>
          <t>VIMMERBY</t>
        </is>
      </c>
      <c r="G418" t="n">
        <v>4.3</v>
      </c>
      <c r="H418" t="n">
        <v>0</v>
      </c>
      <c r="I418" t="n">
        <v>0</v>
      </c>
      <c r="J418" t="n">
        <v>0</v>
      </c>
      <c r="K418" t="n">
        <v>0</v>
      </c>
      <c r="L418" t="n">
        <v>0</v>
      </c>
      <c r="M418" t="n">
        <v>0</v>
      </c>
      <c r="N418" t="n">
        <v>0</v>
      </c>
      <c r="O418" t="n">
        <v>0</v>
      </c>
      <c r="P418" t="n">
        <v>0</v>
      </c>
      <c r="Q418" t="n">
        <v>0</v>
      </c>
      <c r="R418" s="2" t="inlineStr"/>
    </row>
    <row r="419" ht="15" customHeight="1">
      <c r="A419" t="inlineStr">
        <is>
          <t>A 37192-2024</t>
        </is>
      </c>
      <c r="B419" s="1" t="n">
        <v>45539.66027777778</v>
      </c>
      <c r="C419" s="1" t="n">
        <v>45960</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9511-2023</t>
        </is>
      </c>
      <c r="B420" s="1" t="n">
        <v>44981.64725694444</v>
      </c>
      <c r="C420" s="1" t="n">
        <v>45960</v>
      </c>
      <c r="D420" t="inlineStr">
        <is>
          <t>KALMAR LÄN</t>
        </is>
      </c>
      <c r="E420" t="inlineStr">
        <is>
          <t>VIMMERBY</t>
        </is>
      </c>
      <c r="G420" t="n">
        <v>3.5</v>
      </c>
      <c r="H420" t="n">
        <v>0</v>
      </c>
      <c r="I420" t="n">
        <v>0</v>
      </c>
      <c r="J420" t="n">
        <v>0</v>
      </c>
      <c r="K420" t="n">
        <v>0</v>
      </c>
      <c r="L420" t="n">
        <v>0</v>
      </c>
      <c r="M420" t="n">
        <v>0</v>
      </c>
      <c r="N420" t="n">
        <v>0</v>
      </c>
      <c r="O420" t="n">
        <v>0</v>
      </c>
      <c r="P420" t="n">
        <v>0</v>
      </c>
      <c r="Q420" t="n">
        <v>0</v>
      </c>
      <c r="R420" s="2" t="inlineStr"/>
    </row>
    <row r="421" ht="15" customHeight="1">
      <c r="A421" t="inlineStr">
        <is>
          <t>A 42429-2024</t>
        </is>
      </c>
      <c r="B421" s="1" t="n">
        <v>45565.40657407408</v>
      </c>
      <c r="C421" s="1" t="n">
        <v>45960</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38757-2023</t>
        </is>
      </c>
      <c r="B422" s="1" t="n">
        <v>45163.41376157408</v>
      </c>
      <c r="C422" s="1" t="n">
        <v>45960</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9710-2023</t>
        </is>
      </c>
      <c r="B423" s="1" t="n">
        <v>44984</v>
      </c>
      <c r="C423" s="1" t="n">
        <v>45960</v>
      </c>
      <c r="D423" t="inlineStr">
        <is>
          <t>KALMAR LÄN</t>
        </is>
      </c>
      <c r="E423" t="inlineStr">
        <is>
          <t>VIMMERBY</t>
        </is>
      </c>
      <c r="G423" t="n">
        <v>3.7</v>
      </c>
      <c r="H423" t="n">
        <v>0</v>
      </c>
      <c r="I423" t="n">
        <v>0</v>
      </c>
      <c r="J423" t="n">
        <v>0</v>
      </c>
      <c r="K423" t="n">
        <v>0</v>
      </c>
      <c r="L423" t="n">
        <v>0</v>
      </c>
      <c r="M423" t="n">
        <v>0</v>
      </c>
      <c r="N423" t="n">
        <v>0</v>
      </c>
      <c r="O423" t="n">
        <v>0</v>
      </c>
      <c r="P423" t="n">
        <v>0</v>
      </c>
      <c r="Q423" t="n">
        <v>0</v>
      </c>
      <c r="R423" s="2" t="inlineStr"/>
    </row>
    <row r="424" ht="15" customHeight="1">
      <c r="A424" t="inlineStr">
        <is>
          <t>A 9720-2023</t>
        </is>
      </c>
      <c r="B424" s="1" t="n">
        <v>44984</v>
      </c>
      <c r="C424" s="1" t="n">
        <v>45960</v>
      </c>
      <c r="D424" t="inlineStr">
        <is>
          <t>KALMAR LÄN</t>
        </is>
      </c>
      <c r="E424" t="inlineStr">
        <is>
          <t>VIMMERBY</t>
        </is>
      </c>
      <c r="G424" t="n">
        <v>4.4</v>
      </c>
      <c r="H424" t="n">
        <v>0</v>
      </c>
      <c r="I424" t="n">
        <v>0</v>
      </c>
      <c r="J424" t="n">
        <v>0</v>
      </c>
      <c r="K424" t="n">
        <v>0</v>
      </c>
      <c r="L424" t="n">
        <v>0</v>
      </c>
      <c r="M424" t="n">
        <v>0</v>
      </c>
      <c r="N424" t="n">
        <v>0</v>
      </c>
      <c r="O424" t="n">
        <v>0</v>
      </c>
      <c r="P424" t="n">
        <v>0</v>
      </c>
      <c r="Q424" t="n">
        <v>0</v>
      </c>
      <c r="R424" s="2" t="inlineStr"/>
    </row>
    <row r="425" ht="15" customHeight="1">
      <c r="A425" t="inlineStr">
        <is>
          <t>A 29180-2024</t>
        </is>
      </c>
      <c r="B425" s="1" t="n">
        <v>45482.54108796296</v>
      </c>
      <c r="C425" s="1" t="n">
        <v>45960</v>
      </c>
      <c r="D425" t="inlineStr">
        <is>
          <t>KALMAR LÄN</t>
        </is>
      </c>
      <c r="E425" t="inlineStr">
        <is>
          <t>VIMMERBY</t>
        </is>
      </c>
      <c r="G425" t="n">
        <v>3.8</v>
      </c>
      <c r="H425" t="n">
        <v>0</v>
      </c>
      <c r="I425" t="n">
        <v>0</v>
      </c>
      <c r="J425" t="n">
        <v>0</v>
      </c>
      <c r="K425" t="n">
        <v>0</v>
      </c>
      <c r="L425" t="n">
        <v>0</v>
      </c>
      <c r="M425" t="n">
        <v>0</v>
      </c>
      <c r="N425" t="n">
        <v>0</v>
      </c>
      <c r="O425" t="n">
        <v>0</v>
      </c>
      <c r="P425" t="n">
        <v>0</v>
      </c>
      <c r="Q425" t="n">
        <v>0</v>
      </c>
      <c r="R425" s="2" t="inlineStr"/>
    </row>
    <row r="426" ht="15" customHeight="1">
      <c r="A426" t="inlineStr">
        <is>
          <t>A 15493-2023</t>
        </is>
      </c>
      <c r="B426" s="1" t="n">
        <v>45018</v>
      </c>
      <c r="C426" s="1" t="n">
        <v>45960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29973-2023</t>
        </is>
      </c>
      <c r="B427" s="1" t="n">
        <v>45108.703125</v>
      </c>
      <c r="C427" s="1" t="n">
        <v>45960</v>
      </c>
      <c r="D427" t="inlineStr">
        <is>
          <t>KALMAR LÄN</t>
        </is>
      </c>
      <c r="E427" t="inlineStr">
        <is>
          <t>VIMMERBY</t>
        </is>
      </c>
      <c r="G427" t="n">
        <v>4</v>
      </c>
      <c r="H427" t="n">
        <v>0</v>
      </c>
      <c r="I427" t="n">
        <v>0</v>
      </c>
      <c r="J427" t="n">
        <v>0</v>
      </c>
      <c r="K427" t="n">
        <v>0</v>
      </c>
      <c r="L427" t="n">
        <v>0</v>
      </c>
      <c r="M427" t="n">
        <v>0</v>
      </c>
      <c r="N427" t="n">
        <v>0</v>
      </c>
      <c r="O427" t="n">
        <v>0</v>
      </c>
      <c r="P427" t="n">
        <v>0</v>
      </c>
      <c r="Q427" t="n">
        <v>0</v>
      </c>
      <c r="R427" s="2" t="inlineStr"/>
    </row>
    <row r="428" ht="15" customHeight="1">
      <c r="A428" t="inlineStr">
        <is>
          <t>A 30063-2023</t>
        </is>
      </c>
      <c r="B428" s="1" t="n">
        <v>45110.4184375</v>
      </c>
      <c r="C428" s="1" t="n">
        <v>45960</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64143-2021</t>
        </is>
      </c>
      <c r="B429" s="1" t="n">
        <v>44510.52157407408</v>
      </c>
      <c r="C429" s="1" t="n">
        <v>45960</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73938-2021</t>
        </is>
      </c>
      <c r="B430" s="1" t="n">
        <v>44553</v>
      </c>
      <c r="C430" s="1" t="n">
        <v>45960</v>
      </c>
      <c r="D430" t="inlineStr">
        <is>
          <t>KALMAR LÄN</t>
        </is>
      </c>
      <c r="E430" t="inlineStr">
        <is>
          <t>VIMMERBY</t>
        </is>
      </c>
      <c r="G430" t="n">
        <v>3.2</v>
      </c>
      <c r="H430" t="n">
        <v>0</v>
      </c>
      <c r="I430" t="n">
        <v>0</v>
      </c>
      <c r="J430" t="n">
        <v>0</v>
      </c>
      <c r="K430" t="n">
        <v>0</v>
      </c>
      <c r="L430" t="n">
        <v>0</v>
      </c>
      <c r="M430" t="n">
        <v>0</v>
      </c>
      <c r="N430" t="n">
        <v>0</v>
      </c>
      <c r="O430" t="n">
        <v>0</v>
      </c>
      <c r="P430" t="n">
        <v>0</v>
      </c>
      <c r="Q430" t="n">
        <v>0</v>
      </c>
      <c r="R430" s="2" t="inlineStr"/>
    </row>
    <row r="431" ht="15" customHeight="1">
      <c r="A431" t="inlineStr">
        <is>
          <t>A 45846-2023</t>
        </is>
      </c>
      <c r="B431" s="1" t="n">
        <v>45195.58452546296</v>
      </c>
      <c r="C431" s="1" t="n">
        <v>45960</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16020-2023</t>
        </is>
      </c>
      <c r="B432" s="1" t="n">
        <v>45026.82216435186</v>
      </c>
      <c r="C432" s="1" t="n">
        <v>45960</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40076-2021</t>
        </is>
      </c>
      <c r="B433" s="1" t="n">
        <v>44418</v>
      </c>
      <c r="C433" s="1" t="n">
        <v>45960</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61820-2023</t>
        </is>
      </c>
      <c r="B434" s="1" t="n">
        <v>45266.32614583334</v>
      </c>
      <c r="C434" s="1" t="n">
        <v>45960</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50648-2023</t>
        </is>
      </c>
      <c r="B435" s="1" t="n">
        <v>45217.47834490741</v>
      </c>
      <c r="C435" s="1" t="n">
        <v>45960</v>
      </c>
      <c r="D435" t="inlineStr">
        <is>
          <t>KALMAR LÄN</t>
        </is>
      </c>
      <c r="E435" t="inlineStr">
        <is>
          <t>VIMMERBY</t>
        </is>
      </c>
      <c r="G435" t="n">
        <v>1.6</v>
      </c>
      <c r="H435" t="n">
        <v>0</v>
      </c>
      <c r="I435" t="n">
        <v>0</v>
      </c>
      <c r="J435" t="n">
        <v>0</v>
      </c>
      <c r="K435" t="n">
        <v>0</v>
      </c>
      <c r="L435" t="n">
        <v>0</v>
      </c>
      <c r="M435" t="n">
        <v>0</v>
      </c>
      <c r="N435" t="n">
        <v>0</v>
      </c>
      <c r="O435" t="n">
        <v>0</v>
      </c>
      <c r="P435" t="n">
        <v>0</v>
      </c>
      <c r="Q435" t="n">
        <v>0</v>
      </c>
      <c r="R435" s="2" t="inlineStr"/>
    </row>
    <row r="436" ht="15" customHeight="1">
      <c r="A436" t="inlineStr">
        <is>
          <t>A 529-2022</t>
        </is>
      </c>
      <c r="B436" s="1" t="n">
        <v>44566</v>
      </c>
      <c r="C436" s="1" t="n">
        <v>45960</v>
      </c>
      <c r="D436" t="inlineStr">
        <is>
          <t>KALMAR LÄN</t>
        </is>
      </c>
      <c r="E436" t="inlineStr">
        <is>
          <t>VIMMERBY</t>
        </is>
      </c>
      <c r="G436" t="n">
        <v>1.5</v>
      </c>
      <c r="H436" t="n">
        <v>0</v>
      </c>
      <c r="I436" t="n">
        <v>0</v>
      </c>
      <c r="J436" t="n">
        <v>0</v>
      </c>
      <c r="K436" t="n">
        <v>0</v>
      </c>
      <c r="L436" t="n">
        <v>0</v>
      </c>
      <c r="M436" t="n">
        <v>0</v>
      </c>
      <c r="N436" t="n">
        <v>0</v>
      </c>
      <c r="O436" t="n">
        <v>0</v>
      </c>
      <c r="P436" t="n">
        <v>0</v>
      </c>
      <c r="Q436" t="n">
        <v>0</v>
      </c>
      <c r="R436" s="2" t="inlineStr"/>
    </row>
    <row r="437" ht="15" customHeight="1">
      <c r="A437" t="inlineStr">
        <is>
          <t>A 58318-2021</t>
        </is>
      </c>
      <c r="B437" s="1" t="n">
        <v>44488.35878472222</v>
      </c>
      <c r="C437" s="1" t="n">
        <v>45960</v>
      </c>
      <c r="D437" t="inlineStr">
        <is>
          <t>KALMAR LÄN</t>
        </is>
      </c>
      <c r="E437" t="inlineStr">
        <is>
          <t>VIMMERBY</t>
        </is>
      </c>
      <c r="G437" t="n">
        <v>4</v>
      </c>
      <c r="H437" t="n">
        <v>0</v>
      </c>
      <c r="I437" t="n">
        <v>0</v>
      </c>
      <c r="J437" t="n">
        <v>0</v>
      </c>
      <c r="K437" t="n">
        <v>0</v>
      </c>
      <c r="L437" t="n">
        <v>0</v>
      </c>
      <c r="M437" t="n">
        <v>0</v>
      </c>
      <c r="N437" t="n">
        <v>0</v>
      </c>
      <c r="O437" t="n">
        <v>0</v>
      </c>
      <c r="P437" t="n">
        <v>0</v>
      </c>
      <c r="Q437" t="n">
        <v>0</v>
      </c>
      <c r="R437" s="2" t="inlineStr"/>
    </row>
    <row r="438" ht="15" customHeight="1">
      <c r="A438" t="inlineStr">
        <is>
          <t>A 29093-2023</t>
        </is>
      </c>
      <c r="B438" s="1" t="n">
        <v>45105</v>
      </c>
      <c r="C438" s="1" t="n">
        <v>45960</v>
      </c>
      <c r="D438" t="inlineStr">
        <is>
          <t>KALMAR LÄN</t>
        </is>
      </c>
      <c r="E438" t="inlineStr">
        <is>
          <t>VIMMERBY</t>
        </is>
      </c>
      <c r="G438" t="n">
        <v>2.9</v>
      </c>
      <c r="H438" t="n">
        <v>0</v>
      </c>
      <c r="I438" t="n">
        <v>0</v>
      </c>
      <c r="J438" t="n">
        <v>0</v>
      </c>
      <c r="K438" t="n">
        <v>0</v>
      </c>
      <c r="L438" t="n">
        <v>0</v>
      </c>
      <c r="M438" t="n">
        <v>0</v>
      </c>
      <c r="N438" t="n">
        <v>0</v>
      </c>
      <c r="O438" t="n">
        <v>0</v>
      </c>
      <c r="P438" t="n">
        <v>0</v>
      </c>
      <c r="Q438" t="n">
        <v>0</v>
      </c>
      <c r="R438" s="2" t="inlineStr"/>
    </row>
    <row r="439" ht="15" customHeight="1">
      <c r="A439" t="inlineStr">
        <is>
          <t>A 89-2023</t>
        </is>
      </c>
      <c r="B439" s="1" t="n">
        <v>44918</v>
      </c>
      <c r="C439" s="1" t="n">
        <v>45960</v>
      </c>
      <c r="D439" t="inlineStr">
        <is>
          <t>KALMAR LÄN</t>
        </is>
      </c>
      <c r="E439" t="inlineStr">
        <is>
          <t>VIMMERBY</t>
        </is>
      </c>
      <c r="G439" t="n">
        <v>16.1</v>
      </c>
      <c r="H439" t="n">
        <v>0</v>
      </c>
      <c r="I439" t="n">
        <v>0</v>
      </c>
      <c r="J439" t="n">
        <v>0</v>
      </c>
      <c r="K439" t="n">
        <v>0</v>
      </c>
      <c r="L439" t="n">
        <v>0</v>
      </c>
      <c r="M439" t="n">
        <v>0</v>
      </c>
      <c r="N439" t="n">
        <v>0</v>
      </c>
      <c r="O439" t="n">
        <v>0</v>
      </c>
      <c r="P439" t="n">
        <v>0</v>
      </c>
      <c r="Q439" t="n">
        <v>0</v>
      </c>
      <c r="R439" s="2" t="inlineStr"/>
    </row>
    <row r="440" ht="15" customHeight="1">
      <c r="A440" t="inlineStr">
        <is>
          <t>A 33352-2022</t>
        </is>
      </c>
      <c r="B440" s="1" t="n">
        <v>44788</v>
      </c>
      <c r="C440" s="1" t="n">
        <v>45960</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23088-2024</t>
        </is>
      </c>
      <c r="B441" s="1" t="n">
        <v>45450.51092592593</v>
      </c>
      <c r="C441" s="1" t="n">
        <v>45960</v>
      </c>
      <c r="D441" t="inlineStr">
        <is>
          <t>KALMAR LÄN</t>
        </is>
      </c>
      <c r="E441" t="inlineStr">
        <is>
          <t>VIMMERBY</t>
        </is>
      </c>
      <c r="G441" t="n">
        <v>1.9</v>
      </c>
      <c r="H441" t="n">
        <v>0</v>
      </c>
      <c r="I441" t="n">
        <v>0</v>
      </c>
      <c r="J441" t="n">
        <v>0</v>
      </c>
      <c r="K441" t="n">
        <v>0</v>
      </c>
      <c r="L441" t="n">
        <v>0</v>
      </c>
      <c r="M441" t="n">
        <v>0</v>
      </c>
      <c r="N441" t="n">
        <v>0</v>
      </c>
      <c r="O441" t="n">
        <v>0</v>
      </c>
      <c r="P441" t="n">
        <v>0</v>
      </c>
      <c r="Q441" t="n">
        <v>0</v>
      </c>
      <c r="R441" s="2" t="inlineStr"/>
    </row>
    <row r="442" ht="15" customHeight="1">
      <c r="A442" t="inlineStr">
        <is>
          <t>A 10674-2021</t>
        </is>
      </c>
      <c r="B442" s="1" t="n">
        <v>44258</v>
      </c>
      <c r="C442" s="1" t="n">
        <v>45960</v>
      </c>
      <c r="D442" t="inlineStr">
        <is>
          <t>KALMAR LÄN</t>
        </is>
      </c>
      <c r="E442" t="inlineStr">
        <is>
          <t>VIMMERBY</t>
        </is>
      </c>
      <c r="G442" t="n">
        <v>8.4</v>
      </c>
      <c r="H442" t="n">
        <v>0</v>
      </c>
      <c r="I442" t="n">
        <v>0</v>
      </c>
      <c r="J442" t="n">
        <v>0</v>
      </c>
      <c r="K442" t="n">
        <v>0</v>
      </c>
      <c r="L442" t="n">
        <v>0</v>
      </c>
      <c r="M442" t="n">
        <v>0</v>
      </c>
      <c r="N442" t="n">
        <v>0</v>
      </c>
      <c r="O442" t="n">
        <v>0</v>
      </c>
      <c r="P442" t="n">
        <v>0</v>
      </c>
      <c r="Q442" t="n">
        <v>0</v>
      </c>
      <c r="R442" s="2" t="inlineStr"/>
    </row>
    <row r="443" ht="15" customHeight="1">
      <c r="A443" t="inlineStr">
        <is>
          <t>A 22264-2023</t>
        </is>
      </c>
      <c r="B443" s="1" t="n">
        <v>45070.3665625</v>
      </c>
      <c r="C443" s="1" t="n">
        <v>45960</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38851-2023</t>
        </is>
      </c>
      <c r="B444" s="1" t="n">
        <v>45163</v>
      </c>
      <c r="C444" s="1" t="n">
        <v>45960</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10759-2023</t>
        </is>
      </c>
      <c r="B445" s="1" t="n">
        <v>44988</v>
      </c>
      <c r="C445" s="1" t="n">
        <v>45960</v>
      </c>
      <c r="D445" t="inlineStr">
        <is>
          <t>KALMAR LÄN</t>
        </is>
      </c>
      <c r="E445" t="inlineStr">
        <is>
          <t>VIMMERBY</t>
        </is>
      </c>
      <c r="G445" t="n">
        <v>0.4</v>
      </c>
      <c r="H445" t="n">
        <v>0</v>
      </c>
      <c r="I445" t="n">
        <v>0</v>
      </c>
      <c r="J445" t="n">
        <v>0</v>
      </c>
      <c r="K445" t="n">
        <v>0</v>
      </c>
      <c r="L445" t="n">
        <v>0</v>
      </c>
      <c r="M445" t="n">
        <v>0</v>
      </c>
      <c r="N445" t="n">
        <v>0</v>
      </c>
      <c r="O445" t="n">
        <v>0</v>
      </c>
      <c r="P445" t="n">
        <v>0</v>
      </c>
      <c r="Q445" t="n">
        <v>0</v>
      </c>
      <c r="R445" s="2" t="inlineStr"/>
    </row>
    <row r="446" ht="15" customHeight="1">
      <c r="A446" t="inlineStr">
        <is>
          <t>A 16676-2023</t>
        </is>
      </c>
      <c r="B446" s="1" t="n">
        <v>45028</v>
      </c>
      <c r="C446" s="1" t="n">
        <v>45960</v>
      </c>
      <c r="D446" t="inlineStr">
        <is>
          <t>KALMAR LÄN</t>
        </is>
      </c>
      <c r="E446" t="inlineStr">
        <is>
          <t>VIMMERBY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63583-2023</t>
        </is>
      </c>
      <c r="B447" s="1" t="n">
        <v>45275.41833333333</v>
      </c>
      <c r="C447" s="1" t="n">
        <v>45960</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6220-2025</t>
        </is>
      </c>
      <c r="B448" s="1" t="n">
        <v>45698.53725694444</v>
      </c>
      <c r="C448" s="1" t="n">
        <v>45960</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40079-2023</t>
        </is>
      </c>
      <c r="B449" s="1" t="n">
        <v>45168.89298611111</v>
      </c>
      <c r="C449" s="1" t="n">
        <v>45960</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43774-2023</t>
        </is>
      </c>
      <c r="B450" s="1" t="n">
        <v>45187</v>
      </c>
      <c r="C450" s="1" t="n">
        <v>45960</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43068-2023</t>
        </is>
      </c>
      <c r="B451" s="1" t="n">
        <v>45182.78834490741</v>
      </c>
      <c r="C451" s="1" t="n">
        <v>45960</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45560-2021</t>
        </is>
      </c>
      <c r="B452" s="1" t="n">
        <v>44440</v>
      </c>
      <c r="C452" s="1" t="n">
        <v>45960</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24096-2024</t>
        </is>
      </c>
      <c r="B453" s="1" t="n">
        <v>45456.59289351852</v>
      </c>
      <c r="C453" s="1" t="n">
        <v>45960</v>
      </c>
      <c r="D453" t="inlineStr">
        <is>
          <t>KALMAR LÄN</t>
        </is>
      </c>
      <c r="E453" t="inlineStr">
        <is>
          <t>VIMMERBY</t>
        </is>
      </c>
      <c r="G453" t="n">
        <v>2.3</v>
      </c>
      <c r="H453" t="n">
        <v>0</v>
      </c>
      <c r="I453" t="n">
        <v>0</v>
      </c>
      <c r="J453" t="n">
        <v>0</v>
      </c>
      <c r="K453" t="n">
        <v>0</v>
      </c>
      <c r="L453" t="n">
        <v>0</v>
      </c>
      <c r="M453" t="n">
        <v>0</v>
      </c>
      <c r="N453" t="n">
        <v>0</v>
      </c>
      <c r="O453" t="n">
        <v>0</v>
      </c>
      <c r="P453" t="n">
        <v>0</v>
      </c>
      <c r="Q453" t="n">
        <v>0</v>
      </c>
      <c r="R453" s="2" t="inlineStr"/>
    </row>
    <row r="454" ht="15" customHeight="1">
      <c r="A454" t="inlineStr">
        <is>
          <t>A 29616-2022</t>
        </is>
      </c>
      <c r="B454" s="1" t="n">
        <v>44754</v>
      </c>
      <c r="C454" s="1" t="n">
        <v>45960</v>
      </c>
      <c r="D454" t="inlineStr">
        <is>
          <t>KALMAR LÄN</t>
        </is>
      </c>
      <c r="E454" t="inlineStr">
        <is>
          <t>VIMMERBY</t>
        </is>
      </c>
      <c r="G454" t="n">
        <v>1.1</v>
      </c>
      <c r="H454" t="n">
        <v>0</v>
      </c>
      <c r="I454" t="n">
        <v>0</v>
      </c>
      <c r="J454" t="n">
        <v>0</v>
      </c>
      <c r="K454" t="n">
        <v>0</v>
      </c>
      <c r="L454" t="n">
        <v>0</v>
      </c>
      <c r="M454" t="n">
        <v>0</v>
      </c>
      <c r="N454" t="n">
        <v>0</v>
      </c>
      <c r="O454" t="n">
        <v>0</v>
      </c>
      <c r="P454" t="n">
        <v>0</v>
      </c>
      <c r="Q454" t="n">
        <v>0</v>
      </c>
      <c r="R454" s="2" t="inlineStr"/>
    </row>
    <row r="455" ht="15" customHeight="1">
      <c r="A455" t="inlineStr">
        <is>
          <t>A 29013-2024</t>
        </is>
      </c>
      <c r="B455" s="1" t="n">
        <v>45481.55984953704</v>
      </c>
      <c r="C455" s="1" t="n">
        <v>45960</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40256-2024</t>
        </is>
      </c>
      <c r="B456" s="1" t="n">
        <v>45554.62944444444</v>
      </c>
      <c r="C456" s="1" t="n">
        <v>45960</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6066-2023</t>
        </is>
      </c>
      <c r="B457" s="1" t="n">
        <v>44964.50894675926</v>
      </c>
      <c r="C457" s="1" t="n">
        <v>45960</v>
      </c>
      <c r="D457" t="inlineStr">
        <is>
          <t>KALMAR LÄN</t>
        </is>
      </c>
      <c r="E457" t="inlineStr">
        <is>
          <t>VIMMERBY</t>
        </is>
      </c>
      <c r="G457" t="n">
        <v>2.8</v>
      </c>
      <c r="H457" t="n">
        <v>0</v>
      </c>
      <c r="I457" t="n">
        <v>0</v>
      </c>
      <c r="J457" t="n">
        <v>0</v>
      </c>
      <c r="K457" t="n">
        <v>0</v>
      </c>
      <c r="L457" t="n">
        <v>0</v>
      </c>
      <c r="M457" t="n">
        <v>0</v>
      </c>
      <c r="N457" t="n">
        <v>0</v>
      </c>
      <c r="O457" t="n">
        <v>0</v>
      </c>
      <c r="P457" t="n">
        <v>0</v>
      </c>
      <c r="Q457" t="n">
        <v>0</v>
      </c>
      <c r="R457" s="2" t="inlineStr"/>
    </row>
    <row r="458" ht="15" customHeight="1">
      <c r="A458" t="inlineStr">
        <is>
          <t>A 59955-2023</t>
        </is>
      </c>
      <c r="B458" s="1" t="n">
        <v>45257.70313657408</v>
      </c>
      <c r="C458" s="1" t="n">
        <v>45960</v>
      </c>
      <c r="D458" t="inlineStr">
        <is>
          <t>KALMAR LÄN</t>
        </is>
      </c>
      <c r="E458" t="inlineStr">
        <is>
          <t>VIMMERBY</t>
        </is>
      </c>
      <c r="G458" t="n">
        <v>13.8</v>
      </c>
      <c r="H458" t="n">
        <v>0</v>
      </c>
      <c r="I458" t="n">
        <v>0</v>
      </c>
      <c r="J458" t="n">
        <v>0</v>
      </c>
      <c r="K458" t="n">
        <v>0</v>
      </c>
      <c r="L458" t="n">
        <v>0</v>
      </c>
      <c r="M458" t="n">
        <v>0</v>
      </c>
      <c r="N458" t="n">
        <v>0</v>
      </c>
      <c r="O458" t="n">
        <v>0</v>
      </c>
      <c r="P458" t="n">
        <v>0</v>
      </c>
      <c r="Q458" t="n">
        <v>0</v>
      </c>
      <c r="R458" s="2" t="inlineStr"/>
    </row>
    <row r="459" ht="15" customHeight="1">
      <c r="A459" t="inlineStr">
        <is>
          <t>A 58104-2024</t>
        </is>
      </c>
      <c r="B459" s="1" t="n">
        <v>45632.37459490741</v>
      </c>
      <c r="C459" s="1" t="n">
        <v>45960</v>
      </c>
      <c r="D459" t="inlineStr">
        <is>
          <t>KALMAR LÄN</t>
        </is>
      </c>
      <c r="E459" t="inlineStr">
        <is>
          <t>VIMMERBY</t>
        </is>
      </c>
      <c r="G459" t="n">
        <v>5</v>
      </c>
      <c r="H459" t="n">
        <v>0</v>
      </c>
      <c r="I459" t="n">
        <v>0</v>
      </c>
      <c r="J459" t="n">
        <v>0</v>
      </c>
      <c r="K459" t="n">
        <v>0</v>
      </c>
      <c r="L459" t="n">
        <v>0</v>
      </c>
      <c r="M459" t="n">
        <v>0</v>
      </c>
      <c r="N459" t="n">
        <v>0</v>
      </c>
      <c r="O459" t="n">
        <v>0</v>
      </c>
      <c r="P459" t="n">
        <v>0</v>
      </c>
      <c r="Q459" t="n">
        <v>0</v>
      </c>
      <c r="R459" s="2" t="inlineStr"/>
    </row>
    <row r="460" ht="15" customHeight="1">
      <c r="A460" t="inlineStr">
        <is>
          <t>A 39578-2024</t>
        </is>
      </c>
      <c r="B460" s="1" t="n">
        <v>45552.36484953704</v>
      </c>
      <c r="C460" s="1" t="n">
        <v>45960</v>
      </c>
      <c r="D460" t="inlineStr">
        <is>
          <t>KALMAR LÄN</t>
        </is>
      </c>
      <c r="E460" t="inlineStr">
        <is>
          <t>VIMMERBY</t>
        </is>
      </c>
      <c r="G460" t="n">
        <v>1.5</v>
      </c>
      <c r="H460" t="n">
        <v>0</v>
      </c>
      <c r="I460" t="n">
        <v>0</v>
      </c>
      <c r="J460" t="n">
        <v>0</v>
      </c>
      <c r="K460" t="n">
        <v>0</v>
      </c>
      <c r="L460" t="n">
        <v>0</v>
      </c>
      <c r="M460" t="n">
        <v>0</v>
      </c>
      <c r="N460" t="n">
        <v>0</v>
      </c>
      <c r="O460" t="n">
        <v>0</v>
      </c>
      <c r="P460" t="n">
        <v>0</v>
      </c>
      <c r="Q460" t="n">
        <v>0</v>
      </c>
      <c r="R460" s="2" t="inlineStr"/>
    </row>
    <row r="461" ht="15" customHeight="1">
      <c r="A461" t="inlineStr">
        <is>
          <t>A 24707-2024</t>
        </is>
      </c>
      <c r="B461" s="1" t="n">
        <v>45460.62172453704</v>
      </c>
      <c r="C461" s="1" t="n">
        <v>45960</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36040-2024</t>
        </is>
      </c>
      <c r="B462" s="1" t="n">
        <v>45533.60232638889</v>
      </c>
      <c r="C462" s="1" t="n">
        <v>45960</v>
      </c>
      <c r="D462" t="inlineStr">
        <is>
          <t>KALMAR LÄN</t>
        </is>
      </c>
      <c r="E462" t="inlineStr">
        <is>
          <t>VIMMERBY</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36043-2024</t>
        </is>
      </c>
      <c r="B463" s="1" t="n">
        <v>45533.60770833334</v>
      </c>
      <c r="C463" s="1" t="n">
        <v>45960</v>
      </c>
      <c r="D463" t="inlineStr">
        <is>
          <t>KALMAR LÄN</t>
        </is>
      </c>
      <c r="E463" t="inlineStr">
        <is>
          <t>VIMMERBY</t>
        </is>
      </c>
      <c r="F463" t="inlineStr">
        <is>
          <t>Kommuner</t>
        </is>
      </c>
      <c r="G463" t="n">
        <v>1.5</v>
      </c>
      <c r="H463" t="n">
        <v>0</v>
      </c>
      <c r="I463" t="n">
        <v>0</v>
      </c>
      <c r="J463" t="n">
        <v>0</v>
      </c>
      <c r="K463" t="n">
        <v>0</v>
      </c>
      <c r="L463" t="n">
        <v>0</v>
      </c>
      <c r="M463" t="n">
        <v>0</v>
      </c>
      <c r="N463" t="n">
        <v>0</v>
      </c>
      <c r="O463" t="n">
        <v>0</v>
      </c>
      <c r="P463" t="n">
        <v>0</v>
      </c>
      <c r="Q463" t="n">
        <v>0</v>
      </c>
      <c r="R463" s="2" t="inlineStr"/>
    </row>
    <row r="464" ht="15" customHeight="1">
      <c r="A464" t="inlineStr">
        <is>
          <t>A 12890-2023</t>
        </is>
      </c>
      <c r="B464" s="1" t="n">
        <v>45001.59209490741</v>
      </c>
      <c r="C464" s="1" t="n">
        <v>45960</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36259-2022</t>
        </is>
      </c>
      <c r="B465" s="1" t="n">
        <v>44803.59118055556</v>
      </c>
      <c r="C465" s="1" t="n">
        <v>45960</v>
      </c>
      <c r="D465" t="inlineStr">
        <is>
          <t>KALMAR LÄN</t>
        </is>
      </c>
      <c r="E465" t="inlineStr">
        <is>
          <t>VIMMERBY</t>
        </is>
      </c>
      <c r="G465" t="n">
        <v>3.9</v>
      </c>
      <c r="H465" t="n">
        <v>0</v>
      </c>
      <c r="I465" t="n">
        <v>0</v>
      </c>
      <c r="J465" t="n">
        <v>0</v>
      </c>
      <c r="K465" t="n">
        <v>0</v>
      </c>
      <c r="L465" t="n">
        <v>0</v>
      </c>
      <c r="M465" t="n">
        <v>0</v>
      </c>
      <c r="N465" t="n">
        <v>0</v>
      </c>
      <c r="O465" t="n">
        <v>0</v>
      </c>
      <c r="P465" t="n">
        <v>0</v>
      </c>
      <c r="Q465" t="n">
        <v>0</v>
      </c>
      <c r="R465" s="2" t="inlineStr"/>
    </row>
    <row r="466" ht="15" customHeight="1">
      <c r="A466" t="inlineStr">
        <is>
          <t>A 43034-2024</t>
        </is>
      </c>
      <c r="B466" s="1" t="n">
        <v>45567.42011574074</v>
      </c>
      <c r="C466" s="1" t="n">
        <v>45960</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43594-2024</t>
        </is>
      </c>
      <c r="B467" s="1" t="n">
        <v>45569.44295138889</v>
      </c>
      <c r="C467" s="1" t="n">
        <v>45960</v>
      </c>
      <c r="D467" t="inlineStr">
        <is>
          <t>KALMAR LÄN</t>
        </is>
      </c>
      <c r="E467" t="inlineStr">
        <is>
          <t>VIMMERBY</t>
        </is>
      </c>
      <c r="G467" t="n">
        <v>3.9</v>
      </c>
      <c r="H467" t="n">
        <v>0</v>
      </c>
      <c r="I467" t="n">
        <v>0</v>
      </c>
      <c r="J467" t="n">
        <v>0</v>
      </c>
      <c r="K467" t="n">
        <v>0</v>
      </c>
      <c r="L467" t="n">
        <v>0</v>
      </c>
      <c r="M467" t="n">
        <v>0</v>
      </c>
      <c r="N467" t="n">
        <v>0</v>
      </c>
      <c r="O467" t="n">
        <v>0</v>
      </c>
      <c r="P467" t="n">
        <v>0</v>
      </c>
      <c r="Q467" t="n">
        <v>0</v>
      </c>
      <c r="R467" s="2" t="inlineStr"/>
    </row>
    <row r="468" ht="15" customHeight="1">
      <c r="A468" t="inlineStr">
        <is>
          <t>A 53482-2022</t>
        </is>
      </c>
      <c r="B468" s="1" t="n">
        <v>44879</v>
      </c>
      <c r="C468" s="1" t="n">
        <v>45960</v>
      </c>
      <c r="D468" t="inlineStr">
        <is>
          <t>KALMAR LÄN</t>
        </is>
      </c>
      <c r="E468" t="inlineStr">
        <is>
          <t>VIMMERBY</t>
        </is>
      </c>
      <c r="G468" t="n">
        <v>10.1</v>
      </c>
      <c r="H468" t="n">
        <v>0</v>
      </c>
      <c r="I468" t="n">
        <v>0</v>
      </c>
      <c r="J468" t="n">
        <v>0</v>
      </c>
      <c r="K468" t="n">
        <v>0</v>
      </c>
      <c r="L468" t="n">
        <v>0</v>
      </c>
      <c r="M468" t="n">
        <v>0</v>
      </c>
      <c r="N468" t="n">
        <v>0</v>
      </c>
      <c r="O468" t="n">
        <v>0</v>
      </c>
      <c r="P468" t="n">
        <v>0</v>
      </c>
      <c r="Q468" t="n">
        <v>0</v>
      </c>
      <c r="R468" s="2" t="inlineStr"/>
    </row>
    <row r="469" ht="15" customHeight="1">
      <c r="A469" t="inlineStr">
        <is>
          <t>A 3902-2022</t>
        </is>
      </c>
      <c r="B469" s="1" t="n">
        <v>44587.48847222222</v>
      </c>
      <c r="C469" s="1" t="n">
        <v>45960</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31056-2022</t>
        </is>
      </c>
      <c r="B470" s="1" t="n">
        <v>44769.45805555556</v>
      </c>
      <c r="C470" s="1" t="n">
        <v>45960</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30070-2023</t>
        </is>
      </c>
      <c r="B471" s="1" t="n">
        <v>45110.4275</v>
      </c>
      <c r="C471" s="1" t="n">
        <v>45960</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33383-2023</t>
        </is>
      </c>
      <c r="B472" s="1" t="n">
        <v>45128.58414351852</v>
      </c>
      <c r="C472" s="1" t="n">
        <v>45960</v>
      </c>
      <c r="D472" t="inlineStr">
        <is>
          <t>KALMAR LÄN</t>
        </is>
      </c>
      <c r="E472" t="inlineStr">
        <is>
          <t>VIMMERBY</t>
        </is>
      </c>
      <c r="G472" t="n">
        <v>2.3</v>
      </c>
      <c r="H472" t="n">
        <v>0</v>
      </c>
      <c r="I472" t="n">
        <v>0</v>
      </c>
      <c r="J472" t="n">
        <v>0</v>
      </c>
      <c r="K472" t="n">
        <v>0</v>
      </c>
      <c r="L472" t="n">
        <v>0</v>
      </c>
      <c r="M472" t="n">
        <v>0</v>
      </c>
      <c r="N472" t="n">
        <v>0</v>
      </c>
      <c r="O472" t="n">
        <v>0</v>
      </c>
      <c r="P472" t="n">
        <v>0</v>
      </c>
      <c r="Q472" t="n">
        <v>0</v>
      </c>
      <c r="R472" s="2" t="inlineStr"/>
    </row>
    <row r="473" ht="15" customHeight="1">
      <c r="A473" t="inlineStr">
        <is>
          <t>A 27761-2024</t>
        </is>
      </c>
      <c r="B473" s="1" t="n">
        <v>45475.49018518518</v>
      </c>
      <c r="C473" s="1" t="n">
        <v>45960</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64203-2021</t>
        </is>
      </c>
      <c r="B474" s="1" t="n">
        <v>44510.60921296296</v>
      </c>
      <c r="C474" s="1" t="n">
        <v>45960</v>
      </c>
      <c r="D474" t="inlineStr">
        <is>
          <t>KALMAR LÄN</t>
        </is>
      </c>
      <c r="E474" t="inlineStr">
        <is>
          <t>VIMMERBY</t>
        </is>
      </c>
      <c r="F474" t="inlineStr">
        <is>
          <t>Övriga Aktiebolag</t>
        </is>
      </c>
      <c r="G474" t="n">
        <v>5.4</v>
      </c>
      <c r="H474" t="n">
        <v>0</v>
      </c>
      <c r="I474" t="n">
        <v>0</v>
      </c>
      <c r="J474" t="n">
        <v>0</v>
      </c>
      <c r="K474" t="n">
        <v>0</v>
      </c>
      <c r="L474" t="n">
        <v>0</v>
      </c>
      <c r="M474" t="n">
        <v>0</v>
      </c>
      <c r="N474" t="n">
        <v>0</v>
      </c>
      <c r="O474" t="n">
        <v>0</v>
      </c>
      <c r="P474" t="n">
        <v>0</v>
      </c>
      <c r="Q474" t="n">
        <v>0</v>
      </c>
      <c r="R474" s="2" t="inlineStr"/>
    </row>
    <row r="475" ht="15" customHeight="1">
      <c r="A475" t="inlineStr">
        <is>
          <t>A 40828-2023</t>
        </is>
      </c>
      <c r="B475" s="1" t="n">
        <v>45171.96248842592</v>
      </c>
      <c r="C475" s="1" t="n">
        <v>45960</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5720-2023</t>
        </is>
      </c>
      <c r="B476" s="1" t="n">
        <v>44961</v>
      </c>
      <c r="C476" s="1" t="n">
        <v>45960</v>
      </c>
      <c r="D476" t="inlineStr">
        <is>
          <t>KALMAR LÄN</t>
        </is>
      </c>
      <c r="E476" t="inlineStr">
        <is>
          <t>VIMMERBY</t>
        </is>
      </c>
      <c r="G476" t="n">
        <v>1.4</v>
      </c>
      <c r="H476" t="n">
        <v>0</v>
      </c>
      <c r="I476" t="n">
        <v>0</v>
      </c>
      <c r="J476" t="n">
        <v>0</v>
      </c>
      <c r="K476" t="n">
        <v>0</v>
      </c>
      <c r="L476" t="n">
        <v>0</v>
      </c>
      <c r="M476" t="n">
        <v>0</v>
      </c>
      <c r="N476" t="n">
        <v>0</v>
      </c>
      <c r="O476" t="n">
        <v>0</v>
      </c>
      <c r="P476" t="n">
        <v>0</v>
      </c>
      <c r="Q476" t="n">
        <v>0</v>
      </c>
      <c r="R476" s="2" t="inlineStr"/>
    </row>
    <row r="477" ht="15" customHeight="1">
      <c r="A477" t="inlineStr">
        <is>
          <t>A 9643-2023</t>
        </is>
      </c>
      <c r="B477" s="1" t="n">
        <v>44984</v>
      </c>
      <c r="C477" s="1" t="n">
        <v>45960</v>
      </c>
      <c r="D477" t="inlineStr">
        <is>
          <t>KALMAR LÄN</t>
        </is>
      </c>
      <c r="E477" t="inlineStr">
        <is>
          <t>VIMMERBY</t>
        </is>
      </c>
      <c r="G477" t="n">
        <v>2</v>
      </c>
      <c r="H477" t="n">
        <v>0</v>
      </c>
      <c r="I477" t="n">
        <v>0</v>
      </c>
      <c r="J477" t="n">
        <v>0</v>
      </c>
      <c r="K477" t="n">
        <v>0</v>
      </c>
      <c r="L477" t="n">
        <v>0</v>
      </c>
      <c r="M477" t="n">
        <v>0</v>
      </c>
      <c r="N477" t="n">
        <v>0</v>
      </c>
      <c r="O477" t="n">
        <v>0</v>
      </c>
      <c r="P477" t="n">
        <v>0</v>
      </c>
      <c r="Q477" t="n">
        <v>0</v>
      </c>
      <c r="R477" s="2" t="inlineStr"/>
    </row>
    <row r="478" ht="15" customHeight="1">
      <c r="A478" t="inlineStr">
        <is>
          <t>A 25728-2023</t>
        </is>
      </c>
      <c r="B478" s="1" t="n">
        <v>45090.38012731481</v>
      </c>
      <c r="C478" s="1" t="n">
        <v>45960</v>
      </c>
      <c r="D478" t="inlineStr">
        <is>
          <t>KALMAR LÄN</t>
        </is>
      </c>
      <c r="E478" t="inlineStr">
        <is>
          <t>VIMMERBY</t>
        </is>
      </c>
      <c r="G478" t="n">
        <v>1.1</v>
      </c>
      <c r="H478" t="n">
        <v>0</v>
      </c>
      <c r="I478" t="n">
        <v>0</v>
      </c>
      <c r="J478" t="n">
        <v>0</v>
      </c>
      <c r="K478" t="n">
        <v>0</v>
      </c>
      <c r="L478" t="n">
        <v>0</v>
      </c>
      <c r="M478" t="n">
        <v>0</v>
      </c>
      <c r="N478" t="n">
        <v>0</v>
      </c>
      <c r="O478" t="n">
        <v>0</v>
      </c>
      <c r="P478" t="n">
        <v>0</v>
      </c>
      <c r="Q478" t="n">
        <v>0</v>
      </c>
      <c r="R478" s="2" t="inlineStr"/>
    </row>
    <row r="479" ht="15" customHeight="1">
      <c r="A479" t="inlineStr">
        <is>
          <t>A 61861-2024</t>
        </is>
      </c>
      <c r="B479" s="1" t="n">
        <v>45650.37370370371</v>
      </c>
      <c r="C479" s="1" t="n">
        <v>45960</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18020-2025</t>
        </is>
      </c>
      <c r="B480" s="1" t="n">
        <v>45761.4437962963</v>
      </c>
      <c r="C480" s="1" t="n">
        <v>45960</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31209-2024</t>
        </is>
      </c>
      <c r="B481" s="1" t="n">
        <v>45503.5658912037</v>
      </c>
      <c r="C481" s="1" t="n">
        <v>45960</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33424-2023</t>
        </is>
      </c>
      <c r="B482" s="1" t="n">
        <v>45128.9325</v>
      </c>
      <c r="C482" s="1" t="n">
        <v>45960</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8650-2022</t>
        </is>
      </c>
      <c r="B483" s="1" t="n">
        <v>44613</v>
      </c>
      <c r="C483" s="1" t="n">
        <v>45960</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33425-2023</t>
        </is>
      </c>
      <c r="B484" s="1" t="n">
        <v>45128.93540509259</v>
      </c>
      <c r="C484" s="1" t="n">
        <v>45960</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33340-2023</t>
        </is>
      </c>
      <c r="B485" s="1" t="n">
        <v>45128.37305555555</v>
      </c>
      <c r="C485" s="1" t="n">
        <v>45960</v>
      </c>
      <c r="D485" t="inlineStr">
        <is>
          <t>KALMAR LÄN</t>
        </is>
      </c>
      <c r="E485" t="inlineStr">
        <is>
          <t>VIMMERBY</t>
        </is>
      </c>
      <c r="G485" t="n">
        <v>1.5</v>
      </c>
      <c r="H485" t="n">
        <v>0</v>
      </c>
      <c r="I485" t="n">
        <v>0</v>
      </c>
      <c r="J485" t="n">
        <v>0</v>
      </c>
      <c r="K485" t="n">
        <v>0</v>
      </c>
      <c r="L485" t="n">
        <v>0</v>
      </c>
      <c r="M485" t="n">
        <v>0</v>
      </c>
      <c r="N485" t="n">
        <v>0</v>
      </c>
      <c r="O485" t="n">
        <v>0</v>
      </c>
      <c r="P485" t="n">
        <v>0</v>
      </c>
      <c r="Q485" t="n">
        <v>0</v>
      </c>
      <c r="R485" s="2" t="inlineStr"/>
    </row>
    <row r="486" ht="15" customHeight="1">
      <c r="A486" t="inlineStr">
        <is>
          <t>A 44423-2023</t>
        </is>
      </c>
      <c r="B486" s="1" t="n">
        <v>45189</v>
      </c>
      <c r="C486" s="1" t="n">
        <v>45960</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12327-2023</t>
        </is>
      </c>
      <c r="B487" s="1" t="n">
        <v>44999.36081018519</v>
      </c>
      <c r="C487" s="1" t="n">
        <v>45960</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43092-2024</t>
        </is>
      </c>
      <c r="B488" s="1" t="n">
        <v>45567</v>
      </c>
      <c r="C488" s="1" t="n">
        <v>45960</v>
      </c>
      <c r="D488" t="inlineStr">
        <is>
          <t>KALMAR LÄN</t>
        </is>
      </c>
      <c r="E488" t="inlineStr">
        <is>
          <t>VIMMERBY</t>
        </is>
      </c>
      <c r="G488" t="n">
        <v>2.7</v>
      </c>
      <c r="H488" t="n">
        <v>0</v>
      </c>
      <c r="I488" t="n">
        <v>0</v>
      </c>
      <c r="J488" t="n">
        <v>0</v>
      </c>
      <c r="K488" t="n">
        <v>0</v>
      </c>
      <c r="L488" t="n">
        <v>0</v>
      </c>
      <c r="M488" t="n">
        <v>0</v>
      </c>
      <c r="N488" t="n">
        <v>0</v>
      </c>
      <c r="O488" t="n">
        <v>0</v>
      </c>
      <c r="P488" t="n">
        <v>0</v>
      </c>
      <c r="Q488" t="n">
        <v>0</v>
      </c>
      <c r="R488" s="2" t="inlineStr"/>
    </row>
    <row r="489" ht="15" customHeight="1">
      <c r="A489" t="inlineStr">
        <is>
          <t>A 4527-2023</t>
        </is>
      </c>
      <c r="B489" s="1" t="n">
        <v>44956</v>
      </c>
      <c r="C489" s="1" t="n">
        <v>45960</v>
      </c>
      <c r="D489" t="inlineStr">
        <is>
          <t>KALMAR LÄN</t>
        </is>
      </c>
      <c r="E489" t="inlineStr">
        <is>
          <t>VIMMERBY</t>
        </is>
      </c>
      <c r="F489" t="inlineStr">
        <is>
          <t>Kommuner</t>
        </is>
      </c>
      <c r="G489" t="n">
        <v>8.5</v>
      </c>
      <c r="H489" t="n">
        <v>0</v>
      </c>
      <c r="I489" t="n">
        <v>0</v>
      </c>
      <c r="J489" t="n">
        <v>0</v>
      </c>
      <c r="K489" t="n">
        <v>0</v>
      </c>
      <c r="L489" t="n">
        <v>0</v>
      </c>
      <c r="M489" t="n">
        <v>0</v>
      </c>
      <c r="N489" t="n">
        <v>0</v>
      </c>
      <c r="O489" t="n">
        <v>0</v>
      </c>
      <c r="P489" t="n">
        <v>0</v>
      </c>
      <c r="Q489" t="n">
        <v>0</v>
      </c>
      <c r="R489" s="2" t="inlineStr"/>
    </row>
    <row r="490" ht="15" customHeight="1">
      <c r="A490" t="inlineStr">
        <is>
          <t>A 41311-2023</t>
        </is>
      </c>
      <c r="B490" s="1" t="n">
        <v>45174</v>
      </c>
      <c r="C490" s="1" t="n">
        <v>45960</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12586-2021</t>
        </is>
      </c>
      <c r="B491" s="1" t="n">
        <v>44270.38002314815</v>
      </c>
      <c r="C491" s="1" t="n">
        <v>45960</v>
      </c>
      <c r="D491" t="inlineStr">
        <is>
          <t>KALMAR LÄN</t>
        </is>
      </c>
      <c r="E491" t="inlineStr">
        <is>
          <t>VIMMERBY</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37323-2024</t>
        </is>
      </c>
      <c r="B492" s="1" t="n">
        <v>45540.50098379629</v>
      </c>
      <c r="C492" s="1" t="n">
        <v>45960</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26318-2023</t>
        </is>
      </c>
      <c r="B493" s="1" t="n">
        <v>45091.67936342592</v>
      </c>
      <c r="C493" s="1" t="n">
        <v>45960</v>
      </c>
      <c r="D493" t="inlineStr">
        <is>
          <t>KALMAR LÄN</t>
        </is>
      </c>
      <c r="E493" t="inlineStr">
        <is>
          <t>VIMMERBY</t>
        </is>
      </c>
      <c r="G493" t="n">
        <v>3.8</v>
      </c>
      <c r="H493" t="n">
        <v>0</v>
      </c>
      <c r="I493" t="n">
        <v>0</v>
      </c>
      <c r="J493" t="n">
        <v>0</v>
      </c>
      <c r="K493" t="n">
        <v>0</v>
      </c>
      <c r="L493" t="n">
        <v>0</v>
      </c>
      <c r="M493" t="n">
        <v>0</v>
      </c>
      <c r="N493" t="n">
        <v>0</v>
      </c>
      <c r="O493" t="n">
        <v>0</v>
      </c>
      <c r="P493" t="n">
        <v>0</v>
      </c>
      <c r="Q493" t="n">
        <v>0</v>
      </c>
      <c r="R493" s="2" t="inlineStr"/>
    </row>
    <row r="494" ht="15" customHeight="1">
      <c r="A494" t="inlineStr">
        <is>
          <t>A 5864-2022</t>
        </is>
      </c>
      <c r="B494" s="1" t="n">
        <v>44596</v>
      </c>
      <c r="C494" s="1" t="n">
        <v>45960</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52435-2021</t>
        </is>
      </c>
      <c r="B495" s="1" t="n">
        <v>44466.34962962963</v>
      </c>
      <c r="C495" s="1" t="n">
        <v>45960</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30912-2023</t>
        </is>
      </c>
      <c r="B496" s="1" t="n">
        <v>45113.41633101852</v>
      </c>
      <c r="C496" s="1" t="n">
        <v>45960</v>
      </c>
      <c r="D496" t="inlineStr">
        <is>
          <t>KALMAR LÄN</t>
        </is>
      </c>
      <c r="E496" t="inlineStr">
        <is>
          <t>VIMMERBY</t>
        </is>
      </c>
      <c r="G496" t="n">
        <v>5</v>
      </c>
      <c r="H496" t="n">
        <v>0</v>
      </c>
      <c r="I496" t="n">
        <v>0</v>
      </c>
      <c r="J496" t="n">
        <v>0</v>
      </c>
      <c r="K496" t="n">
        <v>0</v>
      </c>
      <c r="L496" t="n">
        <v>0</v>
      </c>
      <c r="M496" t="n">
        <v>0</v>
      </c>
      <c r="N496" t="n">
        <v>0</v>
      </c>
      <c r="O496" t="n">
        <v>0</v>
      </c>
      <c r="P496" t="n">
        <v>0</v>
      </c>
      <c r="Q496" t="n">
        <v>0</v>
      </c>
      <c r="R496" s="2" t="inlineStr"/>
    </row>
    <row r="497" ht="15" customHeight="1">
      <c r="A497" t="inlineStr">
        <is>
          <t>A 1146-2025</t>
        </is>
      </c>
      <c r="B497" s="1" t="n">
        <v>45666</v>
      </c>
      <c r="C497" s="1" t="n">
        <v>45960</v>
      </c>
      <c r="D497" t="inlineStr">
        <is>
          <t>KALMAR LÄN</t>
        </is>
      </c>
      <c r="E497" t="inlineStr">
        <is>
          <t>VIMMERBY</t>
        </is>
      </c>
      <c r="G497" t="n">
        <v>4</v>
      </c>
      <c r="H497" t="n">
        <v>0</v>
      </c>
      <c r="I497" t="n">
        <v>0</v>
      </c>
      <c r="J497" t="n">
        <v>0</v>
      </c>
      <c r="K497" t="n">
        <v>0</v>
      </c>
      <c r="L497" t="n">
        <v>0</v>
      </c>
      <c r="M497" t="n">
        <v>0</v>
      </c>
      <c r="N497" t="n">
        <v>0</v>
      </c>
      <c r="O497" t="n">
        <v>0</v>
      </c>
      <c r="P497" t="n">
        <v>0</v>
      </c>
      <c r="Q497" t="n">
        <v>0</v>
      </c>
      <c r="R497" s="2" t="inlineStr"/>
    </row>
    <row r="498" ht="15" customHeight="1">
      <c r="A498" t="inlineStr">
        <is>
          <t>A 61355-2024</t>
        </is>
      </c>
      <c r="B498" s="1" t="n">
        <v>45646.38200231481</v>
      </c>
      <c r="C498" s="1" t="n">
        <v>45960</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18501-2024</t>
        </is>
      </c>
      <c r="B499" s="1" t="n">
        <v>45425.57538194444</v>
      </c>
      <c r="C499" s="1" t="n">
        <v>45960</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62023-2022</t>
        </is>
      </c>
      <c r="B500" s="1" t="n">
        <v>44918.50106481482</v>
      </c>
      <c r="C500" s="1" t="n">
        <v>45960</v>
      </c>
      <c r="D500" t="inlineStr">
        <is>
          <t>KALMAR LÄN</t>
        </is>
      </c>
      <c r="E500" t="inlineStr">
        <is>
          <t>VIMMERBY</t>
        </is>
      </c>
      <c r="G500" t="n">
        <v>0.3</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45960</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16119-2023</t>
        </is>
      </c>
      <c r="B502" s="1" t="n">
        <v>45027.59450231482</v>
      </c>
      <c r="C502" s="1" t="n">
        <v>45960</v>
      </c>
      <c r="D502" t="inlineStr">
        <is>
          <t>KALMAR LÄN</t>
        </is>
      </c>
      <c r="E502" t="inlineStr">
        <is>
          <t>VIMMERBY</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52327-2023</t>
        </is>
      </c>
      <c r="B503" s="1" t="n">
        <v>45224.6515162037</v>
      </c>
      <c r="C503" s="1" t="n">
        <v>45960</v>
      </c>
      <c r="D503" t="inlineStr">
        <is>
          <t>KALMAR LÄN</t>
        </is>
      </c>
      <c r="E503" t="inlineStr">
        <is>
          <t>VIMMERBY</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27758-2024</t>
        </is>
      </c>
      <c r="B504" s="1" t="n">
        <v>45475.48303240741</v>
      </c>
      <c r="C504" s="1" t="n">
        <v>45960</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13307-2025</t>
        </is>
      </c>
      <c r="B505" s="1" t="n">
        <v>45735.58024305556</v>
      </c>
      <c r="C505" s="1" t="n">
        <v>45960</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35127-2024</t>
        </is>
      </c>
      <c r="B506" s="1" t="n">
        <v>45530.33202546297</v>
      </c>
      <c r="C506" s="1" t="n">
        <v>45960</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12075-2024</t>
        </is>
      </c>
      <c r="B507" s="1" t="n">
        <v>45377</v>
      </c>
      <c r="C507" s="1" t="n">
        <v>45960</v>
      </c>
      <c r="D507" t="inlineStr">
        <is>
          <t>KALMAR LÄN</t>
        </is>
      </c>
      <c r="E507" t="inlineStr">
        <is>
          <t>VIMMERBY</t>
        </is>
      </c>
      <c r="G507" t="n">
        <v>3.7</v>
      </c>
      <c r="H507" t="n">
        <v>0</v>
      </c>
      <c r="I507" t="n">
        <v>0</v>
      </c>
      <c r="J507" t="n">
        <v>0</v>
      </c>
      <c r="K507" t="n">
        <v>0</v>
      </c>
      <c r="L507" t="n">
        <v>0</v>
      </c>
      <c r="M507" t="n">
        <v>0</v>
      </c>
      <c r="N507" t="n">
        <v>0</v>
      </c>
      <c r="O507" t="n">
        <v>0</v>
      </c>
      <c r="P507" t="n">
        <v>0</v>
      </c>
      <c r="Q507" t="n">
        <v>0</v>
      </c>
      <c r="R507" s="2" t="inlineStr"/>
    </row>
    <row r="508" ht="15" customHeight="1">
      <c r="A508" t="inlineStr">
        <is>
          <t>A 29348-2023</t>
        </is>
      </c>
      <c r="B508" s="1" t="n">
        <v>45106.25025462963</v>
      </c>
      <c r="C508" s="1" t="n">
        <v>45960</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55716-2023</t>
        </is>
      </c>
      <c r="B509" s="1" t="n">
        <v>45232</v>
      </c>
      <c r="C509" s="1" t="n">
        <v>45960</v>
      </c>
      <c r="D509" t="inlineStr">
        <is>
          <t>KALMAR LÄN</t>
        </is>
      </c>
      <c r="E509" t="inlineStr">
        <is>
          <t>VIMMERBY</t>
        </is>
      </c>
      <c r="G509" t="n">
        <v>2.3</v>
      </c>
      <c r="H509" t="n">
        <v>0</v>
      </c>
      <c r="I509" t="n">
        <v>0</v>
      </c>
      <c r="J509" t="n">
        <v>0</v>
      </c>
      <c r="K509" t="n">
        <v>0</v>
      </c>
      <c r="L509" t="n">
        <v>0</v>
      </c>
      <c r="M509" t="n">
        <v>0</v>
      </c>
      <c r="N509" t="n">
        <v>0</v>
      </c>
      <c r="O509" t="n">
        <v>0</v>
      </c>
      <c r="P509" t="n">
        <v>0</v>
      </c>
      <c r="Q509" t="n">
        <v>0</v>
      </c>
      <c r="R509" s="2" t="inlineStr"/>
    </row>
    <row r="510" ht="15" customHeight="1">
      <c r="A510" t="inlineStr">
        <is>
          <t>A 31340-2023</t>
        </is>
      </c>
      <c r="B510" s="1" t="n">
        <v>45114.47895833333</v>
      </c>
      <c r="C510" s="1" t="n">
        <v>45960</v>
      </c>
      <c r="D510" t="inlineStr">
        <is>
          <t>KALMAR LÄN</t>
        </is>
      </c>
      <c r="E510" t="inlineStr">
        <is>
          <t>VIMMERBY</t>
        </is>
      </c>
      <c r="G510" t="n">
        <v>1.8</v>
      </c>
      <c r="H510" t="n">
        <v>0</v>
      </c>
      <c r="I510" t="n">
        <v>0</v>
      </c>
      <c r="J510" t="n">
        <v>0</v>
      </c>
      <c r="K510" t="n">
        <v>0</v>
      </c>
      <c r="L510" t="n">
        <v>0</v>
      </c>
      <c r="M510" t="n">
        <v>0</v>
      </c>
      <c r="N510" t="n">
        <v>0</v>
      </c>
      <c r="O510" t="n">
        <v>0</v>
      </c>
      <c r="P510" t="n">
        <v>0</v>
      </c>
      <c r="Q510" t="n">
        <v>0</v>
      </c>
      <c r="R510" s="2" t="inlineStr"/>
    </row>
    <row r="511" ht="15" customHeight="1">
      <c r="A511" t="inlineStr">
        <is>
          <t>A 18329-2023</t>
        </is>
      </c>
      <c r="B511" s="1" t="n">
        <v>45041.63380787037</v>
      </c>
      <c r="C511" s="1" t="n">
        <v>45960</v>
      </c>
      <c r="D511" t="inlineStr">
        <is>
          <t>KALMAR LÄN</t>
        </is>
      </c>
      <c r="E511" t="inlineStr">
        <is>
          <t>VIMMERBY</t>
        </is>
      </c>
      <c r="G511" t="n">
        <v>0.5</v>
      </c>
      <c r="H511" t="n">
        <v>0</v>
      </c>
      <c r="I511" t="n">
        <v>0</v>
      </c>
      <c r="J511" t="n">
        <v>0</v>
      </c>
      <c r="K511" t="n">
        <v>0</v>
      </c>
      <c r="L511" t="n">
        <v>0</v>
      </c>
      <c r="M511" t="n">
        <v>0</v>
      </c>
      <c r="N511" t="n">
        <v>0</v>
      </c>
      <c r="O511" t="n">
        <v>0</v>
      </c>
      <c r="P511" t="n">
        <v>0</v>
      </c>
      <c r="Q511" t="n">
        <v>0</v>
      </c>
      <c r="R511" s="2" t="inlineStr"/>
    </row>
    <row r="512" ht="15" customHeight="1">
      <c r="A512" t="inlineStr">
        <is>
          <t>A 38198-2024</t>
        </is>
      </c>
      <c r="B512" s="1" t="n">
        <v>45545.49508101852</v>
      </c>
      <c r="C512" s="1" t="n">
        <v>45960</v>
      </c>
      <c r="D512" t="inlineStr">
        <is>
          <t>KALMAR LÄN</t>
        </is>
      </c>
      <c r="E512" t="inlineStr">
        <is>
          <t>VIMMERBY</t>
        </is>
      </c>
      <c r="G512" t="n">
        <v>7.9</v>
      </c>
      <c r="H512" t="n">
        <v>0</v>
      </c>
      <c r="I512" t="n">
        <v>0</v>
      </c>
      <c r="J512" t="n">
        <v>0</v>
      </c>
      <c r="K512" t="n">
        <v>0</v>
      </c>
      <c r="L512" t="n">
        <v>0</v>
      </c>
      <c r="M512" t="n">
        <v>0</v>
      </c>
      <c r="N512" t="n">
        <v>0</v>
      </c>
      <c r="O512" t="n">
        <v>0</v>
      </c>
      <c r="P512" t="n">
        <v>0</v>
      </c>
      <c r="Q512" t="n">
        <v>0</v>
      </c>
      <c r="R512" s="2" t="inlineStr"/>
    </row>
    <row r="513" ht="15" customHeight="1">
      <c r="A513" t="inlineStr">
        <is>
          <t>A 9623-2024</t>
        </is>
      </c>
      <c r="B513" s="1" t="n">
        <v>45361.87975694444</v>
      </c>
      <c r="C513" s="1" t="n">
        <v>45960</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58967-2022</t>
        </is>
      </c>
      <c r="B514" s="1" t="n">
        <v>44896</v>
      </c>
      <c r="C514" s="1" t="n">
        <v>45960</v>
      </c>
      <c r="D514" t="inlineStr">
        <is>
          <t>KALMAR LÄN</t>
        </is>
      </c>
      <c r="E514" t="inlineStr">
        <is>
          <t>VIMMERBY</t>
        </is>
      </c>
      <c r="G514" t="n">
        <v>5</v>
      </c>
      <c r="H514" t="n">
        <v>0</v>
      </c>
      <c r="I514" t="n">
        <v>0</v>
      </c>
      <c r="J514" t="n">
        <v>0</v>
      </c>
      <c r="K514" t="n">
        <v>0</v>
      </c>
      <c r="L514" t="n">
        <v>0</v>
      </c>
      <c r="M514" t="n">
        <v>0</v>
      </c>
      <c r="N514" t="n">
        <v>0</v>
      </c>
      <c r="O514" t="n">
        <v>0</v>
      </c>
      <c r="P514" t="n">
        <v>0</v>
      </c>
      <c r="Q514" t="n">
        <v>0</v>
      </c>
      <c r="R514" s="2" t="inlineStr"/>
    </row>
    <row r="515" ht="15" customHeight="1">
      <c r="A515" t="inlineStr">
        <is>
          <t>A 60215-2022</t>
        </is>
      </c>
      <c r="B515" s="1" t="n">
        <v>44910.41346064815</v>
      </c>
      <c r="C515" s="1" t="n">
        <v>45960</v>
      </c>
      <c r="D515" t="inlineStr">
        <is>
          <t>KALMAR LÄN</t>
        </is>
      </c>
      <c r="E515" t="inlineStr">
        <is>
          <t>VIMMERBY</t>
        </is>
      </c>
      <c r="G515" t="n">
        <v>1.1</v>
      </c>
      <c r="H515" t="n">
        <v>0</v>
      </c>
      <c r="I515" t="n">
        <v>0</v>
      </c>
      <c r="J515" t="n">
        <v>0</v>
      </c>
      <c r="K515" t="n">
        <v>0</v>
      </c>
      <c r="L515" t="n">
        <v>0</v>
      </c>
      <c r="M515" t="n">
        <v>0</v>
      </c>
      <c r="N515" t="n">
        <v>0</v>
      </c>
      <c r="O515" t="n">
        <v>0</v>
      </c>
      <c r="P515" t="n">
        <v>0</v>
      </c>
      <c r="Q515" t="n">
        <v>0</v>
      </c>
      <c r="R515" s="2" t="inlineStr"/>
    </row>
    <row r="516" ht="15" customHeight="1">
      <c r="A516" t="inlineStr">
        <is>
          <t>A 13015-2023</t>
        </is>
      </c>
      <c r="B516" s="1" t="n">
        <v>45002</v>
      </c>
      <c r="C516" s="1" t="n">
        <v>45960</v>
      </c>
      <c r="D516" t="inlineStr">
        <is>
          <t>KALMAR LÄN</t>
        </is>
      </c>
      <c r="E516" t="inlineStr">
        <is>
          <t>VIMMERBY</t>
        </is>
      </c>
      <c r="G516" t="n">
        <v>3.2</v>
      </c>
      <c r="H516" t="n">
        <v>0</v>
      </c>
      <c r="I516" t="n">
        <v>0</v>
      </c>
      <c r="J516" t="n">
        <v>0</v>
      </c>
      <c r="K516" t="n">
        <v>0</v>
      </c>
      <c r="L516" t="n">
        <v>0</v>
      </c>
      <c r="M516" t="n">
        <v>0</v>
      </c>
      <c r="N516" t="n">
        <v>0</v>
      </c>
      <c r="O516" t="n">
        <v>0</v>
      </c>
      <c r="P516" t="n">
        <v>0</v>
      </c>
      <c r="Q516" t="n">
        <v>0</v>
      </c>
      <c r="R516" s="2" t="inlineStr"/>
    </row>
    <row r="517" ht="15" customHeight="1">
      <c r="A517" t="inlineStr">
        <is>
          <t>A 6399-2025</t>
        </is>
      </c>
      <c r="B517" s="1" t="n">
        <v>45699.44291666667</v>
      </c>
      <c r="C517" s="1" t="n">
        <v>45960</v>
      </c>
      <c r="D517" t="inlineStr">
        <is>
          <t>KALMAR LÄN</t>
        </is>
      </c>
      <c r="E517" t="inlineStr">
        <is>
          <t>VIMMERBY</t>
        </is>
      </c>
      <c r="G517" t="n">
        <v>3.1</v>
      </c>
      <c r="H517" t="n">
        <v>0</v>
      </c>
      <c r="I517" t="n">
        <v>0</v>
      </c>
      <c r="J517" t="n">
        <v>0</v>
      </c>
      <c r="K517" t="n">
        <v>0</v>
      </c>
      <c r="L517" t="n">
        <v>0</v>
      </c>
      <c r="M517" t="n">
        <v>0</v>
      </c>
      <c r="N517" t="n">
        <v>0</v>
      </c>
      <c r="O517" t="n">
        <v>0</v>
      </c>
      <c r="P517" t="n">
        <v>0</v>
      </c>
      <c r="Q517" t="n">
        <v>0</v>
      </c>
      <c r="R517" s="2" t="inlineStr"/>
    </row>
    <row r="518" ht="15" customHeight="1">
      <c r="A518" t="inlineStr">
        <is>
          <t>A 31355-2023</t>
        </is>
      </c>
      <c r="B518" s="1" t="n">
        <v>45114.49505787037</v>
      </c>
      <c r="C518" s="1" t="n">
        <v>45960</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66295-2020</t>
        </is>
      </c>
      <c r="B519" s="1" t="n">
        <v>44176</v>
      </c>
      <c r="C519" s="1" t="n">
        <v>45960</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30400-2023</t>
        </is>
      </c>
      <c r="B520" s="1" t="n">
        <v>45111.48225694444</v>
      </c>
      <c r="C520" s="1" t="n">
        <v>45960</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30404-2023</t>
        </is>
      </c>
      <c r="B521" s="1" t="n">
        <v>45111.48636574074</v>
      </c>
      <c r="C521" s="1" t="n">
        <v>45960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29186-2024</t>
        </is>
      </c>
      <c r="B522" s="1" t="n">
        <v>45482.54844907407</v>
      </c>
      <c r="C522" s="1" t="n">
        <v>45960</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27705-2023</t>
        </is>
      </c>
      <c r="B523" s="1" t="n">
        <v>45098.30535879629</v>
      </c>
      <c r="C523" s="1" t="n">
        <v>45960</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7758-2024</t>
        </is>
      </c>
      <c r="B524" s="1" t="n">
        <v>45349.54434027777</v>
      </c>
      <c r="C524" s="1" t="n">
        <v>45960</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50993-2022</t>
        </is>
      </c>
      <c r="B525" s="1" t="n">
        <v>44867</v>
      </c>
      <c r="C525" s="1" t="n">
        <v>45960</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29441-2024</t>
        </is>
      </c>
      <c r="B526" s="1" t="n">
        <v>45483.82834490741</v>
      </c>
      <c r="C526" s="1" t="n">
        <v>45960</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5701-2024</t>
        </is>
      </c>
      <c r="B527" s="1" t="n">
        <v>45334.78826388889</v>
      </c>
      <c r="C527" s="1" t="n">
        <v>45960</v>
      </c>
      <c r="D527" t="inlineStr">
        <is>
          <t>KALMAR LÄN</t>
        </is>
      </c>
      <c r="E527" t="inlineStr">
        <is>
          <t>VIMMERBY</t>
        </is>
      </c>
      <c r="G527" t="n">
        <v>2.3</v>
      </c>
      <c r="H527" t="n">
        <v>0</v>
      </c>
      <c r="I527" t="n">
        <v>0</v>
      </c>
      <c r="J527" t="n">
        <v>0</v>
      </c>
      <c r="K527" t="n">
        <v>0</v>
      </c>
      <c r="L527" t="n">
        <v>0</v>
      </c>
      <c r="M527" t="n">
        <v>0</v>
      </c>
      <c r="N527" t="n">
        <v>0</v>
      </c>
      <c r="O527" t="n">
        <v>0</v>
      </c>
      <c r="P527" t="n">
        <v>0</v>
      </c>
      <c r="Q527" t="n">
        <v>0</v>
      </c>
      <c r="R527" s="2" t="inlineStr"/>
    </row>
    <row r="528" ht="15" customHeight="1">
      <c r="A528" t="inlineStr">
        <is>
          <t>A 31405-2023</t>
        </is>
      </c>
      <c r="B528" s="1" t="n">
        <v>45114.58148148148</v>
      </c>
      <c r="C528" s="1" t="n">
        <v>45960</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6355-2022</t>
        </is>
      </c>
      <c r="B529" s="1" t="n">
        <v>44600</v>
      </c>
      <c r="C529" s="1" t="n">
        <v>45960</v>
      </c>
      <c r="D529" t="inlineStr">
        <is>
          <t>KALMAR LÄN</t>
        </is>
      </c>
      <c r="E529" t="inlineStr">
        <is>
          <t>VIMMERBY</t>
        </is>
      </c>
      <c r="G529" t="n">
        <v>4.9</v>
      </c>
      <c r="H529" t="n">
        <v>0</v>
      </c>
      <c r="I529" t="n">
        <v>0</v>
      </c>
      <c r="J529" t="n">
        <v>0</v>
      </c>
      <c r="K529" t="n">
        <v>0</v>
      </c>
      <c r="L529" t="n">
        <v>0</v>
      </c>
      <c r="M529" t="n">
        <v>0</v>
      </c>
      <c r="N529" t="n">
        <v>0</v>
      </c>
      <c r="O529" t="n">
        <v>0</v>
      </c>
      <c r="P529" t="n">
        <v>0</v>
      </c>
      <c r="Q529" t="n">
        <v>0</v>
      </c>
      <c r="R529" s="2" t="inlineStr"/>
    </row>
    <row r="530" ht="15" customHeight="1">
      <c r="A530" t="inlineStr">
        <is>
          <t>A 54787-2023</t>
        </is>
      </c>
      <c r="B530" s="1" t="n">
        <v>45236</v>
      </c>
      <c r="C530" s="1" t="n">
        <v>45960</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46225-2024</t>
        </is>
      </c>
      <c r="B531" s="1" t="n">
        <v>45581.57333333333</v>
      </c>
      <c r="C531" s="1" t="n">
        <v>45960</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36843-2023</t>
        </is>
      </c>
      <c r="B532" s="1" t="n">
        <v>45154.49831018518</v>
      </c>
      <c r="C532" s="1" t="n">
        <v>45960</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32614-2023</t>
        </is>
      </c>
      <c r="B533" s="1" t="n">
        <v>45121</v>
      </c>
      <c r="C533" s="1" t="n">
        <v>45960</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9418-2024</t>
        </is>
      </c>
      <c r="B534" s="1" t="n">
        <v>45359.45038194444</v>
      </c>
      <c r="C534" s="1" t="n">
        <v>45960</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6850-2023</t>
        </is>
      </c>
      <c r="B535" s="1" t="n">
        <v>44967.44255787037</v>
      </c>
      <c r="C535" s="1" t="n">
        <v>45960</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58750-2022</t>
        </is>
      </c>
      <c r="B536" s="1" t="n">
        <v>44903.33363425926</v>
      </c>
      <c r="C536" s="1" t="n">
        <v>45960</v>
      </c>
      <c r="D536" t="inlineStr">
        <is>
          <t>KALMAR LÄN</t>
        </is>
      </c>
      <c r="E536" t="inlineStr">
        <is>
          <t>VIMMERBY</t>
        </is>
      </c>
      <c r="G536" t="n">
        <v>3.3</v>
      </c>
      <c r="H536" t="n">
        <v>0</v>
      </c>
      <c r="I536" t="n">
        <v>0</v>
      </c>
      <c r="J536" t="n">
        <v>0</v>
      </c>
      <c r="K536" t="n">
        <v>0</v>
      </c>
      <c r="L536" t="n">
        <v>0</v>
      </c>
      <c r="M536" t="n">
        <v>0</v>
      </c>
      <c r="N536" t="n">
        <v>0</v>
      </c>
      <c r="O536" t="n">
        <v>0</v>
      </c>
      <c r="P536" t="n">
        <v>0</v>
      </c>
      <c r="Q536" t="n">
        <v>0</v>
      </c>
      <c r="R536" s="2" t="inlineStr"/>
    </row>
    <row r="537" ht="15" customHeight="1">
      <c r="A537" t="inlineStr">
        <is>
          <t>A 57091-2022</t>
        </is>
      </c>
      <c r="B537" s="1" t="n">
        <v>44895.46524305556</v>
      </c>
      <c r="C537" s="1" t="n">
        <v>45960</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10785-2025</t>
        </is>
      </c>
      <c r="B538" s="1" t="n">
        <v>45722.48634259259</v>
      </c>
      <c r="C538" s="1" t="n">
        <v>45960</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3816-2022</t>
        </is>
      </c>
      <c r="B539" s="1" t="n">
        <v>44587</v>
      </c>
      <c r="C539" s="1" t="n">
        <v>45960</v>
      </c>
      <c r="D539" t="inlineStr">
        <is>
          <t>KALMAR LÄN</t>
        </is>
      </c>
      <c r="E539" t="inlineStr">
        <is>
          <t>VIMMERBY</t>
        </is>
      </c>
      <c r="G539" t="n">
        <v>1.2</v>
      </c>
      <c r="H539" t="n">
        <v>0</v>
      </c>
      <c r="I539" t="n">
        <v>0</v>
      </c>
      <c r="J539" t="n">
        <v>0</v>
      </c>
      <c r="K539" t="n">
        <v>0</v>
      </c>
      <c r="L539" t="n">
        <v>0</v>
      </c>
      <c r="M539" t="n">
        <v>0</v>
      </c>
      <c r="N539" t="n">
        <v>0</v>
      </c>
      <c r="O539" t="n">
        <v>0</v>
      </c>
      <c r="P539" t="n">
        <v>0</v>
      </c>
      <c r="Q539" t="n">
        <v>0</v>
      </c>
      <c r="R539" s="2" t="inlineStr"/>
    </row>
    <row r="540" ht="15" customHeight="1">
      <c r="A540" t="inlineStr">
        <is>
          <t>A 29017-2024</t>
        </is>
      </c>
      <c r="B540" s="1" t="n">
        <v>45481.56722222222</v>
      </c>
      <c r="C540" s="1" t="n">
        <v>45960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41158-2023</t>
        </is>
      </c>
      <c r="B541" s="1" t="n">
        <v>45174.31395833333</v>
      </c>
      <c r="C541" s="1" t="n">
        <v>45960</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23263-2024</t>
        </is>
      </c>
      <c r="B542" s="1" t="n">
        <v>45453.36854166666</v>
      </c>
      <c r="C542" s="1" t="n">
        <v>45960</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11074-2023</t>
        </is>
      </c>
      <c r="B543" s="1" t="n">
        <v>44992.34151620371</v>
      </c>
      <c r="C543" s="1" t="n">
        <v>45960</v>
      </c>
      <c r="D543" t="inlineStr">
        <is>
          <t>KALMAR LÄN</t>
        </is>
      </c>
      <c r="E543" t="inlineStr">
        <is>
          <t>VIMMERBY</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2510-2023</t>
        </is>
      </c>
      <c r="B544" s="1" t="n">
        <v>44943.57309027778</v>
      </c>
      <c r="C544" s="1" t="n">
        <v>45960</v>
      </c>
      <c r="D544" t="inlineStr">
        <is>
          <t>KALMAR LÄN</t>
        </is>
      </c>
      <c r="E544" t="inlineStr">
        <is>
          <t>VIMMERBY</t>
        </is>
      </c>
      <c r="G544" t="n">
        <v>8.6</v>
      </c>
      <c r="H544" t="n">
        <v>0</v>
      </c>
      <c r="I544" t="n">
        <v>0</v>
      </c>
      <c r="J544" t="n">
        <v>0</v>
      </c>
      <c r="K544" t="n">
        <v>0</v>
      </c>
      <c r="L544" t="n">
        <v>0</v>
      </c>
      <c r="M544" t="n">
        <v>0</v>
      </c>
      <c r="N544" t="n">
        <v>0</v>
      </c>
      <c r="O544" t="n">
        <v>0</v>
      </c>
      <c r="P544" t="n">
        <v>0</v>
      </c>
      <c r="Q544" t="n">
        <v>0</v>
      </c>
      <c r="R544" s="2" t="inlineStr"/>
    </row>
    <row r="545" ht="15" customHeight="1">
      <c r="A545" t="inlineStr">
        <is>
          <t>A 43606-2024</t>
        </is>
      </c>
      <c r="B545" s="1" t="n">
        <v>45569.45017361111</v>
      </c>
      <c r="C545" s="1" t="n">
        <v>45960</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43617-2024</t>
        </is>
      </c>
      <c r="B546" s="1" t="n">
        <v>45569.47494212963</v>
      </c>
      <c r="C546" s="1" t="n">
        <v>45960</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45960</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47859-2024</t>
        </is>
      </c>
      <c r="B548" s="1" t="n">
        <v>45588.67070601852</v>
      </c>
      <c r="C548" s="1" t="n">
        <v>45960</v>
      </c>
      <c r="D548" t="inlineStr">
        <is>
          <t>KALMAR LÄN</t>
        </is>
      </c>
      <c r="E548" t="inlineStr">
        <is>
          <t>VIMMERBY</t>
        </is>
      </c>
      <c r="G548" t="n">
        <v>1.7</v>
      </c>
      <c r="H548" t="n">
        <v>0</v>
      </c>
      <c r="I548" t="n">
        <v>0</v>
      </c>
      <c r="J548" t="n">
        <v>0</v>
      </c>
      <c r="K548" t="n">
        <v>0</v>
      </c>
      <c r="L548" t="n">
        <v>0</v>
      </c>
      <c r="M548" t="n">
        <v>0</v>
      </c>
      <c r="N548" t="n">
        <v>0</v>
      </c>
      <c r="O548" t="n">
        <v>0</v>
      </c>
      <c r="P548" t="n">
        <v>0</v>
      </c>
      <c r="Q548" t="n">
        <v>0</v>
      </c>
      <c r="R548" s="2" t="inlineStr"/>
    </row>
    <row r="549" ht="15" customHeight="1">
      <c r="A549" t="inlineStr">
        <is>
          <t>A 12215-2024</t>
        </is>
      </c>
      <c r="B549" s="1" t="n">
        <v>45378.32185185186</v>
      </c>
      <c r="C549" s="1" t="n">
        <v>45960</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11303-2025</t>
        </is>
      </c>
      <c r="B550" s="1" t="n">
        <v>45726.44471064815</v>
      </c>
      <c r="C550" s="1" t="n">
        <v>45960</v>
      </c>
      <c r="D550" t="inlineStr">
        <is>
          <t>KALMAR LÄN</t>
        </is>
      </c>
      <c r="E550" t="inlineStr">
        <is>
          <t>VIMMERBY</t>
        </is>
      </c>
      <c r="G550" t="n">
        <v>2.1</v>
      </c>
      <c r="H550" t="n">
        <v>0</v>
      </c>
      <c r="I550" t="n">
        <v>0</v>
      </c>
      <c r="J550" t="n">
        <v>0</v>
      </c>
      <c r="K550" t="n">
        <v>0</v>
      </c>
      <c r="L550" t="n">
        <v>0</v>
      </c>
      <c r="M550" t="n">
        <v>0</v>
      </c>
      <c r="N550" t="n">
        <v>0</v>
      </c>
      <c r="O550" t="n">
        <v>0</v>
      </c>
      <c r="P550" t="n">
        <v>0</v>
      </c>
      <c r="Q550" t="n">
        <v>0</v>
      </c>
      <c r="R550" s="2" t="inlineStr"/>
    </row>
    <row r="551" ht="15" customHeight="1">
      <c r="A551" t="inlineStr">
        <is>
          <t>A 8540-2024</t>
        </is>
      </c>
      <c r="B551" s="1" t="n">
        <v>45355.54138888889</v>
      </c>
      <c r="C551" s="1" t="n">
        <v>45960</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3331-2023</t>
        </is>
      </c>
      <c r="B552" s="1" t="n">
        <v>44949</v>
      </c>
      <c r="C552" s="1" t="n">
        <v>45960</v>
      </c>
      <c r="D552" t="inlineStr">
        <is>
          <t>KALMAR LÄN</t>
        </is>
      </c>
      <c r="E552" t="inlineStr">
        <is>
          <t>VIMMERBY</t>
        </is>
      </c>
      <c r="G552" t="n">
        <v>6.2</v>
      </c>
      <c r="H552" t="n">
        <v>0</v>
      </c>
      <c r="I552" t="n">
        <v>0</v>
      </c>
      <c r="J552" t="n">
        <v>0</v>
      </c>
      <c r="K552" t="n">
        <v>0</v>
      </c>
      <c r="L552" t="n">
        <v>0</v>
      </c>
      <c r="M552" t="n">
        <v>0</v>
      </c>
      <c r="N552" t="n">
        <v>0</v>
      </c>
      <c r="O552" t="n">
        <v>0</v>
      </c>
      <c r="P552" t="n">
        <v>0</v>
      </c>
      <c r="Q552" t="n">
        <v>0</v>
      </c>
      <c r="R552" s="2" t="inlineStr"/>
    </row>
    <row r="553" ht="15" customHeight="1">
      <c r="A553" t="inlineStr">
        <is>
          <t>A 12033-2024</t>
        </is>
      </c>
      <c r="B553" s="1" t="n">
        <v>45377.40043981482</v>
      </c>
      <c r="C553" s="1" t="n">
        <v>45960</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3269-2024</t>
        </is>
      </c>
      <c r="B554" s="1" t="n">
        <v>45317.40372685185</v>
      </c>
      <c r="C554" s="1" t="n">
        <v>45960</v>
      </c>
      <c r="D554" t="inlineStr">
        <is>
          <t>KALMAR LÄN</t>
        </is>
      </c>
      <c r="E554" t="inlineStr">
        <is>
          <t>VIMMERBY</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48120-2022</t>
        </is>
      </c>
      <c r="B555" s="1" t="n">
        <v>44857.65989583333</v>
      </c>
      <c r="C555" s="1" t="n">
        <v>45960</v>
      </c>
      <c r="D555" t="inlineStr">
        <is>
          <t>KALMAR LÄN</t>
        </is>
      </c>
      <c r="E555" t="inlineStr">
        <is>
          <t>VIMMERBY</t>
        </is>
      </c>
      <c r="G555" t="n">
        <v>1.7</v>
      </c>
      <c r="H555" t="n">
        <v>0</v>
      </c>
      <c r="I555" t="n">
        <v>0</v>
      </c>
      <c r="J555" t="n">
        <v>0</v>
      </c>
      <c r="K555" t="n">
        <v>0</v>
      </c>
      <c r="L555" t="n">
        <v>0</v>
      </c>
      <c r="M555" t="n">
        <v>0</v>
      </c>
      <c r="N555" t="n">
        <v>0</v>
      </c>
      <c r="O555" t="n">
        <v>0</v>
      </c>
      <c r="P555" t="n">
        <v>0</v>
      </c>
      <c r="Q555" t="n">
        <v>0</v>
      </c>
      <c r="R555" s="2" t="inlineStr"/>
    </row>
    <row r="556" ht="15" customHeight="1">
      <c r="A556" t="inlineStr">
        <is>
          <t>A 6368-2023</t>
        </is>
      </c>
      <c r="B556" s="1" t="n">
        <v>44965</v>
      </c>
      <c r="C556" s="1" t="n">
        <v>45960</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598-2025</t>
        </is>
      </c>
      <c r="B557" s="1" t="n">
        <v>45660</v>
      </c>
      <c r="C557" s="1" t="n">
        <v>45960</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51408-2023</t>
        </is>
      </c>
      <c r="B558" s="1" t="n">
        <v>45219.69356481481</v>
      </c>
      <c r="C558" s="1" t="n">
        <v>45960</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9416-2024</t>
        </is>
      </c>
      <c r="B559" s="1" t="n">
        <v>45359.44837962963</v>
      </c>
      <c r="C559" s="1" t="n">
        <v>45960</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25799-2023</t>
        </is>
      </c>
      <c r="B560" s="1" t="n">
        <v>45090</v>
      </c>
      <c r="C560" s="1" t="n">
        <v>45960</v>
      </c>
      <c r="D560" t="inlineStr">
        <is>
          <t>KALMAR LÄN</t>
        </is>
      </c>
      <c r="E560" t="inlineStr">
        <is>
          <t>VIMMERBY</t>
        </is>
      </c>
      <c r="G560" t="n">
        <v>7.7</v>
      </c>
      <c r="H560" t="n">
        <v>0</v>
      </c>
      <c r="I560" t="n">
        <v>0</v>
      </c>
      <c r="J560" t="n">
        <v>0</v>
      </c>
      <c r="K560" t="n">
        <v>0</v>
      </c>
      <c r="L560" t="n">
        <v>0</v>
      </c>
      <c r="M560" t="n">
        <v>0</v>
      </c>
      <c r="N560" t="n">
        <v>0</v>
      </c>
      <c r="O560" t="n">
        <v>0</v>
      </c>
      <c r="P560" t="n">
        <v>0</v>
      </c>
      <c r="Q560" t="n">
        <v>0</v>
      </c>
      <c r="R560" s="2" t="inlineStr"/>
    </row>
    <row r="561" ht="15" customHeight="1">
      <c r="A561" t="inlineStr">
        <is>
          <t>A 53083-2021</t>
        </is>
      </c>
      <c r="B561" s="1" t="n">
        <v>44467.83386574074</v>
      </c>
      <c r="C561" s="1" t="n">
        <v>45960</v>
      </c>
      <c r="D561" t="inlineStr">
        <is>
          <t>KALMAR LÄN</t>
        </is>
      </c>
      <c r="E561" t="inlineStr">
        <is>
          <t>VIMMERBY</t>
        </is>
      </c>
      <c r="G561" t="n">
        <v>6.8</v>
      </c>
      <c r="H561" t="n">
        <v>0</v>
      </c>
      <c r="I561" t="n">
        <v>0</v>
      </c>
      <c r="J561" t="n">
        <v>0</v>
      </c>
      <c r="K561" t="n">
        <v>0</v>
      </c>
      <c r="L561" t="n">
        <v>0</v>
      </c>
      <c r="M561" t="n">
        <v>0</v>
      </c>
      <c r="N561" t="n">
        <v>0</v>
      </c>
      <c r="O561" t="n">
        <v>0</v>
      </c>
      <c r="P561" t="n">
        <v>0</v>
      </c>
      <c r="Q561" t="n">
        <v>0</v>
      </c>
      <c r="R561" s="2" t="inlineStr"/>
    </row>
    <row r="562" ht="15" customHeight="1">
      <c r="A562" t="inlineStr">
        <is>
          <t>A 49488-2023</t>
        </is>
      </c>
      <c r="B562" s="1" t="n">
        <v>45211.55472222222</v>
      </c>
      <c r="C562" s="1" t="n">
        <v>45960</v>
      </c>
      <c r="D562" t="inlineStr">
        <is>
          <t>KALMAR LÄN</t>
        </is>
      </c>
      <c r="E562" t="inlineStr">
        <is>
          <t>VIMMERBY</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24655-2021</t>
        </is>
      </c>
      <c r="B563" s="1" t="n">
        <v>44340</v>
      </c>
      <c r="C563" s="1" t="n">
        <v>45960</v>
      </c>
      <c r="D563" t="inlineStr">
        <is>
          <t>KALMAR LÄN</t>
        </is>
      </c>
      <c r="E563" t="inlineStr">
        <is>
          <t>VIMMERBY</t>
        </is>
      </c>
      <c r="G563" t="n">
        <v>14.9</v>
      </c>
      <c r="H563" t="n">
        <v>0</v>
      </c>
      <c r="I563" t="n">
        <v>0</v>
      </c>
      <c r="J563" t="n">
        <v>0</v>
      </c>
      <c r="K563" t="n">
        <v>0</v>
      </c>
      <c r="L563" t="n">
        <v>0</v>
      </c>
      <c r="M563" t="n">
        <v>0</v>
      </c>
      <c r="N563" t="n">
        <v>0</v>
      </c>
      <c r="O563" t="n">
        <v>0</v>
      </c>
      <c r="P563" t="n">
        <v>0</v>
      </c>
      <c r="Q563" t="n">
        <v>0</v>
      </c>
      <c r="R563" s="2" t="inlineStr"/>
    </row>
    <row r="564" ht="15" customHeight="1">
      <c r="A564" t="inlineStr">
        <is>
          <t>A 2797-2023</t>
        </is>
      </c>
      <c r="B564" s="1" t="n">
        <v>44944.71386574074</v>
      </c>
      <c r="C564" s="1" t="n">
        <v>45960</v>
      </c>
      <c r="D564" t="inlineStr">
        <is>
          <t>KALMAR LÄN</t>
        </is>
      </c>
      <c r="E564" t="inlineStr">
        <is>
          <t>VIMMERBY</t>
        </is>
      </c>
      <c r="G564" t="n">
        <v>3.4</v>
      </c>
      <c r="H564" t="n">
        <v>0</v>
      </c>
      <c r="I564" t="n">
        <v>0</v>
      </c>
      <c r="J564" t="n">
        <v>0</v>
      </c>
      <c r="K564" t="n">
        <v>0</v>
      </c>
      <c r="L564" t="n">
        <v>0</v>
      </c>
      <c r="M564" t="n">
        <v>0</v>
      </c>
      <c r="N564" t="n">
        <v>0</v>
      </c>
      <c r="O564" t="n">
        <v>0</v>
      </c>
      <c r="P564" t="n">
        <v>0</v>
      </c>
      <c r="Q564" t="n">
        <v>0</v>
      </c>
      <c r="R564" s="2" t="inlineStr"/>
    </row>
    <row r="565" ht="15" customHeight="1">
      <c r="A565" t="inlineStr">
        <is>
          <t>A 2799-2023</t>
        </is>
      </c>
      <c r="B565" s="1" t="n">
        <v>44944.72100694444</v>
      </c>
      <c r="C565" s="1" t="n">
        <v>45960</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25987-2024</t>
        </is>
      </c>
      <c r="B566" s="1" t="n">
        <v>45467.74417824074</v>
      </c>
      <c r="C566" s="1" t="n">
        <v>45960</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8410-2023</t>
        </is>
      </c>
      <c r="B567" s="1" t="n">
        <v>44977</v>
      </c>
      <c r="C567" s="1" t="n">
        <v>45960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22194-2024</t>
        </is>
      </c>
      <c r="B568" s="1" t="n">
        <v>45446.36482638889</v>
      </c>
      <c r="C568" s="1" t="n">
        <v>45960</v>
      </c>
      <c r="D568" t="inlineStr">
        <is>
          <t>KALMAR LÄN</t>
        </is>
      </c>
      <c r="E568" t="inlineStr">
        <is>
          <t>VIMMERBY</t>
        </is>
      </c>
      <c r="F568" t="inlineStr">
        <is>
          <t>Sveaskog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19865-2021</t>
        </is>
      </c>
      <c r="B569" s="1" t="n">
        <v>44312</v>
      </c>
      <c r="C569" s="1" t="n">
        <v>45960</v>
      </c>
      <c r="D569" t="inlineStr">
        <is>
          <t>KALMAR LÄN</t>
        </is>
      </c>
      <c r="E569" t="inlineStr">
        <is>
          <t>VIMMERBY</t>
        </is>
      </c>
      <c r="G569" t="n">
        <v>8.6</v>
      </c>
      <c r="H569" t="n">
        <v>0</v>
      </c>
      <c r="I569" t="n">
        <v>0</v>
      </c>
      <c r="J569" t="n">
        <v>0</v>
      </c>
      <c r="K569" t="n">
        <v>0</v>
      </c>
      <c r="L569" t="n">
        <v>0</v>
      </c>
      <c r="M569" t="n">
        <v>0</v>
      </c>
      <c r="N569" t="n">
        <v>0</v>
      </c>
      <c r="O569" t="n">
        <v>0</v>
      </c>
      <c r="P569" t="n">
        <v>0</v>
      </c>
      <c r="Q569" t="n">
        <v>0</v>
      </c>
      <c r="R569" s="2" t="inlineStr"/>
    </row>
    <row r="570" ht="15" customHeight="1">
      <c r="A570" t="inlineStr">
        <is>
          <t>A 30920-2024</t>
        </is>
      </c>
      <c r="B570" s="1" t="n">
        <v>45498.673125</v>
      </c>
      <c r="C570" s="1" t="n">
        <v>45960</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33838-2022</t>
        </is>
      </c>
      <c r="B571" s="1" t="n">
        <v>44790.49040509259</v>
      </c>
      <c r="C571" s="1" t="n">
        <v>45960</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32835-2022</t>
        </is>
      </c>
      <c r="B572" s="1" t="n">
        <v>44784.42528935185</v>
      </c>
      <c r="C572" s="1" t="n">
        <v>45960</v>
      </c>
      <c r="D572" t="inlineStr">
        <is>
          <t>KALMAR LÄN</t>
        </is>
      </c>
      <c r="E572" t="inlineStr">
        <is>
          <t>VIMMERBY</t>
        </is>
      </c>
      <c r="G572" t="n">
        <v>1.6</v>
      </c>
      <c r="H572" t="n">
        <v>0</v>
      </c>
      <c r="I572" t="n">
        <v>0</v>
      </c>
      <c r="J572" t="n">
        <v>0</v>
      </c>
      <c r="K572" t="n">
        <v>0</v>
      </c>
      <c r="L572" t="n">
        <v>0</v>
      </c>
      <c r="M572" t="n">
        <v>0</v>
      </c>
      <c r="N572" t="n">
        <v>0</v>
      </c>
      <c r="O572" t="n">
        <v>0</v>
      </c>
      <c r="P572" t="n">
        <v>0</v>
      </c>
      <c r="Q572" t="n">
        <v>0</v>
      </c>
      <c r="R572" s="2" t="inlineStr"/>
    </row>
    <row r="573" ht="15" customHeight="1">
      <c r="A573" t="inlineStr">
        <is>
          <t>A 6216-2025</t>
        </is>
      </c>
      <c r="B573" s="1" t="n">
        <v>45698.52806712963</v>
      </c>
      <c r="C573" s="1" t="n">
        <v>45960</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62779-2023</t>
        </is>
      </c>
      <c r="B574" s="1" t="n">
        <v>45271.66576388889</v>
      </c>
      <c r="C574" s="1" t="n">
        <v>45960</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1081-2023</t>
        </is>
      </c>
      <c r="B575" s="1" t="n">
        <v>44935</v>
      </c>
      <c r="C575" s="1" t="n">
        <v>45960</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47063-2022</t>
        </is>
      </c>
      <c r="B576" s="1" t="n">
        <v>44852</v>
      </c>
      <c r="C576" s="1" t="n">
        <v>45960</v>
      </c>
      <c r="D576" t="inlineStr">
        <is>
          <t>KALMAR LÄN</t>
        </is>
      </c>
      <c r="E576" t="inlineStr">
        <is>
          <t>VIMMERBY</t>
        </is>
      </c>
      <c r="G576" t="n">
        <v>2.5</v>
      </c>
      <c r="H576" t="n">
        <v>0</v>
      </c>
      <c r="I576" t="n">
        <v>0</v>
      </c>
      <c r="J576" t="n">
        <v>0</v>
      </c>
      <c r="K576" t="n">
        <v>0</v>
      </c>
      <c r="L576" t="n">
        <v>0</v>
      </c>
      <c r="M576" t="n">
        <v>0</v>
      </c>
      <c r="N576" t="n">
        <v>0</v>
      </c>
      <c r="O576" t="n">
        <v>0</v>
      </c>
      <c r="P576" t="n">
        <v>0</v>
      </c>
      <c r="Q576" t="n">
        <v>0</v>
      </c>
      <c r="R576" s="2" t="inlineStr"/>
    </row>
    <row r="577" ht="15" customHeight="1">
      <c r="A577" t="inlineStr">
        <is>
          <t>A 52294-2023</t>
        </is>
      </c>
      <c r="B577" s="1" t="n">
        <v>45224.60075231481</v>
      </c>
      <c r="C577" s="1" t="n">
        <v>45960</v>
      </c>
      <c r="D577" t="inlineStr">
        <is>
          <t>KALMAR LÄN</t>
        </is>
      </c>
      <c r="E577" t="inlineStr">
        <is>
          <t>VIMMERBY</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28403-2023</t>
        </is>
      </c>
      <c r="B578" s="1" t="n">
        <v>45100.85270833333</v>
      </c>
      <c r="C578" s="1" t="n">
        <v>45960</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40929-2022</t>
        </is>
      </c>
      <c r="B579" s="1" t="n">
        <v>44825.4336574074</v>
      </c>
      <c r="C579" s="1" t="n">
        <v>45960</v>
      </c>
      <c r="D579" t="inlineStr">
        <is>
          <t>KALMAR LÄN</t>
        </is>
      </c>
      <c r="E579" t="inlineStr">
        <is>
          <t>VIMMERBY</t>
        </is>
      </c>
      <c r="G579" t="n">
        <v>2.5</v>
      </c>
      <c r="H579" t="n">
        <v>0</v>
      </c>
      <c r="I579" t="n">
        <v>0</v>
      </c>
      <c r="J579" t="n">
        <v>0</v>
      </c>
      <c r="K579" t="n">
        <v>0</v>
      </c>
      <c r="L579" t="n">
        <v>0</v>
      </c>
      <c r="M579" t="n">
        <v>0</v>
      </c>
      <c r="N579" t="n">
        <v>0</v>
      </c>
      <c r="O579" t="n">
        <v>0</v>
      </c>
      <c r="P579" t="n">
        <v>0</v>
      </c>
      <c r="Q579" t="n">
        <v>0</v>
      </c>
      <c r="R579" s="2" t="inlineStr"/>
    </row>
    <row r="580" ht="15" customHeight="1">
      <c r="A580" t="inlineStr">
        <is>
          <t>A 50091-2023</t>
        </is>
      </c>
      <c r="B580" s="1" t="n">
        <v>45215.60199074074</v>
      </c>
      <c r="C580" s="1" t="n">
        <v>45960</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33103-2024</t>
        </is>
      </c>
      <c r="B581" s="1" t="n">
        <v>45517.8162037037</v>
      </c>
      <c r="C581" s="1" t="n">
        <v>45960</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36008-2024</t>
        </is>
      </c>
      <c r="B582" s="1" t="n">
        <v>45533.55362268518</v>
      </c>
      <c r="C582" s="1" t="n">
        <v>45960</v>
      </c>
      <c r="D582" t="inlineStr">
        <is>
          <t>KALMAR LÄN</t>
        </is>
      </c>
      <c r="E582" t="inlineStr">
        <is>
          <t>VIMMERBY</t>
        </is>
      </c>
      <c r="G582" t="n">
        <v>3.7</v>
      </c>
      <c r="H582" t="n">
        <v>0</v>
      </c>
      <c r="I582" t="n">
        <v>0</v>
      </c>
      <c r="J582" t="n">
        <v>0</v>
      </c>
      <c r="K582" t="n">
        <v>0</v>
      </c>
      <c r="L582" t="n">
        <v>0</v>
      </c>
      <c r="M582" t="n">
        <v>0</v>
      </c>
      <c r="N582" t="n">
        <v>0</v>
      </c>
      <c r="O582" t="n">
        <v>0</v>
      </c>
      <c r="P582" t="n">
        <v>0</v>
      </c>
      <c r="Q582" t="n">
        <v>0</v>
      </c>
      <c r="R582" s="2" t="inlineStr"/>
    </row>
    <row r="583" ht="15" customHeight="1">
      <c r="A583" t="inlineStr">
        <is>
          <t>A 16622-2025</t>
        </is>
      </c>
      <c r="B583" s="1" t="n">
        <v>45754.33641203704</v>
      </c>
      <c r="C583" s="1" t="n">
        <v>45960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17511-2024</t>
        </is>
      </c>
      <c r="B584" s="1" t="n">
        <v>45415.57682870371</v>
      </c>
      <c r="C584" s="1" t="n">
        <v>45960</v>
      </c>
      <c r="D584" t="inlineStr">
        <is>
          <t>KALMAR LÄN</t>
        </is>
      </c>
      <c r="E584" t="inlineStr">
        <is>
          <t>VIMMERBY</t>
        </is>
      </c>
      <c r="G584" t="n">
        <v>5.3</v>
      </c>
      <c r="H584" t="n">
        <v>0</v>
      </c>
      <c r="I584" t="n">
        <v>0</v>
      </c>
      <c r="J584" t="n">
        <v>0</v>
      </c>
      <c r="K584" t="n">
        <v>0</v>
      </c>
      <c r="L584" t="n">
        <v>0</v>
      </c>
      <c r="M584" t="n">
        <v>0</v>
      </c>
      <c r="N584" t="n">
        <v>0</v>
      </c>
      <c r="O584" t="n">
        <v>0</v>
      </c>
      <c r="P584" t="n">
        <v>0</v>
      </c>
      <c r="Q584" t="n">
        <v>0</v>
      </c>
      <c r="R584" s="2" t="inlineStr"/>
    </row>
    <row r="585" ht="15" customHeight="1">
      <c r="A585" t="inlineStr">
        <is>
          <t>A 43705-2023</t>
        </is>
      </c>
      <c r="B585" s="1" t="n">
        <v>45187.42854166667</v>
      </c>
      <c r="C585" s="1" t="n">
        <v>45960</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2260-2022</t>
        </is>
      </c>
      <c r="B586" s="1" t="n">
        <v>44578.62943287037</v>
      </c>
      <c r="C586" s="1" t="n">
        <v>45960</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11661-2023</t>
        </is>
      </c>
      <c r="B587" s="1" t="n">
        <v>44994.46908564815</v>
      </c>
      <c r="C587" s="1" t="n">
        <v>45960</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58046-2022</t>
        </is>
      </c>
      <c r="B588" s="1" t="n">
        <v>44900.57393518519</v>
      </c>
      <c r="C588" s="1" t="n">
        <v>45960</v>
      </c>
      <c r="D588" t="inlineStr">
        <is>
          <t>KALMAR LÄN</t>
        </is>
      </c>
      <c r="E588" t="inlineStr">
        <is>
          <t>VIMMERBY</t>
        </is>
      </c>
      <c r="G588" t="n">
        <v>2.5</v>
      </c>
      <c r="H588" t="n">
        <v>0</v>
      </c>
      <c r="I588" t="n">
        <v>0</v>
      </c>
      <c r="J588" t="n">
        <v>0</v>
      </c>
      <c r="K588" t="n">
        <v>0</v>
      </c>
      <c r="L588" t="n">
        <v>0</v>
      </c>
      <c r="M588" t="n">
        <v>0</v>
      </c>
      <c r="N588" t="n">
        <v>0</v>
      </c>
      <c r="O588" t="n">
        <v>0</v>
      </c>
      <c r="P588" t="n">
        <v>0</v>
      </c>
      <c r="Q588" t="n">
        <v>0</v>
      </c>
      <c r="R588" s="2" t="inlineStr"/>
    </row>
    <row r="589" ht="15" customHeight="1">
      <c r="A589" t="inlineStr">
        <is>
          <t>A 45528-2021</t>
        </is>
      </c>
      <c r="B589" s="1" t="n">
        <v>44440.60415509259</v>
      </c>
      <c r="C589" s="1" t="n">
        <v>45960</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46979-2023</t>
        </is>
      </c>
      <c r="B590" s="1" t="n">
        <v>45201</v>
      </c>
      <c r="C590" s="1" t="n">
        <v>45960</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6574-2023</t>
        </is>
      </c>
      <c r="B591" s="1" t="n">
        <v>44966</v>
      </c>
      <c r="C591" s="1" t="n">
        <v>45960</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55300-2021</t>
        </is>
      </c>
      <c r="B592" s="1" t="n">
        <v>44475</v>
      </c>
      <c r="C592" s="1" t="n">
        <v>45960</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44179-2022</t>
        </is>
      </c>
      <c r="B593" s="1" t="n">
        <v>44839.4528125</v>
      </c>
      <c r="C593" s="1" t="n">
        <v>45960</v>
      </c>
      <c r="D593" t="inlineStr">
        <is>
          <t>KALMAR LÄN</t>
        </is>
      </c>
      <c r="E593" t="inlineStr">
        <is>
          <t>VIMMERBY</t>
        </is>
      </c>
      <c r="G593" t="n">
        <v>2.8</v>
      </c>
      <c r="H593" t="n">
        <v>0</v>
      </c>
      <c r="I593" t="n">
        <v>0</v>
      </c>
      <c r="J593" t="n">
        <v>0</v>
      </c>
      <c r="K593" t="n">
        <v>0</v>
      </c>
      <c r="L593" t="n">
        <v>0</v>
      </c>
      <c r="M593" t="n">
        <v>0</v>
      </c>
      <c r="N593" t="n">
        <v>0</v>
      </c>
      <c r="O593" t="n">
        <v>0</v>
      </c>
      <c r="P593" t="n">
        <v>0</v>
      </c>
      <c r="Q593" t="n">
        <v>0</v>
      </c>
      <c r="R593" s="2" t="inlineStr"/>
    </row>
    <row r="594" ht="15" customHeight="1">
      <c r="A594" t="inlineStr">
        <is>
          <t>A 52755-2022</t>
        </is>
      </c>
      <c r="B594" s="1" t="n">
        <v>44875.27736111111</v>
      </c>
      <c r="C594" s="1" t="n">
        <v>45960</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31013-2023</t>
        </is>
      </c>
      <c r="B595" s="1" t="n">
        <v>45113.56574074074</v>
      </c>
      <c r="C595" s="1" t="n">
        <v>45960</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35998-2024</t>
        </is>
      </c>
      <c r="B596" s="1" t="n">
        <v>45533.54429398148</v>
      </c>
      <c r="C596" s="1" t="n">
        <v>45960</v>
      </c>
      <c r="D596" t="inlineStr">
        <is>
          <t>KALMAR LÄN</t>
        </is>
      </c>
      <c r="E596" t="inlineStr">
        <is>
          <t>VIMMERBY</t>
        </is>
      </c>
      <c r="G596" t="n">
        <v>8.6</v>
      </c>
      <c r="H596" t="n">
        <v>0</v>
      </c>
      <c r="I596" t="n">
        <v>0</v>
      </c>
      <c r="J596" t="n">
        <v>0</v>
      </c>
      <c r="K596" t="n">
        <v>0</v>
      </c>
      <c r="L596" t="n">
        <v>0</v>
      </c>
      <c r="M596" t="n">
        <v>0</v>
      </c>
      <c r="N596" t="n">
        <v>0</v>
      </c>
      <c r="O596" t="n">
        <v>0</v>
      </c>
      <c r="P596" t="n">
        <v>0</v>
      </c>
      <c r="Q596" t="n">
        <v>0</v>
      </c>
      <c r="R596" s="2" t="inlineStr"/>
    </row>
    <row r="597" ht="15" customHeight="1">
      <c r="A597" t="inlineStr">
        <is>
          <t>A 7797-2023</t>
        </is>
      </c>
      <c r="B597" s="1" t="n">
        <v>44973.43075231482</v>
      </c>
      <c r="C597" s="1" t="n">
        <v>45960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4058-2024</t>
        </is>
      </c>
      <c r="B598" s="1" t="n">
        <v>45323.53744212963</v>
      </c>
      <c r="C598" s="1" t="n">
        <v>45960</v>
      </c>
      <c r="D598" t="inlineStr">
        <is>
          <t>KALMAR LÄN</t>
        </is>
      </c>
      <c r="E598" t="inlineStr">
        <is>
          <t>VIMMERBY</t>
        </is>
      </c>
      <c r="G598" t="n">
        <v>6.5</v>
      </c>
      <c r="H598" t="n">
        <v>0</v>
      </c>
      <c r="I598" t="n">
        <v>0</v>
      </c>
      <c r="J598" t="n">
        <v>0</v>
      </c>
      <c r="K598" t="n">
        <v>0</v>
      </c>
      <c r="L598" t="n">
        <v>0</v>
      </c>
      <c r="M598" t="n">
        <v>0</v>
      </c>
      <c r="N598" t="n">
        <v>0</v>
      </c>
      <c r="O598" t="n">
        <v>0</v>
      </c>
      <c r="P598" t="n">
        <v>0</v>
      </c>
      <c r="Q598" t="n">
        <v>0</v>
      </c>
      <c r="R598" s="2" t="inlineStr"/>
    </row>
    <row r="599" ht="15" customHeight="1">
      <c r="A599" t="inlineStr">
        <is>
          <t>A 72067-2021</t>
        </is>
      </c>
      <c r="B599" s="1" t="n">
        <v>44540</v>
      </c>
      <c r="C599" s="1" t="n">
        <v>45960</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1978-2024</t>
        </is>
      </c>
      <c r="B600" s="1" t="n">
        <v>45308.59001157407</v>
      </c>
      <c r="C600" s="1" t="n">
        <v>45960</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38604-2025</t>
        </is>
      </c>
      <c r="B601" s="1" t="n">
        <v>45884.50613425926</v>
      </c>
      <c r="C601" s="1" t="n">
        <v>45960</v>
      </c>
      <c r="D601" t="inlineStr">
        <is>
          <t>KALMAR LÄN</t>
        </is>
      </c>
      <c r="E601" t="inlineStr">
        <is>
          <t>VIMMERBY</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61538-2022</t>
        </is>
      </c>
      <c r="B602" s="1" t="n">
        <v>44916.55414351852</v>
      </c>
      <c r="C602" s="1" t="n">
        <v>45960</v>
      </c>
      <c r="D602" t="inlineStr">
        <is>
          <t>KALMAR LÄN</t>
        </is>
      </c>
      <c r="E602" t="inlineStr">
        <is>
          <t>VIMMERBY</t>
        </is>
      </c>
      <c r="G602" t="n">
        <v>1.5</v>
      </c>
      <c r="H602" t="n">
        <v>0</v>
      </c>
      <c r="I602" t="n">
        <v>0</v>
      </c>
      <c r="J602" t="n">
        <v>0</v>
      </c>
      <c r="K602" t="n">
        <v>0</v>
      </c>
      <c r="L602" t="n">
        <v>0</v>
      </c>
      <c r="M602" t="n">
        <v>0</v>
      </c>
      <c r="N602" t="n">
        <v>0</v>
      </c>
      <c r="O602" t="n">
        <v>0</v>
      </c>
      <c r="P602" t="n">
        <v>0</v>
      </c>
      <c r="Q602" t="n">
        <v>0</v>
      </c>
      <c r="R602" s="2" t="inlineStr"/>
    </row>
    <row r="603" ht="15" customHeight="1">
      <c r="A603" t="inlineStr">
        <is>
          <t>A 30318-2023</t>
        </is>
      </c>
      <c r="B603" s="1" t="n">
        <v>45111.30824074074</v>
      </c>
      <c r="C603" s="1" t="n">
        <v>45960</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29351-2023</t>
        </is>
      </c>
      <c r="B604" s="1" t="n">
        <v>45106.2610300926</v>
      </c>
      <c r="C604" s="1" t="n">
        <v>45960</v>
      </c>
      <c r="D604" t="inlineStr">
        <is>
          <t>KALMAR LÄN</t>
        </is>
      </c>
      <c r="E604" t="inlineStr">
        <is>
          <t>VIMMERBY</t>
        </is>
      </c>
      <c r="G604" t="n">
        <v>0.4</v>
      </c>
      <c r="H604" t="n">
        <v>0</v>
      </c>
      <c r="I604" t="n">
        <v>0</v>
      </c>
      <c r="J604" t="n">
        <v>0</v>
      </c>
      <c r="K604" t="n">
        <v>0</v>
      </c>
      <c r="L604" t="n">
        <v>0</v>
      </c>
      <c r="M604" t="n">
        <v>0</v>
      </c>
      <c r="N604" t="n">
        <v>0</v>
      </c>
      <c r="O604" t="n">
        <v>0</v>
      </c>
      <c r="P604" t="n">
        <v>0</v>
      </c>
      <c r="Q604" t="n">
        <v>0</v>
      </c>
      <c r="R604" s="2" t="inlineStr"/>
    </row>
    <row r="605" ht="15" customHeight="1">
      <c r="A605" t="inlineStr">
        <is>
          <t>A 7630-2025</t>
        </is>
      </c>
      <c r="B605" s="1" t="n">
        <v>45705.74418981482</v>
      </c>
      <c r="C605" s="1" t="n">
        <v>45960</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1024-2024</t>
        </is>
      </c>
      <c r="B606" s="1" t="n">
        <v>45301.68237268519</v>
      </c>
      <c r="C606" s="1" t="n">
        <v>45960</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25234-2023</t>
        </is>
      </c>
      <c r="B607" s="1" t="n">
        <v>45086.63194444445</v>
      </c>
      <c r="C607" s="1" t="n">
        <v>45960</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46078-2023</t>
        </is>
      </c>
      <c r="B608" s="1" t="n">
        <v>45196</v>
      </c>
      <c r="C608" s="1" t="n">
        <v>45960</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36155-2023</t>
        </is>
      </c>
      <c r="B609" s="1" t="n">
        <v>45149.60917824074</v>
      </c>
      <c r="C609" s="1" t="n">
        <v>45960</v>
      </c>
      <c r="D609" t="inlineStr">
        <is>
          <t>KALMAR LÄN</t>
        </is>
      </c>
      <c r="E609" t="inlineStr">
        <is>
          <t>VIMMERBY</t>
        </is>
      </c>
      <c r="G609" t="n">
        <v>5</v>
      </c>
      <c r="H609" t="n">
        <v>0</v>
      </c>
      <c r="I609" t="n">
        <v>0</v>
      </c>
      <c r="J609" t="n">
        <v>0</v>
      </c>
      <c r="K609" t="n">
        <v>0</v>
      </c>
      <c r="L609" t="n">
        <v>0</v>
      </c>
      <c r="M609" t="n">
        <v>0</v>
      </c>
      <c r="N609" t="n">
        <v>0</v>
      </c>
      <c r="O609" t="n">
        <v>0</v>
      </c>
      <c r="P609" t="n">
        <v>0</v>
      </c>
      <c r="Q609" t="n">
        <v>0</v>
      </c>
      <c r="R609" s="2" t="inlineStr"/>
    </row>
    <row r="610" ht="15" customHeight="1">
      <c r="A610" t="inlineStr">
        <is>
          <t>A 10787-2025</t>
        </is>
      </c>
      <c r="B610" s="1" t="n">
        <v>45722.48915509259</v>
      </c>
      <c r="C610" s="1" t="n">
        <v>45960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29173-2024</t>
        </is>
      </c>
      <c r="B611" s="1" t="n">
        <v>45482.52887731481</v>
      </c>
      <c r="C611" s="1" t="n">
        <v>45960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46887-2025</t>
        </is>
      </c>
      <c r="B612" s="1" t="n">
        <v>45929.3672337963</v>
      </c>
      <c r="C612" s="1" t="n">
        <v>45960</v>
      </c>
      <c r="D612" t="inlineStr">
        <is>
          <t>KALMAR LÄN</t>
        </is>
      </c>
      <c r="E612" t="inlineStr">
        <is>
          <t>VIMMERBY</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53542-2022</t>
        </is>
      </c>
      <c r="B613" s="1" t="n">
        <v>44879.62173611111</v>
      </c>
      <c r="C613" s="1" t="n">
        <v>45960</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29350-2023</t>
        </is>
      </c>
      <c r="B614" s="1" t="n">
        <v>45106</v>
      </c>
      <c r="C614" s="1" t="n">
        <v>45960</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45854-2025</t>
        </is>
      </c>
      <c r="B615" s="1" t="n">
        <v>45923</v>
      </c>
      <c r="C615" s="1" t="n">
        <v>45960</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14855-2025</t>
        </is>
      </c>
      <c r="B616" s="1" t="n">
        <v>45743.41148148148</v>
      </c>
      <c r="C616" s="1" t="n">
        <v>45960</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43601-2024</t>
        </is>
      </c>
      <c r="B617" s="1" t="n">
        <v>45569.44684027778</v>
      </c>
      <c r="C617" s="1" t="n">
        <v>45960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35913-2023</t>
        </is>
      </c>
      <c r="B618" s="1" t="n">
        <v>45148</v>
      </c>
      <c r="C618" s="1" t="n">
        <v>45960</v>
      </c>
      <c r="D618" t="inlineStr">
        <is>
          <t>KALMAR LÄN</t>
        </is>
      </c>
      <c r="E618" t="inlineStr">
        <is>
          <t>VIMMERBY</t>
        </is>
      </c>
      <c r="G618" t="n">
        <v>6.9</v>
      </c>
      <c r="H618" t="n">
        <v>0</v>
      </c>
      <c r="I618" t="n">
        <v>0</v>
      </c>
      <c r="J618" t="n">
        <v>0</v>
      </c>
      <c r="K618" t="n">
        <v>0</v>
      </c>
      <c r="L618" t="n">
        <v>0</v>
      </c>
      <c r="M618" t="n">
        <v>0</v>
      </c>
      <c r="N618" t="n">
        <v>0</v>
      </c>
      <c r="O618" t="n">
        <v>0</v>
      </c>
      <c r="P618" t="n">
        <v>0</v>
      </c>
      <c r="Q618" t="n">
        <v>0</v>
      </c>
      <c r="R618" s="2" t="inlineStr"/>
    </row>
    <row r="619" ht="15" customHeight="1">
      <c r="A619" t="inlineStr">
        <is>
          <t>A 47227-2025</t>
        </is>
      </c>
      <c r="B619" s="1" t="n">
        <v>45930.39769675926</v>
      </c>
      <c r="C619" s="1" t="n">
        <v>45960</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9624-2024</t>
        </is>
      </c>
      <c r="B620" s="1" t="n">
        <v>45361.90282407407</v>
      </c>
      <c r="C620" s="1" t="n">
        <v>45960</v>
      </c>
      <c r="D620" t="inlineStr">
        <is>
          <t>KALMAR LÄN</t>
        </is>
      </c>
      <c r="E620" t="inlineStr">
        <is>
          <t>VIMMERBY</t>
        </is>
      </c>
      <c r="G620" t="n">
        <v>3.8</v>
      </c>
      <c r="H620" t="n">
        <v>0</v>
      </c>
      <c r="I620" t="n">
        <v>0</v>
      </c>
      <c r="J620" t="n">
        <v>0</v>
      </c>
      <c r="K620" t="n">
        <v>0</v>
      </c>
      <c r="L620" t="n">
        <v>0</v>
      </c>
      <c r="M620" t="n">
        <v>0</v>
      </c>
      <c r="N620" t="n">
        <v>0</v>
      </c>
      <c r="O620" t="n">
        <v>0</v>
      </c>
      <c r="P620" t="n">
        <v>0</v>
      </c>
      <c r="Q620" t="n">
        <v>0</v>
      </c>
      <c r="R620" s="2" t="inlineStr"/>
    </row>
    <row r="621" ht="15" customHeight="1">
      <c r="A621" t="inlineStr">
        <is>
          <t>A 3938-2023</t>
        </is>
      </c>
      <c r="B621" s="1" t="n">
        <v>44952.35775462963</v>
      </c>
      <c r="C621" s="1" t="n">
        <v>45960</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3609-2024</t>
        </is>
      </c>
      <c r="B622" s="1" t="n">
        <v>45320.89128472222</v>
      </c>
      <c r="C622" s="1" t="n">
        <v>45960</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39053-2024</t>
        </is>
      </c>
      <c r="B623" s="1" t="n">
        <v>45548</v>
      </c>
      <c r="C623" s="1" t="n">
        <v>45960</v>
      </c>
      <c r="D623" t="inlineStr">
        <is>
          <t>KALMAR LÄN</t>
        </is>
      </c>
      <c r="E623" t="inlineStr">
        <is>
          <t>VIMMERBY</t>
        </is>
      </c>
      <c r="G623" t="n">
        <v>5</v>
      </c>
      <c r="H623" t="n">
        <v>0</v>
      </c>
      <c r="I623" t="n">
        <v>0</v>
      </c>
      <c r="J623" t="n">
        <v>0</v>
      </c>
      <c r="K623" t="n">
        <v>0</v>
      </c>
      <c r="L623" t="n">
        <v>0</v>
      </c>
      <c r="M623" t="n">
        <v>0</v>
      </c>
      <c r="N623" t="n">
        <v>0</v>
      </c>
      <c r="O623" t="n">
        <v>0</v>
      </c>
      <c r="P623" t="n">
        <v>0</v>
      </c>
      <c r="Q623" t="n">
        <v>0</v>
      </c>
      <c r="R623" s="2" t="inlineStr"/>
    </row>
    <row r="624" ht="15" customHeight="1">
      <c r="A624" t="inlineStr">
        <is>
          <t>A 10424-2023</t>
        </is>
      </c>
      <c r="B624" s="1" t="n">
        <v>44987.54104166666</v>
      </c>
      <c r="C624" s="1" t="n">
        <v>45960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14451-2024</t>
        </is>
      </c>
      <c r="B625" s="1" t="n">
        <v>45394.50028935185</v>
      </c>
      <c r="C625" s="1" t="n">
        <v>45960</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49382-2023</t>
        </is>
      </c>
      <c r="B626" s="1" t="n">
        <v>45208</v>
      </c>
      <c r="C626" s="1" t="n">
        <v>45960</v>
      </c>
      <c r="D626" t="inlineStr">
        <is>
          <t>KALMAR LÄN</t>
        </is>
      </c>
      <c r="E626" t="inlineStr">
        <is>
          <t>VIMMERBY</t>
        </is>
      </c>
      <c r="G626" t="n">
        <v>2.2</v>
      </c>
      <c r="H626" t="n">
        <v>0</v>
      </c>
      <c r="I626" t="n">
        <v>0</v>
      </c>
      <c r="J626" t="n">
        <v>0</v>
      </c>
      <c r="K626" t="n">
        <v>0</v>
      </c>
      <c r="L626" t="n">
        <v>0</v>
      </c>
      <c r="M626" t="n">
        <v>0</v>
      </c>
      <c r="N626" t="n">
        <v>0</v>
      </c>
      <c r="O626" t="n">
        <v>0</v>
      </c>
      <c r="P626" t="n">
        <v>0</v>
      </c>
      <c r="Q626" t="n">
        <v>0</v>
      </c>
      <c r="R626" s="2" t="inlineStr"/>
    </row>
    <row r="627" ht="15" customHeight="1">
      <c r="A627" t="inlineStr">
        <is>
          <t>A 12810-2023</t>
        </is>
      </c>
      <c r="B627" s="1" t="n">
        <v>45001.43854166667</v>
      </c>
      <c r="C627" s="1" t="n">
        <v>45960</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3425-2022</t>
        </is>
      </c>
      <c r="B628" s="1" t="n">
        <v>44585.51060185185</v>
      </c>
      <c r="C628" s="1" t="n">
        <v>45960</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60675-2023</t>
        </is>
      </c>
      <c r="B629" s="1" t="n">
        <v>45260.4716550926</v>
      </c>
      <c r="C629" s="1" t="n">
        <v>45960</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34205-2023</t>
        </is>
      </c>
      <c r="B630" s="1" t="n">
        <v>45138</v>
      </c>
      <c r="C630" s="1" t="n">
        <v>45960</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29726-2025</t>
        </is>
      </c>
      <c r="B631" s="1" t="n">
        <v>45825.57805555555</v>
      </c>
      <c r="C631" s="1" t="n">
        <v>45960</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2536-2023</t>
        </is>
      </c>
      <c r="B632" s="1" t="n">
        <v>44943.62954861111</v>
      </c>
      <c r="C632" s="1" t="n">
        <v>45960</v>
      </c>
      <c r="D632" t="inlineStr">
        <is>
          <t>KALMAR LÄN</t>
        </is>
      </c>
      <c r="E632" t="inlineStr">
        <is>
          <t>VIMMERBY</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6807-2025</t>
        </is>
      </c>
      <c r="B633" s="1" t="n">
        <v>45700.68672453704</v>
      </c>
      <c r="C633" s="1" t="n">
        <v>45960</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7047-2022</t>
        </is>
      </c>
      <c r="B634" s="1" t="n">
        <v>44603</v>
      </c>
      <c r="C634" s="1" t="n">
        <v>45960</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11111-2024</t>
        </is>
      </c>
      <c r="B635" s="1" t="n">
        <v>45371.36359953704</v>
      </c>
      <c r="C635" s="1" t="n">
        <v>45960</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35711-2023</t>
        </is>
      </c>
      <c r="B636" s="1" t="n">
        <v>45147.67172453704</v>
      </c>
      <c r="C636" s="1" t="n">
        <v>45960</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5382-2023</t>
        </is>
      </c>
      <c r="B637" s="1" t="n">
        <v>44959.66407407408</v>
      </c>
      <c r="C637" s="1" t="n">
        <v>45960</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1687-2023</t>
        </is>
      </c>
      <c r="B638" s="1" t="n">
        <v>44938</v>
      </c>
      <c r="C638" s="1" t="n">
        <v>45960</v>
      </c>
      <c r="D638" t="inlineStr">
        <is>
          <t>KALMAR LÄN</t>
        </is>
      </c>
      <c r="E638" t="inlineStr">
        <is>
          <t>VIMMERBY</t>
        </is>
      </c>
      <c r="F638" t="inlineStr">
        <is>
          <t>Kommuner</t>
        </is>
      </c>
      <c r="G638" t="n">
        <v>2.5</v>
      </c>
      <c r="H638" t="n">
        <v>0</v>
      </c>
      <c r="I638" t="n">
        <v>0</v>
      </c>
      <c r="J638" t="n">
        <v>0</v>
      </c>
      <c r="K638" t="n">
        <v>0</v>
      </c>
      <c r="L638" t="n">
        <v>0</v>
      </c>
      <c r="M638" t="n">
        <v>0</v>
      </c>
      <c r="N638" t="n">
        <v>0</v>
      </c>
      <c r="O638" t="n">
        <v>0</v>
      </c>
      <c r="P638" t="n">
        <v>0</v>
      </c>
      <c r="Q638" t="n">
        <v>0</v>
      </c>
      <c r="R638" s="2" t="inlineStr"/>
    </row>
    <row r="639" ht="15" customHeight="1">
      <c r="A639" t="inlineStr">
        <is>
          <t>A 3268-2024</t>
        </is>
      </c>
      <c r="B639" s="1" t="n">
        <v>45317</v>
      </c>
      <c r="C639" s="1" t="n">
        <v>45960</v>
      </c>
      <c r="D639" t="inlineStr">
        <is>
          <t>KALMAR LÄN</t>
        </is>
      </c>
      <c r="E639" t="inlineStr">
        <is>
          <t>VIMMERBY</t>
        </is>
      </c>
      <c r="F639" t="inlineStr">
        <is>
          <t>Övriga Aktiebolag</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12819-2024</t>
        </is>
      </c>
      <c r="B640" s="1" t="n">
        <v>45384.66917824074</v>
      </c>
      <c r="C640" s="1" t="n">
        <v>45960</v>
      </c>
      <c r="D640" t="inlineStr">
        <is>
          <t>KALMAR LÄN</t>
        </is>
      </c>
      <c r="E640" t="inlineStr">
        <is>
          <t>VIMMERBY</t>
        </is>
      </c>
      <c r="G640" t="n">
        <v>5.1</v>
      </c>
      <c r="H640" t="n">
        <v>0</v>
      </c>
      <c r="I640" t="n">
        <v>0</v>
      </c>
      <c r="J640" t="n">
        <v>0</v>
      </c>
      <c r="K640" t="n">
        <v>0</v>
      </c>
      <c r="L640" t="n">
        <v>0</v>
      </c>
      <c r="M640" t="n">
        <v>0</v>
      </c>
      <c r="N640" t="n">
        <v>0</v>
      </c>
      <c r="O640" t="n">
        <v>0</v>
      </c>
      <c r="P640" t="n">
        <v>0</v>
      </c>
      <c r="Q640" t="n">
        <v>0</v>
      </c>
      <c r="R640" s="2" t="inlineStr"/>
    </row>
    <row r="641" ht="15" customHeight="1">
      <c r="A641" t="inlineStr">
        <is>
          <t>A 3494-2023</t>
        </is>
      </c>
      <c r="B641" s="1" t="n">
        <v>44949</v>
      </c>
      <c r="C641" s="1" t="n">
        <v>45960</v>
      </c>
      <c r="D641" t="inlineStr">
        <is>
          <t>KALMAR LÄN</t>
        </is>
      </c>
      <c r="E641" t="inlineStr">
        <is>
          <t>VIMMERBY</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40823-2023</t>
        </is>
      </c>
      <c r="B642" s="1" t="n">
        <v>45171.77335648148</v>
      </c>
      <c r="C642" s="1" t="n">
        <v>45960</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39801-2025</t>
        </is>
      </c>
      <c r="B643" s="1" t="n">
        <v>45891.50216435185</v>
      </c>
      <c r="C643" s="1" t="n">
        <v>45960</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6218-2025</t>
        </is>
      </c>
      <c r="B644" s="1" t="n">
        <v>45698.53336805556</v>
      </c>
      <c r="C644" s="1" t="n">
        <v>45960</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47955-2025</t>
        </is>
      </c>
      <c r="B645" s="1" t="n">
        <v>45932.58896990741</v>
      </c>
      <c r="C645" s="1" t="n">
        <v>45960</v>
      </c>
      <c r="D645" t="inlineStr">
        <is>
          <t>KALMAR LÄN</t>
        </is>
      </c>
      <c r="E645" t="inlineStr">
        <is>
          <t>VIMMERBY</t>
        </is>
      </c>
      <c r="G645" t="n">
        <v>3.4</v>
      </c>
      <c r="H645" t="n">
        <v>0</v>
      </c>
      <c r="I645" t="n">
        <v>0</v>
      </c>
      <c r="J645" t="n">
        <v>0</v>
      </c>
      <c r="K645" t="n">
        <v>0</v>
      </c>
      <c r="L645" t="n">
        <v>0</v>
      </c>
      <c r="M645" t="n">
        <v>0</v>
      </c>
      <c r="N645" t="n">
        <v>0</v>
      </c>
      <c r="O645" t="n">
        <v>0</v>
      </c>
      <c r="P645" t="n">
        <v>0</v>
      </c>
      <c r="Q645" t="n">
        <v>0</v>
      </c>
      <c r="R645" s="2" t="inlineStr"/>
    </row>
    <row r="646" ht="15" customHeight="1">
      <c r="A646" t="inlineStr">
        <is>
          <t>A 6214-2025</t>
        </is>
      </c>
      <c r="B646" s="1" t="n">
        <v>45698.51711805556</v>
      </c>
      <c r="C646" s="1" t="n">
        <v>45960</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32569-2024</t>
        </is>
      </c>
      <c r="B647" s="1" t="n">
        <v>45513.55840277778</v>
      </c>
      <c r="C647" s="1" t="n">
        <v>45960</v>
      </c>
      <c r="D647" t="inlineStr">
        <is>
          <t>KALMAR LÄN</t>
        </is>
      </c>
      <c r="E647" t="inlineStr">
        <is>
          <t>VIMMERBY</t>
        </is>
      </c>
      <c r="G647" t="n">
        <v>3.7</v>
      </c>
      <c r="H647" t="n">
        <v>0</v>
      </c>
      <c r="I647" t="n">
        <v>0</v>
      </c>
      <c r="J647" t="n">
        <v>0</v>
      </c>
      <c r="K647" t="n">
        <v>0</v>
      </c>
      <c r="L647" t="n">
        <v>0</v>
      </c>
      <c r="M647" t="n">
        <v>0</v>
      </c>
      <c r="N647" t="n">
        <v>0</v>
      </c>
      <c r="O647" t="n">
        <v>0</v>
      </c>
      <c r="P647" t="n">
        <v>0</v>
      </c>
      <c r="Q647" t="n">
        <v>0</v>
      </c>
      <c r="R647" s="2" t="inlineStr"/>
    </row>
    <row r="648" ht="15" customHeight="1">
      <c r="A648" t="inlineStr">
        <is>
          <t>A 32575-2024</t>
        </is>
      </c>
      <c r="B648" s="1" t="n">
        <v>45513.56527777778</v>
      </c>
      <c r="C648" s="1" t="n">
        <v>45960</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15449-2023</t>
        </is>
      </c>
      <c r="B649" s="1" t="n">
        <v>45020</v>
      </c>
      <c r="C649" s="1" t="n">
        <v>45960</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43242-2024</t>
        </is>
      </c>
      <c r="B650" s="1" t="n">
        <v>45568.30189814815</v>
      </c>
      <c r="C650" s="1" t="n">
        <v>45960</v>
      </c>
      <c r="D650" t="inlineStr">
        <is>
          <t>KALMAR LÄN</t>
        </is>
      </c>
      <c r="E650" t="inlineStr">
        <is>
          <t>VIMMERBY</t>
        </is>
      </c>
      <c r="G650" t="n">
        <v>2.6</v>
      </c>
      <c r="H650" t="n">
        <v>0</v>
      </c>
      <c r="I650" t="n">
        <v>0</v>
      </c>
      <c r="J650" t="n">
        <v>0</v>
      </c>
      <c r="K650" t="n">
        <v>0</v>
      </c>
      <c r="L650" t="n">
        <v>0</v>
      </c>
      <c r="M650" t="n">
        <v>0</v>
      </c>
      <c r="N650" t="n">
        <v>0</v>
      </c>
      <c r="O650" t="n">
        <v>0</v>
      </c>
      <c r="P650" t="n">
        <v>0</v>
      </c>
      <c r="Q650" t="n">
        <v>0</v>
      </c>
      <c r="R650" s="2" t="inlineStr"/>
    </row>
    <row r="651" ht="15" customHeight="1">
      <c r="A651" t="inlineStr">
        <is>
          <t>A 39807-2025</t>
        </is>
      </c>
      <c r="B651" s="1" t="n">
        <v>45891.50986111111</v>
      </c>
      <c r="C651" s="1" t="n">
        <v>45960</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39736-2025</t>
        </is>
      </c>
      <c r="B652" s="1" t="n">
        <v>45891</v>
      </c>
      <c r="C652" s="1" t="n">
        <v>45960</v>
      </c>
      <c r="D652" t="inlineStr">
        <is>
          <t>KALMAR LÄN</t>
        </is>
      </c>
      <c r="E652" t="inlineStr">
        <is>
          <t>VIMMERBY</t>
        </is>
      </c>
      <c r="G652" t="n">
        <v>12.8</v>
      </c>
      <c r="H652" t="n">
        <v>0</v>
      </c>
      <c r="I652" t="n">
        <v>0</v>
      </c>
      <c r="J652" t="n">
        <v>0</v>
      </c>
      <c r="K652" t="n">
        <v>0</v>
      </c>
      <c r="L652" t="n">
        <v>0</v>
      </c>
      <c r="M652" t="n">
        <v>0</v>
      </c>
      <c r="N652" t="n">
        <v>0</v>
      </c>
      <c r="O652" t="n">
        <v>0</v>
      </c>
      <c r="P652" t="n">
        <v>0</v>
      </c>
      <c r="Q652" t="n">
        <v>0</v>
      </c>
      <c r="R652" s="2" t="inlineStr"/>
    </row>
    <row r="653" ht="15" customHeight="1">
      <c r="A653" t="inlineStr">
        <is>
          <t>A 59300-2024</t>
        </is>
      </c>
      <c r="B653" s="1" t="n">
        <v>45637.66542824074</v>
      </c>
      <c r="C653" s="1" t="n">
        <v>45960</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61878-2020</t>
        </is>
      </c>
      <c r="B654" s="1" t="n">
        <v>44159</v>
      </c>
      <c r="C654" s="1" t="n">
        <v>45960</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47965-2025</t>
        </is>
      </c>
      <c r="B655" s="1" t="n">
        <v>45932.59597222223</v>
      </c>
      <c r="C655" s="1" t="n">
        <v>45960</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56853-2022</t>
        </is>
      </c>
      <c r="B656" s="1" t="n">
        <v>44894.49538194444</v>
      </c>
      <c r="C656" s="1" t="n">
        <v>45960</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59768-2024</t>
        </is>
      </c>
      <c r="B657" s="1" t="n">
        <v>45639.56185185185</v>
      </c>
      <c r="C657" s="1" t="n">
        <v>45960</v>
      </c>
      <c r="D657" t="inlineStr">
        <is>
          <t>KALMAR LÄN</t>
        </is>
      </c>
      <c r="E657" t="inlineStr">
        <is>
          <t>VIMMERBY</t>
        </is>
      </c>
      <c r="G657" t="n">
        <v>5.9</v>
      </c>
      <c r="H657" t="n">
        <v>0</v>
      </c>
      <c r="I657" t="n">
        <v>0</v>
      </c>
      <c r="J657" t="n">
        <v>0</v>
      </c>
      <c r="K657" t="n">
        <v>0</v>
      </c>
      <c r="L657" t="n">
        <v>0</v>
      </c>
      <c r="M657" t="n">
        <v>0</v>
      </c>
      <c r="N657" t="n">
        <v>0</v>
      </c>
      <c r="O657" t="n">
        <v>0</v>
      </c>
      <c r="P657" t="n">
        <v>0</v>
      </c>
      <c r="Q657" t="n">
        <v>0</v>
      </c>
      <c r="R657" s="2" t="inlineStr"/>
    </row>
    <row r="658" ht="15" customHeight="1">
      <c r="A658" t="inlineStr">
        <is>
          <t>A 36526-2023</t>
        </is>
      </c>
      <c r="B658" s="1" t="n">
        <v>45153.32778935185</v>
      </c>
      <c r="C658" s="1" t="n">
        <v>45960</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65049-2020</t>
        </is>
      </c>
      <c r="B659" s="1" t="n">
        <v>44172</v>
      </c>
      <c r="C659" s="1" t="n">
        <v>45960</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48299-2025</t>
        </is>
      </c>
      <c r="B660" s="1" t="n">
        <v>45933.60982638889</v>
      </c>
      <c r="C660" s="1" t="n">
        <v>45960</v>
      </c>
      <c r="D660" t="inlineStr">
        <is>
          <t>KALMAR LÄN</t>
        </is>
      </c>
      <c r="E660" t="inlineStr">
        <is>
          <t>VIMMERBY</t>
        </is>
      </c>
      <c r="G660" t="n">
        <v>1.8</v>
      </c>
      <c r="H660" t="n">
        <v>0</v>
      </c>
      <c r="I660" t="n">
        <v>0</v>
      </c>
      <c r="J660" t="n">
        <v>0</v>
      </c>
      <c r="K660" t="n">
        <v>0</v>
      </c>
      <c r="L660" t="n">
        <v>0</v>
      </c>
      <c r="M660" t="n">
        <v>0</v>
      </c>
      <c r="N660" t="n">
        <v>0</v>
      </c>
      <c r="O660" t="n">
        <v>0</v>
      </c>
      <c r="P660" t="n">
        <v>0</v>
      </c>
      <c r="Q660" t="n">
        <v>0</v>
      </c>
      <c r="R660" s="2" t="inlineStr"/>
    </row>
    <row r="661" ht="15" customHeight="1">
      <c r="A661" t="inlineStr">
        <is>
          <t>A 30920-2023</t>
        </is>
      </c>
      <c r="B661" s="1" t="n">
        <v>45113.43921296296</v>
      </c>
      <c r="C661" s="1" t="n">
        <v>45960</v>
      </c>
      <c r="D661" t="inlineStr">
        <is>
          <t>KALMAR LÄN</t>
        </is>
      </c>
      <c r="E661" t="inlineStr">
        <is>
          <t>VIMMERBY</t>
        </is>
      </c>
      <c r="G661" t="n">
        <v>3.1</v>
      </c>
      <c r="H661" t="n">
        <v>0</v>
      </c>
      <c r="I661" t="n">
        <v>0</v>
      </c>
      <c r="J661" t="n">
        <v>0</v>
      </c>
      <c r="K661" t="n">
        <v>0</v>
      </c>
      <c r="L661" t="n">
        <v>0</v>
      </c>
      <c r="M661" t="n">
        <v>0</v>
      </c>
      <c r="N661" t="n">
        <v>0</v>
      </c>
      <c r="O661" t="n">
        <v>0</v>
      </c>
      <c r="P661" t="n">
        <v>0</v>
      </c>
      <c r="Q661" t="n">
        <v>0</v>
      </c>
      <c r="R661" s="2" t="inlineStr"/>
    </row>
    <row r="662" ht="15" customHeight="1">
      <c r="A662" t="inlineStr">
        <is>
          <t>A 33815-2022</t>
        </is>
      </c>
      <c r="B662" s="1" t="n">
        <v>44790.45876157407</v>
      </c>
      <c r="C662" s="1" t="n">
        <v>45960</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44790.49523148148</v>
      </c>
      <c r="C663" s="1" t="n">
        <v>45960</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45960</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39803-2025</t>
        </is>
      </c>
      <c r="B665" s="1" t="n">
        <v>45891.50525462963</v>
      </c>
      <c r="C665" s="1" t="n">
        <v>45960</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39889-2025</t>
        </is>
      </c>
      <c r="B666" s="1" t="n">
        <v>45891</v>
      </c>
      <c r="C666" s="1" t="n">
        <v>45960</v>
      </c>
      <c r="D666" t="inlineStr">
        <is>
          <t>KALMAR LÄN</t>
        </is>
      </c>
      <c r="E666" t="inlineStr">
        <is>
          <t>VIMMERBY</t>
        </is>
      </c>
      <c r="G666" t="n">
        <v>4.5</v>
      </c>
      <c r="H666" t="n">
        <v>0</v>
      </c>
      <c r="I666" t="n">
        <v>0</v>
      </c>
      <c r="J666" t="n">
        <v>0</v>
      </c>
      <c r="K666" t="n">
        <v>0</v>
      </c>
      <c r="L666" t="n">
        <v>0</v>
      </c>
      <c r="M666" t="n">
        <v>0</v>
      </c>
      <c r="N666" t="n">
        <v>0</v>
      </c>
      <c r="O666" t="n">
        <v>0</v>
      </c>
      <c r="P666" t="n">
        <v>0</v>
      </c>
      <c r="Q666" t="n">
        <v>0</v>
      </c>
      <c r="R666" s="2" t="inlineStr"/>
    </row>
    <row r="667" ht="15" customHeight="1">
      <c r="A667" t="inlineStr">
        <is>
          <t>A 49474-2023</t>
        </is>
      </c>
      <c r="B667" s="1" t="n">
        <v>45211.541875</v>
      </c>
      <c r="C667" s="1" t="n">
        <v>45960</v>
      </c>
      <c r="D667" t="inlineStr">
        <is>
          <t>KALMAR LÄN</t>
        </is>
      </c>
      <c r="E667" t="inlineStr">
        <is>
          <t>VIMMERBY</t>
        </is>
      </c>
      <c r="G667" t="n">
        <v>3.6</v>
      </c>
      <c r="H667" t="n">
        <v>0</v>
      </c>
      <c r="I667" t="n">
        <v>0</v>
      </c>
      <c r="J667" t="n">
        <v>0</v>
      </c>
      <c r="K667" t="n">
        <v>0</v>
      </c>
      <c r="L667" t="n">
        <v>0</v>
      </c>
      <c r="M667" t="n">
        <v>0</v>
      </c>
      <c r="N667" t="n">
        <v>0</v>
      </c>
      <c r="O667" t="n">
        <v>0</v>
      </c>
      <c r="P667" t="n">
        <v>0</v>
      </c>
      <c r="Q667" t="n">
        <v>0</v>
      </c>
      <c r="R667" s="2" t="inlineStr"/>
    </row>
    <row r="668" ht="15" customHeight="1">
      <c r="A668" t="inlineStr">
        <is>
          <t>A 57682-2022</t>
        </is>
      </c>
      <c r="B668" s="1" t="n">
        <v>44890</v>
      </c>
      <c r="C668" s="1" t="n">
        <v>45960</v>
      </c>
      <c r="D668" t="inlineStr">
        <is>
          <t>KALMAR LÄN</t>
        </is>
      </c>
      <c r="E668" t="inlineStr">
        <is>
          <t>VIMMERBY</t>
        </is>
      </c>
      <c r="G668" t="n">
        <v>1.5</v>
      </c>
      <c r="H668" t="n">
        <v>0</v>
      </c>
      <c r="I668" t="n">
        <v>0</v>
      </c>
      <c r="J668" t="n">
        <v>0</v>
      </c>
      <c r="K668" t="n">
        <v>0</v>
      </c>
      <c r="L668" t="n">
        <v>0</v>
      </c>
      <c r="M668" t="n">
        <v>0</v>
      </c>
      <c r="N668" t="n">
        <v>0</v>
      </c>
      <c r="O668" t="n">
        <v>0</v>
      </c>
      <c r="P668" t="n">
        <v>0</v>
      </c>
      <c r="Q668" t="n">
        <v>0</v>
      </c>
      <c r="R668" s="2" t="inlineStr"/>
    </row>
    <row r="669" ht="15" customHeight="1">
      <c r="A669" t="inlineStr">
        <is>
          <t>A 14220-2021</t>
        </is>
      </c>
      <c r="B669" s="1" t="n">
        <v>44278.54855324074</v>
      </c>
      <c r="C669" s="1" t="n">
        <v>45960</v>
      </c>
      <c r="D669" t="inlineStr">
        <is>
          <t>KALMAR LÄN</t>
        </is>
      </c>
      <c r="E669" t="inlineStr">
        <is>
          <t>VIMMERBY</t>
        </is>
      </c>
      <c r="G669" t="n">
        <v>0.3</v>
      </c>
      <c r="H669" t="n">
        <v>0</v>
      </c>
      <c r="I669" t="n">
        <v>0</v>
      </c>
      <c r="J669" t="n">
        <v>0</v>
      </c>
      <c r="K669" t="n">
        <v>0</v>
      </c>
      <c r="L669" t="n">
        <v>0</v>
      </c>
      <c r="M669" t="n">
        <v>0</v>
      </c>
      <c r="N669" t="n">
        <v>0</v>
      </c>
      <c r="O669" t="n">
        <v>0</v>
      </c>
      <c r="P669" t="n">
        <v>0</v>
      </c>
      <c r="Q669" t="n">
        <v>0</v>
      </c>
      <c r="R669" s="2" t="inlineStr"/>
    </row>
    <row r="670" ht="15" customHeight="1">
      <c r="A670" t="inlineStr">
        <is>
          <t>A 48723-2025</t>
        </is>
      </c>
      <c r="B670" s="1" t="n">
        <v>45936.65121527778</v>
      </c>
      <c r="C670" s="1" t="n">
        <v>45960</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49408-2023</t>
        </is>
      </c>
      <c r="B671" s="1" t="n">
        <v>45211.43555555555</v>
      </c>
      <c r="C671" s="1" t="n">
        <v>45960</v>
      </c>
      <c r="D671" t="inlineStr">
        <is>
          <t>KALMAR LÄN</t>
        </is>
      </c>
      <c r="E671" t="inlineStr">
        <is>
          <t>VIMMERBY</t>
        </is>
      </c>
      <c r="G671" t="n">
        <v>13.1</v>
      </c>
      <c r="H671" t="n">
        <v>0</v>
      </c>
      <c r="I671" t="n">
        <v>0</v>
      </c>
      <c r="J671" t="n">
        <v>0</v>
      </c>
      <c r="K671" t="n">
        <v>0</v>
      </c>
      <c r="L671" t="n">
        <v>0</v>
      </c>
      <c r="M671" t="n">
        <v>0</v>
      </c>
      <c r="N671" t="n">
        <v>0</v>
      </c>
      <c r="O671" t="n">
        <v>0</v>
      </c>
      <c r="P671" t="n">
        <v>0</v>
      </c>
      <c r="Q671" t="n">
        <v>0</v>
      </c>
      <c r="R671" s="2" t="inlineStr"/>
    </row>
    <row r="672" ht="15" customHeight="1">
      <c r="A672" t="inlineStr">
        <is>
          <t>A 63950-2023</t>
        </is>
      </c>
      <c r="B672" s="1" t="n">
        <v>45278</v>
      </c>
      <c r="C672" s="1" t="n">
        <v>45960</v>
      </c>
      <c r="D672" t="inlineStr">
        <is>
          <t>KALMAR LÄN</t>
        </is>
      </c>
      <c r="E672" t="inlineStr">
        <is>
          <t>VIMMERBY</t>
        </is>
      </c>
      <c r="F672" t="inlineStr">
        <is>
          <t>Kyrkan</t>
        </is>
      </c>
      <c r="G672" t="n">
        <v>2.7</v>
      </c>
      <c r="H672" t="n">
        <v>0</v>
      </c>
      <c r="I672" t="n">
        <v>0</v>
      </c>
      <c r="J672" t="n">
        <v>0</v>
      </c>
      <c r="K672" t="n">
        <v>0</v>
      </c>
      <c r="L672" t="n">
        <v>0</v>
      </c>
      <c r="M672" t="n">
        <v>0</v>
      </c>
      <c r="N672" t="n">
        <v>0</v>
      </c>
      <c r="O672" t="n">
        <v>0</v>
      </c>
      <c r="P672" t="n">
        <v>0</v>
      </c>
      <c r="Q672" t="n">
        <v>0</v>
      </c>
      <c r="R672" s="2" t="inlineStr"/>
    </row>
    <row r="673" ht="15" customHeight="1">
      <c r="A673" t="inlineStr">
        <is>
          <t>A 56536-2022</t>
        </is>
      </c>
      <c r="B673" s="1" t="n">
        <v>44893</v>
      </c>
      <c r="C673" s="1" t="n">
        <v>45960</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48600-2025</t>
        </is>
      </c>
      <c r="B674" s="1" t="n">
        <v>45935</v>
      </c>
      <c r="C674" s="1" t="n">
        <v>45960</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41199-2023</t>
        </is>
      </c>
      <c r="B675" s="1" t="n">
        <v>45174.40454861111</v>
      </c>
      <c r="C675" s="1" t="n">
        <v>45960</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16516-2023</t>
        </is>
      </c>
      <c r="B676" s="1" t="n">
        <v>45029</v>
      </c>
      <c r="C676" s="1" t="n">
        <v>45960</v>
      </c>
      <c r="D676" t="inlineStr">
        <is>
          <t>KALMAR LÄN</t>
        </is>
      </c>
      <c r="E676" t="inlineStr">
        <is>
          <t>VIMMERBY</t>
        </is>
      </c>
      <c r="G676" t="n">
        <v>4.3</v>
      </c>
      <c r="H676" t="n">
        <v>0</v>
      </c>
      <c r="I676" t="n">
        <v>0</v>
      </c>
      <c r="J676" t="n">
        <v>0</v>
      </c>
      <c r="K676" t="n">
        <v>0</v>
      </c>
      <c r="L676" t="n">
        <v>0</v>
      </c>
      <c r="M676" t="n">
        <v>0</v>
      </c>
      <c r="N676" t="n">
        <v>0</v>
      </c>
      <c r="O676" t="n">
        <v>0</v>
      </c>
      <c r="P676" t="n">
        <v>0</v>
      </c>
      <c r="Q676" t="n">
        <v>0</v>
      </c>
      <c r="R676" s="2" t="inlineStr"/>
    </row>
    <row r="677" ht="15" customHeight="1">
      <c r="A677" t="inlineStr">
        <is>
          <t>A 47842-2024</t>
        </is>
      </c>
      <c r="B677" s="1" t="n">
        <v>45588.65545138889</v>
      </c>
      <c r="C677" s="1" t="n">
        <v>45960</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6857-2023</t>
        </is>
      </c>
      <c r="B678" s="1" t="n">
        <v>44967.45122685185</v>
      </c>
      <c r="C678" s="1" t="n">
        <v>45960</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8945-2025</t>
        </is>
      </c>
      <c r="B679" s="1" t="n">
        <v>45713.45311342592</v>
      </c>
      <c r="C679" s="1" t="n">
        <v>45960</v>
      </c>
      <c r="D679" t="inlineStr">
        <is>
          <t>KALMAR LÄN</t>
        </is>
      </c>
      <c r="E679" t="inlineStr">
        <is>
          <t>VIMMERBY</t>
        </is>
      </c>
      <c r="G679" t="n">
        <v>0.6</v>
      </c>
      <c r="H679" t="n">
        <v>0</v>
      </c>
      <c r="I679" t="n">
        <v>0</v>
      </c>
      <c r="J679" t="n">
        <v>0</v>
      </c>
      <c r="K679" t="n">
        <v>0</v>
      </c>
      <c r="L679" t="n">
        <v>0</v>
      </c>
      <c r="M679" t="n">
        <v>0</v>
      </c>
      <c r="N679" t="n">
        <v>0</v>
      </c>
      <c r="O679" t="n">
        <v>0</v>
      </c>
      <c r="P679" t="n">
        <v>0</v>
      </c>
      <c r="Q679" t="n">
        <v>0</v>
      </c>
      <c r="R679" s="2" t="inlineStr"/>
    </row>
    <row r="680" ht="15" customHeight="1">
      <c r="A680" t="inlineStr">
        <is>
          <t>A 6408-2025</t>
        </is>
      </c>
      <c r="B680" s="1" t="n">
        <v>45699.45671296296</v>
      </c>
      <c r="C680" s="1" t="n">
        <v>45960</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48408-2025</t>
        </is>
      </c>
      <c r="B681" s="1" t="n">
        <v>45934.40527777778</v>
      </c>
      <c r="C681" s="1" t="n">
        <v>45960</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25109-2023</t>
        </is>
      </c>
      <c r="B682" s="1" t="n">
        <v>45086</v>
      </c>
      <c r="C682" s="1" t="n">
        <v>45960</v>
      </c>
      <c r="D682" t="inlineStr">
        <is>
          <t>KALMAR LÄN</t>
        </is>
      </c>
      <c r="E682" t="inlineStr">
        <is>
          <t>VIMMERBY</t>
        </is>
      </c>
      <c r="G682" t="n">
        <v>1.5</v>
      </c>
      <c r="H682" t="n">
        <v>0</v>
      </c>
      <c r="I682" t="n">
        <v>0</v>
      </c>
      <c r="J682" t="n">
        <v>0</v>
      </c>
      <c r="K682" t="n">
        <v>0</v>
      </c>
      <c r="L682" t="n">
        <v>0</v>
      </c>
      <c r="M682" t="n">
        <v>0</v>
      </c>
      <c r="N682" t="n">
        <v>0</v>
      </c>
      <c r="O682" t="n">
        <v>0</v>
      </c>
      <c r="P682" t="n">
        <v>0</v>
      </c>
      <c r="Q682" t="n">
        <v>0</v>
      </c>
      <c r="R682" s="2" t="inlineStr"/>
    </row>
    <row r="683" ht="15" customHeight="1">
      <c r="A683" t="inlineStr">
        <is>
          <t>A 33380-2023</t>
        </is>
      </c>
      <c r="B683" s="1" t="n">
        <v>45128</v>
      </c>
      <c r="C683" s="1" t="n">
        <v>45960</v>
      </c>
      <c r="D683" t="inlineStr">
        <is>
          <t>KALMAR LÄN</t>
        </is>
      </c>
      <c r="E683" t="inlineStr">
        <is>
          <t>VIMMERBY</t>
        </is>
      </c>
      <c r="G683" t="n">
        <v>5.2</v>
      </c>
      <c r="H683" t="n">
        <v>0</v>
      </c>
      <c r="I683" t="n">
        <v>0</v>
      </c>
      <c r="J683" t="n">
        <v>0</v>
      </c>
      <c r="K683" t="n">
        <v>0</v>
      </c>
      <c r="L683" t="n">
        <v>0</v>
      </c>
      <c r="M683" t="n">
        <v>0</v>
      </c>
      <c r="N683" t="n">
        <v>0</v>
      </c>
      <c r="O683" t="n">
        <v>0</v>
      </c>
      <c r="P683" t="n">
        <v>0</v>
      </c>
      <c r="Q683" t="n">
        <v>0</v>
      </c>
      <c r="R683" s="2" t="inlineStr"/>
    </row>
    <row r="684" ht="15" customHeight="1">
      <c r="A684" t="inlineStr">
        <is>
          <t>A 48409-2025</t>
        </is>
      </c>
      <c r="B684" s="1" t="n">
        <v>45934.41387731482</v>
      </c>
      <c r="C684" s="1" t="n">
        <v>45960</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32639-2023</t>
        </is>
      </c>
      <c r="B685" s="1" t="n">
        <v>45121.5965162037</v>
      </c>
      <c r="C685" s="1" t="n">
        <v>45960</v>
      </c>
      <c r="D685" t="inlineStr">
        <is>
          <t>KALMAR LÄN</t>
        </is>
      </c>
      <c r="E685" t="inlineStr">
        <is>
          <t>VIMMERBY</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32642-2023</t>
        </is>
      </c>
      <c r="B686" s="1" t="n">
        <v>45121.59954861111</v>
      </c>
      <c r="C686" s="1" t="n">
        <v>45960</v>
      </c>
      <c r="D686" t="inlineStr">
        <is>
          <t>KALMAR LÄN</t>
        </is>
      </c>
      <c r="E686" t="inlineStr">
        <is>
          <t>VIMMERBY</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32651-2023</t>
        </is>
      </c>
      <c r="B687" s="1" t="n">
        <v>45121.6096875</v>
      </c>
      <c r="C687" s="1" t="n">
        <v>45960</v>
      </c>
      <c r="D687" t="inlineStr">
        <is>
          <t>KALMAR LÄN</t>
        </is>
      </c>
      <c r="E687" t="inlineStr">
        <is>
          <t>VIMMERBY</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11928-2022</t>
        </is>
      </c>
      <c r="B688" s="1" t="n">
        <v>44635</v>
      </c>
      <c r="C688" s="1" t="n">
        <v>45960</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48712-2025</t>
        </is>
      </c>
      <c r="B689" s="1" t="n">
        <v>45936.63373842592</v>
      </c>
      <c r="C689" s="1" t="n">
        <v>45960</v>
      </c>
      <c r="D689" t="inlineStr">
        <is>
          <t>KALMAR LÄN</t>
        </is>
      </c>
      <c r="E689" t="inlineStr">
        <is>
          <t>VIMMERBY</t>
        </is>
      </c>
      <c r="G689" t="n">
        <v>3</v>
      </c>
      <c r="H689" t="n">
        <v>0</v>
      </c>
      <c r="I689" t="n">
        <v>0</v>
      </c>
      <c r="J689" t="n">
        <v>0</v>
      </c>
      <c r="K689" t="n">
        <v>0</v>
      </c>
      <c r="L689" t="n">
        <v>0</v>
      </c>
      <c r="M689" t="n">
        <v>0</v>
      </c>
      <c r="N689" t="n">
        <v>0</v>
      </c>
      <c r="O689" t="n">
        <v>0</v>
      </c>
      <c r="P689" t="n">
        <v>0</v>
      </c>
      <c r="Q689" t="n">
        <v>0</v>
      </c>
      <c r="R689" s="2" t="inlineStr"/>
    </row>
    <row r="690" ht="15" customHeight="1">
      <c r="A690" t="inlineStr">
        <is>
          <t>A 40925-2025</t>
        </is>
      </c>
      <c r="B690" s="1" t="n">
        <v>45897.64208333333</v>
      </c>
      <c r="C690" s="1" t="n">
        <v>45960</v>
      </c>
      <c r="D690" t="inlineStr">
        <is>
          <t>KALMAR LÄN</t>
        </is>
      </c>
      <c r="E690" t="inlineStr">
        <is>
          <t>VIMMERBY</t>
        </is>
      </c>
      <c r="G690" t="n">
        <v>1.9</v>
      </c>
      <c r="H690" t="n">
        <v>0</v>
      </c>
      <c r="I690" t="n">
        <v>0</v>
      </c>
      <c r="J690" t="n">
        <v>0</v>
      </c>
      <c r="K690" t="n">
        <v>0</v>
      </c>
      <c r="L690" t="n">
        <v>0</v>
      </c>
      <c r="M690" t="n">
        <v>0</v>
      </c>
      <c r="N690" t="n">
        <v>0</v>
      </c>
      <c r="O690" t="n">
        <v>0</v>
      </c>
      <c r="P690" t="n">
        <v>0</v>
      </c>
      <c r="Q690" t="n">
        <v>0</v>
      </c>
      <c r="R690" s="2" t="inlineStr"/>
    </row>
    <row r="691" ht="15" customHeight="1">
      <c r="A691" t="inlineStr">
        <is>
          <t>A 7068-2024</t>
        </is>
      </c>
      <c r="B691" s="1" t="n">
        <v>45343.68038194445</v>
      </c>
      <c r="C691" s="1" t="n">
        <v>45960</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46234-2024</t>
        </is>
      </c>
      <c r="B692" s="1" t="n">
        <v>45581.57958333333</v>
      </c>
      <c r="C692" s="1" t="n">
        <v>45960</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37187-2024</t>
        </is>
      </c>
      <c r="B693" s="1" t="n">
        <v>45539.65212962963</v>
      </c>
      <c r="C693" s="1" t="n">
        <v>45960</v>
      </c>
      <c r="D693" t="inlineStr">
        <is>
          <t>KALMAR LÄN</t>
        </is>
      </c>
      <c r="E693" t="inlineStr">
        <is>
          <t>VIMMERBY</t>
        </is>
      </c>
      <c r="G693" t="n">
        <v>2.7</v>
      </c>
      <c r="H693" t="n">
        <v>0</v>
      </c>
      <c r="I693" t="n">
        <v>0</v>
      </c>
      <c r="J693" t="n">
        <v>0</v>
      </c>
      <c r="K693" t="n">
        <v>0</v>
      </c>
      <c r="L693" t="n">
        <v>0</v>
      </c>
      <c r="M693" t="n">
        <v>0</v>
      </c>
      <c r="N693" t="n">
        <v>0</v>
      </c>
      <c r="O693" t="n">
        <v>0</v>
      </c>
      <c r="P693" t="n">
        <v>0</v>
      </c>
      <c r="Q693" t="n">
        <v>0</v>
      </c>
      <c r="R693" s="2" t="inlineStr"/>
    </row>
    <row r="694" ht="15" customHeight="1">
      <c r="A694" t="inlineStr">
        <is>
          <t>A 1021-2024</t>
        </is>
      </c>
      <c r="B694" s="1" t="n">
        <v>45301.67736111111</v>
      </c>
      <c r="C694" s="1" t="n">
        <v>45960</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40921-2025</t>
        </is>
      </c>
      <c r="B695" s="1" t="n">
        <v>45897.63520833333</v>
      </c>
      <c r="C695" s="1" t="n">
        <v>45960</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5792-2023</t>
        </is>
      </c>
      <c r="B696" s="1" t="n">
        <v>44963.44769675926</v>
      </c>
      <c r="C696" s="1" t="n">
        <v>45960</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10303-2025</t>
        </is>
      </c>
      <c r="B697" s="1" t="n">
        <v>45720.44217592593</v>
      </c>
      <c r="C697" s="1" t="n">
        <v>45960</v>
      </c>
      <c r="D697" t="inlineStr">
        <is>
          <t>KALMAR LÄN</t>
        </is>
      </c>
      <c r="E697" t="inlineStr">
        <is>
          <t>VIMMERBY</t>
        </is>
      </c>
      <c r="G697" t="n">
        <v>0.9</v>
      </c>
      <c r="H697" t="n">
        <v>0</v>
      </c>
      <c r="I697" t="n">
        <v>0</v>
      </c>
      <c r="J697" t="n">
        <v>0</v>
      </c>
      <c r="K697" t="n">
        <v>0</v>
      </c>
      <c r="L697" t="n">
        <v>0</v>
      </c>
      <c r="M697" t="n">
        <v>0</v>
      </c>
      <c r="N697" t="n">
        <v>0</v>
      </c>
      <c r="O697" t="n">
        <v>0</v>
      </c>
      <c r="P697" t="n">
        <v>0</v>
      </c>
      <c r="Q697" t="n">
        <v>0</v>
      </c>
      <c r="R697" s="2" t="inlineStr"/>
    </row>
    <row r="698" ht="15" customHeight="1">
      <c r="A698" t="inlineStr">
        <is>
          <t>A 60110-2022</t>
        </is>
      </c>
      <c r="B698" s="1" t="n">
        <v>44909</v>
      </c>
      <c r="C698" s="1" t="n">
        <v>45960</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15394-2025</t>
        </is>
      </c>
      <c r="B699" s="1" t="n">
        <v>45747.43196759259</v>
      </c>
      <c r="C699" s="1" t="n">
        <v>45960</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15388-2025</t>
        </is>
      </c>
      <c r="B700" s="1" t="n">
        <v>45747.42633101852</v>
      </c>
      <c r="C700" s="1" t="n">
        <v>45960</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15391-2025</t>
        </is>
      </c>
      <c r="B701" s="1" t="n">
        <v>45747.42958333333</v>
      </c>
      <c r="C701" s="1" t="n">
        <v>45960</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6474-2025</t>
        </is>
      </c>
      <c r="B702" s="1" t="n">
        <v>45699.60055555555</v>
      </c>
      <c r="C702" s="1" t="n">
        <v>45960</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32919-2022</t>
        </is>
      </c>
      <c r="B703" s="1" t="n">
        <v>44784.62724537037</v>
      </c>
      <c r="C703" s="1" t="n">
        <v>45960</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45855-2025</t>
        </is>
      </c>
      <c r="B704" s="1" t="n">
        <v>45923</v>
      </c>
      <c r="C704" s="1" t="n">
        <v>45960</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56659-2023</t>
        </is>
      </c>
      <c r="B705" s="1" t="n">
        <v>45243.84869212963</v>
      </c>
      <c r="C705" s="1" t="n">
        <v>45960</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13015-2022</t>
        </is>
      </c>
      <c r="B706" s="1" t="n">
        <v>44643</v>
      </c>
      <c r="C706" s="1" t="n">
        <v>45960</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41224-2025</t>
        </is>
      </c>
      <c r="B707" s="1" t="n">
        <v>45898.58861111111</v>
      </c>
      <c r="C707" s="1" t="n">
        <v>45960</v>
      </c>
      <c r="D707" t="inlineStr">
        <is>
          <t>KALMAR LÄN</t>
        </is>
      </c>
      <c r="E707" t="inlineStr">
        <is>
          <t>VIMMERBY</t>
        </is>
      </c>
      <c r="G707" t="n">
        <v>4.4</v>
      </c>
      <c r="H707" t="n">
        <v>0</v>
      </c>
      <c r="I707" t="n">
        <v>0</v>
      </c>
      <c r="J707" t="n">
        <v>0</v>
      </c>
      <c r="K707" t="n">
        <v>0</v>
      </c>
      <c r="L707" t="n">
        <v>0</v>
      </c>
      <c r="M707" t="n">
        <v>0</v>
      </c>
      <c r="N707" t="n">
        <v>0</v>
      </c>
      <c r="O707" t="n">
        <v>0</v>
      </c>
      <c r="P707" t="n">
        <v>0</v>
      </c>
      <c r="Q707" t="n">
        <v>0</v>
      </c>
      <c r="R707" s="2" t="inlineStr"/>
    </row>
    <row r="708" ht="15" customHeight="1">
      <c r="A708" t="inlineStr">
        <is>
          <t>A 49871-2025</t>
        </is>
      </c>
      <c r="B708" s="1" t="n">
        <v>45940.54104166666</v>
      </c>
      <c r="C708" s="1" t="n">
        <v>45960</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17968-2025</t>
        </is>
      </c>
      <c r="B709" s="1" t="n">
        <v>45761.35990740741</v>
      </c>
      <c r="C709" s="1" t="n">
        <v>45960</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41591-2025</t>
        </is>
      </c>
      <c r="B710" s="1" t="n">
        <v>45901.6327662037</v>
      </c>
      <c r="C710" s="1" t="n">
        <v>45960</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40971-2025</t>
        </is>
      </c>
      <c r="B711" s="1" t="n">
        <v>45897.88836805556</v>
      </c>
      <c r="C711" s="1" t="n">
        <v>45960</v>
      </c>
      <c r="D711" t="inlineStr">
        <is>
          <t>KALMAR LÄN</t>
        </is>
      </c>
      <c r="E711" t="inlineStr">
        <is>
          <t>VIMMERBY</t>
        </is>
      </c>
      <c r="G711" t="n">
        <v>1.5</v>
      </c>
      <c r="H711" t="n">
        <v>0</v>
      </c>
      <c r="I711" t="n">
        <v>0</v>
      </c>
      <c r="J711" t="n">
        <v>0</v>
      </c>
      <c r="K711" t="n">
        <v>0</v>
      </c>
      <c r="L711" t="n">
        <v>0</v>
      </c>
      <c r="M711" t="n">
        <v>0</v>
      </c>
      <c r="N711" t="n">
        <v>0</v>
      </c>
      <c r="O711" t="n">
        <v>0</v>
      </c>
      <c r="P711" t="n">
        <v>0</v>
      </c>
      <c r="Q711" t="n">
        <v>0</v>
      </c>
      <c r="R711" s="2" t="inlineStr"/>
    </row>
    <row r="712" ht="15" customHeight="1">
      <c r="A712" t="inlineStr">
        <is>
          <t>A 6028-2023</t>
        </is>
      </c>
      <c r="B712" s="1" t="n">
        <v>44964.44356481481</v>
      </c>
      <c r="C712" s="1" t="n">
        <v>45960</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41589-2025</t>
        </is>
      </c>
      <c r="B713" s="1" t="n">
        <v>45901.63219907408</v>
      </c>
      <c r="C713" s="1" t="n">
        <v>45960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55436-2023</t>
        </is>
      </c>
      <c r="B714" s="1" t="n">
        <v>45238.4328587963</v>
      </c>
      <c r="C714" s="1" t="n">
        <v>45960</v>
      </c>
      <c r="D714" t="inlineStr">
        <is>
          <t>KALMAR LÄN</t>
        </is>
      </c>
      <c r="E714" t="inlineStr">
        <is>
          <t>VIMMERBY</t>
        </is>
      </c>
      <c r="G714" t="n">
        <v>5.6</v>
      </c>
      <c r="H714" t="n">
        <v>0</v>
      </c>
      <c r="I714" t="n">
        <v>0</v>
      </c>
      <c r="J714" t="n">
        <v>0</v>
      </c>
      <c r="K714" t="n">
        <v>0</v>
      </c>
      <c r="L714" t="n">
        <v>0</v>
      </c>
      <c r="M714" t="n">
        <v>0</v>
      </c>
      <c r="N714" t="n">
        <v>0</v>
      </c>
      <c r="O714" t="n">
        <v>0</v>
      </c>
      <c r="P714" t="n">
        <v>0</v>
      </c>
      <c r="Q714" t="n">
        <v>0</v>
      </c>
      <c r="R714" s="2" t="inlineStr"/>
    </row>
    <row r="715" ht="15" customHeight="1">
      <c r="A715" t="inlineStr">
        <is>
          <t>A 40970-2025</t>
        </is>
      </c>
      <c r="B715" s="1" t="n">
        <v>45897.88706018519</v>
      </c>
      <c r="C715" s="1" t="n">
        <v>45960</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40973-2025</t>
        </is>
      </c>
      <c r="B716" s="1" t="n">
        <v>45897.89737268518</v>
      </c>
      <c r="C716" s="1" t="n">
        <v>45960</v>
      </c>
      <c r="D716" t="inlineStr">
        <is>
          <t>KALMAR LÄN</t>
        </is>
      </c>
      <c r="E716" t="inlineStr">
        <is>
          <t>VIMMERBY</t>
        </is>
      </c>
      <c r="G716" t="n">
        <v>1.8</v>
      </c>
      <c r="H716" t="n">
        <v>0</v>
      </c>
      <c r="I716" t="n">
        <v>0</v>
      </c>
      <c r="J716" t="n">
        <v>0</v>
      </c>
      <c r="K716" t="n">
        <v>0</v>
      </c>
      <c r="L716" t="n">
        <v>0</v>
      </c>
      <c r="M716" t="n">
        <v>0</v>
      </c>
      <c r="N716" t="n">
        <v>0</v>
      </c>
      <c r="O716" t="n">
        <v>0</v>
      </c>
      <c r="P716" t="n">
        <v>0</v>
      </c>
      <c r="Q716" t="n">
        <v>0</v>
      </c>
      <c r="R716" s="2" t="inlineStr"/>
    </row>
    <row r="717" ht="15" customHeight="1">
      <c r="A717" t="inlineStr">
        <is>
          <t>A 56582-2022</t>
        </is>
      </c>
      <c r="B717" s="1" t="n">
        <v>44893</v>
      </c>
      <c r="C717" s="1" t="n">
        <v>45960</v>
      </c>
      <c r="D717" t="inlineStr">
        <is>
          <t>KALMAR LÄN</t>
        </is>
      </c>
      <c r="E717" t="inlineStr">
        <is>
          <t>VIMMERBY</t>
        </is>
      </c>
      <c r="G717" t="n">
        <v>2.2</v>
      </c>
      <c r="H717" t="n">
        <v>0</v>
      </c>
      <c r="I717" t="n">
        <v>0</v>
      </c>
      <c r="J717" t="n">
        <v>0</v>
      </c>
      <c r="K717" t="n">
        <v>0</v>
      </c>
      <c r="L717" t="n">
        <v>0</v>
      </c>
      <c r="M717" t="n">
        <v>0</v>
      </c>
      <c r="N717" t="n">
        <v>0</v>
      </c>
      <c r="O717" t="n">
        <v>0</v>
      </c>
      <c r="P717" t="n">
        <v>0</v>
      </c>
      <c r="Q717" t="n">
        <v>0</v>
      </c>
      <c r="R717" s="2" t="inlineStr"/>
    </row>
    <row r="718" ht="15" customHeight="1">
      <c r="A718" t="inlineStr">
        <is>
          <t>A 20-2025</t>
        </is>
      </c>
      <c r="B718" s="1" t="n">
        <v>45658.80232638889</v>
      </c>
      <c r="C718" s="1" t="n">
        <v>45960</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23-2025</t>
        </is>
      </c>
      <c r="B719" s="1" t="n">
        <v>45658.80827546296</v>
      </c>
      <c r="C719" s="1" t="n">
        <v>45960</v>
      </c>
      <c r="D719" t="inlineStr">
        <is>
          <t>KALMAR LÄN</t>
        </is>
      </c>
      <c r="E719" t="inlineStr">
        <is>
          <t>VIMMERBY</t>
        </is>
      </c>
      <c r="G719" t="n">
        <v>1.8</v>
      </c>
      <c r="H719" t="n">
        <v>0</v>
      </c>
      <c r="I719" t="n">
        <v>0</v>
      </c>
      <c r="J719" t="n">
        <v>0</v>
      </c>
      <c r="K719" t="n">
        <v>0</v>
      </c>
      <c r="L719" t="n">
        <v>0</v>
      </c>
      <c r="M719" t="n">
        <v>0</v>
      </c>
      <c r="N719" t="n">
        <v>0</v>
      </c>
      <c r="O719" t="n">
        <v>0</v>
      </c>
      <c r="P719" t="n">
        <v>0</v>
      </c>
      <c r="Q719" t="n">
        <v>0</v>
      </c>
      <c r="R719" s="2" t="inlineStr"/>
    </row>
    <row r="720" ht="15" customHeight="1">
      <c r="A720" t="inlineStr">
        <is>
          <t>A 43962-2024</t>
        </is>
      </c>
      <c r="B720" s="1" t="n">
        <v>45572.48293981481</v>
      </c>
      <c r="C720" s="1" t="n">
        <v>45960</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35713-2023</t>
        </is>
      </c>
      <c r="B721" s="1" t="n">
        <v>45147</v>
      </c>
      <c r="C721" s="1" t="n">
        <v>45960</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34090-2025</t>
        </is>
      </c>
      <c r="B722" s="1" t="n">
        <v>45845</v>
      </c>
      <c r="C722" s="1" t="n">
        <v>45960</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40147-2023</t>
        </is>
      </c>
      <c r="B723" s="1" t="n">
        <v>45169</v>
      </c>
      <c r="C723" s="1" t="n">
        <v>45960</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50995-2022</t>
        </is>
      </c>
      <c r="B724" s="1" t="n">
        <v>44867</v>
      </c>
      <c r="C724" s="1" t="n">
        <v>45960</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50324-2025</t>
        </is>
      </c>
      <c r="B725" s="1" t="n">
        <v>45944.45962962963</v>
      </c>
      <c r="C725" s="1" t="n">
        <v>45960</v>
      </c>
      <c r="D725" t="inlineStr">
        <is>
          <t>KALMAR LÄN</t>
        </is>
      </c>
      <c r="E725" t="inlineStr">
        <is>
          <t>VIMMERBY</t>
        </is>
      </c>
      <c r="G725" t="n">
        <v>2.1</v>
      </c>
      <c r="H725" t="n">
        <v>0</v>
      </c>
      <c r="I725" t="n">
        <v>0</v>
      </c>
      <c r="J725" t="n">
        <v>0</v>
      </c>
      <c r="K725" t="n">
        <v>0</v>
      </c>
      <c r="L725" t="n">
        <v>0</v>
      </c>
      <c r="M725" t="n">
        <v>0</v>
      </c>
      <c r="N725" t="n">
        <v>0</v>
      </c>
      <c r="O725" t="n">
        <v>0</v>
      </c>
      <c r="P725" t="n">
        <v>0</v>
      </c>
      <c r="Q725" t="n">
        <v>0</v>
      </c>
      <c r="R725" s="2" t="inlineStr"/>
    </row>
    <row r="726" ht="15" customHeight="1">
      <c r="A726" t="inlineStr">
        <is>
          <t>A 27993-2022</t>
        </is>
      </c>
      <c r="B726" s="1" t="n">
        <v>44745.84396990741</v>
      </c>
      <c r="C726" s="1" t="n">
        <v>45960</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57555-2024</t>
        </is>
      </c>
      <c r="B727" s="1" t="n">
        <v>45630.45069444444</v>
      </c>
      <c r="C727" s="1" t="n">
        <v>45960</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41735-2025</t>
        </is>
      </c>
      <c r="B728" s="1" t="n">
        <v>45902.47164351852</v>
      </c>
      <c r="C728" s="1" t="n">
        <v>45960</v>
      </c>
      <c r="D728" t="inlineStr">
        <is>
          <t>KALMAR LÄN</t>
        </is>
      </c>
      <c r="E728" t="inlineStr">
        <is>
          <t>VIMMERBY</t>
        </is>
      </c>
      <c r="G728" t="n">
        <v>3</v>
      </c>
      <c r="H728" t="n">
        <v>0</v>
      </c>
      <c r="I728" t="n">
        <v>0</v>
      </c>
      <c r="J728" t="n">
        <v>0</v>
      </c>
      <c r="K728" t="n">
        <v>0</v>
      </c>
      <c r="L728" t="n">
        <v>0</v>
      </c>
      <c r="M728" t="n">
        <v>0</v>
      </c>
      <c r="N728" t="n">
        <v>0</v>
      </c>
      <c r="O728" t="n">
        <v>0</v>
      </c>
      <c r="P728" t="n">
        <v>0</v>
      </c>
      <c r="Q728" t="n">
        <v>0</v>
      </c>
      <c r="R728" s="2" t="inlineStr"/>
    </row>
    <row r="729" ht="15" customHeight="1">
      <c r="A729" t="inlineStr">
        <is>
          <t>A 36014-2024</t>
        </is>
      </c>
      <c r="B729" s="1" t="n">
        <v>45533.56108796296</v>
      </c>
      <c r="C729" s="1" t="n">
        <v>45960</v>
      </c>
      <c r="D729" t="inlineStr">
        <is>
          <t>KALMAR LÄN</t>
        </is>
      </c>
      <c r="E729" t="inlineStr">
        <is>
          <t>VIMMERBY</t>
        </is>
      </c>
      <c r="G729" t="n">
        <v>2.3</v>
      </c>
      <c r="H729" t="n">
        <v>0</v>
      </c>
      <c r="I729" t="n">
        <v>0</v>
      </c>
      <c r="J729" t="n">
        <v>0</v>
      </c>
      <c r="K729" t="n">
        <v>0</v>
      </c>
      <c r="L729" t="n">
        <v>0</v>
      </c>
      <c r="M729" t="n">
        <v>0</v>
      </c>
      <c r="N729" t="n">
        <v>0</v>
      </c>
      <c r="O729" t="n">
        <v>0</v>
      </c>
      <c r="P729" t="n">
        <v>0</v>
      </c>
      <c r="Q729" t="n">
        <v>0</v>
      </c>
      <c r="R729" s="2" t="inlineStr"/>
    </row>
    <row r="730" ht="15" customHeight="1">
      <c r="A730" t="inlineStr">
        <is>
          <t>A 36030-2024</t>
        </is>
      </c>
      <c r="B730" s="1" t="n">
        <v>45533.58302083334</v>
      </c>
      <c r="C730" s="1" t="n">
        <v>45960</v>
      </c>
      <c r="D730" t="inlineStr">
        <is>
          <t>KALMAR LÄN</t>
        </is>
      </c>
      <c r="E730" t="inlineStr">
        <is>
          <t>VIMMERBY</t>
        </is>
      </c>
      <c r="F730" t="inlineStr">
        <is>
          <t>Kommuner</t>
        </is>
      </c>
      <c r="G730" t="n">
        <v>4</v>
      </c>
      <c r="H730" t="n">
        <v>0</v>
      </c>
      <c r="I730" t="n">
        <v>0</v>
      </c>
      <c r="J730" t="n">
        <v>0</v>
      </c>
      <c r="K730" t="n">
        <v>0</v>
      </c>
      <c r="L730" t="n">
        <v>0</v>
      </c>
      <c r="M730" t="n">
        <v>0</v>
      </c>
      <c r="N730" t="n">
        <v>0</v>
      </c>
      <c r="O730" t="n">
        <v>0</v>
      </c>
      <c r="P730" t="n">
        <v>0</v>
      </c>
      <c r="Q730" t="n">
        <v>0</v>
      </c>
      <c r="R730" s="2" t="inlineStr"/>
    </row>
    <row r="731" ht="15" customHeight="1">
      <c r="A731" t="inlineStr">
        <is>
          <t>A 32865-2023</t>
        </is>
      </c>
      <c r="B731" s="1" t="n">
        <v>45124</v>
      </c>
      <c r="C731" s="1" t="n">
        <v>45960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50544-2025</t>
        </is>
      </c>
      <c r="B732" s="1" t="n">
        <v>45945.50736111111</v>
      </c>
      <c r="C732" s="1" t="n">
        <v>45960</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42918-2021</t>
        </is>
      </c>
      <c r="B733" s="1" t="n">
        <v>44431</v>
      </c>
      <c r="C733" s="1" t="n">
        <v>45960</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22643-2023</t>
        </is>
      </c>
      <c r="B734" s="1" t="n">
        <v>45071</v>
      </c>
      <c r="C734" s="1" t="n">
        <v>45960</v>
      </c>
      <c r="D734" t="inlineStr">
        <is>
          <t>KALMAR LÄN</t>
        </is>
      </c>
      <c r="E734" t="inlineStr">
        <is>
          <t>VIMMERBY</t>
        </is>
      </c>
      <c r="G734" t="n">
        <v>3.9</v>
      </c>
      <c r="H734" t="n">
        <v>0</v>
      </c>
      <c r="I734" t="n">
        <v>0</v>
      </c>
      <c r="J734" t="n">
        <v>0</v>
      </c>
      <c r="K734" t="n">
        <v>0</v>
      </c>
      <c r="L734" t="n">
        <v>0</v>
      </c>
      <c r="M734" t="n">
        <v>0</v>
      </c>
      <c r="N734" t="n">
        <v>0</v>
      </c>
      <c r="O734" t="n">
        <v>0</v>
      </c>
      <c r="P734" t="n">
        <v>0</v>
      </c>
      <c r="Q734" t="n">
        <v>0</v>
      </c>
      <c r="R734" s="2" t="inlineStr"/>
    </row>
    <row r="735" ht="15" customHeight="1">
      <c r="A735" t="inlineStr">
        <is>
          <t>A 51062-2025</t>
        </is>
      </c>
      <c r="B735" s="1" t="n">
        <v>45947.44685185186</v>
      </c>
      <c r="C735" s="1" t="n">
        <v>45960</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18669-2025</t>
        </is>
      </c>
      <c r="B736" s="1" t="n">
        <v>45763.59436342592</v>
      </c>
      <c r="C736" s="1" t="n">
        <v>45960</v>
      </c>
      <c r="D736" t="inlineStr">
        <is>
          <t>KALMAR LÄN</t>
        </is>
      </c>
      <c r="E736" t="inlineStr">
        <is>
          <t>VIMMERBY</t>
        </is>
      </c>
      <c r="G736" t="n">
        <v>2.7</v>
      </c>
      <c r="H736" t="n">
        <v>0</v>
      </c>
      <c r="I736" t="n">
        <v>0</v>
      </c>
      <c r="J736" t="n">
        <v>0</v>
      </c>
      <c r="K736" t="n">
        <v>0</v>
      </c>
      <c r="L736" t="n">
        <v>0</v>
      </c>
      <c r="M736" t="n">
        <v>0</v>
      </c>
      <c r="N736" t="n">
        <v>0</v>
      </c>
      <c r="O736" t="n">
        <v>0</v>
      </c>
      <c r="P736" t="n">
        <v>0</v>
      </c>
      <c r="Q736" t="n">
        <v>0</v>
      </c>
      <c r="R736" s="2" t="inlineStr"/>
    </row>
    <row r="737" ht="15" customHeight="1">
      <c r="A737" t="inlineStr">
        <is>
          <t>A 38780-2021</t>
        </is>
      </c>
      <c r="B737" s="1" t="n">
        <v>44410</v>
      </c>
      <c r="C737" s="1" t="n">
        <v>45960</v>
      </c>
      <c r="D737" t="inlineStr">
        <is>
          <t>KALMAR LÄN</t>
        </is>
      </c>
      <c r="E737" t="inlineStr">
        <is>
          <t>VIMMERBY</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29020-2024</t>
        </is>
      </c>
      <c r="B738" s="1" t="n">
        <v>45481.58048611111</v>
      </c>
      <c r="C738" s="1" t="n">
        <v>45960</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30406-2023</t>
        </is>
      </c>
      <c r="B739" s="1" t="n">
        <v>45111.48787037037</v>
      </c>
      <c r="C739" s="1" t="n">
        <v>45960</v>
      </c>
      <c r="D739" t="inlineStr">
        <is>
          <t>KALMAR LÄN</t>
        </is>
      </c>
      <c r="E739" t="inlineStr">
        <is>
          <t>VIMMERBY</t>
        </is>
      </c>
      <c r="G739" t="n">
        <v>2.4</v>
      </c>
      <c r="H739" t="n">
        <v>0</v>
      </c>
      <c r="I739" t="n">
        <v>0</v>
      </c>
      <c r="J739" t="n">
        <v>0</v>
      </c>
      <c r="K739" t="n">
        <v>0</v>
      </c>
      <c r="L739" t="n">
        <v>0</v>
      </c>
      <c r="M739" t="n">
        <v>0</v>
      </c>
      <c r="N739" t="n">
        <v>0</v>
      </c>
      <c r="O739" t="n">
        <v>0</v>
      </c>
      <c r="P739" t="n">
        <v>0</v>
      </c>
      <c r="Q739" t="n">
        <v>0</v>
      </c>
      <c r="R739" s="2" t="inlineStr"/>
    </row>
    <row r="740" ht="15" customHeight="1">
      <c r="A740" t="inlineStr">
        <is>
          <t>A 13817-2024</t>
        </is>
      </c>
      <c r="B740" s="1" t="n">
        <v>45391.41976851852</v>
      </c>
      <c r="C740" s="1" t="n">
        <v>45960</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42828-2025</t>
        </is>
      </c>
      <c r="B741" s="1" t="n">
        <v>45908.57716435185</v>
      </c>
      <c r="C741" s="1" t="n">
        <v>45960</v>
      </c>
      <c r="D741" t="inlineStr">
        <is>
          <t>KALMAR LÄN</t>
        </is>
      </c>
      <c r="E741" t="inlineStr">
        <is>
          <t>VIMMERBY</t>
        </is>
      </c>
      <c r="G741" t="n">
        <v>5.2</v>
      </c>
      <c r="H741" t="n">
        <v>0</v>
      </c>
      <c r="I741" t="n">
        <v>0</v>
      </c>
      <c r="J741" t="n">
        <v>0</v>
      </c>
      <c r="K741" t="n">
        <v>0</v>
      </c>
      <c r="L741" t="n">
        <v>0</v>
      </c>
      <c r="M741" t="n">
        <v>0</v>
      </c>
      <c r="N741" t="n">
        <v>0</v>
      </c>
      <c r="O741" t="n">
        <v>0</v>
      </c>
      <c r="P741" t="n">
        <v>0</v>
      </c>
      <c r="Q741" t="n">
        <v>0</v>
      </c>
      <c r="R741" s="2" t="inlineStr"/>
    </row>
    <row r="742" ht="15" customHeight="1">
      <c r="A742" t="inlineStr">
        <is>
          <t>A 42794-2025</t>
        </is>
      </c>
      <c r="B742" s="1" t="n">
        <v>45908</v>
      </c>
      <c r="C742" s="1" t="n">
        <v>45960</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42820-2025</t>
        </is>
      </c>
      <c r="B743" s="1" t="n">
        <v>45908</v>
      </c>
      <c r="C743" s="1" t="n">
        <v>45960</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34060-2025</t>
        </is>
      </c>
      <c r="B744" s="1" t="n">
        <v>45845.42015046296</v>
      </c>
      <c r="C744" s="1" t="n">
        <v>45960</v>
      </c>
      <c r="D744" t="inlineStr">
        <is>
          <t>KALMAR LÄN</t>
        </is>
      </c>
      <c r="E744" t="inlineStr">
        <is>
          <t>VIMMERBY</t>
        </is>
      </c>
      <c r="G744" t="n">
        <v>5.7</v>
      </c>
      <c r="H744" t="n">
        <v>0</v>
      </c>
      <c r="I744" t="n">
        <v>0</v>
      </c>
      <c r="J744" t="n">
        <v>0</v>
      </c>
      <c r="K744" t="n">
        <v>0</v>
      </c>
      <c r="L744" t="n">
        <v>0</v>
      </c>
      <c r="M744" t="n">
        <v>0</v>
      </c>
      <c r="N744" t="n">
        <v>0</v>
      </c>
      <c r="O744" t="n">
        <v>0</v>
      </c>
      <c r="P744" t="n">
        <v>0</v>
      </c>
      <c r="Q744" t="n">
        <v>0</v>
      </c>
      <c r="R744" s="2" t="inlineStr"/>
    </row>
    <row r="745" ht="15" customHeight="1">
      <c r="A745" t="inlineStr">
        <is>
          <t>A 43465-2025</t>
        </is>
      </c>
      <c r="B745" s="1" t="n">
        <v>45911.47138888889</v>
      </c>
      <c r="C745" s="1" t="n">
        <v>45960</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51990-2025</t>
        </is>
      </c>
      <c r="B746" s="1" t="n">
        <v>45952.58061342593</v>
      </c>
      <c r="C746" s="1" t="n">
        <v>45960</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43617-2025</t>
        </is>
      </c>
      <c r="B747" s="1" t="n">
        <v>45911.67798611111</v>
      </c>
      <c r="C747" s="1" t="n">
        <v>45960</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22399-2025</t>
        </is>
      </c>
      <c r="B748" s="1" t="n">
        <v>45786.52996527778</v>
      </c>
      <c r="C748" s="1" t="n">
        <v>45960</v>
      </c>
      <c r="D748" t="inlineStr">
        <is>
          <t>KALMAR LÄN</t>
        </is>
      </c>
      <c r="E748" t="inlineStr">
        <is>
          <t>VIMMERBY</t>
        </is>
      </c>
      <c r="G748" t="n">
        <v>2.1</v>
      </c>
      <c r="H748" t="n">
        <v>0</v>
      </c>
      <c r="I748" t="n">
        <v>0</v>
      </c>
      <c r="J748" t="n">
        <v>0</v>
      </c>
      <c r="K748" t="n">
        <v>0</v>
      </c>
      <c r="L748" t="n">
        <v>0</v>
      </c>
      <c r="M748" t="n">
        <v>0</v>
      </c>
      <c r="N748" t="n">
        <v>0</v>
      </c>
      <c r="O748" t="n">
        <v>0</v>
      </c>
      <c r="P748" t="n">
        <v>0</v>
      </c>
      <c r="Q748" t="n">
        <v>0</v>
      </c>
      <c r="R748" s="2" t="inlineStr"/>
    </row>
    <row r="749" ht="15" customHeight="1">
      <c r="A749" t="inlineStr">
        <is>
          <t>A 22397-2025</t>
        </is>
      </c>
      <c r="B749" s="1" t="n">
        <v>45786.52878472222</v>
      </c>
      <c r="C749" s="1" t="n">
        <v>45960</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25582-2024</t>
        </is>
      </c>
      <c r="B750" s="1" t="n">
        <v>45463</v>
      </c>
      <c r="C750" s="1" t="n">
        <v>45960</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51993-2025</t>
        </is>
      </c>
      <c r="B751" s="1" t="n">
        <v>45952.58194444444</v>
      </c>
      <c r="C751" s="1" t="n">
        <v>45960</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57578-2024</t>
        </is>
      </c>
      <c r="B752" s="1" t="n">
        <v>45630.47564814815</v>
      </c>
      <c r="C752" s="1" t="n">
        <v>45960</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44095-2025</t>
        </is>
      </c>
      <c r="B753" s="1" t="n">
        <v>45915.56430555556</v>
      </c>
      <c r="C753" s="1" t="n">
        <v>45960</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52451-2025</t>
        </is>
      </c>
      <c r="B754" s="1" t="n">
        <v>45954.42326388889</v>
      </c>
      <c r="C754" s="1" t="n">
        <v>45960</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6307-2025</t>
        </is>
      </c>
      <c r="B755" s="1" t="n">
        <v>45698.69016203703</v>
      </c>
      <c r="C755" s="1" t="n">
        <v>45960</v>
      </c>
      <c r="D755" t="inlineStr">
        <is>
          <t>KALMAR LÄN</t>
        </is>
      </c>
      <c r="E755" t="inlineStr">
        <is>
          <t>VIMMERBY</t>
        </is>
      </c>
      <c r="G755" t="n">
        <v>3</v>
      </c>
      <c r="H755" t="n">
        <v>0</v>
      </c>
      <c r="I755" t="n">
        <v>0</v>
      </c>
      <c r="J755" t="n">
        <v>0</v>
      </c>
      <c r="K755" t="n">
        <v>0</v>
      </c>
      <c r="L755" t="n">
        <v>0</v>
      </c>
      <c r="M755" t="n">
        <v>0</v>
      </c>
      <c r="N755" t="n">
        <v>0</v>
      </c>
      <c r="O755" t="n">
        <v>0</v>
      </c>
      <c r="P755" t="n">
        <v>0</v>
      </c>
      <c r="Q755" t="n">
        <v>0</v>
      </c>
      <c r="R755" s="2" t="inlineStr"/>
    </row>
    <row r="756" ht="15" customHeight="1">
      <c r="A756" t="inlineStr">
        <is>
          <t>A 11442-2025</t>
        </is>
      </c>
      <c r="B756" s="1" t="n">
        <v>45726.62721064815</v>
      </c>
      <c r="C756" s="1" t="n">
        <v>45960</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52473-2025</t>
        </is>
      </c>
      <c r="B757" s="1" t="n">
        <v>45954.45947916667</v>
      </c>
      <c r="C757" s="1" t="n">
        <v>45960</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52480-2025</t>
        </is>
      </c>
      <c r="B758" s="1" t="n">
        <v>45954.47172453703</v>
      </c>
      <c r="C758" s="1" t="n">
        <v>45960</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44091-2025</t>
        </is>
      </c>
      <c r="B759" s="1" t="n">
        <v>45915.55950231481</v>
      </c>
      <c r="C759" s="1" t="n">
        <v>45960</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52466-2025</t>
        </is>
      </c>
      <c r="B760" s="1" t="n">
        <v>45954.44707175926</v>
      </c>
      <c r="C760" s="1" t="n">
        <v>45960</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52475-2025</t>
        </is>
      </c>
      <c r="B761" s="1" t="n">
        <v>45954.468125</v>
      </c>
      <c r="C761" s="1" t="n">
        <v>45960</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52465-2025</t>
        </is>
      </c>
      <c r="B762" s="1" t="n">
        <v>45954.44543981482</v>
      </c>
      <c r="C762" s="1" t="n">
        <v>45960</v>
      </c>
      <c r="D762" t="inlineStr">
        <is>
          <t>KALMAR LÄN</t>
        </is>
      </c>
      <c r="E762" t="inlineStr">
        <is>
          <t>VIMMERBY</t>
        </is>
      </c>
      <c r="G762" t="n">
        <v>0.9</v>
      </c>
      <c r="H762" t="n">
        <v>0</v>
      </c>
      <c r="I762" t="n">
        <v>0</v>
      </c>
      <c r="J762" t="n">
        <v>0</v>
      </c>
      <c r="K762" t="n">
        <v>0</v>
      </c>
      <c r="L762" t="n">
        <v>0</v>
      </c>
      <c r="M762" t="n">
        <v>0</v>
      </c>
      <c r="N762" t="n">
        <v>0</v>
      </c>
      <c r="O762" t="n">
        <v>0</v>
      </c>
      <c r="P762" t="n">
        <v>0</v>
      </c>
      <c r="Q762" t="n">
        <v>0</v>
      </c>
      <c r="R762" s="2" t="inlineStr"/>
    </row>
    <row r="763" ht="15" customHeight="1">
      <c r="A763" t="inlineStr">
        <is>
          <t>A 52516-2025</t>
        </is>
      </c>
      <c r="B763" s="1" t="n">
        <v>45954.51412037037</v>
      </c>
      <c r="C763" s="1" t="n">
        <v>45960</v>
      </c>
      <c r="D763" t="inlineStr">
        <is>
          <t>KALMAR LÄN</t>
        </is>
      </c>
      <c r="E763" t="inlineStr">
        <is>
          <t>VIMMERBY</t>
        </is>
      </c>
      <c r="G763" t="n">
        <v>2.8</v>
      </c>
      <c r="H763" t="n">
        <v>0</v>
      </c>
      <c r="I763" t="n">
        <v>0</v>
      </c>
      <c r="J763" t="n">
        <v>0</v>
      </c>
      <c r="K763" t="n">
        <v>0</v>
      </c>
      <c r="L763" t="n">
        <v>0</v>
      </c>
      <c r="M763" t="n">
        <v>0</v>
      </c>
      <c r="N763" t="n">
        <v>0</v>
      </c>
      <c r="O763" t="n">
        <v>0</v>
      </c>
      <c r="P763" t="n">
        <v>0</v>
      </c>
      <c r="Q763" t="n">
        <v>0</v>
      </c>
      <c r="R763" s="2" t="inlineStr"/>
    </row>
    <row r="764" ht="15" customHeight="1">
      <c r="A764" t="inlineStr">
        <is>
          <t>A 23394-2025</t>
        </is>
      </c>
      <c r="B764" s="1" t="n">
        <v>45791.89865740741</v>
      </c>
      <c r="C764" s="1" t="n">
        <v>45960</v>
      </c>
      <c r="D764" t="inlineStr">
        <is>
          <t>KALMAR LÄN</t>
        </is>
      </c>
      <c r="E764" t="inlineStr">
        <is>
          <t>VIMMERBY</t>
        </is>
      </c>
      <c r="G764" t="n">
        <v>3.1</v>
      </c>
      <c r="H764" t="n">
        <v>0</v>
      </c>
      <c r="I764" t="n">
        <v>0</v>
      </c>
      <c r="J764" t="n">
        <v>0</v>
      </c>
      <c r="K764" t="n">
        <v>0</v>
      </c>
      <c r="L764" t="n">
        <v>0</v>
      </c>
      <c r="M764" t="n">
        <v>0</v>
      </c>
      <c r="N764" t="n">
        <v>0</v>
      </c>
      <c r="O764" t="n">
        <v>0</v>
      </c>
      <c r="P764" t="n">
        <v>0</v>
      </c>
      <c r="Q764" t="n">
        <v>0</v>
      </c>
      <c r="R764" s="2" t="inlineStr"/>
    </row>
    <row r="765" ht="15" customHeight="1">
      <c r="A765" t="inlineStr">
        <is>
          <t>A 53393-2025</t>
        </is>
      </c>
      <c r="B765" s="1" t="n">
        <v>45959.55284722222</v>
      </c>
      <c r="C765" s="1" t="n">
        <v>45960</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53398-2025</t>
        </is>
      </c>
      <c r="B766" s="1" t="n">
        <v>45959.56247685185</v>
      </c>
      <c r="C766" s="1" t="n">
        <v>45960</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53400-2025</t>
        </is>
      </c>
      <c r="B767" s="1" t="n">
        <v>45959.56684027778</v>
      </c>
      <c r="C767" s="1" t="n">
        <v>45960</v>
      </c>
      <c r="D767" t="inlineStr">
        <is>
          <t>KALMAR LÄN</t>
        </is>
      </c>
      <c r="E767" t="inlineStr">
        <is>
          <t>VIMMERBY</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44517-2025</t>
        </is>
      </c>
      <c r="B768" s="1" t="n">
        <v>45916.7103587963</v>
      </c>
      <c r="C768" s="1" t="n">
        <v>45960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44742-2025</t>
        </is>
      </c>
      <c r="B769" s="1" t="n">
        <v>45917.67054398148</v>
      </c>
      <c r="C769" s="1" t="n">
        <v>45960</v>
      </c>
      <c r="D769" t="inlineStr">
        <is>
          <t>KALMAR LÄN</t>
        </is>
      </c>
      <c r="E769" t="inlineStr">
        <is>
          <t>VIMMERBY</t>
        </is>
      </c>
      <c r="G769" t="n">
        <v>4.7</v>
      </c>
      <c r="H769" t="n">
        <v>0</v>
      </c>
      <c r="I769" t="n">
        <v>0</v>
      </c>
      <c r="J769" t="n">
        <v>0</v>
      </c>
      <c r="K769" t="n">
        <v>0</v>
      </c>
      <c r="L769" t="n">
        <v>0</v>
      </c>
      <c r="M769" t="n">
        <v>0</v>
      </c>
      <c r="N769" t="n">
        <v>0</v>
      </c>
      <c r="O769" t="n">
        <v>0</v>
      </c>
      <c r="P769" t="n">
        <v>0</v>
      </c>
      <c r="Q769" t="n">
        <v>0</v>
      </c>
      <c r="R769" s="2" t="inlineStr"/>
    </row>
    <row r="770" ht="15" customHeight="1">
      <c r="A770" t="inlineStr">
        <is>
          <t>A 44329-2025</t>
        </is>
      </c>
      <c r="B770" s="1" t="n">
        <v>45916.41019675926</v>
      </c>
      <c r="C770" s="1" t="n">
        <v>45960</v>
      </c>
      <c r="D770" t="inlineStr">
        <is>
          <t>KALMAR LÄN</t>
        </is>
      </c>
      <c r="E770" t="inlineStr">
        <is>
          <t>VIMMERBY</t>
        </is>
      </c>
      <c r="G770" t="n">
        <v>4.3</v>
      </c>
      <c r="H770" t="n">
        <v>0</v>
      </c>
      <c r="I770" t="n">
        <v>0</v>
      </c>
      <c r="J770" t="n">
        <v>0</v>
      </c>
      <c r="K770" t="n">
        <v>0</v>
      </c>
      <c r="L770" t="n">
        <v>0</v>
      </c>
      <c r="M770" t="n">
        <v>0</v>
      </c>
      <c r="N770" t="n">
        <v>0</v>
      </c>
      <c r="O770" t="n">
        <v>0</v>
      </c>
      <c r="P770" t="n">
        <v>0</v>
      </c>
      <c r="Q770" t="n">
        <v>0</v>
      </c>
      <c r="R770" s="2" t="inlineStr"/>
    </row>
    <row r="771" ht="15" customHeight="1">
      <c r="A771" t="inlineStr">
        <is>
          <t>A 52138-2025</t>
        </is>
      </c>
      <c r="B771" s="1" t="n">
        <v>45953</v>
      </c>
      <c r="C771" s="1" t="n">
        <v>45960</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23984-2025</t>
        </is>
      </c>
      <c r="B772" s="1" t="n">
        <v>45796</v>
      </c>
      <c r="C772" s="1" t="n">
        <v>45960</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41896-2025</t>
        </is>
      </c>
      <c r="B773" s="1" t="n">
        <v>45903.38800925926</v>
      </c>
      <c r="C773" s="1" t="n">
        <v>45960</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53404-2025</t>
        </is>
      </c>
      <c r="B774" s="1" t="n">
        <v>45959.57126157408</v>
      </c>
      <c r="C774" s="1" t="n">
        <v>45960</v>
      </c>
      <c r="D774" t="inlineStr">
        <is>
          <t>KALMAR LÄN</t>
        </is>
      </c>
      <c r="E774" t="inlineStr">
        <is>
          <t>VIMMERBY</t>
        </is>
      </c>
      <c r="G774" t="n">
        <v>6.4</v>
      </c>
      <c r="H774" t="n">
        <v>0</v>
      </c>
      <c r="I774" t="n">
        <v>0</v>
      </c>
      <c r="J774" t="n">
        <v>0</v>
      </c>
      <c r="K774" t="n">
        <v>0</v>
      </c>
      <c r="L774" t="n">
        <v>0</v>
      </c>
      <c r="M774" t="n">
        <v>0</v>
      </c>
      <c r="N774" t="n">
        <v>0</v>
      </c>
      <c r="O774" t="n">
        <v>0</v>
      </c>
      <c r="P774" t="n">
        <v>0</v>
      </c>
      <c r="Q774" t="n">
        <v>0</v>
      </c>
      <c r="R774" s="2" t="inlineStr"/>
    </row>
    <row r="775" ht="15" customHeight="1">
      <c r="A775" t="inlineStr">
        <is>
          <t>A 53413-2025</t>
        </is>
      </c>
      <c r="B775" s="1" t="n">
        <v>45959.5787037037</v>
      </c>
      <c r="C775" s="1" t="n">
        <v>45960</v>
      </c>
      <c r="D775" t="inlineStr">
        <is>
          <t>KALMAR LÄN</t>
        </is>
      </c>
      <c r="E775" t="inlineStr">
        <is>
          <t>VIMMERBY</t>
        </is>
      </c>
      <c r="G775" t="n">
        <v>4.3</v>
      </c>
      <c r="H775" t="n">
        <v>0</v>
      </c>
      <c r="I775" t="n">
        <v>0</v>
      </c>
      <c r="J775" t="n">
        <v>0</v>
      </c>
      <c r="K775" t="n">
        <v>0</v>
      </c>
      <c r="L775" t="n">
        <v>0</v>
      </c>
      <c r="M775" t="n">
        <v>0</v>
      </c>
      <c r="N775" t="n">
        <v>0</v>
      </c>
      <c r="O775" t="n">
        <v>0</v>
      </c>
      <c r="P775" t="n">
        <v>0</v>
      </c>
      <c r="Q775" t="n">
        <v>0</v>
      </c>
      <c r="R775" s="2" t="inlineStr"/>
    </row>
    <row r="776" ht="15" customHeight="1">
      <c r="A776" t="inlineStr">
        <is>
          <t>A 53397-2025</t>
        </is>
      </c>
      <c r="B776" s="1" t="n">
        <v>45959.55918981481</v>
      </c>
      <c r="C776" s="1" t="n">
        <v>45960</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53220-2025</t>
        </is>
      </c>
      <c r="B777" s="1" t="n">
        <v>45958.60146990741</v>
      </c>
      <c r="C777" s="1" t="n">
        <v>45960</v>
      </c>
      <c r="D777" t="inlineStr">
        <is>
          <t>KALMAR LÄN</t>
        </is>
      </c>
      <c r="E777" t="inlineStr">
        <is>
          <t>VIMMERBY</t>
        </is>
      </c>
      <c r="G777" t="n">
        <v>2.2</v>
      </c>
      <c r="H777" t="n">
        <v>0</v>
      </c>
      <c r="I777" t="n">
        <v>0</v>
      </c>
      <c r="J777" t="n">
        <v>0</v>
      </c>
      <c r="K777" t="n">
        <v>0</v>
      </c>
      <c r="L777" t="n">
        <v>0</v>
      </c>
      <c r="M777" t="n">
        <v>0</v>
      </c>
      <c r="N777" t="n">
        <v>0</v>
      </c>
      <c r="O777" t="n">
        <v>0</v>
      </c>
      <c r="P777" t="n">
        <v>0</v>
      </c>
      <c r="Q777" t="n">
        <v>0</v>
      </c>
      <c r="R777" s="2" t="inlineStr"/>
    </row>
    <row r="778" ht="15" customHeight="1">
      <c r="A778" t="inlineStr">
        <is>
          <t>A 53396-2025</t>
        </is>
      </c>
      <c r="B778" s="1" t="n">
        <v>45959.55577546296</v>
      </c>
      <c r="C778" s="1" t="n">
        <v>45960</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53416-2025</t>
        </is>
      </c>
      <c r="B779" s="1" t="n">
        <v>45959.58387731481</v>
      </c>
      <c r="C779" s="1" t="n">
        <v>45960</v>
      </c>
      <c r="D779" t="inlineStr">
        <is>
          <t>KALMAR LÄN</t>
        </is>
      </c>
      <c r="E779" t="inlineStr">
        <is>
          <t>VIMMERBY</t>
        </is>
      </c>
      <c r="G779" t="n">
        <v>4.4</v>
      </c>
      <c r="H779" t="n">
        <v>0</v>
      </c>
      <c r="I779" t="n">
        <v>0</v>
      </c>
      <c r="J779" t="n">
        <v>0</v>
      </c>
      <c r="K779" t="n">
        <v>0</v>
      </c>
      <c r="L779" t="n">
        <v>0</v>
      </c>
      <c r="M779" t="n">
        <v>0</v>
      </c>
      <c r="N779" t="n">
        <v>0</v>
      </c>
      <c r="O779" t="n">
        <v>0</v>
      </c>
      <c r="P779" t="n">
        <v>0</v>
      </c>
      <c r="Q779" t="n">
        <v>0</v>
      </c>
      <c r="R779" s="2" t="inlineStr"/>
    </row>
    <row r="780" ht="15" customHeight="1">
      <c r="A780" t="inlineStr">
        <is>
          <t>A 35082-2024</t>
        </is>
      </c>
      <c r="B780" s="1" t="n">
        <v>45527.68784722222</v>
      </c>
      <c r="C780" s="1" t="n">
        <v>45960</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51278-2024</t>
        </is>
      </c>
      <c r="B781" s="1" t="n">
        <v>45603.74959490741</v>
      </c>
      <c r="C781" s="1" t="n">
        <v>45960</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9456-2025</t>
        </is>
      </c>
      <c r="B782" s="1" t="n">
        <v>45715.44159722222</v>
      </c>
      <c r="C782" s="1" t="n">
        <v>45960</v>
      </c>
      <c r="D782" t="inlineStr">
        <is>
          <t>KALMAR LÄN</t>
        </is>
      </c>
      <c r="E782" t="inlineStr">
        <is>
          <t>VIMMERBY</t>
        </is>
      </c>
      <c r="G782" t="n">
        <v>1.5</v>
      </c>
      <c r="H782" t="n">
        <v>0</v>
      </c>
      <c r="I782" t="n">
        <v>0</v>
      </c>
      <c r="J782" t="n">
        <v>0</v>
      </c>
      <c r="K782" t="n">
        <v>0</v>
      </c>
      <c r="L782" t="n">
        <v>0</v>
      </c>
      <c r="M782" t="n">
        <v>0</v>
      </c>
      <c r="N782" t="n">
        <v>0</v>
      </c>
      <c r="O782" t="n">
        <v>0</v>
      </c>
      <c r="P782" t="n">
        <v>0</v>
      </c>
      <c r="Q782" t="n">
        <v>0</v>
      </c>
      <c r="R782" s="2" t="inlineStr"/>
    </row>
    <row r="783" ht="15" customHeight="1">
      <c r="A783" t="inlineStr">
        <is>
          <t>A 11111-2023</t>
        </is>
      </c>
      <c r="B783" s="1" t="n">
        <v>44992.4255787037</v>
      </c>
      <c r="C783" s="1" t="n">
        <v>45960</v>
      </c>
      <c r="D783" t="inlineStr">
        <is>
          <t>KALMAR LÄN</t>
        </is>
      </c>
      <c r="E783" t="inlineStr">
        <is>
          <t>VIMMERBY</t>
        </is>
      </c>
      <c r="G783" t="n">
        <v>0.8</v>
      </c>
      <c r="H783" t="n">
        <v>0</v>
      </c>
      <c r="I783" t="n">
        <v>0</v>
      </c>
      <c r="J783" t="n">
        <v>0</v>
      </c>
      <c r="K783" t="n">
        <v>0</v>
      </c>
      <c r="L783" t="n">
        <v>0</v>
      </c>
      <c r="M783" t="n">
        <v>0</v>
      </c>
      <c r="N783" t="n">
        <v>0</v>
      </c>
      <c r="O783" t="n">
        <v>0</v>
      </c>
      <c r="P783" t="n">
        <v>0</v>
      </c>
      <c r="Q783" t="n">
        <v>0</v>
      </c>
      <c r="R783" s="2" t="inlineStr"/>
    </row>
    <row r="784" ht="15" customHeight="1">
      <c r="A784" t="inlineStr">
        <is>
          <t>A 44582-2024</t>
        </is>
      </c>
      <c r="B784" s="1" t="n">
        <v>45574.49298611111</v>
      </c>
      <c r="C784" s="1" t="n">
        <v>45960</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15494-2024</t>
        </is>
      </c>
      <c r="B785" s="1" t="n">
        <v>45401.53033564815</v>
      </c>
      <c r="C785" s="1" t="n">
        <v>45960</v>
      </c>
      <c r="D785" t="inlineStr">
        <is>
          <t>KALMAR LÄN</t>
        </is>
      </c>
      <c r="E785" t="inlineStr">
        <is>
          <t>VIMMERBY</t>
        </is>
      </c>
      <c r="G785" t="n">
        <v>3.2</v>
      </c>
      <c r="H785" t="n">
        <v>0</v>
      </c>
      <c r="I785" t="n">
        <v>0</v>
      </c>
      <c r="J785" t="n">
        <v>0</v>
      </c>
      <c r="K785" t="n">
        <v>0</v>
      </c>
      <c r="L785" t="n">
        <v>0</v>
      </c>
      <c r="M785" t="n">
        <v>0</v>
      </c>
      <c r="N785" t="n">
        <v>0</v>
      </c>
      <c r="O785" t="n">
        <v>0</v>
      </c>
      <c r="P785" t="n">
        <v>0</v>
      </c>
      <c r="Q785" t="n">
        <v>0</v>
      </c>
      <c r="R785" s="2" t="inlineStr"/>
    </row>
    <row r="786" ht="15" customHeight="1">
      <c r="A786" t="inlineStr">
        <is>
          <t>A 58724-2024</t>
        </is>
      </c>
      <c r="B786" s="1" t="n">
        <v>45635.66409722222</v>
      </c>
      <c r="C786" s="1" t="n">
        <v>45960</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25792-2025</t>
        </is>
      </c>
      <c r="B787" s="1" t="n">
        <v>45804.39141203704</v>
      </c>
      <c r="C787" s="1" t="n">
        <v>45960</v>
      </c>
      <c r="D787" t="inlineStr">
        <is>
          <t>KALMAR LÄN</t>
        </is>
      </c>
      <c r="E787" t="inlineStr">
        <is>
          <t>VIMMERBY</t>
        </is>
      </c>
      <c r="G787" t="n">
        <v>0.8</v>
      </c>
      <c r="H787" t="n">
        <v>0</v>
      </c>
      <c r="I787" t="n">
        <v>0</v>
      </c>
      <c r="J787" t="n">
        <v>0</v>
      </c>
      <c r="K787" t="n">
        <v>0</v>
      </c>
      <c r="L787" t="n">
        <v>0</v>
      </c>
      <c r="M787" t="n">
        <v>0</v>
      </c>
      <c r="N787" t="n">
        <v>0</v>
      </c>
      <c r="O787" t="n">
        <v>0</v>
      </c>
      <c r="P787" t="n">
        <v>0</v>
      </c>
      <c r="Q787" t="n">
        <v>0</v>
      </c>
      <c r="R787" s="2" t="inlineStr"/>
    </row>
    <row r="788" ht="15" customHeight="1">
      <c r="A788" t="inlineStr">
        <is>
          <t>A 26039-2025</t>
        </is>
      </c>
      <c r="B788" s="1" t="n">
        <v>45804.6953587963</v>
      </c>
      <c r="C788" s="1" t="n">
        <v>45960</v>
      </c>
      <c r="D788" t="inlineStr">
        <is>
          <t>KALMAR LÄN</t>
        </is>
      </c>
      <c r="E788" t="inlineStr">
        <is>
          <t>VIMMERBY</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26046-2025</t>
        </is>
      </c>
      <c r="B789" s="1" t="n">
        <v>45804.708125</v>
      </c>
      <c r="C789" s="1" t="n">
        <v>45960</v>
      </c>
      <c r="D789" t="inlineStr">
        <is>
          <t>KALMAR LÄN</t>
        </is>
      </c>
      <c r="E789" t="inlineStr">
        <is>
          <t>VIMMERBY</t>
        </is>
      </c>
      <c r="F789" t="inlineStr">
        <is>
          <t>Sveaskog</t>
        </is>
      </c>
      <c r="G789" t="n">
        <v>5.1</v>
      </c>
      <c r="H789" t="n">
        <v>0</v>
      </c>
      <c r="I789" t="n">
        <v>0</v>
      </c>
      <c r="J789" t="n">
        <v>0</v>
      </c>
      <c r="K789" t="n">
        <v>0</v>
      </c>
      <c r="L789" t="n">
        <v>0</v>
      </c>
      <c r="M789" t="n">
        <v>0</v>
      </c>
      <c r="N789" t="n">
        <v>0</v>
      </c>
      <c r="O789" t="n">
        <v>0</v>
      </c>
      <c r="P789" t="n">
        <v>0</v>
      </c>
      <c r="Q789" t="n">
        <v>0</v>
      </c>
      <c r="R789" s="2" t="inlineStr"/>
    </row>
    <row r="790" ht="15" customHeight="1">
      <c r="A790" t="inlineStr">
        <is>
          <t>A 26124-2025</t>
        </is>
      </c>
      <c r="B790" s="1" t="n">
        <v>45805.39247685186</v>
      </c>
      <c r="C790" s="1" t="n">
        <v>45960</v>
      </c>
      <c r="D790" t="inlineStr">
        <is>
          <t>KALMAR LÄN</t>
        </is>
      </c>
      <c r="E790" t="inlineStr">
        <is>
          <t>VIMMERBY</t>
        </is>
      </c>
      <c r="G790" t="n">
        <v>6.6</v>
      </c>
      <c r="H790" t="n">
        <v>0</v>
      </c>
      <c r="I790" t="n">
        <v>0</v>
      </c>
      <c r="J790" t="n">
        <v>0</v>
      </c>
      <c r="K790" t="n">
        <v>0</v>
      </c>
      <c r="L790" t="n">
        <v>0</v>
      </c>
      <c r="M790" t="n">
        <v>0</v>
      </c>
      <c r="N790" t="n">
        <v>0</v>
      </c>
      <c r="O790" t="n">
        <v>0</v>
      </c>
      <c r="P790" t="n">
        <v>0</v>
      </c>
      <c r="Q790" t="n">
        <v>0</v>
      </c>
      <c r="R790" s="2" t="inlineStr"/>
    </row>
    <row r="791" ht="15" customHeight="1">
      <c r="A791" t="inlineStr">
        <is>
          <t>A 26207-2025</t>
        </is>
      </c>
      <c r="B791" s="1" t="n">
        <v>45805.52983796296</v>
      </c>
      <c r="C791" s="1" t="n">
        <v>45960</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25830-2025</t>
        </is>
      </c>
      <c r="B792" s="1" t="n">
        <v>45804.44519675926</v>
      </c>
      <c r="C792" s="1" t="n">
        <v>45960</v>
      </c>
      <c r="D792" t="inlineStr">
        <is>
          <t>KALMAR LÄN</t>
        </is>
      </c>
      <c r="E792" t="inlineStr">
        <is>
          <t>VIMMERBY</t>
        </is>
      </c>
      <c r="G792" t="n">
        <v>4.9</v>
      </c>
      <c r="H792" t="n">
        <v>0</v>
      </c>
      <c r="I792" t="n">
        <v>0</v>
      </c>
      <c r="J792" t="n">
        <v>0</v>
      </c>
      <c r="K792" t="n">
        <v>0</v>
      </c>
      <c r="L792" t="n">
        <v>0</v>
      </c>
      <c r="M792" t="n">
        <v>0</v>
      </c>
      <c r="N792" t="n">
        <v>0</v>
      </c>
      <c r="O792" t="n">
        <v>0</v>
      </c>
      <c r="P792" t="n">
        <v>0</v>
      </c>
      <c r="Q792" t="n">
        <v>0</v>
      </c>
      <c r="R792" s="2" t="inlineStr"/>
    </row>
    <row r="793" ht="15" customHeight="1">
      <c r="A793" t="inlineStr">
        <is>
          <t>A 26254-2025</t>
        </is>
      </c>
      <c r="B793" s="1" t="n">
        <v>45805</v>
      </c>
      <c r="C793" s="1" t="n">
        <v>45960</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28286-2025</t>
        </is>
      </c>
      <c r="B794" s="1" t="n">
        <v>45818.58993055556</v>
      </c>
      <c r="C794" s="1" t="n">
        <v>45960</v>
      </c>
      <c r="D794" t="inlineStr">
        <is>
          <t>KALMAR LÄN</t>
        </is>
      </c>
      <c r="E794" t="inlineStr">
        <is>
          <t>VIMMERBY</t>
        </is>
      </c>
      <c r="F794" t="inlineStr">
        <is>
          <t>Sveaskog</t>
        </is>
      </c>
      <c r="G794" t="n">
        <v>8</v>
      </c>
      <c r="H794" t="n">
        <v>0</v>
      </c>
      <c r="I794" t="n">
        <v>0</v>
      </c>
      <c r="J794" t="n">
        <v>0</v>
      </c>
      <c r="K794" t="n">
        <v>0</v>
      </c>
      <c r="L794" t="n">
        <v>0</v>
      </c>
      <c r="M794" t="n">
        <v>0</v>
      </c>
      <c r="N794" t="n">
        <v>0</v>
      </c>
      <c r="O794" t="n">
        <v>0</v>
      </c>
      <c r="P794" t="n">
        <v>0</v>
      </c>
      <c r="Q794" t="n">
        <v>0</v>
      </c>
      <c r="R794" s="2" t="inlineStr"/>
    </row>
    <row r="795" ht="15" customHeight="1">
      <c r="A795" t="inlineStr">
        <is>
          <t>A 28282-2025</t>
        </is>
      </c>
      <c r="B795" s="1" t="n">
        <v>45818.58769675926</v>
      </c>
      <c r="C795" s="1" t="n">
        <v>45960</v>
      </c>
      <c r="D795" t="inlineStr">
        <is>
          <t>KALMAR LÄN</t>
        </is>
      </c>
      <c r="E795" t="inlineStr">
        <is>
          <t>VIMMERBY</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28294-2025</t>
        </is>
      </c>
      <c r="B796" s="1" t="n">
        <v>45818.595625</v>
      </c>
      <c r="C796" s="1" t="n">
        <v>45960</v>
      </c>
      <c r="D796" t="inlineStr">
        <is>
          <t>KALMAR LÄN</t>
        </is>
      </c>
      <c r="E796" t="inlineStr">
        <is>
          <t>VIMMERBY</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28290-2025</t>
        </is>
      </c>
      <c r="B797" s="1" t="n">
        <v>45818.59261574074</v>
      </c>
      <c r="C797" s="1" t="n">
        <v>45960</v>
      </c>
      <c r="D797" t="inlineStr">
        <is>
          <t>KALMAR LÄN</t>
        </is>
      </c>
      <c r="E797" t="inlineStr">
        <is>
          <t>VIMMERBY</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28280-2025</t>
        </is>
      </c>
      <c r="B798" s="1" t="n">
        <v>45818.5862037037</v>
      </c>
      <c r="C798" s="1" t="n">
        <v>45960</v>
      </c>
      <c r="D798" t="inlineStr">
        <is>
          <t>KALMAR LÄN</t>
        </is>
      </c>
      <c r="E798" t="inlineStr">
        <is>
          <t>VIMMERBY</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28620-2025</t>
        </is>
      </c>
      <c r="B799" s="1" t="n">
        <v>45819.61060185185</v>
      </c>
      <c r="C799" s="1" t="n">
        <v>45960</v>
      </c>
      <c r="D799" t="inlineStr">
        <is>
          <t>KALMAR LÄN</t>
        </is>
      </c>
      <c r="E799" t="inlineStr">
        <is>
          <t>VIMMERBY</t>
        </is>
      </c>
      <c r="G799" t="n">
        <v>5.6</v>
      </c>
      <c r="H799" t="n">
        <v>0</v>
      </c>
      <c r="I799" t="n">
        <v>0</v>
      </c>
      <c r="J799" t="n">
        <v>0</v>
      </c>
      <c r="K799" t="n">
        <v>0</v>
      </c>
      <c r="L799" t="n">
        <v>0</v>
      </c>
      <c r="M799" t="n">
        <v>0</v>
      </c>
      <c r="N799" t="n">
        <v>0</v>
      </c>
      <c r="O799" t="n">
        <v>0</v>
      </c>
      <c r="P799" t="n">
        <v>0</v>
      </c>
      <c r="Q799" t="n">
        <v>0</v>
      </c>
      <c r="R799" s="2" t="inlineStr"/>
    </row>
    <row r="800" ht="15" customHeight="1">
      <c r="A800" t="inlineStr">
        <is>
          <t>A 28712-2025</t>
        </is>
      </c>
      <c r="B800" s="1" t="n">
        <v>45820.33708333333</v>
      </c>
      <c r="C800" s="1" t="n">
        <v>45960</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28714-2025</t>
        </is>
      </c>
      <c r="B801" s="1" t="n">
        <v>45820.34128472222</v>
      </c>
      <c r="C801" s="1" t="n">
        <v>45960</v>
      </c>
      <c r="D801" t="inlineStr">
        <is>
          <t>KALMAR LÄN</t>
        </is>
      </c>
      <c r="E801" t="inlineStr">
        <is>
          <t>VIMMERBY</t>
        </is>
      </c>
      <c r="G801" t="n">
        <v>1.8</v>
      </c>
      <c r="H801" t="n">
        <v>0</v>
      </c>
      <c r="I801" t="n">
        <v>0</v>
      </c>
      <c r="J801" t="n">
        <v>0</v>
      </c>
      <c r="K801" t="n">
        <v>0</v>
      </c>
      <c r="L801" t="n">
        <v>0</v>
      </c>
      <c r="M801" t="n">
        <v>0</v>
      </c>
      <c r="N801" t="n">
        <v>0</v>
      </c>
      <c r="O801" t="n">
        <v>0</v>
      </c>
      <c r="P801" t="n">
        <v>0</v>
      </c>
      <c r="Q801" t="n">
        <v>0</v>
      </c>
      <c r="R801" s="2" t="inlineStr"/>
    </row>
    <row r="802" ht="15" customHeight="1">
      <c r="A802" t="inlineStr">
        <is>
          <t>A 28713-2025</t>
        </is>
      </c>
      <c r="B802" s="1" t="n">
        <v>45820.33930555556</v>
      </c>
      <c r="C802" s="1" t="n">
        <v>45960</v>
      </c>
      <c r="D802" t="inlineStr">
        <is>
          <t>KALMAR LÄN</t>
        </is>
      </c>
      <c r="E802" t="inlineStr">
        <is>
          <t>VIMMERBY</t>
        </is>
      </c>
      <c r="G802" t="n">
        <v>2.3</v>
      </c>
      <c r="H802" t="n">
        <v>0</v>
      </c>
      <c r="I802" t="n">
        <v>0</v>
      </c>
      <c r="J802" t="n">
        <v>0</v>
      </c>
      <c r="K802" t="n">
        <v>0</v>
      </c>
      <c r="L802" t="n">
        <v>0</v>
      </c>
      <c r="M802" t="n">
        <v>0</v>
      </c>
      <c r="N802" t="n">
        <v>0</v>
      </c>
      <c r="O802" t="n">
        <v>0</v>
      </c>
      <c r="P802" t="n">
        <v>0</v>
      </c>
      <c r="Q802" t="n">
        <v>0</v>
      </c>
      <c r="R802" s="2" t="inlineStr"/>
    </row>
    <row r="803" ht="15" customHeight="1">
      <c r="A803" t="inlineStr">
        <is>
          <t>A 29737-2025</t>
        </is>
      </c>
      <c r="B803" s="1" t="n">
        <v>45825.58672453704</v>
      </c>
      <c r="C803" s="1" t="n">
        <v>45960</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29727-2025</t>
        </is>
      </c>
      <c r="B804" s="1" t="n">
        <v>45825.5796875</v>
      </c>
      <c r="C804" s="1" t="n">
        <v>45960</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30293-2025</t>
        </is>
      </c>
      <c r="B805" s="1" t="n">
        <v>45827</v>
      </c>
      <c r="C805" s="1" t="n">
        <v>45960</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30290-2025</t>
        </is>
      </c>
      <c r="B806" s="1" t="n">
        <v>45827</v>
      </c>
      <c r="C806" s="1" t="n">
        <v>45960</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30850-2025</t>
        </is>
      </c>
      <c r="B807" s="1" t="n">
        <v>45831</v>
      </c>
      <c r="C807" s="1" t="n">
        <v>45960</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31552-2025</t>
        </is>
      </c>
      <c r="B808" s="1" t="n">
        <v>45833.64563657407</v>
      </c>
      <c r="C808" s="1" t="n">
        <v>45960</v>
      </c>
      <c r="D808" t="inlineStr">
        <is>
          <t>KALMAR LÄN</t>
        </is>
      </c>
      <c r="E808" t="inlineStr">
        <is>
          <t>VIMMERBY</t>
        </is>
      </c>
      <c r="G808" t="n">
        <v>1.7</v>
      </c>
      <c r="H808" t="n">
        <v>0</v>
      </c>
      <c r="I808" t="n">
        <v>0</v>
      </c>
      <c r="J808" t="n">
        <v>0</v>
      </c>
      <c r="K808" t="n">
        <v>0</v>
      </c>
      <c r="L808" t="n">
        <v>0</v>
      </c>
      <c r="M808" t="n">
        <v>0</v>
      </c>
      <c r="N808" t="n">
        <v>0</v>
      </c>
      <c r="O808" t="n">
        <v>0</v>
      </c>
      <c r="P808" t="n">
        <v>0</v>
      </c>
      <c r="Q808" t="n">
        <v>0</v>
      </c>
      <c r="R808" s="2" t="inlineStr"/>
    </row>
    <row r="809" ht="15" customHeight="1">
      <c r="A809" t="inlineStr">
        <is>
          <t>A 31555-2025</t>
        </is>
      </c>
      <c r="B809" s="1" t="n">
        <v>45833.64814814815</v>
      </c>
      <c r="C809" s="1" t="n">
        <v>45960</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30971-2025</t>
        </is>
      </c>
      <c r="B810" s="1" t="n">
        <v>45832.46146990741</v>
      </c>
      <c r="C810" s="1" t="n">
        <v>45960</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31551-2025</t>
        </is>
      </c>
      <c r="B811" s="1" t="n">
        <v>45833.64237268519</v>
      </c>
      <c r="C811" s="1" t="n">
        <v>45960</v>
      </c>
      <c r="D811" t="inlineStr">
        <is>
          <t>KALMAR LÄN</t>
        </is>
      </c>
      <c r="E811" t="inlineStr">
        <is>
          <t>VIMMERBY</t>
        </is>
      </c>
      <c r="G811" t="n">
        <v>1.9</v>
      </c>
      <c r="H811" t="n">
        <v>0</v>
      </c>
      <c r="I811" t="n">
        <v>0</v>
      </c>
      <c r="J811" t="n">
        <v>0</v>
      </c>
      <c r="K811" t="n">
        <v>0</v>
      </c>
      <c r="L811" t="n">
        <v>0</v>
      </c>
      <c r="M811" t="n">
        <v>0</v>
      </c>
      <c r="N811" t="n">
        <v>0</v>
      </c>
      <c r="O811" t="n">
        <v>0</v>
      </c>
      <c r="P811" t="n">
        <v>0</v>
      </c>
      <c r="Q811" t="n">
        <v>0</v>
      </c>
      <c r="R811" s="2" t="inlineStr"/>
    </row>
    <row r="812" ht="15" customHeight="1">
      <c r="A812" t="inlineStr">
        <is>
          <t>A 30882-2025</t>
        </is>
      </c>
      <c r="B812" s="1" t="n">
        <v>45832.34540509259</v>
      </c>
      <c r="C812" s="1" t="n">
        <v>45960</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31872-2025</t>
        </is>
      </c>
      <c r="B813" s="1" t="n">
        <v>45834.65040509259</v>
      </c>
      <c r="C813" s="1" t="n">
        <v>45960</v>
      </c>
      <c r="D813" t="inlineStr">
        <is>
          <t>KALMAR LÄN</t>
        </is>
      </c>
      <c r="E813" t="inlineStr">
        <is>
          <t>VIMMERBY</t>
        </is>
      </c>
      <c r="F813" t="inlineStr">
        <is>
          <t>Sveaskog</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8559-2025</t>
        </is>
      </c>
      <c r="B814" s="1" t="n">
        <v>45709.62280092593</v>
      </c>
      <c r="C814" s="1" t="n">
        <v>45960</v>
      </c>
      <c r="D814" t="inlineStr">
        <is>
          <t>KALMAR LÄN</t>
        </is>
      </c>
      <c r="E814" t="inlineStr">
        <is>
          <t>VIMMERBY</t>
        </is>
      </c>
      <c r="G814" t="n">
        <v>8.9</v>
      </c>
      <c r="H814" t="n">
        <v>0</v>
      </c>
      <c r="I814" t="n">
        <v>0</v>
      </c>
      <c r="J814" t="n">
        <v>0</v>
      </c>
      <c r="K814" t="n">
        <v>0</v>
      </c>
      <c r="L814" t="n">
        <v>0</v>
      </c>
      <c r="M814" t="n">
        <v>0</v>
      </c>
      <c r="N814" t="n">
        <v>0</v>
      </c>
      <c r="O814" t="n">
        <v>0</v>
      </c>
      <c r="P814" t="n">
        <v>0</v>
      </c>
      <c r="Q814" t="n">
        <v>0</v>
      </c>
      <c r="R814" s="2" t="inlineStr"/>
    </row>
    <row r="815" ht="15" customHeight="1">
      <c r="A815" t="inlineStr">
        <is>
          <t>A 32064-2025</t>
        </is>
      </c>
      <c r="B815" s="1" t="n">
        <v>45835.44709490741</v>
      </c>
      <c r="C815" s="1" t="n">
        <v>45960</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32109-2025</t>
        </is>
      </c>
      <c r="B816" s="1" t="n">
        <v>45835.48267361111</v>
      </c>
      <c r="C816" s="1" t="n">
        <v>45960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32113-2025</t>
        </is>
      </c>
      <c r="B817" s="1" t="n">
        <v>45835.48445601852</v>
      </c>
      <c r="C817" s="1" t="n">
        <v>45960</v>
      </c>
      <c r="D817" t="inlineStr">
        <is>
          <t>KALMAR LÄN</t>
        </is>
      </c>
      <c r="E817" t="inlineStr">
        <is>
          <t>VIMMERBY</t>
        </is>
      </c>
      <c r="G817" t="n">
        <v>3.5</v>
      </c>
      <c r="H817" t="n">
        <v>0</v>
      </c>
      <c r="I817" t="n">
        <v>0</v>
      </c>
      <c r="J817" t="n">
        <v>0</v>
      </c>
      <c r="K817" t="n">
        <v>0</v>
      </c>
      <c r="L817" t="n">
        <v>0</v>
      </c>
      <c r="M817" t="n">
        <v>0</v>
      </c>
      <c r="N817" t="n">
        <v>0</v>
      </c>
      <c r="O817" t="n">
        <v>0</v>
      </c>
      <c r="P817" t="n">
        <v>0</v>
      </c>
      <c r="Q817" t="n">
        <v>0</v>
      </c>
      <c r="R817" s="2" t="inlineStr"/>
    </row>
    <row r="818" ht="15" customHeight="1">
      <c r="A818" t="inlineStr">
        <is>
          <t>A 32116-2025</t>
        </is>
      </c>
      <c r="B818" s="1" t="n">
        <v>45835.48862268519</v>
      </c>
      <c r="C818" s="1" t="n">
        <v>45960</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31870-2025</t>
        </is>
      </c>
      <c r="B819" s="1" t="n">
        <v>45834.64667824074</v>
      </c>
      <c r="C819" s="1" t="n">
        <v>45960</v>
      </c>
      <c r="D819" t="inlineStr">
        <is>
          <t>KALMAR LÄN</t>
        </is>
      </c>
      <c r="E819" t="inlineStr">
        <is>
          <t>VIMMERBY</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32065-2025</t>
        </is>
      </c>
      <c r="B820" s="1" t="n">
        <v>45835.44732638889</v>
      </c>
      <c r="C820" s="1" t="n">
        <v>45960</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31987-2025</t>
        </is>
      </c>
      <c r="B821" s="1" t="n">
        <v>45835.36229166666</v>
      </c>
      <c r="C821" s="1" t="n">
        <v>45960</v>
      </c>
      <c r="D821" t="inlineStr">
        <is>
          <t>KALMAR LÄN</t>
        </is>
      </c>
      <c r="E821" t="inlineStr">
        <is>
          <t>VIMMERBY</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32077-2025</t>
        </is>
      </c>
      <c r="B822" s="1" t="n">
        <v>45835.45099537037</v>
      </c>
      <c r="C822" s="1" t="n">
        <v>45960</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32120-2025</t>
        </is>
      </c>
      <c r="B823" s="1" t="n">
        <v>45835.4924537037</v>
      </c>
      <c r="C823" s="1" t="n">
        <v>45960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31876-2025</t>
        </is>
      </c>
      <c r="B824" s="1" t="n">
        <v>45834.65197916667</v>
      </c>
      <c r="C824" s="1" t="n">
        <v>45960</v>
      </c>
      <c r="D824" t="inlineStr">
        <is>
          <t>KALMAR LÄN</t>
        </is>
      </c>
      <c r="E824" t="inlineStr">
        <is>
          <t>VIMMERBY</t>
        </is>
      </c>
      <c r="F824" t="inlineStr">
        <is>
          <t>Sveaskog</t>
        </is>
      </c>
      <c r="G824" t="n">
        <v>3.3</v>
      </c>
      <c r="H824" t="n">
        <v>0</v>
      </c>
      <c r="I824" t="n">
        <v>0</v>
      </c>
      <c r="J824" t="n">
        <v>0</v>
      </c>
      <c r="K824" t="n">
        <v>0</v>
      </c>
      <c r="L824" t="n">
        <v>0</v>
      </c>
      <c r="M824" t="n">
        <v>0</v>
      </c>
      <c r="N824" t="n">
        <v>0</v>
      </c>
      <c r="O824" t="n">
        <v>0</v>
      </c>
      <c r="P824" t="n">
        <v>0</v>
      </c>
      <c r="Q824" t="n">
        <v>0</v>
      </c>
      <c r="R824" s="2" t="inlineStr"/>
    </row>
    <row r="825" ht="15" customHeight="1">
      <c r="A825" t="inlineStr">
        <is>
          <t>A 32380-2025</t>
        </is>
      </c>
      <c r="B825" s="1" t="n">
        <v>45837.77701388889</v>
      </c>
      <c r="C825" s="1" t="n">
        <v>45960</v>
      </c>
      <c r="D825" t="inlineStr">
        <is>
          <t>KALMAR LÄN</t>
        </is>
      </c>
      <c r="E825" t="inlineStr">
        <is>
          <t>VIMMERBY</t>
        </is>
      </c>
      <c r="G825" t="n">
        <v>3.1</v>
      </c>
      <c r="H825" t="n">
        <v>0</v>
      </c>
      <c r="I825" t="n">
        <v>0</v>
      </c>
      <c r="J825" t="n">
        <v>0</v>
      </c>
      <c r="K825" t="n">
        <v>0</v>
      </c>
      <c r="L825" t="n">
        <v>0</v>
      </c>
      <c r="M825" t="n">
        <v>0</v>
      </c>
      <c r="N825" t="n">
        <v>0</v>
      </c>
      <c r="O825" t="n">
        <v>0</v>
      </c>
      <c r="P825" t="n">
        <v>0</v>
      </c>
      <c r="Q825" t="n">
        <v>0</v>
      </c>
      <c r="R825" s="2" t="inlineStr"/>
    </row>
    <row r="826" ht="15" customHeight="1">
      <c r="A826" t="inlineStr">
        <is>
          <t>A 33186-2025</t>
        </is>
      </c>
      <c r="B826" s="1" t="n">
        <v>45840.59474537037</v>
      </c>
      <c r="C826" s="1" t="n">
        <v>45960</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33695-2025</t>
        </is>
      </c>
      <c r="B827" s="1" t="n">
        <v>45841.70569444444</v>
      </c>
      <c r="C827" s="1" t="n">
        <v>45960</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33698-2025</t>
        </is>
      </c>
      <c r="B828" s="1" t="n">
        <v>45841.70868055556</v>
      </c>
      <c r="C828" s="1" t="n">
        <v>45960</v>
      </c>
      <c r="D828" t="inlineStr">
        <is>
          <t>KALMAR LÄN</t>
        </is>
      </c>
      <c r="E828" t="inlineStr">
        <is>
          <t>VIMMERBY</t>
        </is>
      </c>
      <c r="G828" t="n">
        <v>3.7</v>
      </c>
      <c r="H828" t="n">
        <v>0</v>
      </c>
      <c r="I828" t="n">
        <v>0</v>
      </c>
      <c r="J828" t="n">
        <v>0</v>
      </c>
      <c r="K828" t="n">
        <v>0</v>
      </c>
      <c r="L828" t="n">
        <v>0</v>
      </c>
      <c r="M828" t="n">
        <v>0</v>
      </c>
      <c r="N828" t="n">
        <v>0</v>
      </c>
      <c r="O828" t="n">
        <v>0</v>
      </c>
      <c r="P828" t="n">
        <v>0</v>
      </c>
      <c r="Q828" t="n">
        <v>0</v>
      </c>
      <c r="R828" s="2" t="inlineStr"/>
    </row>
    <row r="829" ht="15" customHeight="1">
      <c r="A829" t="inlineStr">
        <is>
          <t>A 30977-2025</t>
        </is>
      </c>
      <c r="B829" s="1" t="n">
        <v>45832.46649305556</v>
      </c>
      <c r="C829" s="1" t="n">
        <v>45960</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33696-2025</t>
        </is>
      </c>
      <c r="B830" s="1" t="n">
        <v>45841.7072337963</v>
      </c>
      <c r="C830" s="1" t="n">
        <v>45960</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26956-2025</t>
        </is>
      </c>
      <c r="B831" s="1" t="n">
        <v>45811.45460648148</v>
      </c>
      <c r="C831" s="1" t="n">
        <v>45960</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34071-2025</t>
        </is>
      </c>
      <c r="B832" s="1" t="n">
        <v>45845.43803240741</v>
      </c>
      <c r="C832" s="1" t="n">
        <v>45960</v>
      </c>
      <c r="D832" t="inlineStr">
        <is>
          <t>KALMAR LÄN</t>
        </is>
      </c>
      <c r="E832" t="inlineStr">
        <is>
          <t>VIMMERBY</t>
        </is>
      </c>
      <c r="G832" t="n">
        <v>6.8</v>
      </c>
      <c r="H832" t="n">
        <v>0</v>
      </c>
      <c r="I832" t="n">
        <v>0</v>
      </c>
      <c r="J832" t="n">
        <v>0</v>
      </c>
      <c r="K832" t="n">
        <v>0</v>
      </c>
      <c r="L832" t="n">
        <v>0</v>
      </c>
      <c r="M832" t="n">
        <v>0</v>
      </c>
      <c r="N832" t="n">
        <v>0</v>
      </c>
      <c r="O832" t="n">
        <v>0</v>
      </c>
      <c r="P832" t="n">
        <v>0</v>
      </c>
      <c r="Q832" t="n">
        <v>0</v>
      </c>
      <c r="R832" s="2" t="inlineStr"/>
    </row>
    <row r="833" ht="15" customHeight="1">
      <c r="A833" t="inlineStr">
        <is>
          <t>A 34106-2025</t>
        </is>
      </c>
      <c r="B833" s="1" t="n">
        <v>45845.49414351852</v>
      </c>
      <c r="C833" s="1" t="n">
        <v>45960</v>
      </c>
      <c r="D833" t="inlineStr">
        <is>
          <t>KALMAR LÄN</t>
        </is>
      </c>
      <c r="E833" t="inlineStr">
        <is>
          <t>VIMMERBY</t>
        </is>
      </c>
      <c r="G833" t="n">
        <v>6</v>
      </c>
      <c r="H833" t="n">
        <v>0</v>
      </c>
      <c r="I833" t="n">
        <v>0</v>
      </c>
      <c r="J833" t="n">
        <v>0</v>
      </c>
      <c r="K833" t="n">
        <v>0</v>
      </c>
      <c r="L833" t="n">
        <v>0</v>
      </c>
      <c r="M833" t="n">
        <v>0</v>
      </c>
      <c r="N833" t="n">
        <v>0</v>
      </c>
      <c r="O833" t="n">
        <v>0</v>
      </c>
      <c r="P833" t="n">
        <v>0</v>
      </c>
      <c r="Q833" t="n">
        <v>0</v>
      </c>
      <c r="R833" s="2" t="inlineStr"/>
    </row>
    <row r="834" ht="15" customHeight="1">
      <c r="A834" t="inlineStr">
        <is>
          <t>A 28702-2025</t>
        </is>
      </c>
      <c r="B834" s="1" t="n">
        <v>45820.03976851852</v>
      </c>
      <c r="C834" s="1" t="n">
        <v>45960</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34628-2025</t>
        </is>
      </c>
      <c r="B835" s="1" t="n">
        <v>45847.91280092593</v>
      </c>
      <c r="C835" s="1" t="n">
        <v>45960</v>
      </c>
      <c r="D835" t="inlineStr">
        <is>
          <t>KALMAR LÄN</t>
        </is>
      </c>
      <c r="E835" t="inlineStr">
        <is>
          <t>VIMMERBY</t>
        </is>
      </c>
      <c r="G835" t="n">
        <v>4.2</v>
      </c>
      <c r="H835" t="n">
        <v>0</v>
      </c>
      <c r="I835" t="n">
        <v>0</v>
      </c>
      <c r="J835" t="n">
        <v>0</v>
      </c>
      <c r="K835" t="n">
        <v>0</v>
      </c>
      <c r="L835" t="n">
        <v>0</v>
      </c>
      <c r="M835" t="n">
        <v>0</v>
      </c>
      <c r="N835" t="n">
        <v>0</v>
      </c>
      <c r="O835" t="n">
        <v>0</v>
      </c>
      <c r="P835" t="n">
        <v>0</v>
      </c>
      <c r="Q835" t="n">
        <v>0</v>
      </c>
      <c r="R835" s="2" t="inlineStr"/>
    </row>
    <row r="836" ht="15" customHeight="1">
      <c r="A836" t="inlineStr">
        <is>
          <t>A 35270-2025</t>
        </is>
      </c>
      <c r="B836" s="1" t="n">
        <v>45853.87112268519</v>
      </c>
      <c r="C836" s="1" t="n">
        <v>45960</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35271-2025</t>
        </is>
      </c>
      <c r="B837" s="1" t="n">
        <v>45853.87599537037</v>
      </c>
      <c r="C837" s="1" t="n">
        <v>45960</v>
      </c>
      <c r="D837" t="inlineStr">
        <is>
          <t>KALMAR LÄN</t>
        </is>
      </c>
      <c r="E837" t="inlineStr">
        <is>
          <t>VIMMERBY</t>
        </is>
      </c>
      <c r="G837" t="n">
        <v>0.4</v>
      </c>
      <c r="H837" t="n">
        <v>0</v>
      </c>
      <c r="I837" t="n">
        <v>0</v>
      </c>
      <c r="J837" t="n">
        <v>0</v>
      </c>
      <c r="K837" t="n">
        <v>0</v>
      </c>
      <c r="L837" t="n">
        <v>0</v>
      </c>
      <c r="M837" t="n">
        <v>0</v>
      </c>
      <c r="N837" t="n">
        <v>0</v>
      </c>
      <c r="O837" t="n">
        <v>0</v>
      </c>
      <c r="P837" t="n">
        <v>0</v>
      </c>
      <c r="Q837" t="n">
        <v>0</v>
      </c>
      <c r="R837" s="2" t="inlineStr"/>
    </row>
    <row r="838" ht="15" customHeight="1">
      <c r="A838" t="inlineStr">
        <is>
          <t>A 35272-2025</t>
        </is>
      </c>
      <c r="B838" s="1" t="n">
        <v>45853.88070601852</v>
      </c>
      <c r="C838" s="1" t="n">
        <v>45960</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16953-2025</t>
        </is>
      </c>
      <c r="B839" s="1" t="n">
        <v>45755.44333333334</v>
      </c>
      <c r="C839" s="1" t="n">
        <v>45960</v>
      </c>
      <c r="D839" t="inlineStr">
        <is>
          <t>KALMAR LÄN</t>
        </is>
      </c>
      <c r="E839" t="inlineStr">
        <is>
          <t>VIMMERBY</t>
        </is>
      </c>
      <c r="G839" t="n">
        <v>2</v>
      </c>
      <c r="H839" t="n">
        <v>0</v>
      </c>
      <c r="I839" t="n">
        <v>0</v>
      </c>
      <c r="J839" t="n">
        <v>0</v>
      </c>
      <c r="K839" t="n">
        <v>0</v>
      </c>
      <c r="L839" t="n">
        <v>0</v>
      </c>
      <c r="M839" t="n">
        <v>0</v>
      </c>
      <c r="N839" t="n">
        <v>0</v>
      </c>
      <c r="O839" t="n">
        <v>0</v>
      </c>
      <c r="P839" t="n">
        <v>0</v>
      </c>
      <c r="Q839" t="n">
        <v>0</v>
      </c>
      <c r="R839" s="2" t="inlineStr"/>
    </row>
    <row r="840" ht="15" customHeight="1">
      <c r="A840" t="inlineStr">
        <is>
          <t>A 35596-2025</t>
        </is>
      </c>
      <c r="B840" s="1" t="n">
        <v>45858.60641203704</v>
      </c>
      <c r="C840" s="1" t="n">
        <v>45960</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35597-2025</t>
        </is>
      </c>
      <c r="B841" s="1" t="n">
        <v>45858.66019675926</v>
      </c>
      <c r="C841" s="1" t="n">
        <v>45960</v>
      </c>
      <c r="D841" t="inlineStr">
        <is>
          <t>KALMAR LÄN</t>
        </is>
      </c>
      <c r="E841" t="inlineStr">
        <is>
          <t>VIMMERBY</t>
        </is>
      </c>
      <c r="G841" t="n">
        <v>6.4</v>
      </c>
      <c r="H841" t="n">
        <v>0</v>
      </c>
      <c r="I841" t="n">
        <v>0</v>
      </c>
      <c r="J841" t="n">
        <v>0</v>
      </c>
      <c r="K841" t="n">
        <v>0</v>
      </c>
      <c r="L841" t="n">
        <v>0</v>
      </c>
      <c r="M841" t="n">
        <v>0</v>
      </c>
      <c r="N841" t="n">
        <v>0</v>
      </c>
      <c r="O841" t="n">
        <v>0</v>
      </c>
      <c r="P841" t="n">
        <v>0</v>
      </c>
      <c r="Q841" t="n">
        <v>0</v>
      </c>
      <c r="R841" s="2" t="inlineStr"/>
    </row>
    <row r="842" ht="15" customHeight="1">
      <c r="A842" t="inlineStr">
        <is>
          <t>A 36226-2025</t>
        </is>
      </c>
      <c r="B842" s="1" t="n">
        <v>45867.51630787037</v>
      </c>
      <c r="C842" s="1" t="n">
        <v>45960</v>
      </c>
      <c r="D842" t="inlineStr">
        <is>
          <t>KALMAR LÄN</t>
        </is>
      </c>
      <c r="E842" t="inlineStr">
        <is>
          <t>VIMMERBY</t>
        </is>
      </c>
      <c r="G842" t="n">
        <v>3.1</v>
      </c>
      <c r="H842" t="n">
        <v>0</v>
      </c>
      <c r="I842" t="n">
        <v>0</v>
      </c>
      <c r="J842" t="n">
        <v>0</v>
      </c>
      <c r="K842" t="n">
        <v>0</v>
      </c>
      <c r="L842" t="n">
        <v>0</v>
      </c>
      <c r="M842" t="n">
        <v>0</v>
      </c>
      <c r="N842" t="n">
        <v>0</v>
      </c>
      <c r="O842" t="n">
        <v>0</v>
      </c>
      <c r="P842" t="n">
        <v>0</v>
      </c>
      <c r="Q842" t="n">
        <v>0</v>
      </c>
      <c r="R842" s="2" t="inlineStr"/>
    </row>
    <row r="843" ht="15" customHeight="1">
      <c r="A843" t="inlineStr">
        <is>
          <t>A 36273-2025</t>
        </is>
      </c>
      <c r="B843" s="1" t="n">
        <v>45867.63094907408</v>
      </c>
      <c r="C843" s="1" t="n">
        <v>45960</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36282-2025</t>
        </is>
      </c>
      <c r="B844" s="1" t="n">
        <v>45867.64663194444</v>
      </c>
      <c r="C844" s="1" t="n">
        <v>45960</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36246-2025</t>
        </is>
      </c>
      <c r="B845" s="1" t="n">
        <v>45867.56320601852</v>
      </c>
      <c r="C845" s="1" t="n">
        <v>45960</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36297-2025</t>
        </is>
      </c>
      <c r="B846" s="1" t="n">
        <v>45867.68625</v>
      </c>
      <c r="C846" s="1" t="n">
        <v>45960</v>
      </c>
      <c r="D846" t="inlineStr">
        <is>
          <t>KALMAR LÄN</t>
        </is>
      </c>
      <c r="E846" t="inlineStr">
        <is>
          <t>VIMMERBY</t>
        </is>
      </c>
      <c r="G846" t="n">
        <v>4.9</v>
      </c>
      <c r="H846" t="n">
        <v>0</v>
      </c>
      <c r="I846" t="n">
        <v>0</v>
      </c>
      <c r="J846" t="n">
        <v>0</v>
      </c>
      <c r="K846" t="n">
        <v>0</v>
      </c>
      <c r="L846" t="n">
        <v>0</v>
      </c>
      <c r="M846" t="n">
        <v>0</v>
      </c>
      <c r="N846" t="n">
        <v>0</v>
      </c>
      <c r="O846" t="n">
        <v>0</v>
      </c>
      <c r="P846" t="n">
        <v>0</v>
      </c>
      <c r="Q846" t="n">
        <v>0</v>
      </c>
      <c r="R846" s="2" t="inlineStr"/>
    </row>
    <row r="847" ht="15" customHeight="1">
      <c r="A847" t="inlineStr">
        <is>
          <t>A 36221-2025</t>
        </is>
      </c>
      <c r="B847" s="1" t="n">
        <v>45867.50792824074</v>
      </c>
      <c r="C847" s="1" t="n">
        <v>45960</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19502-2025</t>
        </is>
      </c>
      <c r="B848" s="1" t="n">
        <v>45769</v>
      </c>
      <c r="C848" s="1" t="n">
        <v>45960</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36299-2025</t>
        </is>
      </c>
      <c r="B849" s="1" t="n">
        <v>45867.69346064814</v>
      </c>
      <c r="C849" s="1" t="n">
        <v>45960</v>
      </c>
      <c r="D849" t="inlineStr">
        <is>
          <t>KALMAR LÄN</t>
        </is>
      </c>
      <c r="E849" t="inlineStr">
        <is>
          <t>VIMMERBY</t>
        </is>
      </c>
      <c r="G849" t="n">
        <v>7.6</v>
      </c>
      <c r="H849" t="n">
        <v>0</v>
      </c>
      <c r="I849" t="n">
        <v>0</v>
      </c>
      <c r="J849" t="n">
        <v>0</v>
      </c>
      <c r="K849" t="n">
        <v>0</v>
      </c>
      <c r="L849" t="n">
        <v>0</v>
      </c>
      <c r="M849" t="n">
        <v>0</v>
      </c>
      <c r="N849" t="n">
        <v>0</v>
      </c>
      <c r="O849" t="n">
        <v>0</v>
      </c>
      <c r="P849" t="n">
        <v>0</v>
      </c>
      <c r="Q849" t="n">
        <v>0</v>
      </c>
      <c r="R849" s="2" t="inlineStr"/>
    </row>
    <row r="850" ht="15" customHeight="1">
      <c r="A850" t="inlineStr">
        <is>
          <t>A 36538-2025</t>
        </is>
      </c>
      <c r="B850" s="1" t="n">
        <v>45869.62276620371</v>
      </c>
      <c r="C850" s="1" t="n">
        <v>45960</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36598-2025</t>
        </is>
      </c>
      <c r="B851" s="1" t="n">
        <v>45870.51708333333</v>
      </c>
      <c r="C851" s="1" t="n">
        <v>45960</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36602-2025</t>
        </is>
      </c>
      <c r="B852" s="1" t="n">
        <v>45870.52111111111</v>
      </c>
      <c r="C852" s="1" t="n">
        <v>45960</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36603-2025</t>
        </is>
      </c>
      <c r="B853" s="1" t="n">
        <v>45870.52142361111</v>
      </c>
      <c r="C853" s="1" t="n">
        <v>45960</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36600-2025</t>
        </is>
      </c>
      <c r="B854" s="1" t="n">
        <v>45870.51958333333</v>
      </c>
      <c r="C854" s="1" t="n">
        <v>45960</v>
      </c>
      <c r="D854" t="inlineStr">
        <is>
          <t>KALMAR LÄN</t>
        </is>
      </c>
      <c r="E854" t="inlineStr">
        <is>
          <t>VIMMERBY</t>
        </is>
      </c>
      <c r="G854" t="n">
        <v>2</v>
      </c>
      <c r="H854" t="n">
        <v>0</v>
      </c>
      <c r="I854" t="n">
        <v>0</v>
      </c>
      <c r="J854" t="n">
        <v>0</v>
      </c>
      <c r="K854" t="n">
        <v>0</v>
      </c>
      <c r="L854" t="n">
        <v>0</v>
      </c>
      <c r="M854" t="n">
        <v>0</v>
      </c>
      <c r="N854" t="n">
        <v>0</v>
      </c>
      <c r="O854" t="n">
        <v>0</v>
      </c>
      <c r="P854" t="n">
        <v>0</v>
      </c>
      <c r="Q854" t="n">
        <v>0</v>
      </c>
      <c r="R854" s="2" t="inlineStr"/>
    </row>
    <row r="855" ht="15" customHeight="1">
      <c r="A855" t="inlineStr">
        <is>
          <t>A 36601-2025</t>
        </is>
      </c>
      <c r="B855" s="1" t="n">
        <v>45870.52005787037</v>
      </c>
      <c r="C855" s="1" t="n">
        <v>45960</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37088-2025</t>
        </is>
      </c>
      <c r="B856" s="1" t="n">
        <v>45875.45716435185</v>
      </c>
      <c r="C856" s="1" t="n">
        <v>45960</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37102-2025</t>
        </is>
      </c>
      <c r="B857" s="1" t="n">
        <v>45875.47454861111</v>
      </c>
      <c r="C857" s="1" t="n">
        <v>45960</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37079-2025</t>
        </is>
      </c>
      <c r="B858" s="1" t="n">
        <v>45875.42716435185</v>
      </c>
      <c r="C858" s="1" t="n">
        <v>45960</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36934-2025</t>
        </is>
      </c>
      <c r="B859" s="1" t="n">
        <v>45874.57109953704</v>
      </c>
      <c r="C859" s="1" t="n">
        <v>45960</v>
      </c>
      <c r="D859" t="inlineStr">
        <is>
          <t>KALMAR LÄN</t>
        </is>
      </c>
      <c r="E859" t="inlineStr">
        <is>
          <t>VIMMERBY</t>
        </is>
      </c>
      <c r="G859" t="n">
        <v>4.2</v>
      </c>
      <c r="H859" t="n">
        <v>0</v>
      </c>
      <c r="I859" t="n">
        <v>0</v>
      </c>
      <c r="J859" t="n">
        <v>0</v>
      </c>
      <c r="K859" t="n">
        <v>0</v>
      </c>
      <c r="L859" t="n">
        <v>0</v>
      </c>
      <c r="M859" t="n">
        <v>0</v>
      </c>
      <c r="N859" t="n">
        <v>0</v>
      </c>
      <c r="O859" t="n">
        <v>0</v>
      </c>
      <c r="P859" t="n">
        <v>0</v>
      </c>
      <c r="Q859" t="n">
        <v>0</v>
      </c>
      <c r="R859" s="2" t="inlineStr"/>
    </row>
    <row r="860" ht="15" customHeight="1">
      <c r="A860" t="inlineStr">
        <is>
          <t>A 45114-2025</t>
        </is>
      </c>
      <c r="B860" s="1" t="n">
        <v>45919.42387731482</v>
      </c>
      <c r="C860" s="1" t="n">
        <v>45960</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37578-2025</t>
        </is>
      </c>
      <c r="B861" s="1" t="n">
        <v>45880.38380787037</v>
      </c>
      <c r="C861" s="1" t="n">
        <v>45960</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45319-2025</t>
        </is>
      </c>
      <c r="B862" s="1" t="n">
        <v>45921.95611111111</v>
      </c>
      <c r="C862" s="1" t="n">
        <v>45960</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45320-2025</t>
        </is>
      </c>
      <c r="B863" s="1" t="n">
        <v>45921.96395833333</v>
      </c>
      <c r="C863" s="1" t="n">
        <v>45960</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37668-2025</t>
        </is>
      </c>
      <c r="B864" s="1" t="n">
        <v>45880.51550925926</v>
      </c>
      <c r="C864" s="1" t="n">
        <v>45960</v>
      </c>
      <c r="D864" t="inlineStr">
        <is>
          <t>KALMAR LÄN</t>
        </is>
      </c>
      <c r="E864" t="inlineStr">
        <is>
          <t>VIMMERBY</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46118-2025</t>
        </is>
      </c>
      <c r="B865" s="1" t="n">
        <v>45924.57697916667</v>
      </c>
      <c r="C865" s="1" t="n">
        <v>45960</v>
      </c>
      <c r="D865" t="inlineStr">
        <is>
          <t>KALMAR LÄN</t>
        </is>
      </c>
      <c r="E865" t="inlineStr">
        <is>
          <t>VIMMERBY</t>
        </is>
      </c>
      <c r="G865" t="n">
        <v>2.9</v>
      </c>
      <c r="H865" t="n">
        <v>0</v>
      </c>
      <c r="I865" t="n">
        <v>0</v>
      </c>
      <c r="J865" t="n">
        <v>0</v>
      </c>
      <c r="K865" t="n">
        <v>0</v>
      </c>
      <c r="L865" t="n">
        <v>0</v>
      </c>
      <c r="M865" t="n">
        <v>0</v>
      </c>
      <c r="N865" t="n">
        <v>0</v>
      </c>
      <c r="O865" t="n">
        <v>0</v>
      </c>
      <c r="P865" t="n">
        <v>0</v>
      </c>
      <c r="Q865" t="n">
        <v>0</v>
      </c>
      <c r="R865" s="2" t="inlineStr"/>
    </row>
    <row r="866" ht="15" customHeight="1">
      <c r="A866" t="inlineStr">
        <is>
          <t>A 37939-2025</t>
        </is>
      </c>
      <c r="B866" s="1" t="n">
        <v>45881.59877314815</v>
      </c>
      <c r="C866" s="1" t="n">
        <v>45960</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37866-2025</t>
        </is>
      </c>
      <c r="B867" s="1" t="n">
        <v>45881</v>
      </c>
      <c r="C867" s="1" t="n">
        <v>45960</v>
      </c>
      <c r="D867" t="inlineStr">
        <is>
          <t>KALMAR LÄN</t>
        </is>
      </c>
      <c r="E867" t="inlineStr">
        <is>
          <t>VIMMERBY</t>
        </is>
      </c>
      <c r="G867" t="n">
        <v>3.4</v>
      </c>
      <c r="H867" t="n">
        <v>0</v>
      </c>
      <c r="I867" t="n">
        <v>0</v>
      </c>
      <c r="J867" t="n">
        <v>0</v>
      </c>
      <c r="K867" t="n">
        <v>0</v>
      </c>
      <c r="L867" t="n">
        <v>0</v>
      </c>
      <c r="M867" t="n">
        <v>0</v>
      </c>
      <c r="N867" t="n">
        <v>0</v>
      </c>
      <c r="O867" t="n">
        <v>0</v>
      </c>
      <c r="P867" t="n">
        <v>0</v>
      </c>
      <c r="Q867" t="n">
        <v>0</v>
      </c>
      <c r="R867" s="2" t="inlineStr"/>
    </row>
    <row r="868" ht="15" customHeight="1">
      <c r="A868" t="inlineStr">
        <is>
          <t>A 46361-2025</t>
        </is>
      </c>
      <c r="B868" s="1" t="n">
        <v>45925.49670138889</v>
      </c>
      <c r="C868" s="1" t="n">
        <v>45960</v>
      </c>
      <c r="D868" t="inlineStr">
        <is>
          <t>KALMAR LÄN</t>
        </is>
      </c>
      <c r="E868" t="inlineStr">
        <is>
          <t>VIMMERBY</t>
        </is>
      </c>
      <c r="G868" t="n">
        <v>4.2</v>
      </c>
      <c r="H868" t="n">
        <v>0</v>
      </c>
      <c r="I868" t="n">
        <v>0</v>
      </c>
      <c r="J868" t="n">
        <v>0</v>
      </c>
      <c r="K868" t="n">
        <v>0</v>
      </c>
      <c r="L868" t="n">
        <v>0</v>
      </c>
      <c r="M868" t="n">
        <v>0</v>
      </c>
      <c r="N868" t="n">
        <v>0</v>
      </c>
      <c r="O868" t="n">
        <v>0</v>
      </c>
      <c r="P868" t="n">
        <v>0</v>
      </c>
      <c r="Q868" t="n">
        <v>0</v>
      </c>
      <c r="R868" s="2" t="inlineStr"/>
    </row>
    <row r="869" ht="15" customHeight="1">
      <c r="A869" t="inlineStr">
        <is>
          <t>A 46365-2025</t>
        </is>
      </c>
      <c r="B869" s="1" t="n">
        <v>45925.50075231482</v>
      </c>
      <c r="C869" s="1" t="n">
        <v>45960</v>
      </c>
      <c r="D869" t="inlineStr">
        <is>
          <t>KALMAR LÄN</t>
        </is>
      </c>
      <c r="E869" t="inlineStr">
        <is>
          <t>VIMMERBY</t>
        </is>
      </c>
      <c r="G869" t="n">
        <v>5.6</v>
      </c>
      <c r="H869" t="n">
        <v>0</v>
      </c>
      <c r="I869" t="n">
        <v>0</v>
      </c>
      <c r="J869" t="n">
        <v>0</v>
      </c>
      <c r="K869" t="n">
        <v>0</v>
      </c>
      <c r="L869" t="n">
        <v>0</v>
      </c>
      <c r="M869" t="n">
        <v>0</v>
      </c>
      <c r="N869" t="n">
        <v>0</v>
      </c>
      <c r="O869" t="n">
        <v>0</v>
      </c>
      <c r="P869" t="n">
        <v>0</v>
      </c>
      <c r="Q869" t="n">
        <v>0</v>
      </c>
      <c r="R869" s="2" t="inlineStr"/>
    </row>
    <row r="870" ht="15" customHeight="1">
      <c r="A870" t="inlineStr">
        <is>
          <t>A 38964-2025</t>
        </is>
      </c>
      <c r="B870" s="1" t="n">
        <v>45887.68759259259</v>
      </c>
      <c r="C870" s="1" t="n">
        <v>45960</v>
      </c>
      <c r="D870" t="inlineStr">
        <is>
          <t>KALMAR LÄN</t>
        </is>
      </c>
      <c r="E870" t="inlineStr">
        <is>
          <t>VIMMERBY</t>
        </is>
      </c>
      <c r="G870" t="n">
        <v>7.5</v>
      </c>
      <c r="H870" t="n">
        <v>0</v>
      </c>
      <c r="I870" t="n">
        <v>0</v>
      </c>
      <c r="J870" t="n">
        <v>0</v>
      </c>
      <c r="K870" t="n">
        <v>0</v>
      </c>
      <c r="L870" t="n">
        <v>0</v>
      </c>
      <c r="M870" t="n">
        <v>0</v>
      </c>
      <c r="N870" t="n">
        <v>0</v>
      </c>
      <c r="O870" t="n">
        <v>0</v>
      </c>
      <c r="P870" t="n">
        <v>0</v>
      </c>
      <c r="Q870" t="n">
        <v>0</v>
      </c>
      <c r="R870" s="2" t="inlineStr"/>
    </row>
    <row r="871">
      <c r="A871" t="inlineStr">
        <is>
          <t>A 45856-2025</t>
        </is>
      </c>
      <c r="B871" s="1" t="n">
        <v>45923</v>
      </c>
      <c r="C871" s="1" t="n">
        <v>45960</v>
      </c>
      <c r="D871" t="inlineStr">
        <is>
          <t>KALMAR LÄN</t>
        </is>
      </c>
      <c r="E871" t="inlineStr">
        <is>
          <t>VIMMERBY</t>
        </is>
      </c>
      <c r="G871" t="n">
        <v>2.1</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2025-10-30T10:04:27Z</dcterms:created>
  <dcterms:modified xmlns:dcterms="http://purl.org/dc/terms/" xmlns:xsi="http://www.w3.org/2001/XMLSchema-instance" xsi:type="dcterms:W3CDTF">2025-10-30T10:04:28Z</dcterms:modified>
</cp:coreProperties>
</file>