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45915</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45915</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45915</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45915</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45915</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45915</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45915</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45915</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45915</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45915</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45915</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45915</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45915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45915</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37667-2025</t>
        </is>
      </c>
      <c r="B26" s="1" t="n">
        <v>45880.51413194444</v>
      </c>
      <c r="C26" s="1" t="n">
        <v>45915</v>
      </c>
      <c r="D26" t="inlineStr">
        <is>
          <t>KALMAR LÄN</t>
        </is>
      </c>
      <c r="E26" t="inlineStr">
        <is>
          <t>VIMMERBY</t>
        </is>
      </c>
      <c r="F26" t="inlineStr">
        <is>
          <t>Sveaskog</t>
        </is>
      </c>
      <c r="G26" t="n">
        <v>2.1</v>
      </c>
      <c r="H26" t="n">
        <v>2</v>
      </c>
      <c r="I26" t="n">
        <v>0</v>
      </c>
      <c r="J26" t="n">
        <v>0</v>
      </c>
      <c r="K26" t="n">
        <v>1</v>
      </c>
      <c r="L26" t="n">
        <v>0</v>
      </c>
      <c r="M26" t="n">
        <v>0</v>
      </c>
      <c r="N26" t="n">
        <v>0</v>
      </c>
      <c r="O26" t="n">
        <v>1</v>
      </c>
      <c r="P26" t="n">
        <v>1</v>
      </c>
      <c r="Q26" t="n">
        <v>2</v>
      </c>
      <c r="R26" s="2" t="inlineStr">
        <is>
          <t>Knärot
Blåsippa</t>
        </is>
      </c>
      <c r="S26">
        <f>HYPERLINK("https://klasma.github.io/Logging_0884/artfynd/A 37667-2025 artfynd.xlsx", "A 37667-2025")</f>
        <v/>
      </c>
      <c r="T26">
        <f>HYPERLINK("https://klasma.github.io/Logging_0884/kartor/A 37667-2025 karta.png", "A 37667-2025")</f>
        <v/>
      </c>
      <c r="U26">
        <f>HYPERLINK("https://klasma.github.io/Logging_0884/knärot/A 37667-2025 karta knärot.png", "A 37667-2025")</f>
        <v/>
      </c>
      <c r="V26">
        <f>HYPERLINK("https://klasma.github.io/Logging_0884/klagomål/A 37667-2025 FSC-klagomål.docx", "A 37667-2025")</f>
        <v/>
      </c>
      <c r="W26">
        <f>HYPERLINK("https://klasma.github.io/Logging_0884/klagomålsmail/A 37667-2025 FSC-klagomål mail.docx", "A 37667-2025")</f>
        <v/>
      </c>
      <c r="X26">
        <f>HYPERLINK("https://klasma.github.io/Logging_0884/tillsyn/A 37667-2025 tillsynsbegäran.docx", "A 37667-2025")</f>
        <v/>
      </c>
      <c r="Y26">
        <f>HYPERLINK("https://klasma.github.io/Logging_0884/tillsynsmail/A 37667-2025 tillsynsbegäran mail.docx", "A 37667-2025")</f>
        <v/>
      </c>
    </row>
    <row r="27" ht="15" customHeight="1">
      <c r="A27" t="inlineStr">
        <is>
          <t>A 22825-2023</t>
        </is>
      </c>
      <c r="B27" s="1" t="n">
        <v>45072</v>
      </c>
      <c r="C27" s="1" t="n">
        <v>45915</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45915</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45915</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45915</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45915</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45915</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15122-2024</t>
        </is>
      </c>
      <c r="B33" s="1" t="n">
        <v>45399.71412037037</v>
      </c>
      <c r="C33" s="1" t="n">
        <v>45915</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45915</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28852-2023</t>
        </is>
      </c>
      <c r="B35" s="1" t="n">
        <v>45104</v>
      </c>
      <c r="C35" s="1" t="n">
        <v>45915</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45915</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1201-2025</t>
        </is>
      </c>
      <c r="B37" s="1" t="n">
        <v>45667</v>
      </c>
      <c r="C37" s="1" t="n">
        <v>45915</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45915</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45915</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45915</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45915</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6841-2021</t>
        </is>
      </c>
      <c r="B42" s="1" t="n">
        <v>44236</v>
      </c>
      <c r="C42" s="1" t="n">
        <v>45915</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9067-2025</t>
        </is>
      </c>
      <c r="B43" s="1" t="n">
        <v>45713</v>
      </c>
      <c r="C43" s="1" t="n">
        <v>45915</v>
      </c>
      <c r="D43" t="inlineStr">
        <is>
          <t>KALMAR LÄN</t>
        </is>
      </c>
      <c r="E43" t="inlineStr">
        <is>
          <t>VIMMERBY</t>
        </is>
      </c>
      <c r="G43" t="n">
        <v>3.9</v>
      </c>
      <c r="H43" t="n">
        <v>0</v>
      </c>
      <c r="I43" t="n">
        <v>1</v>
      </c>
      <c r="J43" t="n">
        <v>0</v>
      </c>
      <c r="K43" t="n">
        <v>0</v>
      </c>
      <c r="L43" t="n">
        <v>0</v>
      </c>
      <c r="M43" t="n">
        <v>0</v>
      </c>
      <c r="N43" t="n">
        <v>0</v>
      </c>
      <c r="O43" t="n">
        <v>0</v>
      </c>
      <c r="P43" t="n">
        <v>0</v>
      </c>
      <c r="Q43" t="n">
        <v>1</v>
      </c>
      <c r="R43" s="2" t="inlineStr">
        <is>
          <t>Ögonpyrola</t>
        </is>
      </c>
      <c r="S43">
        <f>HYPERLINK("https://klasma.github.io/Logging_0884/artfynd/A 9067-2025 artfynd.xlsx", "A 9067-2025")</f>
        <v/>
      </c>
      <c r="T43">
        <f>HYPERLINK("https://klasma.github.io/Logging_0884/kartor/A 9067-2025 karta.png", "A 9067-2025")</f>
        <v/>
      </c>
      <c r="V43">
        <f>HYPERLINK("https://klasma.github.io/Logging_0884/klagomål/A 9067-2025 FSC-klagomål.docx", "A 9067-2025")</f>
        <v/>
      </c>
      <c r="W43">
        <f>HYPERLINK("https://klasma.github.io/Logging_0884/klagomålsmail/A 9067-2025 FSC-klagomål mail.docx", "A 9067-2025")</f>
        <v/>
      </c>
      <c r="X43">
        <f>HYPERLINK("https://klasma.github.io/Logging_0884/tillsyn/A 9067-2025 tillsynsbegäran.docx", "A 9067-2025")</f>
        <v/>
      </c>
      <c r="Y43">
        <f>HYPERLINK("https://klasma.github.io/Logging_0884/tillsynsmail/A 9067-2025 tillsynsbegäran mail.docx", "A 9067-2025")</f>
        <v/>
      </c>
    </row>
    <row r="44" ht="15" customHeight="1">
      <c r="A44" t="inlineStr">
        <is>
          <t>A 38602-2025</t>
        </is>
      </c>
      <c r="B44" s="1" t="n">
        <v>45884.50331018519</v>
      </c>
      <c r="C44" s="1" t="n">
        <v>45915</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38602-2025 artfynd.xlsx", "A 38602-2025")</f>
        <v/>
      </c>
      <c r="T44">
        <f>HYPERLINK("https://klasma.github.io/Logging_0884/kartor/A 38602-2025 karta.png", "A 38602-2025")</f>
        <v/>
      </c>
      <c r="U44">
        <f>HYPERLINK("https://klasma.github.io/Logging_0884/knärot/A 38602-2025 karta knärot.png", "A 38602-2025")</f>
        <v/>
      </c>
      <c r="V44">
        <f>HYPERLINK("https://klasma.github.io/Logging_0884/klagomål/A 38602-2025 FSC-klagomål.docx", "A 38602-2025")</f>
        <v/>
      </c>
      <c r="W44">
        <f>HYPERLINK("https://klasma.github.io/Logging_0884/klagomålsmail/A 38602-2025 FSC-klagomål mail.docx", "A 38602-2025")</f>
        <v/>
      </c>
      <c r="X44">
        <f>HYPERLINK("https://klasma.github.io/Logging_0884/tillsyn/A 38602-2025 tillsynsbegäran.docx", "A 38602-2025")</f>
        <v/>
      </c>
      <c r="Y44">
        <f>HYPERLINK("https://klasma.github.io/Logging_0884/tillsynsmail/A 38602-2025 tillsynsbegäran mail.docx", "A 38602-2025")</f>
        <v/>
      </c>
    </row>
    <row r="45" ht="15" customHeight="1">
      <c r="A45" t="inlineStr">
        <is>
          <t>A 23602-2023</t>
        </is>
      </c>
      <c r="B45" s="1" t="n">
        <v>45077</v>
      </c>
      <c r="C45" s="1" t="n">
        <v>45915</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52301-2023</t>
        </is>
      </c>
      <c r="B46" s="1" t="n">
        <v>45224</v>
      </c>
      <c r="C46" s="1" t="n">
        <v>45915</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33436-2021</t>
        </is>
      </c>
      <c r="B47" s="1" t="n">
        <v>44377.61104166666</v>
      </c>
      <c r="C47" s="1" t="n">
        <v>45915</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49059-2020</t>
        </is>
      </c>
      <c r="B48" s="1" t="n">
        <v>44102</v>
      </c>
      <c r="C48" s="1" t="n">
        <v>45915</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45915</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45915</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45915</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45915</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45915</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45915</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45915</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45915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45915</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45915</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45915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45915</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45915</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45915</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45915</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45915</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45915</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45915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45915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45915</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45915</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45915</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45915</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45915</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45915</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45915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45915</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45915</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45915</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45915</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45915</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45915</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45915</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45915</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45915</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45915</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45915</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45915</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45915</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45915</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45915</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45915</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45915</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45915</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45915</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45915</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45915</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45915</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45915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45915</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45915</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45915</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45915</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45915</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45915</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45915</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45915</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45915</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45915</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45915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45915</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45915</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45915</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45915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45915</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45915</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45915</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60810-2020</t>
        </is>
      </c>
      <c r="B123" s="1" t="n">
        <v>44154</v>
      </c>
      <c r="C123" s="1" t="n">
        <v>45915</v>
      </c>
      <c r="D123" t="inlineStr">
        <is>
          <t>KALMAR LÄN</t>
        </is>
      </c>
      <c r="E123" t="inlineStr">
        <is>
          <t>VIMMERBY</t>
        </is>
      </c>
      <c r="G123" t="n">
        <v>0.8</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45915</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45915</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45915</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45915</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45915</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45915</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45915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45915</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45915</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45915</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45915</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45915</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45915</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45915</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24738-2021</t>
        </is>
      </c>
      <c r="B138" s="1" t="n">
        <v>44340.58002314815</v>
      </c>
      <c r="C138" s="1" t="n">
        <v>45915</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13180-2022</t>
        </is>
      </c>
      <c r="B139" s="1" t="n">
        <v>44644</v>
      </c>
      <c r="C139" s="1" t="n">
        <v>45915</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45915</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46461-2020</t>
        </is>
      </c>
      <c r="B141" s="1" t="n">
        <v>44092</v>
      </c>
      <c r="C141" s="1" t="n">
        <v>45915</v>
      </c>
      <c r="D141" t="inlineStr">
        <is>
          <t>KALMAR LÄN</t>
        </is>
      </c>
      <c r="E141" t="inlineStr">
        <is>
          <t>VIMMERBY</t>
        </is>
      </c>
      <c r="G141" t="n">
        <v>2.4</v>
      </c>
      <c r="H141" t="n">
        <v>0</v>
      </c>
      <c r="I141" t="n">
        <v>0</v>
      </c>
      <c r="J141" t="n">
        <v>0</v>
      </c>
      <c r="K141" t="n">
        <v>0</v>
      </c>
      <c r="L141" t="n">
        <v>0</v>
      </c>
      <c r="M141" t="n">
        <v>0</v>
      </c>
      <c r="N141" t="n">
        <v>0</v>
      </c>
      <c r="O141" t="n">
        <v>0</v>
      </c>
      <c r="P141" t="n">
        <v>0</v>
      </c>
      <c r="Q141" t="n">
        <v>0</v>
      </c>
      <c r="R141" s="2" t="inlineStr"/>
    </row>
    <row r="142" ht="15" customHeight="1">
      <c r="A142" t="inlineStr">
        <is>
          <t>A 8454-2022</t>
        </is>
      </c>
      <c r="B142" s="1" t="n">
        <v>44612.86762731482</v>
      </c>
      <c r="C142" s="1" t="n">
        <v>45915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45915</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45915</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65887-2021</t>
        </is>
      </c>
      <c r="B145" s="1" t="n">
        <v>44517</v>
      </c>
      <c r="C145" s="1" t="n">
        <v>45915</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47769-2022</t>
        </is>
      </c>
      <c r="B146" s="1" t="n">
        <v>44854</v>
      </c>
      <c r="C146" s="1" t="n">
        <v>45915</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39959-2022</t>
        </is>
      </c>
      <c r="B147" s="1" t="n">
        <v>44819</v>
      </c>
      <c r="C147" s="1" t="n">
        <v>45915</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45915</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57948-2020</t>
        </is>
      </c>
      <c r="B149" s="1" t="n">
        <v>44142</v>
      </c>
      <c r="C149" s="1" t="n">
        <v>45915</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45915</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45915</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45915</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47473-2021</t>
        </is>
      </c>
      <c r="B153" s="1" t="n">
        <v>44447</v>
      </c>
      <c r="C153" s="1" t="n">
        <v>45915</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45915</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65564-2020</t>
        </is>
      </c>
      <c r="B155" s="1" t="n">
        <v>44172</v>
      </c>
      <c r="C155" s="1" t="n">
        <v>45915</v>
      </c>
      <c r="D155" t="inlineStr">
        <is>
          <t>KALMAR LÄN</t>
        </is>
      </c>
      <c r="E155" t="inlineStr">
        <is>
          <t>VIMMERBY</t>
        </is>
      </c>
      <c r="G155" t="n">
        <v>4.1</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45915</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45915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7917-2022</t>
        </is>
      </c>
      <c r="B158" s="1" t="n">
        <v>44608</v>
      </c>
      <c r="C158" s="1" t="n">
        <v>45915</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47208-2021</t>
        </is>
      </c>
      <c r="B159" s="1" t="n">
        <v>44447.34237268518</v>
      </c>
      <c r="C159" s="1" t="n">
        <v>45915</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45915</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16705-2021</t>
        </is>
      </c>
      <c r="B161" s="1" t="n">
        <v>44294</v>
      </c>
      <c r="C161" s="1" t="n">
        <v>45915</v>
      </c>
      <c r="D161" t="inlineStr">
        <is>
          <t>KALMAR LÄN</t>
        </is>
      </c>
      <c r="E161" t="inlineStr">
        <is>
          <t>VIMMERBY</t>
        </is>
      </c>
      <c r="G161" t="n">
        <v>2.6</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45915</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25738-2022</t>
        </is>
      </c>
      <c r="B163" s="1" t="n">
        <v>44733.43092592592</v>
      </c>
      <c r="C163" s="1" t="n">
        <v>45915</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33831-2022</t>
        </is>
      </c>
      <c r="B164" s="1" t="n">
        <v>44790.48503472222</v>
      </c>
      <c r="C164" s="1" t="n">
        <v>45915</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51977-2020</t>
        </is>
      </c>
      <c r="B165" s="1" t="n">
        <v>44116</v>
      </c>
      <c r="C165" s="1" t="n">
        <v>45915</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47708-2022</t>
        </is>
      </c>
      <c r="B166" s="1" t="n">
        <v>44854.59157407407</v>
      </c>
      <c r="C166" s="1" t="n">
        <v>45915</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45915</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45915</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45915</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9918-2022</t>
        </is>
      </c>
      <c r="B170" s="1" t="n">
        <v>44620</v>
      </c>
      <c r="C170" s="1" t="n">
        <v>45915</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45915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56389-2021</t>
        </is>
      </c>
      <c r="B172" s="1" t="n">
        <v>44480</v>
      </c>
      <c r="C172" s="1" t="n">
        <v>45915</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45915</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45050-2020</t>
        </is>
      </c>
      <c r="B174" s="1" t="n">
        <v>44088</v>
      </c>
      <c r="C174" s="1" t="n">
        <v>45915</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45054-2020</t>
        </is>
      </c>
      <c r="B175" s="1" t="n">
        <v>44088</v>
      </c>
      <c r="C175" s="1" t="n">
        <v>45915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45915</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68744-2020</t>
        </is>
      </c>
      <c r="B177" s="1" t="n">
        <v>44186</v>
      </c>
      <c r="C177" s="1" t="n">
        <v>45915</v>
      </c>
      <c r="D177" t="inlineStr">
        <is>
          <t>KALMAR LÄN</t>
        </is>
      </c>
      <c r="E177" t="inlineStr">
        <is>
          <t>VIMMERBY</t>
        </is>
      </c>
      <c r="G177" t="n">
        <v>2.5</v>
      </c>
      <c r="H177" t="n">
        <v>0</v>
      </c>
      <c r="I177" t="n">
        <v>0</v>
      </c>
      <c r="J177" t="n">
        <v>0</v>
      </c>
      <c r="K177" t="n">
        <v>0</v>
      </c>
      <c r="L177" t="n">
        <v>0</v>
      </c>
      <c r="M177" t="n">
        <v>0</v>
      </c>
      <c r="N177" t="n">
        <v>0</v>
      </c>
      <c r="O177" t="n">
        <v>0</v>
      </c>
      <c r="P177" t="n">
        <v>0</v>
      </c>
      <c r="Q177" t="n">
        <v>0</v>
      </c>
      <c r="R177" s="2" t="inlineStr"/>
    </row>
    <row r="178" ht="15" customHeight="1">
      <c r="A178" t="inlineStr">
        <is>
          <t>A 45528-2020</t>
        </is>
      </c>
      <c r="B178" s="1" t="n">
        <v>44089.78633101852</v>
      </c>
      <c r="C178" s="1" t="n">
        <v>45915</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13457-2021</t>
        </is>
      </c>
      <c r="B179" s="1" t="n">
        <v>44273</v>
      </c>
      <c r="C179" s="1" t="n">
        <v>45915</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618-2021</t>
        </is>
      </c>
      <c r="B180" s="1" t="n">
        <v>44203</v>
      </c>
      <c r="C180" s="1" t="n">
        <v>45915</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14278-2021</t>
        </is>
      </c>
      <c r="B181" s="1" t="n">
        <v>44278.63479166666</v>
      </c>
      <c r="C181" s="1" t="n">
        <v>45915</v>
      </c>
      <c r="D181" t="inlineStr">
        <is>
          <t>KALMAR LÄN</t>
        </is>
      </c>
      <c r="E181" t="inlineStr">
        <is>
          <t>VIMMERBY</t>
        </is>
      </c>
      <c r="F181" t="inlineStr">
        <is>
          <t>Övriga statliga verk och myndigheter</t>
        </is>
      </c>
      <c r="G181" t="n">
        <v>0.8</v>
      </c>
      <c r="H181" t="n">
        <v>0</v>
      </c>
      <c r="I181" t="n">
        <v>0</v>
      </c>
      <c r="J181" t="n">
        <v>0</v>
      </c>
      <c r="K181" t="n">
        <v>0</v>
      </c>
      <c r="L181" t="n">
        <v>0</v>
      </c>
      <c r="M181" t="n">
        <v>0</v>
      </c>
      <c r="N181" t="n">
        <v>0</v>
      </c>
      <c r="O181" t="n">
        <v>0</v>
      </c>
      <c r="P181" t="n">
        <v>0</v>
      </c>
      <c r="Q181" t="n">
        <v>0</v>
      </c>
      <c r="R181" s="2" t="inlineStr"/>
    </row>
    <row r="182" ht="15" customHeight="1">
      <c r="A182" t="inlineStr">
        <is>
          <t>A 12241-2021</t>
        </is>
      </c>
      <c r="B182" s="1" t="n">
        <v>44266.7240625</v>
      </c>
      <c r="C182" s="1" t="n">
        <v>45915</v>
      </c>
      <c r="D182" t="inlineStr">
        <is>
          <t>KALMAR LÄN</t>
        </is>
      </c>
      <c r="E182" t="inlineStr">
        <is>
          <t>VIMMERBY</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67952-2021</t>
        </is>
      </c>
      <c r="B183" s="1" t="n">
        <v>44525.63913194444</v>
      </c>
      <c r="C183" s="1" t="n">
        <v>45915</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45915</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12662-2021</t>
        </is>
      </c>
      <c r="B185" s="1" t="n">
        <v>44270.49743055556</v>
      </c>
      <c r="C185" s="1" t="n">
        <v>45915</v>
      </c>
      <c r="D185" t="inlineStr">
        <is>
          <t>KALMAR LÄN</t>
        </is>
      </c>
      <c r="E185" t="inlineStr">
        <is>
          <t>VIMMERBY</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52433-2021</t>
        </is>
      </c>
      <c r="B186" s="1" t="n">
        <v>44466.34726851852</v>
      </c>
      <c r="C186" s="1" t="n">
        <v>45915</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50621-2022</t>
        </is>
      </c>
      <c r="B187" s="1" t="n">
        <v>44866.81100694444</v>
      </c>
      <c r="C187" s="1" t="n">
        <v>45915</v>
      </c>
      <c r="D187" t="inlineStr">
        <is>
          <t>KALMAR LÄN</t>
        </is>
      </c>
      <c r="E187" t="inlineStr">
        <is>
          <t>VIMMERBY</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14521-2021</t>
        </is>
      </c>
      <c r="B188" s="1" t="n">
        <v>44279.64934027778</v>
      </c>
      <c r="C188" s="1" t="n">
        <v>45915</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15533-2022</t>
        </is>
      </c>
      <c r="B189" s="1" t="n">
        <v>44662</v>
      </c>
      <c r="C189" s="1" t="n">
        <v>45915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46527-2020</t>
        </is>
      </c>
      <c r="B190" s="1" t="n">
        <v>44095</v>
      </c>
      <c r="C190" s="1" t="n">
        <v>45915</v>
      </c>
      <c r="D190" t="inlineStr">
        <is>
          <t>KALMAR LÄN</t>
        </is>
      </c>
      <c r="E190" t="inlineStr">
        <is>
          <t>VIMMERBY</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45915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45915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45915</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23825-2022</t>
        </is>
      </c>
      <c r="B194" s="1" t="n">
        <v>44722.48768518519</v>
      </c>
      <c r="C194" s="1" t="n">
        <v>45915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165-2022</t>
        </is>
      </c>
      <c r="B195" s="1" t="n">
        <v>44564</v>
      </c>
      <c r="C195" s="1" t="n">
        <v>45915</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45915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45915</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34040-2021</t>
        </is>
      </c>
      <c r="B198" s="1" t="n">
        <v>44379</v>
      </c>
      <c r="C198" s="1" t="n">
        <v>45915</v>
      </c>
      <c r="D198" t="inlineStr">
        <is>
          <t>KALMAR LÄN</t>
        </is>
      </c>
      <c r="E198" t="inlineStr">
        <is>
          <t>VIMMERBY</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45915</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45915</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45915</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45915</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3330-2021</t>
        </is>
      </c>
      <c r="B203" s="1" t="n">
        <v>44217.79856481482</v>
      </c>
      <c r="C203" s="1" t="n">
        <v>45915</v>
      </c>
      <c r="D203" t="inlineStr">
        <is>
          <t>KALMAR LÄN</t>
        </is>
      </c>
      <c r="E203" t="inlineStr">
        <is>
          <t>VIMMERBY</t>
        </is>
      </c>
      <c r="G203" t="n">
        <v>11.1</v>
      </c>
      <c r="H203" t="n">
        <v>0</v>
      </c>
      <c r="I203" t="n">
        <v>0</v>
      </c>
      <c r="J203" t="n">
        <v>0</v>
      </c>
      <c r="K203" t="n">
        <v>0</v>
      </c>
      <c r="L203" t="n">
        <v>0</v>
      </c>
      <c r="M203" t="n">
        <v>0</v>
      </c>
      <c r="N203" t="n">
        <v>0</v>
      </c>
      <c r="O203" t="n">
        <v>0</v>
      </c>
      <c r="P203" t="n">
        <v>0</v>
      </c>
      <c r="Q203" t="n">
        <v>0</v>
      </c>
      <c r="R203" s="2" t="inlineStr"/>
    </row>
    <row r="204" ht="15" customHeight="1">
      <c r="A204" t="inlineStr">
        <is>
          <t>A 25728-2023</t>
        </is>
      </c>
      <c r="B204" s="1" t="n">
        <v>45090.38012731481</v>
      </c>
      <c r="C204" s="1" t="n">
        <v>45915</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45915</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29093-2023</t>
        </is>
      </c>
      <c r="B206" s="1" t="n">
        <v>45105</v>
      </c>
      <c r="C206" s="1" t="n">
        <v>45915</v>
      </c>
      <c r="D206" t="inlineStr">
        <is>
          <t>KALMAR LÄN</t>
        </is>
      </c>
      <c r="E206" t="inlineStr">
        <is>
          <t>VIMMERBY</t>
        </is>
      </c>
      <c r="G206" t="n">
        <v>2.9</v>
      </c>
      <c r="H206" t="n">
        <v>0</v>
      </c>
      <c r="I206" t="n">
        <v>0</v>
      </c>
      <c r="J206" t="n">
        <v>0</v>
      </c>
      <c r="K206" t="n">
        <v>0</v>
      </c>
      <c r="L206" t="n">
        <v>0</v>
      </c>
      <c r="M206" t="n">
        <v>0</v>
      </c>
      <c r="N206" t="n">
        <v>0</v>
      </c>
      <c r="O206" t="n">
        <v>0</v>
      </c>
      <c r="P206" t="n">
        <v>0</v>
      </c>
      <c r="Q206" t="n">
        <v>0</v>
      </c>
      <c r="R206" s="2" t="inlineStr"/>
    </row>
    <row r="207" ht="15" customHeight="1">
      <c r="A207" t="inlineStr">
        <is>
          <t>A 14220-2021</t>
        </is>
      </c>
      <c r="B207" s="1" t="n">
        <v>44278.54855324074</v>
      </c>
      <c r="C207" s="1" t="n">
        <v>45915</v>
      </c>
      <c r="D207" t="inlineStr">
        <is>
          <t>KALMAR LÄN</t>
        </is>
      </c>
      <c r="E207" t="inlineStr">
        <is>
          <t>VIMMERBY</t>
        </is>
      </c>
      <c r="G207" t="n">
        <v>0.3</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45915</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45915</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45915</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39225-2022</t>
        </is>
      </c>
      <c r="B211" s="1" t="n">
        <v>44817.57988425926</v>
      </c>
      <c r="C211" s="1" t="n">
        <v>45915</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33681-2022</t>
        </is>
      </c>
      <c r="B212" s="1" t="n">
        <v>44789</v>
      </c>
      <c r="C212" s="1" t="n">
        <v>45915</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16602-2021</t>
        </is>
      </c>
      <c r="B213" s="1" t="n">
        <v>44294</v>
      </c>
      <c r="C213" s="1" t="n">
        <v>45915</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16607-2021</t>
        </is>
      </c>
      <c r="B214" s="1" t="n">
        <v>44294</v>
      </c>
      <c r="C214" s="1" t="n">
        <v>45915</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17029-2022</t>
        </is>
      </c>
      <c r="B215" s="1" t="n">
        <v>44676.85248842592</v>
      </c>
      <c r="C215" s="1" t="n">
        <v>45915</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16825-2024</t>
        </is>
      </c>
      <c r="B216" s="1" t="n">
        <v>45411.47335648148</v>
      </c>
      <c r="C216" s="1" t="n">
        <v>45915</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7167-2022</t>
        </is>
      </c>
      <c r="B217" s="1" t="n">
        <v>44604</v>
      </c>
      <c r="C217" s="1" t="n">
        <v>45915</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45915</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6214-2025</t>
        </is>
      </c>
      <c r="B219" s="1" t="n">
        <v>45698.51711805556</v>
      </c>
      <c r="C219" s="1" t="n">
        <v>45915</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49408-2023</t>
        </is>
      </c>
      <c r="B220" s="1" t="n">
        <v>45211.43555555555</v>
      </c>
      <c r="C220" s="1" t="n">
        <v>45915</v>
      </c>
      <c r="D220" t="inlineStr">
        <is>
          <t>KALMAR LÄN</t>
        </is>
      </c>
      <c r="E220" t="inlineStr">
        <is>
          <t>VIMMERBY</t>
        </is>
      </c>
      <c r="G220" t="n">
        <v>13.1</v>
      </c>
      <c r="H220" t="n">
        <v>0</v>
      </c>
      <c r="I220" t="n">
        <v>0</v>
      </c>
      <c r="J220" t="n">
        <v>0</v>
      </c>
      <c r="K220" t="n">
        <v>0</v>
      </c>
      <c r="L220" t="n">
        <v>0</v>
      </c>
      <c r="M220" t="n">
        <v>0</v>
      </c>
      <c r="N220" t="n">
        <v>0</v>
      </c>
      <c r="O220" t="n">
        <v>0</v>
      </c>
      <c r="P220" t="n">
        <v>0</v>
      </c>
      <c r="Q220" t="n">
        <v>0</v>
      </c>
      <c r="R220" s="2" t="inlineStr"/>
    </row>
    <row r="221" ht="15" customHeight="1">
      <c r="A221" t="inlineStr">
        <is>
          <t>A 18356-2021</t>
        </is>
      </c>
      <c r="B221" s="1" t="n">
        <v>44305</v>
      </c>
      <c r="C221" s="1" t="n">
        <v>45915</v>
      </c>
      <c r="D221" t="inlineStr">
        <is>
          <t>KALMAR LÄN</t>
        </is>
      </c>
      <c r="E221" t="inlineStr">
        <is>
          <t>VIMMERBY</t>
        </is>
      </c>
      <c r="G221" t="n">
        <v>3.4</v>
      </c>
      <c r="H221" t="n">
        <v>0</v>
      </c>
      <c r="I221" t="n">
        <v>0</v>
      </c>
      <c r="J221" t="n">
        <v>0</v>
      </c>
      <c r="K221" t="n">
        <v>0</v>
      </c>
      <c r="L221" t="n">
        <v>0</v>
      </c>
      <c r="M221" t="n">
        <v>0</v>
      </c>
      <c r="N221" t="n">
        <v>0</v>
      </c>
      <c r="O221" t="n">
        <v>0</v>
      </c>
      <c r="P221" t="n">
        <v>0</v>
      </c>
      <c r="Q221" t="n">
        <v>0</v>
      </c>
      <c r="R221" s="2" t="inlineStr"/>
    </row>
    <row r="222" ht="15" customHeight="1">
      <c r="A222" t="inlineStr">
        <is>
          <t>A 27443-2023</t>
        </is>
      </c>
      <c r="B222" s="1" t="n">
        <v>45097.40524305555</v>
      </c>
      <c r="C222" s="1" t="n">
        <v>45915</v>
      </c>
      <c r="D222" t="inlineStr">
        <is>
          <t>KALMAR LÄN</t>
        </is>
      </c>
      <c r="E222" t="inlineStr">
        <is>
          <t>VIMMERBY</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28395-2023</t>
        </is>
      </c>
      <c r="B223" s="1" t="n">
        <v>45100.4062962963</v>
      </c>
      <c r="C223" s="1" t="n">
        <v>45915</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18501-2024</t>
        </is>
      </c>
      <c r="B224" s="1" t="n">
        <v>45425.57538194444</v>
      </c>
      <c r="C224" s="1" t="n">
        <v>45915</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46078-2023</t>
        </is>
      </c>
      <c r="B225" s="1" t="n">
        <v>45196</v>
      </c>
      <c r="C225" s="1" t="n">
        <v>45915</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7643-2022</t>
        </is>
      </c>
      <c r="B226" s="1" t="n">
        <v>44607</v>
      </c>
      <c r="C226" s="1" t="n">
        <v>45915</v>
      </c>
      <c r="D226" t="inlineStr">
        <is>
          <t>KALMAR LÄN</t>
        </is>
      </c>
      <c r="E226" t="inlineStr">
        <is>
          <t>VIMMERBY</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3494-2023</t>
        </is>
      </c>
      <c r="B227" s="1" t="n">
        <v>44949</v>
      </c>
      <c r="C227" s="1" t="n">
        <v>45915</v>
      </c>
      <c r="D227" t="inlineStr">
        <is>
          <t>KALMAR LÄN</t>
        </is>
      </c>
      <c r="E227" t="inlineStr">
        <is>
          <t>VIMMERBY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32633-2023</t>
        </is>
      </c>
      <c r="B228" s="1" t="n">
        <v>45121.58699074074</v>
      </c>
      <c r="C228" s="1" t="n">
        <v>45915</v>
      </c>
      <c r="D228" t="inlineStr">
        <is>
          <t>KALMAR LÄN</t>
        </is>
      </c>
      <c r="E228" t="inlineStr">
        <is>
          <t>VIMMERBY</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43601-2024</t>
        </is>
      </c>
      <c r="B229" s="1" t="n">
        <v>45569.44684027778</v>
      </c>
      <c r="C229" s="1" t="n">
        <v>45915</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25799-2023</t>
        </is>
      </c>
      <c r="B230" s="1" t="n">
        <v>45090</v>
      </c>
      <c r="C230" s="1" t="n">
        <v>45915</v>
      </c>
      <c r="D230" t="inlineStr">
        <is>
          <t>KALMAR LÄN</t>
        </is>
      </c>
      <c r="E230" t="inlineStr">
        <is>
          <t>VIMMERBY</t>
        </is>
      </c>
      <c r="G230" t="n">
        <v>7.7</v>
      </c>
      <c r="H230" t="n">
        <v>0</v>
      </c>
      <c r="I230" t="n">
        <v>0</v>
      </c>
      <c r="J230" t="n">
        <v>0</v>
      </c>
      <c r="K230" t="n">
        <v>0</v>
      </c>
      <c r="L230" t="n">
        <v>0</v>
      </c>
      <c r="M230" t="n">
        <v>0</v>
      </c>
      <c r="N230" t="n">
        <v>0</v>
      </c>
      <c r="O230" t="n">
        <v>0</v>
      </c>
      <c r="P230" t="n">
        <v>0</v>
      </c>
      <c r="Q230" t="n">
        <v>0</v>
      </c>
      <c r="R230" s="2" t="inlineStr"/>
    </row>
    <row r="231" ht="15" customHeight="1">
      <c r="A231" t="inlineStr">
        <is>
          <t>A 16015-2025</t>
        </is>
      </c>
      <c r="B231" s="1" t="n">
        <v>45749.60487268519</v>
      </c>
      <c r="C231" s="1" t="n">
        <v>45915</v>
      </c>
      <c r="D231" t="inlineStr">
        <is>
          <t>KALMAR LÄN</t>
        </is>
      </c>
      <c r="E231" t="inlineStr">
        <is>
          <t>VIMMERBY</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55716-2023</t>
        </is>
      </c>
      <c r="B232" s="1" t="n">
        <v>45232</v>
      </c>
      <c r="C232" s="1" t="n">
        <v>45915</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57256-2023</t>
        </is>
      </c>
      <c r="B233" s="1" t="n">
        <v>45245.5735300926</v>
      </c>
      <c r="C233" s="1" t="n">
        <v>45915</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34386-2024</t>
        </is>
      </c>
      <c r="B234" s="1" t="n">
        <v>45525.41762731481</v>
      </c>
      <c r="C234" s="1" t="n">
        <v>45915</v>
      </c>
      <c r="D234" t="inlineStr">
        <is>
          <t>KALMAR LÄN</t>
        </is>
      </c>
      <c r="E234" t="inlineStr">
        <is>
          <t>VIMMERBY</t>
        </is>
      </c>
      <c r="G234" t="n">
        <v>0.3</v>
      </c>
      <c r="H234" t="n">
        <v>0</v>
      </c>
      <c r="I234" t="n">
        <v>0</v>
      </c>
      <c r="J234" t="n">
        <v>0</v>
      </c>
      <c r="K234" t="n">
        <v>0</v>
      </c>
      <c r="L234" t="n">
        <v>0</v>
      </c>
      <c r="M234" t="n">
        <v>0</v>
      </c>
      <c r="N234" t="n">
        <v>0</v>
      </c>
      <c r="O234" t="n">
        <v>0</v>
      </c>
      <c r="P234" t="n">
        <v>0</v>
      </c>
      <c r="Q234" t="n">
        <v>0</v>
      </c>
      <c r="R234" s="2" t="inlineStr"/>
    </row>
    <row r="235" ht="15" customHeight="1">
      <c r="A235" t="inlineStr">
        <is>
          <t>A 13813-2024</t>
        </is>
      </c>
      <c r="B235" s="1" t="n">
        <v>45391.41310185185</v>
      </c>
      <c r="C235" s="1" t="n">
        <v>45915</v>
      </c>
      <c r="D235" t="inlineStr">
        <is>
          <t>KALMAR LÄN</t>
        </is>
      </c>
      <c r="E235" t="inlineStr">
        <is>
          <t>VIMMERBY</t>
        </is>
      </c>
      <c r="G235" t="n">
        <v>0.4</v>
      </c>
      <c r="H235" t="n">
        <v>0</v>
      </c>
      <c r="I235" t="n">
        <v>0</v>
      </c>
      <c r="J235" t="n">
        <v>0</v>
      </c>
      <c r="K235" t="n">
        <v>0</v>
      </c>
      <c r="L235" t="n">
        <v>0</v>
      </c>
      <c r="M235" t="n">
        <v>0</v>
      </c>
      <c r="N235" t="n">
        <v>0</v>
      </c>
      <c r="O235" t="n">
        <v>0</v>
      </c>
      <c r="P235" t="n">
        <v>0</v>
      </c>
      <c r="Q235" t="n">
        <v>0</v>
      </c>
      <c r="R235" s="2" t="inlineStr"/>
    </row>
    <row r="236" ht="15" customHeight="1">
      <c r="A236" t="inlineStr">
        <is>
          <t>A 23088-2024</t>
        </is>
      </c>
      <c r="B236" s="1" t="n">
        <v>45450.51092592593</v>
      </c>
      <c r="C236" s="1" t="n">
        <v>45915</v>
      </c>
      <c r="D236" t="inlineStr">
        <is>
          <t>KALMAR LÄN</t>
        </is>
      </c>
      <c r="E236" t="inlineStr">
        <is>
          <t>VIMMERBY</t>
        </is>
      </c>
      <c r="G236" t="n">
        <v>1.9</v>
      </c>
      <c r="H236" t="n">
        <v>0</v>
      </c>
      <c r="I236" t="n">
        <v>0</v>
      </c>
      <c r="J236" t="n">
        <v>0</v>
      </c>
      <c r="K236" t="n">
        <v>0</v>
      </c>
      <c r="L236" t="n">
        <v>0</v>
      </c>
      <c r="M236" t="n">
        <v>0</v>
      </c>
      <c r="N236" t="n">
        <v>0</v>
      </c>
      <c r="O236" t="n">
        <v>0</v>
      </c>
      <c r="P236" t="n">
        <v>0</v>
      </c>
      <c r="Q236" t="n">
        <v>0</v>
      </c>
      <c r="R236" s="2" t="inlineStr"/>
    </row>
    <row r="237" ht="15" customHeight="1">
      <c r="A237" t="inlineStr">
        <is>
          <t>A 25234-2023</t>
        </is>
      </c>
      <c r="B237" s="1" t="n">
        <v>45086.63194444445</v>
      </c>
      <c r="C237" s="1" t="n">
        <v>45915</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25236-2023</t>
        </is>
      </c>
      <c r="B238" s="1" t="n">
        <v>45086.63334490741</v>
      </c>
      <c r="C238" s="1" t="n">
        <v>45915</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42429-2024</t>
        </is>
      </c>
      <c r="B239" s="1" t="n">
        <v>45565.40657407408</v>
      </c>
      <c r="C239" s="1" t="n">
        <v>45915</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25244-2023</t>
        </is>
      </c>
      <c r="B240" s="1" t="n">
        <v>45086</v>
      </c>
      <c r="C240" s="1" t="n">
        <v>45915</v>
      </c>
      <c r="D240" t="inlineStr">
        <is>
          <t>KALMAR LÄN</t>
        </is>
      </c>
      <c r="E240" t="inlineStr">
        <is>
          <t>VIMMERBY</t>
        </is>
      </c>
      <c r="G240" t="n">
        <v>4.7</v>
      </c>
      <c r="H240" t="n">
        <v>0</v>
      </c>
      <c r="I240" t="n">
        <v>0</v>
      </c>
      <c r="J240" t="n">
        <v>0</v>
      </c>
      <c r="K240" t="n">
        <v>0</v>
      </c>
      <c r="L240" t="n">
        <v>0</v>
      </c>
      <c r="M240" t="n">
        <v>0</v>
      </c>
      <c r="N240" t="n">
        <v>0</v>
      </c>
      <c r="O240" t="n">
        <v>0</v>
      </c>
      <c r="P240" t="n">
        <v>0</v>
      </c>
      <c r="Q240" t="n">
        <v>0</v>
      </c>
      <c r="R240" s="2" t="inlineStr"/>
    </row>
    <row r="241" ht="15" customHeight="1">
      <c r="A241" t="inlineStr">
        <is>
          <t>A 11946-2025</t>
        </is>
      </c>
      <c r="B241" s="1" t="n">
        <v>45728.54832175926</v>
      </c>
      <c r="C241" s="1" t="n">
        <v>45915</v>
      </c>
      <c r="D241" t="inlineStr">
        <is>
          <t>KALMAR LÄN</t>
        </is>
      </c>
      <c r="E241" t="inlineStr">
        <is>
          <t>VIMMERBY</t>
        </is>
      </c>
      <c r="G241" t="n">
        <v>0.4</v>
      </c>
      <c r="H241" t="n">
        <v>0</v>
      </c>
      <c r="I241" t="n">
        <v>0</v>
      </c>
      <c r="J241" t="n">
        <v>0</v>
      </c>
      <c r="K241" t="n">
        <v>0</v>
      </c>
      <c r="L241" t="n">
        <v>0</v>
      </c>
      <c r="M241" t="n">
        <v>0</v>
      </c>
      <c r="N241" t="n">
        <v>0</v>
      </c>
      <c r="O241" t="n">
        <v>0</v>
      </c>
      <c r="P241" t="n">
        <v>0</v>
      </c>
      <c r="Q241" t="n">
        <v>0</v>
      </c>
      <c r="R241" s="2" t="inlineStr"/>
    </row>
    <row r="242" ht="15" customHeight="1">
      <c r="A242" t="inlineStr">
        <is>
          <t>A 59943-2023</t>
        </is>
      </c>
      <c r="B242" s="1" t="n">
        <v>45257.67958333333</v>
      </c>
      <c r="C242" s="1" t="n">
        <v>45915</v>
      </c>
      <c r="D242" t="inlineStr">
        <is>
          <t>KALMAR LÄN</t>
        </is>
      </c>
      <c r="E242" t="inlineStr">
        <is>
          <t>VIMMERBY</t>
        </is>
      </c>
      <c r="G242" t="n">
        <v>6.4</v>
      </c>
      <c r="H242" t="n">
        <v>0</v>
      </c>
      <c r="I242" t="n">
        <v>0</v>
      </c>
      <c r="J242" t="n">
        <v>0</v>
      </c>
      <c r="K242" t="n">
        <v>0</v>
      </c>
      <c r="L242" t="n">
        <v>0</v>
      </c>
      <c r="M242" t="n">
        <v>0</v>
      </c>
      <c r="N242" t="n">
        <v>0</v>
      </c>
      <c r="O242" t="n">
        <v>0</v>
      </c>
      <c r="P242" t="n">
        <v>0</v>
      </c>
      <c r="Q242" t="n">
        <v>0</v>
      </c>
      <c r="R242" s="2" t="inlineStr"/>
    </row>
    <row r="243" ht="15" customHeight="1">
      <c r="A243" t="inlineStr">
        <is>
          <t>A 15493-2023</t>
        </is>
      </c>
      <c r="B243" s="1" t="n">
        <v>45018</v>
      </c>
      <c r="C243" s="1" t="n">
        <v>45915</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51881-2024</t>
        </is>
      </c>
      <c r="B244" s="1" t="n">
        <v>45607.56773148148</v>
      </c>
      <c r="C244" s="1" t="n">
        <v>45915</v>
      </c>
      <c r="D244" t="inlineStr">
        <is>
          <t>KALMAR LÄN</t>
        </is>
      </c>
      <c r="E244" t="inlineStr">
        <is>
          <t>VIMMERBY</t>
        </is>
      </c>
      <c r="G244" t="n">
        <v>3.4</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45915</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8086-2021</t>
        </is>
      </c>
      <c r="B246" s="1" t="n">
        <v>44243</v>
      </c>
      <c r="C246" s="1" t="n">
        <v>45915</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1021-2024</t>
        </is>
      </c>
      <c r="B247" s="1" t="n">
        <v>45301.67736111111</v>
      </c>
      <c r="C247" s="1" t="n">
        <v>45915</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32569-2024</t>
        </is>
      </c>
      <c r="B248" s="1" t="n">
        <v>45513.55840277778</v>
      </c>
      <c r="C248" s="1" t="n">
        <v>45915</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32575-2024</t>
        </is>
      </c>
      <c r="B249" s="1" t="n">
        <v>45513.56527777778</v>
      </c>
      <c r="C249" s="1" t="n">
        <v>45915</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30063-2023</t>
        </is>
      </c>
      <c r="B250" s="1" t="n">
        <v>45110.4184375</v>
      </c>
      <c r="C250" s="1" t="n">
        <v>45915</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57189-2022</t>
        </is>
      </c>
      <c r="B251" s="1" t="n">
        <v>44895.62296296296</v>
      </c>
      <c r="C251" s="1" t="n">
        <v>45915</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17482-2024</t>
        </is>
      </c>
      <c r="B252" s="1" t="n">
        <v>45415.47848379629</v>
      </c>
      <c r="C252" s="1" t="n">
        <v>45915</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71793-2021</t>
        </is>
      </c>
      <c r="B253" s="1" t="n">
        <v>44539</v>
      </c>
      <c r="C253" s="1" t="n">
        <v>45915</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1987-2024</t>
        </is>
      </c>
      <c r="B254" s="1" t="n">
        <v>45308.61152777778</v>
      </c>
      <c r="C254" s="1" t="n">
        <v>45915</v>
      </c>
      <c r="D254" t="inlineStr">
        <is>
          <t>KALMAR LÄN</t>
        </is>
      </c>
      <c r="E254" t="inlineStr">
        <is>
          <t>VIMMERBY</t>
        </is>
      </c>
      <c r="G254" t="n">
        <v>3</v>
      </c>
      <c r="H254" t="n">
        <v>0</v>
      </c>
      <c r="I254" t="n">
        <v>0</v>
      </c>
      <c r="J254" t="n">
        <v>0</v>
      </c>
      <c r="K254" t="n">
        <v>0</v>
      </c>
      <c r="L254" t="n">
        <v>0</v>
      </c>
      <c r="M254" t="n">
        <v>0</v>
      </c>
      <c r="N254" t="n">
        <v>0</v>
      </c>
      <c r="O254" t="n">
        <v>0</v>
      </c>
      <c r="P254" t="n">
        <v>0</v>
      </c>
      <c r="Q254" t="n">
        <v>0</v>
      </c>
      <c r="R254" s="2" t="inlineStr"/>
    </row>
    <row r="255" ht="15" customHeight="1">
      <c r="A255" t="inlineStr">
        <is>
          <t>A 527-2024</t>
        </is>
      </c>
      <c r="B255" s="1" t="n">
        <v>45299.47513888889</v>
      </c>
      <c r="C255" s="1" t="n">
        <v>45915</v>
      </c>
      <c r="D255" t="inlineStr">
        <is>
          <t>KALMAR LÄN</t>
        </is>
      </c>
      <c r="E255" t="inlineStr">
        <is>
          <t>VIMMERBY</t>
        </is>
      </c>
      <c r="G255" t="n">
        <v>2.2</v>
      </c>
      <c r="H255" t="n">
        <v>0</v>
      </c>
      <c r="I255" t="n">
        <v>0</v>
      </c>
      <c r="J255" t="n">
        <v>0</v>
      </c>
      <c r="K255" t="n">
        <v>0</v>
      </c>
      <c r="L255" t="n">
        <v>0</v>
      </c>
      <c r="M255" t="n">
        <v>0</v>
      </c>
      <c r="N255" t="n">
        <v>0</v>
      </c>
      <c r="O255" t="n">
        <v>0</v>
      </c>
      <c r="P255" t="n">
        <v>0</v>
      </c>
      <c r="Q255" t="n">
        <v>0</v>
      </c>
      <c r="R255" s="2" t="inlineStr"/>
    </row>
    <row r="256" ht="15" customHeight="1">
      <c r="A256" t="inlineStr">
        <is>
          <t>A 13817-2024</t>
        </is>
      </c>
      <c r="B256" s="1" t="n">
        <v>45391.41976851852</v>
      </c>
      <c r="C256" s="1" t="n">
        <v>45915</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30406-2023</t>
        </is>
      </c>
      <c r="B257" s="1" t="n">
        <v>45111.48787037037</v>
      </c>
      <c r="C257" s="1" t="n">
        <v>45915</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73938-2021</t>
        </is>
      </c>
      <c r="B258" s="1" t="n">
        <v>44553</v>
      </c>
      <c r="C258" s="1" t="n">
        <v>45915</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45915</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6069-2023</t>
        </is>
      </c>
      <c r="B260" s="1" t="n">
        <v>44964.5115162037</v>
      </c>
      <c r="C260" s="1" t="n">
        <v>45915</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29020-2024</t>
        </is>
      </c>
      <c r="B261" s="1" t="n">
        <v>45481.58048611111</v>
      </c>
      <c r="C261" s="1" t="n">
        <v>45915</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50995-2022</t>
        </is>
      </c>
      <c r="B262" s="1" t="n">
        <v>44867</v>
      </c>
      <c r="C262" s="1" t="n">
        <v>45915</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45096.45247685185</v>
      </c>
      <c r="C263" s="1" t="n">
        <v>45915</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30402-2023</t>
        </is>
      </c>
      <c r="B264" s="1" t="n">
        <v>45111.48395833333</v>
      </c>
      <c r="C264" s="1" t="n">
        <v>45915</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47063-2022</t>
        </is>
      </c>
      <c r="B265" s="1" t="n">
        <v>44852</v>
      </c>
      <c r="C265" s="1" t="n">
        <v>45915</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12819-2024</t>
        </is>
      </c>
      <c r="B266" s="1" t="n">
        <v>45384.66917824074</v>
      </c>
      <c r="C266" s="1" t="n">
        <v>45915</v>
      </c>
      <c r="D266" t="inlineStr">
        <is>
          <t>KALMAR LÄN</t>
        </is>
      </c>
      <c r="E266" t="inlineStr">
        <is>
          <t>VIMMERBY</t>
        </is>
      </c>
      <c r="G266" t="n">
        <v>5.1</v>
      </c>
      <c r="H266" t="n">
        <v>0</v>
      </c>
      <c r="I266" t="n">
        <v>0</v>
      </c>
      <c r="J266" t="n">
        <v>0</v>
      </c>
      <c r="K266" t="n">
        <v>0</v>
      </c>
      <c r="L266" t="n">
        <v>0</v>
      </c>
      <c r="M266" t="n">
        <v>0</v>
      </c>
      <c r="N266" t="n">
        <v>0</v>
      </c>
      <c r="O266" t="n">
        <v>0</v>
      </c>
      <c r="P266" t="n">
        <v>0</v>
      </c>
      <c r="Q266" t="n">
        <v>0</v>
      </c>
      <c r="R266" s="2" t="inlineStr"/>
    </row>
    <row r="267" ht="15" customHeight="1">
      <c r="A267" t="inlineStr">
        <is>
          <t>A 47842-2024</t>
        </is>
      </c>
      <c r="B267" s="1" t="n">
        <v>45588.65545138889</v>
      </c>
      <c r="C267" s="1" t="n">
        <v>45915</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6857-2023</t>
        </is>
      </c>
      <c r="B268" s="1" t="n">
        <v>44967.45122685185</v>
      </c>
      <c r="C268" s="1" t="n">
        <v>45915</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22014-2025</t>
        </is>
      </c>
      <c r="B269" s="1" t="n">
        <v>45784.74996527778</v>
      </c>
      <c r="C269" s="1" t="n">
        <v>45915</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46224-2024</t>
        </is>
      </c>
      <c r="B270" s="1" t="n">
        <v>45581.57016203704</v>
      </c>
      <c r="C270" s="1" t="n">
        <v>45915</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31382-2023</t>
        </is>
      </c>
      <c r="B271" s="1" t="n">
        <v>45114.55136574074</v>
      </c>
      <c r="C271" s="1" t="n">
        <v>45915</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11073-2023</t>
        </is>
      </c>
      <c r="B272" s="1" t="n">
        <v>44992</v>
      </c>
      <c r="C272" s="1" t="n">
        <v>45915</v>
      </c>
      <c r="D272" t="inlineStr">
        <is>
          <t>KALMAR LÄN</t>
        </is>
      </c>
      <c r="E272" t="inlineStr">
        <is>
          <t>VIMMERBY</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25582-2024</t>
        </is>
      </c>
      <c r="B273" s="1" t="n">
        <v>45463</v>
      </c>
      <c r="C273" s="1" t="n">
        <v>45915</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29013-2024</t>
        </is>
      </c>
      <c r="B274" s="1" t="n">
        <v>45481.55984953704</v>
      </c>
      <c r="C274" s="1" t="n">
        <v>45915</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57578-2024</t>
        </is>
      </c>
      <c r="B275" s="1" t="n">
        <v>45630.47564814815</v>
      </c>
      <c r="C275" s="1" t="n">
        <v>45915</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59955-2023</t>
        </is>
      </c>
      <c r="B276" s="1" t="n">
        <v>45257.70313657408</v>
      </c>
      <c r="C276" s="1" t="n">
        <v>45915</v>
      </c>
      <c r="D276" t="inlineStr">
        <is>
          <t>KALMAR LÄN</t>
        </is>
      </c>
      <c r="E276" t="inlineStr">
        <is>
          <t>VIMMERBY</t>
        </is>
      </c>
      <c r="G276" t="n">
        <v>13.8</v>
      </c>
      <c r="H276" t="n">
        <v>0</v>
      </c>
      <c r="I276" t="n">
        <v>0</v>
      </c>
      <c r="J276" t="n">
        <v>0</v>
      </c>
      <c r="K276" t="n">
        <v>0</v>
      </c>
      <c r="L276" t="n">
        <v>0</v>
      </c>
      <c r="M276" t="n">
        <v>0</v>
      </c>
      <c r="N276" t="n">
        <v>0</v>
      </c>
      <c r="O276" t="n">
        <v>0</v>
      </c>
      <c r="P276" t="n">
        <v>0</v>
      </c>
      <c r="Q276" t="n">
        <v>0</v>
      </c>
      <c r="R276" s="2" t="inlineStr"/>
    </row>
    <row r="277" ht="15" customHeight="1">
      <c r="A277" t="inlineStr">
        <is>
          <t>A 37028-2024</t>
        </is>
      </c>
      <c r="B277" s="1" t="n">
        <v>45539.38744212963</v>
      </c>
      <c r="C277" s="1" t="n">
        <v>45915</v>
      </c>
      <c r="D277" t="inlineStr">
        <is>
          <t>KALMAR LÄN</t>
        </is>
      </c>
      <c r="E277" t="inlineStr">
        <is>
          <t>VIMMERBY</t>
        </is>
      </c>
      <c r="G277" t="n">
        <v>5.2</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45915</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37187-2024</t>
        </is>
      </c>
      <c r="B279" s="1" t="n">
        <v>45539.65212962963</v>
      </c>
      <c r="C279" s="1" t="n">
        <v>45915</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61820-2023</t>
        </is>
      </c>
      <c r="B280" s="1" t="n">
        <v>45266.32614583334</v>
      </c>
      <c r="C280" s="1" t="n">
        <v>45915</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3269-2024</t>
        </is>
      </c>
      <c r="B281" s="1" t="n">
        <v>45317.40372685185</v>
      </c>
      <c r="C281" s="1" t="n">
        <v>45915</v>
      </c>
      <c r="D281" t="inlineStr">
        <is>
          <t>KALMAR LÄN</t>
        </is>
      </c>
      <c r="E281" t="inlineStr">
        <is>
          <t>VIMMERBY</t>
        </is>
      </c>
      <c r="F281" t="inlineStr">
        <is>
          <t>Övriga Aktiebolag</t>
        </is>
      </c>
      <c r="G281" t="n">
        <v>1.7</v>
      </c>
      <c r="H281" t="n">
        <v>0</v>
      </c>
      <c r="I281" t="n">
        <v>0</v>
      </c>
      <c r="J281" t="n">
        <v>0</v>
      </c>
      <c r="K281" t="n">
        <v>0</v>
      </c>
      <c r="L281" t="n">
        <v>0</v>
      </c>
      <c r="M281" t="n">
        <v>0</v>
      </c>
      <c r="N281" t="n">
        <v>0</v>
      </c>
      <c r="O281" t="n">
        <v>0</v>
      </c>
      <c r="P281" t="n">
        <v>0</v>
      </c>
      <c r="Q281" t="n">
        <v>0</v>
      </c>
      <c r="R281" s="2" t="inlineStr"/>
    </row>
    <row r="282" ht="15" customHeight="1">
      <c r="A282" t="inlineStr">
        <is>
          <t>A 2157-2024</t>
        </is>
      </c>
      <c r="B282" s="1" t="n">
        <v>45309.59487268519</v>
      </c>
      <c r="C282" s="1" t="n">
        <v>45915</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9416-2024</t>
        </is>
      </c>
      <c r="B283" s="1" t="n">
        <v>45359.44837962963</v>
      </c>
      <c r="C283" s="1" t="n">
        <v>45915</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58318-2021</t>
        </is>
      </c>
      <c r="B284" s="1" t="n">
        <v>44488.35878472222</v>
      </c>
      <c r="C284" s="1" t="n">
        <v>45915</v>
      </c>
      <c r="D284" t="inlineStr">
        <is>
          <t>KALMAR LÄN</t>
        </is>
      </c>
      <c r="E284" t="inlineStr">
        <is>
          <t>VIMMERBY</t>
        </is>
      </c>
      <c r="G284" t="n">
        <v>4</v>
      </c>
      <c r="H284" t="n">
        <v>0</v>
      </c>
      <c r="I284" t="n">
        <v>0</v>
      </c>
      <c r="J284" t="n">
        <v>0</v>
      </c>
      <c r="K284" t="n">
        <v>0</v>
      </c>
      <c r="L284" t="n">
        <v>0</v>
      </c>
      <c r="M284" t="n">
        <v>0</v>
      </c>
      <c r="N284" t="n">
        <v>0</v>
      </c>
      <c r="O284" t="n">
        <v>0</v>
      </c>
      <c r="P284" t="n">
        <v>0</v>
      </c>
      <c r="Q284" t="n">
        <v>0</v>
      </c>
      <c r="R284" s="2" t="inlineStr"/>
    </row>
    <row r="285" ht="15" customHeight="1">
      <c r="A285" t="inlineStr">
        <is>
          <t>A 53083-2021</t>
        </is>
      </c>
      <c r="B285" s="1" t="n">
        <v>44467.83386574074</v>
      </c>
      <c r="C285" s="1" t="n">
        <v>45915</v>
      </c>
      <c r="D285" t="inlineStr">
        <is>
          <t>KALMAR LÄN</t>
        </is>
      </c>
      <c r="E285" t="inlineStr">
        <is>
          <t>VIMMERBY</t>
        </is>
      </c>
      <c r="G285" t="n">
        <v>6.8</v>
      </c>
      <c r="H285" t="n">
        <v>0</v>
      </c>
      <c r="I285" t="n">
        <v>0</v>
      </c>
      <c r="J285" t="n">
        <v>0</v>
      </c>
      <c r="K285" t="n">
        <v>0</v>
      </c>
      <c r="L285" t="n">
        <v>0</v>
      </c>
      <c r="M285" t="n">
        <v>0</v>
      </c>
      <c r="N285" t="n">
        <v>0</v>
      </c>
      <c r="O285" t="n">
        <v>0</v>
      </c>
      <c r="P285" t="n">
        <v>0</v>
      </c>
      <c r="Q285" t="n">
        <v>0</v>
      </c>
      <c r="R285" s="2" t="inlineStr"/>
    </row>
    <row r="286" ht="15" customHeight="1">
      <c r="A286" t="inlineStr">
        <is>
          <t>A 29173-2024</t>
        </is>
      </c>
      <c r="B286" s="1" t="n">
        <v>45482.52887731481</v>
      </c>
      <c r="C286" s="1" t="n">
        <v>45915</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45915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11141-2024</t>
        </is>
      </c>
      <c r="B288" s="1" t="n">
        <v>45371.45865740741</v>
      </c>
      <c r="C288" s="1" t="n">
        <v>45915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12630-2023</t>
        </is>
      </c>
      <c r="B289" s="1" t="n">
        <v>45000.47998842593</v>
      </c>
      <c r="C289" s="1" t="n">
        <v>45915</v>
      </c>
      <c r="D289" t="inlineStr">
        <is>
          <t>KALMAR LÄN</t>
        </is>
      </c>
      <c r="E289" t="inlineStr">
        <is>
          <t>VIMMERBY</t>
        </is>
      </c>
      <c r="G289" t="n">
        <v>2.1</v>
      </c>
      <c r="H289" t="n">
        <v>0</v>
      </c>
      <c r="I289" t="n">
        <v>0</v>
      </c>
      <c r="J289" t="n">
        <v>0</v>
      </c>
      <c r="K289" t="n">
        <v>0</v>
      </c>
      <c r="L289" t="n">
        <v>0</v>
      </c>
      <c r="M289" t="n">
        <v>0</v>
      </c>
      <c r="N289" t="n">
        <v>0</v>
      </c>
      <c r="O289" t="n">
        <v>0</v>
      </c>
      <c r="P289" t="n">
        <v>0</v>
      </c>
      <c r="Q289" t="n">
        <v>0</v>
      </c>
      <c r="R289" s="2" t="inlineStr"/>
    </row>
    <row r="290" ht="15" customHeight="1">
      <c r="A290" t="inlineStr">
        <is>
          <t>A 9418-2024</t>
        </is>
      </c>
      <c r="B290" s="1" t="n">
        <v>45359.45038194444</v>
      </c>
      <c r="C290" s="1" t="n">
        <v>45915</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22399-2025</t>
        </is>
      </c>
      <c r="B291" s="1" t="n">
        <v>45786.52996527778</v>
      </c>
      <c r="C291" s="1" t="n">
        <v>45915</v>
      </c>
      <c r="D291" t="inlineStr">
        <is>
          <t>KALMAR LÄN</t>
        </is>
      </c>
      <c r="E291" t="inlineStr">
        <is>
          <t>VIMMERBY</t>
        </is>
      </c>
      <c r="G291" t="n">
        <v>2.1</v>
      </c>
      <c r="H291" t="n">
        <v>0</v>
      </c>
      <c r="I291" t="n">
        <v>0</v>
      </c>
      <c r="J291" t="n">
        <v>0</v>
      </c>
      <c r="K291" t="n">
        <v>0</v>
      </c>
      <c r="L291" t="n">
        <v>0</v>
      </c>
      <c r="M291" t="n">
        <v>0</v>
      </c>
      <c r="N291" t="n">
        <v>0</v>
      </c>
      <c r="O291" t="n">
        <v>0</v>
      </c>
      <c r="P291" t="n">
        <v>0</v>
      </c>
      <c r="Q291" t="n">
        <v>0</v>
      </c>
      <c r="R291" s="2" t="inlineStr"/>
    </row>
    <row r="292" ht="15" customHeight="1">
      <c r="A292" t="inlineStr">
        <is>
          <t>A 39584-2024</t>
        </is>
      </c>
      <c r="B292" s="1" t="n">
        <v>45552.36759259259</v>
      </c>
      <c r="C292" s="1" t="n">
        <v>45915</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27705-2023</t>
        </is>
      </c>
      <c r="B293" s="1" t="n">
        <v>45098.30535879629</v>
      </c>
      <c r="C293" s="1" t="n">
        <v>45915</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49313-2022</t>
        </is>
      </c>
      <c r="B294" s="1" t="n">
        <v>44861.52505787037</v>
      </c>
      <c r="C294" s="1" t="n">
        <v>45915</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35998-2024</t>
        </is>
      </c>
      <c r="B295" s="1" t="n">
        <v>45533.54429398148</v>
      </c>
      <c r="C295" s="1" t="n">
        <v>45915</v>
      </c>
      <c r="D295" t="inlineStr">
        <is>
          <t>KALMAR LÄN</t>
        </is>
      </c>
      <c r="E295" t="inlineStr">
        <is>
          <t>VIMMERBY</t>
        </is>
      </c>
      <c r="G295" t="n">
        <v>8.6</v>
      </c>
      <c r="H295" t="n">
        <v>0</v>
      </c>
      <c r="I295" t="n">
        <v>0</v>
      </c>
      <c r="J295" t="n">
        <v>0</v>
      </c>
      <c r="K295" t="n">
        <v>0</v>
      </c>
      <c r="L295" t="n">
        <v>0</v>
      </c>
      <c r="M295" t="n">
        <v>0</v>
      </c>
      <c r="N295" t="n">
        <v>0</v>
      </c>
      <c r="O295" t="n">
        <v>0</v>
      </c>
      <c r="P295" t="n">
        <v>0</v>
      </c>
      <c r="Q295" t="n">
        <v>0</v>
      </c>
      <c r="R295" s="2" t="inlineStr"/>
    </row>
    <row r="296" ht="15" customHeight="1">
      <c r="A296" t="inlineStr">
        <is>
          <t>A 36040-2024</t>
        </is>
      </c>
      <c r="B296" s="1" t="n">
        <v>45533.60232638889</v>
      </c>
      <c r="C296" s="1" t="n">
        <v>45915</v>
      </c>
      <c r="D296" t="inlineStr">
        <is>
          <t>KALMAR LÄN</t>
        </is>
      </c>
      <c r="E296" t="inlineStr">
        <is>
          <t>VIMMERBY</t>
        </is>
      </c>
      <c r="F296" t="inlineStr">
        <is>
          <t>Kommuner</t>
        </is>
      </c>
      <c r="G296" t="n">
        <v>3.6</v>
      </c>
      <c r="H296" t="n">
        <v>0</v>
      </c>
      <c r="I296" t="n">
        <v>0</v>
      </c>
      <c r="J296" t="n">
        <v>0</v>
      </c>
      <c r="K296" t="n">
        <v>0</v>
      </c>
      <c r="L296" t="n">
        <v>0</v>
      </c>
      <c r="M296" t="n">
        <v>0</v>
      </c>
      <c r="N296" t="n">
        <v>0</v>
      </c>
      <c r="O296" t="n">
        <v>0</v>
      </c>
      <c r="P296" t="n">
        <v>0</v>
      </c>
      <c r="Q296" t="n">
        <v>0</v>
      </c>
      <c r="R296" s="2" t="inlineStr"/>
    </row>
    <row r="297" ht="15" customHeight="1">
      <c r="A297" t="inlineStr">
        <is>
          <t>A 36043-2024</t>
        </is>
      </c>
      <c r="B297" s="1" t="n">
        <v>45533.60770833334</v>
      </c>
      <c r="C297" s="1" t="n">
        <v>45915</v>
      </c>
      <c r="D297" t="inlineStr">
        <is>
          <t>KALMAR LÄN</t>
        </is>
      </c>
      <c r="E297" t="inlineStr">
        <is>
          <t>VIMMERBY</t>
        </is>
      </c>
      <c r="F297" t="inlineStr">
        <is>
          <t>Kommuner</t>
        </is>
      </c>
      <c r="G297" t="n">
        <v>1.5</v>
      </c>
      <c r="H297" t="n">
        <v>0</v>
      </c>
      <c r="I297" t="n">
        <v>0</v>
      </c>
      <c r="J297" t="n">
        <v>0</v>
      </c>
      <c r="K297" t="n">
        <v>0</v>
      </c>
      <c r="L297" t="n">
        <v>0</v>
      </c>
      <c r="M297" t="n">
        <v>0</v>
      </c>
      <c r="N297" t="n">
        <v>0</v>
      </c>
      <c r="O297" t="n">
        <v>0</v>
      </c>
      <c r="P297" t="n">
        <v>0</v>
      </c>
      <c r="Q297" t="n">
        <v>0</v>
      </c>
      <c r="R297" s="2" t="inlineStr"/>
    </row>
    <row r="298" ht="15" customHeight="1">
      <c r="A298" t="inlineStr">
        <is>
          <t>A 31013-2023</t>
        </is>
      </c>
      <c r="B298" s="1" t="n">
        <v>45113.56574074074</v>
      </c>
      <c r="C298" s="1" t="n">
        <v>45915</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22197-2024</t>
        </is>
      </c>
      <c r="B299" s="1" t="n">
        <v>45446.36774305555</v>
      </c>
      <c r="C299" s="1" t="n">
        <v>45915</v>
      </c>
      <c r="D299" t="inlineStr">
        <is>
          <t>KALMAR LÄN</t>
        </is>
      </c>
      <c r="E299" t="inlineStr">
        <is>
          <t>VIMMERBY</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45915</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45915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45915</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22397-2025</t>
        </is>
      </c>
      <c r="B303" s="1" t="n">
        <v>45786.52878472222</v>
      </c>
      <c r="C303" s="1" t="n">
        <v>45915</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35710-2023</t>
        </is>
      </c>
      <c r="B304" s="1" t="n">
        <v>45147.67096064815</v>
      </c>
      <c r="C304" s="1" t="n">
        <v>45915</v>
      </c>
      <c r="D304" t="inlineStr">
        <is>
          <t>KALMAR LÄN</t>
        </is>
      </c>
      <c r="E304" t="inlineStr">
        <is>
          <t>VIMMERBY</t>
        </is>
      </c>
      <c r="G304" t="n">
        <v>3.1</v>
      </c>
      <c r="H304" t="n">
        <v>0</v>
      </c>
      <c r="I304" t="n">
        <v>0</v>
      </c>
      <c r="J304" t="n">
        <v>0</v>
      </c>
      <c r="K304" t="n">
        <v>0</v>
      </c>
      <c r="L304" t="n">
        <v>0</v>
      </c>
      <c r="M304" t="n">
        <v>0</v>
      </c>
      <c r="N304" t="n">
        <v>0</v>
      </c>
      <c r="O304" t="n">
        <v>0</v>
      </c>
      <c r="P304" t="n">
        <v>0</v>
      </c>
      <c r="Q304" t="n">
        <v>0</v>
      </c>
      <c r="R304" s="2" t="inlineStr"/>
    </row>
    <row r="305" ht="15" customHeight="1">
      <c r="A305" t="inlineStr">
        <is>
          <t>A 35711-2023</t>
        </is>
      </c>
      <c r="B305" s="1" t="n">
        <v>45147.67172453704</v>
      </c>
      <c r="C305" s="1" t="n">
        <v>45915</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33352-2022</t>
        </is>
      </c>
      <c r="B306" s="1" t="n">
        <v>44788</v>
      </c>
      <c r="C306" s="1" t="n">
        <v>45915</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46234-2024</t>
        </is>
      </c>
      <c r="B307" s="1" t="n">
        <v>45581.57958333333</v>
      </c>
      <c r="C307" s="1" t="n">
        <v>45915</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39053-2024</t>
        </is>
      </c>
      <c r="B308" s="1" t="n">
        <v>45548</v>
      </c>
      <c r="C308" s="1" t="n">
        <v>45915</v>
      </c>
      <c r="D308" t="inlineStr">
        <is>
          <t>KALMAR LÄN</t>
        </is>
      </c>
      <c r="E308" t="inlineStr">
        <is>
          <t>VIMMERBY</t>
        </is>
      </c>
      <c r="G308" t="n">
        <v>5</v>
      </c>
      <c r="H308" t="n">
        <v>0</v>
      </c>
      <c r="I308" t="n">
        <v>0</v>
      </c>
      <c r="J308" t="n">
        <v>0</v>
      </c>
      <c r="K308" t="n">
        <v>0</v>
      </c>
      <c r="L308" t="n">
        <v>0</v>
      </c>
      <c r="M308" t="n">
        <v>0</v>
      </c>
      <c r="N308" t="n">
        <v>0</v>
      </c>
      <c r="O308" t="n">
        <v>0</v>
      </c>
      <c r="P308" t="n">
        <v>0</v>
      </c>
      <c r="Q308" t="n">
        <v>0</v>
      </c>
      <c r="R308" s="2" t="inlineStr"/>
    </row>
    <row r="309" ht="15" customHeight="1">
      <c r="A309" t="inlineStr">
        <is>
          <t>A 15449-2023</t>
        </is>
      </c>
      <c r="B309" s="1" t="n">
        <v>45020</v>
      </c>
      <c r="C309" s="1" t="n">
        <v>45915</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43594-2024</t>
        </is>
      </c>
      <c r="B310" s="1" t="n">
        <v>45569.44295138889</v>
      </c>
      <c r="C310" s="1" t="n">
        <v>45915</v>
      </c>
      <c r="D310" t="inlineStr">
        <is>
          <t>KALMAR LÄN</t>
        </is>
      </c>
      <c r="E310" t="inlineStr">
        <is>
          <t>VIMMERBY</t>
        </is>
      </c>
      <c r="G310" t="n">
        <v>3.9</v>
      </c>
      <c r="H310" t="n">
        <v>0</v>
      </c>
      <c r="I310" t="n">
        <v>0</v>
      </c>
      <c r="J310" t="n">
        <v>0</v>
      </c>
      <c r="K310" t="n">
        <v>0</v>
      </c>
      <c r="L310" t="n">
        <v>0</v>
      </c>
      <c r="M310" t="n">
        <v>0</v>
      </c>
      <c r="N310" t="n">
        <v>0</v>
      </c>
      <c r="O310" t="n">
        <v>0</v>
      </c>
      <c r="P310" t="n">
        <v>0</v>
      </c>
      <c r="Q310" t="n">
        <v>0</v>
      </c>
      <c r="R310" s="2" t="inlineStr"/>
    </row>
    <row r="311" ht="15" customHeight="1">
      <c r="A311" t="inlineStr">
        <is>
          <t>A 17486-2024</t>
        </is>
      </c>
      <c r="B311" s="1" t="n">
        <v>45415.48979166667</v>
      </c>
      <c r="C311" s="1" t="n">
        <v>45915</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14248-2023</t>
        </is>
      </c>
      <c r="B312" s="1" t="n">
        <v>45009</v>
      </c>
      <c r="C312" s="1" t="n">
        <v>45915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32603-2021</t>
        </is>
      </c>
      <c r="B313" s="1" t="n">
        <v>44375.38789351852</v>
      </c>
      <c r="C313" s="1" t="n">
        <v>45915</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11442-2025</t>
        </is>
      </c>
      <c r="B314" s="1" t="n">
        <v>45726.62721064815</v>
      </c>
      <c r="C314" s="1" t="n">
        <v>45915</v>
      </c>
      <c r="D314" t="inlineStr">
        <is>
          <t>KALMAR LÄN</t>
        </is>
      </c>
      <c r="E314" t="inlineStr">
        <is>
          <t>VIMMERBY</t>
        </is>
      </c>
      <c r="G314" t="n">
        <v>2.6</v>
      </c>
      <c r="H314" t="n">
        <v>0</v>
      </c>
      <c r="I314" t="n">
        <v>0</v>
      </c>
      <c r="J314" t="n">
        <v>0</v>
      </c>
      <c r="K314" t="n">
        <v>0</v>
      </c>
      <c r="L314" t="n">
        <v>0</v>
      </c>
      <c r="M314" t="n">
        <v>0</v>
      </c>
      <c r="N314" t="n">
        <v>0</v>
      </c>
      <c r="O314" t="n">
        <v>0</v>
      </c>
      <c r="P314" t="n">
        <v>0</v>
      </c>
      <c r="Q314" t="n">
        <v>0</v>
      </c>
      <c r="R314" s="2" t="inlineStr"/>
    </row>
    <row r="315" ht="15" customHeight="1">
      <c r="A315" t="inlineStr">
        <is>
          <t>A 6307-2025</t>
        </is>
      </c>
      <c r="B315" s="1" t="n">
        <v>45698.69016203703</v>
      </c>
      <c r="C315" s="1" t="n">
        <v>45915</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36117-2021</t>
        </is>
      </c>
      <c r="B316" s="1" t="n">
        <v>44386</v>
      </c>
      <c r="C316" s="1" t="n">
        <v>45915</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30400-2023</t>
        </is>
      </c>
      <c r="B317" s="1" t="n">
        <v>45111.48225694444</v>
      </c>
      <c r="C317" s="1" t="n">
        <v>45915</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30404-2023</t>
        </is>
      </c>
      <c r="B318" s="1" t="n">
        <v>45111.48636574074</v>
      </c>
      <c r="C318" s="1" t="n">
        <v>45915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34588-2024</t>
        </is>
      </c>
      <c r="B319" s="1" t="n">
        <v>45526.3865625</v>
      </c>
      <c r="C319" s="1" t="n">
        <v>45915</v>
      </c>
      <c r="D319" t="inlineStr">
        <is>
          <t>KALMAR LÄN</t>
        </is>
      </c>
      <c r="E319" t="inlineStr">
        <is>
          <t>VIMMERBY</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55123-2024</t>
        </is>
      </c>
      <c r="B320" s="1" t="n">
        <v>45621.46103009259</v>
      </c>
      <c r="C320" s="1" t="n">
        <v>45915</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31405-2023</t>
        </is>
      </c>
      <c r="B321" s="1" t="n">
        <v>45114.58148148148</v>
      </c>
      <c r="C321" s="1" t="n">
        <v>45915</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56659-2023</t>
        </is>
      </c>
      <c r="B322" s="1" t="n">
        <v>45243.84869212963</v>
      </c>
      <c r="C322" s="1" t="n">
        <v>45915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45915</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42521-2021</t>
        </is>
      </c>
      <c r="B324" s="1" t="n">
        <v>44427</v>
      </c>
      <c r="C324" s="1" t="n">
        <v>45915</v>
      </c>
      <c r="D324" t="inlineStr">
        <is>
          <t>KALMAR LÄN</t>
        </is>
      </c>
      <c r="E324" t="inlineStr">
        <is>
          <t>VIMMERBY</t>
        </is>
      </c>
      <c r="G324" t="n">
        <v>5.4</v>
      </c>
      <c r="H324" t="n">
        <v>0</v>
      </c>
      <c r="I324" t="n">
        <v>0</v>
      </c>
      <c r="J324" t="n">
        <v>0</v>
      </c>
      <c r="K324" t="n">
        <v>0</v>
      </c>
      <c r="L324" t="n">
        <v>0</v>
      </c>
      <c r="M324" t="n">
        <v>0</v>
      </c>
      <c r="N324" t="n">
        <v>0</v>
      </c>
      <c r="O324" t="n">
        <v>0</v>
      </c>
      <c r="P324" t="n">
        <v>0</v>
      </c>
      <c r="Q324" t="n">
        <v>0</v>
      </c>
      <c r="R324" s="2" t="inlineStr"/>
    </row>
    <row r="325" ht="15" customHeight="1">
      <c r="A325" t="inlineStr">
        <is>
          <t>A 36049-2024</t>
        </is>
      </c>
      <c r="B325" s="1" t="n">
        <v>45533.61996527778</v>
      </c>
      <c r="C325" s="1" t="n">
        <v>45915</v>
      </c>
      <c r="D325" t="inlineStr">
        <is>
          <t>KALMAR LÄN</t>
        </is>
      </c>
      <c r="E325" t="inlineStr">
        <is>
          <t>VIMMERBY</t>
        </is>
      </c>
      <c r="F325" t="inlineStr">
        <is>
          <t>Kommuner</t>
        </is>
      </c>
      <c r="G325" t="n">
        <v>2.6</v>
      </c>
      <c r="H325" t="n">
        <v>0</v>
      </c>
      <c r="I325" t="n">
        <v>0</v>
      </c>
      <c r="J325" t="n">
        <v>0</v>
      </c>
      <c r="K325" t="n">
        <v>0</v>
      </c>
      <c r="L325" t="n">
        <v>0</v>
      </c>
      <c r="M325" t="n">
        <v>0</v>
      </c>
      <c r="N325" t="n">
        <v>0</v>
      </c>
      <c r="O325" t="n">
        <v>0</v>
      </c>
      <c r="P325" t="n">
        <v>0</v>
      </c>
      <c r="Q325" t="n">
        <v>0</v>
      </c>
      <c r="R325" s="2" t="inlineStr"/>
    </row>
    <row r="326" ht="15" customHeight="1">
      <c r="A326" t="inlineStr">
        <is>
          <t>A 23394-2025</t>
        </is>
      </c>
      <c r="B326" s="1" t="n">
        <v>45791.89865740741</v>
      </c>
      <c r="C326" s="1" t="n">
        <v>45915</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58159-2024</t>
        </is>
      </c>
      <c r="B327" s="1" t="n">
        <v>45632.44886574074</v>
      </c>
      <c r="C327" s="1" t="n">
        <v>45915</v>
      </c>
      <c r="D327" t="inlineStr">
        <is>
          <t>KALMAR LÄN</t>
        </is>
      </c>
      <c r="E327" t="inlineStr">
        <is>
          <t>VIMMERBY</t>
        </is>
      </c>
      <c r="G327" t="n">
        <v>7.5</v>
      </c>
      <c r="H327" t="n">
        <v>0</v>
      </c>
      <c r="I327" t="n">
        <v>0</v>
      </c>
      <c r="J327" t="n">
        <v>0</v>
      </c>
      <c r="K327" t="n">
        <v>0</v>
      </c>
      <c r="L327" t="n">
        <v>0</v>
      </c>
      <c r="M327" t="n">
        <v>0</v>
      </c>
      <c r="N327" t="n">
        <v>0</v>
      </c>
      <c r="O327" t="n">
        <v>0</v>
      </c>
      <c r="P327" t="n">
        <v>0</v>
      </c>
      <c r="Q327" t="n">
        <v>0</v>
      </c>
      <c r="R327" s="2" t="inlineStr"/>
    </row>
    <row r="328" ht="15" customHeight="1">
      <c r="A328" t="inlineStr">
        <is>
          <t>A 3331-2023</t>
        </is>
      </c>
      <c r="B328" s="1" t="n">
        <v>44949</v>
      </c>
      <c r="C328" s="1" t="n">
        <v>45915</v>
      </c>
      <c r="D328" t="inlineStr">
        <is>
          <t>KALMAR LÄN</t>
        </is>
      </c>
      <c r="E328" t="inlineStr">
        <is>
          <t>VIMMERBY</t>
        </is>
      </c>
      <c r="G328" t="n">
        <v>6.2</v>
      </c>
      <c r="H328" t="n">
        <v>0</v>
      </c>
      <c r="I328" t="n">
        <v>0</v>
      </c>
      <c r="J328" t="n">
        <v>0</v>
      </c>
      <c r="K328" t="n">
        <v>0</v>
      </c>
      <c r="L328" t="n">
        <v>0</v>
      </c>
      <c r="M328" t="n">
        <v>0</v>
      </c>
      <c r="N328" t="n">
        <v>0</v>
      </c>
      <c r="O328" t="n">
        <v>0</v>
      </c>
      <c r="P328" t="n">
        <v>0</v>
      </c>
      <c r="Q328" t="n">
        <v>0</v>
      </c>
      <c r="R328" s="2" t="inlineStr"/>
    </row>
    <row r="329" ht="15" customHeight="1">
      <c r="A329" t="inlineStr">
        <is>
          <t>A 14359-2025</t>
        </is>
      </c>
      <c r="B329" s="1" t="n">
        <v>45741.37270833334</v>
      </c>
      <c r="C329" s="1" t="n">
        <v>45915</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39578-2024</t>
        </is>
      </c>
      <c r="B330" s="1" t="n">
        <v>45552.36484953704</v>
      </c>
      <c r="C330" s="1" t="n">
        <v>45915</v>
      </c>
      <c r="D330" t="inlineStr">
        <is>
          <t>KALMAR LÄN</t>
        </is>
      </c>
      <c r="E330" t="inlineStr">
        <is>
          <t>VIMMERBY</t>
        </is>
      </c>
      <c r="G330" t="n">
        <v>1.5</v>
      </c>
      <c r="H330" t="n">
        <v>0</v>
      </c>
      <c r="I330" t="n">
        <v>0</v>
      </c>
      <c r="J330" t="n">
        <v>0</v>
      </c>
      <c r="K330" t="n">
        <v>0</v>
      </c>
      <c r="L330" t="n">
        <v>0</v>
      </c>
      <c r="M330" t="n">
        <v>0</v>
      </c>
      <c r="N330" t="n">
        <v>0</v>
      </c>
      <c r="O330" t="n">
        <v>0</v>
      </c>
      <c r="P330" t="n">
        <v>0</v>
      </c>
      <c r="Q330" t="n">
        <v>0</v>
      </c>
      <c r="R330" s="2" t="inlineStr"/>
    </row>
    <row r="331" ht="15" customHeight="1">
      <c r="A331" t="inlineStr">
        <is>
          <t>A 40828-2023</t>
        </is>
      </c>
      <c r="B331" s="1" t="n">
        <v>45171.96248842592</v>
      </c>
      <c r="C331" s="1" t="n">
        <v>45915</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16734-2023</t>
        </is>
      </c>
      <c r="B332" s="1" t="n">
        <v>45030.71012731481</v>
      </c>
      <c r="C332" s="1" t="n">
        <v>45915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62779-2023</t>
        </is>
      </c>
      <c r="B333" s="1" t="n">
        <v>45271.66576388889</v>
      </c>
      <c r="C333" s="1" t="n">
        <v>45915</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45915</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45915</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45915</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45915</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45915</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45915</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23984-2025</t>
        </is>
      </c>
      <c r="B340" s="1" t="n">
        <v>45796</v>
      </c>
      <c r="C340" s="1" t="n">
        <v>45915</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45915</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46399-2024</t>
        </is>
      </c>
      <c r="B342" s="1" t="n">
        <v>45582.41200231481</v>
      </c>
      <c r="C342" s="1" t="n">
        <v>45915</v>
      </c>
      <c r="D342" t="inlineStr">
        <is>
          <t>KALMAR LÄN</t>
        </is>
      </c>
      <c r="E342" t="inlineStr">
        <is>
          <t>VIMMERBY</t>
        </is>
      </c>
      <c r="G342" t="n">
        <v>4.6</v>
      </c>
      <c r="H342" t="n">
        <v>0</v>
      </c>
      <c r="I342" t="n">
        <v>0</v>
      </c>
      <c r="J342" t="n">
        <v>0</v>
      </c>
      <c r="K342" t="n">
        <v>0</v>
      </c>
      <c r="L342" t="n">
        <v>0</v>
      </c>
      <c r="M342" t="n">
        <v>0</v>
      </c>
      <c r="N342" t="n">
        <v>0</v>
      </c>
      <c r="O342" t="n">
        <v>0</v>
      </c>
      <c r="P342" t="n">
        <v>0</v>
      </c>
      <c r="Q342" t="n">
        <v>0</v>
      </c>
      <c r="R342" s="2" t="inlineStr"/>
    </row>
    <row r="343" ht="15" customHeight="1">
      <c r="A343" t="inlineStr">
        <is>
          <t>A 3425-2022</t>
        </is>
      </c>
      <c r="B343" s="1" t="n">
        <v>44585.51060185185</v>
      </c>
      <c r="C343" s="1" t="n">
        <v>45915</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43962-2024</t>
        </is>
      </c>
      <c r="B344" s="1" t="n">
        <v>45572.48293981481</v>
      </c>
      <c r="C344" s="1" t="n">
        <v>45915</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12810-2023</t>
        </is>
      </c>
      <c r="B345" s="1" t="n">
        <v>45001.43854166667</v>
      </c>
      <c r="C345" s="1" t="n">
        <v>45915</v>
      </c>
      <c r="D345" t="inlineStr">
        <is>
          <t>KALMAR LÄN</t>
        </is>
      </c>
      <c r="E345" t="inlineStr">
        <is>
          <t>VIMMERBY</t>
        </is>
      </c>
      <c r="G345" t="n">
        <v>1.5</v>
      </c>
      <c r="H345" t="n">
        <v>0</v>
      </c>
      <c r="I345" t="n">
        <v>0</v>
      </c>
      <c r="J345" t="n">
        <v>0</v>
      </c>
      <c r="K345" t="n">
        <v>0</v>
      </c>
      <c r="L345" t="n">
        <v>0</v>
      </c>
      <c r="M345" t="n">
        <v>0</v>
      </c>
      <c r="N345" t="n">
        <v>0</v>
      </c>
      <c r="O345" t="n">
        <v>0</v>
      </c>
      <c r="P345" t="n">
        <v>0</v>
      </c>
      <c r="Q345" t="n">
        <v>0</v>
      </c>
      <c r="R345" s="2" t="inlineStr"/>
    </row>
    <row r="346" ht="15" customHeight="1">
      <c r="A346" t="inlineStr">
        <is>
          <t>A 43068-2023</t>
        </is>
      </c>
      <c r="B346" s="1" t="n">
        <v>45182.78834490741</v>
      </c>
      <c r="C346" s="1" t="n">
        <v>45915</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45915</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12075-2024</t>
        </is>
      </c>
      <c r="B348" s="1" t="n">
        <v>45377</v>
      </c>
      <c r="C348" s="1" t="n">
        <v>45915</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29783-2024</t>
        </is>
      </c>
      <c r="B349" s="1" t="n">
        <v>45485.45778935185</v>
      </c>
      <c r="C349" s="1" t="n">
        <v>45915</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1799-2025</t>
        </is>
      </c>
      <c r="B350" s="1" t="n">
        <v>45671.46746527778</v>
      </c>
      <c r="C350" s="1" t="n">
        <v>45915</v>
      </c>
      <c r="D350" t="inlineStr">
        <is>
          <t>KALMAR LÄN</t>
        </is>
      </c>
      <c r="E350" t="inlineStr">
        <is>
          <t>VIMMERBY</t>
        </is>
      </c>
      <c r="G350" t="n">
        <v>3.3</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45915</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25987-2024</t>
        </is>
      </c>
      <c r="B352" s="1" t="n">
        <v>45467.74417824074</v>
      </c>
      <c r="C352" s="1" t="n">
        <v>45915</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25109-2023</t>
        </is>
      </c>
      <c r="B353" s="1" t="n">
        <v>45086</v>
      </c>
      <c r="C353" s="1" t="n">
        <v>45915</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61878-2020</t>
        </is>
      </c>
      <c r="B354" s="1" t="n">
        <v>44159</v>
      </c>
      <c r="C354" s="1" t="n">
        <v>45915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51278-2024</t>
        </is>
      </c>
      <c r="B355" s="1" t="n">
        <v>45603.74959490741</v>
      </c>
      <c r="C355" s="1" t="n">
        <v>45915</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2462-2022</t>
        </is>
      </c>
      <c r="B356" s="1" t="n">
        <v>44579.62225694444</v>
      </c>
      <c r="C356" s="1" t="n">
        <v>45915</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62023-2022</t>
        </is>
      </c>
      <c r="B357" s="1" t="n">
        <v>44918.50106481482</v>
      </c>
      <c r="C357" s="1" t="n">
        <v>45915</v>
      </c>
      <c r="D357" t="inlineStr">
        <is>
          <t>KALMAR LÄN</t>
        </is>
      </c>
      <c r="E357" t="inlineStr">
        <is>
          <t>VIMMERBY</t>
        </is>
      </c>
      <c r="G357" t="n">
        <v>0.3</v>
      </c>
      <c r="H357" t="n">
        <v>0</v>
      </c>
      <c r="I357" t="n">
        <v>0</v>
      </c>
      <c r="J357" t="n">
        <v>0</v>
      </c>
      <c r="K357" t="n">
        <v>0</v>
      </c>
      <c r="L357" t="n">
        <v>0</v>
      </c>
      <c r="M357" t="n">
        <v>0</v>
      </c>
      <c r="N357" t="n">
        <v>0</v>
      </c>
      <c r="O357" t="n">
        <v>0</v>
      </c>
      <c r="P357" t="n">
        <v>0</v>
      </c>
      <c r="Q357" t="n">
        <v>0</v>
      </c>
      <c r="R357" s="2" t="inlineStr"/>
    </row>
    <row r="358" ht="15" customHeight="1">
      <c r="A358" t="inlineStr">
        <is>
          <t>A 58104-2024</t>
        </is>
      </c>
      <c r="B358" s="1" t="n">
        <v>45632.37459490741</v>
      </c>
      <c r="C358" s="1" t="n">
        <v>45915</v>
      </c>
      <c r="D358" t="inlineStr">
        <is>
          <t>KALMAR LÄN</t>
        </is>
      </c>
      <c r="E358" t="inlineStr">
        <is>
          <t>VIMMERBY</t>
        </is>
      </c>
      <c r="G358" t="n">
        <v>5</v>
      </c>
      <c r="H358" t="n">
        <v>0</v>
      </c>
      <c r="I358" t="n">
        <v>0</v>
      </c>
      <c r="J358" t="n">
        <v>0</v>
      </c>
      <c r="K358" t="n">
        <v>0</v>
      </c>
      <c r="L358" t="n">
        <v>0</v>
      </c>
      <c r="M358" t="n">
        <v>0</v>
      </c>
      <c r="N358" t="n">
        <v>0</v>
      </c>
      <c r="O358" t="n">
        <v>0</v>
      </c>
      <c r="P358" t="n">
        <v>0</v>
      </c>
      <c r="Q358" t="n">
        <v>0</v>
      </c>
      <c r="R358" s="2" t="inlineStr"/>
    </row>
    <row r="359" ht="15" customHeight="1">
      <c r="A359" t="inlineStr">
        <is>
          <t>A 12215-2024</t>
        </is>
      </c>
      <c r="B359" s="1" t="n">
        <v>45378.32185185186</v>
      </c>
      <c r="C359" s="1" t="n">
        <v>45915</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30920-2024</t>
        </is>
      </c>
      <c r="B360" s="1" t="n">
        <v>45498.673125</v>
      </c>
      <c r="C360" s="1" t="n">
        <v>45915</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56536-2022</t>
        </is>
      </c>
      <c r="B361" s="1" t="n">
        <v>44893</v>
      </c>
      <c r="C361" s="1" t="n">
        <v>45915</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35082-2024</t>
        </is>
      </c>
      <c r="B362" s="1" t="n">
        <v>45527.68784722222</v>
      </c>
      <c r="C362" s="1" t="n">
        <v>45915</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13015-2022</t>
        </is>
      </c>
      <c r="B363" s="1" t="n">
        <v>44643</v>
      </c>
      <c r="C363" s="1" t="n">
        <v>45915</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63541-2023</t>
        </is>
      </c>
      <c r="B364" s="1" t="n">
        <v>45275.32266203704</v>
      </c>
      <c r="C364" s="1" t="n">
        <v>45915</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44582-2024</t>
        </is>
      </c>
      <c r="B365" s="1" t="n">
        <v>45574.49298611111</v>
      </c>
      <c r="C365" s="1" t="n">
        <v>45915</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45540.50098379629</v>
      </c>
      <c r="C366" s="1" t="n">
        <v>45915</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9456-2025</t>
        </is>
      </c>
      <c r="B367" s="1" t="n">
        <v>45715.44159722222</v>
      </c>
      <c r="C367" s="1" t="n">
        <v>45915</v>
      </c>
      <c r="D367" t="inlineStr">
        <is>
          <t>KALMAR LÄN</t>
        </is>
      </c>
      <c r="E367" t="inlineStr">
        <is>
          <t>VIMMERBY</t>
        </is>
      </c>
      <c r="G367" t="n">
        <v>1.5</v>
      </c>
      <c r="H367" t="n">
        <v>0</v>
      </c>
      <c r="I367" t="n">
        <v>0</v>
      </c>
      <c r="J367" t="n">
        <v>0</v>
      </c>
      <c r="K367" t="n">
        <v>0</v>
      </c>
      <c r="L367" t="n">
        <v>0</v>
      </c>
      <c r="M367" t="n">
        <v>0</v>
      </c>
      <c r="N367" t="n">
        <v>0</v>
      </c>
      <c r="O367" t="n">
        <v>0</v>
      </c>
      <c r="P367" t="n">
        <v>0</v>
      </c>
      <c r="Q367" t="n">
        <v>0</v>
      </c>
      <c r="R367" s="2" t="inlineStr"/>
    </row>
    <row r="368" ht="15" customHeight="1">
      <c r="A368" t="inlineStr">
        <is>
          <t>A 4624-2024</t>
        </is>
      </c>
      <c r="B368" s="1" t="n">
        <v>45328.38755787037</v>
      </c>
      <c r="C368" s="1" t="n">
        <v>45915</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9129-2025</t>
        </is>
      </c>
      <c r="B369" s="1" t="n">
        <v>45713.92412037037</v>
      </c>
      <c r="C369" s="1" t="n">
        <v>45915</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46964-2022</t>
        </is>
      </c>
      <c r="B370" s="1" t="n">
        <v>44851.95016203704</v>
      </c>
      <c r="C370" s="1" t="n">
        <v>45915</v>
      </c>
      <c r="D370" t="inlineStr">
        <is>
          <t>KALMAR LÄN</t>
        </is>
      </c>
      <c r="E370" t="inlineStr">
        <is>
          <t>VIMMERBY</t>
        </is>
      </c>
      <c r="G370" t="n">
        <v>0.2</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45915</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22643-2023</t>
        </is>
      </c>
      <c r="B372" s="1" t="n">
        <v>45071</v>
      </c>
      <c r="C372" s="1" t="n">
        <v>45915</v>
      </c>
      <c r="D372" t="inlineStr">
        <is>
          <t>KALMAR LÄN</t>
        </is>
      </c>
      <c r="E372" t="inlineStr">
        <is>
          <t>VIMMERBY</t>
        </is>
      </c>
      <c r="G372" t="n">
        <v>3.9</v>
      </c>
      <c r="H372" t="n">
        <v>0</v>
      </c>
      <c r="I372" t="n">
        <v>0</v>
      </c>
      <c r="J372" t="n">
        <v>0</v>
      </c>
      <c r="K372" t="n">
        <v>0</v>
      </c>
      <c r="L372" t="n">
        <v>0</v>
      </c>
      <c r="M372" t="n">
        <v>0</v>
      </c>
      <c r="N372" t="n">
        <v>0</v>
      </c>
      <c r="O372" t="n">
        <v>0</v>
      </c>
      <c r="P372" t="n">
        <v>0</v>
      </c>
      <c r="Q372" t="n">
        <v>0</v>
      </c>
      <c r="R372" s="2" t="inlineStr"/>
    </row>
    <row r="373" ht="15" customHeight="1">
      <c r="A373" t="inlineStr">
        <is>
          <t>A 58724-2024</t>
        </is>
      </c>
      <c r="B373" s="1" t="n">
        <v>45635.66409722222</v>
      </c>
      <c r="C373" s="1" t="n">
        <v>45915</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15494-2024</t>
        </is>
      </c>
      <c r="B374" s="1" t="n">
        <v>45401.53033564815</v>
      </c>
      <c r="C374" s="1" t="n">
        <v>45915</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45915</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26039-2025</t>
        </is>
      </c>
      <c r="B376" s="1" t="n">
        <v>45804.6953587963</v>
      </c>
      <c r="C376" s="1" t="n">
        <v>45915</v>
      </c>
      <c r="D376" t="inlineStr">
        <is>
          <t>KALMAR LÄN</t>
        </is>
      </c>
      <c r="E376" t="inlineStr">
        <is>
          <t>VIMMERBY</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26046-2025</t>
        </is>
      </c>
      <c r="B377" s="1" t="n">
        <v>45804.708125</v>
      </c>
      <c r="C377" s="1" t="n">
        <v>45915</v>
      </c>
      <c r="D377" t="inlineStr">
        <is>
          <t>KALMAR LÄN</t>
        </is>
      </c>
      <c r="E377" t="inlineStr">
        <is>
          <t>VIMMERBY</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25792-2025</t>
        </is>
      </c>
      <c r="B378" s="1" t="n">
        <v>45804.39141203704</v>
      </c>
      <c r="C378" s="1" t="n">
        <v>45915</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26006-2025</t>
        </is>
      </c>
      <c r="B379" s="1" t="n">
        <v>45804.67065972222</v>
      </c>
      <c r="C379" s="1" t="n">
        <v>45915</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11429-2022</t>
        </is>
      </c>
      <c r="B380" s="1" t="n">
        <v>44630</v>
      </c>
      <c r="C380" s="1" t="n">
        <v>45915</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25830-2025</t>
        </is>
      </c>
      <c r="B381" s="1" t="n">
        <v>45804.44519675926</v>
      </c>
      <c r="C381" s="1" t="n">
        <v>45915</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56582-2022</t>
        </is>
      </c>
      <c r="B382" s="1" t="n">
        <v>44893</v>
      </c>
      <c r="C382" s="1" t="n">
        <v>45915</v>
      </c>
      <c r="D382" t="inlineStr">
        <is>
          <t>KALMAR LÄN</t>
        </is>
      </c>
      <c r="E382" t="inlineStr">
        <is>
          <t>VIMMERBY</t>
        </is>
      </c>
      <c r="G382" t="n">
        <v>2.2</v>
      </c>
      <c r="H382" t="n">
        <v>0</v>
      </c>
      <c r="I382" t="n">
        <v>0</v>
      </c>
      <c r="J382" t="n">
        <v>0</v>
      </c>
      <c r="K382" t="n">
        <v>0</v>
      </c>
      <c r="L382" t="n">
        <v>0</v>
      </c>
      <c r="M382" t="n">
        <v>0</v>
      </c>
      <c r="N382" t="n">
        <v>0</v>
      </c>
      <c r="O382" t="n">
        <v>0</v>
      </c>
      <c r="P382" t="n">
        <v>0</v>
      </c>
      <c r="Q382" t="n">
        <v>0</v>
      </c>
      <c r="R382" s="2" t="inlineStr"/>
    </row>
    <row r="383" ht="15" customHeight="1">
      <c r="A383" t="inlineStr">
        <is>
          <t>A 34597-2022</t>
        </is>
      </c>
      <c r="B383" s="1" t="n">
        <v>44795</v>
      </c>
      <c r="C383" s="1" t="n">
        <v>45915</v>
      </c>
      <c r="D383" t="inlineStr">
        <is>
          <t>KALMAR LÄN</t>
        </is>
      </c>
      <c r="E383" t="inlineStr">
        <is>
          <t>VIMMERBY</t>
        </is>
      </c>
      <c r="G383" t="n">
        <v>2.2</v>
      </c>
      <c r="H383" t="n">
        <v>0</v>
      </c>
      <c r="I383" t="n">
        <v>0</v>
      </c>
      <c r="J383" t="n">
        <v>0</v>
      </c>
      <c r="K383" t="n">
        <v>0</v>
      </c>
      <c r="L383" t="n">
        <v>0</v>
      </c>
      <c r="M383" t="n">
        <v>0</v>
      </c>
      <c r="N383" t="n">
        <v>0</v>
      </c>
      <c r="O383" t="n">
        <v>0</v>
      </c>
      <c r="P383" t="n">
        <v>0</v>
      </c>
      <c r="Q383" t="n">
        <v>0</v>
      </c>
      <c r="R383" s="2" t="inlineStr"/>
    </row>
    <row r="384" ht="15" customHeight="1">
      <c r="A384" t="inlineStr">
        <is>
          <t>A 40079-2023</t>
        </is>
      </c>
      <c r="B384" s="1" t="n">
        <v>45168.89298611111</v>
      </c>
      <c r="C384" s="1" t="n">
        <v>45915</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26124-2025</t>
        </is>
      </c>
      <c r="B385" s="1" t="n">
        <v>45805.39247685186</v>
      </c>
      <c r="C385" s="1" t="n">
        <v>45915</v>
      </c>
      <c r="D385" t="inlineStr">
        <is>
          <t>KALMAR LÄN</t>
        </is>
      </c>
      <c r="E385" t="inlineStr">
        <is>
          <t>VIMMERBY</t>
        </is>
      </c>
      <c r="G385" t="n">
        <v>6.6</v>
      </c>
      <c r="H385" t="n">
        <v>0</v>
      </c>
      <c r="I385" t="n">
        <v>0</v>
      </c>
      <c r="J385" t="n">
        <v>0</v>
      </c>
      <c r="K385" t="n">
        <v>0</v>
      </c>
      <c r="L385" t="n">
        <v>0</v>
      </c>
      <c r="M385" t="n">
        <v>0</v>
      </c>
      <c r="N385" t="n">
        <v>0</v>
      </c>
      <c r="O385" t="n">
        <v>0</v>
      </c>
      <c r="P385" t="n">
        <v>0</v>
      </c>
      <c r="Q385" t="n">
        <v>0</v>
      </c>
      <c r="R385" s="2" t="inlineStr"/>
    </row>
    <row r="386" ht="15" customHeight="1">
      <c r="A386" t="inlineStr">
        <is>
          <t>A 6408-2025</t>
        </is>
      </c>
      <c r="B386" s="1" t="n">
        <v>45699.45671296296</v>
      </c>
      <c r="C386" s="1" t="n">
        <v>45915</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19833-2023</t>
        </is>
      </c>
      <c r="B387" s="1" t="n">
        <v>45052</v>
      </c>
      <c r="C387" s="1" t="n">
        <v>45915</v>
      </c>
      <c r="D387" t="inlineStr">
        <is>
          <t>KALMAR LÄN</t>
        </is>
      </c>
      <c r="E387" t="inlineStr">
        <is>
          <t>VIMMERBY</t>
        </is>
      </c>
      <c r="G387" t="n">
        <v>6.7</v>
      </c>
      <c r="H387" t="n">
        <v>0</v>
      </c>
      <c r="I387" t="n">
        <v>0</v>
      </c>
      <c r="J387" t="n">
        <v>0</v>
      </c>
      <c r="K387" t="n">
        <v>0</v>
      </c>
      <c r="L387" t="n">
        <v>0</v>
      </c>
      <c r="M387" t="n">
        <v>0</v>
      </c>
      <c r="N387" t="n">
        <v>0</v>
      </c>
      <c r="O387" t="n">
        <v>0</v>
      </c>
      <c r="P387" t="n">
        <v>0</v>
      </c>
      <c r="Q387" t="n">
        <v>0</v>
      </c>
      <c r="R387" s="2" t="inlineStr"/>
    </row>
    <row r="388" ht="15" customHeight="1">
      <c r="A388" t="inlineStr">
        <is>
          <t>A 11609-2023</t>
        </is>
      </c>
      <c r="B388" s="1" t="n">
        <v>44994.40635416667</v>
      </c>
      <c r="C388" s="1" t="n">
        <v>45915</v>
      </c>
      <c r="D388" t="inlineStr">
        <is>
          <t>KALMAR LÄN</t>
        </is>
      </c>
      <c r="E388" t="inlineStr">
        <is>
          <t>VIMMERBY</t>
        </is>
      </c>
      <c r="G388" t="n">
        <v>4.9</v>
      </c>
      <c r="H388" t="n">
        <v>0</v>
      </c>
      <c r="I388" t="n">
        <v>0</v>
      </c>
      <c r="J388" t="n">
        <v>0</v>
      </c>
      <c r="K388" t="n">
        <v>0</v>
      </c>
      <c r="L388" t="n">
        <v>0</v>
      </c>
      <c r="M388" t="n">
        <v>0</v>
      </c>
      <c r="N388" t="n">
        <v>0</v>
      </c>
      <c r="O388" t="n">
        <v>0</v>
      </c>
      <c r="P388" t="n">
        <v>0</v>
      </c>
      <c r="Q388" t="n">
        <v>0</v>
      </c>
      <c r="R388" s="2" t="inlineStr"/>
    </row>
    <row r="389" ht="15" customHeight="1">
      <c r="A389" t="inlineStr">
        <is>
          <t>A 44464-2024</t>
        </is>
      </c>
      <c r="B389" s="1" t="n">
        <v>45574.35809027778</v>
      </c>
      <c r="C389" s="1" t="n">
        <v>45915</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26254-2025</t>
        </is>
      </c>
      <c r="B390" s="1" t="n">
        <v>45805</v>
      </c>
      <c r="C390" s="1" t="n">
        <v>45915</v>
      </c>
      <c r="D390" t="inlineStr">
        <is>
          <t>KALMAR LÄN</t>
        </is>
      </c>
      <c r="E390" t="inlineStr">
        <is>
          <t>VIMMERBY</t>
        </is>
      </c>
      <c r="G390" t="n">
        <v>2</v>
      </c>
      <c r="H390" t="n">
        <v>0</v>
      </c>
      <c r="I390" t="n">
        <v>0</v>
      </c>
      <c r="J390" t="n">
        <v>0</v>
      </c>
      <c r="K390" t="n">
        <v>0</v>
      </c>
      <c r="L390" t="n">
        <v>0</v>
      </c>
      <c r="M390" t="n">
        <v>0</v>
      </c>
      <c r="N390" t="n">
        <v>0</v>
      </c>
      <c r="O390" t="n">
        <v>0</v>
      </c>
      <c r="P390" t="n">
        <v>0</v>
      </c>
      <c r="Q390" t="n">
        <v>0</v>
      </c>
      <c r="R390" s="2" t="inlineStr"/>
    </row>
    <row r="391" ht="15" customHeight="1">
      <c r="A391" t="inlineStr">
        <is>
          <t>A 41066-2024</t>
        </is>
      </c>
      <c r="B391" s="1" t="n">
        <v>45559.38876157408</v>
      </c>
      <c r="C391" s="1" t="n">
        <v>45915</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3816-2022</t>
        </is>
      </c>
      <c r="B392" s="1" t="n">
        <v>44587</v>
      </c>
      <c r="C392" s="1" t="n">
        <v>45915</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17084-2025</t>
        </is>
      </c>
      <c r="B393" s="1" t="n">
        <v>45755.64450231481</v>
      </c>
      <c r="C393" s="1" t="n">
        <v>45915</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56022-2024</t>
        </is>
      </c>
      <c r="B394" s="1" t="n">
        <v>45623.95947916667</v>
      </c>
      <c r="C394" s="1" t="n">
        <v>45915</v>
      </c>
      <c r="D394" t="inlineStr">
        <is>
          <t>KALMAR LÄN</t>
        </is>
      </c>
      <c r="E394" t="inlineStr">
        <is>
          <t>VIMMERBY</t>
        </is>
      </c>
      <c r="G394" t="n">
        <v>0.3</v>
      </c>
      <c r="H394" t="n">
        <v>0</v>
      </c>
      <c r="I394" t="n">
        <v>0</v>
      </c>
      <c r="J394" t="n">
        <v>0</v>
      </c>
      <c r="K394" t="n">
        <v>0</v>
      </c>
      <c r="L394" t="n">
        <v>0</v>
      </c>
      <c r="M394" t="n">
        <v>0</v>
      </c>
      <c r="N394" t="n">
        <v>0</v>
      </c>
      <c r="O394" t="n">
        <v>0</v>
      </c>
      <c r="P394" t="n">
        <v>0</v>
      </c>
      <c r="Q394" t="n">
        <v>0</v>
      </c>
      <c r="R394" s="2" t="inlineStr"/>
    </row>
    <row r="395" ht="15" customHeight="1">
      <c r="A395" t="inlineStr">
        <is>
          <t>A 26207-2025</t>
        </is>
      </c>
      <c r="B395" s="1" t="n">
        <v>45805.52983796296</v>
      </c>
      <c r="C395" s="1" t="n">
        <v>45915</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11928-2022</t>
        </is>
      </c>
      <c r="B396" s="1" t="n">
        <v>44635</v>
      </c>
      <c r="C396" s="1" t="n">
        <v>45915</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1081-2023</t>
        </is>
      </c>
      <c r="B397" s="1" t="n">
        <v>44935</v>
      </c>
      <c r="C397" s="1" t="n">
        <v>45915</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7047-2022</t>
        </is>
      </c>
      <c r="B398" s="1" t="n">
        <v>44603</v>
      </c>
      <c r="C398" s="1" t="n">
        <v>45915</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12499-2023</t>
        </is>
      </c>
      <c r="B399" s="1" t="n">
        <v>44999.86172453704</v>
      </c>
      <c r="C399" s="1" t="n">
        <v>45915</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12500-2023</t>
        </is>
      </c>
      <c r="B400" s="1" t="n">
        <v>44999.8625</v>
      </c>
      <c r="C400" s="1" t="n">
        <v>45915</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5527-2022</t>
        </is>
      </c>
      <c r="B401" s="1" t="n">
        <v>44595.583125</v>
      </c>
      <c r="C401" s="1" t="n">
        <v>45915</v>
      </c>
      <c r="D401" t="inlineStr">
        <is>
          <t>KALMAR LÄN</t>
        </is>
      </c>
      <c r="E401" t="inlineStr">
        <is>
          <t>VIMMERBY</t>
        </is>
      </c>
      <c r="G401" t="n">
        <v>3.6</v>
      </c>
      <c r="H401" t="n">
        <v>0</v>
      </c>
      <c r="I401" t="n">
        <v>0</v>
      </c>
      <c r="J401" t="n">
        <v>0</v>
      </c>
      <c r="K401" t="n">
        <v>0</v>
      </c>
      <c r="L401" t="n">
        <v>0</v>
      </c>
      <c r="M401" t="n">
        <v>0</v>
      </c>
      <c r="N401" t="n">
        <v>0</v>
      </c>
      <c r="O401" t="n">
        <v>0</v>
      </c>
      <c r="P401" t="n">
        <v>0</v>
      </c>
      <c r="Q401" t="n">
        <v>0</v>
      </c>
      <c r="R401" s="2" t="inlineStr"/>
    </row>
    <row r="402" ht="15" customHeight="1">
      <c r="A402" t="inlineStr">
        <is>
          <t>A 6066-2023</t>
        </is>
      </c>
      <c r="B402" s="1" t="n">
        <v>44964.50894675926</v>
      </c>
      <c r="C402" s="1" t="n">
        <v>45915</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33103-2024</t>
        </is>
      </c>
      <c r="B403" s="1" t="n">
        <v>45517.8162037037</v>
      </c>
      <c r="C403" s="1" t="n">
        <v>45915</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33161-2024</t>
        </is>
      </c>
      <c r="B404" s="1" t="n">
        <v>45518.40657407408</v>
      </c>
      <c r="C404" s="1" t="n">
        <v>45915</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12510-2022</t>
        </is>
      </c>
      <c r="B405" s="1" t="n">
        <v>44638.55256944444</v>
      </c>
      <c r="C405" s="1" t="n">
        <v>45915</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49461-2023</t>
        </is>
      </c>
      <c r="B406" s="1" t="n">
        <v>45211.52642361111</v>
      </c>
      <c r="C406" s="1" t="n">
        <v>45915</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49474-2023</t>
        </is>
      </c>
      <c r="B407" s="1" t="n">
        <v>45211.541875</v>
      </c>
      <c r="C407" s="1" t="n">
        <v>45915</v>
      </c>
      <c r="D407" t="inlineStr">
        <is>
          <t>KALMAR LÄN</t>
        </is>
      </c>
      <c r="E407" t="inlineStr">
        <is>
          <t>VIMMERBY</t>
        </is>
      </c>
      <c r="G407" t="n">
        <v>3.6</v>
      </c>
      <c r="H407" t="n">
        <v>0</v>
      </c>
      <c r="I407" t="n">
        <v>0</v>
      </c>
      <c r="J407" t="n">
        <v>0</v>
      </c>
      <c r="K407" t="n">
        <v>0</v>
      </c>
      <c r="L407" t="n">
        <v>0</v>
      </c>
      <c r="M407" t="n">
        <v>0</v>
      </c>
      <c r="N407" t="n">
        <v>0</v>
      </c>
      <c r="O407" t="n">
        <v>0</v>
      </c>
      <c r="P407" t="n">
        <v>0</v>
      </c>
      <c r="Q407" t="n">
        <v>0</v>
      </c>
      <c r="R407" s="2" t="inlineStr"/>
    </row>
    <row r="408" ht="15" customHeight="1">
      <c r="A408" t="inlineStr">
        <is>
          <t>A 61861-2024</t>
        </is>
      </c>
      <c r="B408" s="1" t="n">
        <v>45650.37370370371</v>
      </c>
      <c r="C408" s="1" t="n">
        <v>45915</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1146-2025</t>
        </is>
      </c>
      <c r="B409" s="1" t="n">
        <v>45666</v>
      </c>
      <c r="C409" s="1" t="n">
        <v>45915</v>
      </c>
      <c r="D409" t="inlineStr">
        <is>
          <t>KALMAR LÄN</t>
        </is>
      </c>
      <c r="E409" t="inlineStr">
        <is>
          <t>VIMMERBY</t>
        </is>
      </c>
      <c r="G409" t="n">
        <v>4</v>
      </c>
      <c r="H409" t="n">
        <v>0</v>
      </c>
      <c r="I409" t="n">
        <v>0</v>
      </c>
      <c r="J409" t="n">
        <v>0</v>
      </c>
      <c r="K409" t="n">
        <v>0</v>
      </c>
      <c r="L409" t="n">
        <v>0</v>
      </c>
      <c r="M409" t="n">
        <v>0</v>
      </c>
      <c r="N409" t="n">
        <v>0</v>
      </c>
      <c r="O409" t="n">
        <v>0</v>
      </c>
      <c r="P409" t="n">
        <v>0</v>
      </c>
      <c r="Q409" t="n">
        <v>0</v>
      </c>
      <c r="R409" s="2" t="inlineStr"/>
    </row>
    <row r="410" ht="15" customHeight="1">
      <c r="A410" t="inlineStr">
        <is>
          <t>A 45846-2023</t>
        </is>
      </c>
      <c r="B410" s="1" t="n">
        <v>45195.58452546296</v>
      </c>
      <c r="C410" s="1" t="n">
        <v>45915</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8167-2024</t>
        </is>
      </c>
      <c r="B411" s="1" t="n">
        <v>45351.6062962963</v>
      </c>
      <c r="C411" s="1" t="n">
        <v>45915</v>
      </c>
      <c r="D411" t="inlineStr">
        <is>
          <t>KALMAR LÄN</t>
        </is>
      </c>
      <c r="E411" t="inlineStr">
        <is>
          <t>VIMMERBY</t>
        </is>
      </c>
      <c r="G411" t="n">
        <v>3.8</v>
      </c>
      <c r="H411" t="n">
        <v>0</v>
      </c>
      <c r="I411" t="n">
        <v>0</v>
      </c>
      <c r="J411" t="n">
        <v>0</v>
      </c>
      <c r="K411" t="n">
        <v>0</v>
      </c>
      <c r="L411" t="n">
        <v>0</v>
      </c>
      <c r="M411" t="n">
        <v>0</v>
      </c>
      <c r="N411" t="n">
        <v>0</v>
      </c>
      <c r="O411" t="n">
        <v>0</v>
      </c>
      <c r="P411" t="n">
        <v>0</v>
      </c>
      <c r="Q411" t="n">
        <v>0</v>
      </c>
      <c r="R411" s="2" t="inlineStr"/>
    </row>
    <row r="412" ht="15" customHeight="1">
      <c r="A412" t="inlineStr">
        <is>
          <t>A 12890-2023</t>
        </is>
      </c>
      <c r="B412" s="1" t="n">
        <v>45001.59209490741</v>
      </c>
      <c r="C412" s="1" t="n">
        <v>45915</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3902-2022</t>
        </is>
      </c>
      <c r="B413" s="1" t="n">
        <v>44587.48847222222</v>
      </c>
      <c r="C413" s="1" t="n">
        <v>45915</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49382-2023</t>
        </is>
      </c>
      <c r="B414" s="1" t="n">
        <v>45208</v>
      </c>
      <c r="C414" s="1" t="n">
        <v>45915</v>
      </c>
      <c r="D414" t="inlineStr">
        <is>
          <t>KALMAR LÄN</t>
        </is>
      </c>
      <c r="E414" t="inlineStr">
        <is>
          <t>VIMMERBY</t>
        </is>
      </c>
      <c r="G414" t="n">
        <v>2.2</v>
      </c>
      <c r="H414" t="n">
        <v>0</v>
      </c>
      <c r="I414" t="n">
        <v>0</v>
      </c>
      <c r="J414" t="n">
        <v>0</v>
      </c>
      <c r="K414" t="n">
        <v>0</v>
      </c>
      <c r="L414" t="n">
        <v>0</v>
      </c>
      <c r="M414" t="n">
        <v>0</v>
      </c>
      <c r="N414" t="n">
        <v>0</v>
      </c>
      <c r="O414" t="n">
        <v>0</v>
      </c>
      <c r="P414" t="n">
        <v>0</v>
      </c>
      <c r="Q414" t="n">
        <v>0</v>
      </c>
      <c r="R414" s="2" t="inlineStr"/>
    </row>
    <row r="415" ht="15" customHeight="1">
      <c r="A415" t="inlineStr">
        <is>
          <t>A 12121-2025</t>
        </is>
      </c>
      <c r="B415" s="1" t="n">
        <v>45729.36868055556</v>
      </c>
      <c r="C415" s="1" t="n">
        <v>45915</v>
      </c>
      <c r="D415" t="inlineStr">
        <is>
          <t>KALMAR LÄN</t>
        </is>
      </c>
      <c r="E415" t="inlineStr">
        <is>
          <t>VIMMERBY</t>
        </is>
      </c>
      <c r="G415" t="n">
        <v>4.3</v>
      </c>
      <c r="H415" t="n">
        <v>0</v>
      </c>
      <c r="I415" t="n">
        <v>0</v>
      </c>
      <c r="J415" t="n">
        <v>0</v>
      </c>
      <c r="K415" t="n">
        <v>0</v>
      </c>
      <c r="L415" t="n">
        <v>0</v>
      </c>
      <c r="M415" t="n">
        <v>0</v>
      </c>
      <c r="N415" t="n">
        <v>0</v>
      </c>
      <c r="O415" t="n">
        <v>0</v>
      </c>
      <c r="P415" t="n">
        <v>0</v>
      </c>
      <c r="Q415" t="n">
        <v>0</v>
      </c>
      <c r="R415" s="2" t="inlineStr"/>
    </row>
    <row r="416" ht="15" customHeight="1">
      <c r="A416" t="inlineStr">
        <is>
          <t>A 89-2023</t>
        </is>
      </c>
      <c r="B416" s="1" t="n">
        <v>44918</v>
      </c>
      <c r="C416" s="1" t="n">
        <v>45915</v>
      </c>
      <c r="D416" t="inlineStr">
        <is>
          <t>KALMAR LÄN</t>
        </is>
      </c>
      <c r="E416" t="inlineStr">
        <is>
          <t>VIMMERBY</t>
        </is>
      </c>
      <c r="G416" t="n">
        <v>16.1</v>
      </c>
      <c r="H416" t="n">
        <v>0</v>
      </c>
      <c r="I416" t="n">
        <v>0</v>
      </c>
      <c r="J416" t="n">
        <v>0</v>
      </c>
      <c r="K416" t="n">
        <v>0</v>
      </c>
      <c r="L416" t="n">
        <v>0</v>
      </c>
      <c r="M416" t="n">
        <v>0</v>
      </c>
      <c r="N416" t="n">
        <v>0</v>
      </c>
      <c r="O416" t="n">
        <v>0</v>
      </c>
      <c r="P416" t="n">
        <v>0</v>
      </c>
      <c r="Q416" t="n">
        <v>0</v>
      </c>
      <c r="R416" s="2" t="inlineStr"/>
    </row>
    <row r="417" ht="15" customHeight="1">
      <c r="A417" t="inlineStr">
        <is>
          <t>A 5382-2023</t>
        </is>
      </c>
      <c r="B417" s="1" t="n">
        <v>44959.66407407408</v>
      </c>
      <c r="C417" s="1" t="n">
        <v>45915</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6668-2023</t>
        </is>
      </c>
      <c r="B418" s="1" t="n">
        <v>44966</v>
      </c>
      <c r="C418" s="1" t="n">
        <v>45915</v>
      </c>
      <c r="D418" t="inlineStr">
        <is>
          <t>KALMAR LÄN</t>
        </is>
      </c>
      <c r="E418" t="inlineStr">
        <is>
          <t>VIMMERBY</t>
        </is>
      </c>
      <c r="G418" t="n">
        <v>0.9</v>
      </c>
      <c r="H418" t="n">
        <v>0</v>
      </c>
      <c r="I418" t="n">
        <v>0</v>
      </c>
      <c r="J418" t="n">
        <v>0</v>
      </c>
      <c r="K418" t="n">
        <v>0</v>
      </c>
      <c r="L418" t="n">
        <v>0</v>
      </c>
      <c r="M418" t="n">
        <v>0</v>
      </c>
      <c r="N418" t="n">
        <v>0</v>
      </c>
      <c r="O418" t="n">
        <v>0</v>
      </c>
      <c r="P418" t="n">
        <v>0</v>
      </c>
      <c r="Q418" t="n">
        <v>0</v>
      </c>
      <c r="R418" s="2" t="inlineStr"/>
    </row>
    <row r="419" ht="15" customHeight="1">
      <c r="A419" t="inlineStr">
        <is>
          <t>A 172-2022</t>
        </is>
      </c>
      <c r="B419" s="1" t="n">
        <v>44564.62598379629</v>
      </c>
      <c r="C419" s="1" t="n">
        <v>45915</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35846-2023</t>
        </is>
      </c>
      <c r="B420" s="1" t="n">
        <v>45148</v>
      </c>
      <c r="C420" s="1" t="n">
        <v>45915</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35913-2023</t>
        </is>
      </c>
      <c r="B421" s="1" t="n">
        <v>45148</v>
      </c>
      <c r="C421" s="1" t="n">
        <v>45915</v>
      </c>
      <c r="D421" t="inlineStr">
        <is>
          <t>KALMAR LÄN</t>
        </is>
      </c>
      <c r="E421" t="inlineStr">
        <is>
          <t>VIMMERBY</t>
        </is>
      </c>
      <c r="G421" t="n">
        <v>6.9</v>
      </c>
      <c r="H421" t="n">
        <v>0</v>
      </c>
      <c r="I421" t="n">
        <v>0</v>
      </c>
      <c r="J421" t="n">
        <v>0</v>
      </c>
      <c r="K421" t="n">
        <v>0</v>
      </c>
      <c r="L421" t="n">
        <v>0</v>
      </c>
      <c r="M421" t="n">
        <v>0</v>
      </c>
      <c r="N421" t="n">
        <v>0</v>
      </c>
      <c r="O421" t="n">
        <v>0</v>
      </c>
      <c r="P421" t="n">
        <v>0</v>
      </c>
      <c r="Q421" t="n">
        <v>0</v>
      </c>
      <c r="R421" s="2" t="inlineStr"/>
    </row>
    <row r="422" ht="15" customHeight="1">
      <c r="A422" t="inlineStr">
        <is>
          <t>A 30634-2024</t>
        </is>
      </c>
      <c r="B422" s="1" t="n">
        <v>45495</v>
      </c>
      <c r="C422" s="1" t="n">
        <v>45915</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38757-2023</t>
        </is>
      </c>
      <c r="B423" s="1" t="n">
        <v>45163.41376157408</v>
      </c>
      <c r="C423" s="1" t="n">
        <v>45915</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6355-2022</t>
        </is>
      </c>
      <c r="B424" s="1" t="n">
        <v>44600</v>
      </c>
      <c r="C424" s="1" t="n">
        <v>45915</v>
      </c>
      <c r="D424" t="inlineStr">
        <is>
          <t>KALMAR LÄN</t>
        </is>
      </c>
      <c r="E424" t="inlineStr">
        <is>
          <t>VIMMERBY</t>
        </is>
      </c>
      <c r="G424" t="n">
        <v>4.9</v>
      </c>
      <c r="H424" t="n">
        <v>0</v>
      </c>
      <c r="I424" t="n">
        <v>0</v>
      </c>
      <c r="J424" t="n">
        <v>0</v>
      </c>
      <c r="K424" t="n">
        <v>0</v>
      </c>
      <c r="L424" t="n">
        <v>0</v>
      </c>
      <c r="M424" t="n">
        <v>0</v>
      </c>
      <c r="N424" t="n">
        <v>0</v>
      </c>
      <c r="O424" t="n">
        <v>0</v>
      </c>
      <c r="P424" t="n">
        <v>0</v>
      </c>
      <c r="Q424" t="n">
        <v>0</v>
      </c>
      <c r="R424" s="2" t="inlineStr"/>
    </row>
    <row r="425" ht="15" customHeight="1">
      <c r="A425" t="inlineStr">
        <is>
          <t>A 20136-2024</t>
        </is>
      </c>
      <c r="B425" s="1" t="n">
        <v>45434.56291666667</v>
      </c>
      <c r="C425" s="1" t="n">
        <v>45915</v>
      </c>
      <c r="D425" t="inlineStr">
        <is>
          <t>KALMAR LÄN</t>
        </is>
      </c>
      <c r="E425" t="inlineStr">
        <is>
          <t>VIMMERBY</t>
        </is>
      </c>
      <c r="F425" t="inlineStr">
        <is>
          <t>Sveaskog</t>
        </is>
      </c>
      <c r="G425" t="n">
        <v>8.4</v>
      </c>
      <c r="H425" t="n">
        <v>0</v>
      </c>
      <c r="I425" t="n">
        <v>0</v>
      </c>
      <c r="J425" t="n">
        <v>0</v>
      </c>
      <c r="K425" t="n">
        <v>0</v>
      </c>
      <c r="L425" t="n">
        <v>0</v>
      </c>
      <c r="M425" t="n">
        <v>0</v>
      </c>
      <c r="N425" t="n">
        <v>0</v>
      </c>
      <c r="O425" t="n">
        <v>0</v>
      </c>
      <c r="P425" t="n">
        <v>0</v>
      </c>
      <c r="Q425" t="n">
        <v>0</v>
      </c>
      <c r="R425" s="2" t="inlineStr"/>
    </row>
    <row r="426" ht="15" customHeight="1">
      <c r="A426" t="inlineStr">
        <is>
          <t>A 16020-2023</t>
        </is>
      </c>
      <c r="B426" s="1" t="n">
        <v>45026.82216435186</v>
      </c>
      <c r="C426" s="1" t="n">
        <v>45915</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24283-2023</t>
        </is>
      </c>
      <c r="B427" s="1" t="n">
        <v>45079.87827546296</v>
      </c>
      <c r="C427" s="1" t="n">
        <v>45915</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27719-2025</t>
        </is>
      </c>
      <c r="B428" s="1" t="n">
        <v>45814.3865625</v>
      </c>
      <c r="C428" s="1" t="n">
        <v>45915</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27718-2025</t>
        </is>
      </c>
      <c r="B429" s="1" t="n">
        <v>45814.38221064815</v>
      </c>
      <c r="C429" s="1" t="n">
        <v>45915</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60292-2022</t>
        </is>
      </c>
      <c r="B430" s="1" t="n">
        <v>44910.54231481482</v>
      </c>
      <c r="C430" s="1" t="n">
        <v>45915</v>
      </c>
      <c r="D430" t="inlineStr">
        <is>
          <t>KALMAR LÄN</t>
        </is>
      </c>
      <c r="E430" t="inlineStr">
        <is>
          <t>VIMMERBY</t>
        </is>
      </c>
      <c r="G430" t="n">
        <v>4.4</v>
      </c>
      <c r="H430" t="n">
        <v>0</v>
      </c>
      <c r="I430" t="n">
        <v>0</v>
      </c>
      <c r="J430" t="n">
        <v>0</v>
      </c>
      <c r="K430" t="n">
        <v>0</v>
      </c>
      <c r="L430" t="n">
        <v>0</v>
      </c>
      <c r="M430" t="n">
        <v>0</v>
      </c>
      <c r="N430" t="n">
        <v>0</v>
      </c>
      <c r="O430" t="n">
        <v>0</v>
      </c>
      <c r="P430" t="n">
        <v>0</v>
      </c>
      <c r="Q430" t="n">
        <v>0</v>
      </c>
      <c r="R430" s="2" t="inlineStr"/>
    </row>
    <row r="431" ht="15" customHeight="1">
      <c r="A431" t="inlineStr">
        <is>
          <t>A 43034-2024</t>
        </is>
      </c>
      <c r="B431" s="1" t="n">
        <v>45567.42011574074</v>
      </c>
      <c r="C431" s="1" t="n">
        <v>45915</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40256-2024</t>
        </is>
      </c>
      <c r="B432" s="1" t="n">
        <v>45554.62944444444</v>
      </c>
      <c r="C432" s="1" t="n">
        <v>45915</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59598-2023</t>
        </is>
      </c>
      <c r="B433" s="1" t="n">
        <v>45254.62489583333</v>
      </c>
      <c r="C433" s="1" t="n">
        <v>45915</v>
      </c>
      <c r="D433" t="inlineStr">
        <is>
          <t>KALMAR LÄN</t>
        </is>
      </c>
      <c r="E433" t="inlineStr">
        <is>
          <t>VIMMERBY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28290-2025</t>
        </is>
      </c>
      <c r="B434" s="1" t="n">
        <v>45818.59261574074</v>
      </c>
      <c r="C434" s="1" t="n">
        <v>45915</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30920-2023</t>
        </is>
      </c>
      <c r="B435" s="1" t="n">
        <v>45113.43921296296</v>
      </c>
      <c r="C435" s="1" t="n">
        <v>45915</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28280-2025</t>
        </is>
      </c>
      <c r="B436" s="1" t="n">
        <v>45818.5862037037</v>
      </c>
      <c r="C436" s="1" t="n">
        <v>45915</v>
      </c>
      <c r="D436" t="inlineStr">
        <is>
          <t>KALMAR LÄN</t>
        </is>
      </c>
      <c r="E436" t="inlineStr">
        <is>
          <t>VIMMERBY</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28286-2025</t>
        </is>
      </c>
      <c r="B437" s="1" t="n">
        <v>45818.58993055556</v>
      </c>
      <c r="C437" s="1" t="n">
        <v>45915</v>
      </c>
      <c r="D437" t="inlineStr">
        <is>
          <t>KALMAR LÄN</t>
        </is>
      </c>
      <c r="E437" t="inlineStr">
        <is>
          <t>VIMMERBY</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28282-2025</t>
        </is>
      </c>
      <c r="B438" s="1" t="n">
        <v>45818.58769675926</v>
      </c>
      <c r="C438" s="1" t="n">
        <v>45915</v>
      </c>
      <c r="D438" t="inlineStr">
        <is>
          <t>KALMAR LÄN</t>
        </is>
      </c>
      <c r="E438" t="inlineStr">
        <is>
          <t>VIMMERBY</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28294-2025</t>
        </is>
      </c>
      <c r="B439" s="1" t="n">
        <v>45818.595625</v>
      </c>
      <c r="C439" s="1" t="n">
        <v>45915</v>
      </c>
      <c r="D439" t="inlineStr">
        <is>
          <t>KALMAR LÄN</t>
        </is>
      </c>
      <c r="E439" t="inlineStr">
        <is>
          <t>VIMMERBY</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43093-2024</t>
        </is>
      </c>
      <c r="B440" s="1" t="n">
        <v>45567</v>
      </c>
      <c r="C440" s="1" t="n">
        <v>45915</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40929-2022</t>
        </is>
      </c>
      <c r="B441" s="1" t="n">
        <v>44825.4336574074</v>
      </c>
      <c r="C441" s="1" t="n">
        <v>45915</v>
      </c>
      <c r="D441" t="inlineStr">
        <is>
          <t>KALMAR LÄN</t>
        </is>
      </c>
      <c r="E441" t="inlineStr">
        <is>
          <t>VIMMERBY</t>
        </is>
      </c>
      <c r="G441" t="n">
        <v>2.5</v>
      </c>
      <c r="H441" t="n">
        <v>0</v>
      </c>
      <c r="I441" t="n">
        <v>0</v>
      </c>
      <c r="J441" t="n">
        <v>0</v>
      </c>
      <c r="K441" t="n">
        <v>0</v>
      </c>
      <c r="L441" t="n">
        <v>0</v>
      </c>
      <c r="M441" t="n">
        <v>0</v>
      </c>
      <c r="N441" t="n">
        <v>0</v>
      </c>
      <c r="O441" t="n">
        <v>0</v>
      </c>
      <c r="P441" t="n">
        <v>0</v>
      </c>
      <c r="Q441" t="n">
        <v>0</v>
      </c>
      <c r="R441" s="2" t="inlineStr"/>
    </row>
    <row r="442" ht="15" customHeight="1">
      <c r="A442" t="inlineStr">
        <is>
          <t>A 35198-2023</t>
        </is>
      </c>
      <c r="B442" s="1" t="n">
        <v>45145</v>
      </c>
      <c r="C442" s="1" t="n">
        <v>45915</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33380-2023</t>
        </is>
      </c>
      <c r="B443" s="1" t="n">
        <v>45128</v>
      </c>
      <c r="C443" s="1" t="n">
        <v>45915</v>
      </c>
      <c r="D443" t="inlineStr">
        <is>
          <t>KALMAR LÄN</t>
        </is>
      </c>
      <c r="E443" t="inlineStr">
        <is>
          <t>VIMMERBY</t>
        </is>
      </c>
      <c r="G443" t="n">
        <v>5.2</v>
      </c>
      <c r="H443" t="n">
        <v>0</v>
      </c>
      <c r="I443" t="n">
        <v>0</v>
      </c>
      <c r="J443" t="n">
        <v>0</v>
      </c>
      <c r="K443" t="n">
        <v>0</v>
      </c>
      <c r="L443" t="n">
        <v>0</v>
      </c>
      <c r="M443" t="n">
        <v>0</v>
      </c>
      <c r="N443" t="n">
        <v>0</v>
      </c>
      <c r="O443" t="n">
        <v>0</v>
      </c>
      <c r="P443" t="n">
        <v>0</v>
      </c>
      <c r="Q443" t="n">
        <v>0</v>
      </c>
      <c r="R443" s="2" t="inlineStr"/>
    </row>
    <row r="444" ht="15" customHeight="1">
      <c r="A444" t="inlineStr">
        <is>
          <t>A 46144-2023</t>
        </is>
      </c>
      <c r="B444" s="1" t="n">
        <v>45196.57247685185</v>
      </c>
      <c r="C444" s="1" t="n">
        <v>45915</v>
      </c>
      <c r="D444" t="inlineStr">
        <is>
          <t>KALMAR LÄN</t>
        </is>
      </c>
      <c r="E444" t="inlineStr">
        <is>
          <t>VIMMERBY</t>
        </is>
      </c>
      <c r="G444" t="n">
        <v>6.5</v>
      </c>
      <c r="H444" t="n">
        <v>0</v>
      </c>
      <c r="I444" t="n">
        <v>0</v>
      </c>
      <c r="J444" t="n">
        <v>0</v>
      </c>
      <c r="K444" t="n">
        <v>0</v>
      </c>
      <c r="L444" t="n">
        <v>0</v>
      </c>
      <c r="M444" t="n">
        <v>0</v>
      </c>
      <c r="N444" t="n">
        <v>0</v>
      </c>
      <c r="O444" t="n">
        <v>0</v>
      </c>
      <c r="P444" t="n">
        <v>0</v>
      </c>
      <c r="Q444" t="n">
        <v>0</v>
      </c>
      <c r="R444" s="2" t="inlineStr"/>
    </row>
    <row r="445" ht="15" customHeight="1">
      <c r="A445" t="inlineStr">
        <is>
          <t>A 28713-2025</t>
        </is>
      </c>
      <c r="B445" s="1" t="n">
        <v>45820.33930555556</v>
      </c>
      <c r="C445" s="1" t="n">
        <v>45915</v>
      </c>
      <c r="D445" t="inlineStr">
        <is>
          <t>KALMAR LÄN</t>
        </is>
      </c>
      <c r="E445" t="inlineStr">
        <is>
          <t>VIMMERBY</t>
        </is>
      </c>
      <c r="G445" t="n">
        <v>2.3</v>
      </c>
      <c r="H445" t="n">
        <v>0</v>
      </c>
      <c r="I445" t="n">
        <v>0</v>
      </c>
      <c r="J445" t="n">
        <v>0</v>
      </c>
      <c r="K445" t="n">
        <v>0</v>
      </c>
      <c r="L445" t="n">
        <v>0</v>
      </c>
      <c r="M445" t="n">
        <v>0</v>
      </c>
      <c r="N445" t="n">
        <v>0</v>
      </c>
      <c r="O445" t="n">
        <v>0</v>
      </c>
      <c r="P445" t="n">
        <v>0</v>
      </c>
      <c r="Q445" t="n">
        <v>0</v>
      </c>
      <c r="R445" s="2" t="inlineStr"/>
    </row>
    <row r="446" ht="15" customHeight="1">
      <c r="A446" t="inlineStr">
        <is>
          <t>A 28712-2025</t>
        </is>
      </c>
      <c r="B446" s="1" t="n">
        <v>45820.33708333333</v>
      </c>
      <c r="C446" s="1" t="n">
        <v>45915</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28714-2025</t>
        </is>
      </c>
      <c r="B447" s="1" t="n">
        <v>45820.34128472222</v>
      </c>
      <c r="C447" s="1" t="n">
        <v>45915</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28620-2025</t>
        </is>
      </c>
      <c r="B448" s="1" t="n">
        <v>45819.61060185185</v>
      </c>
      <c r="C448" s="1" t="n">
        <v>45915</v>
      </c>
      <c r="D448" t="inlineStr">
        <is>
          <t>KALMAR LÄN</t>
        </is>
      </c>
      <c r="E448" t="inlineStr">
        <is>
          <t>VIMMERBY</t>
        </is>
      </c>
      <c r="G448" t="n">
        <v>5.6</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45915</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15715-2022</t>
        </is>
      </c>
      <c r="B450" s="1" t="n">
        <v>44663</v>
      </c>
      <c r="C450" s="1" t="n">
        <v>45915</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58374-2024</t>
        </is>
      </c>
      <c r="B451" s="1" t="n">
        <v>45632.72635416667</v>
      </c>
      <c r="C451" s="1" t="n">
        <v>45915</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43774-2023</t>
        </is>
      </c>
      <c r="B452" s="1" t="n">
        <v>45187</v>
      </c>
      <c r="C452" s="1" t="n">
        <v>45915</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43705-2023</t>
        </is>
      </c>
      <c r="B453" s="1" t="n">
        <v>45187.42854166667</v>
      </c>
      <c r="C453" s="1" t="n">
        <v>45915</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7932-2025</t>
        </is>
      </c>
      <c r="B454" s="1" t="n">
        <v>45707.3793287037</v>
      </c>
      <c r="C454" s="1" t="n">
        <v>45915</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13532-2025</t>
        </is>
      </c>
      <c r="B455" s="1" t="n">
        <v>45736.50743055555</v>
      </c>
      <c r="C455" s="1" t="n">
        <v>45915</v>
      </c>
      <c r="D455" t="inlineStr">
        <is>
          <t>KALMAR LÄN</t>
        </is>
      </c>
      <c r="E455" t="inlineStr">
        <is>
          <t>VIMMERBY</t>
        </is>
      </c>
      <c r="G455" t="n">
        <v>3.6</v>
      </c>
      <c r="H455" t="n">
        <v>0</v>
      </c>
      <c r="I455" t="n">
        <v>0</v>
      </c>
      <c r="J455" t="n">
        <v>0</v>
      </c>
      <c r="K455" t="n">
        <v>0</v>
      </c>
      <c r="L455" t="n">
        <v>0</v>
      </c>
      <c r="M455" t="n">
        <v>0</v>
      </c>
      <c r="N455" t="n">
        <v>0</v>
      </c>
      <c r="O455" t="n">
        <v>0</v>
      </c>
      <c r="P455" t="n">
        <v>0</v>
      </c>
      <c r="Q455" t="n">
        <v>0</v>
      </c>
      <c r="R455" s="2" t="inlineStr"/>
    </row>
    <row r="456" ht="15" customHeight="1">
      <c r="A456" t="inlineStr">
        <is>
          <t>A 65049-2020</t>
        </is>
      </c>
      <c r="B456" s="1" t="n">
        <v>44172</v>
      </c>
      <c r="C456" s="1" t="n">
        <v>45915</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55300-2021</t>
        </is>
      </c>
      <c r="B457" s="1" t="n">
        <v>44475</v>
      </c>
      <c r="C457" s="1" t="n">
        <v>45915</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47263-2023</t>
        </is>
      </c>
      <c r="B458" s="1" t="n">
        <v>45202.4209837963</v>
      </c>
      <c r="C458" s="1" t="n">
        <v>45915</v>
      </c>
      <c r="D458" t="inlineStr">
        <is>
          <t>KALMAR LÄN</t>
        </is>
      </c>
      <c r="E458" t="inlineStr">
        <is>
          <t>VIMMERBY</t>
        </is>
      </c>
      <c r="G458" t="n">
        <v>1.8</v>
      </c>
      <c r="H458" t="n">
        <v>0</v>
      </c>
      <c r="I458" t="n">
        <v>0</v>
      </c>
      <c r="J458" t="n">
        <v>0</v>
      </c>
      <c r="K458" t="n">
        <v>0</v>
      </c>
      <c r="L458" t="n">
        <v>0</v>
      </c>
      <c r="M458" t="n">
        <v>0</v>
      </c>
      <c r="N458" t="n">
        <v>0</v>
      </c>
      <c r="O458" t="n">
        <v>0</v>
      </c>
      <c r="P458" t="n">
        <v>0</v>
      </c>
      <c r="Q458" t="n">
        <v>0</v>
      </c>
      <c r="R458" s="2" t="inlineStr"/>
    </row>
    <row r="459" ht="15" customHeight="1">
      <c r="A459" t="inlineStr">
        <is>
          <t>A 29727-2025</t>
        </is>
      </c>
      <c r="B459" s="1" t="n">
        <v>45825.5796875</v>
      </c>
      <c r="C459" s="1" t="n">
        <v>45915</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29737-2025</t>
        </is>
      </c>
      <c r="B460" s="1" t="n">
        <v>45825.58672453704</v>
      </c>
      <c r="C460" s="1" t="n">
        <v>45915</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45915</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45915</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29726-2025</t>
        </is>
      </c>
      <c r="B463" s="1" t="n">
        <v>45825.57805555555</v>
      </c>
      <c r="C463" s="1" t="n">
        <v>45915</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29724-2025</t>
        </is>
      </c>
      <c r="B464" s="1" t="n">
        <v>45825.57680555555</v>
      </c>
      <c r="C464" s="1" t="n">
        <v>45915</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41311-2023</t>
        </is>
      </c>
      <c r="B465" s="1" t="n">
        <v>45174</v>
      </c>
      <c r="C465" s="1" t="n">
        <v>45915</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2536-2023</t>
        </is>
      </c>
      <c r="B466" s="1" t="n">
        <v>44943.62954861111</v>
      </c>
      <c r="C466" s="1" t="n">
        <v>45915</v>
      </c>
      <c r="D466" t="inlineStr">
        <is>
          <t>KALMAR LÄN</t>
        </is>
      </c>
      <c r="E466" t="inlineStr">
        <is>
          <t>VIMMERBY</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2801-2023</t>
        </is>
      </c>
      <c r="B467" s="1" t="n">
        <v>44944.73487268519</v>
      </c>
      <c r="C467" s="1" t="n">
        <v>45915</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30293-2025</t>
        </is>
      </c>
      <c r="B468" s="1" t="n">
        <v>45827</v>
      </c>
      <c r="C468" s="1" t="n">
        <v>45915</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17968-2025</t>
        </is>
      </c>
      <c r="B469" s="1" t="n">
        <v>45761.35990740741</v>
      </c>
      <c r="C469" s="1" t="n">
        <v>45915</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10785-2025</t>
        </is>
      </c>
      <c r="B470" s="1" t="n">
        <v>45722.48634259259</v>
      </c>
      <c r="C470" s="1" t="n">
        <v>45915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30290-2025</t>
        </is>
      </c>
      <c r="B471" s="1" t="n">
        <v>45827</v>
      </c>
      <c r="C471" s="1" t="n">
        <v>45915</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10211-2025</t>
        </is>
      </c>
      <c r="B472" s="1" t="n">
        <v>45719.84378472222</v>
      </c>
      <c r="C472" s="1" t="n">
        <v>45915</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14451-2024</t>
        </is>
      </c>
      <c r="B473" s="1" t="n">
        <v>45394.50028935185</v>
      </c>
      <c r="C473" s="1" t="n">
        <v>45915</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30850-2025</t>
        </is>
      </c>
      <c r="B474" s="1" t="n">
        <v>45831</v>
      </c>
      <c r="C474" s="1" t="n">
        <v>45915</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18020-2025</t>
        </is>
      </c>
      <c r="B475" s="1" t="n">
        <v>45761.4437962963</v>
      </c>
      <c r="C475" s="1" t="n">
        <v>45915</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45915</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50993-2022</t>
        </is>
      </c>
      <c r="B477" s="1" t="n">
        <v>44867</v>
      </c>
      <c r="C477" s="1" t="n">
        <v>45915</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45915</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585-2024</t>
        </is>
      </c>
      <c r="B479" s="1" t="n">
        <v>45299.62576388889</v>
      </c>
      <c r="C479" s="1" t="n">
        <v>45915</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36055-2024</t>
        </is>
      </c>
      <c r="B480" s="1" t="n">
        <v>45533.63056712963</v>
      </c>
      <c r="C480" s="1" t="n">
        <v>45915</v>
      </c>
      <c r="D480" t="inlineStr">
        <is>
          <t>KALMAR LÄN</t>
        </is>
      </c>
      <c r="E480" t="inlineStr">
        <is>
          <t>VIMMERBY</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47859-2024</t>
        </is>
      </c>
      <c r="B481" s="1" t="n">
        <v>45588.67070601852</v>
      </c>
      <c r="C481" s="1" t="n">
        <v>45915</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6802-2025</t>
        </is>
      </c>
      <c r="B482" s="1" t="n">
        <v>45700.68289351852</v>
      </c>
      <c r="C482" s="1" t="n">
        <v>45915</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36934-2025</t>
        </is>
      </c>
      <c r="B483" s="1" t="n">
        <v>45874.57109953704</v>
      </c>
      <c r="C483" s="1" t="n">
        <v>45915</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30882-2025</t>
        </is>
      </c>
      <c r="B484" s="1" t="n">
        <v>45832.34540509259</v>
      </c>
      <c r="C484" s="1" t="n">
        <v>45915</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32835-2022</t>
        </is>
      </c>
      <c r="B485" s="1" t="n">
        <v>44784.42528935185</v>
      </c>
      <c r="C485" s="1" t="n">
        <v>45915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30971-2025</t>
        </is>
      </c>
      <c r="B486" s="1" t="n">
        <v>45832.46146990741</v>
      </c>
      <c r="C486" s="1" t="n">
        <v>45915</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56020-2024</t>
        </is>
      </c>
      <c r="B487" s="1" t="n">
        <v>45623.9525462963</v>
      </c>
      <c r="C487" s="1" t="n">
        <v>45915</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33842-2022</t>
        </is>
      </c>
      <c r="B488" s="1" t="n">
        <v>44790.49523148148</v>
      </c>
      <c r="C488" s="1" t="n">
        <v>45915</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60675-2023</t>
        </is>
      </c>
      <c r="B489" s="1" t="n">
        <v>45260.4716550926</v>
      </c>
      <c r="C489" s="1" t="n">
        <v>45915</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31552-2025</t>
        </is>
      </c>
      <c r="B490" s="1" t="n">
        <v>45833.64563657407</v>
      </c>
      <c r="C490" s="1" t="n">
        <v>45915</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31555-2025</t>
        </is>
      </c>
      <c r="B491" s="1" t="n">
        <v>45833.64814814815</v>
      </c>
      <c r="C491" s="1" t="n">
        <v>45915</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40095-2022</t>
        </is>
      </c>
      <c r="B492" s="1" t="n">
        <v>44820</v>
      </c>
      <c r="C492" s="1" t="n">
        <v>45915</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41896-2023</t>
        </is>
      </c>
      <c r="B493" s="1" t="n">
        <v>45176.72427083334</v>
      </c>
      <c r="C493" s="1" t="n">
        <v>45915</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19537-2022</t>
        </is>
      </c>
      <c r="B494" s="1" t="n">
        <v>44693.62822916666</v>
      </c>
      <c r="C494" s="1" t="n">
        <v>45915</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45915</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37088-2025</t>
        </is>
      </c>
      <c r="B496" s="1" t="n">
        <v>45875.45716435185</v>
      </c>
      <c r="C496" s="1" t="n">
        <v>45915</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31870-2025</t>
        </is>
      </c>
      <c r="B497" s="1" t="n">
        <v>45834.64667824074</v>
      </c>
      <c r="C497" s="1" t="n">
        <v>45915</v>
      </c>
      <c r="D497" t="inlineStr">
        <is>
          <t>KALMAR LÄN</t>
        </is>
      </c>
      <c r="E497" t="inlineStr">
        <is>
          <t>VIMMERBY</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43606-2024</t>
        </is>
      </c>
      <c r="B498" s="1" t="n">
        <v>45569.45017361111</v>
      </c>
      <c r="C498" s="1" t="n">
        <v>45915</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57311-2023</t>
        </is>
      </c>
      <c r="B499" s="1" t="n">
        <v>45245.63574074074</v>
      </c>
      <c r="C499" s="1" t="n">
        <v>45915</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45915</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4527-2023</t>
        </is>
      </c>
      <c r="B501" s="1" t="n">
        <v>44956</v>
      </c>
      <c r="C501" s="1" t="n">
        <v>45915</v>
      </c>
      <c r="D501" t="inlineStr">
        <is>
          <t>KALMAR LÄN</t>
        </is>
      </c>
      <c r="E501" t="inlineStr">
        <is>
          <t>VIMMERBY</t>
        </is>
      </c>
      <c r="F501" t="inlineStr">
        <is>
          <t>Kommuner</t>
        </is>
      </c>
      <c r="G501" t="n">
        <v>8.5</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45915</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45915</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8559-2025</t>
        </is>
      </c>
      <c r="B504" s="1" t="n">
        <v>45709.62280092593</v>
      </c>
      <c r="C504" s="1" t="n">
        <v>45915</v>
      </c>
      <c r="D504" t="inlineStr">
        <is>
          <t>KALMAR LÄN</t>
        </is>
      </c>
      <c r="E504" t="inlineStr">
        <is>
          <t>VIMMERBY</t>
        </is>
      </c>
      <c r="G504" t="n">
        <v>8.9</v>
      </c>
      <c r="H504" t="n">
        <v>0</v>
      </c>
      <c r="I504" t="n">
        <v>0</v>
      </c>
      <c r="J504" t="n">
        <v>0</v>
      </c>
      <c r="K504" t="n">
        <v>0</v>
      </c>
      <c r="L504" t="n">
        <v>0</v>
      </c>
      <c r="M504" t="n">
        <v>0</v>
      </c>
      <c r="N504" t="n">
        <v>0</v>
      </c>
      <c r="O504" t="n">
        <v>0</v>
      </c>
      <c r="P504" t="n">
        <v>0</v>
      </c>
      <c r="Q504" t="n">
        <v>0</v>
      </c>
      <c r="R504" s="2" t="inlineStr"/>
    </row>
    <row r="505" ht="15" customHeight="1">
      <c r="A505" t="inlineStr">
        <is>
          <t>A 12325-2023</t>
        </is>
      </c>
      <c r="B505" s="1" t="n">
        <v>44999.35858796296</v>
      </c>
      <c r="C505" s="1" t="n">
        <v>45915</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31872-2025</t>
        </is>
      </c>
      <c r="B506" s="1" t="n">
        <v>45834.65040509259</v>
      </c>
      <c r="C506" s="1" t="n">
        <v>45915</v>
      </c>
      <c r="D506" t="inlineStr">
        <is>
          <t>KALMAR LÄN</t>
        </is>
      </c>
      <c r="E506" t="inlineStr">
        <is>
          <t>VIMMERBY</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31876-2025</t>
        </is>
      </c>
      <c r="B507" s="1" t="n">
        <v>45834.65197916667</v>
      </c>
      <c r="C507" s="1" t="n">
        <v>45915</v>
      </c>
      <c r="D507" t="inlineStr">
        <is>
          <t>KALMAR LÄN</t>
        </is>
      </c>
      <c r="E507" t="inlineStr">
        <is>
          <t>VIMMERBY</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8945-2025</t>
        </is>
      </c>
      <c r="B508" s="1" t="n">
        <v>45713.45311342592</v>
      </c>
      <c r="C508" s="1" t="n">
        <v>45915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51408-2023</t>
        </is>
      </c>
      <c r="B509" s="1" t="n">
        <v>45219.69356481481</v>
      </c>
      <c r="C509" s="1" t="n">
        <v>45915</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31551-2025</t>
        </is>
      </c>
      <c r="B510" s="1" t="n">
        <v>45833.64237268519</v>
      </c>
      <c r="C510" s="1" t="n">
        <v>45915</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40665-2023</t>
        </is>
      </c>
      <c r="B511" s="1" t="n">
        <v>45170</v>
      </c>
      <c r="C511" s="1" t="n">
        <v>45915</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13307-2025</t>
        </is>
      </c>
      <c r="B512" s="1" t="n">
        <v>45735.58024305556</v>
      </c>
      <c r="C512" s="1" t="n">
        <v>45915</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31987-2025</t>
        </is>
      </c>
      <c r="B513" s="1" t="n">
        <v>45835.36229166666</v>
      </c>
      <c r="C513" s="1" t="n">
        <v>45915</v>
      </c>
      <c r="D513" t="inlineStr">
        <is>
          <t>KALMAR LÄN</t>
        </is>
      </c>
      <c r="E513" t="inlineStr">
        <is>
          <t>VIMMERBY</t>
        </is>
      </c>
      <c r="F513" t="inlineStr">
        <is>
          <t>Kyrkan</t>
        </is>
      </c>
      <c r="G513" t="n">
        <v>1.2</v>
      </c>
      <c r="H513" t="n">
        <v>0</v>
      </c>
      <c r="I513" t="n">
        <v>0</v>
      </c>
      <c r="J513" t="n">
        <v>0</v>
      </c>
      <c r="K513" t="n">
        <v>0</v>
      </c>
      <c r="L513" t="n">
        <v>0</v>
      </c>
      <c r="M513" t="n">
        <v>0</v>
      </c>
      <c r="N513" t="n">
        <v>0</v>
      </c>
      <c r="O513" t="n">
        <v>0</v>
      </c>
      <c r="P513" t="n">
        <v>0</v>
      </c>
      <c r="Q513" t="n">
        <v>0</v>
      </c>
      <c r="R513" s="2" t="inlineStr"/>
    </row>
    <row r="514" ht="15" customHeight="1">
      <c r="A514" t="inlineStr">
        <is>
          <t>A 28034-2022</t>
        </is>
      </c>
      <c r="B514" s="1" t="n">
        <v>44746.38834490741</v>
      </c>
      <c r="C514" s="1" t="n">
        <v>45915</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12480-2024</t>
        </is>
      </c>
      <c r="B515" s="1" t="n">
        <v>45379</v>
      </c>
      <c r="C515" s="1" t="n">
        <v>45915</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55605-2024</t>
        </is>
      </c>
      <c r="B516" s="1" t="n">
        <v>45622</v>
      </c>
      <c r="C516" s="1" t="n">
        <v>45915</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42165-2024</t>
        </is>
      </c>
      <c r="B517" s="1" t="n">
        <v>45562.46342592593</v>
      </c>
      <c r="C517" s="1" t="n">
        <v>45915</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32120-2025</t>
        </is>
      </c>
      <c r="B518" s="1" t="n">
        <v>45835.4924537037</v>
      </c>
      <c r="C518" s="1" t="n">
        <v>45915</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52588-2023</t>
        </is>
      </c>
      <c r="B519" s="1" t="n">
        <v>45225.60192129629</v>
      </c>
      <c r="C519" s="1" t="n">
        <v>45915</v>
      </c>
      <c r="D519" t="inlineStr">
        <is>
          <t>KALMAR LÄN</t>
        </is>
      </c>
      <c r="E519" t="inlineStr">
        <is>
          <t>VIMMERBY</t>
        </is>
      </c>
      <c r="G519" t="n">
        <v>2.9</v>
      </c>
      <c r="H519" t="n">
        <v>0</v>
      </c>
      <c r="I519" t="n">
        <v>0</v>
      </c>
      <c r="J519" t="n">
        <v>0</v>
      </c>
      <c r="K519" t="n">
        <v>0</v>
      </c>
      <c r="L519" t="n">
        <v>0</v>
      </c>
      <c r="M519" t="n">
        <v>0</v>
      </c>
      <c r="N519" t="n">
        <v>0</v>
      </c>
      <c r="O519" t="n">
        <v>0</v>
      </c>
      <c r="P519" t="n">
        <v>0</v>
      </c>
      <c r="Q519" t="n">
        <v>0</v>
      </c>
      <c r="R519" s="2" t="inlineStr"/>
    </row>
    <row r="520" ht="15" customHeight="1">
      <c r="A520" t="inlineStr">
        <is>
          <t>A 20129-2024</t>
        </is>
      </c>
      <c r="B520" s="1" t="n">
        <v>45434.55831018519</v>
      </c>
      <c r="C520" s="1" t="n">
        <v>45915</v>
      </c>
      <c r="D520" t="inlineStr">
        <is>
          <t>KALMAR LÄN</t>
        </is>
      </c>
      <c r="E520" t="inlineStr">
        <is>
          <t>VIMMERBY</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20137-2024</t>
        </is>
      </c>
      <c r="B521" s="1" t="n">
        <v>45434.56398148148</v>
      </c>
      <c r="C521" s="1" t="n">
        <v>45915</v>
      </c>
      <c r="D521" t="inlineStr">
        <is>
          <t>KALMAR LÄN</t>
        </is>
      </c>
      <c r="E521" t="inlineStr">
        <is>
          <t>VIMMERBY</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23095-2023</t>
        </is>
      </c>
      <c r="B522" s="1" t="n">
        <v>45075.43059027778</v>
      </c>
      <c r="C522" s="1" t="n">
        <v>45915</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32919-2022</t>
        </is>
      </c>
      <c r="B523" s="1" t="n">
        <v>44784.62724537037</v>
      </c>
      <c r="C523" s="1" t="n">
        <v>45915</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7068-2024</t>
        </is>
      </c>
      <c r="B524" s="1" t="n">
        <v>45343.68038194445</v>
      </c>
      <c r="C524" s="1" t="n">
        <v>45915</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55236-2023</t>
        </is>
      </c>
      <c r="B525" s="1" t="n">
        <v>45237.63225694445</v>
      </c>
      <c r="C525" s="1" t="n">
        <v>45915</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55245-2023</t>
        </is>
      </c>
      <c r="B526" s="1" t="n">
        <v>45237.64408564815</v>
      </c>
      <c r="C526" s="1" t="n">
        <v>45915</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12596-2021</t>
        </is>
      </c>
      <c r="B527" s="1" t="n">
        <v>44270.39765046296</v>
      </c>
      <c r="C527" s="1" t="n">
        <v>45915</v>
      </c>
      <c r="D527" t="inlineStr">
        <is>
          <t>KALMAR LÄN</t>
        </is>
      </c>
      <c r="E527" t="inlineStr">
        <is>
          <t>VIMMERBY</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32655-2023</t>
        </is>
      </c>
      <c r="B528" s="1" t="n">
        <v>45121.61318287037</v>
      </c>
      <c r="C528" s="1" t="n">
        <v>45915</v>
      </c>
      <c r="D528" t="inlineStr">
        <is>
          <t>KALMAR LÄN</t>
        </is>
      </c>
      <c r="E528" t="inlineStr">
        <is>
          <t>VIMMERBY</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32116-2025</t>
        </is>
      </c>
      <c r="B529" s="1" t="n">
        <v>45835.48862268519</v>
      </c>
      <c r="C529" s="1" t="n">
        <v>45915</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37578-2025</t>
        </is>
      </c>
      <c r="B530" s="1" t="n">
        <v>45880.38380787037</v>
      </c>
      <c r="C530" s="1" t="n">
        <v>45915</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19111-2025</t>
        </is>
      </c>
      <c r="B531" s="1" t="n">
        <v>45768.65611111111</v>
      </c>
      <c r="C531" s="1" t="n">
        <v>45915</v>
      </c>
      <c r="D531" t="inlineStr">
        <is>
          <t>KALMAR LÄN</t>
        </is>
      </c>
      <c r="E531" t="inlineStr">
        <is>
          <t>VIMMERBY</t>
        </is>
      </c>
      <c r="G531" t="n">
        <v>6.2</v>
      </c>
      <c r="H531" t="n">
        <v>0</v>
      </c>
      <c r="I531" t="n">
        <v>0</v>
      </c>
      <c r="J531" t="n">
        <v>0</v>
      </c>
      <c r="K531" t="n">
        <v>0</v>
      </c>
      <c r="L531" t="n">
        <v>0</v>
      </c>
      <c r="M531" t="n">
        <v>0</v>
      </c>
      <c r="N531" t="n">
        <v>0</v>
      </c>
      <c r="O531" t="n">
        <v>0</v>
      </c>
      <c r="P531" t="n">
        <v>0</v>
      </c>
      <c r="Q531" t="n">
        <v>0</v>
      </c>
      <c r="R531" s="2" t="inlineStr"/>
    </row>
    <row r="532" ht="15" customHeight="1">
      <c r="A532" t="inlineStr">
        <is>
          <t>A 37668-2025</t>
        </is>
      </c>
      <c r="B532" s="1" t="n">
        <v>45880.51550925926</v>
      </c>
      <c r="C532" s="1" t="n">
        <v>45915</v>
      </c>
      <c r="D532" t="inlineStr">
        <is>
          <t>KALMAR LÄN</t>
        </is>
      </c>
      <c r="E532" t="inlineStr">
        <is>
          <t>VIMMERBY</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32380-2025</t>
        </is>
      </c>
      <c r="B533" s="1" t="n">
        <v>45837.77701388889</v>
      </c>
      <c r="C533" s="1" t="n">
        <v>45915</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54409-2024</t>
        </is>
      </c>
      <c r="B534" s="1" t="n">
        <v>45617.47570601852</v>
      </c>
      <c r="C534" s="1" t="n">
        <v>45915</v>
      </c>
      <c r="D534" t="inlineStr">
        <is>
          <t>KALMAR LÄN</t>
        </is>
      </c>
      <c r="E534" t="inlineStr">
        <is>
          <t>VIMMERBY</t>
        </is>
      </c>
      <c r="G534" t="n">
        <v>4.3</v>
      </c>
      <c r="H534" t="n">
        <v>0</v>
      </c>
      <c r="I534" t="n">
        <v>0</v>
      </c>
      <c r="J534" t="n">
        <v>0</v>
      </c>
      <c r="K534" t="n">
        <v>0</v>
      </c>
      <c r="L534" t="n">
        <v>0</v>
      </c>
      <c r="M534" t="n">
        <v>0</v>
      </c>
      <c r="N534" t="n">
        <v>0</v>
      </c>
      <c r="O534" t="n">
        <v>0</v>
      </c>
      <c r="P534" t="n">
        <v>0</v>
      </c>
      <c r="Q534" t="n">
        <v>0</v>
      </c>
      <c r="R534" s="2" t="inlineStr"/>
    </row>
    <row r="535" ht="15" customHeight="1">
      <c r="A535" t="inlineStr">
        <is>
          <t>A 25370-2022</t>
        </is>
      </c>
      <c r="B535" s="1" t="n">
        <v>44732.3659837963</v>
      </c>
      <c r="C535" s="1" t="n">
        <v>45915</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32109-2025</t>
        </is>
      </c>
      <c r="B536" s="1" t="n">
        <v>45835.48267361111</v>
      </c>
      <c r="C536" s="1" t="n">
        <v>45915</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32113-2025</t>
        </is>
      </c>
      <c r="B537" s="1" t="n">
        <v>45835.48445601852</v>
      </c>
      <c r="C537" s="1" t="n">
        <v>45915</v>
      </c>
      <c r="D537" t="inlineStr">
        <is>
          <t>KALMAR LÄN</t>
        </is>
      </c>
      <c r="E537" t="inlineStr">
        <is>
          <t>VIMMERBY</t>
        </is>
      </c>
      <c r="G537" t="n">
        <v>3.5</v>
      </c>
      <c r="H537" t="n">
        <v>0</v>
      </c>
      <c r="I537" t="n">
        <v>0</v>
      </c>
      <c r="J537" t="n">
        <v>0</v>
      </c>
      <c r="K537" t="n">
        <v>0</v>
      </c>
      <c r="L537" t="n">
        <v>0</v>
      </c>
      <c r="M537" t="n">
        <v>0</v>
      </c>
      <c r="N537" t="n">
        <v>0</v>
      </c>
      <c r="O537" t="n">
        <v>0</v>
      </c>
      <c r="P537" t="n">
        <v>0</v>
      </c>
      <c r="Q537" t="n">
        <v>0</v>
      </c>
      <c r="R537" s="2" t="inlineStr"/>
    </row>
    <row r="538" ht="15" customHeight="1">
      <c r="A538" t="inlineStr">
        <is>
          <t>A 32077-2025</t>
        </is>
      </c>
      <c r="B538" s="1" t="n">
        <v>45835.45099537037</v>
      </c>
      <c r="C538" s="1" t="n">
        <v>45915</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32382-2025</t>
        </is>
      </c>
      <c r="B539" s="1" t="n">
        <v>45837.77916666667</v>
      </c>
      <c r="C539" s="1" t="n">
        <v>45915</v>
      </c>
      <c r="D539" t="inlineStr">
        <is>
          <t>KALMAR LÄN</t>
        </is>
      </c>
      <c r="E539" t="inlineStr">
        <is>
          <t>VIMMERBY</t>
        </is>
      </c>
      <c r="G539" t="n">
        <v>4.6</v>
      </c>
      <c r="H539" t="n">
        <v>0</v>
      </c>
      <c r="I539" t="n">
        <v>0</v>
      </c>
      <c r="J539" t="n">
        <v>0</v>
      </c>
      <c r="K539" t="n">
        <v>0</v>
      </c>
      <c r="L539" t="n">
        <v>0</v>
      </c>
      <c r="M539" t="n">
        <v>0</v>
      </c>
      <c r="N539" t="n">
        <v>0</v>
      </c>
      <c r="O539" t="n">
        <v>0</v>
      </c>
      <c r="P539" t="n">
        <v>0</v>
      </c>
      <c r="Q539" t="n">
        <v>0</v>
      </c>
      <c r="R539" s="2" t="inlineStr"/>
    </row>
    <row r="540" ht="15" customHeight="1">
      <c r="A540" t="inlineStr">
        <is>
          <t>A 9475-2023</t>
        </is>
      </c>
      <c r="B540" s="1" t="n">
        <v>44981.58834490741</v>
      </c>
      <c r="C540" s="1" t="n">
        <v>45915</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32064-2025</t>
        </is>
      </c>
      <c r="B541" s="1" t="n">
        <v>45835.44709490741</v>
      </c>
      <c r="C541" s="1" t="n">
        <v>45915</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32065-2025</t>
        </is>
      </c>
      <c r="B542" s="1" t="n">
        <v>45835.44732638889</v>
      </c>
      <c r="C542" s="1" t="n">
        <v>45915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43092-2024</t>
        </is>
      </c>
      <c r="B543" s="1" t="n">
        <v>45567</v>
      </c>
      <c r="C543" s="1" t="n">
        <v>45915</v>
      </c>
      <c r="D543" t="inlineStr">
        <is>
          <t>KALMAR LÄN</t>
        </is>
      </c>
      <c r="E543" t="inlineStr">
        <is>
          <t>VIMMERBY</t>
        </is>
      </c>
      <c r="G543" t="n">
        <v>2.7</v>
      </c>
      <c r="H543" t="n">
        <v>0</v>
      </c>
      <c r="I543" t="n">
        <v>0</v>
      </c>
      <c r="J543" t="n">
        <v>0</v>
      </c>
      <c r="K543" t="n">
        <v>0</v>
      </c>
      <c r="L543" t="n">
        <v>0</v>
      </c>
      <c r="M543" t="n">
        <v>0</v>
      </c>
      <c r="N543" t="n">
        <v>0</v>
      </c>
      <c r="O543" t="n">
        <v>0</v>
      </c>
      <c r="P543" t="n">
        <v>0</v>
      </c>
      <c r="Q543" t="n">
        <v>0</v>
      </c>
      <c r="R543" s="2" t="inlineStr"/>
    </row>
    <row r="544" ht="15" customHeight="1">
      <c r="A544" t="inlineStr">
        <is>
          <t>A 11619-2023</t>
        </is>
      </c>
      <c r="B544" s="1" t="n">
        <v>44994.42113425926</v>
      </c>
      <c r="C544" s="1" t="n">
        <v>45915</v>
      </c>
      <c r="D544" t="inlineStr">
        <is>
          <t>KALMAR LÄN</t>
        </is>
      </c>
      <c r="E544" t="inlineStr">
        <is>
          <t>VIMMERBY</t>
        </is>
      </c>
      <c r="G544" t="n">
        <v>2.5</v>
      </c>
      <c r="H544" t="n">
        <v>0</v>
      </c>
      <c r="I544" t="n">
        <v>0</v>
      </c>
      <c r="J544" t="n">
        <v>0</v>
      </c>
      <c r="K544" t="n">
        <v>0</v>
      </c>
      <c r="L544" t="n">
        <v>0</v>
      </c>
      <c r="M544" t="n">
        <v>0</v>
      </c>
      <c r="N544" t="n">
        <v>0</v>
      </c>
      <c r="O544" t="n">
        <v>0</v>
      </c>
      <c r="P544" t="n">
        <v>0</v>
      </c>
      <c r="Q544" t="n">
        <v>0</v>
      </c>
      <c r="R544" s="2" t="inlineStr"/>
    </row>
    <row r="545" ht="15" customHeight="1">
      <c r="A545" t="inlineStr">
        <is>
          <t>A 33838-2022</t>
        </is>
      </c>
      <c r="B545" s="1" t="n">
        <v>44790.49040509259</v>
      </c>
      <c r="C545" s="1" t="n">
        <v>45915</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4058-2024</t>
        </is>
      </c>
      <c r="B546" s="1" t="n">
        <v>45323.53744212963</v>
      </c>
      <c r="C546" s="1" t="n">
        <v>45915</v>
      </c>
      <c r="D546" t="inlineStr">
        <is>
          <t>KALMAR LÄN</t>
        </is>
      </c>
      <c r="E546" t="inlineStr">
        <is>
          <t>VIMMERBY</t>
        </is>
      </c>
      <c r="G546" t="n">
        <v>6.5</v>
      </c>
      <c r="H546" t="n">
        <v>0</v>
      </c>
      <c r="I546" t="n">
        <v>0</v>
      </c>
      <c r="J546" t="n">
        <v>0</v>
      </c>
      <c r="K546" t="n">
        <v>0</v>
      </c>
      <c r="L546" t="n">
        <v>0</v>
      </c>
      <c r="M546" t="n">
        <v>0</v>
      </c>
      <c r="N546" t="n">
        <v>0</v>
      </c>
      <c r="O546" t="n">
        <v>0</v>
      </c>
      <c r="P546" t="n">
        <v>0</v>
      </c>
      <c r="Q546" t="n">
        <v>0</v>
      </c>
      <c r="R546" s="2" t="inlineStr"/>
    </row>
    <row r="547" ht="15" customHeight="1">
      <c r="A547" t="inlineStr">
        <is>
          <t>A 36008-2024</t>
        </is>
      </c>
      <c r="B547" s="1" t="n">
        <v>45533.55362268518</v>
      </c>
      <c r="C547" s="1" t="n">
        <v>45915</v>
      </c>
      <c r="D547" t="inlineStr">
        <is>
          <t>KALMAR LÄN</t>
        </is>
      </c>
      <c r="E547" t="inlineStr">
        <is>
          <t>VIMMERBY</t>
        </is>
      </c>
      <c r="G547" t="n">
        <v>3.7</v>
      </c>
      <c r="H547" t="n">
        <v>0</v>
      </c>
      <c r="I547" t="n">
        <v>0</v>
      </c>
      <c r="J547" t="n">
        <v>0</v>
      </c>
      <c r="K547" t="n">
        <v>0</v>
      </c>
      <c r="L547" t="n">
        <v>0</v>
      </c>
      <c r="M547" t="n">
        <v>0</v>
      </c>
      <c r="N547" t="n">
        <v>0</v>
      </c>
      <c r="O547" t="n">
        <v>0</v>
      </c>
      <c r="P547" t="n">
        <v>0</v>
      </c>
      <c r="Q547" t="n">
        <v>0</v>
      </c>
      <c r="R547" s="2" t="inlineStr"/>
    </row>
    <row r="548" ht="15" customHeight="1">
      <c r="A548" t="inlineStr">
        <is>
          <t>A 5074-2023</t>
        </is>
      </c>
      <c r="B548" s="1" t="n">
        <v>44958.61047453704</v>
      </c>
      <c r="C548" s="1" t="n">
        <v>45915</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6368-2023</t>
        </is>
      </c>
      <c r="B549" s="1" t="n">
        <v>44965</v>
      </c>
      <c r="C549" s="1" t="n">
        <v>45915</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18669-2025</t>
        </is>
      </c>
      <c r="B550" s="1" t="n">
        <v>45763.59436342592</v>
      </c>
      <c r="C550" s="1" t="n">
        <v>45915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8540-2024</t>
        </is>
      </c>
      <c r="B551" s="1" t="n">
        <v>45355.54138888889</v>
      </c>
      <c r="C551" s="1" t="n">
        <v>45915</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5701-2024</t>
        </is>
      </c>
      <c r="B552" s="1" t="n">
        <v>45334.78826388889</v>
      </c>
      <c r="C552" s="1" t="n">
        <v>45915</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9623-2024</t>
        </is>
      </c>
      <c r="B553" s="1" t="n">
        <v>45361.87975694444</v>
      </c>
      <c r="C553" s="1" t="n">
        <v>45915</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5146-2024</t>
        </is>
      </c>
      <c r="B554" s="1" t="n">
        <v>45330</v>
      </c>
      <c r="C554" s="1" t="n">
        <v>45915</v>
      </c>
      <c r="D554" t="inlineStr">
        <is>
          <t>KALMAR LÄN</t>
        </is>
      </c>
      <c r="E554" t="inlineStr">
        <is>
          <t>VIMMERBY</t>
        </is>
      </c>
      <c r="G554" t="n">
        <v>5.3</v>
      </c>
      <c r="H554" t="n">
        <v>0</v>
      </c>
      <c r="I554" t="n">
        <v>0</v>
      </c>
      <c r="J554" t="n">
        <v>0</v>
      </c>
      <c r="K554" t="n">
        <v>0</v>
      </c>
      <c r="L554" t="n">
        <v>0</v>
      </c>
      <c r="M554" t="n">
        <v>0</v>
      </c>
      <c r="N554" t="n">
        <v>0</v>
      </c>
      <c r="O554" t="n">
        <v>0</v>
      </c>
      <c r="P554" t="n">
        <v>0</v>
      </c>
      <c r="Q554" t="n">
        <v>0</v>
      </c>
      <c r="R554" s="2" t="inlineStr"/>
    </row>
    <row r="555" ht="15" customHeight="1">
      <c r="A555" t="inlineStr">
        <is>
          <t>A 5148-2024</t>
        </is>
      </c>
      <c r="B555" s="1" t="n">
        <v>45330</v>
      </c>
      <c r="C555" s="1" t="n">
        <v>45915</v>
      </c>
      <c r="D555" t="inlineStr">
        <is>
          <t>KALMAR LÄN</t>
        </is>
      </c>
      <c r="E555" t="inlineStr">
        <is>
          <t>VIMMERBY</t>
        </is>
      </c>
      <c r="G555" t="n">
        <v>5.6</v>
      </c>
      <c r="H555" t="n">
        <v>0</v>
      </c>
      <c r="I555" t="n">
        <v>0</v>
      </c>
      <c r="J555" t="n">
        <v>0</v>
      </c>
      <c r="K555" t="n">
        <v>0</v>
      </c>
      <c r="L555" t="n">
        <v>0</v>
      </c>
      <c r="M555" t="n">
        <v>0</v>
      </c>
      <c r="N555" t="n">
        <v>0</v>
      </c>
      <c r="O555" t="n">
        <v>0</v>
      </c>
      <c r="P555" t="n">
        <v>0</v>
      </c>
      <c r="Q555" t="n">
        <v>0</v>
      </c>
      <c r="R555" s="2" t="inlineStr"/>
    </row>
    <row r="556" ht="15" customHeight="1">
      <c r="A556" t="inlineStr">
        <is>
          <t>A 7797-2023</t>
        </is>
      </c>
      <c r="B556" s="1" t="n">
        <v>44973.43075231482</v>
      </c>
      <c r="C556" s="1" t="n">
        <v>45915</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44179-2022</t>
        </is>
      </c>
      <c r="B557" s="1" t="n">
        <v>44839.4528125</v>
      </c>
      <c r="C557" s="1" t="n">
        <v>45915</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24655-2021</t>
        </is>
      </c>
      <c r="B558" s="1" t="n">
        <v>44340</v>
      </c>
      <c r="C558" s="1" t="n">
        <v>45915</v>
      </c>
      <c r="D558" t="inlineStr">
        <is>
          <t>KALMAR LÄN</t>
        </is>
      </c>
      <c r="E558" t="inlineStr">
        <is>
          <t>VIMMERBY</t>
        </is>
      </c>
      <c r="G558" t="n">
        <v>14.9</v>
      </c>
      <c r="H558" t="n">
        <v>0</v>
      </c>
      <c r="I558" t="n">
        <v>0</v>
      </c>
      <c r="J558" t="n">
        <v>0</v>
      </c>
      <c r="K558" t="n">
        <v>0</v>
      </c>
      <c r="L558" t="n">
        <v>0</v>
      </c>
      <c r="M558" t="n">
        <v>0</v>
      </c>
      <c r="N558" t="n">
        <v>0</v>
      </c>
      <c r="O558" t="n">
        <v>0</v>
      </c>
      <c r="P558" t="n">
        <v>0</v>
      </c>
      <c r="Q558" t="n">
        <v>0</v>
      </c>
      <c r="R558" s="2" t="inlineStr"/>
    </row>
    <row r="559" ht="15" customHeight="1">
      <c r="A559" t="inlineStr">
        <is>
          <t>A 50648-2023</t>
        </is>
      </c>
      <c r="B559" s="1" t="n">
        <v>45217.47834490741</v>
      </c>
      <c r="C559" s="1" t="n">
        <v>45915</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37866-2025</t>
        </is>
      </c>
      <c r="B560" s="1" t="n">
        <v>45881</v>
      </c>
      <c r="C560" s="1" t="n">
        <v>45915</v>
      </c>
      <c r="D560" t="inlineStr">
        <is>
          <t>KALMAR LÄN</t>
        </is>
      </c>
      <c r="E560" t="inlineStr">
        <is>
          <t>VIMMERBY</t>
        </is>
      </c>
      <c r="G560" t="n">
        <v>3.4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44578.32717592592</v>
      </c>
      <c r="C561" s="1" t="n">
        <v>45915</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45915</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8410-2023</t>
        </is>
      </c>
      <c r="B563" s="1" t="n">
        <v>44977</v>
      </c>
      <c r="C563" s="1" t="n">
        <v>45915</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15394-2025</t>
        </is>
      </c>
      <c r="B564" s="1" t="n">
        <v>45747.43196759259</v>
      </c>
      <c r="C564" s="1" t="n">
        <v>45915</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6028-2023</t>
        </is>
      </c>
      <c r="B565" s="1" t="n">
        <v>44964.44356481481</v>
      </c>
      <c r="C565" s="1" t="n">
        <v>45915</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33186-2025</t>
        </is>
      </c>
      <c r="B566" s="1" t="n">
        <v>45840.59474537037</v>
      </c>
      <c r="C566" s="1" t="n">
        <v>45915</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33188-2025</t>
        </is>
      </c>
      <c r="B567" s="1" t="n">
        <v>45840.59853009259</v>
      </c>
      <c r="C567" s="1" t="n">
        <v>45915</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52823-2024</t>
        </is>
      </c>
      <c r="B568" s="1" t="n">
        <v>45610.59094907407</v>
      </c>
      <c r="C568" s="1" t="n">
        <v>45915</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56853-2022</t>
        </is>
      </c>
      <c r="B569" s="1" t="n">
        <v>44894.49538194444</v>
      </c>
      <c r="C569" s="1" t="n">
        <v>45915</v>
      </c>
      <c r="D569" t="inlineStr">
        <is>
          <t>KALMAR LÄN</t>
        </is>
      </c>
      <c r="E569" t="inlineStr">
        <is>
          <t>VIMMERBY</t>
        </is>
      </c>
      <c r="G569" t="n">
        <v>4.3</v>
      </c>
      <c r="H569" t="n">
        <v>0</v>
      </c>
      <c r="I569" t="n">
        <v>0</v>
      </c>
      <c r="J569" t="n">
        <v>0</v>
      </c>
      <c r="K569" t="n">
        <v>0</v>
      </c>
      <c r="L569" t="n">
        <v>0</v>
      </c>
      <c r="M569" t="n">
        <v>0</v>
      </c>
      <c r="N569" t="n">
        <v>0</v>
      </c>
      <c r="O569" t="n">
        <v>0</v>
      </c>
      <c r="P569" t="n">
        <v>0</v>
      </c>
      <c r="Q569" t="n">
        <v>0</v>
      </c>
      <c r="R569" s="2" t="inlineStr"/>
    </row>
    <row r="570" ht="15" customHeight="1">
      <c r="A570" t="inlineStr">
        <is>
          <t>A 11152-2023</t>
        </is>
      </c>
      <c r="B570" s="1" t="n">
        <v>44992</v>
      </c>
      <c r="C570" s="1" t="n">
        <v>45915</v>
      </c>
      <c r="D570" t="inlineStr">
        <is>
          <t>KALMAR LÄN</t>
        </is>
      </c>
      <c r="E570" t="inlineStr">
        <is>
          <t>VIMMERBY</t>
        </is>
      </c>
      <c r="G570" t="n">
        <v>10.6</v>
      </c>
      <c r="H570" t="n">
        <v>0</v>
      </c>
      <c r="I570" t="n">
        <v>0</v>
      </c>
      <c r="J570" t="n">
        <v>0</v>
      </c>
      <c r="K570" t="n">
        <v>0</v>
      </c>
      <c r="L570" t="n">
        <v>0</v>
      </c>
      <c r="M570" t="n">
        <v>0</v>
      </c>
      <c r="N570" t="n">
        <v>0</v>
      </c>
      <c r="O570" t="n">
        <v>0</v>
      </c>
      <c r="P570" t="n">
        <v>0</v>
      </c>
      <c r="Q570" t="n">
        <v>0</v>
      </c>
      <c r="R570" s="2" t="inlineStr"/>
    </row>
    <row r="571" ht="15" customHeight="1">
      <c r="A571" t="inlineStr">
        <is>
          <t>A 26318-2023</t>
        </is>
      </c>
      <c r="B571" s="1" t="n">
        <v>45091.67936342592</v>
      </c>
      <c r="C571" s="1" t="n">
        <v>45915</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60437-2023</t>
        </is>
      </c>
      <c r="B572" s="1" t="n">
        <v>45259.51916666667</v>
      </c>
      <c r="C572" s="1" t="n">
        <v>45915</v>
      </c>
      <c r="D572" t="inlineStr">
        <is>
          <t>KALMAR LÄN</t>
        </is>
      </c>
      <c r="E572" t="inlineStr">
        <is>
          <t>VIMMERBY</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60438-2023</t>
        </is>
      </c>
      <c r="B573" s="1" t="n">
        <v>45259.52020833334</v>
      </c>
      <c r="C573" s="1" t="n">
        <v>45915</v>
      </c>
      <c r="D573" t="inlineStr">
        <is>
          <t>KALMAR LÄN</t>
        </is>
      </c>
      <c r="E573" t="inlineStr">
        <is>
          <t>VIMMERBY</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13076-2025</t>
        </is>
      </c>
      <c r="B574" s="1" t="n">
        <v>45734.62017361111</v>
      </c>
      <c r="C574" s="1" t="n">
        <v>45915</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15550-2023</t>
        </is>
      </c>
      <c r="B575" s="1" t="n">
        <v>45020</v>
      </c>
      <c r="C575" s="1" t="n">
        <v>45915</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31355-2023</t>
        </is>
      </c>
      <c r="B576" s="1" t="n">
        <v>45114.49505787037</v>
      </c>
      <c r="C576" s="1" t="n">
        <v>45915</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18330-2023</t>
        </is>
      </c>
      <c r="B577" s="1" t="n">
        <v>45041</v>
      </c>
      <c r="C577" s="1" t="n">
        <v>45915</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58100-2024</t>
        </is>
      </c>
      <c r="B578" s="1" t="n">
        <v>45632.36706018518</v>
      </c>
      <c r="C578" s="1" t="n">
        <v>45915</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30977-2025</t>
        </is>
      </c>
      <c r="B579" s="1" t="n">
        <v>45832.46649305556</v>
      </c>
      <c r="C579" s="1" t="n">
        <v>45915</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27993-2022</t>
        </is>
      </c>
      <c r="B580" s="1" t="n">
        <v>44745.84396990741</v>
      </c>
      <c r="C580" s="1" t="n">
        <v>45915</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38969-2023</t>
        </is>
      </c>
      <c r="B581" s="1" t="n">
        <v>45163.63621527778</v>
      </c>
      <c r="C581" s="1" t="n">
        <v>45915</v>
      </c>
      <c r="D581" t="inlineStr">
        <is>
          <t>KALMAR LÄN</t>
        </is>
      </c>
      <c r="E581" t="inlineStr">
        <is>
          <t>VIMMERBY</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53752-2024</t>
        </is>
      </c>
      <c r="B582" s="1" t="n">
        <v>45615.48927083334</v>
      </c>
      <c r="C582" s="1" t="n">
        <v>45915</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7758-2024</t>
        </is>
      </c>
      <c r="B583" s="1" t="n">
        <v>45349.54434027777</v>
      </c>
      <c r="C583" s="1" t="n">
        <v>45915</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7456-2024</t>
        </is>
      </c>
      <c r="B584" s="1" t="n">
        <v>45345.83557870371</v>
      </c>
      <c r="C584" s="1" t="n">
        <v>45915</v>
      </c>
      <c r="D584" t="inlineStr">
        <is>
          <t>KALMAR LÄN</t>
        </is>
      </c>
      <c r="E584" t="inlineStr">
        <is>
          <t>VIMMERBY</t>
        </is>
      </c>
      <c r="G584" t="n">
        <v>4.1</v>
      </c>
      <c r="H584" t="n">
        <v>0</v>
      </c>
      <c r="I584" t="n">
        <v>0</v>
      </c>
      <c r="J584" t="n">
        <v>0</v>
      </c>
      <c r="K584" t="n">
        <v>0</v>
      </c>
      <c r="L584" t="n">
        <v>0</v>
      </c>
      <c r="M584" t="n">
        <v>0</v>
      </c>
      <c r="N584" t="n">
        <v>0</v>
      </c>
      <c r="O584" t="n">
        <v>0</v>
      </c>
      <c r="P584" t="n">
        <v>0</v>
      </c>
      <c r="Q584" t="n">
        <v>0</v>
      </c>
      <c r="R584" s="2" t="inlineStr"/>
    </row>
    <row r="585" ht="15" customHeight="1">
      <c r="A585" t="inlineStr">
        <is>
          <t>A 58728-2024</t>
        </is>
      </c>
      <c r="B585" s="1" t="n">
        <v>45635.66695601852</v>
      </c>
      <c r="C585" s="1" t="n">
        <v>45915</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43242-2024</t>
        </is>
      </c>
      <c r="B586" s="1" t="n">
        <v>45568.30189814815</v>
      </c>
      <c r="C586" s="1" t="n">
        <v>45915</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16983-2023</t>
        </is>
      </c>
      <c r="B587" s="1" t="n">
        <v>45033.76043981482</v>
      </c>
      <c r="C587" s="1" t="n">
        <v>45915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6082-2022</t>
        </is>
      </c>
      <c r="B588" s="1" t="n">
        <v>44599</v>
      </c>
      <c r="C588" s="1" t="n">
        <v>45915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6405-2025</t>
        </is>
      </c>
      <c r="B589" s="1" t="n">
        <v>45699.45392361111</v>
      </c>
      <c r="C589" s="1" t="n">
        <v>45915</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36843-2023</t>
        </is>
      </c>
      <c r="B590" s="1" t="n">
        <v>45154.49831018518</v>
      </c>
      <c r="C590" s="1" t="n">
        <v>45915</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46979-2023</t>
        </is>
      </c>
      <c r="B591" s="1" t="n">
        <v>45201</v>
      </c>
      <c r="C591" s="1" t="n">
        <v>45915</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57486-2024</t>
        </is>
      </c>
      <c r="B592" s="1" t="n">
        <v>45630.35827546296</v>
      </c>
      <c r="C592" s="1" t="n">
        <v>45915</v>
      </c>
      <c r="D592" t="inlineStr">
        <is>
          <t>KALMAR LÄN</t>
        </is>
      </c>
      <c r="E592" t="inlineStr">
        <is>
          <t>VIMMERBY</t>
        </is>
      </c>
      <c r="G592" t="n">
        <v>0.4</v>
      </c>
      <c r="H592" t="n">
        <v>0</v>
      </c>
      <c r="I592" t="n">
        <v>0</v>
      </c>
      <c r="J592" t="n">
        <v>0</v>
      </c>
      <c r="K592" t="n">
        <v>0</v>
      </c>
      <c r="L592" t="n">
        <v>0</v>
      </c>
      <c r="M592" t="n">
        <v>0</v>
      </c>
      <c r="N592" t="n">
        <v>0</v>
      </c>
      <c r="O592" t="n">
        <v>0</v>
      </c>
      <c r="P592" t="n">
        <v>0</v>
      </c>
      <c r="Q592" t="n">
        <v>0</v>
      </c>
      <c r="R592" s="2" t="inlineStr"/>
    </row>
    <row r="593" ht="15" customHeight="1">
      <c r="A593" t="inlineStr">
        <is>
          <t>A 2596-2025</t>
        </is>
      </c>
      <c r="B593" s="1" t="n">
        <v>45674.71810185185</v>
      </c>
      <c r="C593" s="1" t="n">
        <v>45915</v>
      </c>
      <c r="D593" t="inlineStr">
        <is>
          <t>KALMAR LÄN</t>
        </is>
      </c>
      <c r="E593" t="inlineStr">
        <is>
          <t>VIMMERBY</t>
        </is>
      </c>
      <c r="G593" t="n">
        <v>9</v>
      </c>
      <c r="H593" t="n">
        <v>0</v>
      </c>
      <c r="I593" t="n">
        <v>0</v>
      </c>
      <c r="J593" t="n">
        <v>0</v>
      </c>
      <c r="K593" t="n">
        <v>0</v>
      </c>
      <c r="L593" t="n">
        <v>0</v>
      </c>
      <c r="M593" t="n">
        <v>0</v>
      </c>
      <c r="N593" t="n">
        <v>0</v>
      </c>
      <c r="O593" t="n">
        <v>0</v>
      </c>
      <c r="P593" t="n">
        <v>0</v>
      </c>
      <c r="Q593" t="n">
        <v>0</v>
      </c>
      <c r="R593" s="2" t="inlineStr"/>
    </row>
    <row r="594" ht="15" customHeight="1">
      <c r="A594" t="inlineStr">
        <is>
          <t>A 47855-2024</t>
        </is>
      </c>
      <c r="B594" s="1" t="n">
        <v>45588.66457175926</v>
      </c>
      <c r="C594" s="1" t="n">
        <v>45915</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63583-2023</t>
        </is>
      </c>
      <c r="B595" s="1" t="n">
        <v>45275.41833333333</v>
      </c>
      <c r="C595" s="1" t="n">
        <v>45915</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66295-2020</t>
        </is>
      </c>
      <c r="B596" s="1" t="n">
        <v>44176</v>
      </c>
      <c r="C596" s="1" t="n">
        <v>45915</v>
      </c>
      <c r="D596" t="inlineStr">
        <is>
          <t>KALMAR LÄN</t>
        </is>
      </c>
      <c r="E596" t="inlineStr">
        <is>
          <t>VIMMERBY</t>
        </is>
      </c>
      <c r="G596" t="n">
        <v>4.1</v>
      </c>
      <c r="H596" t="n">
        <v>0</v>
      </c>
      <c r="I596" t="n">
        <v>0</v>
      </c>
      <c r="J596" t="n">
        <v>0</v>
      </c>
      <c r="K596" t="n">
        <v>0</v>
      </c>
      <c r="L596" t="n">
        <v>0</v>
      </c>
      <c r="M596" t="n">
        <v>0</v>
      </c>
      <c r="N596" t="n">
        <v>0</v>
      </c>
      <c r="O596" t="n">
        <v>0</v>
      </c>
      <c r="P596" t="n">
        <v>0</v>
      </c>
      <c r="Q596" t="n">
        <v>0</v>
      </c>
      <c r="R596" s="2" t="inlineStr"/>
    </row>
    <row r="597" ht="15" customHeight="1">
      <c r="A597" t="inlineStr">
        <is>
          <t>A 37939-2025</t>
        </is>
      </c>
      <c r="B597" s="1" t="n">
        <v>45881.59877314815</v>
      </c>
      <c r="C597" s="1" t="n">
        <v>45915</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38604-2025</t>
        </is>
      </c>
      <c r="B598" s="1" t="n">
        <v>45884.50613425926</v>
      </c>
      <c r="C598" s="1" t="n">
        <v>45915</v>
      </c>
      <c r="D598" t="inlineStr">
        <is>
          <t>KALMAR LÄN</t>
        </is>
      </c>
      <c r="E598" t="inlineStr">
        <is>
          <t>VIMMERBY</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44423-2023</t>
        </is>
      </c>
      <c r="B599" s="1" t="n">
        <v>45189</v>
      </c>
      <c r="C599" s="1" t="n">
        <v>45915</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20-2025</t>
        </is>
      </c>
      <c r="B600" s="1" t="n">
        <v>45658.80232638889</v>
      </c>
      <c r="C600" s="1" t="n">
        <v>45915</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23-2025</t>
        </is>
      </c>
      <c r="B601" s="1" t="n">
        <v>45658.80827546296</v>
      </c>
      <c r="C601" s="1" t="n">
        <v>45915</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21496-2023</t>
        </is>
      </c>
      <c r="B602" s="1" t="n">
        <v>45063.49936342592</v>
      </c>
      <c r="C602" s="1" t="n">
        <v>45915</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33695-2025</t>
        </is>
      </c>
      <c r="B603" s="1" t="n">
        <v>45841.70569444444</v>
      </c>
      <c r="C603" s="1" t="n">
        <v>45915</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33698-2025</t>
        </is>
      </c>
      <c r="B604" s="1" t="n">
        <v>45841.70868055556</v>
      </c>
      <c r="C604" s="1" t="n">
        <v>45915</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60228-2021</t>
        </is>
      </c>
      <c r="B605" s="1" t="n">
        <v>44495</v>
      </c>
      <c r="C605" s="1" t="n">
        <v>45915</v>
      </c>
      <c r="D605" t="inlineStr">
        <is>
          <t>KALMAR LÄN</t>
        </is>
      </c>
      <c r="E605" t="inlineStr">
        <is>
          <t>VIMMERBY</t>
        </is>
      </c>
      <c r="G605" t="n">
        <v>4.1</v>
      </c>
      <c r="H605" t="n">
        <v>0</v>
      </c>
      <c r="I605" t="n">
        <v>0</v>
      </c>
      <c r="J605" t="n">
        <v>0</v>
      </c>
      <c r="K605" t="n">
        <v>0</v>
      </c>
      <c r="L605" t="n">
        <v>0</v>
      </c>
      <c r="M605" t="n">
        <v>0</v>
      </c>
      <c r="N605" t="n">
        <v>0</v>
      </c>
      <c r="O605" t="n">
        <v>0</v>
      </c>
      <c r="P605" t="n">
        <v>0</v>
      </c>
      <c r="Q605" t="n">
        <v>0</v>
      </c>
      <c r="R605" s="2" t="inlineStr"/>
    </row>
    <row r="606" ht="15" customHeight="1">
      <c r="A606" t="inlineStr">
        <is>
          <t>A 31056-2022</t>
        </is>
      </c>
      <c r="B606" s="1" t="n">
        <v>44769.45805555556</v>
      </c>
      <c r="C606" s="1" t="n">
        <v>45915</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46522-2022</t>
        </is>
      </c>
      <c r="B607" s="1" t="n">
        <v>44848.59133101852</v>
      </c>
      <c r="C607" s="1" t="n">
        <v>45915</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21109-2024</t>
        </is>
      </c>
      <c r="B608" s="1" t="n">
        <v>45440.28329861111</v>
      </c>
      <c r="C608" s="1" t="n">
        <v>45915</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72701-2021</t>
        </is>
      </c>
      <c r="B609" s="1" t="n">
        <v>44546</v>
      </c>
      <c r="C609" s="1" t="n">
        <v>45915</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52294-2023</t>
        </is>
      </c>
      <c r="B610" s="1" t="n">
        <v>45224.60075231481</v>
      </c>
      <c r="C610" s="1" t="n">
        <v>45915</v>
      </c>
      <c r="D610" t="inlineStr">
        <is>
          <t>KALMAR LÄN</t>
        </is>
      </c>
      <c r="E610" t="inlineStr">
        <is>
          <t>VIMMERBY</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61355-2024</t>
        </is>
      </c>
      <c r="B611" s="1" t="n">
        <v>45646.38200231481</v>
      </c>
      <c r="C611" s="1" t="n">
        <v>45915</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33374-2021</t>
        </is>
      </c>
      <c r="B612" s="1" t="n">
        <v>44377</v>
      </c>
      <c r="C612" s="1" t="n">
        <v>45915</v>
      </c>
      <c r="D612" t="inlineStr">
        <is>
          <t>KALMAR LÄN</t>
        </is>
      </c>
      <c r="E612" t="inlineStr">
        <is>
          <t>VIMMERBY</t>
        </is>
      </c>
      <c r="G612" t="n">
        <v>3.3</v>
      </c>
      <c r="H612" t="n">
        <v>0</v>
      </c>
      <c r="I612" t="n">
        <v>0</v>
      </c>
      <c r="J612" t="n">
        <v>0</v>
      </c>
      <c r="K612" t="n">
        <v>0</v>
      </c>
      <c r="L612" t="n">
        <v>0</v>
      </c>
      <c r="M612" t="n">
        <v>0</v>
      </c>
      <c r="N612" t="n">
        <v>0</v>
      </c>
      <c r="O612" t="n">
        <v>0</v>
      </c>
      <c r="P612" t="n">
        <v>0</v>
      </c>
      <c r="Q612" t="n">
        <v>0</v>
      </c>
      <c r="R612" s="2" t="inlineStr"/>
    </row>
    <row r="613" ht="15" customHeight="1">
      <c r="A613" t="inlineStr">
        <is>
          <t>A 10759-2023</t>
        </is>
      </c>
      <c r="B613" s="1" t="n">
        <v>44988</v>
      </c>
      <c r="C613" s="1" t="n">
        <v>45915</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18899-2025</t>
        </is>
      </c>
      <c r="B614" s="1" t="n">
        <v>45764.44931712963</v>
      </c>
      <c r="C614" s="1" t="n">
        <v>45915</v>
      </c>
      <c r="D614" t="inlineStr">
        <is>
          <t>KALMAR LÄN</t>
        </is>
      </c>
      <c r="E614" t="inlineStr">
        <is>
          <t>VIMMERBY</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33815-2022</t>
        </is>
      </c>
      <c r="B615" s="1" t="n">
        <v>44790.45876157407</v>
      </c>
      <c r="C615" s="1" t="n">
        <v>45915</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12586-2021</t>
        </is>
      </c>
      <c r="B616" s="1" t="n">
        <v>44270.38002314815</v>
      </c>
      <c r="C616" s="1" t="n">
        <v>45915</v>
      </c>
      <c r="D616" t="inlineStr">
        <is>
          <t>KALMAR LÄN</t>
        </is>
      </c>
      <c r="E616" t="inlineStr">
        <is>
          <t>VIMMERBY</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32614-2023</t>
        </is>
      </c>
      <c r="B617" s="1" t="n">
        <v>45121</v>
      </c>
      <c r="C617" s="1" t="n">
        <v>45915</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45915</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49461-2022</t>
        </is>
      </c>
      <c r="B619" s="1" t="n">
        <v>44861</v>
      </c>
      <c r="C619" s="1" t="n">
        <v>45915</v>
      </c>
      <c r="D619" t="inlineStr">
        <is>
          <t>KALMAR LÄN</t>
        </is>
      </c>
      <c r="E619" t="inlineStr">
        <is>
          <t>VIMMERBY</t>
        </is>
      </c>
      <c r="G619" t="n">
        <v>3.2</v>
      </c>
      <c r="H619" t="n">
        <v>0</v>
      </c>
      <c r="I619" t="n">
        <v>0</v>
      </c>
      <c r="J619" t="n">
        <v>0</v>
      </c>
      <c r="K619" t="n">
        <v>0</v>
      </c>
      <c r="L619" t="n">
        <v>0</v>
      </c>
      <c r="M619" t="n">
        <v>0</v>
      </c>
      <c r="N619" t="n">
        <v>0</v>
      </c>
      <c r="O619" t="n">
        <v>0</v>
      </c>
      <c r="P619" t="n">
        <v>0</v>
      </c>
      <c r="Q619" t="n">
        <v>0</v>
      </c>
      <c r="R619" s="2" t="inlineStr"/>
    </row>
    <row r="620" ht="15" customHeight="1">
      <c r="A620" t="inlineStr">
        <is>
          <t>A 53542-2022</t>
        </is>
      </c>
      <c r="B620" s="1" t="n">
        <v>44879.62173611111</v>
      </c>
      <c r="C620" s="1" t="n">
        <v>45915</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35713-2023</t>
        </is>
      </c>
      <c r="B621" s="1" t="n">
        <v>45147</v>
      </c>
      <c r="C621" s="1" t="n">
        <v>45915</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10424-2023</t>
        </is>
      </c>
      <c r="B622" s="1" t="n">
        <v>44987.54104166666</v>
      </c>
      <c r="C622" s="1" t="n">
        <v>45915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6218-2025</t>
        </is>
      </c>
      <c r="B623" s="1" t="n">
        <v>45698.53336805556</v>
      </c>
      <c r="C623" s="1" t="n">
        <v>45915</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40076-2021</t>
        </is>
      </c>
      <c r="B624" s="1" t="n">
        <v>44418</v>
      </c>
      <c r="C624" s="1" t="n">
        <v>45915</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33696-2025</t>
        </is>
      </c>
      <c r="B625" s="1" t="n">
        <v>45841.7072337963</v>
      </c>
      <c r="C625" s="1" t="n">
        <v>45915</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15976-2025</t>
        </is>
      </c>
      <c r="B626" s="1" t="n">
        <v>45749.56196759259</v>
      </c>
      <c r="C626" s="1" t="n">
        <v>45915</v>
      </c>
      <c r="D626" t="inlineStr">
        <is>
          <t>KALMAR LÄN</t>
        </is>
      </c>
      <c r="E626" t="inlineStr">
        <is>
          <t>VIMMERBY</t>
        </is>
      </c>
      <c r="F626" t="inlineStr">
        <is>
          <t>Kommuner</t>
        </is>
      </c>
      <c r="G626" t="n">
        <v>2.5</v>
      </c>
      <c r="H626" t="n">
        <v>0</v>
      </c>
      <c r="I626" t="n">
        <v>0</v>
      </c>
      <c r="J626" t="n">
        <v>0</v>
      </c>
      <c r="K626" t="n">
        <v>0</v>
      </c>
      <c r="L626" t="n">
        <v>0</v>
      </c>
      <c r="M626" t="n">
        <v>0</v>
      </c>
      <c r="N626" t="n">
        <v>0</v>
      </c>
      <c r="O626" t="n">
        <v>0</v>
      </c>
      <c r="P626" t="n">
        <v>0</v>
      </c>
      <c r="Q626" t="n">
        <v>0</v>
      </c>
      <c r="R626" s="2" t="inlineStr"/>
    </row>
    <row r="627" ht="15" customHeight="1">
      <c r="A627" t="inlineStr">
        <is>
          <t>A 12588-2025</t>
        </is>
      </c>
      <c r="B627" s="1" t="n">
        <v>45732.76936342593</v>
      </c>
      <c r="C627" s="1" t="n">
        <v>45915</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25979-2023</t>
        </is>
      </c>
      <c r="B628" s="1" t="n">
        <v>45090.89653935185</v>
      </c>
      <c r="C628" s="1" t="n">
        <v>45915</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25980-2023</t>
        </is>
      </c>
      <c r="B629" s="1" t="n">
        <v>45090.89880787037</v>
      </c>
      <c r="C629" s="1" t="n">
        <v>45915</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46921-2023</t>
        </is>
      </c>
      <c r="B630" s="1" t="n">
        <v>45201.39996527778</v>
      </c>
      <c r="C630" s="1" t="n">
        <v>45915</v>
      </c>
      <c r="D630" t="inlineStr">
        <is>
          <t>KALMAR LÄN</t>
        </is>
      </c>
      <c r="E630" t="inlineStr">
        <is>
          <t>VIMMERBY</t>
        </is>
      </c>
      <c r="G630" t="n">
        <v>2.6</v>
      </c>
      <c r="H630" t="n">
        <v>0</v>
      </c>
      <c r="I630" t="n">
        <v>0</v>
      </c>
      <c r="J630" t="n">
        <v>0</v>
      </c>
      <c r="K630" t="n">
        <v>0</v>
      </c>
      <c r="L630" t="n">
        <v>0</v>
      </c>
      <c r="M630" t="n">
        <v>0</v>
      </c>
      <c r="N630" t="n">
        <v>0</v>
      </c>
      <c r="O630" t="n">
        <v>0</v>
      </c>
      <c r="P630" t="n">
        <v>0</v>
      </c>
      <c r="Q630" t="n">
        <v>0</v>
      </c>
      <c r="R630" s="2" t="inlineStr"/>
    </row>
    <row r="631" ht="15" customHeight="1">
      <c r="A631" t="inlineStr">
        <is>
          <t>A 10837-2023</t>
        </is>
      </c>
      <c r="B631" s="1" t="n">
        <v>44991.30547453704</v>
      </c>
      <c r="C631" s="1" t="n">
        <v>45915</v>
      </c>
      <c r="D631" t="inlineStr">
        <is>
          <t>KALMAR LÄN</t>
        </is>
      </c>
      <c r="E631" t="inlineStr">
        <is>
          <t>VIMMERBY</t>
        </is>
      </c>
      <c r="G631" t="n">
        <v>7.3</v>
      </c>
      <c r="H631" t="n">
        <v>0</v>
      </c>
      <c r="I631" t="n">
        <v>0</v>
      </c>
      <c r="J631" t="n">
        <v>0</v>
      </c>
      <c r="K631" t="n">
        <v>0</v>
      </c>
      <c r="L631" t="n">
        <v>0</v>
      </c>
      <c r="M631" t="n">
        <v>0</v>
      </c>
      <c r="N631" t="n">
        <v>0</v>
      </c>
      <c r="O631" t="n">
        <v>0</v>
      </c>
      <c r="P631" t="n">
        <v>0</v>
      </c>
      <c r="Q631" t="n">
        <v>0</v>
      </c>
      <c r="R631" s="2" t="inlineStr"/>
    </row>
    <row r="632" ht="15" customHeight="1">
      <c r="A632" t="inlineStr">
        <is>
          <t>A 10838-2023</t>
        </is>
      </c>
      <c r="B632" s="1" t="n">
        <v>44991</v>
      </c>
      <c r="C632" s="1" t="n">
        <v>45915</v>
      </c>
      <c r="D632" t="inlineStr">
        <is>
          <t>KALMAR LÄN</t>
        </is>
      </c>
      <c r="E632" t="inlineStr">
        <is>
          <t>VIMMERBY</t>
        </is>
      </c>
      <c r="G632" t="n">
        <v>5.1</v>
      </c>
      <c r="H632" t="n">
        <v>0</v>
      </c>
      <c r="I632" t="n">
        <v>0</v>
      </c>
      <c r="J632" t="n">
        <v>0</v>
      </c>
      <c r="K632" t="n">
        <v>0</v>
      </c>
      <c r="L632" t="n">
        <v>0</v>
      </c>
      <c r="M632" t="n">
        <v>0</v>
      </c>
      <c r="N632" t="n">
        <v>0</v>
      </c>
      <c r="O632" t="n">
        <v>0</v>
      </c>
      <c r="P632" t="n">
        <v>0</v>
      </c>
      <c r="Q632" t="n">
        <v>0</v>
      </c>
      <c r="R632" s="2" t="inlineStr"/>
    </row>
    <row r="633" ht="15" customHeight="1">
      <c r="A633" t="inlineStr">
        <is>
          <t>A 30912-2023</t>
        </is>
      </c>
      <c r="B633" s="1" t="n">
        <v>45113.41633101852</v>
      </c>
      <c r="C633" s="1" t="n">
        <v>45915</v>
      </c>
      <c r="D633" t="inlineStr">
        <is>
          <t>KALMAR LÄN</t>
        </is>
      </c>
      <c r="E633" t="inlineStr">
        <is>
          <t>VIMMERBY</t>
        </is>
      </c>
      <c r="G633" t="n">
        <v>5</v>
      </c>
      <c r="H633" t="n">
        <v>0</v>
      </c>
      <c r="I633" t="n">
        <v>0</v>
      </c>
      <c r="J633" t="n">
        <v>0</v>
      </c>
      <c r="K633" t="n">
        <v>0</v>
      </c>
      <c r="L633" t="n">
        <v>0</v>
      </c>
      <c r="M633" t="n">
        <v>0</v>
      </c>
      <c r="N633" t="n">
        <v>0</v>
      </c>
      <c r="O633" t="n">
        <v>0</v>
      </c>
      <c r="P633" t="n">
        <v>0</v>
      </c>
      <c r="Q633" t="n">
        <v>0</v>
      </c>
      <c r="R633" s="2" t="inlineStr"/>
    </row>
    <row r="634" ht="15" customHeight="1">
      <c r="A634" t="inlineStr">
        <is>
          <t>A 55436-2023</t>
        </is>
      </c>
      <c r="B634" s="1" t="n">
        <v>45238.4328587963</v>
      </c>
      <c r="C634" s="1" t="n">
        <v>45915</v>
      </c>
      <c r="D634" t="inlineStr">
        <is>
          <t>KALMAR LÄN</t>
        </is>
      </c>
      <c r="E634" t="inlineStr">
        <is>
          <t>VIMMERBY</t>
        </is>
      </c>
      <c r="G634" t="n">
        <v>5.6</v>
      </c>
      <c r="H634" t="n">
        <v>0</v>
      </c>
      <c r="I634" t="n">
        <v>0</v>
      </c>
      <c r="J634" t="n">
        <v>0</v>
      </c>
      <c r="K634" t="n">
        <v>0</v>
      </c>
      <c r="L634" t="n">
        <v>0</v>
      </c>
      <c r="M634" t="n">
        <v>0</v>
      </c>
      <c r="N634" t="n">
        <v>0</v>
      </c>
      <c r="O634" t="n">
        <v>0</v>
      </c>
      <c r="P634" t="n">
        <v>0</v>
      </c>
      <c r="Q634" t="n">
        <v>0</v>
      </c>
      <c r="R634" s="2" t="inlineStr"/>
    </row>
    <row r="635" ht="15" customHeight="1">
      <c r="A635" t="inlineStr">
        <is>
          <t>A 21507-2023</t>
        </is>
      </c>
      <c r="B635" s="1" t="n">
        <v>45063.508125</v>
      </c>
      <c r="C635" s="1" t="n">
        <v>45915</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51187-2023</t>
        </is>
      </c>
      <c r="B636" s="1" t="n">
        <v>45219.40528935185</v>
      </c>
      <c r="C636" s="1" t="n">
        <v>45915</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13290-2025</t>
        </is>
      </c>
      <c r="B637" s="1" t="n">
        <v>45735.56751157407</v>
      </c>
      <c r="C637" s="1" t="n">
        <v>45915</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45560-2021</t>
        </is>
      </c>
      <c r="B638" s="1" t="n">
        <v>44440</v>
      </c>
      <c r="C638" s="1" t="n">
        <v>45915</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16622-2025</t>
        </is>
      </c>
      <c r="B639" s="1" t="n">
        <v>45754.33641203704</v>
      </c>
      <c r="C639" s="1" t="n">
        <v>45915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31340-2023</t>
        </is>
      </c>
      <c r="B640" s="1" t="n">
        <v>45114.47895833333</v>
      </c>
      <c r="C640" s="1" t="n">
        <v>45915</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29168-2024</t>
        </is>
      </c>
      <c r="B641" s="1" t="n">
        <v>45482.49870370371</v>
      </c>
      <c r="C641" s="1" t="n">
        <v>45915</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29186-2024</t>
        </is>
      </c>
      <c r="B642" s="1" t="n">
        <v>45482.54844907407</v>
      </c>
      <c r="C642" s="1" t="n">
        <v>45915</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35895-2024</t>
        </is>
      </c>
      <c r="B643" s="1" t="n">
        <v>45533.38870370371</v>
      </c>
      <c r="C643" s="1" t="n">
        <v>45915</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12590-2025</t>
        </is>
      </c>
      <c r="B644" s="1" t="n">
        <v>45732.79925925926</v>
      </c>
      <c r="C644" s="1" t="n">
        <v>45915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30318-2023</t>
        </is>
      </c>
      <c r="B645" s="1" t="n">
        <v>45111.30824074074</v>
      </c>
      <c r="C645" s="1" t="n">
        <v>45915</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43186-2021</t>
        </is>
      </c>
      <c r="B646" s="1" t="n">
        <v>44431.84840277778</v>
      </c>
      <c r="C646" s="1" t="n">
        <v>45915</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60215-2022</t>
        </is>
      </c>
      <c r="B647" s="1" t="n">
        <v>44910.41346064815</v>
      </c>
      <c r="C647" s="1" t="n">
        <v>45915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60230-2022</t>
        </is>
      </c>
      <c r="B648" s="1" t="n">
        <v>44910</v>
      </c>
      <c r="C648" s="1" t="n">
        <v>45915</v>
      </c>
      <c r="D648" t="inlineStr">
        <is>
          <t>KALMAR LÄN</t>
        </is>
      </c>
      <c r="E648" t="inlineStr">
        <is>
          <t>VIMMERBY</t>
        </is>
      </c>
      <c r="G648" t="n">
        <v>11.3</v>
      </c>
      <c r="H648" t="n">
        <v>0</v>
      </c>
      <c r="I648" t="n">
        <v>0</v>
      </c>
      <c r="J648" t="n">
        <v>0</v>
      </c>
      <c r="K648" t="n">
        <v>0</v>
      </c>
      <c r="L648" t="n">
        <v>0</v>
      </c>
      <c r="M648" t="n">
        <v>0</v>
      </c>
      <c r="N648" t="n">
        <v>0</v>
      </c>
      <c r="O648" t="n">
        <v>0</v>
      </c>
      <c r="P648" t="n">
        <v>0</v>
      </c>
      <c r="Q648" t="n">
        <v>0</v>
      </c>
      <c r="R648" s="2" t="inlineStr"/>
    </row>
    <row r="649" ht="15" customHeight="1">
      <c r="A649" t="inlineStr">
        <is>
          <t>A 5925-2022</t>
        </is>
      </c>
      <c r="B649" s="1" t="n">
        <v>44598.7384837963</v>
      </c>
      <c r="C649" s="1" t="n">
        <v>45915</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845-2023</t>
        </is>
      </c>
      <c r="B650" s="1" t="n">
        <v>44931</v>
      </c>
      <c r="C650" s="1" t="n">
        <v>45915</v>
      </c>
      <c r="D650" t="inlineStr">
        <is>
          <t>KALMAR LÄN</t>
        </is>
      </c>
      <c r="E650" t="inlineStr">
        <is>
          <t>VIMMERBY</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16119-2023</t>
        </is>
      </c>
      <c r="B651" s="1" t="n">
        <v>45027.59450231482</v>
      </c>
      <c r="C651" s="1" t="n">
        <v>45915</v>
      </c>
      <c r="D651" t="inlineStr">
        <is>
          <t>KALMAR LÄN</t>
        </is>
      </c>
      <c r="E651" t="inlineStr">
        <is>
          <t>VIMMERBY</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30588-2023</t>
        </is>
      </c>
      <c r="B652" s="1" t="n">
        <v>45112.33599537037</v>
      </c>
      <c r="C652" s="1" t="n">
        <v>45915</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50764-2020</t>
        </is>
      </c>
      <c r="B653" s="1" t="n">
        <v>44111</v>
      </c>
      <c r="C653" s="1" t="n">
        <v>45915</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45528-2021</t>
        </is>
      </c>
      <c r="B654" s="1" t="n">
        <v>44440.60415509259</v>
      </c>
      <c r="C654" s="1" t="n">
        <v>45915</v>
      </c>
      <c r="D654" t="inlineStr">
        <is>
          <t>KALMAR LÄN</t>
        </is>
      </c>
      <c r="E654" t="inlineStr">
        <is>
          <t>VIMMERBY</t>
        </is>
      </c>
      <c r="G654" t="n">
        <v>2.2</v>
      </c>
      <c r="H654" t="n">
        <v>0</v>
      </c>
      <c r="I654" t="n">
        <v>0</v>
      </c>
      <c r="J654" t="n">
        <v>0</v>
      </c>
      <c r="K654" t="n">
        <v>0</v>
      </c>
      <c r="L654" t="n">
        <v>0</v>
      </c>
      <c r="M654" t="n">
        <v>0</v>
      </c>
      <c r="N654" t="n">
        <v>0</v>
      </c>
      <c r="O654" t="n">
        <v>0</v>
      </c>
      <c r="P654" t="n">
        <v>0</v>
      </c>
      <c r="Q654" t="n">
        <v>0</v>
      </c>
      <c r="R654" s="2" t="inlineStr"/>
    </row>
    <row r="655" ht="15" customHeight="1">
      <c r="A655" t="inlineStr">
        <is>
          <t>A 16516-2023</t>
        </is>
      </c>
      <c r="B655" s="1" t="n">
        <v>45029</v>
      </c>
      <c r="C655" s="1" t="n">
        <v>45915</v>
      </c>
      <c r="D655" t="inlineStr">
        <is>
          <t>KALMAR LÄN</t>
        </is>
      </c>
      <c r="E655" t="inlineStr">
        <is>
          <t>VIMMERBY</t>
        </is>
      </c>
      <c r="G655" t="n">
        <v>4.3</v>
      </c>
      <c r="H655" t="n">
        <v>0</v>
      </c>
      <c r="I655" t="n">
        <v>0</v>
      </c>
      <c r="J655" t="n">
        <v>0</v>
      </c>
      <c r="K655" t="n">
        <v>0</v>
      </c>
      <c r="L655" t="n">
        <v>0</v>
      </c>
      <c r="M655" t="n">
        <v>0</v>
      </c>
      <c r="N655" t="n">
        <v>0</v>
      </c>
      <c r="O655" t="n">
        <v>0</v>
      </c>
      <c r="P655" t="n">
        <v>0</v>
      </c>
      <c r="Q655" t="n">
        <v>0</v>
      </c>
      <c r="R655" s="2" t="inlineStr"/>
    </row>
    <row r="656" ht="15" customHeight="1">
      <c r="A656" t="inlineStr">
        <is>
          <t>A 33340-2023</t>
        </is>
      </c>
      <c r="B656" s="1" t="n">
        <v>45128.37305555555</v>
      </c>
      <c r="C656" s="1" t="n">
        <v>45915</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2510-2023</t>
        </is>
      </c>
      <c r="B657" s="1" t="n">
        <v>44943.57309027778</v>
      </c>
      <c r="C657" s="1" t="n">
        <v>45915</v>
      </c>
      <c r="D657" t="inlineStr">
        <is>
          <t>KALMAR LÄN</t>
        </is>
      </c>
      <c r="E657" t="inlineStr">
        <is>
          <t>VIMMERBY</t>
        </is>
      </c>
      <c r="G657" t="n">
        <v>8.6</v>
      </c>
      <c r="H657" t="n">
        <v>0</v>
      </c>
      <c r="I657" t="n">
        <v>0</v>
      </c>
      <c r="J657" t="n">
        <v>0</v>
      </c>
      <c r="K657" t="n">
        <v>0</v>
      </c>
      <c r="L657" t="n">
        <v>0</v>
      </c>
      <c r="M657" t="n">
        <v>0</v>
      </c>
      <c r="N657" t="n">
        <v>0</v>
      </c>
      <c r="O657" t="n">
        <v>0</v>
      </c>
      <c r="P657" t="n">
        <v>0</v>
      </c>
      <c r="Q657" t="n">
        <v>0</v>
      </c>
      <c r="R657" s="2" t="inlineStr"/>
    </row>
    <row r="658" ht="15" customHeight="1">
      <c r="A658" t="inlineStr">
        <is>
          <t>A 29017-2024</t>
        </is>
      </c>
      <c r="B658" s="1" t="n">
        <v>45481.56722222222</v>
      </c>
      <c r="C658" s="1" t="n">
        <v>45915</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58046-2022</t>
        </is>
      </c>
      <c r="B659" s="1" t="n">
        <v>44900.57393518519</v>
      </c>
      <c r="C659" s="1" t="n">
        <v>45915</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48373-2021</t>
        </is>
      </c>
      <c r="B660" s="1" t="n">
        <v>44451</v>
      </c>
      <c r="C660" s="1" t="n">
        <v>45915</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14548-2024</t>
        </is>
      </c>
      <c r="B661" s="1" t="n">
        <v>45394.66887731481</v>
      </c>
      <c r="C661" s="1" t="n">
        <v>45915</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7485-2024</t>
        </is>
      </c>
      <c r="B662" s="1" t="n">
        <v>45346.67184027778</v>
      </c>
      <c r="C662" s="1" t="n">
        <v>45915</v>
      </c>
      <c r="D662" t="inlineStr">
        <is>
          <t>KALMAR LÄN</t>
        </is>
      </c>
      <c r="E662" t="inlineStr">
        <is>
          <t>VIMMERBY</t>
        </is>
      </c>
      <c r="G662" t="n">
        <v>1.9</v>
      </c>
      <c r="H662" t="n">
        <v>0</v>
      </c>
      <c r="I662" t="n">
        <v>0</v>
      </c>
      <c r="J662" t="n">
        <v>0</v>
      </c>
      <c r="K662" t="n">
        <v>0</v>
      </c>
      <c r="L662" t="n">
        <v>0</v>
      </c>
      <c r="M662" t="n">
        <v>0</v>
      </c>
      <c r="N662" t="n">
        <v>0</v>
      </c>
      <c r="O662" t="n">
        <v>0</v>
      </c>
      <c r="P662" t="n">
        <v>0</v>
      </c>
      <c r="Q662" t="n">
        <v>0</v>
      </c>
      <c r="R662" s="2" t="inlineStr"/>
    </row>
    <row r="663" ht="15" customHeight="1">
      <c r="A663" t="inlineStr">
        <is>
          <t>A 6574-2023</t>
        </is>
      </c>
      <c r="B663" s="1" t="n">
        <v>44966</v>
      </c>
      <c r="C663" s="1" t="n">
        <v>45915</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20054-2023</t>
        </is>
      </c>
      <c r="B664" s="1" t="n">
        <v>45054.6750462963</v>
      </c>
      <c r="C664" s="1" t="n">
        <v>45915</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28702-2025</t>
        </is>
      </c>
      <c r="B665" s="1" t="n">
        <v>45820.03976851852</v>
      </c>
      <c r="C665" s="1" t="n">
        <v>45915</v>
      </c>
      <c r="D665" t="inlineStr">
        <is>
          <t>KALMAR LÄN</t>
        </is>
      </c>
      <c r="E665" t="inlineStr">
        <is>
          <t>VIMMERBY</t>
        </is>
      </c>
      <c r="G665" t="n">
        <v>2.1</v>
      </c>
      <c r="H665" t="n">
        <v>0</v>
      </c>
      <c r="I665" t="n">
        <v>0</v>
      </c>
      <c r="J665" t="n">
        <v>0</v>
      </c>
      <c r="K665" t="n">
        <v>0</v>
      </c>
      <c r="L665" t="n">
        <v>0</v>
      </c>
      <c r="M665" t="n">
        <v>0</v>
      </c>
      <c r="N665" t="n">
        <v>0</v>
      </c>
      <c r="O665" t="n">
        <v>0</v>
      </c>
      <c r="P665" t="n">
        <v>0</v>
      </c>
      <c r="Q665" t="n">
        <v>0</v>
      </c>
      <c r="R665" s="2" t="inlineStr"/>
    </row>
    <row r="666" ht="15" customHeight="1">
      <c r="A666" t="inlineStr">
        <is>
          <t>A 58750-2022</t>
        </is>
      </c>
      <c r="B666" s="1" t="n">
        <v>44903.33363425926</v>
      </c>
      <c r="C666" s="1" t="n">
        <v>45915</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48120-2022</t>
        </is>
      </c>
      <c r="B667" s="1" t="n">
        <v>44857.65989583333</v>
      </c>
      <c r="C667" s="1" t="n">
        <v>45915</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3423-2022</t>
        </is>
      </c>
      <c r="B668" s="1" t="n">
        <v>44585.50431712963</v>
      </c>
      <c r="C668" s="1" t="n">
        <v>45915</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2260-2022</t>
        </is>
      </c>
      <c r="B669" s="1" t="n">
        <v>44578.62943287037</v>
      </c>
      <c r="C669" s="1" t="n">
        <v>45915</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38964-2025</t>
        </is>
      </c>
      <c r="B670" s="1" t="n">
        <v>45887.68759259259</v>
      </c>
      <c r="C670" s="1" t="n">
        <v>45915</v>
      </c>
      <c r="D670" t="inlineStr">
        <is>
          <t>KALMAR LÄN</t>
        </is>
      </c>
      <c r="E670" t="inlineStr">
        <is>
          <t>VIMMERBY</t>
        </is>
      </c>
      <c r="G670" t="n">
        <v>7.5</v>
      </c>
      <c r="H670" t="n">
        <v>0</v>
      </c>
      <c r="I670" t="n">
        <v>0</v>
      </c>
      <c r="J670" t="n">
        <v>0</v>
      </c>
      <c r="K670" t="n">
        <v>0</v>
      </c>
      <c r="L670" t="n">
        <v>0</v>
      </c>
      <c r="M670" t="n">
        <v>0</v>
      </c>
      <c r="N670" t="n">
        <v>0</v>
      </c>
      <c r="O670" t="n">
        <v>0</v>
      </c>
      <c r="P670" t="n">
        <v>0</v>
      </c>
      <c r="Q670" t="n">
        <v>0</v>
      </c>
      <c r="R670" s="2" t="inlineStr"/>
    </row>
    <row r="671" ht="15" customHeight="1">
      <c r="A671" t="inlineStr">
        <is>
          <t>A 11074-2023</t>
        </is>
      </c>
      <c r="B671" s="1" t="n">
        <v>44992.34151620371</v>
      </c>
      <c r="C671" s="1" t="n">
        <v>45915</v>
      </c>
      <c r="D671" t="inlineStr">
        <is>
          <t>KALMAR LÄN</t>
        </is>
      </c>
      <c r="E671" t="inlineStr">
        <is>
          <t>VIMMERBY</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71631-2021</t>
        </is>
      </c>
      <c r="B672" s="1" t="n">
        <v>44542.90072916666</v>
      </c>
      <c r="C672" s="1" t="n">
        <v>45915</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50860-2022</t>
        </is>
      </c>
      <c r="B673" s="1" t="n">
        <v>44867</v>
      </c>
      <c r="C673" s="1" t="n">
        <v>45915</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53483-2022</t>
        </is>
      </c>
      <c r="B674" s="1" t="n">
        <v>44879.55940972222</v>
      </c>
      <c r="C674" s="1" t="n">
        <v>45915</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58962-2022</t>
        </is>
      </c>
      <c r="B675" s="1" t="n">
        <v>44903</v>
      </c>
      <c r="C675" s="1" t="n">
        <v>45915</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58967-2022</t>
        </is>
      </c>
      <c r="B676" s="1" t="n">
        <v>44896</v>
      </c>
      <c r="C676" s="1" t="n">
        <v>45915</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57682-2022</t>
        </is>
      </c>
      <c r="B677" s="1" t="n">
        <v>44890</v>
      </c>
      <c r="C677" s="1" t="n">
        <v>45915</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45915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4076-2022</t>
        </is>
      </c>
      <c r="B679" s="1" t="n">
        <v>44588.37998842593</v>
      </c>
      <c r="C679" s="1" t="n">
        <v>45915</v>
      </c>
      <c r="D679" t="inlineStr">
        <is>
          <t>KALMAR LÄN</t>
        </is>
      </c>
      <c r="E679" t="inlineStr">
        <is>
          <t>VIMMERBY</t>
        </is>
      </c>
      <c r="G679" t="n">
        <v>3</v>
      </c>
      <c r="H679" t="n">
        <v>0</v>
      </c>
      <c r="I679" t="n">
        <v>0</v>
      </c>
      <c r="J679" t="n">
        <v>0</v>
      </c>
      <c r="K679" t="n">
        <v>0</v>
      </c>
      <c r="L679" t="n">
        <v>0</v>
      </c>
      <c r="M679" t="n">
        <v>0</v>
      </c>
      <c r="N679" t="n">
        <v>0</v>
      </c>
      <c r="O679" t="n">
        <v>0</v>
      </c>
      <c r="P679" t="n">
        <v>0</v>
      </c>
      <c r="Q679" t="n">
        <v>0</v>
      </c>
      <c r="R679" s="2" t="inlineStr"/>
    </row>
    <row r="680" ht="15" customHeight="1">
      <c r="A680" t="inlineStr">
        <is>
          <t>A 4122-2022</t>
        </is>
      </c>
      <c r="B680" s="1" t="n">
        <v>44588</v>
      </c>
      <c r="C680" s="1" t="n">
        <v>45915</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34060-2025</t>
        </is>
      </c>
      <c r="B681" s="1" t="n">
        <v>45845.42015046296</v>
      </c>
      <c r="C681" s="1" t="n">
        <v>45915</v>
      </c>
      <c r="D681" t="inlineStr">
        <is>
          <t>KALMAR LÄN</t>
        </is>
      </c>
      <c r="E681" t="inlineStr">
        <is>
          <t>VIMMERBY</t>
        </is>
      </c>
      <c r="G681" t="n">
        <v>5.7</v>
      </c>
      <c r="H681" t="n">
        <v>0</v>
      </c>
      <c r="I681" t="n">
        <v>0</v>
      </c>
      <c r="J681" t="n">
        <v>0</v>
      </c>
      <c r="K681" t="n">
        <v>0</v>
      </c>
      <c r="L681" t="n">
        <v>0</v>
      </c>
      <c r="M681" t="n">
        <v>0</v>
      </c>
      <c r="N681" t="n">
        <v>0</v>
      </c>
      <c r="O681" t="n">
        <v>0</v>
      </c>
      <c r="P681" t="n">
        <v>0</v>
      </c>
      <c r="Q681" t="n">
        <v>0</v>
      </c>
      <c r="R681" s="2" t="inlineStr"/>
    </row>
    <row r="682" ht="15" customHeight="1">
      <c r="A682" t="inlineStr">
        <is>
          <t>A 34071-2025</t>
        </is>
      </c>
      <c r="B682" s="1" t="n">
        <v>45845.43803240741</v>
      </c>
      <c r="C682" s="1" t="n">
        <v>45915</v>
      </c>
      <c r="D682" t="inlineStr">
        <is>
          <t>KALMAR LÄN</t>
        </is>
      </c>
      <c r="E682" t="inlineStr">
        <is>
          <t>VIMMERBY</t>
        </is>
      </c>
      <c r="G682" t="n">
        <v>6.8</v>
      </c>
      <c r="H682" t="n">
        <v>0</v>
      </c>
      <c r="I682" t="n">
        <v>0</v>
      </c>
      <c r="J682" t="n">
        <v>0</v>
      </c>
      <c r="K682" t="n">
        <v>0</v>
      </c>
      <c r="L682" t="n">
        <v>0</v>
      </c>
      <c r="M682" t="n">
        <v>0</v>
      </c>
      <c r="N682" t="n">
        <v>0</v>
      </c>
      <c r="O682" t="n">
        <v>0</v>
      </c>
      <c r="P682" t="n">
        <v>0</v>
      </c>
      <c r="Q682" t="n">
        <v>0</v>
      </c>
      <c r="R682" s="2" t="inlineStr"/>
    </row>
    <row r="683" ht="15" customHeight="1">
      <c r="A683" t="inlineStr">
        <is>
          <t>A 65961-2020</t>
        </is>
      </c>
      <c r="B683" s="1" t="n">
        <v>44175.39748842592</v>
      </c>
      <c r="C683" s="1" t="n">
        <v>45915</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42918-2021</t>
        </is>
      </c>
      <c r="B684" s="1" t="n">
        <v>44431</v>
      </c>
      <c r="C684" s="1" t="n">
        <v>45915</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34106-2025</t>
        </is>
      </c>
      <c r="B685" s="1" t="n">
        <v>45845.49414351852</v>
      </c>
      <c r="C685" s="1" t="n">
        <v>45915</v>
      </c>
      <c r="D685" t="inlineStr">
        <is>
          <t>KALMAR LÄN</t>
        </is>
      </c>
      <c r="E685" t="inlineStr">
        <is>
          <t>VIMMERBY</t>
        </is>
      </c>
      <c r="G685" t="n">
        <v>6</v>
      </c>
      <c r="H685" t="n">
        <v>0</v>
      </c>
      <c r="I685" t="n">
        <v>0</v>
      </c>
      <c r="J685" t="n">
        <v>0</v>
      </c>
      <c r="K685" t="n">
        <v>0</v>
      </c>
      <c r="L685" t="n">
        <v>0</v>
      </c>
      <c r="M685" t="n">
        <v>0</v>
      </c>
      <c r="N685" t="n">
        <v>0</v>
      </c>
      <c r="O685" t="n">
        <v>0</v>
      </c>
      <c r="P685" t="n">
        <v>0</v>
      </c>
      <c r="Q685" t="n">
        <v>0</v>
      </c>
      <c r="R685" s="2" t="inlineStr"/>
    </row>
    <row r="686" ht="15" customHeight="1">
      <c r="A686" t="inlineStr">
        <is>
          <t>A 529-2022</t>
        </is>
      </c>
      <c r="B686" s="1" t="n">
        <v>44566</v>
      </c>
      <c r="C686" s="1" t="n">
        <v>45915</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9624-2024</t>
        </is>
      </c>
      <c r="B687" s="1" t="n">
        <v>45361.90282407407</v>
      </c>
      <c r="C687" s="1" t="n">
        <v>45915</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52327-2023</t>
        </is>
      </c>
      <c r="B688" s="1" t="n">
        <v>45224.6515162037</v>
      </c>
      <c r="C688" s="1" t="n">
        <v>45915</v>
      </c>
      <c r="D688" t="inlineStr">
        <is>
          <t>KALMAR LÄN</t>
        </is>
      </c>
      <c r="E688" t="inlineStr">
        <is>
          <t>VIMMERBY</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26956-2025</t>
        </is>
      </c>
      <c r="B689" s="1" t="n">
        <v>45811.45460648148</v>
      </c>
      <c r="C689" s="1" t="n">
        <v>45915</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29616-2022</t>
        </is>
      </c>
      <c r="B690" s="1" t="n">
        <v>44754</v>
      </c>
      <c r="C690" s="1" t="n">
        <v>45915</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29348-2023</t>
        </is>
      </c>
      <c r="B691" s="1" t="n">
        <v>45106.25025462963</v>
      </c>
      <c r="C691" s="1" t="n">
        <v>45915</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45743.41148148148</v>
      </c>
      <c r="C692" s="1" t="n">
        <v>45915</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28403-2023</t>
        </is>
      </c>
      <c r="B693" s="1" t="n">
        <v>45100.85270833333</v>
      </c>
      <c r="C693" s="1" t="n">
        <v>45915</v>
      </c>
      <c r="D693" t="inlineStr">
        <is>
          <t>KALMAR LÄN</t>
        </is>
      </c>
      <c r="E693" t="inlineStr">
        <is>
          <t>VIMMERBY</t>
        </is>
      </c>
      <c r="G693" t="n">
        <v>1.8</v>
      </c>
      <c r="H693" t="n">
        <v>0</v>
      </c>
      <c r="I693" t="n">
        <v>0</v>
      </c>
      <c r="J693" t="n">
        <v>0</v>
      </c>
      <c r="K693" t="n">
        <v>0</v>
      </c>
      <c r="L693" t="n">
        <v>0</v>
      </c>
      <c r="M693" t="n">
        <v>0</v>
      </c>
      <c r="N693" t="n">
        <v>0</v>
      </c>
      <c r="O693" t="n">
        <v>0</v>
      </c>
      <c r="P693" t="n">
        <v>0</v>
      </c>
      <c r="Q693" t="n">
        <v>0</v>
      </c>
      <c r="R693" s="2" t="inlineStr"/>
    </row>
    <row r="694" ht="15" customHeight="1">
      <c r="A694" t="inlineStr">
        <is>
          <t>A 60951-2023</t>
        </is>
      </c>
      <c r="B694" s="1" t="n">
        <v>45261.44914351852</v>
      </c>
      <c r="C694" s="1" t="n">
        <v>45915</v>
      </c>
      <c r="D694" t="inlineStr">
        <is>
          <t>KALMAR LÄN</t>
        </is>
      </c>
      <c r="E694" t="inlineStr">
        <is>
          <t>VIMMERBY</t>
        </is>
      </c>
      <c r="G694" t="n">
        <v>4.3</v>
      </c>
      <c r="H694" t="n">
        <v>0</v>
      </c>
      <c r="I694" t="n">
        <v>0</v>
      </c>
      <c r="J694" t="n">
        <v>0</v>
      </c>
      <c r="K694" t="n">
        <v>0</v>
      </c>
      <c r="L694" t="n">
        <v>0</v>
      </c>
      <c r="M694" t="n">
        <v>0</v>
      </c>
      <c r="N694" t="n">
        <v>0</v>
      </c>
      <c r="O694" t="n">
        <v>0</v>
      </c>
      <c r="P694" t="n">
        <v>0</v>
      </c>
      <c r="Q694" t="n">
        <v>0</v>
      </c>
      <c r="R694" s="2" t="inlineStr"/>
    </row>
    <row r="695" ht="15" customHeight="1">
      <c r="A695" t="inlineStr">
        <is>
          <t>A 17511-2024</t>
        </is>
      </c>
      <c r="B695" s="1" t="n">
        <v>45415.57682870371</v>
      </c>
      <c r="C695" s="1" t="n">
        <v>45915</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19162-2023</t>
        </is>
      </c>
      <c r="B696" s="1" t="n">
        <v>45048.59699074074</v>
      </c>
      <c r="C696" s="1" t="n">
        <v>45915</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31209-2024</t>
        </is>
      </c>
      <c r="B697" s="1" t="n">
        <v>45503.5658912037</v>
      </c>
      <c r="C697" s="1" t="n">
        <v>45915</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34628-2025</t>
        </is>
      </c>
      <c r="B698" s="1" t="n">
        <v>45847.91280092593</v>
      </c>
      <c r="C698" s="1" t="n">
        <v>45915</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66022-2021</t>
        </is>
      </c>
      <c r="B699" s="1" t="n">
        <v>44517</v>
      </c>
      <c r="C699" s="1" t="n">
        <v>45915</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29973-2023</t>
        </is>
      </c>
      <c r="B700" s="1" t="n">
        <v>45108.703125</v>
      </c>
      <c r="C700" s="1" t="n">
        <v>45915</v>
      </c>
      <c r="D700" t="inlineStr">
        <is>
          <t>KALMAR LÄN</t>
        </is>
      </c>
      <c r="E700" t="inlineStr">
        <is>
          <t>VIMMERBY</t>
        </is>
      </c>
      <c r="G700" t="n">
        <v>4</v>
      </c>
      <c r="H700" t="n">
        <v>0</v>
      </c>
      <c r="I700" t="n">
        <v>0</v>
      </c>
      <c r="J700" t="n">
        <v>0</v>
      </c>
      <c r="K700" t="n">
        <v>0</v>
      </c>
      <c r="L700" t="n">
        <v>0</v>
      </c>
      <c r="M700" t="n">
        <v>0</v>
      </c>
      <c r="N700" t="n">
        <v>0</v>
      </c>
      <c r="O700" t="n">
        <v>0</v>
      </c>
      <c r="P700" t="n">
        <v>0</v>
      </c>
      <c r="Q700" t="n">
        <v>0</v>
      </c>
      <c r="R700" s="2" t="inlineStr"/>
    </row>
    <row r="701" ht="15" customHeight="1">
      <c r="A701" t="inlineStr">
        <is>
          <t>A 5864-2022</t>
        </is>
      </c>
      <c r="B701" s="1" t="n">
        <v>44596</v>
      </c>
      <c r="C701" s="1" t="n">
        <v>45915</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30070-2023</t>
        </is>
      </c>
      <c r="B702" s="1" t="n">
        <v>45110.4275</v>
      </c>
      <c r="C702" s="1" t="n">
        <v>45915</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3938-2023</t>
        </is>
      </c>
      <c r="B703" s="1" t="n">
        <v>44952.35775462963</v>
      </c>
      <c r="C703" s="1" t="n">
        <v>45915</v>
      </c>
      <c r="D703" t="inlineStr">
        <is>
          <t>KALMAR LÄN</t>
        </is>
      </c>
      <c r="E703" t="inlineStr">
        <is>
          <t>VIMMERBY</t>
        </is>
      </c>
      <c r="G703" t="n">
        <v>0.9</v>
      </c>
      <c r="H703" t="n">
        <v>0</v>
      </c>
      <c r="I703" t="n">
        <v>0</v>
      </c>
      <c r="J703" t="n">
        <v>0</v>
      </c>
      <c r="K703" t="n">
        <v>0</v>
      </c>
      <c r="L703" t="n">
        <v>0</v>
      </c>
      <c r="M703" t="n">
        <v>0</v>
      </c>
      <c r="N703" t="n">
        <v>0</v>
      </c>
      <c r="O703" t="n">
        <v>0</v>
      </c>
      <c r="P703" t="n">
        <v>0</v>
      </c>
      <c r="Q703" t="n">
        <v>0</v>
      </c>
      <c r="R703" s="2" t="inlineStr"/>
    </row>
    <row r="704" ht="15" customHeight="1">
      <c r="A704" t="inlineStr">
        <is>
          <t>A 39736-2025</t>
        </is>
      </c>
      <c r="B704" s="1" t="n">
        <v>45891</v>
      </c>
      <c r="C704" s="1" t="n">
        <v>45915</v>
      </c>
      <c r="D704" t="inlineStr">
        <is>
          <t>KALMAR LÄN</t>
        </is>
      </c>
      <c r="E704" t="inlineStr">
        <is>
          <t>VIMMERBY</t>
        </is>
      </c>
      <c r="G704" t="n">
        <v>12.8</v>
      </c>
      <c r="H704" t="n">
        <v>0</v>
      </c>
      <c r="I704" t="n">
        <v>0</v>
      </c>
      <c r="J704" t="n">
        <v>0</v>
      </c>
      <c r="K704" t="n">
        <v>0</v>
      </c>
      <c r="L704" t="n">
        <v>0</v>
      </c>
      <c r="M704" t="n">
        <v>0</v>
      </c>
      <c r="N704" t="n">
        <v>0</v>
      </c>
      <c r="O704" t="n">
        <v>0</v>
      </c>
      <c r="P704" t="n">
        <v>0</v>
      </c>
      <c r="Q704" t="n">
        <v>0</v>
      </c>
      <c r="R704" s="2" t="inlineStr"/>
    </row>
    <row r="705" ht="15" customHeight="1">
      <c r="A705" t="inlineStr">
        <is>
          <t>A 39803-2025</t>
        </is>
      </c>
      <c r="B705" s="1" t="n">
        <v>45891.50525462963</v>
      </c>
      <c r="C705" s="1" t="n">
        <v>45915</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39807-2025</t>
        </is>
      </c>
      <c r="B706" s="1" t="n">
        <v>45891.50986111111</v>
      </c>
      <c r="C706" s="1" t="n">
        <v>45915</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26937-2023</t>
        </is>
      </c>
      <c r="B707" s="1" t="n">
        <v>45093.62777777778</v>
      </c>
      <c r="C707" s="1" t="n">
        <v>45915</v>
      </c>
      <c r="D707" t="inlineStr">
        <is>
          <t>KALMAR LÄN</t>
        </is>
      </c>
      <c r="E707" t="inlineStr">
        <is>
          <t>VIMMERBY</t>
        </is>
      </c>
      <c r="F707" t="inlineStr">
        <is>
          <t>Sveaskog</t>
        </is>
      </c>
      <c r="G707" t="n">
        <v>14.5</v>
      </c>
      <c r="H707" t="n">
        <v>0</v>
      </c>
      <c r="I707" t="n">
        <v>0</v>
      </c>
      <c r="J707" t="n">
        <v>0</v>
      </c>
      <c r="K707" t="n">
        <v>0</v>
      </c>
      <c r="L707" t="n">
        <v>0</v>
      </c>
      <c r="M707" t="n">
        <v>0</v>
      </c>
      <c r="N707" t="n">
        <v>0</v>
      </c>
      <c r="O707" t="n">
        <v>0</v>
      </c>
      <c r="P707" t="n">
        <v>0</v>
      </c>
      <c r="Q707" t="n">
        <v>0</v>
      </c>
      <c r="R707" s="2" t="inlineStr"/>
    </row>
    <row r="708" ht="15" customHeight="1">
      <c r="A708" t="inlineStr">
        <is>
          <t>A 50085-2023</t>
        </is>
      </c>
      <c r="B708" s="1" t="n">
        <v>45215.5959375</v>
      </c>
      <c r="C708" s="1" t="n">
        <v>45915</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11219-2023</t>
        </is>
      </c>
      <c r="B709" s="1" t="n">
        <v>44992.62498842592</v>
      </c>
      <c r="C709" s="1" t="n">
        <v>45915</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39801-2025</t>
        </is>
      </c>
      <c r="B710" s="1" t="n">
        <v>45891.50216435185</v>
      </c>
      <c r="C710" s="1" t="n">
        <v>45915</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35270-2025</t>
        </is>
      </c>
      <c r="B711" s="1" t="n">
        <v>45853.87112268519</v>
      </c>
      <c r="C711" s="1" t="n">
        <v>45915</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35271-2025</t>
        </is>
      </c>
      <c r="B712" s="1" t="n">
        <v>45853.87599537037</v>
      </c>
      <c r="C712" s="1" t="n">
        <v>45915</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35272-2025</t>
        </is>
      </c>
      <c r="B713" s="1" t="n">
        <v>45853.88070601852</v>
      </c>
      <c r="C713" s="1" t="n">
        <v>45915</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6850-2023</t>
        </is>
      </c>
      <c r="B714" s="1" t="n">
        <v>44967.44255787037</v>
      </c>
      <c r="C714" s="1" t="n">
        <v>45915</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16953-2025</t>
        </is>
      </c>
      <c r="B715" s="1" t="n">
        <v>45755.44333333334</v>
      </c>
      <c r="C715" s="1" t="n">
        <v>45915</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6358-2022</t>
        </is>
      </c>
      <c r="B716" s="1" t="n">
        <v>44600</v>
      </c>
      <c r="C716" s="1" t="n">
        <v>45915</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39889-2025</t>
        </is>
      </c>
      <c r="B717" s="1" t="n">
        <v>45891</v>
      </c>
      <c r="C717" s="1" t="n">
        <v>45915</v>
      </c>
      <c r="D717" t="inlineStr">
        <is>
          <t>KALMAR LÄN</t>
        </is>
      </c>
      <c r="E717" t="inlineStr">
        <is>
          <t>VIMMERBY</t>
        </is>
      </c>
      <c r="G717" t="n">
        <v>4.5</v>
      </c>
      <c r="H717" t="n">
        <v>0</v>
      </c>
      <c r="I717" t="n">
        <v>0</v>
      </c>
      <c r="J717" t="n">
        <v>0</v>
      </c>
      <c r="K717" t="n">
        <v>0</v>
      </c>
      <c r="L717" t="n">
        <v>0</v>
      </c>
      <c r="M717" t="n">
        <v>0</v>
      </c>
      <c r="N717" t="n">
        <v>0</v>
      </c>
      <c r="O717" t="n">
        <v>0</v>
      </c>
      <c r="P717" t="n">
        <v>0</v>
      </c>
      <c r="Q717" t="n">
        <v>0</v>
      </c>
      <c r="R717" s="2" t="inlineStr"/>
    </row>
    <row r="718" ht="15" customHeight="1">
      <c r="A718" t="inlineStr">
        <is>
          <t>A 43853-2023</t>
        </is>
      </c>
      <c r="B718" s="1" t="n">
        <v>45187.60813657408</v>
      </c>
      <c r="C718" s="1" t="n">
        <v>45915</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7075-2021</t>
        </is>
      </c>
      <c r="B719" s="1" t="n">
        <v>44237</v>
      </c>
      <c r="C719" s="1" t="n">
        <v>45915</v>
      </c>
      <c r="D719" t="inlineStr">
        <is>
          <t>KALMAR LÄN</t>
        </is>
      </c>
      <c r="E719" t="inlineStr">
        <is>
          <t>VIMMERBY</t>
        </is>
      </c>
      <c r="G719" t="n">
        <v>3.6</v>
      </c>
      <c r="H719" t="n">
        <v>0</v>
      </c>
      <c r="I719" t="n">
        <v>0</v>
      </c>
      <c r="J719" t="n">
        <v>0</v>
      </c>
      <c r="K719" t="n">
        <v>0</v>
      </c>
      <c r="L719" t="n">
        <v>0</v>
      </c>
      <c r="M719" t="n">
        <v>0</v>
      </c>
      <c r="N719" t="n">
        <v>0</v>
      </c>
      <c r="O719" t="n">
        <v>0</v>
      </c>
      <c r="P719" t="n">
        <v>0</v>
      </c>
      <c r="Q719" t="n">
        <v>0</v>
      </c>
      <c r="R719" s="2" t="inlineStr"/>
    </row>
    <row r="720" ht="15" customHeight="1">
      <c r="A720" t="inlineStr">
        <is>
          <t>A 40921-2025</t>
        </is>
      </c>
      <c r="B720" s="1" t="n">
        <v>45897.63520833333</v>
      </c>
      <c r="C720" s="1" t="n">
        <v>45915</v>
      </c>
      <c r="D720" t="inlineStr">
        <is>
          <t>KALMAR LÄN</t>
        </is>
      </c>
      <c r="E720" t="inlineStr">
        <is>
          <t>VIMMERBY</t>
        </is>
      </c>
      <c r="G720" t="n">
        <v>4.2</v>
      </c>
      <c r="H720" t="n">
        <v>0</v>
      </c>
      <c r="I720" t="n">
        <v>0</v>
      </c>
      <c r="J720" t="n">
        <v>0</v>
      </c>
      <c r="K720" t="n">
        <v>0</v>
      </c>
      <c r="L720" t="n">
        <v>0</v>
      </c>
      <c r="M720" t="n">
        <v>0</v>
      </c>
      <c r="N720" t="n">
        <v>0</v>
      </c>
      <c r="O720" t="n">
        <v>0</v>
      </c>
      <c r="P720" t="n">
        <v>0</v>
      </c>
      <c r="Q720" t="n">
        <v>0</v>
      </c>
      <c r="R720" s="2" t="inlineStr"/>
    </row>
    <row r="721" ht="15" customHeight="1">
      <c r="A721" t="inlineStr">
        <is>
          <t>A 40971-2025</t>
        </is>
      </c>
      <c r="B721" s="1" t="n">
        <v>45897.88836805556</v>
      </c>
      <c r="C721" s="1" t="n">
        <v>45915</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40925-2025</t>
        </is>
      </c>
      <c r="B722" s="1" t="n">
        <v>45897.64208333333</v>
      </c>
      <c r="C722" s="1" t="n">
        <v>45915</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45915</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45915</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7630-2025</t>
        </is>
      </c>
      <c r="B725" s="1" t="n">
        <v>45705.74418981482</v>
      </c>
      <c r="C725" s="1" t="n">
        <v>45915</v>
      </c>
      <c r="D725" t="inlineStr">
        <is>
          <t>KALMAR LÄN</t>
        </is>
      </c>
      <c r="E725" t="inlineStr">
        <is>
          <t>VIMMERBY</t>
        </is>
      </c>
      <c r="G725" t="n">
        <v>2.5</v>
      </c>
      <c r="H725" t="n">
        <v>0</v>
      </c>
      <c r="I725" t="n">
        <v>0</v>
      </c>
      <c r="J725" t="n">
        <v>0</v>
      </c>
      <c r="K725" t="n">
        <v>0</v>
      </c>
      <c r="L725" t="n">
        <v>0</v>
      </c>
      <c r="M725" t="n">
        <v>0</v>
      </c>
      <c r="N725" t="n">
        <v>0</v>
      </c>
      <c r="O725" t="n">
        <v>0</v>
      </c>
      <c r="P725" t="n">
        <v>0</v>
      </c>
      <c r="Q725" t="n">
        <v>0</v>
      </c>
      <c r="R725" s="2" t="inlineStr"/>
    </row>
    <row r="726" ht="15" customHeight="1">
      <c r="A726" t="inlineStr">
        <is>
          <t>A 38780-2021</t>
        </is>
      </c>
      <c r="B726" s="1" t="n">
        <v>44410</v>
      </c>
      <c r="C726" s="1" t="n">
        <v>45915</v>
      </c>
      <c r="D726" t="inlineStr">
        <is>
          <t>KALMAR LÄN</t>
        </is>
      </c>
      <c r="E726" t="inlineStr">
        <is>
          <t>VIMMERBY</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30503-2023</t>
        </is>
      </c>
      <c r="B727" s="1" t="n">
        <v>45111</v>
      </c>
      <c r="C727" s="1" t="n">
        <v>45915</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41224-2025</t>
        </is>
      </c>
      <c r="B728" s="1" t="n">
        <v>45898.58861111111</v>
      </c>
      <c r="C728" s="1" t="n">
        <v>45915</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40973-2025</t>
        </is>
      </c>
      <c r="B729" s="1" t="n">
        <v>45897.89737268518</v>
      </c>
      <c r="C729" s="1" t="n">
        <v>45915</v>
      </c>
      <c r="D729" t="inlineStr">
        <is>
          <t>KALMAR LÄN</t>
        </is>
      </c>
      <c r="E729" t="inlineStr">
        <is>
          <t>VIMMERBY</t>
        </is>
      </c>
      <c r="G729" t="n">
        <v>1.8</v>
      </c>
      <c r="H729" t="n">
        <v>0</v>
      </c>
      <c r="I729" t="n">
        <v>0</v>
      </c>
      <c r="J729" t="n">
        <v>0</v>
      </c>
      <c r="K729" t="n">
        <v>0</v>
      </c>
      <c r="L729" t="n">
        <v>0</v>
      </c>
      <c r="M729" t="n">
        <v>0</v>
      </c>
      <c r="N729" t="n">
        <v>0</v>
      </c>
      <c r="O729" t="n">
        <v>0</v>
      </c>
      <c r="P729" t="n">
        <v>0</v>
      </c>
      <c r="Q729" t="n">
        <v>0</v>
      </c>
      <c r="R729" s="2" t="inlineStr"/>
    </row>
    <row r="730" ht="15" customHeight="1">
      <c r="A730" t="inlineStr">
        <is>
          <t>A 40970-2025</t>
        </is>
      </c>
      <c r="B730" s="1" t="n">
        <v>45897.88706018519</v>
      </c>
      <c r="C730" s="1" t="n">
        <v>45915</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45915</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59300-2024</t>
        </is>
      </c>
      <c r="B732" s="1" t="n">
        <v>45637.66542824074</v>
      </c>
      <c r="C732" s="1" t="n">
        <v>45915</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41589-2025</t>
        </is>
      </c>
      <c r="B733" s="1" t="n">
        <v>45901.63219907408</v>
      </c>
      <c r="C733" s="1" t="n">
        <v>45915</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41591-2025</t>
        </is>
      </c>
      <c r="B734" s="1" t="n">
        <v>45901.6327662037</v>
      </c>
      <c r="C734" s="1" t="n">
        <v>45915</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35597-2025</t>
        </is>
      </c>
      <c r="B735" s="1" t="n">
        <v>45858.66019675926</v>
      </c>
      <c r="C735" s="1" t="n">
        <v>45915</v>
      </c>
      <c r="D735" t="inlineStr">
        <is>
          <t>KALMAR LÄN</t>
        </is>
      </c>
      <c r="E735" t="inlineStr">
        <is>
          <t>VIMMERBY</t>
        </is>
      </c>
      <c r="G735" t="n">
        <v>6.4</v>
      </c>
      <c r="H735" t="n">
        <v>0</v>
      </c>
      <c r="I735" t="n">
        <v>0</v>
      </c>
      <c r="J735" t="n">
        <v>0</v>
      </c>
      <c r="K735" t="n">
        <v>0</v>
      </c>
      <c r="L735" t="n">
        <v>0</v>
      </c>
      <c r="M735" t="n">
        <v>0</v>
      </c>
      <c r="N735" t="n">
        <v>0</v>
      </c>
      <c r="O735" t="n">
        <v>0</v>
      </c>
      <c r="P735" t="n">
        <v>0</v>
      </c>
      <c r="Q735" t="n">
        <v>0</v>
      </c>
      <c r="R735" s="2" t="inlineStr"/>
    </row>
    <row r="736" ht="15" customHeight="1">
      <c r="A736" t="inlineStr">
        <is>
          <t>A 35596-2025</t>
        </is>
      </c>
      <c r="B736" s="1" t="n">
        <v>45858.60641203704</v>
      </c>
      <c r="C736" s="1" t="n">
        <v>45915</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19445-2021</t>
        </is>
      </c>
      <c r="B737" s="1" t="n">
        <v>44310</v>
      </c>
      <c r="C737" s="1" t="n">
        <v>45915</v>
      </c>
      <c r="D737" t="inlineStr">
        <is>
          <t>KALMAR LÄN</t>
        </is>
      </c>
      <c r="E737" t="inlineStr">
        <is>
          <t>VIMMERBY</t>
        </is>
      </c>
      <c r="G737" t="n">
        <v>6.8</v>
      </c>
      <c r="H737" t="n">
        <v>0</v>
      </c>
      <c r="I737" t="n">
        <v>0</v>
      </c>
      <c r="J737" t="n">
        <v>0</v>
      </c>
      <c r="K737" t="n">
        <v>0</v>
      </c>
      <c r="L737" t="n">
        <v>0</v>
      </c>
      <c r="M737" t="n">
        <v>0</v>
      </c>
      <c r="N737" t="n">
        <v>0</v>
      </c>
      <c r="O737" t="n">
        <v>0</v>
      </c>
      <c r="P737" t="n">
        <v>0</v>
      </c>
      <c r="Q737" t="n">
        <v>0</v>
      </c>
      <c r="R737" s="2" t="inlineStr"/>
    </row>
    <row r="738" ht="15" customHeight="1">
      <c r="A738" t="inlineStr">
        <is>
          <t>A 41735-2025</t>
        </is>
      </c>
      <c r="B738" s="1" t="n">
        <v>45902.47164351852</v>
      </c>
      <c r="C738" s="1" t="n">
        <v>45915</v>
      </c>
      <c r="D738" t="inlineStr">
        <is>
          <t>KALMAR LÄN</t>
        </is>
      </c>
      <c r="E738" t="inlineStr">
        <is>
          <t>VIMMERBY</t>
        </is>
      </c>
      <c r="G738" t="n">
        <v>3</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45915</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45915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45915</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41896-2025</t>
        </is>
      </c>
      <c r="B742" s="1" t="n">
        <v>45903.38800925926</v>
      </c>
      <c r="C742" s="1" t="n">
        <v>45915</v>
      </c>
      <c r="D742" t="inlineStr">
        <is>
          <t>KALMAR LÄN</t>
        </is>
      </c>
      <c r="E742" t="inlineStr">
        <is>
          <t>VIMMERBY</t>
        </is>
      </c>
      <c r="G742" t="n">
        <v>2.9</v>
      </c>
      <c r="H742" t="n">
        <v>0</v>
      </c>
      <c r="I742" t="n">
        <v>0</v>
      </c>
      <c r="J742" t="n">
        <v>0</v>
      </c>
      <c r="K742" t="n">
        <v>0</v>
      </c>
      <c r="L742" t="n">
        <v>0</v>
      </c>
      <c r="M742" t="n">
        <v>0</v>
      </c>
      <c r="N742" t="n">
        <v>0</v>
      </c>
      <c r="O742" t="n">
        <v>0</v>
      </c>
      <c r="P742" t="n">
        <v>0</v>
      </c>
      <c r="Q742" t="n">
        <v>0</v>
      </c>
      <c r="R742" s="2" t="inlineStr"/>
    </row>
    <row r="743" ht="15" customHeight="1">
      <c r="A743" t="inlineStr">
        <is>
          <t>A 694-2024</t>
        </is>
      </c>
      <c r="B743" s="1" t="n">
        <v>45300.3794212963</v>
      </c>
      <c r="C743" s="1" t="n">
        <v>45915</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57114-2023</t>
        </is>
      </c>
      <c r="B744" s="1" t="n">
        <v>45245.36174768519</v>
      </c>
      <c r="C744" s="1" t="n">
        <v>45915</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12327-2023</t>
        </is>
      </c>
      <c r="B745" s="1" t="n">
        <v>44999.36081018519</v>
      </c>
      <c r="C745" s="1" t="n">
        <v>45915</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30633-2024</t>
        </is>
      </c>
      <c r="B746" s="1" t="n">
        <v>45495</v>
      </c>
      <c r="C746" s="1" t="n">
        <v>45915</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33424-2023</t>
        </is>
      </c>
      <c r="B747" s="1" t="n">
        <v>45128.9325</v>
      </c>
      <c r="C747" s="1" t="n">
        <v>45915</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33425-2023</t>
        </is>
      </c>
      <c r="B748" s="1" t="n">
        <v>45128.93540509259</v>
      </c>
      <c r="C748" s="1" t="n">
        <v>45915</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42828-2025</t>
        </is>
      </c>
      <c r="B749" s="1" t="n">
        <v>45908.57716435185</v>
      </c>
      <c r="C749" s="1" t="n">
        <v>45915</v>
      </c>
      <c r="D749" t="inlineStr">
        <is>
          <t>KALMAR LÄN</t>
        </is>
      </c>
      <c r="E749" t="inlineStr">
        <is>
          <t>VIMMERBY</t>
        </is>
      </c>
      <c r="G749" t="n">
        <v>5.2</v>
      </c>
      <c r="H749" t="n">
        <v>0</v>
      </c>
      <c r="I749" t="n">
        <v>0</v>
      </c>
      <c r="J749" t="n">
        <v>0</v>
      </c>
      <c r="K749" t="n">
        <v>0</v>
      </c>
      <c r="L749" t="n">
        <v>0</v>
      </c>
      <c r="M749" t="n">
        <v>0</v>
      </c>
      <c r="N749" t="n">
        <v>0</v>
      </c>
      <c r="O749" t="n">
        <v>0</v>
      </c>
      <c r="P749" t="n">
        <v>0</v>
      </c>
      <c r="Q749" t="n">
        <v>0</v>
      </c>
      <c r="R749" s="2" t="inlineStr"/>
    </row>
    <row r="750" ht="15" customHeight="1">
      <c r="A750" t="inlineStr">
        <is>
          <t>A 3609-2024</t>
        </is>
      </c>
      <c r="B750" s="1" t="n">
        <v>45320.89128472222</v>
      </c>
      <c r="C750" s="1" t="n">
        <v>45915</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19502-2025</t>
        </is>
      </c>
      <c r="B751" s="1" t="n">
        <v>45769</v>
      </c>
      <c r="C751" s="1" t="n">
        <v>45915</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36273-2025</t>
        </is>
      </c>
      <c r="B752" s="1" t="n">
        <v>45867.63094907408</v>
      </c>
      <c r="C752" s="1" t="n">
        <v>45915</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36299-2025</t>
        </is>
      </c>
      <c r="B753" s="1" t="n">
        <v>45867.69346064814</v>
      </c>
      <c r="C753" s="1" t="n">
        <v>45915</v>
      </c>
      <c r="D753" t="inlineStr">
        <is>
          <t>KALMAR LÄN</t>
        </is>
      </c>
      <c r="E753" t="inlineStr">
        <is>
          <t>VIMMERBY</t>
        </is>
      </c>
      <c r="G753" t="n">
        <v>7.6</v>
      </c>
      <c r="H753" t="n">
        <v>0</v>
      </c>
      <c r="I753" t="n">
        <v>0</v>
      </c>
      <c r="J753" t="n">
        <v>0</v>
      </c>
      <c r="K753" t="n">
        <v>0</v>
      </c>
      <c r="L753" t="n">
        <v>0</v>
      </c>
      <c r="M753" t="n">
        <v>0</v>
      </c>
      <c r="N753" t="n">
        <v>0</v>
      </c>
      <c r="O753" t="n">
        <v>0</v>
      </c>
      <c r="P753" t="n">
        <v>0</v>
      </c>
      <c r="Q753" t="n">
        <v>0</v>
      </c>
      <c r="R753" s="2" t="inlineStr"/>
    </row>
    <row r="754" ht="15" customHeight="1">
      <c r="A754" t="inlineStr">
        <is>
          <t>A 8650-2022</t>
        </is>
      </c>
      <c r="B754" s="1" t="n">
        <v>44613</v>
      </c>
      <c r="C754" s="1" t="n">
        <v>45915</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36221-2025</t>
        </is>
      </c>
      <c r="B755" s="1" t="n">
        <v>45867.50792824074</v>
      </c>
      <c r="C755" s="1" t="n">
        <v>45915</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36226-2025</t>
        </is>
      </c>
      <c r="B756" s="1" t="n">
        <v>45867.51630787037</v>
      </c>
      <c r="C756" s="1" t="n">
        <v>45915</v>
      </c>
      <c r="D756" t="inlineStr">
        <is>
          <t>KALMAR LÄN</t>
        </is>
      </c>
      <c r="E756" t="inlineStr">
        <is>
          <t>VIMMERBY</t>
        </is>
      </c>
      <c r="G756" t="n">
        <v>3.1</v>
      </c>
      <c r="H756" t="n">
        <v>0</v>
      </c>
      <c r="I756" t="n">
        <v>0</v>
      </c>
      <c r="J756" t="n">
        <v>0</v>
      </c>
      <c r="K756" t="n">
        <v>0</v>
      </c>
      <c r="L756" t="n">
        <v>0</v>
      </c>
      <c r="M756" t="n">
        <v>0</v>
      </c>
      <c r="N756" t="n">
        <v>0</v>
      </c>
      <c r="O756" t="n">
        <v>0</v>
      </c>
      <c r="P756" t="n">
        <v>0</v>
      </c>
      <c r="Q756" t="n">
        <v>0</v>
      </c>
      <c r="R756" s="2" t="inlineStr"/>
    </row>
    <row r="757" ht="15" customHeight="1">
      <c r="A757" t="inlineStr">
        <is>
          <t>A 36297-2025</t>
        </is>
      </c>
      <c r="B757" s="1" t="n">
        <v>45867.68625</v>
      </c>
      <c r="C757" s="1" t="n">
        <v>45915</v>
      </c>
      <c r="D757" t="inlineStr">
        <is>
          <t>KALMAR LÄN</t>
        </is>
      </c>
      <c r="E757" t="inlineStr">
        <is>
          <t>VIMMERBY</t>
        </is>
      </c>
      <c r="G757" t="n">
        <v>4.9</v>
      </c>
      <c r="H757" t="n">
        <v>0</v>
      </c>
      <c r="I757" t="n">
        <v>0</v>
      </c>
      <c r="J757" t="n">
        <v>0</v>
      </c>
      <c r="K757" t="n">
        <v>0</v>
      </c>
      <c r="L757" t="n">
        <v>0</v>
      </c>
      <c r="M757" t="n">
        <v>0</v>
      </c>
      <c r="N757" t="n">
        <v>0</v>
      </c>
      <c r="O757" t="n">
        <v>0</v>
      </c>
      <c r="P757" t="n">
        <v>0</v>
      </c>
      <c r="Q757" t="n">
        <v>0</v>
      </c>
      <c r="R757" s="2" t="inlineStr"/>
    </row>
    <row r="758" ht="15" customHeight="1">
      <c r="A758" t="inlineStr">
        <is>
          <t>A 36246-2025</t>
        </is>
      </c>
      <c r="B758" s="1" t="n">
        <v>45867.56320601852</v>
      </c>
      <c r="C758" s="1" t="n">
        <v>45915</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36282-2025</t>
        </is>
      </c>
      <c r="B759" s="1" t="n">
        <v>45867.64663194444</v>
      </c>
      <c r="C759" s="1" t="n">
        <v>45915</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11147-2023</t>
        </is>
      </c>
      <c r="B760" s="1" t="n">
        <v>44992</v>
      </c>
      <c r="C760" s="1" t="n">
        <v>45915</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42794-2025</t>
        </is>
      </c>
      <c r="B761" s="1" t="n">
        <v>45908</v>
      </c>
      <c r="C761" s="1" t="n">
        <v>45915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36538-2025</t>
        </is>
      </c>
      <c r="B762" s="1" t="n">
        <v>45869.62276620371</v>
      </c>
      <c r="C762" s="1" t="n">
        <v>45915</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42820-2025</t>
        </is>
      </c>
      <c r="B763" s="1" t="n">
        <v>45908</v>
      </c>
      <c r="C763" s="1" t="n">
        <v>45915</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43465-2025</t>
        </is>
      </c>
      <c r="B764" s="1" t="n">
        <v>45911.47138888889</v>
      </c>
      <c r="C764" s="1" t="n">
        <v>45915</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16676-2023</t>
        </is>
      </c>
      <c r="B765" s="1" t="n">
        <v>45028</v>
      </c>
      <c r="C765" s="1" t="n">
        <v>45915</v>
      </c>
      <c r="D765" t="inlineStr">
        <is>
          <t>KALMAR LÄN</t>
        </is>
      </c>
      <c r="E765" t="inlineStr">
        <is>
          <t>VIMMERBY</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36598-2025</t>
        </is>
      </c>
      <c r="B766" s="1" t="n">
        <v>45870.51708333333</v>
      </c>
      <c r="C766" s="1" t="n">
        <v>45915</v>
      </c>
      <c r="D766" t="inlineStr">
        <is>
          <t>KALMAR LÄN</t>
        </is>
      </c>
      <c r="E766" t="inlineStr">
        <is>
          <t>VIMMERBY</t>
        </is>
      </c>
      <c r="G766" t="n">
        <v>3.7</v>
      </c>
      <c r="H766" t="n">
        <v>0</v>
      </c>
      <c r="I766" t="n">
        <v>0</v>
      </c>
      <c r="J766" t="n">
        <v>0</v>
      </c>
      <c r="K766" t="n">
        <v>0</v>
      </c>
      <c r="L766" t="n">
        <v>0</v>
      </c>
      <c r="M766" t="n">
        <v>0</v>
      </c>
      <c r="N766" t="n">
        <v>0</v>
      </c>
      <c r="O766" t="n">
        <v>0</v>
      </c>
      <c r="P766" t="n">
        <v>0</v>
      </c>
      <c r="Q766" t="n">
        <v>0</v>
      </c>
      <c r="R766" s="2" t="inlineStr"/>
    </row>
    <row r="767" ht="15" customHeight="1">
      <c r="A767" t="inlineStr">
        <is>
          <t>A 36602-2025</t>
        </is>
      </c>
      <c r="B767" s="1" t="n">
        <v>45870.52111111111</v>
      </c>
      <c r="C767" s="1" t="n">
        <v>45915</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23263-2024</t>
        </is>
      </c>
      <c r="B768" s="1" t="n">
        <v>45453.36854166666</v>
      </c>
      <c r="C768" s="1" t="n">
        <v>45915</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43617-2025</t>
        </is>
      </c>
      <c r="B769" s="1" t="n">
        <v>45911.67798611111</v>
      </c>
      <c r="C769" s="1" t="n">
        <v>45915</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34090-2025</t>
        </is>
      </c>
      <c r="B770" s="1" t="n">
        <v>45845</v>
      </c>
      <c r="C770" s="1" t="n">
        <v>45915</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36600-2025</t>
        </is>
      </c>
      <c r="B771" s="1" t="n">
        <v>45870.51958333333</v>
      </c>
      <c r="C771" s="1" t="n">
        <v>45915</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36601-2025</t>
        </is>
      </c>
      <c r="B772" s="1" t="n">
        <v>45870.52005787037</v>
      </c>
      <c r="C772" s="1" t="n">
        <v>45915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36603-2025</t>
        </is>
      </c>
      <c r="B773" s="1" t="n">
        <v>45870.52142361111</v>
      </c>
      <c r="C773" s="1" t="n">
        <v>45915</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49488-2023</t>
        </is>
      </c>
      <c r="B774" s="1" t="n">
        <v>45211.55472222222</v>
      </c>
      <c r="C774" s="1" t="n">
        <v>45915</v>
      </c>
      <c r="D774" t="inlineStr">
        <is>
          <t>KALMAR LÄN</t>
        </is>
      </c>
      <c r="E774" t="inlineStr">
        <is>
          <t>VIMMERBY</t>
        </is>
      </c>
      <c r="F774" t="inlineStr">
        <is>
          <t>Sveaskog</t>
        </is>
      </c>
      <c r="G774" t="n">
        <v>6.2</v>
      </c>
      <c r="H774" t="n">
        <v>0</v>
      </c>
      <c r="I774" t="n">
        <v>0</v>
      </c>
      <c r="J774" t="n">
        <v>0</v>
      </c>
      <c r="K774" t="n">
        <v>0</v>
      </c>
      <c r="L774" t="n">
        <v>0</v>
      </c>
      <c r="M774" t="n">
        <v>0</v>
      </c>
      <c r="N774" t="n">
        <v>0</v>
      </c>
      <c r="O774" t="n">
        <v>0</v>
      </c>
      <c r="P774" t="n">
        <v>0</v>
      </c>
      <c r="Q774" t="n">
        <v>0</v>
      </c>
      <c r="R774" s="2" t="inlineStr"/>
    </row>
    <row r="775" ht="15" customHeight="1">
      <c r="A775" t="inlineStr">
        <is>
          <t>A 59768-2024</t>
        </is>
      </c>
      <c r="B775" s="1" t="n">
        <v>45639.56185185185</v>
      </c>
      <c r="C775" s="1" t="n">
        <v>45915</v>
      </c>
      <c r="D775" t="inlineStr">
        <is>
          <t>KALMAR LÄN</t>
        </is>
      </c>
      <c r="E775" t="inlineStr">
        <is>
          <t>VIMMERBY</t>
        </is>
      </c>
      <c r="G775" t="n">
        <v>5.9</v>
      </c>
      <c r="H775" t="n">
        <v>0</v>
      </c>
      <c r="I775" t="n">
        <v>0</v>
      </c>
      <c r="J775" t="n">
        <v>0</v>
      </c>
      <c r="K775" t="n">
        <v>0</v>
      </c>
      <c r="L775" t="n">
        <v>0</v>
      </c>
      <c r="M775" t="n">
        <v>0</v>
      </c>
      <c r="N775" t="n">
        <v>0</v>
      </c>
      <c r="O775" t="n">
        <v>0</v>
      </c>
      <c r="P775" t="n">
        <v>0</v>
      </c>
      <c r="Q775" t="n">
        <v>0</v>
      </c>
      <c r="R775" s="2" t="inlineStr"/>
    </row>
    <row r="776" ht="15" customHeight="1">
      <c r="A776" t="inlineStr">
        <is>
          <t>A 72067-2021</t>
        </is>
      </c>
      <c r="B776" s="1" t="n">
        <v>44540</v>
      </c>
      <c r="C776" s="1" t="n">
        <v>45915</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41158-2023</t>
        </is>
      </c>
      <c r="B777" s="1" t="n">
        <v>45174.31395833333</v>
      </c>
      <c r="C777" s="1" t="n">
        <v>45915</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22198-2024</t>
        </is>
      </c>
      <c r="B778" s="1" t="n">
        <v>45446.36865740741</v>
      </c>
      <c r="C778" s="1" t="n">
        <v>45915</v>
      </c>
      <c r="D778" t="inlineStr">
        <is>
          <t>KALMAR LÄN</t>
        </is>
      </c>
      <c r="E778" t="inlineStr">
        <is>
          <t>VIMMERBY</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9511-2023</t>
        </is>
      </c>
      <c r="B779" s="1" t="n">
        <v>44981.64725694444</v>
      </c>
      <c r="C779" s="1" t="n">
        <v>45915</v>
      </c>
      <c r="D779" t="inlineStr">
        <is>
          <t>KALMAR LÄN</t>
        </is>
      </c>
      <c r="E779" t="inlineStr">
        <is>
          <t>VIMMERBY</t>
        </is>
      </c>
      <c r="G779" t="n">
        <v>3.5</v>
      </c>
      <c r="H779" t="n">
        <v>0</v>
      </c>
      <c r="I779" t="n">
        <v>0</v>
      </c>
      <c r="J779" t="n">
        <v>0</v>
      </c>
      <c r="K779" t="n">
        <v>0</v>
      </c>
      <c r="L779" t="n">
        <v>0</v>
      </c>
      <c r="M779" t="n">
        <v>0</v>
      </c>
      <c r="N779" t="n">
        <v>0</v>
      </c>
      <c r="O779" t="n">
        <v>0</v>
      </c>
      <c r="P779" t="n">
        <v>0</v>
      </c>
      <c r="Q779" t="n">
        <v>0</v>
      </c>
      <c r="R779" s="2" t="inlineStr"/>
    </row>
    <row r="780" ht="15" customHeight="1">
      <c r="A780" t="inlineStr">
        <is>
          <t>A 34205-2023</t>
        </is>
      </c>
      <c r="B780" s="1" t="n">
        <v>45138</v>
      </c>
      <c r="C780" s="1" t="n">
        <v>45915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57091-2022</t>
        </is>
      </c>
      <c r="B781" s="1" t="n">
        <v>44895.46524305556</v>
      </c>
      <c r="C781" s="1" t="n">
        <v>45915</v>
      </c>
      <c r="D781" t="inlineStr">
        <is>
          <t>KALMAR LÄN</t>
        </is>
      </c>
      <c r="E781" t="inlineStr">
        <is>
          <t>VIMMERBY</t>
        </is>
      </c>
      <c r="G781" t="n">
        <v>2.6</v>
      </c>
      <c r="H781" t="n">
        <v>0</v>
      </c>
      <c r="I781" t="n">
        <v>0</v>
      </c>
      <c r="J781" t="n">
        <v>0</v>
      </c>
      <c r="K781" t="n">
        <v>0</v>
      </c>
      <c r="L781" t="n">
        <v>0</v>
      </c>
      <c r="M781" t="n">
        <v>0</v>
      </c>
      <c r="N781" t="n">
        <v>0</v>
      </c>
      <c r="O781" t="n">
        <v>0</v>
      </c>
      <c r="P781" t="n">
        <v>0</v>
      </c>
      <c r="Q781" t="n">
        <v>0</v>
      </c>
      <c r="R781" s="2" t="inlineStr"/>
    </row>
    <row r="782" ht="15" customHeight="1">
      <c r="A782" t="inlineStr">
        <is>
          <t>A 2604-2025</t>
        </is>
      </c>
      <c r="B782" s="1" t="n">
        <v>45674.74094907408</v>
      </c>
      <c r="C782" s="1" t="n">
        <v>45915</v>
      </c>
      <c r="D782" t="inlineStr">
        <is>
          <t>KALMAR LÄN</t>
        </is>
      </c>
      <c r="E782" t="inlineStr">
        <is>
          <t>VIMMERBY</t>
        </is>
      </c>
      <c r="G782" t="n">
        <v>7.6</v>
      </c>
      <c r="H782" t="n">
        <v>0</v>
      </c>
      <c r="I782" t="n">
        <v>0</v>
      </c>
      <c r="J782" t="n">
        <v>0</v>
      </c>
      <c r="K782" t="n">
        <v>0</v>
      </c>
      <c r="L782" t="n">
        <v>0</v>
      </c>
      <c r="M782" t="n">
        <v>0</v>
      </c>
      <c r="N782" t="n">
        <v>0</v>
      </c>
      <c r="O782" t="n">
        <v>0</v>
      </c>
      <c r="P782" t="n">
        <v>0</v>
      </c>
      <c r="Q782" t="n">
        <v>0</v>
      </c>
      <c r="R782" s="2" t="inlineStr"/>
    </row>
    <row r="783" ht="15" customHeight="1">
      <c r="A783" t="inlineStr">
        <is>
          <t>A 6807-2025</t>
        </is>
      </c>
      <c r="B783" s="1" t="n">
        <v>45700.68672453704</v>
      </c>
      <c r="C783" s="1" t="n">
        <v>45915</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38851-2023</t>
        </is>
      </c>
      <c r="B784" s="1" t="n">
        <v>45163</v>
      </c>
      <c r="C784" s="1" t="n">
        <v>45915</v>
      </c>
      <c r="D784" t="inlineStr">
        <is>
          <t>KALMAR LÄN</t>
        </is>
      </c>
      <c r="E784" t="inlineStr">
        <is>
          <t>VIMMERBY</t>
        </is>
      </c>
      <c r="G784" t="n">
        <v>4.3</v>
      </c>
      <c r="H784" t="n">
        <v>0</v>
      </c>
      <c r="I784" t="n">
        <v>0</v>
      </c>
      <c r="J784" t="n">
        <v>0</v>
      </c>
      <c r="K784" t="n">
        <v>0</v>
      </c>
      <c r="L784" t="n">
        <v>0</v>
      </c>
      <c r="M784" t="n">
        <v>0</v>
      </c>
      <c r="N784" t="n">
        <v>0</v>
      </c>
      <c r="O784" t="n">
        <v>0</v>
      </c>
      <c r="P784" t="n">
        <v>0</v>
      </c>
      <c r="Q784" t="n">
        <v>0</v>
      </c>
      <c r="R784" s="2" t="inlineStr"/>
    </row>
    <row r="785" ht="15" customHeight="1">
      <c r="A785" t="inlineStr">
        <is>
          <t>A 23252-2024</t>
        </is>
      </c>
      <c r="B785" s="1" t="n">
        <v>45453.36067129629</v>
      </c>
      <c r="C785" s="1" t="n">
        <v>45915</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5792-2023</t>
        </is>
      </c>
      <c r="B786" s="1" t="n">
        <v>44963.44769675926</v>
      </c>
      <c r="C786" s="1" t="n">
        <v>45915</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2797-2023</t>
        </is>
      </c>
      <c r="B787" s="1" t="n">
        <v>44944.71386574074</v>
      </c>
      <c r="C787" s="1" t="n">
        <v>45915</v>
      </c>
      <c r="D787" t="inlineStr">
        <is>
          <t>KALMAR LÄN</t>
        </is>
      </c>
      <c r="E787" t="inlineStr">
        <is>
          <t>VIMMERBY</t>
        </is>
      </c>
      <c r="G787" t="n">
        <v>3.4</v>
      </c>
      <c r="H787" t="n">
        <v>0</v>
      </c>
      <c r="I787" t="n">
        <v>0</v>
      </c>
      <c r="J787" t="n">
        <v>0</v>
      </c>
      <c r="K787" t="n">
        <v>0</v>
      </c>
      <c r="L787" t="n">
        <v>0</v>
      </c>
      <c r="M787" t="n">
        <v>0</v>
      </c>
      <c r="N787" t="n">
        <v>0</v>
      </c>
      <c r="O787" t="n">
        <v>0</v>
      </c>
      <c r="P787" t="n">
        <v>0</v>
      </c>
      <c r="Q787" t="n">
        <v>0</v>
      </c>
      <c r="R787" s="2" t="inlineStr"/>
    </row>
    <row r="788" ht="15" customHeight="1">
      <c r="A788" t="inlineStr">
        <is>
          <t>A 2799-2023</t>
        </is>
      </c>
      <c r="B788" s="1" t="n">
        <v>44944.72100694444</v>
      </c>
      <c r="C788" s="1" t="n">
        <v>45915</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6220-2025</t>
        </is>
      </c>
      <c r="B789" s="1" t="n">
        <v>45698.53725694444</v>
      </c>
      <c r="C789" s="1" t="n">
        <v>45915</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58278-2023</t>
        </is>
      </c>
      <c r="B790" s="1" t="n">
        <v>45250.5278587963</v>
      </c>
      <c r="C790" s="1" t="n">
        <v>45915</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36259-2022</t>
        </is>
      </c>
      <c r="B791" s="1" t="n">
        <v>44803.59118055556</v>
      </c>
      <c r="C791" s="1" t="n">
        <v>45915</v>
      </c>
      <c r="D791" t="inlineStr">
        <is>
          <t>KALMAR LÄN</t>
        </is>
      </c>
      <c r="E791" t="inlineStr">
        <is>
          <t>VIMMERBY</t>
        </is>
      </c>
      <c r="G791" t="n">
        <v>3.9</v>
      </c>
      <c r="H791" t="n">
        <v>0</v>
      </c>
      <c r="I791" t="n">
        <v>0</v>
      </c>
      <c r="J791" t="n">
        <v>0</v>
      </c>
      <c r="K791" t="n">
        <v>0</v>
      </c>
      <c r="L791" t="n">
        <v>0</v>
      </c>
      <c r="M791" t="n">
        <v>0</v>
      </c>
      <c r="N791" t="n">
        <v>0</v>
      </c>
      <c r="O791" t="n">
        <v>0</v>
      </c>
      <c r="P791" t="n">
        <v>0</v>
      </c>
      <c r="Q791" t="n">
        <v>0</v>
      </c>
      <c r="R791" s="2" t="inlineStr"/>
    </row>
    <row r="792" ht="15" customHeight="1">
      <c r="A792" t="inlineStr">
        <is>
          <t>A 36526-2023</t>
        </is>
      </c>
      <c r="B792" s="1" t="n">
        <v>45153.32778935185</v>
      </c>
      <c r="C792" s="1" t="n">
        <v>45915</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17988-2025</t>
        </is>
      </c>
      <c r="B793" s="1" t="n">
        <v>45761.39600694444</v>
      </c>
      <c r="C793" s="1" t="n">
        <v>45915</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29350-2023</t>
        </is>
      </c>
      <c r="B794" s="1" t="n">
        <v>45106</v>
      </c>
      <c r="C794" s="1" t="n">
        <v>45915</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29351-2023</t>
        </is>
      </c>
      <c r="B795" s="1" t="n">
        <v>45106.2610300926</v>
      </c>
      <c r="C795" s="1" t="n">
        <v>45915</v>
      </c>
      <c r="D795" t="inlineStr">
        <is>
          <t>KALMAR LÄN</t>
        </is>
      </c>
      <c r="E795" t="inlineStr">
        <is>
          <t>VIMMERBY</t>
        </is>
      </c>
      <c r="G795" t="n">
        <v>0.4</v>
      </c>
      <c r="H795" t="n">
        <v>0</v>
      </c>
      <c r="I795" t="n">
        <v>0</v>
      </c>
      <c r="J795" t="n">
        <v>0</v>
      </c>
      <c r="K795" t="n">
        <v>0</v>
      </c>
      <c r="L795" t="n">
        <v>0</v>
      </c>
      <c r="M795" t="n">
        <v>0</v>
      </c>
      <c r="N795" t="n">
        <v>0</v>
      </c>
      <c r="O795" t="n">
        <v>0</v>
      </c>
      <c r="P795" t="n">
        <v>0</v>
      </c>
      <c r="Q795" t="n">
        <v>0</v>
      </c>
      <c r="R795" s="2" t="inlineStr"/>
    </row>
    <row r="796" ht="15" customHeight="1">
      <c r="A796" t="inlineStr">
        <is>
          <t>A 6474-2025</t>
        </is>
      </c>
      <c r="B796" s="1" t="n">
        <v>45699.60055555555</v>
      </c>
      <c r="C796" s="1" t="n">
        <v>45915</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17-2025</t>
        </is>
      </c>
      <c r="B797" s="1" t="n">
        <v>45658.78774305555</v>
      </c>
      <c r="C797" s="1" t="n">
        <v>45915</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57555-2024</t>
        </is>
      </c>
      <c r="B798" s="1" t="n">
        <v>45630.45069444444</v>
      </c>
      <c r="C798" s="1" t="n">
        <v>45915</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18411-2021</t>
        </is>
      </c>
      <c r="B799" s="1" t="n">
        <v>44302</v>
      </c>
      <c r="C799" s="1" t="n">
        <v>45915</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52279-2023</t>
        </is>
      </c>
      <c r="B800" s="1" t="n">
        <v>45224</v>
      </c>
      <c r="C800" s="1" t="n">
        <v>45915</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52324-2023</t>
        </is>
      </c>
      <c r="B801" s="1" t="n">
        <v>45224.64659722222</v>
      </c>
      <c r="C801" s="1" t="n">
        <v>45915</v>
      </c>
      <c r="D801" t="inlineStr">
        <is>
          <t>KALMAR LÄN</t>
        </is>
      </c>
      <c r="E801" t="inlineStr">
        <is>
          <t>VIMMERBY</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32639-2023</t>
        </is>
      </c>
      <c r="B802" s="1" t="n">
        <v>45121.5965162037</v>
      </c>
      <c r="C802" s="1" t="n">
        <v>45915</v>
      </c>
      <c r="D802" t="inlineStr">
        <is>
          <t>KALMAR LÄN</t>
        </is>
      </c>
      <c r="E802" t="inlineStr">
        <is>
          <t>VIMMERBY</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32642-2023</t>
        </is>
      </c>
      <c r="B803" s="1" t="n">
        <v>45121.59954861111</v>
      </c>
      <c r="C803" s="1" t="n">
        <v>45915</v>
      </c>
      <c r="D803" t="inlineStr">
        <is>
          <t>KALMAR LÄN</t>
        </is>
      </c>
      <c r="E803" t="inlineStr">
        <is>
          <t>VIMMERBY</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32651-2023</t>
        </is>
      </c>
      <c r="B804" s="1" t="n">
        <v>45121.6096875</v>
      </c>
      <c r="C804" s="1" t="n">
        <v>45915</v>
      </c>
      <c r="D804" t="inlineStr">
        <is>
          <t>KALMAR LÄN</t>
        </is>
      </c>
      <c r="E804" t="inlineStr">
        <is>
          <t>VIMMERBY</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40730-2024</t>
        </is>
      </c>
      <c r="B805" s="1" t="n">
        <v>45558.44914351852</v>
      </c>
      <c r="C805" s="1" t="n">
        <v>45915</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45915</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56213-2024</t>
        </is>
      </c>
      <c r="B807" s="1" t="n">
        <v>45624.60141203704</v>
      </c>
      <c r="C807" s="1" t="n">
        <v>45915</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20126-2024</t>
        </is>
      </c>
      <c r="B808" s="1" t="n">
        <v>45434.55471064815</v>
      </c>
      <c r="C808" s="1" t="n">
        <v>45915</v>
      </c>
      <c r="D808" t="inlineStr">
        <is>
          <t>KALMAR LÄN</t>
        </is>
      </c>
      <c r="E808" t="inlineStr">
        <is>
          <t>VIMMERBY</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19865-2021</t>
        </is>
      </c>
      <c r="B809" s="1" t="n">
        <v>44312</v>
      </c>
      <c r="C809" s="1" t="n">
        <v>45915</v>
      </c>
      <c r="D809" t="inlineStr">
        <is>
          <t>KALMAR LÄN</t>
        </is>
      </c>
      <c r="E809" t="inlineStr">
        <is>
          <t>VIMMERBY</t>
        </is>
      </c>
      <c r="G809" t="n">
        <v>8.6</v>
      </c>
      <c r="H809" t="n">
        <v>0</v>
      </c>
      <c r="I809" t="n">
        <v>0</v>
      </c>
      <c r="J809" t="n">
        <v>0</v>
      </c>
      <c r="K809" t="n">
        <v>0</v>
      </c>
      <c r="L809" t="n">
        <v>0</v>
      </c>
      <c r="M809" t="n">
        <v>0</v>
      </c>
      <c r="N809" t="n">
        <v>0</v>
      </c>
      <c r="O809" t="n">
        <v>0</v>
      </c>
      <c r="P809" t="n">
        <v>0</v>
      </c>
      <c r="Q809" t="n">
        <v>0</v>
      </c>
      <c r="R809" s="2" t="inlineStr"/>
    </row>
    <row r="810" ht="15" customHeight="1">
      <c r="A810" t="inlineStr">
        <is>
          <t>A 9694-2023</t>
        </is>
      </c>
      <c r="B810" s="1" t="n">
        <v>44984.45895833334</v>
      </c>
      <c r="C810" s="1" t="n">
        <v>45915</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9710-2023</t>
        </is>
      </c>
      <c r="B811" s="1" t="n">
        <v>44984</v>
      </c>
      <c r="C811" s="1" t="n">
        <v>45915</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6216-2025</t>
        </is>
      </c>
      <c r="B812" s="1" t="n">
        <v>45698.52806712963</v>
      </c>
      <c r="C812" s="1" t="n">
        <v>45915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7944-2024</t>
        </is>
      </c>
      <c r="B813" s="1" t="n">
        <v>45350.53306712963</v>
      </c>
      <c r="C813" s="1" t="n">
        <v>45915</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598-2025</t>
        </is>
      </c>
      <c r="B814" s="1" t="n">
        <v>45660</v>
      </c>
      <c r="C814" s="1" t="n">
        <v>45915</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10674-2021</t>
        </is>
      </c>
      <c r="B815" s="1" t="n">
        <v>44258</v>
      </c>
      <c r="C815" s="1" t="n">
        <v>45915</v>
      </c>
      <c r="D815" t="inlineStr">
        <is>
          <t>KALMAR LÄN</t>
        </is>
      </c>
      <c r="E815" t="inlineStr">
        <is>
          <t>VIMMERBY</t>
        </is>
      </c>
      <c r="G815" t="n">
        <v>8.4</v>
      </c>
      <c r="H815" t="n">
        <v>0</v>
      </c>
      <c r="I815" t="n">
        <v>0</v>
      </c>
      <c r="J815" t="n">
        <v>0</v>
      </c>
      <c r="K815" t="n">
        <v>0</v>
      </c>
      <c r="L815" t="n">
        <v>0</v>
      </c>
      <c r="M815" t="n">
        <v>0</v>
      </c>
      <c r="N815" t="n">
        <v>0</v>
      </c>
      <c r="O815" t="n">
        <v>0</v>
      </c>
      <c r="P815" t="n">
        <v>0</v>
      </c>
      <c r="Q815" t="n">
        <v>0</v>
      </c>
      <c r="R815" s="2" t="inlineStr"/>
    </row>
    <row r="816" ht="15" customHeight="1">
      <c r="A816" t="inlineStr">
        <is>
          <t>A 10807-2024</t>
        </is>
      </c>
      <c r="B816" s="1" t="n">
        <v>45369.62780092593</v>
      </c>
      <c r="C816" s="1" t="n">
        <v>45915</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40260-2024</t>
        </is>
      </c>
      <c r="B817" s="1" t="n">
        <v>45554.63225694445</v>
      </c>
      <c r="C817" s="1" t="n">
        <v>45915</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10787-2025</t>
        </is>
      </c>
      <c r="B818" s="1" t="n">
        <v>45722.48915509259</v>
      </c>
      <c r="C818" s="1" t="n">
        <v>45915</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58577-2024</t>
        </is>
      </c>
      <c r="B819" s="1" t="n">
        <v>45635.4874537037</v>
      </c>
      <c r="C819" s="1" t="n">
        <v>45915</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38198-2024</t>
        </is>
      </c>
      <c r="B820" s="1" t="n">
        <v>45545.49508101852</v>
      </c>
      <c r="C820" s="1" t="n">
        <v>45915</v>
      </c>
      <c r="D820" t="inlineStr">
        <is>
          <t>KALMAR LÄN</t>
        </is>
      </c>
      <c r="E820" t="inlineStr">
        <is>
          <t>VIMMERBY</t>
        </is>
      </c>
      <c r="G820" t="n">
        <v>7.9</v>
      </c>
      <c r="H820" t="n">
        <v>0</v>
      </c>
      <c r="I820" t="n">
        <v>0</v>
      </c>
      <c r="J820" t="n">
        <v>0</v>
      </c>
      <c r="K820" t="n">
        <v>0</v>
      </c>
      <c r="L820" t="n">
        <v>0</v>
      </c>
      <c r="M820" t="n">
        <v>0</v>
      </c>
      <c r="N820" t="n">
        <v>0</v>
      </c>
      <c r="O820" t="n">
        <v>0</v>
      </c>
      <c r="P820" t="n">
        <v>0</v>
      </c>
      <c r="Q820" t="n">
        <v>0</v>
      </c>
      <c r="R820" s="2" t="inlineStr"/>
    </row>
    <row r="821" ht="15" customHeight="1">
      <c r="A821" t="inlineStr">
        <is>
          <t>A 43617-2024</t>
        </is>
      </c>
      <c r="B821" s="1" t="n">
        <v>45569.47494212963</v>
      </c>
      <c r="C821" s="1" t="n">
        <v>45915</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45915</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45915</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50091-2023</t>
        </is>
      </c>
      <c r="B824" s="1" t="n">
        <v>45215.60199074074</v>
      </c>
      <c r="C824" s="1" t="n">
        <v>45915</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10303-2025</t>
        </is>
      </c>
      <c r="B825" s="1" t="n">
        <v>45720.44217592593</v>
      </c>
      <c r="C825" s="1" t="n">
        <v>45915</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11027-2023</t>
        </is>
      </c>
      <c r="B826" s="1" t="n">
        <v>44991.89657407408</v>
      </c>
      <c r="C826" s="1" t="n">
        <v>45915</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44994.46908564815</v>
      </c>
      <c r="C827" s="1" t="n">
        <v>45915</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36155-2023</t>
        </is>
      </c>
      <c r="B828" s="1" t="n">
        <v>45149.60917824074</v>
      </c>
      <c r="C828" s="1" t="n">
        <v>45915</v>
      </c>
      <c r="D828" t="inlineStr">
        <is>
          <t>KALMAR LÄN</t>
        </is>
      </c>
      <c r="E828" t="inlineStr">
        <is>
          <t>VIMMERBY</t>
        </is>
      </c>
      <c r="G828" t="n">
        <v>5</v>
      </c>
      <c r="H828" t="n">
        <v>0</v>
      </c>
      <c r="I828" t="n">
        <v>0</v>
      </c>
      <c r="J828" t="n">
        <v>0</v>
      </c>
      <c r="K828" t="n">
        <v>0</v>
      </c>
      <c r="L828" t="n">
        <v>0</v>
      </c>
      <c r="M828" t="n">
        <v>0</v>
      </c>
      <c r="N828" t="n">
        <v>0</v>
      </c>
      <c r="O828" t="n">
        <v>0</v>
      </c>
      <c r="P828" t="n">
        <v>0</v>
      </c>
      <c r="Q828" t="n">
        <v>0</v>
      </c>
      <c r="R828" s="2" t="inlineStr"/>
    </row>
    <row r="829" ht="15" customHeight="1">
      <c r="A829" t="inlineStr">
        <is>
          <t>A 40147-2023</t>
        </is>
      </c>
      <c r="B829" s="1" t="n">
        <v>45169</v>
      </c>
      <c r="C829" s="1" t="n">
        <v>45915</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63950-2023</t>
        </is>
      </c>
      <c r="B830" s="1" t="n">
        <v>45278</v>
      </c>
      <c r="C830" s="1" t="n">
        <v>45915</v>
      </c>
      <c r="D830" t="inlineStr">
        <is>
          <t>KALMAR LÄN</t>
        </is>
      </c>
      <c r="E830" t="inlineStr">
        <is>
          <t>VIMMERBY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24096-2024</t>
        </is>
      </c>
      <c r="B831" s="1" t="n">
        <v>45456.59289351852</v>
      </c>
      <c r="C831" s="1" t="n">
        <v>45915</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13015-2023</t>
        </is>
      </c>
      <c r="B832" s="1" t="n">
        <v>45002</v>
      </c>
      <c r="C832" s="1" t="n">
        <v>45915</v>
      </c>
      <c r="D832" t="inlineStr">
        <is>
          <t>KALMAR LÄN</t>
        </is>
      </c>
      <c r="E832" t="inlineStr">
        <is>
          <t>VIMMERBY</t>
        </is>
      </c>
      <c r="G832" t="n">
        <v>3.2</v>
      </c>
      <c r="H832" t="n">
        <v>0</v>
      </c>
      <c r="I832" t="n">
        <v>0</v>
      </c>
      <c r="J832" t="n">
        <v>0</v>
      </c>
      <c r="K832" t="n">
        <v>0</v>
      </c>
      <c r="L832" t="n">
        <v>0</v>
      </c>
      <c r="M832" t="n">
        <v>0</v>
      </c>
      <c r="N832" t="n">
        <v>0</v>
      </c>
      <c r="O832" t="n">
        <v>0</v>
      </c>
      <c r="P832" t="n">
        <v>0</v>
      </c>
      <c r="Q832" t="n">
        <v>0</v>
      </c>
      <c r="R832" s="2" t="inlineStr"/>
    </row>
    <row r="833" ht="15" customHeight="1">
      <c r="A833" t="inlineStr">
        <is>
          <t>A 41199-2023</t>
        </is>
      </c>
      <c r="B833" s="1" t="n">
        <v>45174.40454861111</v>
      </c>
      <c r="C833" s="1" t="n">
        <v>45915</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36014-2024</t>
        </is>
      </c>
      <c r="B834" s="1" t="n">
        <v>45533.56108796296</v>
      </c>
      <c r="C834" s="1" t="n">
        <v>45915</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36030-2024</t>
        </is>
      </c>
      <c r="B835" s="1" t="n">
        <v>45533.58302083334</v>
      </c>
      <c r="C835" s="1" t="n">
        <v>45915</v>
      </c>
      <c r="D835" t="inlineStr">
        <is>
          <t>KALMAR LÄN</t>
        </is>
      </c>
      <c r="E835" t="inlineStr">
        <is>
          <t>VIMMERBY</t>
        </is>
      </c>
      <c r="F835" t="inlineStr">
        <is>
          <t>Kommuner</t>
        </is>
      </c>
      <c r="G835" t="n">
        <v>4</v>
      </c>
      <c r="H835" t="n">
        <v>0</v>
      </c>
      <c r="I835" t="n">
        <v>0</v>
      </c>
      <c r="J835" t="n">
        <v>0</v>
      </c>
      <c r="K835" t="n">
        <v>0</v>
      </c>
      <c r="L835" t="n">
        <v>0</v>
      </c>
      <c r="M835" t="n">
        <v>0</v>
      </c>
      <c r="N835" t="n">
        <v>0</v>
      </c>
      <c r="O835" t="n">
        <v>0</v>
      </c>
      <c r="P835" t="n">
        <v>0</v>
      </c>
      <c r="Q835" t="n">
        <v>0</v>
      </c>
      <c r="R835" s="2" t="inlineStr"/>
    </row>
    <row r="836" ht="15" customHeight="1">
      <c r="A836" t="inlineStr">
        <is>
          <t>A 7627-2025</t>
        </is>
      </c>
      <c r="B836" s="1" t="n">
        <v>45705.73300925926</v>
      </c>
      <c r="C836" s="1" t="n">
        <v>45915</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6321-2023</t>
        </is>
      </c>
      <c r="B837" s="1" t="n">
        <v>44965.4815162037</v>
      </c>
      <c r="C837" s="1" t="n">
        <v>45915</v>
      </c>
      <c r="D837" t="inlineStr">
        <is>
          <t>KALMAR LÄN</t>
        </is>
      </c>
      <c r="E837" t="inlineStr">
        <is>
          <t>VIMMERBY</t>
        </is>
      </c>
      <c r="G837" t="n">
        <v>1.8</v>
      </c>
      <c r="H837" t="n">
        <v>0</v>
      </c>
      <c r="I837" t="n">
        <v>0</v>
      </c>
      <c r="J837" t="n">
        <v>0</v>
      </c>
      <c r="K837" t="n">
        <v>0</v>
      </c>
      <c r="L837" t="n">
        <v>0</v>
      </c>
      <c r="M837" t="n">
        <v>0</v>
      </c>
      <c r="N837" t="n">
        <v>0</v>
      </c>
      <c r="O837" t="n">
        <v>0</v>
      </c>
      <c r="P837" t="n">
        <v>0</v>
      </c>
      <c r="Q837" t="n">
        <v>0</v>
      </c>
      <c r="R837" s="2" t="inlineStr"/>
    </row>
    <row r="838" ht="15" customHeight="1">
      <c r="A838" t="inlineStr">
        <is>
          <t>A 52755-2022</t>
        </is>
      </c>
      <c r="B838" s="1" t="n">
        <v>44875.27736111111</v>
      </c>
      <c r="C838" s="1" t="n">
        <v>45915</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40823-2023</t>
        </is>
      </c>
      <c r="B839" s="1" t="n">
        <v>45171.77335648148</v>
      </c>
      <c r="C839" s="1" t="n">
        <v>45915</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27761-2024</t>
        </is>
      </c>
      <c r="B840" s="1" t="n">
        <v>45475.49018518518</v>
      </c>
      <c r="C840" s="1" t="n">
        <v>45915</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45915</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64203-2021</t>
        </is>
      </c>
      <c r="B842" s="1" t="n">
        <v>44510.60921296296</v>
      </c>
      <c r="C842" s="1" t="n">
        <v>45915</v>
      </c>
      <c r="D842" t="inlineStr">
        <is>
          <t>KALMAR LÄN</t>
        </is>
      </c>
      <c r="E842" t="inlineStr">
        <is>
          <t>VIMMERBY</t>
        </is>
      </c>
      <c r="F842" t="inlineStr">
        <is>
          <t>Övriga Aktiebolag</t>
        </is>
      </c>
      <c r="G842" t="n">
        <v>5.4</v>
      </c>
      <c r="H842" t="n">
        <v>0</v>
      </c>
      <c r="I842" t="n">
        <v>0</v>
      </c>
      <c r="J842" t="n">
        <v>0</v>
      </c>
      <c r="K842" t="n">
        <v>0</v>
      </c>
      <c r="L842" t="n">
        <v>0</v>
      </c>
      <c r="M842" t="n">
        <v>0</v>
      </c>
      <c r="N842" t="n">
        <v>0</v>
      </c>
      <c r="O842" t="n">
        <v>0</v>
      </c>
      <c r="P842" t="n">
        <v>0</v>
      </c>
      <c r="Q842" t="n">
        <v>0</v>
      </c>
      <c r="R842" s="2" t="inlineStr"/>
    </row>
    <row r="843" ht="15" customHeight="1">
      <c r="A843" t="inlineStr">
        <is>
          <t>A 1016-2024</t>
        </is>
      </c>
      <c r="B843" s="1" t="n">
        <v>45301</v>
      </c>
      <c r="C843" s="1" t="n">
        <v>45915</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1024-2024</t>
        </is>
      </c>
      <c r="B844" s="1" t="n">
        <v>45301.68237268519</v>
      </c>
      <c r="C844" s="1" t="n">
        <v>45915</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27758-2024</t>
        </is>
      </c>
      <c r="B845" s="1" t="n">
        <v>45475.48303240741</v>
      </c>
      <c r="C845" s="1" t="n">
        <v>45915</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32865-2023</t>
        </is>
      </c>
      <c r="B846" s="1" t="n">
        <v>45124</v>
      </c>
      <c r="C846" s="1" t="n">
        <v>45915</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22194-2024</t>
        </is>
      </c>
      <c r="B847" s="1" t="n">
        <v>45446.36482638889</v>
      </c>
      <c r="C847" s="1" t="n">
        <v>45915</v>
      </c>
      <c r="D847" t="inlineStr">
        <is>
          <t>KALMAR LÄN</t>
        </is>
      </c>
      <c r="E847" t="inlineStr">
        <is>
          <t>VIMMERBY</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17926-2025</t>
        </is>
      </c>
      <c r="B848" s="1" t="n">
        <v>45759.38987268518</v>
      </c>
      <c r="C848" s="1" t="n">
        <v>45915</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35127-2024</t>
        </is>
      </c>
      <c r="B849" s="1" t="n">
        <v>45530.33202546297</v>
      </c>
      <c r="C849" s="1" t="n">
        <v>45915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33383-2023</t>
        </is>
      </c>
      <c r="B850" s="1" t="n">
        <v>45128.58414351852</v>
      </c>
      <c r="C850" s="1" t="n">
        <v>45915</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c r="A851" t="inlineStr">
        <is>
          <t>A 4297-2022</t>
        </is>
      </c>
      <c r="B851" s="1" t="n">
        <v>44588</v>
      </c>
      <c r="C851" s="1" t="n">
        <v>45915</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2025-09-15T08:56:02Z</dcterms:created>
  <dcterms:modified xmlns:dcterms="http://purl.org/dc/terms/" xmlns:xsi="http://www.w3.org/2001/XMLSchema-instance" xsi:type="dcterms:W3CDTF">2025-09-15T08:56:02Z</dcterms:modified>
</cp:coreProperties>
</file>