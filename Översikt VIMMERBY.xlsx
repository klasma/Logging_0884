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45929</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45929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45929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45929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45929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45929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45929</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45929</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45929</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45929</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45929</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45929</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45929</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45929</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45929</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40684-2025</t>
        </is>
      </c>
      <c r="B23" s="1" t="n">
        <v>45896.86820601852</v>
      </c>
      <c r="C23" s="1" t="n">
        <v>45929</v>
      </c>
      <c r="D23" t="inlineStr">
        <is>
          <t>KALMAR LÄN</t>
        </is>
      </c>
      <c r="E23" t="inlineStr">
        <is>
          <t>VIMMERBY</t>
        </is>
      </c>
      <c r="G23" t="n">
        <v>4.4</v>
      </c>
      <c r="H23" t="n">
        <v>2</v>
      </c>
      <c r="I23" t="n">
        <v>0</v>
      </c>
      <c r="J23" t="n">
        <v>1</v>
      </c>
      <c r="K23" t="n">
        <v>0</v>
      </c>
      <c r="L23" t="n">
        <v>0</v>
      </c>
      <c r="M23" t="n">
        <v>0</v>
      </c>
      <c r="N23" t="n">
        <v>0</v>
      </c>
      <c r="O23" t="n">
        <v>1</v>
      </c>
      <c r="P23" t="n">
        <v>0</v>
      </c>
      <c r="Q23" t="n">
        <v>2</v>
      </c>
      <c r="R23" s="2" t="inlineStr">
        <is>
          <t>Talltita
Kungsfågel</t>
        </is>
      </c>
      <c r="S23">
        <f>HYPERLINK("https://klasma.github.io/Logging_0884/artfynd/A 40684-2025 artfynd.xlsx", "A 40684-2025")</f>
        <v/>
      </c>
      <c r="T23">
        <f>HYPERLINK("https://klasma.github.io/Logging_0884/kartor/A 40684-2025 karta.png", "A 40684-2025")</f>
        <v/>
      </c>
      <c r="V23">
        <f>HYPERLINK("https://klasma.github.io/Logging_0884/klagomål/A 40684-2025 FSC-klagomål.docx", "A 40684-2025")</f>
        <v/>
      </c>
      <c r="W23">
        <f>HYPERLINK("https://klasma.github.io/Logging_0884/klagomålsmail/A 40684-2025 FSC-klagomål mail.docx", "A 40684-2025")</f>
        <v/>
      </c>
      <c r="X23">
        <f>HYPERLINK("https://klasma.github.io/Logging_0884/tillsyn/A 40684-2025 tillsynsbegäran.docx", "A 40684-2025")</f>
        <v/>
      </c>
      <c r="Y23">
        <f>HYPERLINK("https://klasma.github.io/Logging_0884/tillsynsmail/A 40684-2025 tillsynsbegäran mail.docx", "A 40684-2025")</f>
        <v/>
      </c>
      <c r="Z23">
        <f>HYPERLINK("https://klasma.github.io/Logging_0884/fåglar/A 40684-2025 prioriterade fågelarter.docx", "A 40684-2025")</f>
        <v/>
      </c>
    </row>
    <row r="24" ht="15" customHeight="1">
      <c r="A24" t="inlineStr">
        <is>
          <t>A 2518-2023</t>
        </is>
      </c>
      <c r="B24" s="1" t="n">
        <v>44943</v>
      </c>
      <c r="C24" s="1" t="n">
        <v>45929</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45929</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42802-2025</t>
        </is>
      </c>
      <c r="B26" s="1" t="n">
        <v>45908</v>
      </c>
      <c r="C26" s="1" t="n">
        <v>45929</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22825-2023</t>
        </is>
      </c>
      <c r="B27" s="1" t="n">
        <v>45072</v>
      </c>
      <c r="C27" s="1" t="n">
        <v>45929</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45929</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45929</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14024-2023</t>
        </is>
      </c>
      <c r="B30" s="1" t="n">
        <v>45008.60878472222</v>
      </c>
      <c r="C30" s="1" t="n">
        <v>45929</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32396-2021</t>
        </is>
      </c>
      <c r="B31" s="1" t="n">
        <v>44371</v>
      </c>
      <c r="C31" s="1" t="n">
        <v>45929</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45929</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9067-2025</t>
        </is>
      </c>
      <c r="B33" s="1" t="n">
        <v>45713</v>
      </c>
      <c r="C33" s="1" t="n">
        <v>45929</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40083-2023</t>
        </is>
      </c>
      <c r="B34" s="1" t="n">
        <v>45168</v>
      </c>
      <c r="C34" s="1" t="n">
        <v>45929</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45929</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38602-2025</t>
        </is>
      </c>
      <c r="B36" s="1" t="n">
        <v>45884.50331018519</v>
      </c>
      <c r="C36" s="1" t="n">
        <v>45929</v>
      </c>
      <c r="D36" t="inlineStr">
        <is>
          <t>KALMAR LÄN</t>
        </is>
      </c>
      <c r="E36" t="inlineStr">
        <is>
          <t>VIMMERBY</t>
        </is>
      </c>
      <c r="F36" t="inlineStr">
        <is>
          <t>Sveaskog</t>
        </is>
      </c>
      <c r="G36" t="n">
        <v>4.9</v>
      </c>
      <c r="H36" t="n">
        <v>1</v>
      </c>
      <c r="I36" t="n">
        <v>0</v>
      </c>
      <c r="J36" t="n">
        <v>0</v>
      </c>
      <c r="K36" t="n">
        <v>1</v>
      </c>
      <c r="L36" t="n">
        <v>0</v>
      </c>
      <c r="M36" t="n">
        <v>0</v>
      </c>
      <c r="N36" t="n">
        <v>0</v>
      </c>
      <c r="O36" t="n">
        <v>1</v>
      </c>
      <c r="P36" t="n">
        <v>1</v>
      </c>
      <c r="Q36" t="n">
        <v>1</v>
      </c>
      <c r="R36" s="2" t="inlineStr">
        <is>
          <t>Knärot</t>
        </is>
      </c>
      <c r="S36">
        <f>HYPERLINK("https://klasma.github.io/Logging_0884/artfynd/A 38602-2025 artfynd.xlsx", "A 38602-2025")</f>
        <v/>
      </c>
      <c r="T36">
        <f>HYPERLINK("https://klasma.github.io/Logging_0884/kartor/A 38602-2025 karta.png", "A 38602-2025")</f>
        <v/>
      </c>
      <c r="U36">
        <f>HYPERLINK("https://klasma.github.io/Logging_0884/knärot/A 38602-2025 karta knärot.png", "A 38602-2025")</f>
        <v/>
      </c>
      <c r="V36">
        <f>HYPERLINK("https://klasma.github.io/Logging_0884/klagomål/A 38602-2025 FSC-klagomål.docx", "A 38602-2025")</f>
        <v/>
      </c>
      <c r="W36">
        <f>HYPERLINK("https://klasma.github.io/Logging_0884/klagomålsmail/A 38602-2025 FSC-klagomål mail.docx", "A 38602-2025")</f>
        <v/>
      </c>
      <c r="X36">
        <f>HYPERLINK("https://klasma.github.io/Logging_0884/tillsyn/A 38602-2025 tillsynsbegäran.docx", "A 38602-2025")</f>
        <v/>
      </c>
      <c r="Y36">
        <f>HYPERLINK("https://klasma.github.io/Logging_0884/tillsynsmail/A 38602-2025 tillsynsbegäran mail.docx", "A 38602-2025")</f>
        <v/>
      </c>
    </row>
    <row r="37" ht="15" customHeight="1">
      <c r="A37" t="inlineStr">
        <is>
          <t>A 52301-2023</t>
        </is>
      </c>
      <c r="B37" s="1" t="n">
        <v>45224</v>
      </c>
      <c r="C37" s="1" t="n">
        <v>45929</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46824-2025</t>
        </is>
      </c>
      <c r="B38" s="1" t="n">
        <v>45926.90006944445</v>
      </c>
      <c r="C38" s="1" t="n">
        <v>45929</v>
      </c>
      <c r="D38" t="inlineStr">
        <is>
          <t>KALMAR LÄN</t>
        </is>
      </c>
      <c r="E38" t="inlineStr">
        <is>
          <t>VIMMERBY</t>
        </is>
      </c>
      <c r="G38" t="n">
        <v>2.8</v>
      </c>
      <c r="H38" t="n">
        <v>1</v>
      </c>
      <c r="I38" t="n">
        <v>0</v>
      </c>
      <c r="J38" t="n">
        <v>0</v>
      </c>
      <c r="K38" t="n">
        <v>1</v>
      </c>
      <c r="L38" t="n">
        <v>0</v>
      </c>
      <c r="M38" t="n">
        <v>0</v>
      </c>
      <c r="N38" t="n">
        <v>0</v>
      </c>
      <c r="O38" t="n">
        <v>1</v>
      </c>
      <c r="P38" t="n">
        <v>1</v>
      </c>
      <c r="Q38" t="n">
        <v>1</v>
      </c>
      <c r="R38" s="2" t="inlineStr">
        <is>
          <t>Knärot</t>
        </is>
      </c>
      <c r="S38">
        <f>HYPERLINK("https://klasma.github.io/Logging_0884/artfynd/A 46824-2025 artfynd.xlsx", "A 46824-2025")</f>
        <v/>
      </c>
      <c r="T38">
        <f>HYPERLINK("https://klasma.github.io/Logging_0884/kartor/A 46824-2025 karta.png", "A 46824-2025")</f>
        <v/>
      </c>
      <c r="U38">
        <f>HYPERLINK("https://klasma.github.io/Logging_0884/knärot/A 46824-2025 karta knärot.png", "A 46824-2025")</f>
        <v/>
      </c>
      <c r="V38">
        <f>HYPERLINK("https://klasma.github.io/Logging_0884/klagomål/A 46824-2025 FSC-klagomål.docx", "A 46824-2025")</f>
        <v/>
      </c>
      <c r="W38">
        <f>HYPERLINK("https://klasma.github.io/Logging_0884/klagomålsmail/A 46824-2025 FSC-klagomål mail.docx", "A 46824-2025")</f>
        <v/>
      </c>
      <c r="X38">
        <f>HYPERLINK("https://klasma.github.io/Logging_0884/tillsyn/A 46824-2025 tillsynsbegäran.docx", "A 46824-2025")</f>
        <v/>
      </c>
      <c r="Y38">
        <f>HYPERLINK("https://klasma.github.io/Logging_0884/tillsynsmail/A 46824-2025 tillsynsbegäran mail.docx", "A 46824-2025")</f>
        <v/>
      </c>
    </row>
    <row r="39" ht="15" customHeight="1">
      <c r="A39" t="inlineStr">
        <is>
          <t>A 33436-2021</t>
        </is>
      </c>
      <c r="B39" s="1" t="n">
        <v>44377.61104166666</v>
      </c>
      <c r="C39" s="1" t="n">
        <v>45929</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45929</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1201-2025</t>
        </is>
      </c>
      <c r="B41" s="1" t="n">
        <v>45667</v>
      </c>
      <c r="C41" s="1" t="n">
        <v>45929</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15122-2024</t>
        </is>
      </c>
      <c r="B42" s="1" t="n">
        <v>45399.71412037037</v>
      </c>
      <c r="C42" s="1" t="n">
        <v>45929</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45929</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61860-2024</t>
        </is>
      </c>
      <c r="B44" s="1" t="n">
        <v>45649</v>
      </c>
      <c r="C44" s="1" t="n">
        <v>45929</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45929</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28852-2023</t>
        </is>
      </c>
      <c r="B46" s="1" t="n">
        <v>45104</v>
      </c>
      <c r="C46" s="1" t="n">
        <v>45929</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45929</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6841-2021</t>
        </is>
      </c>
      <c r="B48" s="1" t="n">
        <v>44236</v>
      </c>
      <c r="C48" s="1" t="n">
        <v>45929</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49059-2020</t>
        </is>
      </c>
      <c r="B49" s="1" t="n">
        <v>44102</v>
      </c>
      <c r="C49" s="1" t="n">
        <v>45929</v>
      </c>
      <c r="D49" t="inlineStr">
        <is>
          <t>KALMAR LÄN</t>
        </is>
      </c>
      <c r="E49" t="inlineStr">
        <is>
          <t>VIMMERBY</t>
        </is>
      </c>
      <c r="G49" t="n">
        <v>5.8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45929</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45929</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45929</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45929</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45929</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45929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45929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45929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45929</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45929</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45929</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45929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45929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45929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45929</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45929</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45929</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45929</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45929</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45929</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45929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45929</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45929</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45929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45929</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45929</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45929</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45929</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45929</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45929</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45929</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45929</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45929</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45929</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45929</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45929</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45929</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45929</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45929</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45929</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45929</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45929</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45929</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45929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45929</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45929</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45929</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45929</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45929</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45929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45929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45929</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45929</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45929</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45929</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45929</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45929</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45929</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45929</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45929</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45929</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45929</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45929</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45929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45929</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45929</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45929</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45929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45929</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45929</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45929</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45929</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45929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45929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45929</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45929</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45929</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45929</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45929</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45929</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45929</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45929</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45929</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45929</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45929</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45929</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45929</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8454-2022</t>
        </is>
      </c>
      <c r="B138" s="1" t="n">
        <v>44612.86762731482</v>
      </c>
      <c r="C138" s="1" t="n">
        <v>45929</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65887-2021</t>
        </is>
      </c>
      <c r="B139" s="1" t="n">
        <v>44517</v>
      </c>
      <c r="C139" s="1" t="n">
        <v>45929</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39959-2022</t>
        </is>
      </c>
      <c r="B140" s="1" t="n">
        <v>44819</v>
      </c>
      <c r="C140" s="1" t="n">
        <v>45929</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10086-2022</t>
        </is>
      </c>
      <c r="B141" s="1" t="n">
        <v>44621</v>
      </c>
      <c r="C141" s="1" t="n">
        <v>45929</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3330-2021</t>
        </is>
      </c>
      <c r="B142" s="1" t="n">
        <v>44217.79856481482</v>
      </c>
      <c r="C142" s="1" t="n">
        <v>45929</v>
      </c>
      <c r="D142" t="inlineStr">
        <is>
          <t>KALMAR LÄN</t>
        </is>
      </c>
      <c r="E142" t="inlineStr">
        <is>
          <t>VIMMERBY</t>
        </is>
      </c>
      <c r="G142" t="n">
        <v>11.1</v>
      </c>
      <c r="H142" t="n">
        <v>0</v>
      </c>
      <c r="I142" t="n">
        <v>0</v>
      </c>
      <c r="J142" t="n">
        <v>0</v>
      </c>
      <c r="K142" t="n">
        <v>0</v>
      </c>
      <c r="L142" t="n">
        <v>0</v>
      </c>
      <c r="M142" t="n">
        <v>0</v>
      </c>
      <c r="N142" t="n">
        <v>0</v>
      </c>
      <c r="O142" t="n">
        <v>0</v>
      </c>
      <c r="P142" t="n">
        <v>0</v>
      </c>
      <c r="Q142" t="n">
        <v>0</v>
      </c>
      <c r="R142" s="2" t="inlineStr"/>
    </row>
    <row r="143" ht="15" customHeight="1">
      <c r="A143" t="inlineStr">
        <is>
          <t>A 65564-2020</t>
        </is>
      </c>
      <c r="B143" s="1" t="n">
        <v>44172</v>
      </c>
      <c r="C143" s="1" t="n">
        <v>45929</v>
      </c>
      <c r="D143" t="inlineStr">
        <is>
          <t>KALMAR LÄN</t>
        </is>
      </c>
      <c r="E143" t="inlineStr">
        <is>
          <t>VIMMERBY</t>
        </is>
      </c>
      <c r="G143" t="n">
        <v>4.1</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45929</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45929</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12661-2021</t>
        </is>
      </c>
      <c r="B146" s="1" t="n">
        <v>44270</v>
      </c>
      <c r="C146" s="1" t="n">
        <v>45929</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53145-2022</t>
        </is>
      </c>
      <c r="B147" s="1" t="n">
        <v>44876.48346064815</v>
      </c>
      <c r="C147" s="1" t="n">
        <v>45929</v>
      </c>
      <c r="D147" t="inlineStr">
        <is>
          <t>KALMAR LÄN</t>
        </is>
      </c>
      <c r="E147" t="inlineStr">
        <is>
          <t>VIMMERBY</t>
        </is>
      </c>
      <c r="G147" t="n">
        <v>0.4</v>
      </c>
      <c r="H147" t="n">
        <v>0</v>
      </c>
      <c r="I147" t="n">
        <v>0</v>
      </c>
      <c r="J147" t="n">
        <v>0</v>
      </c>
      <c r="K147" t="n">
        <v>0</v>
      </c>
      <c r="L147" t="n">
        <v>0</v>
      </c>
      <c r="M147" t="n">
        <v>0</v>
      </c>
      <c r="N147" t="n">
        <v>0</v>
      </c>
      <c r="O147" t="n">
        <v>0</v>
      </c>
      <c r="P147" t="n">
        <v>0</v>
      </c>
      <c r="Q147" t="n">
        <v>0</v>
      </c>
      <c r="R147" s="2" t="inlineStr"/>
    </row>
    <row r="148" ht="15" customHeight="1">
      <c r="A148" t="inlineStr">
        <is>
          <t>A 25738-2022</t>
        </is>
      </c>
      <c r="B148" s="1" t="n">
        <v>44733.43092592592</v>
      </c>
      <c r="C148" s="1" t="n">
        <v>45929</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24999-2021</t>
        </is>
      </c>
      <c r="B149" s="1" t="n">
        <v>44341</v>
      </c>
      <c r="C149" s="1" t="n">
        <v>45929</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7917-2022</t>
        </is>
      </c>
      <c r="B150" s="1" t="n">
        <v>44608</v>
      </c>
      <c r="C150" s="1" t="n">
        <v>45929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47208-2021</t>
        </is>
      </c>
      <c r="B151" s="1" t="n">
        <v>44447.34237268518</v>
      </c>
      <c r="C151" s="1" t="n">
        <v>45929</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35316-2021</t>
        </is>
      </c>
      <c r="B152" s="1" t="n">
        <v>44384</v>
      </c>
      <c r="C152" s="1" t="n">
        <v>45929</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45929</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45929</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16705-2021</t>
        </is>
      </c>
      <c r="B155" s="1" t="n">
        <v>44294</v>
      </c>
      <c r="C155" s="1" t="n">
        <v>45929</v>
      </c>
      <c r="D155" t="inlineStr">
        <is>
          <t>KALMAR LÄN</t>
        </is>
      </c>
      <c r="E155" t="inlineStr">
        <is>
          <t>VIMMERBY</t>
        </is>
      </c>
      <c r="G155" t="n">
        <v>2.6</v>
      </c>
      <c r="H155" t="n">
        <v>0</v>
      </c>
      <c r="I155" t="n">
        <v>0</v>
      </c>
      <c r="J155" t="n">
        <v>0</v>
      </c>
      <c r="K155" t="n">
        <v>0</v>
      </c>
      <c r="L155" t="n">
        <v>0</v>
      </c>
      <c r="M155" t="n">
        <v>0</v>
      </c>
      <c r="N155" t="n">
        <v>0</v>
      </c>
      <c r="O155" t="n">
        <v>0</v>
      </c>
      <c r="P155" t="n">
        <v>0</v>
      </c>
      <c r="Q155" t="n">
        <v>0</v>
      </c>
      <c r="R155" s="2" t="inlineStr"/>
    </row>
    <row r="156" ht="15" customHeight="1">
      <c r="A156" t="inlineStr">
        <is>
          <t>A 51977-2020</t>
        </is>
      </c>
      <c r="B156" s="1" t="n">
        <v>44116</v>
      </c>
      <c r="C156" s="1" t="n">
        <v>45929</v>
      </c>
      <c r="D156" t="inlineStr">
        <is>
          <t>KALMAR LÄN</t>
        </is>
      </c>
      <c r="E156" t="inlineStr">
        <is>
          <t>VIMMERBY</t>
        </is>
      </c>
      <c r="G156" t="n">
        <v>1.5</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45929</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15191-2021</t>
        </is>
      </c>
      <c r="B158" s="1" t="n">
        <v>44284.42348379629</v>
      </c>
      <c r="C158" s="1" t="n">
        <v>45929</v>
      </c>
      <c r="D158" t="inlineStr">
        <is>
          <t>KALMAR LÄN</t>
        </is>
      </c>
      <c r="E158" t="inlineStr">
        <is>
          <t>VIMMERBY</t>
        </is>
      </c>
      <c r="G158" t="n">
        <v>1.3</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45929</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40971-2021</t>
        </is>
      </c>
      <c r="B160" s="1" t="n">
        <v>44421</v>
      </c>
      <c r="C160" s="1" t="n">
        <v>45929</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68744-2020</t>
        </is>
      </c>
      <c r="B161" s="1" t="n">
        <v>44186</v>
      </c>
      <c r="C161" s="1" t="n">
        <v>45929</v>
      </c>
      <c r="D161" t="inlineStr">
        <is>
          <t>KALMAR LÄN</t>
        </is>
      </c>
      <c r="E161" t="inlineStr">
        <is>
          <t>VIMMERBY</t>
        </is>
      </c>
      <c r="G161" t="n">
        <v>2.5</v>
      </c>
      <c r="H161" t="n">
        <v>0</v>
      </c>
      <c r="I161" t="n">
        <v>0</v>
      </c>
      <c r="J161" t="n">
        <v>0</v>
      </c>
      <c r="K161" t="n">
        <v>0</v>
      </c>
      <c r="L161" t="n">
        <v>0</v>
      </c>
      <c r="M161" t="n">
        <v>0</v>
      </c>
      <c r="N161" t="n">
        <v>0</v>
      </c>
      <c r="O161" t="n">
        <v>0</v>
      </c>
      <c r="P161" t="n">
        <v>0</v>
      </c>
      <c r="Q161" t="n">
        <v>0</v>
      </c>
      <c r="R161" s="2" t="inlineStr"/>
    </row>
    <row r="162" ht="15" customHeight="1">
      <c r="A162" t="inlineStr">
        <is>
          <t>A 56389-2021</t>
        </is>
      </c>
      <c r="B162" s="1" t="n">
        <v>44480</v>
      </c>
      <c r="C162" s="1" t="n">
        <v>45929</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13457-2021</t>
        </is>
      </c>
      <c r="B163" s="1" t="n">
        <v>44273</v>
      </c>
      <c r="C163" s="1" t="n">
        <v>45929</v>
      </c>
      <c r="D163" t="inlineStr">
        <is>
          <t>KALMAR LÄN</t>
        </is>
      </c>
      <c r="E163" t="inlineStr">
        <is>
          <t>VIMMERBY</t>
        </is>
      </c>
      <c r="G163" t="n">
        <v>1.4</v>
      </c>
      <c r="H163" t="n">
        <v>0</v>
      </c>
      <c r="I163" t="n">
        <v>0</v>
      </c>
      <c r="J163" t="n">
        <v>0</v>
      </c>
      <c r="K163" t="n">
        <v>0</v>
      </c>
      <c r="L163" t="n">
        <v>0</v>
      </c>
      <c r="M163" t="n">
        <v>0</v>
      </c>
      <c r="N163" t="n">
        <v>0</v>
      </c>
      <c r="O163" t="n">
        <v>0</v>
      </c>
      <c r="P163" t="n">
        <v>0</v>
      </c>
      <c r="Q163" t="n">
        <v>0</v>
      </c>
      <c r="R163" s="2" t="inlineStr"/>
    </row>
    <row r="164" ht="15" customHeight="1">
      <c r="A164" t="inlineStr">
        <is>
          <t>A 14278-2021</t>
        </is>
      </c>
      <c r="B164" s="1" t="n">
        <v>44278.63479166666</v>
      </c>
      <c r="C164" s="1" t="n">
        <v>45929</v>
      </c>
      <c r="D164" t="inlineStr">
        <is>
          <t>KALMAR LÄN</t>
        </is>
      </c>
      <c r="E164" t="inlineStr">
        <is>
          <t>VIMMERBY</t>
        </is>
      </c>
      <c r="F164" t="inlineStr">
        <is>
          <t>Övriga statliga verk och myndigheter</t>
        </is>
      </c>
      <c r="G164" t="n">
        <v>0.8</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45929</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8453-2022</t>
        </is>
      </c>
      <c r="B166" s="1" t="n">
        <v>44612.86554398148</v>
      </c>
      <c r="C166" s="1" t="n">
        <v>45929</v>
      </c>
      <c r="D166" t="inlineStr">
        <is>
          <t>KALMAR LÄN</t>
        </is>
      </c>
      <c r="E166" t="inlineStr">
        <is>
          <t>VIMMERBY</t>
        </is>
      </c>
      <c r="G166" t="n">
        <v>1.7</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45929</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618-2021</t>
        </is>
      </c>
      <c r="B168" s="1" t="n">
        <v>44203</v>
      </c>
      <c r="C168" s="1" t="n">
        <v>45929</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45929</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45929</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67952-2021</t>
        </is>
      </c>
      <c r="B171" s="1" t="n">
        <v>44525.63913194444</v>
      </c>
      <c r="C171" s="1" t="n">
        <v>45929</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31824-2022</t>
        </is>
      </c>
      <c r="B172" s="1" t="n">
        <v>44776</v>
      </c>
      <c r="C172" s="1" t="n">
        <v>45929</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14521-2021</t>
        </is>
      </c>
      <c r="B173" s="1" t="n">
        <v>44279.64934027778</v>
      </c>
      <c r="C173" s="1" t="n">
        <v>45929</v>
      </c>
      <c r="D173" t="inlineStr">
        <is>
          <t>KALMAR LÄN</t>
        </is>
      </c>
      <c r="E173" t="inlineStr">
        <is>
          <t>VIMMERBY</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45929</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45929</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15533-2022</t>
        </is>
      </c>
      <c r="B176" s="1" t="n">
        <v>44662</v>
      </c>
      <c r="C176" s="1" t="n">
        <v>45929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45929</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7804-2022</t>
        </is>
      </c>
      <c r="B178" s="1" t="n">
        <v>44608.50458333334</v>
      </c>
      <c r="C178" s="1" t="n">
        <v>45929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39042-2022</t>
        </is>
      </c>
      <c r="B179" s="1" t="n">
        <v>44817</v>
      </c>
      <c r="C179" s="1" t="n">
        <v>45929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12241-2021</t>
        </is>
      </c>
      <c r="B180" s="1" t="n">
        <v>44266.7240625</v>
      </c>
      <c r="C180" s="1" t="n">
        <v>45929</v>
      </c>
      <c r="D180" t="inlineStr">
        <is>
          <t>KALMAR LÄN</t>
        </is>
      </c>
      <c r="E180" t="inlineStr">
        <is>
          <t>VIMMERBY</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16288-2021</t>
        </is>
      </c>
      <c r="B181" s="1" t="n">
        <v>44292</v>
      </c>
      <c r="C181" s="1" t="n">
        <v>45929</v>
      </c>
      <c r="D181" t="inlineStr">
        <is>
          <t>KALMAR LÄN</t>
        </is>
      </c>
      <c r="E181" t="inlineStr">
        <is>
          <t>VIMMERBY</t>
        </is>
      </c>
      <c r="F181" t="inlineStr">
        <is>
          <t>Övriga Aktiebolag</t>
        </is>
      </c>
      <c r="G181" t="n">
        <v>27.6</v>
      </c>
      <c r="H181" t="n">
        <v>0</v>
      </c>
      <c r="I181" t="n">
        <v>0</v>
      </c>
      <c r="J181" t="n">
        <v>0</v>
      </c>
      <c r="K181" t="n">
        <v>0</v>
      </c>
      <c r="L181" t="n">
        <v>0</v>
      </c>
      <c r="M181" t="n">
        <v>0</v>
      </c>
      <c r="N181" t="n">
        <v>0</v>
      </c>
      <c r="O181" t="n">
        <v>0</v>
      </c>
      <c r="P181" t="n">
        <v>0</v>
      </c>
      <c r="Q181" t="n">
        <v>0</v>
      </c>
      <c r="R181" s="2" t="inlineStr"/>
    </row>
    <row r="182" ht="15" customHeight="1">
      <c r="A182" t="inlineStr">
        <is>
          <t>A 29441-2024</t>
        </is>
      </c>
      <c r="B182" s="1" t="n">
        <v>45483.82834490741</v>
      </c>
      <c r="C182" s="1" t="n">
        <v>45929</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25728-2023</t>
        </is>
      </c>
      <c r="B183" s="1" t="n">
        <v>45090.38012731481</v>
      </c>
      <c r="C183" s="1" t="n">
        <v>45929</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12662-2021</t>
        </is>
      </c>
      <c r="B184" s="1" t="n">
        <v>44270.49743055556</v>
      </c>
      <c r="C184" s="1" t="n">
        <v>45929</v>
      </c>
      <c r="D184" t="inlineStr">
        <is>
          <t>KALMAR LÄN</t>
        </is>
      </c>
      <c r="E184" t="inlineStr">
        <is>
          <t>VIMMERBY</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45929</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46964-2022</t>
        </is>
      </c>
      <c r="B186" s="1" t="n">
        <v>44851.95016203704</v>
      </c>
      <c r="C186" s="1" t="n">
        <v>45929</v>
      </c>
      <c r="D186" t="inlineStr">
        <is>
          <t>KALMAR LÄN</t>
        </is>
      </c>
      <c r="E186" t="inlineStr">
        <is>
          <t>VIMMERBY</t>
        </is>
      </c>
      <c r="G186" t="n">
        <v>0.2</v>
      </c>
      <c r="H186" t="n">
        <v>0</v>
      </c>
      <c r="I186" t="n">
        <v>0</v>
      </c>
      <c r="J186" t="n">
        <v>0</v>
      </c>
      <c r="K186" t="n">
        <v>0</v>
      </c>
      <c r="L186" t="n">
        <v>0</v>
      </c>
      <c r="M186" t="n">
        <v>0</v>
      </c>
      <c r="N186" t="n">
        <v>0</v>
      </c>
      <c r="O186" t="n">
        <v>0</v>
      </c>
      <c r="P186" t="n">
        <v>0</v>
      </c>
      <c r="Q186" t="n">
        <v>0</v>
      </c>
      <c r="R186" s="2" t="inlineStr"/>
    </row>
    <row r="187" ht="15" customHeight="1">
      <c r="A187" t="inlineStr">
        <is>
          <t>A 34040-2021</t>
        </is>
      </c>
      <c r="B187" s="1" t="n">
        <v>44379</v>
      </c>
      <c r="C187" s="1" t="n">
        <v>45929</v>
      </c>
      <c r="D187" t="inlineStr">
        <is>
          <t>KALMAR LÄN</t>
        </is>
      </c>
      <c r="E187" t="inlineStr">
        <is>
          <t>VIMMERBY</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15200-2021</t>
        </is>
      </c>
      <c r="B188" s="1" t="n">
        <v>44284.44574074074</v>
      </c>
      <c r="C188" s="1" t="n">
        <v>45929</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12107-2022</t>
        </is>
      </c>
      <c r="B189" s="1" t="n">
        <v>44636</v>
      </c>
      <c r="C189" s="1" t="n">
        <v>45929</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23825-2022</t>
        </is>
      </c>
      <c r="B190" s="1" t="n">
        <v>44722.48768518519</v>
      </c>
      <c r="C190" s="1" t="n">
        <v>45929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13180-2022</t>
        </is>
      </c>
      <c r="B191" s="1" t="n">
        <v>44644</v>
      </c>
      <c r="C191" s="1" t="n">
        <v>45929</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52435-2021</t>
        </is>
      </c>
      <c r="B192" s="1" t="n">
        <v>44466.34962962963</v>
      </c>
      <c r="C192" s="1" t="n">
        <v>45929</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29093-2023</t>
        </is>
      </c>
      <c r="B193" s="1" t="n">
        <v>45105</v>
      </c>
      <c r="C193" s="1" t="n">
        <v>45929</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14220-2021</t>
        </is>
      </c>
      <c r="B194" s="1" t="n">
        <v>44278.54855324074</v>
      </c>
      <c r="C194" s="1" t="n">
        <v>45929</v>
      </c>
      <c r="D194" t="inlineStr">
        <is>
          <t>KALMAR LÄN</t>
        </is>
      </c>
      <c r="E194" t="inlineStr">
        <is>
          <t>VIMMERBY</t>
        </is>
      </c>
      <c r="G194" t="n">
        <v>0.3</v>
      </c>
      <c r="H194" t="n">
        <v>0</v>
      </c>
      <c r="I194" t="n">
        <v>0</v>
      </c>
      <c r="J194" t="n">
        <v>0</v>
      </c>
      <c r="K194" t="n">
        <v>0</v>
      </c>
      <c r="L194" t="n">
        <v>0</v>
      </c>
      <c r="M194" t="n">
        <v>0</v>
      </c>
      <c r="N194" t="n">
        <v>0</v>
      </c>
      <c r="O194" t="n">
        <v>0</v>
      </c>
      <c r="P194" t="n">
        <v>0</v>
      </c>
      <c r="Q194" t="n">
        <v>0</v>
      </c>
      <c r="R194" s="2" t="inlineStr"/>
    </row>
    <row r="195" ht="15" customHeight="1">
      <c r="A195" t="inlineStr">
        <is>
          <t>A 39225-2022</t>
        </is>
      </c>
      <c r="B195" s="1" t="n">
        <v>44817.57988425926</v>
      </c>
      <c r="C195" s="1" t="n">
        <v>45929</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33359-2021</t>
        </is>
      </c>
      <c r="B196" s="1" t="n">
        <v>44377.49684027778</v>
      </c>
      <c r="C196" s="1" t="n">
        <v>45929</v>
      </c>
      <c r="D196" t="inlineStr">
        <is>
          <t>KALMAR LÄN</t>
        </is>
      </c>
      <c r="E196" t="inlineStr">
        <is>
          <t>VIMMERBY</t>
        </is>
      </c>
      <c r="F196" t="inlineStr">
        <is>
          <t>Kommuner</t>
        </is>
      </c>
      <c r="G196" t="n">
        <v>8</v>
      </c>
      <c r="H196" t="n">
        <v>0</v>
      </c>
      <c r="I196" t="n">
        <v>0</v>
      </c>
      <c r="J196" t="n">
        <v>0</v>
      </c>
      <c r="K196" t="n">
        <v>0</v>
      </c>
      <c r="L196" t="n">
        <v>0</v>
      </c>
      <c r="M196" t="n">
        <v>0</v>
      </c>
      <c r="N196" t="n">
        <v>0</v>
      </c>
      <c r="O196" t="n">
        <v>0</v>
      </c>
      <c r="P196" t="n">
        <v>0</v>
      </c>
      <c r="Q196" t="n">
        <v>0</v>
      </c>
      <c r="R196" s="2" t="inlineStr"/>
    </row>
    <row r="197" ht="15" customHeight="1">
      <c r="A197" t="inlineStr">
        <is>
          <t>A 43038-2022</t>
        </is>
      </c>
      <c r="B197" s="1" t="n">
        <v>44833.60123842592</v>
      </c>
      <c r="C197" s="1" t="n">
        <v>45929</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45929</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45929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45929</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50087-2023</t>
        </is>
      </c>
      <c r="B201" s="1" t="n">
        <v>45215.59743055556</v>
      </c>
      <c r="C201" s="1" t="n">
        <v>45929</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33681-2022</t>
        </is>
      </c>
      <c r="B202" s="1" t="n">
        <v>44789</v>
      </c>
      <c r="C202" s="1" t="n">
        <v>45929</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7167-2022</t>
        </is>
      </c>
      <c r="B203" s="1" t="n">
        <v>44604</v>
      </c>
      <c r="C203" s="1" t="n">
        <v>45929</v>
      </c>
      <c r="D203" t="inlineStr">
        <is>
          <t>KALMAR LÄN</t>
        </is>
      </c>
      <c r="E203" t="inlineStr">
        <is>
          <t>VIMMERBY</t>
        </is>
      </c>
      <c r="G203" t="n">
        <v>1.7</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45929</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18356-2021</t>
        </is>
      </c>
      <c r="B205" s="1" t="n">
        <v>44305</v>
      </c>
      <c r="C205" s="1" t="n">
        <v>45929</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12033-2024</t>
        </is>
      </c>
      <c r="B206" s="1" t="n">
        <v>45377.40043981482</v>
      </c>
      <c r="C206" s="1" t="n">
        <v>45929</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6214-2025</t>
        </is>
      </c>
      <c r="B207" s="1" t="n">
        <v>45698.51711805556</v>
      </c>
      <c r="C207" s="1" t="n">
        <v>45929</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49408-2023</t>
        </is>
      </c>
      <c r="B208" s="1" t="n">
        <v>45211.43555555555</v>
      </c>
      <c r="C208" s="1" t="n">
        <v>45929</v>
      </c>
      <c r="D208" t="inlineStr">
        <is>
          <t>KALMAR LÄN</t>
        </is>
      </c>
      <c r="E208" t="inlineStr">
        <is>
          <t>VIMMERBY</t>
        </is>
      </c>
      <c r="G208" t="n">
        <v>13.1</v>
      </c>
      <c r="H208" t="n">
        <v>0</v>
      </c>
      <c r="I208" t="n">
        <v>0</v>
      </c>
      <c r="J208" t="n">
        <v>0</v>
      </c>
      <c r="K208" t="n">
        <v>0</v>
      </c>
      <c r="L208" t="n">
        <v>0</v>
      </c>
      <c r="M208" t="n">
        <v>0</v>
      </c>
      <c r="N208" t="n">
        <v>0</v>
      </c>
      <c r="O208" t="n">
        <v>0</v>
      </c>
      <c r="P208" t="n">
        <v>0</v>
      </c>
      <c r="Q208" t="n">
        <v>0</v>
      </c>
      <c r="R208" s="2" t="inlineStr"/>
    </row>
    <row r="209" ht="15" customHeight="1">
      <c r="A209" t="inlineStr">
        <is>
          <t>A 27443-2023</t>
        </is>
      </c>
      <c r="B209" s="1" t="n">
        <v>45097.40524305555</v>
      </c>
      <c r="C209" s="1" t="n">
        <v>45929</v>
      </c>
      <c r="D209" t="inlineStr">
        <is>
          <t>KALMAR LÄN</t>
        </is>
      </c>
      <c r="E209" t="inlineStr">
        <is>
          <t>VIMMERBY</t>
        </is>
      </c>
      <c r="F209" t="inlineStr">
        <is>
          <t>Övriga Aktiebolag</t>
        </is>
      </c>
      <c r="G209" t="n">
        <v>2.3</v>
      </c>
      <c r="H209" t="n">
        <v>0</v>
      </c>
      <c r="I209" t="n">
        <v>0</v>
      </c>
      <c r="J209" t="n">
        <v>0</v>
      </c>
      <c r="K209" t="n">
        <v>0</v>
      </c>
      <c r="L209" t="n">
        <v>0</v>
      </c>
      <c r="M209" t="n">
        <v>0</v>
      </c>
      <c r="N209" t="n">
        <v>0</v>
      </c>
      <c r="O209" t="n">
        <v>0</v>
      </c>
      <c r="P209" t="n">
        <v>0</v>
      </c>
      <c r="Q209" t="n">
        <v>0</v>
      </c>
      <c r="R209" s="2" t="inlineStr"/>
    </row>
    <row r="210" ht="15" customHeight="1">
      <c r="A210" t="inlineStr">
        <is>
          <t>A 28395-2023</t>
        </is>
      </c>
      <c r="B210" s="1" t="n">
        <v>45100.4062962963</v>
      </c>
      <c r="C210" s="1" t="n">
        <v>45929</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42850-2022</t>
        </is>
      </c>
      <c r="B211" s="1" t="n">
        <v>44832.67608796297</v>
      </c>
      <c r="C211" s="1" t="n">
        <v>45929</v>
      </c>
      <c r="D211" t="inlineStr">
        <is>
          <t>KALMAR LÄN</t>
        </is>
      </c>
      <c r="E211" t="inlineStr">
        <is>
          <t>VIMMERBY</t>
        </is>
      </c>
      <c r="G211" t="n">
        <v>5.9</v>
      </c>
      <c r="H211" t="n">
        <v>0</v>
      </c>
      <c r="I211" t="n">
        <v>0</v>
      </c>
      <c r="J211" t="n">
        <v>0</v>
      </c>
      <c r="K211" t="n">
        <v>0</v>
      </c>
      <c r="L211" t="n">
        <v>0</v>
      </c>
      <c r="M211" t="n">
        <v>0</v>
      </c>
      <c r="N211" t="n">
        <v>0</v>
      </c>
      <c r="O211" t="n">
        <v>0</v>
      </c>
      <c r="P211" t="n">
        <v>0</v>
      </c>
      <c r="Q211" t="n">
        <v>0</v>
      </c>
      <c r="R211" s="2" t="inlineStr"/>
    </row>
    <row r="212" ht="15" customHeight="1">
      <c r="A212" t="inlineStr">
        <is>
          <t>A 18501-2024</t>
        </is>
      </c>
      <c r="B212" s="1" t="n">
        <v>45425.57538194444</v>
      </c>
      <c r="C212" s="1" t="n">
        <v>45929</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57948-2020</t>
        </is>
      </c>
      <c r="B213" s="1" t="n">
        <v>44142</v>
      </c>
      <c r="C213" s="1" t="n">
        <v>45929</v>
      </c>
      <c r="D213" t="inlineStr">
        <is>
          <t>KALMAR LÄN</t>
        </is>
      </c>
      <c r="E213" t="inlineStr">
        <is>
          <t>VIMMERBY</t>
        </is>
      </c>
      <c r="G213" t="n">
        <v>7.1</v>
      </c>
      <c r="H213" t="n">
        <v>0</v>
      </c>
      <c r="I213" t="n">
        <v>0</v>
      </c>
      <c r="J213" t="n">
        <v>0</v>
      </c>
      <c r="K213" t="n">
        <v>0</v>
      </c>
      <c r="L213" t="n">
        <v>0</v>
      </c>
      <c r="M213" t="n">
        <v>0</v>
      </c>
      <c r="N213" t="n">
        <v>0</v>
      </c>
      <c r="O213" t="n">
        <v>0</v>
      </c>
      <c r="P213" t="n">
        <v>0</v>
      </c>
      <c r="Q213" t="n">
        <v>0</v>
      </c>
      <c r="R213" s="2" t="inlineStr"/>
    </row>
    <row r="214" ht="15" customHeight="1">
      <c r="A214" t="inlineStr">
        <is>
          <t>A 35001-2021</t>
        </is>
      </c>
      <c r="B214" s="1" t="n">
        <v>44383</v>
      </c>
      <c r="C214" s="1" t="n">
        <v>45929</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55674-2021</t>
        </is>
      </c>
      <c r="B215" s="1" t="n">
        <v>44476</v>
      </c>
      <c r="C215" s="1" t="n">
        <v>45929</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18276-2021</t>
        </is>
      </c>
      <c r="B216" s="1" t="n">
        <v>44305.40046296296</v>
      </c>
      <c r="C216" s="1" t="n">
        <v>45929</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25799-2023</t>
        </is>
      </c>
      <c r="B217" s="1" t="n">
        <v>45090</v>
      </c>
      <c r="C217" s="1" t="n">
        <v>45929</v>
      </c>
      <c r="D217" t="inlineStr">
        <is>
          <t>KALMAR LÄN</t>
        </is>
      </c>
      <c r="E217" t="inlineStr">
        <is>
          <t>VIMMERBY</t>
        </is>
      </c>
      <c r="G217" t="n">
        <v>7.7</v>
      </c>
      <c r="H217" t="n">
        <v>0</v>
      </c>
      <c r="I217" t="n">
        <v>0</v>
      </c>
      <c r="J217" t="n">
        <v>0</v>
      </c>
      <c r="K217" t="n">
        <v>0</v>
      </c>
      <c r="L217" t="n">
        <v>0</v>
      </c>
      <c r="M217" t="n">
        <v>0</v>
      </c>
      <c r="N217" t="n">
        <v>0</v>
      </c>
      <c r="O217" t="n">
        <v>0</v>
      </c>
      <c r="P217" t="n">
        <v>0</v>
      </c>
      <c r="Q217" t="n">
        <v>0</v>
      </c>
      <c r="R217" s="2" t="inlineStr"/>
    </row>
    <row r="218" ht="15" customHeight="1">
      <c r="A218" t="inlineStr">
        <is>
          <t>A 47473-2021</t>
        </is>
      </c>
      <c r="B218" s="1" t="n">
        <v>44447</v>
      </c>
      <c r="C218" s="1" t="n">
        <v>45929</v>
      </c>
      <c r="D218" t="inlineStr">
        <is>
          <t>KALMAR LÄN</t>
        </is>
      </c>
      <c r="E218" t="inlineStr">
        <is>
          <t>VIMMERBY</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40077-2021</t>
        </is>
      </c>
      <c r="B219" s="1" t="n">
        <v>44418</v>
      </c>
      <c r="C219" s="1" t="n">
        <v>45929</v>
      </c>
      <c r="D219" t="inlineStr">
        <is>
          <t>KALMAR LÄN</t>
        </is>
      </c>
      <c r="E219" t="inlineStr">
        <is>
          <t>VIMMERBY</t>
        </is>
      </c>
      <c r="G219" t="n">
        <v>2.9</v>
      </c>
      <c r="H219" t="n">
        <v>0</v>
      </c>
      <c r="I219" t="n">
        <v>0</v>
      </c>
      <c r="J219" t="n">
        <v>0</v>
      </c>
      <c r="K219" t="n">
        <v>0</v>
      </c>
      <c r="L219" t="n">
        <v>0</v>
      </c>
      <c r="M219" t="n">
        <v>0</v>
      </c>
      <c r="N219" t="n">
        <v>0</v>
      </c>
      <c r="O219" t="n">
        <v>0</v>
      </c>
      <c r="P219" t="n">
        <v>0</v>
      </c>
      <c r="Q219" t="n">
        <v>0</v>
      </c>
      <c r="R219" s="2" t="inlineStr"/>
    </row>
    <row r="220" ht="15" customHeight="1">
      <c r="A220" t="inlineStr">
        <is>
          <t>A 47769-2022</t>
        </is>
      </c>
      <c r="B220" s="1" t="n">
        <v>44854</v>
      </c>
      <c r="C220" s="1" t="n">
        <v>45929</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16015-2025</t>
        </is>
      </c>
      <c r="B221" s="1" t="n">
        <v>45749.60487268519</v>
      </c>
      <c r="C221" s="1" t="n">
        <v>45929</v>
      </c>
      <c r="D221" t="inlineStr">
        <is>
          <t>KALMAR LÄN</t>
        </is>
      </c>
      <c r="E221" t="inlineStr">
        <is>
          <t>VIMMERBY</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57256-2023</t>
        </is>
      </c>
      <c r="B222" s="1" t="n">
        <v>45245.5735300926</v>
      </c>
      <c r="C222" s="1" t="n">
        <v>45929</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23088-2024</t>
        </is>
      </c>
      <c r="B223" s="1" t="n">
        <v>45450.51092592593</v>
      </c>
      <c r="C223" s="1" t="n">
        <v>45929</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41056-2022</t>
        </is>
      </c>
      <c r="B224" s="1" t="n">
        <v>44824</v>
      </c>
      <c r="C224" s="1" t="n">
        <v>45929</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31660-2021</t>
        </is>
      </c>
      <c r="B225" s="1" t="n">
        <v>44369</v>
      </c>
      <c r="C225" s="1" t="n">
        <v>45929</v>
      </c>
      <c r="D225" t="inlineStr">
        <is>
          <t>KALMAR LÄN</t>
        </is>
      </c>
      <c r="E225" t="inlineStr">
        <is>
          <t>VIMMERBY</t>
        </is>
      </c>
      <c r="G225" t="n">
        <v>4.2</v>
      </c>
      <c r="H225" t="n">
        <v>0</v>
      </c>
      <c r="I225" t="n">
        <v>0</v>
      </c>
      <c r="J225" t="n">
        <v>0</v>
      </c>
      <c r="K225" t="n">
        <v>0</v>
      </c>
      <c r="L225" t="n">
        <v>0</v>
      </c>
      <c r="M225" t="n">
        <v>0</v>
      </c>
      <c r="N225" t="n">
        <v>0</v>
      </c>
      <c r="O225" t="n">
        <v>0</v>
      </c>
      <c r="P225" t="n">
        <v>0</v>
      </c>
      <c r="Q225" t="n">
        <v>0</v>
      </c>
      <c r="R225" s="2" t="inlineStr"/>
    </row>
    <row r="226" ht="15" customHeight="1">
      <c r="A226" t="inlineStr">
        <is>
          <t>A 27455-2022</t>
        </is>
      </c>
      <c r="B226" s="1" t="n">
        <v>44742</v>
      </c>
      <c r="C226" s="1" t="n">
        <v>45929</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57189-2022</t>
        </is>
      </c>
      <c r="B227" s="1" t="n">
        <v>44895.62296296296</v>
      </c>
      <c r="C227" s="1" t="n">
        <v>45929</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46522-2022</t>
        </is>
      </c>
      <c r="B228" s="1" t="n">
        <v>44848.59133101852</v>
      </c>
      <c r="C228" s="1" t="n">
        <v>45929</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21109-2024</t>
        </is>
      </c>
      <c r="B229" s="1" t="n">
        <v>45440.28329861111</v>
      </c>
      <c r="C229" s="1" t="n">
        <v>45929</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1987-2024</t>
        </is>
      </c>
      <c r="B230" s="1" t="n">
        <v>45308.61152777778</v>
      </c>
      <c r="C230" s="1" t="n">
        <v>45929</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527-2024</t>
        </is>
      </c>
      <c r="B231" s="1" t="n">
        <v>45299.47513888889</v>
      </c>
      <c r="C231" s="1" t="n">
        <v>45929</v>
      </c>
      <c r="D231" t="inlineStr">
        <is>
          <t>KALMAR LÄN</t>
        </is>
      </c>
      <c r="E231" t="inlineStr">
        <is>
          <t>VIMMERBY</t>
        </is>
      </c>
      <c r="G231" t="n">
        <v>2.2</v>
      </c>
      <c r="H231" t="n">
        <v>0</v>
      </c>
      <c r="I231" t="n">
        <v>0</v>
      </c>
      <c r="J231" t="n">
        <v>0</v>
      </c>
      <c r="K231" t="n">
        <v>0</v>
      </c>
      <c r="L231" t="n">
        <v>0</v>
      </c>
      <c r="M231" t="n">
        <v>0</v>
      </c>
      <c r="N231" t="n">
        <v>0</v>
      </c>
      <c r="O231" t="n">
        <v>0</v>
      </c>
      <c r="P231" t="n">
        <v>0</v>
      </c>
      <c r="Q231" t="n">
        <v>0</v>
      </c>
      <c r="R231" s="2" t="inlineStr"/>
    </row>
    <row r="232" ht="15" customHeight="1">
      <c r="A232" t="inlineStr">
        <is>
          <t>A 33815-2022</t>
        </is>
      </c>
      <c r="B232" s="1" t="n">
        <v>44790.45876157407</v>
      </c>
      <c r="C232" s="1" t="n">
        <v>45929</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39801-2025</t>
        </is>
      </c>
      <c r="B233" s="1" t="n">
        <v>45891.50216435185</v>
      </c>
      <c r="C233" s="1" t="n">
        <v>45929</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37192-2024</t>
        </is>
      </c>
      <c r="B234" s="1" t="n">
        <v>45539.66027777778</v>
      </c>
      <c r="C234" s="1" t="n">
        <v>45929</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58374-2024</t>
        </is>
      </c>
      <c r="B235" s="1" t="n">
        <v>45632.72635416667</v>
      </c>
      <c r="C235" s="1" t="n">
        <v>45929</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49461-2022</t>
        </is>
      </c>
      <c r="B236" s="1" t="n">
        <v>44861</v>
      </c>
      <c r="C236" s="1" t="n">
        <v>45929</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53542-2022</t>
        </is>
      </c>
      <c r="B237" s="1" t="n">
        <v>44879.62173611111</v>
      </c>
      <c r="C237" s="1" t="n">
        <v>45929</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35270-2025</t>
        </is>
      </c>
      <c r="B238" s="1" t="n">
        <v>45853.87112268519</v>
      </c>
      <c r="C238" s="1" t="n">
        <v>45929</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35713-2023</t>
        </is>
      </c>
      <c r="B239" s="1" t="n">
        <v>45147</v>
      </c>
      <c r="C239" s="1" t="n">
        <v>45929</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55300-2021</t>
        </is>
      </c>
      <c r="B240" s="1" t="n">
        <v>44475</v>
      </c>
      <c r="C240" s="1" t="n">
        <v>45929</v>
      </c>
      <c r="D240" t="inlineStr">
        <is>
          <t>KALMAR LÄN</t>
        </is>
      </c>
      <c r="E240" t="inlineStr">
        <is>
          <t>VIMMERBY</t>
        </is>
      </c>
      <c r="G240" t="n">
        <v>3.4</v>
      </c>
      <c r="H240" t="n">
        <v>0</v>
      </c>
      <c r="I240" t="n">
        <v>0</v>
      </c>
      <c r="J240" t="n">
        <v>0</v>
      </c>
      <c r="K240" t="n">
        <v>0</v>
      </c>
      <c r="L240" t="n">
        <v>0</v>
      </c>
      <c r="M240" t="n">
        <v>0</v>
      </c>
      <c r="N240" t="n">
        <v>0</v>
      </c>
      <c r="O240" t="n">
        <v>0</v>
      </c>
      <c r="P240" t="n">
        <v>0</v>
      </c>
      <c r="Q240" t="n">
        <v>0</v>
      </c>
      <c r="R240" s="2" t="inlineStr"/>
    </row>
    <row r="241" ht="15" customHeight="1">
      <c r="A241" t="inlineStr">
        <is>
          <t>A 10424-2023</t>
        </is>
      </c>
      <c r="B241" s="1" t="n">
        <v>44987.54104166666</v>
      </c>
      <c r="C241" s="1" t="n">
        <v>45929</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35271-2025</t>
        </is>
      </c>
      <c r="B242" s="1" t="n">
        <v>45853.87599537037</v>
      </c>
      <c r="C242" s="1" t="n">
        <v>45929</v>
      </c>
      <c r="D242" t="inlineStr">
        <is>
          <t>KALMAR LÄN</t>
        </is>
      </c>
      <c r="E242" t="inlineStr">
        <is>
          <t>VIMMERBY</t>
        </is>
      </c>
      <c r="G242" t="n">
        <v>0.4</v>
      </c>
      <c r="H242" t="n">
        <v>0</v>
      </c>
      <c r="I242" t="n">
        <v>0</v>
      </c>
      <c r="J242" t="n">
        <v>0</v>
      </c>
      <c r="K242" t="n">
        <v>0</v>
      </c>
      <c r="L242" t="n">
        <v>0</v>
      </c>
      <c r="M242" t="n">
        <v>0</v>
      </c>
      <c r="N242" t="n">
        <v>0</v>
      </c>
      <c r="O242" t="n">
        <v>0</v>
      </c>
      <c r="P242" t="n">
        <v>0</v>
      </c>
      <c r="Q242" t="n">
        <v>0</v>
      </c>
      <c r="R242" s="2" t="inlineStr"/>
    </row>
    <row r="243" ht="15" customHeight="1">
      <c r="A243" t="inlineStr">
        <is>
          <t>A 35272-2025</t>
        </is>
      </c>
      <c r="B243" s="1" t="n">
        <v>45853.88070601852</v>
      </c>
      <c r="C243" s="1" t="n">
        <v>45929</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47263-2023</t>
        </is>
      </c>
      <c r="B244" s="1" t="n">
        <v>45202.4209837963</v>
      </c>
      <c r="C244" s="1" t="n">
        <v>45929</v>
      </c>
      <c r="D244" t="inlineStr">
        <is>
          <t>KALMAR LÄN</t>
        </is>
      </c>
      <c r="E244" t="inlineStr">
        <is>
          <t>VIMMERBY</t>
        </is>
      </c>
      <c r="G244" t="n">
        <v>1.8</v>
      </c>
      <c r="H244" t="n">
        <v>0</v>
      </c>
      <c r="I244" t="n">
        <v>0</v>
      </c>
      <c r="J244" t="n">
        <v>0</v>
      </c>
      <c r="K244" t="n">
        <v>0</v>
      </c>
      <c r="L244" t="n">
        <v>0</v>
      </c>
      <c r="M244" t="n">
        <v>0</v>
      </c>
      <c r="N244" t="n">
        <v>0</v>
      </c>
      <c r="O244" t="n">
        <v>0</v>
      </c>
      <c r="P244" t="n">
        <v>0</v>
      </c>
      <c r="Q244" t="n">
        <v>0</v>
      </c>
      <c r="R244" s="2" t="inlineStr"/>
    </row>
    <row r="245" ht="15" customHeight="1">
      <c r="A245" t="inlineStr">
        <is>
          <t>A 16953-2025</t>
        </is>
      </c>
      <c r="B245" s="1" t="n">
        <v>45755.44333333334</v>
      </c>
      <c r="C245" s="1" t="n">
        <v>45929</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39889-2025</t>
        </is>
      </c>
      <c r="B246" s="1" t="n">
        <v>45891</v>
      </c>
      <c r="C246" s="1" t="n">
        <v>45929</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47063-2022</t>
        </is>
      </c>
      <c r="B247" s="1" t="n">
        <v>44852</v>
      </c>
      <c r="C247" s="1" t="n">
        <v>45929</v>
      </c>
      <c r="D247" t="inlineStr">
        <is>
          <t>KALMAR LÄN</t>
        </is>
      </c>
      <c r="E247" t="inlineStr">
        <is>
          <t>VIMMERBY</t>
        </is>
      </c>
      <c r="G247" t="n">
        <v>2.5</v>
      </c>
      <c r="H247" t="n">
        <v>0</v>
      </c>
      <c r="I247" t="n">
        <v>0</v>
      </c>
      <c r="J247" t="n">
        <v>0</v>
      </c>
      <c r="K247" t="n">
        <v>0</v>
      </c>
      <c r="L247" t="n">
        <v>0</v>
      </c>
      <c r="M247" t="n">
        <v>0</v>
      </c>
      <c r="N247" t="n">
        <v>0</v>
      </c>
      <c r="O247" t="n">
        <v>0</v>
      </c>
      <c r="P247" t="n">
        <v>0</v>
      </c>
      <c r="Q247" t="n">
        <v>0</v>
      </c>
      <c r="R247" s="2" t="inlineStr"/>
    </row>
    <row r="248" ht="15" customHeight="1">
      <c r="A248" t="inlineStr">
        <is>
          <t>A 12819-2024</t>
        </is>
      </c>
      <c r="B248" s="1" t="n">
        <v>45384.66917824074</v>
      </c>
      <c r="C248" s="1" t="n">
        <v>45929</v>
      </c>
      <c r="D248" t="inlineStr">
        <is>
          <t>KALMAR LÄN</t>
        </is>
      </c>
      <c r="E248" t="inlineStr">
        <is>
          <t>VIMMERBY</t>
        </is>
      </c>
      <c r="G248" t="n">
        <v>5.1</v>
      </c>
      <c r="H248" t="n">
        <v>0</v>
      </c>
      <c r="I248" t="n">
        <v>0</v>
      </c>
      <c r="J248" t="n">
        <v>0</v>
      </c>
      <c r="K248" t="n">
        <v>0</v>
      </c>
      <c r="L248" t="n">
        <v>0</v>
      </c>
      <c r="M248" t="n">
        <v>0</v>
      </c>
      <c r="N248" t="n">
        <v>0</v>
      </c>
      <c r="O248" t="n">
        <v>0</v>
      </c>
      <c r="P248" t="n">
        <v>0</v>
      </c>
      <c r="Q248" t="n">
        <v>0</v>
      </c>
      <c r="R248" s="2" t="inlineStr"/>
    </row>
    <row r="249" ht="15" customHeight="1">
      <c r="A249" t="inlineStr">
        <is>
          <t>A 2536-2023</t>
        </is>
      </c>
      <c r="B249" s="1" t="n">
        <v>44943.62954861111</v>
      </c>
      <c r="C249" s="1" t="n">
        <v>45929</v>
      </c>
      <c r="D249" t="inlineStr">
        <is>
          <t>KALMAR LÄN</t>
        </is>
      </c>
      <c r="E249" t="inlineStr">
        <is>
          <t>VIMMERBY</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2801-2023</t>
        </is>
      </c>
      <c r="B250" s="1" t="n">
        <v>44944.73487268519</v>
      </c>
      <c r="C250" s="1" t="n">
        <v>45929</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45929</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40921-2025</t>
        </is>
      </c>
      <c r="B252" s="1" t="n">
        <v>45897.63520833333</v>
      </c>
      <c r="C252" s="1" t="n">
        <v>45929</v>
      </c>
      <c r="D252" t="inlineStr">
        <is>
          <t>KALMAR LÄN</t>
        </is>
      </c>
      <c r="E252" t="inlineStr">
        <is>
          <t>VIMMERBY</t>
        </is>
      </c>
      <c r="G252" t="n">
        <v>4.2</v>
      </c>
      <c r="H252" t="n">
        <v>0</v>
      </c>
      <c r="I252" t="n">
        <v>0</v>
      </c>
      <c r="J252" t="n">
        <v>0</v>
      </c>
      <c r="K252" t="n">
        <v>0</v>
      </c>
      <c r="L252" t="n">
        <v>0</v>
      </c>
      <c r="M252" t="n">
        <v>0</v>
      </c>
      <c r="N252" t="n">
        <v>0</v>
      </c>
      <c r="O252" t="n">
        <v>0</v>
      </c>
      <c r="P252" t="n">
        <v>0</v>
      </c>
      <c r="Q252" t="n">
        <v>0</v>
      </c>
      <c r="R252" s="2" t="inlineStr"/>
    </row>
    <row r="253" ht="15" customHeight="1">
      <c r="A253" t="inlineStr">
        <is>
          <t>A 29017-2024</t>
        </is>
      </c>
      <c r="B253" s="1" t="n">
        <v>45481.56722222222</v>
      </c>
      <c r="C253" s="1" t="n">
        <v>45929</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31382-2023</t>
        </is>
      </c>
      <c r="B254" s="1" t="n">
        <v>45114.55136574074</v>
      </c>
      <c r="C254" s="1" t="n">
        <v>45929</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58046-2022</t>
        </is>
      </c>
      <c r="B255" s="1" t="n">
        <v>44900.57393518519</v>
      </c>
      <c r="C255" s="1" t="n">
        <v>45929</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17968-2025</t>
        </is>
      </c>
      <c r="B256" s="1" t="n">
        <v>45761.35990740741</v>
      </c>
      <c r="C256" s="1" t="n">
        <v>45929</v>
      </c>
      <c r="D256" t="inlineStr">
        <is>
          <t>KALMAR LÄN</t>
        </is>
      </c>
      <c r="E256" t="inlineStr">
        <is>
          <t>VIMMERBY</t>
        </is>
      </c>
      <c r="G256" t="n">
        <v>3.3</v>
      </c>
      <c r="H256" t="n">
        <v>0</v>
      </c>
      <c r="I256" t="n">
        <v>0</v>
      </c>
      <c r="J256" t="n">
        <v>0</v>
      </c>
      <c r="K256" t="n">
        <v>0</v>
      </c>
      <c r="L256" t="n">
        <v>0</v>
      </c>
      <c r="M256" t="n">
        <v>0</v>
      </c>
      <c r="N256" t="n">
        <v>0</v>
      </c>
      <c r="O256" t="n">
        <v>0</v>
      </c>
      <c r="P256" t="n">
        <v>0</v>
      </c>
      <c r="Q256" t="n">
        <v>0</v>
      </c>
      <c r="R256" s="2" t="inlineStr"/>
    </row>
    <row r="257" ht="15" customHeight="1">
      <c r="A257" t="inlineStr">
        <is>
          <t>A 11073-2023</t>
        </is>
      </c>
      <c r="B257" s="1" t="n">
        <v>44992</v>
      </c>
      <c r="C257" s="1" t="n">
        <v>45929</v>
      </c>
      <c r="D257" t="inlineStr">
        <is>
          <t>KALMAR LÄN</t>
        </is>
      </c>
      <c r="E257" t="inlineStr">
        <is>
          <t>VIMMERBY</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40971-2025</t>
        </is>
      </c>
      <c r="B258" s="1" t="n">
        <v>45897.88836805556</v>
      </c>
      <c r="C258" s="1" t="n">
        <v>45929</v>
      </c>
      <c r="D258" t="inlineStr">
        <is>
          <t>KALMAR LÄN</t>
        </is>
      </c>
      <c r="E258" t="inlineStr">
        <is>
          <t>VIMMERBY</t>
        </is>
      </c>
      <c r="G258" t="n">
        <v>1.5</v>
      </c>
      <c r="H258" t="n">
        <v>0</v>
      </c>
      <c r="I258" t="n">
        <v>0</v>
      </c>
      <c r="J258" t="n">
        <v>0</v>
      </c>
      <c r="K258" t="n">
        <v>0</v>
      </c>
      <c r="L258" t="n">
        <v>0</v>
      </c>
      <c r="M258" t="n">
        <v>0</v>
      </c>
      <c r="N258" t="n">
        <v>0</v>
      </c>
      <c r="O258" t="n">
        <v>0</v>
      </c>
      <c r="P258" t="n">
        <v>0</v>
      </c>
      <c r="Q258" t="n">
        <v>0</v>
      </c>
      <c r="R258" s="2" t="inlineStr"/>
    </row>
    <row r="259" ht="15" customHeight="1">
      <c r="A259" t="inlineStr">
        <is>
          <t>A 14548-2024</t>
        </is>
      </c>
      <c r="B259" s="1" t="n">
        <v>45394.66887731481</v>
      </c>
      <c r="C259" s="1" t="n">
        <v>45929</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40925-2025</t>
        </is>
      </c>
      <c r="B260" s="1" t="n">
        <v>45897.64208333333</v>
      </c>
      <c r="C260" s="1" t="n">
        <v>45929</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59955-2023</t>
        </is>
      </c>
      <c r="B261" s="1" t="n">
        <v>45257.70313657408</v>
      </c>
      <c r="C261" s="1" t="n">
        <v>45929</v>
      </c>
      <c r="D261" t="inlineStr">
        <is>
          <t>KALMAR LÄN</t>
        </is>
      </c>
      <c r="E261" t="inlineStr">
        <is>
          <t>VIMMERBY</t>
        </is>
      </c>
      <c r="G261" t="n">
        <v>13.8</v>
      </c>
      <c r="H261" t="n">
        <v>0</v>
      </c>
      <c r="I261" t="n">
        <v>0</v>
      </c>
      <c r="J261" t="n">
        <v>0</v>
      </c>
      <c r="K261" t="n">
        <v>0</v>
      </c>
      <c r="L261" t="n">
        <v>0</v>
      </c>
      <c r="M261" t="n">
        <v>0</v>
      </c>
      <c r="N261" t="n">
        <v>0</v>
      </c>
      <c r="O261" t="n">
        <v>0</v>
      </c>
      <c r="P261" t="n">
        <v>0</v>
      </c>
      <c r="Q261" t="n">
        <v>0</v>
      </c>
      <c r="R261" s="2" t="inlineStr"/>
    </row>
    <row r="262" ht="15" customHeight="1">
      <c r="A262" t="inlineStr">
        <is>
          <t>A 41224-2025</t>
        </is>
      </c>
      <c r="B262" s="1" t="n">
        <v>45898.58861111111</v>
      </c>
      <c r="C262" s="1" t="n">
        <v>45929</v>
      </c>
      <c r="D262" t="inlineStr">
        <is>
          <t>KALMAR LÄN</t>
        </is>
      </c>
      <c r="E262" t="inlineStr">
        <is>
          <t>VIMMERBY</t>
        </is>
      </c>
      <c r="G262" t="n">
        <v>4.4</v>
      </c>
      <c r="H262" t="n">
        <v>0</v>
      </c>
      <c r="I262" t="n">
        <v>0</v>
      </c>
      <c r="J262" t="n">
        <v>0</v>
      </c>
      <c r="K262" t="n">
        <v>0</v>
      </c>
      <c r="L262" t="n">
        <v>0</v>
      </c>
      <c r="M262" t="n">
        <v>0</v>
      </c>
      <c r="N262" t="n">
        <v>0</v>
      </c>
      <c r="O262" t="n">
        <v>0</v>
      </c>
      <c r="P262" t="n">
        <v>0</v>
      </c>
      <c r="Q262" t="n">
        <v>0</v>
      </c>
      <c r="R262" s="2" t="inlineStr"/>
    </row>
    <row r="263" ht="15" customHeight="1">
      <c r="A263" t="inlineStr">
        <is>
          <t>A 36802-2021</t>
        </is>
      </c>
      <c r="B263" s="1" t="n">
        <v>44392</v>
      </c>
      <c r="C263" s="1" t="n">
        <v>45929</v>
      </c>
      <c r="D263" t="inlineStr">
        <is>
          <t>KALMAR LÄN</t>
        </is>
      </c>
      <c r="E263" t="inlineStr">
        <is>
          <t>VIMMERBY</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40973-2025</t>
        </is>
      </c>
      <c r="B264" s="1" t="n">
        <v>45897.89737268518</v>
      </c>
      <c r="C264" s="1" t="n">
        <v>45929</v>
      </c>
      <c r="D264" t="inlineStr">
        <is>
          <t>KALMAR LÄN</t>
        </is>
      </c>
      <c r="E264" t="inlineStr">
        <is>
          <t>VIMMERBY</t>
        </is>
      </c>
      <c r="G264" t="n">
        <v>1.8</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45929</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41589-2025</t>
        </is>
      </c>
      <c r="B266" s="1" t="n">
        <v>45901.63219907408</v>
      </c>
      <c r="C266" s="1" t="n">
        <v>45929</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41591-2025</t>
        </is>
      </c>
      <c r="B267" s="1" t="n">
        <v>45901.6327662037</v>
      </c>
      <c r="C267" s="1" t="n">
        <v>45929</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61820-2023</t>
        </is>
      </c>
      <c r="B268" s="1" t="n">
        <v>45266.32614583334</v>
      </c>
      <c r="C268" s="1" t="n">
        <v>45929</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45929</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35597-2025</t>
        </is>
      </c>
      <c r="B270" s="1" t="n">
        <v>45858.66019675926</v>
      </c>
      <c r="C270" s="1" t="n">
        <v>45929</v>
      </c>
      <c r="D270" t="inlineStr">
        <is>
          <t>KALMAR LÄN</t>
        </is>
      </c>
      <c r="E270" t="inlineStr">
        <is>
          <t>VIMMERBY</t>
        </is>
      </c>
      <c r="G270" t="n">
        <v>6.4</v>
      </c>
      <c r="H270" t="n">
        <v>0</v>
      </c>
      <c r="I270" t="n">
        <v>0</v>
      </c>
      <c r="J270" t="n">
        <v>0</v>
      </c>
      <c r="K270" t="n">
        <v>0</v>
      </c>
      <c r="L270" t="n">
        <v>0</v>
      </c>
      <c r="M270" t="n">
        <v>0</v>
      </c>
      <c r="N270" t="n">
        <v>0</v>
      </c>
      <c r="O270" t="n">
        <v>0</v>
      </c>
      <c r="P270" t="n">
        <v>0</v>
      </c>
      <c r="Q270" t="n">
        <v>0</v>
      </c>
      <c r="R270" s="2" t="inlineStr"/>
    </row>
    <row r="271" ht="15" customHeight="1">
      <c r="A271" t="inlineStr">
        <is>
          <t>A 14451-2024</t>
        </is>
      </c>
      <c r="B271" s="1" t="n">
        <v>45394.50028935185</v>
      </c>
      <c r="C271" s="1" t="n">
        <v>45929</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48120-2022</t>
        </is>
      </c>
      <c r="B272" s="1" t="n">
        <v>44857.65989583333</v>
      </c>
      <c r="C272" s="1" t="n">
        <v>45929</v>
      </c>
      <c r="D272" t="inlineStr">
        <is>
          <t>KALMAR LÄN</t>
        </is>
      </c>
      <c r="E272" t="inlineStr">
        <is>
          <t>VIMMERBY</t>
        </is>
      </c>
      <c r="G272" t="n">
        <v>1.7</v>
      </c>
      <c r="H272" t="n">
        <v>0</v>
      </c>
      <c r="I272" t="n">
        <v>0</v>
      </c>
      <c r="J272" t="n">
        <v>0</v>
      </c>
      <c r="K272" t="n">
        <v>0</v>
      </c>
      <c r="L272" t="n">
        <v>0</v>
      </c>
      <c r="M272" t="n">
        <v>0</v>
      </c>
      <c r="N272" t="n">
        <v>0</v>
      </c>
      <c r="O272" t="n">
        <v>0</v>
      </c>
      <c r="P272" t="n">
        <v>0</v>
      </c>
      <c r="Q272" t="n">
        <v>0</v>
      </c>
      <c r="R272" s="2" t="inlineStr"/>
    </row>
    <row r="273" ht="15" customHeight="1">
      <c r="A273" t="inlineStr">
        <is>
          <t>A 2157-2024</t>
        </is>
      </c>
      <c r="B273" s="1" t="n">
        <v>45309.59487268519</v>
      </c>
      <c r="C273" s="1" t="n">
        <v>45929</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3423-2022</t>
        </is>
      </c>
      <c r="B274" s="1" t="n">
        <v>44585.50431712963</v>
      </c>
      <c r="C274" s="1" t="n">
        <v>45929</v>
      </c>
      <c r="D274" t="inlineStr">
        <is>
          <t>KALMAR LÄN</t>
        </is>
      </c>
      <c r="E274" t="inlineStr">
        <is>
          <t>VIMMERBY</t>
        </is>
      </c>
      <c r="G274" t="n">
        <v>1.7</v>
      </c>
      <c r="H274" t="n">
        <v>0</v>
      </c>
      <c r="I274" t="n">
        <v>0</v>
      </c>
      <c r="J274" t="n">
        <v>0</v>
      </c>
      <c r="K274" t="n">
        <v>0</v>
      </c>
      <c r="L274" t="n">
        <v>0</v>
      </c>
      <c r="M274" t="n">
        <v>0</v>
      </c>
      <c r="N274" t="n">
        <v>0</v>
      </c>
      <c r="O274" t="n">
        <v>0</v>
      </c>
      <c r="P274" t="n">
        <v>0</v>
      </c>
      <c r="Q274" t="n">
        <v>0</v>
      </c>
      <c r="R274" s="2" t="inlineStr"/>
    </row>
    <row r="275" ht="15" customHeight="1">
      <c r="A275" t="inlineStr">
        <is>
          <t>A 11074-2023</t>
        </is>
      </c>
      <c r="B275" s="1" t="n">
        <v>44992.34151620371</v>
      </c>
      <c r="C275" s="1" t="n">
        <v>45929</v>
      </c>
      <c r="D275" t="inlineStr">
        <is>
          <t>KALMAR LÄN</t>
        </is>
      </c>
      <c r="E275" t="inlineStr">
        <is>
          <t>VIMMERBY</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46238-2024</t>
        </is>
      </c>
      <c r="B276" s="1" t="n">
        <v>45581.58418981481</v>
      </c>
      <c r="C276" s="1" t="n">
        <v>45929</v>
      </c>
      <c r="D276" t="inlineStr">
        <is>
          <t>KALMAR LÄN</t>
        </is>
      </c>
      <c r="E276" t="inlineStr">
        <is>
          <t>VIMMERBY</t>
        </is>
      </c>
      <c r="G276" t="n">
        <v>2.1</v>
      </c>
      <c r="H276" t="n">
        <v>0</v>
      </c>
      <c r="I276" t="n">
        <v>0</v>
      </c>
      <c r="J276" t="n">
        <v>0</v>
      </c>
      <c r="K276" t="n">
        <v>0</v>
      </c>
      <c r="L276" t="n">
        <v>0</v>
      </c>
      <c r="M276" t="n">
        <v>0</v>
      </c>
      <c r="N276" t="n">
        <v>0</v>
      </c>
      <c r="O276" t="n">
        <v>0</v>
      </c>
      <c r="P276" t="n">
        <v>0</v>
      </c>
      <c r="Q276" t="n">
        <v>0</v>
      </c>
      <c r="R276" s="2" t="inlineStr"/>
    </row>
    <row r="277" ht="15" customHeight="1">
      <c r="A277" t="inlineStr">
        <is>
          <t>A 9416-2024</t>
        </is>
      </c>
      <c r="B277" s="1" t="n">
        <v>45359.44837962963</v>
      </c>
      <c r="C277" s="1" t="n">
        <v>45929</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71631-2021</t>
        </is>
      </c>
      <c r="B278" s="1" t="n">
        <v>44542.90072916666</v>
      </c>
      <c r="C278" s="1" t="n">
        <v>45929</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58318-2021</t>
        </is>
      </c>
      <c r="B279" s="1" t="n">
        <v>44488.35878472222</v>
      </c>
      <c r="C279" s="1" t="n">
        <v>45929</v>
      </c>
      <c r="D279" t="inlineStr">
        <is>
          <t>KALMAR LÄN</t>
        </is>
      </c>
      <c r="E279" t="inlineStr">
        <is>
          <t>VIMMERBY</t>
        </is>
      </c>
      <c r="G279" t="n">
        <v>4</v>
      </c>
      <c r="H279" t="n">
        <v>0</v>
      </c>
      <c r="I279" t="n">
        <v>0</v>
      </c>
      <c r="J279" t="n">
        <v>0</v>
      </c>
      <c r="K279" t="n">
        <v>0</v>
      </c>
      <c r="L279" t="n">
        <v>0</v>
      </c>
      <c r="M279" t="n">
        <v>0</v>
      </c>
      <c r="N279" t="n">
        <v>0</v>
      </c>
      <c r="O279" t="n">
        <v>0</v>
      </c>
      <c r="P279" t="n">
        <v>0</v>
      </c>
      <c r="Q279" t="n">
        <v>0</v>
      </c>
      <c r="R279" s="2" t="inlineStr"/>
    </row>
    <row r="280" ht="15" customHeight="1">
      <c r="A280" t="inlineStr">
        <is>
          <t>A 50993-2022</t>
        </is>
      </c>
      <c r="B280" s="1" t="n">
        <v>44867</v>
      </c>
      <c r="C280" s="1" t="n">
        <v>45929</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53083-2021</t>
        </is>
      </c>
      <c r="B281" s="1" t="n">
        <v>44467.83386574074</v>
      </c>
      <c r="C281" s="1" t="n">
        <v>45929</v>
      </c>
      <c r="D281" t="inlineStr">
        <is>
          <t>KALMAR LÄN</t>
        </is>
      </c>
      <c r="E281" t="inlineStr">
        <is>
          <t>VIMMERBY</t>
        </is>
      </c>
      <c r="G281" t="n">
        <v>6.8</v>
      </c>
      <c r="H281" t="n">
        <v>0</v>
      </c>
      <c r="I281" t="n">
        <v>0</v>
      </c>
      <c r="J281" t="n">
        <v>0</v>
      </c>
      <c r="K281" t="n">
        <v>0</v>
      </c>
      <c r="L281" t="n">
        <v>0</v>
      </c>
      <c r="M281" t="n">
        <v>0</v>
      </c>
      <c r="N281" t="n">
        <v>0</v>
      </c>
      <c r="O281" t="n">
        <v>0</v>
      </c>
      <c r="P281" t="n">
        <v>0</v>
      </c>
      <c r="Q281" t="n">
        <v>0</v>
      </c>
      <c r="R281" s="2" t="inlineStr"/>
    </row>
    <row r="282" ht="15" customHeight="1">
      <c r="A282" t="inlineStr">
        <is>
          <t>A 46225-2024</t>
        </is>
      </c>
      <c r="B282" s="1" t="n">
        <v>45581.57333333333</v>
      </c>
      <c r="C282" s="1" t="n">
        <v>45929</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29173-2024</t>
        </is>
      </c>
      <c r="B283" s="1" t="n">
        <v>45482.52887731481</v>
      </c>
      <c r="C283" s="1" t="n">
        <v>45929</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11111-2024</t>
        </is>
      </c>
      <c r="B284" s="1" t="n">
        <v>45371.36359953704</v>
      </c>
      <c r="C284" s="1" t="n">
        <v>45929</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11141-2024</t>
        </is>
      </c>
      <c r="B285" s="1" t="n">
        <v>45371.45865740741</v>
      </c>
      <c r="C285" s="1" t="n">
        <v>45929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36055-2024</t>
        </is>
      </c>
      <c r="B286" s="1" t="n">
        <v>45533.63056712963</v>
      </c>
      <c r="C286" s="1" t="n">
        <v>45929</v>
      </c>
      <c r="D286" t="inlineStr">
        <is>
          <t>KALMAR LÄN</t>
        </is>
      </c>
      <c r="E286" t="inlineStr">
        <is>
          <t>VIMMERBY</t>
        </is>
      </c>
      <c r="F286" t="inlineStr">
        <is>
          <t>Kommuner</t>
        </is>
      </c>
      <c r="G286" t="n">
        <v>1.9</v>
      </c>
      <c r="H286" t="n">
        <v>0</v>
      </c>
      <c r="I286" t="n">
        <v>0</v>
      </c>
      <c r="J286" t="n">
        <v>0</v>
      </c>
      <c r="K286" t="n">
        <v>0</v>
      </c>
      <c r="L286" t="n">
        <v>0</v>
      </c>
      <c r="M286" t="n">
        <v>0</v>
      </c>
      <c r="N286" t="n">
        <v>0</v>
      </c>
      <c r="O286" t="n">
        <v>0</v>
      </c>
      <c r="P286" t="n">
        <v>0</v>
      </c>
      <c r="Q286" t="n">
        <v>0</v>
      </c>
      <c r="R286" s="2" t="inlineStr"/>
    </row>
    <row r="287" ht="15" customHeight="1">
      <c r="A287" t="inlineStr">
        <is>
          <t>A 35596-2025</t>
        </is>
      </c>
      <c r="B287" s="1" t="n">
        <v>45858.60641203704</v>
      </c>
      <c r="C287" s="1" t="n">
        <v>45929</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9418-2024</t>
        </is>
      </c>
      <c r="B288" s="1" t="n">
        <v>45359.45038194444</v>
      </c>
      <c r="C288" s="1" t="n">
        <v>45929</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45929</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49039-2021</t>
        </is>
      </c>
      <c r="B290" s="1" t="n">
        <v>44453.56578703703</v>
      </c>
      <c r="C290" s="1" t="n">
        <v>45929</v>
      </c>
      <c r="D290" t="inlineStr">
        <is>
          <t>KALMAR LÄN</t>
        </is>
      </c>
      <c r="E290" t="inlineStr">
        <is>
          <t>VIMMERBY</t>
        </is>
      </c>
      <c r="G290" t="n">
        <v>0.6</v>
      </c>
      <c r="H290" t="n">
        <v>0</v>
      </c>
      <c r="I290" t="n">
        <v>0</v>
      </c>
      <c r="J290" t="n">
        <v>0</v>
      </c>
      <c r="K290" t="n">
        <v>0</v>
      </c>
      <c r="L290" t="n">
        <v>0</v>
      </c>
      <c r="M290" t="n">
        <v>0</v>
      </c>
      <c r="N290" t="n">
        <v>0</v>
      </c>
      <c r="O290" t="n">
        <v>0</v>
      </c>
      <c r="P290" t="n">
        <v>0</v>
      </c>
      <c r="Q290" t="n">
        <v>0</v>
      </c>
      <c r="R290" s="2" t="inlineStr"/>
    </row>
    <row r="291" ht="15" customHeight="1">
      <c r="A291" t="inlineStr">
        <is>
          <t>A 47859-2024</t>
        </is>
      </c>
      <c r="B291" s="1" t="n">
        <v>45588.67070601852</v>
      </c>
      <c r="C291" s="1" t="n">
        <v>45929</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49313-2022</t>
        </is>
      </c>
      <c r="B292" s="1" t="n">
        <v>44861.52505787037</v>
      </c>
      <c r="C292" s="1" t="n">
        <v>45929</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32835-2022</t>
        </is>
      </c>
      <c r="B293" s="1" t="n">
        <v>44784.42528935185</v>
      </c>
      <c r="C293" s="1" t="n">
        <v>45929</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35998-2024</t>
        </is>
      </c>
      <c r="B294" s="1" t="n">
        <v>45533.54429398148</v>
      </c>
      <c r="C294" s="1" t="n">
        <v>45929</v>
      </c>
      <c r="D294" t="inlineStr">
        <is>
          <t>KALMAR LÄN</t>
        </is>
      </c>
      <c r="E294" t="inlineStr">
        <is>
          <t>VIMMERBY</t>
        </is>
      </c>
      <c r="G294" t="n">
        <v>8.6</v>
      </c>
      <c r="H294" t="n">
        <v>0</v>
      </c>
      <c r="I294" t="n">
        <v>0</v>
      </c>
      <c r="J294" t="n">
        <v>0</v>
      </c>
      <c r="K294" t="n">
        <v>0</v>
      </c>
      <c r="L294" t="n">
        <v>0</v>
      </c>
      <c r="M294" t="n">
        <v>0</v>
      </c>
      <c r="N294" t="n">
        <v>0</v>
      </c>
      <c r="O294" t="n">
        <v>0</v>
      </c>
      <c r="P294" t="n">
        <v>0</v>
      </c>
      <c r="Q294" t="n">
        <v>0</v>
      </c>
      <c r="R294" s="2" t="inlineStr"/>
    </row>
    <row r="295" ht="15" customHeight="1">
      <c r="A295" t="inlineStr">
        <is>
          <t>A 36040-2024</t>
        </is>
      </c>
      <c r="B295" s="1" t="n">
        <v>45533.60232638889</v>
      </c>
      <c r="C295" s="1" t="n">
        <v>45929</v>
      </c>
      <c r="D295" t="inlineStr">
        <is>
          <t>KALMAR LÄN</t>
        </is>
      </c>
      <c r="E295" t="inlineStr">
        <is>
          <t>VIMMERBY</t>
        </is>
      </c>
      <c r="F295" t="inlineStr">
        <is>
          <t>Kommuner</t>
        </is>
      </c>
      <c r="G295" t="n">
        <v>3.6</v>
      </c>
      <c r="H295" t="n">
        <v>0</v>
      </c>
      <c r="I295" t="n">
        <v>0</v>
      </c>
      <c r="J295" t="n">
        <v>0</v>
      </c>
      <c r="K295" t="n">
        <v>0</v>
      </c>
      <c r="L295" t="n">
        <v>0</v>
      </c>
      <c r="M295" t="n">
        <v>0</v>
      </c>
      <c r="N295" t="n">
        <v>0</v>
      </c>
      <c r="O295" t="n">
        <v>0</v>
      </c>
      <c r="P295" t="n">
        <v>0</v>
      </c>
      <c r="Q295" t="n">
        <v>0</v>
      </c>
      <c r="R295" s="2" t="inlineStr"/>
    </row>
    <row r="296" ht="15" customHeight="1">
      <c r="A296" t="inlineStr">
        <is>
          <t>A 36043-2024</t>
        </is>
      </c>
      <c r="B296" s="1" t="n">
        <v>45533.60770833334</v>
      </c>
      <c r="C296" s="1" t="n">
        <v>45929</v>
      </c>
      <c r="D296" t="inlineStr">
        <is>
          <t>KALMAR LÄN</t>
        </is>
      </c>
      <c r="E296" t="inlineStr">
        <is>
          <t>VIMMERBY</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42918-2021</t>
        </is>
      </c>
      <c r="B297" s="1" t="n">
        <v>44431</v>
      </c>
      <c r="C297" s="1" t="n">
        <v>45929</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529-2022</t>
        </is>
      </c>
      <c r="B298" s="1" t="n">
        <v>44566</v>
      </c>
      <c r="C298" s="1" t="n">
        <v>45929</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41896-2025</t>
        </is>
      </c>
      <c r="B299" s="1" t="n">
        <v>45903.38800925926</v>
      </c>
      <c r="C299" s="1" t="n">
        <v>45929</v>
      </c>
      <c r="D299" t="inlineStr">
        <is>
          <t>KALMAR LÄN</t>
        </is>
      </c>
      <c r="E299" t="inlineStr">
        <is>
          <t>VIMMERBY</t>
        </is>
      </c>
      <c r="G299" t="n">
        <v>2.9</v>
      </c>
      <c r="H299" t="n">
        <v>0</v>
      </c>
      <c r="I299" t="n">
        <v>0</v>
      </c>
      <c r="J299" t="n">
        <v>0</v>
      </c>
      <c r="K299" t="n">
        <v>0</v>
      </c>
      <c r="L299" t="n">
        <v>0</v>
      </c>
      <c r="M299" t="n">
        <v>0</v>
      </c>
      <c r="N299" t="n">
        <v>0</v>
      </c>
      <c r="O299" t="n">
        <v>0</v>
      </c>
      <c r="P299" t="n">
        <v>0</v>
      </c>
      <c r="Q299" t="n">
        <v>0</v>
      </c>
      <c r="R299" s="2" t="inlineStr"/>
    </row>
    <row r="300" ht="15" customHeight="1">
      <c r="A300" t="inlineStr">
        <is>
          <t>A 14855-2025</t>
        </is>
      </c>
      <c r="B300" s="1" t="n">
        <v>45743.41148148148</v>
      </c>
      <c r="C300" s="1" t="n">
        <v>45929</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22197-2024</t>
        </is>
      </c>
      <c r="B301" s="1" t="n">
        <v>45446.36774305555</v>
      </c>
      <c r="C301" s="1" t="n">
        <v>45929</v>
      </c>
      <c r="D301" t="inlineStr">
        <is>
          <t>KALMAR LÄN</t>
        </is>
      </c>
      <c r="E301" t="inlineStr">
        <is>
          <t>VIMMERBY</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60951-2023</t>
        </is>
      </c>
      <c r="B302" s="1" t="n">
        <v>45261.44914351852</v>
      </c>
      <c r="C302" s="1" t="n">
        <v>45929</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41896-2023</t>
        </is>
      </c>
      <c r="B303" s="1" t="n">
        <v>45176.72427083334</v>
      </c>
      <c r="C303" s="1" t="n">
        <v>45929</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19162-2023</t>
        </is>
      </c>
      <c r="B304" s="1" t="n">
        <v>45048.59699074074</v>
      </c>
      <c r="C304" s="1" t="n">
        <v>45929</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35710-2023</t>
        </is>
      </c>
      <c r="B305" s="1" t="n">
        <v>45147.67096064815</v>
      </c>
      <c r="C305" s="1" t="n">
        <v>45929</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31209-2024</t>
        </is>
      </c>
      <c r="B306" s="1" t="n">
        <v>45503.5658912037</v>
      </c>
      <c r="C306" s="1" t="n">
        <v>45929</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35711-2023</t>
        </is>
      </c>
      <c r="B307" s="1" t="n">
        <v>45147.67172453704</v>
      </c>
      <c r="C307" s="1" t="n">
        <v>45929</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43606-2024</t>
        </is>
      </c>
      <c r="B308" s="1" t="n">
        <v>45569.45017361111</v>
      </c>
      <c r="C308" s="1" t="n">
        <v>45929</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12325-2023</t>
        </is>
      </c>
      <c r="B309" s="1" t="n">
        <v>44999.35858796296</v>
      </c>
      <c r="C309" s="1" t="n">
        <v>45929</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8945-2025</t>
        </is>
      </c>
      <c r="B310" s="1" t="n">
        <v>45713.45311342592</v>
      </c>
      <c r="C310" s="1" t="n">
        <v>45929</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5864-2022</t>
        </is>
      </c>
      <c r="B311" s="1" t="n">
        <v>44596</v>
      </c>
      <c r="C311" s="1" t="n">
        <v>45929</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40665-2023</t>
        </is>
      </c>
      <c r="B312" s="1" t="n">
        <v>45170</v>
      </c>
      <c r="C312" s="1" t="n">
        <v>45929</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45929</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3938-2023</t>
        </is>
      </c>
      <c r="B314" s="1" t="n">
        <v>44952.35775462963</v>
      </c>
      <c r="C314" s="1" t="n">
        <v>45929</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42828-2025</t>
        </is>
      </c>
      <c r="B315" s="1" t="n">
        <v>45908.57716435185</v>
      </c>
      <c r="C315" s="1" t="n">
        <v>45929</v>
      </c>
      <c r="D315" t="inlineStr">
        <is>
          <t>KALMAR LÄN</t>
        </is>
      </c>
      <c r="E315" t="inlineStr">
        <is>
          <t>VIMMERBY</t>
        </is>
      </c>
      <c r="G315" t="n">
        <v>5.2</v>
      </c>
      <c r="H315" t="n">
        <v>0</v>
      </c>
      <c r="I315" t="n">
        <v>0</v>
      </c>
      <c r="J315" t="n">
        <v>0</v>
      </c>
      <c r="K315" t="n">
        <v>0</v>
      </c>
      <c r="L315" t="n">
        <v>0</v>
      </c>
      <c r="M315" t="n">
        <v>0</v>
      </c>
      <c r="N315" t="n">
        <v>0</v>
      </c>
      <c r="O315" t="n">
        <v>0</v>
      </c>
      <c r="P315" t="n">
        <v>0</v>
      </c>
      <c r="Q315" t="n">
        <v>0</v>
      </c>
      <c r="R315" s="2" t="inlineStr"/>
    </row>
    <row r="316" ht="15" customHeight="1">
      <c r="A316" t="inlineStr">
        <is>
          <t>A 28034-2022</t>
        </is>
      </c>
      <c r="B316" s="1" t="n">
        <v>44746.38834490741</v>
      </c>
      <c r="C316" s="1" t="n">
        <v>45929</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34588-2024</t>
        </is>
      </c>
      <c r="B317" s="1" t="n">
        <v>45526.3865625</v>
      </c>
      <c r="C317" s="1" t="n">
        <v>45929</v>
      </c>
      <c r="D317" t="inlineStr">
        <is>
          <t>KALMAR LÄN</t>
        </is>
      </c>
      <c r="E317" t="inlineStr">
        <is>
          <t>VIMMERBY</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26937-2023</t>
        </is>
      </c>
      <c r="B318" s="1" t="n">
        <v>45093.62777777778</v>
      </c>
      <c r="C318" s="1" t="n">
        <v>45929</v>
      </c>
      <c r="D318" t="inlineStr">
        <is>
          <t>KALMAR LÄN</t>
        </is>
      </c>
      <c r="E318" t="inlineStr">
        <is>
          <t>VIMMERBY</t>
        </is>
      </c>
      <c r="F318" t="inlineStr">
        <is>
          <t>Sveaskog</t>
        </is>
      </c>
      <c r="G318" t="n">
        <v>14.5</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45929</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50085-2023</t>
        </is>
      </c>
      <c r="B320" s="1" t="n">
        <v>45215.5959375</v>
      </c>
      <c r="C320" s="1" t="n">
        <v>45929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56659-2023</t>
        </is>
      </c>
      <c r="B321" s="1" t="n">
        <v>45243.84869212963</v>
      </c>
      <c r="C321" s="1" t="n">
        <v>45929</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55605-2024</t>
        </is>
      </c>
      <c r="B322" s="1" t="n">
        <v>45622</v>
      </c>
      <c r="C322" s="1" t="n">
        <v>45929</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42165-2024</t>
        </is>
      </c>
      <c r="B323" s="1" t="n">
        <v>45562.46342592593</v>
      </c>
      <c r="C323" s="1" t="n">
        <v>45929</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11219-2023</t>
        </is>
      </c>
      <c r="B324" s="1" t="n">
        <v>44992.62498842592</v>
      </c>
      <c r="C324" s="1" t="n">
        <v>45929</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20129-2024</t>
        </is>
      </c>
      <c r="B325" s="1" t="n">
        <v>45434.55831018519</v>
      </c>
      <c r="C325" s="1" t="n">
        <v>45929</v>
      </c>
      <c r="D325" t="inlineStr">
        <is>
          <t>KALMAR LÄN</t>
        </is>
      </c>
      <c r="E325" t="inlineStr">
        <is>
          <t>VIMMERBY</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20137-2024</t>
        </is>
      </c>
      <c r="B326" s="1" t="n">
        <v>45434.56398148148</v>
      </c>
      <c r="C326" s="1" t="n">
        <v>45929</v>
      </c>
      <c r="D326" t="inlineStr">
        <is>
          <t>KALMAR LÄN</t>
        </is>
      </c>
      <c r="E326" t="inlineStr">
        <is>
          <t>VIMMERBY</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23095-2023</t>
        </is>
      </c>
      <c r="B327" s="1" t="n">
        <v>45075.43059027778</v>
      </c>
      <c r="C327" s="1" t="n">
        <v>45929</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36273-2025</t>
        </is>
      </c>
      <c r="B328" s="1" t="n">
        <v>45867.63094907408</v>
      </c>
      <c r="C328" s="1" t="n">
        <v>45929</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36299-2025</t>
        </is>
      </c>
      <c r="B329" s="1" t="n">
        <v>45867.69346064814</v>
      </c>
      <c r="C329" s="1" t="n">
        <v>45929</v>
      </c>
      <c r="D329" t="inlineStr">
        <is>
          <t>KALMAR LÄN</t>
        </is>
      </c>
      <c r="E329" t="inlineStr">
        <is>
          <t>VIMMERBY</t>
        </is>
      </c>
      <c r="G329" t="n">
        <v>7.6</v>
      </c>
      <c r="H329" t="n">
        <v>0</v>
      </c>
      <c r="I329" t="n">
        <v>0</v>
      </c>
      <c r="J329" t="n">
        <v>0</v>
      </c>
      <c r="K329" t="n">
        <v>0</v>
      </c>
      <c r="L329" t="n">
        <v>0</v>
      </c>
      <c r="M329" t="n">
        <v>0</v>
      </c>
      <c r="N329" t="n">
        <v>0</v>
      </c>
      <c r="O329" t="n">
        <v>0</v>
      </c>
      <c r="P329" t="n">
        <v>0</v>
      </c>
      <c r="Q329" t="n">
        <v>0</v>
      </c>
      <c r="R329" s="2" t="inlineStr"/>
    </row>
    <row r="330" ht="15" customHeight="1">
      <c r="A330" t="inlineStr">
        <is>
          <t>A 32919-2022</t>
        </is>
      </c>
      <c r="B330" s="1" t="n">
        <v>44784.62724537037</v>
      </c>
      <c r="C330" s="1" t="n">
        <v>45929</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36221-2025</t>
        </is>
      </c>
      <c r="B331" s="1" t="n">
        <v>45867.50792824074</v>
      </c>
      <c r="C331" s="1" t="n">
        <v>45929</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36226-2025</t>
        </is>
      </c>
      <c r="B332" s="1" t="n">
        <v>45867.51630787037</v>
      </c>
      <c r="C332" s="1" t="n">
        <v>45929</v>
      </c>
      <c r="D332" t="inlineStr">
        <is>
          <t>KALMAR LÄN</t>
        </is>
      </c>
      <c r="E332" t="inlineStr">
        <is>
          <t>VIMMERBY</t>
        </is>
      </c>
      <c r="G332" t="n">
        <v>3.1</v>
      </c>
      <c r="H332" t="n">
        <v>0</v>
      </c>
      <c r="I332" t="n">
        <v>0</v>
      </c>
      <c r="J332" t="n">
        <v>0</v>
      </c>
      <c r="K332" t="n">
        <v>0</v>
      </c>
      <c r="L332" t="n">
        <v>0</v>
      </c>
      <c r="M332" t="n">
        <v>0</v>
      </c>
      <c r="N332" t="n">
        <v>0</v>
      </c>
      <c r="O332" t="n">
        <v>0</v>
      </c>
      <c r="P332" t="n">
        <v>0</v>
      </c>
      <c r="Q332" t="n">
        <v>0</v>
      </c>
      <c r="R332" s="2" t="inlineStr"/>
    </row>
    <row r="333" ht="15" customHeight="1">
      <c r="A333" t="inlineStr">
        <is>
          <t>A 36297-2025</t>
        </is>
      </c>
      <c r="B333" s="1" t="n">
        <v>45867.68625</v>
      </c>
      <c r="C333" s="1" t="n">
        <v>45929</v>
      </c>
      <c r="D333" t="inlineStr">
        <is>
          <t>KALMAR LÄN</t>
        </is>
      </c>
      <c r="E333" t="inlineStr">
        <is>
          <t>VIMMERBY</t>
        </is>
      </c>
      <c r="G333" t="n">
        <v>4.9</v>
      </c>
      <c r="H333" t="n">
        <v>0</v>
      </c>
      <c r="I333" t="n">
        <v>0</v>
      </c>
      <c r="J333" t="n">
        <v>0</v>
      </c>
      <c r="K333" t="n">
        <v>0</v>
      </c>
      <c r="L333" t="n">
        <v>0</v>
      </c>
      <c r="M333" t="n">
        <v>0</v>
      </c>
      <c r="N333" t="n">
        <v>0</v>
      </c>
      <c r="O333" t="n">
        <v>0</v>
      </c>
      <c r="P333" t="n">
        <v>0</v>
      </c>
      <c r="Q333" t="n">
        <v>0</v>
      </c>
      <c r="R333" s="2" t="inlineStr"/>
    </row>
    <row r="334" ht="15" customHeight="1">
      <c r="A334" t="inlineStr">
        <is>
          <t>A 36246-2025</t>
        </is>
      </c>
      <c r="B334" s="1" t="n">
        <v>45867.56320601852</v>
      </c>
      <c r="C334" s="1" t="n">
        <v>45929</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36282-2025</t>
        </is>
      </c>
      <c r="B335" s="1" t="n">
        <v>45867.64663194444</v>
      </c>
      <c r="C335" s="1" t="n">
        <v>45929</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45929</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3331-2023</t>
        </is>
      </c>
      <c r="B337" s="1" t="n">
        <v>44949</v>
      </c>
      <c r="C337" s="1" t="n">
        <v>45929</v>
      </c>
      <c r="D337" t="inlineStr">
        <is>
          <t>KALMAR LÄN</t>
        </is>
      </c>
      <c r="E337" t="inlineStr">
        <is>
          <t>VIMMERBY</t>
        </is>
      </c>
      <c r="G337" t="n">
        <v>6.2</v>
      </c>
      <c r="H337" t="n">
        <v>0</v>
      </c>
      <c r="I337" t="n">
        <v>0</v>
      </c>
      <c r="J337" t="n">
        <v>0</v>
      </c>
      <c r="K337" t="n">
        <v>0</v>
      </c>
      <c r="L337" t="n">
        <v>0</v>
      </c>
      <c r="M337" t="n">
        <v>0</v>
      </c>
      <c r="N337" t="n">
        <v>0</v>
      </c>
      <c r="O337" t="n">
        <v>0</v>
      </c>
      <c r="P337" t="n">
        <v>0</v>
      </c>
      <c r="Q337" t="n">
        <v>0</v>
      </c>
      <c r="R337" s="2" t="inlineStr"/>
    </row>
    <row r="338" ht="15" customHeight="1">
      <c r="A338" t="inlineStr">
        <is>
          <t>A 6358-2022</t>
        </is>
      </c>
      <c r="B338" s="1" t="n">
        <v>44600</v>
      </c>
      <c r="C338" s="1" t="n">
        <v>45929</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43853-2023</t>
        </is>
      </c>
      <c r="B339" s="1" t="n">
        <v>45187.60813657408</v>
      </c>
      <c r="C339" s="1" t="n">
        <v>45929</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42794-2025</t>
        </is>
      </c>
      <c r="B340" s="1" t="n">
        <v>45908</v>
      </c>
      <c r="C340" s="1" t="n">
        <v>45929</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7075-2021</t>
        </is>
      </c>
      <c r="B341" s="1" t="n">
        <v>44237</v>
      </c>
      <c r="C341" s="1" t="n">
        <v>45929</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40828-2023</t>
        </is>
      </c>
      <c r="B342" s="1" t="n">
        <v>45171.96248842592</v>
      </c>
      <c r="C342" s="1" t="n">
        <v>45929</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36538-2025</t>
        </is>
      </c>
      <c r="B343" s="1" t="n">
        <v>45869.62276620371</v>
      </c>
      <c r="C343" s="1" t="n">
        <v>45929</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7068-2024</t>
        </is>
      </c>
      <c r="B344" s="1" t="n">
        <v>45343.68038194445</v>
      </c>
      <c r="C344" s="1" t="n">
        <v>45929</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48673-2021</t>
        </is>
      </c>
      <c r="B345" s="1" t="n">
        <v>44452</v>
      </c>
      <c r="C345" s="1" t="n">
        <v>45929</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42820-2025</t>
        </is>
      </c>
      <c r="B346" s="1" t="n">
        <v>45908</v>
      </c>
      <c r="C346" s="1" t="n">
        <v>45929</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14137-2023</t>
        </is>
      </c>
      <c r="B347" s="1" t="n">
        <v>45009.4671875</v>
      </c>
      <c r="C347" s="1" t="n">
        <v>45929</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7630-2025</t>
        </is>
      </c>
      <c r="B348" s="1" t="n">
        <v>45705.74418981482</v>
      </c>
      <c r="C348" s="1" t="n">
        <v>45929</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12596-2021</t>
        </is>
      </c>
      <c r="B349" s="1" t="n">
        <v>44270.39765046296</v>
      </c>
      <c r="C349" s="1" t="n">
        <v>45929</v>
      </c>
      <c r="D349" t="inlineStr">
        <is>
          <t>KALMAR LÄN</t>
        </is>
      </c>
      <c r="E349" t="inlineStr">
        <is>
          <t>VIMMERBY</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16734-2023</t>
        </is>
      </c>
      <c r="B350" s="1" t="n">
        <v>45030.71012731481</v>
      </c>
      <c r="C350" s="1" t="n">
        <v>45929</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43465-2025</t>
        </is>
      </c>
      <c r="B351" s="1" t="n">
        <v>45911.47138888889</v>
      </c>
      <c r="C351" s="1" t="n">
        <v>45929</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36598-2025</t>
        </is>
      </c>
      <c r="B352" s="1" t="n">
        <v>45870.51708333333</v>
      </c>
      <c r="C352" s="1" t="n">
        <v>45929</v>
      </c>
      <c r="D352" t="inlineStr">
        <is>
          <t>KALMAR LÄN</t>
        </is>
      </c>
      <c r="E352" t="inlineStr">
        <is>
          <t>VIMMERBY</t>
        </is>
      </c>
      <c r="G352" t="n">
        <v>3.7</v>
      </c>
      <c r="H352" t="n">
        <v>0</v>
      </c>
      <c r="I352" t="n">
        <v>0</v>
      </c>
      <c r="J352" t="n">
        <v>0</v>
      </c>
      <c r="K352" t="n">
        <v>0</v>
      </c>
      <c r="L352" t="n">
        <v>0</v>
      </c>
      <c r="M352" t="n">
        <v>0</v>
      </c>
      <c r="N352" t="n">
        <v>0</v>
      </c>
      <c r="O352" t="n">
        <v>0</v>
      </c>
      <c r="P352" t="n">
        <v>0</v>
      </c>
      <c r="Q352" t="n">
        <v>0</v>
      </c>
      <c r="R352" s="2" t="inlineStr"/>
    </row>
    <row r="353" ht="15" customHeight="1">
      <c r="A353" t="inlineStr">
        <is>
          <t>A 36602-2025</t>
        </is>
      </c>
      <c r="B353" s="1" t="n">
        <v>45870.52111111111</v>
      </c>
      <c r="C353" s="1" t="n">
        <v>45929</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32655-2023</t>
        </is>
      </c>
      <c r="B354" s="1" t="n">
        <v>45121.61318287037</v>
      </c>
      <c r="C354" s="1" t="n">
        <v>45929</v>
      </c>
      <c r="D354" t="inlineStr">
        <is>
          <t>KALMAR LÄN</t>
        </is>
      </c>
      <c r="E354" t="inlineStr">
        <is>
          <t>VIMMERBY</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64143-2021</t>
        </is>
      </c>
      <c r="B355" s="1" t="n">
        <v>44510.52157407408</v>
      </c>
      <c r="C355" s="1" t="n">
        <v>45929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9720-2023</t>
        </is>
      </c>
      <c r="B356" s="1" t="n">
        <v>44984</v>
      </c>
      <c r="C356" s="1" t="n">
        <v>45929</v>
      </c>
      <c r="D356" t="inlineStr">
        <is>
          <t>KALMAR LÄN</t>
        </is>
      </c>
      <c r="E356" t="inlineStr">
        <is>
          <t>VIMMERBY</t>
        </is>
      </c>
      <c r="G356" t="n">
        <v>4.4</v>
      </c>
      <c r="H356" t="n">
        <v>0</v>
      </c>
      <c r="I356" t="n">
        <v>0</v>
      </c>
      <c r="J356" t="n">
        <v>0</v>
      </c>
      <c r="K356" t="n">
        <v>0</v>
      </c>
      <c r="L356" t="n">
        <v>0</v>
      </c>
      <c r="M356" t="n">
        <v>0</v>
      </c>
      <c r="N356" t="n">
        <v>0</v>
      </c>
      <c r="O356" t="n">
        <v>0</v>
      </c>
      <c r="P356" t="n">
        <v>0</v>
      </c>
      <c r="Q356" t="n">
        <v>0</v>
      </c>
      <c r="R356" s="2" t="inlineStr"/>
    </row>
    <row r="357" ht="15" customHeight="1">
      <c r="A357" t="inlineStr">
        <is>
          <t>A 5938-2022</t>
        </is>
      </c>
      <c r="B357" s="1" t="n">
        <v>44598</v>
      </c>
      <c r="C357" s="1" t="n">
        <v>45929</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1687-2023</t>
        </is>
      </c>
      <c r="B358" s="1" t="n">
        <v>44938</v>
      </c>
      <c r="C358" s="1" t="n">
        <v>45929</v>
      </c>
      <c r="D358" t="inlineStr">
        <is>
          <t>KALMAR LÄN</t>
        </is>
      </c>
      <c r="E358" t="inlineStr">
        <is>
          <t>VIMMERBY</t>
        </is>
      </c>
      <c r="F358" t="inlineStr">
        <is>
          <t>Kommuner</t>
        </is>
      </c>
      <c r="G358" t="n">
        <v>2.5</v>
      </c>
      <c r="H358" t="n">
        <v>0</v>
      </c>
      <c r="I358" t="n">
        <v>0</v>
      </c>
      <c r="J358" t="n">
        <v>0</v>
      </c>
      <c r="K358" t="n">
        <v>0</v>
      </c>
      <c r="L358" t="n">
        <v>0</v>
      </c>
      <c r="M358" t="n">
        <v>0</v>
      </c>
      <c r="N358" t="n">
        <v>0</v>
      </c>
      <c r="O358" t="n">
        <v>0</v>
      </c>
      <c r="P358" t="n">
        <v>0</v>
      </c>
      <c r="Q358" t="n">
        <v>0</v>
      </c>
      <c r="R358" s="2" t="inlineStr"/>
    </row>
    <row r="359" ht="15" customHeight="1">
      <c r="A359" t="inlineStr">
        <is>
          <t>A 29440-2024</t>
        </is>
      </c>
      <c r="B359" s="1" t="n">
        <v>45483.82479166667</v>
      </c>
      <c r="C359" s="1" t="n">
        <v>45929</v>
      </c>
      <c r="D359" t="inlineStr">
        <is>
          <t>KALMAR LÄN</t>
        </is>
      </c>
      <c r="E359" t="inlineStr">
        <is>
          <t>VIMMERBY</t>
        </is>
      </c>
      <c r="G359" t="n">
        <v>4.5</v>
      </c>
      <c r="H359" t="n">
        <v>0</v>
      </c>
      <c r="I359" t="n">
        <v>0</v>
      </c>
      <c r="J359" t="n">
        <v>0</v>
      </c>
      <c r="K359" t="n">
        <v>0</v>
      </c>
      <c r="L359" t="n">
        <v>0</v>
      </c>
      <c r="M359" t="n">
        <v>0</v>
      </c>
      <c r="N359" t="n">
        <v>0</v>
      </c>
      <c r="O359" t="n">
        <v>0</v>
      </c>
      <c r="P359" t="n">
        <v>0</v>
      </c>
      <c r="Q359" t="n">
        <v>0</v>
      </c>
      <c r="R359" s="2" t="inlineStr"/>
    </row>
    <row r="360" ht="15" customHeight="1">
      <c r="A360" t="inlineStr">
        <is>
          <t>A 30921-2024</t>
        </is>
      </c>
      <c r="B360" s="1" t="n">
        <v>45498</v>
      </c>
      <c r="C360" s="1" t="n">
        <v>45929</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53482-2022</t>
        </is>
      </c>
      <c r="B361" s="1" t="n">
        <v>44879</v>
      </c>
      <c r="C361" s="1" t="n">
        <v>45929</v>
      </c>
      <c r="D361" t="inlineStr">
        <is>
          <t>KALMAR LÄN</t>
        </is>
      </c>
      <c r="E361" t="inlineStr">
        <is>
          <t>VIMMERBY</t>
        </is>
      </c>
      <c r="G361" t="n">
        <v>10.1</v>
      </c>
      <c r="H361" t="n">
        <v>0</v>
      </c>
      <c r="I361" t="n">
        <v>0</v>
      </c>
      <c r="J361" t="n">
        <v>0</v>
      </c>
      <c r="K361" t="n">
        <v>0</v>
      </c>
      <c r="L361" t="n">
        <v>0</v>
      </c>
      <c r="M361" t="n">
        <v>0</v>
      </c>
      <c r="N361" t="n">
        <v>0</v>
      </c>
      <c r="O361" t="n">
        <v>0</v>
      </c>
      <c r="P361" t="n">
        <v>0</v>
      </c>
      <c r="Q361" t="n">
        <v>0</v>
      </c>
      <c r="R361" s="2" t="inlineStr"/>
    </row>
    <row r="362" ht="15" customHeight="1">
      <c r="A362" t="inlineStr">
        <is>
          <t>A 54409-2024</t>
        </is>
      </c>
      <c r="B362" s="1" t="n">
        <v>45617.47570601852</v>
      </c>
      <c r="C362" s="1" t="n">
        <v>45929</v>
      </c>
      <c r="D362" t="inlineStr">
        <is>
          <t>KALMAR LÄN</t>
        </is>
      </c>
      <c r="E362" t="inlineStr">
        <is>
          <t>VIMMERBY</t>
        </is>
      </c>
      <c r="G362" t="n">
        <v>4.3</v>
      </c>
      <c r="H362" t="n">
        <v>0</v>
      </c>
      <c r="I362" t="n">
        <v>0</v>
      </c>
      <c r="J362" t="n">
        <v>0</v>
      </c>
      <c r="K362" t="n">
        <v>0</v>
      </c>
      <c r="L362" t="n">
        <v>0</v>
      </c>
      <c r="M362" t="n">
        <v>0</v>
      </c>
      <c r="N362" t="n">
        <v>0</v>
      </c>
      <c r="O362" t="n">
        <v>0</v>
      </c>
      <c r="P362" t="n">
        <v>0</v>
      </c>
      <c r="Q362" t="n">
        <v>0</v>
      </c>
      <c r="R362" s="2" t="inlineStr"/>
    </row>
    <row r="363" ht="15" customHeight="1">
      <c r="A363" t="inlineStr">
        <is>
          <t>A 43617-2025</t>
        </is>
      </c>
      <c r="B363" s="1" t="n">
        <v>45911.67798611111</v>
      </c>
      <c r="C363" s="1" t="n">
        <v>45929</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29180-2024</t>
        </is>
      </c>
      <c r="B364" s="1" t="n">
        <v>45482.54108796296</v>
      </c>
      <c r="C364" s="1" t="n">
        <v>45929</v>
      </c>
      <c r="D364" t="inlineStr">
        <is>
          <t>KALMAR LÄN</t>
        </is>
      </c>
      <c r="E364" t="inlineStr">
        <is>
          <t>VIMMERBY</t>
        </is>
      </c>
      <c r="G364" t="n">
        <v>3.8</v>
      </c>
      <c r="H364" t="n">
        <v>0</v>
      </c>
      <c r="I364" t="n">
        <v>0</v>
      </c>
      <c r="J364" t="n">
        <v>0</v>
      </c>
      <c r="K364" t="n">
        <v>0</v>
      </c>
      <c r="L364" t="n">
        <v>0</v>
      </c>
      <c r="M364" t="n">
        <v>0</v>
      </c>
      <c r="N364" t="n">
        <v>0</v>
      </c>
      <c r="O364" t="n">
        <v>0</v>
      </c>
      <c r="P364" t="n">
        <v>0</v>
      </c>
      <c r="Q364" t="n">
        <v>0</v>
      </c>
      <c r="R364" s="2" t="inlineStr"/>
    </row>
    <row r="365" ht="15" customHeight="1">
      <c r="A365" t="inlineStr">
        <is>
          <t>A 38780-2021</t>
        </is>
      </c>
      <c r="B365" s="1" t="n">
        <v>44410</v>
      </c>
      <c r="C365" s="1" t="n">
        <v>45929</v>
      </c>
      <c r="D365" t="inlineStr">
        <is>
          <t>KALMAR LÄN</t>
        </is>
      </c>
      <c r="E365" t="inlineStr">
        <is>
          <t>VIMMERBY</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30503-2023</t>
        </is>
      </c>
      <c r="B366" s="1" t="n">
        <v>45111</v>
      </c>
      <c r="C366" s="1" t="n">
        <v>45929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34090-2025</t>
        </is>
      </c>
      <c r="B367" s="1" t="n">
        <v>45845</v>
      </c>
      <c r="C367" s="1" t="n">
        <v>45929</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29783-2024</t>
        </is>
      </c>
      <c r="B368" s="1" t="n">
        <v>45485.45778935185</v>
      </c>
      <c r="C368" s="1" t="n">
        <v>45929</v>
      </c>
      <c r="D368" t="inlineStr">
        <is>
          <t>KALMAR LÄN</t>
        </is>
      </c>
      <c r="E368" t="inlineStr">
        <is>
          <t>VIMMERBY</t>
        </is>
      </c>
      <c r="G368" t="n">
        <v>3.1</v>
      </c>
      <c r="H368" t="n">
        <v>0</v>
      </c>
      <c r="I368" t="n">
        <v>0</v>
      </c>
      <c r="J368" t="n">
        <v>0</v>
      </c>
      <c r="K368" t="n">
        <v>0</v>
      </c>
      <c r="L368" t="n">
        <v>0</v>
      </c>
      <c r="M368" t="n">
        <v>0</v>
      </c>
      <c r="N368" t="n">
        <v>0</v>
      </c>
      <c r="O368" t="n">
        <v>0</v>
      </c>
      <c r="P368" t="n">
        <v>0</v>
      </c>
      <c r="Q368" t="n">
        <v>0</v>
      </c>
      <c r="R368" s="2" t="inlineStr"/>
    </row>
    <row r="369" ht="15" customHeight="1">
      <c r="A369" t="inlineStr">
        <is>
          <t>A 36600-2025</t>
        </is>
      </c>
      <c r="B369" s="1" t="n">
        <v>45870.51958333333</v>
      </c>
      <c r="C369" s="1" t="n">
        <v>45929</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36601-2025</t>
        </is>
      </c>
      <c r="B370" s="1" t="n">
        <v>45870.52005787037</v>
      </c>
      <c r="C370" s="1" t="n">
        <v>45929</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36603-2025</t>
        </is>
      </c>
      <c r="B371" s="1" t="n">
        <v>45870.52142361111</v>
      </c>
      <c r="C371" s="1" t="n">
        <v>45929</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54838-2024</t>
        </is>
      </c>
      <c r="B372" s="1" t="n">
        <v>45618.56787037037</v>
      </c>
      <c r="C372" s="1" t="n">
        <v>45929</v>
      </c>
      <c r="D372" t="inlineStr">
        <is>
          <t>KALMAR LÄN</t>
        </is>
      </c>
      <c r="E372" t="inlineStr">
        <is>
          <t>VIMMERBY</t>
        </is>
      </c>
      <c r="G372" t="n">
        <v>3.3</v>
      </c>
      <c r="H372" t="n">
        <v>0</v>
      </c>
      <c r="I372" t="n">
        <v>0</v>
      </c>
      <c r="J372" t="n">
        <v>0</v>
      </c>
      <c r="K372" t="n">
        <v>0</v>
      </c>
      <c r="L372" t="n">
        <v>0</v>
      </c>
      <c r="M372" t="n">
        <v>0</v>
      </c>
      <c r="N372" t="n">
        <v>0</v>
      </c>
      <c r="O372" t="n">
        <v>0</v>
      </c>
      <c r="P372" t="n">
        <v>0</v>
      </c>
      <c r="Q372" t="n">
        <v>0</v>
      </c>
      <c r="R372" s="2" t="inlineStr"/>
    </row>
    <row r="373" ht="15" customHeight="1">
      <c r="A373" t="inlineStr">
        <is>
          <t>A 25987-2024</t>
        </is>
      </c>
      <c r="B373" s="1" t="n">
        <v>45467.74417824074</v>
      </c>
      <c r="C373" s="1" t="n">
        <v>45929</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60110-2022</t>
        </is>
      </c>
      <c r="B374" s="1" t="n">
        <v>44909</v>
      </c>
      <c r="C374" s="1" t="n">
        <v>45929</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25109-2023</t>
        </is>
      </c>
      <c r="B375" s="1" t="n">
        <v>45086</v>
      </c>
      <c r="C375" s="1" t="n">
        <v>45929</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45929</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59300-2024</t>
        </is>
      </c>
      <c r="B377" s="1" t="n">
        <v>45637.66542824074</v>
      </c>
      <c r="C377" s="1" t="n">
        <v>45929</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62023-2022</t>
        </is>
      </c>
      <c r="B378" s="1" t="n">
        <v>44918.50106481482</v>
      </c>
      <c r="C378" s="1" t="n">
        <v>45929</v>
      </c>
      <c r="D378" t="inlineStr">
        <is>
          <t>KALMAR LÄN</t>
        </is>
      </c>
      <c r="E378" t="inlineStr">
        <is>
          <t>VIMMERBY</t>
        </is>
      </c>
      <c r="G378" t="n">
        <v>0.3</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45929</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58104-2024</t>
        </is>
      </c>
      <c r="B380" s="1" t="n">
        <v>45632.37459490741</v>
      </c>
      <c r="C380" s="1" t="n">
        <v>45929</v>
      </c>
      <c r="D380" t="inlineStr">
        <is>
          <t>KALMAR LÄN</t>
        </is>
      </c>
      <c r="E380" t="inlineStr">
        <is>
          <t>VIMMERBY</t>
        </is>
      </c>
      <c r="G380" t="n">
        <v>5</v>
      </c>
      <c r="H380" t="n">
        <v>0</v>
      </c>
      <c r="I380" t="n">
        <v>0</v>
      </c>
      <c r="J380" t="n">
        <v>0</v>
      </c>
      <c r="K380" t="n">
        <v>0</v>
      </c>
      <c r="L380" t="n">
        <v>0</v>
      </c>
      <c r="M380" t="n">
        <v>0</v>
      </c>
      <c r="N380" t="n">
        <v>0</v>
      </c>
      <c r="O380" t="n">
        <v>0</v>
      </c>
      <c r="P380" t="n">
        <v>0</v>
      </c>
      <c r="Q380" t="n">
        <v>0</v>
      </c>
      <c r="R380" s="2" t="inlineStr"/>
    </row>
    <row r="381" ht="15" customHeight="1">
      <c r="A381" t="inlineStr">
        <is>
          <t>A 12215-2024</t>
        </is>
      </c>
      <c r="B381" s="1" t="n">
        <v>45378.32185185186</v>
      </c>
      <c r="C381" s="1" t="n">
        <v>45929</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19445-2021</t>
        </is>
      </c>
      <c r="B382" s="1" t="n">
        <v>44310</v>
      </c>
      <c r="C382" s="1" t="n">
        <v>45929</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30920-2024</t>
        </is>
      </c>
      <c r="B383" s="1" t="n">
        <v>45498.673125</v>
      </c>
      <c r="C383" s="1" t="n">
        <v>45929</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56536-2022</t>
        </is>
      </c>
      <c r="B384" s="1" t="n">
        <v>44893</v>
      </c>
      <c r="C384" s="1" t="n">
        <v>45929</v>
      </c>
      <c r="D384" t="inlineStr">
        <is>
          <t>KALMAR LÄN</t>
        </is>
      </c>
      <c r="E384" t="inlineStr">
        <is>
          <t>VIMMERBY</t>
        </is>
      </c>
      <c r="G384" t="n">
        <v>3.2</v>
      </c>
      <c r="H384" t="n">
        <v>0</v>
      </c>
      <c r="I384" t="n">
        <v>0</v>
      </c>
      <c r="J384" t="n">
        <v>0</v>
      </c>
      <c r="K384" t="n">
        <v>0</v>
      </c>
      <c r="L384" t="n">
        <v>0</v>
      </c>
      <c r="M384" t="n">
        <v>0</v>
      </c>
      <c r="N384" t="n">
        <v>0</v>
      </c>
      <c r="O384" t="n">
        <v>0</v>
      </c>
      <c r="P384" t="n">
        <v>0</v>
      </c>
      <c r="Q384" t="n">
        <v>0</v>
      </c>
      <c r="R384" s="2" t="inlineStr"/>
    </row>
    <row r="385" ht="15" customHeight="1">
      <c r="A385" t="inlineStr">
        <is>
          <t>A 63541-2023</t>
        </is>
      </c>
      <c r="B385" s="1" t="n">
        <v>45275.32266203704</v>
      </c>
      <c r="C385" s="1" t="n">
        <v>45929</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37323-2024</t>
        </is>
      </c>
      <c r="B386" s="1" t="n">
        <v>45540.50098379629</v>
      </c>
      <c r="C386" s="1" t="n">
        <v>45929</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18329-2023</t>
        </is>
      </c>
      <c r="B387" s="1" t="n">
        <v>45041.63380787037</v>
      </c>
      <c r="C387" s="1" t="n">
        <v>45929</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44329-2025</t>
        </is>
      </c>
      <c r="B388" s="1" t="n">
        <v>45916.41019675926</v>
      </c>
      <c r="C388" s="1" t="n">
        <v>45929</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5720-2023</t>
        </is>
      </c>
      <c r="B389" s="1" t="n">
        <v>44961</v>
      </c>
      <c r="C389" s="1" t="n">
        <v>45929</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61538-2022</t>
        </is>
      </c>
      <c r="B390" s="1" t="n">
        <v>44916.55414351852</v>
      </c>
      <c r="C390" s="1" t="n">
        <v>45929</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44517-2025</t>
        </is>
      </c>
      <c r="B391" s="1" t="n">
        <v>45916.7103587963</v>
      </c>
      <c r="C391" s="1" t="n">
        <v>45929</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45929</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694-2024</t>
        </is>
      </c>
      <c r="B393" s="1" t="n">
        <v>45300.3794212963</v>
      </c>
      <c r="C393" s="1" t="n">
        <v>45929</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57114-2023</t>
        </is>
      </c>
      <c r="B394" s="1" t="n">
        <v>45245.36174768519</v>
      </c>
      <c r="C394" s="1" t="n">
        <v>45929</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43092-2024</t>
        </is>
      </c>
      <c r="B395" s="1" t="n">
        <v>45567</v>
      </c>
      <c r="C395" s="1" t="n">
        <v>45929</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36934-2025</t>
        </is>
      </c>
      <c r="B396" s="1" t="n">
        <v>45874.57109953704</v>
      </c>
      <c r="C396" s="1" t="n">
        <v>45929</v>
      </c>
      <c r="D396" t="inlineStr">
        <is>
          <t>KALMAR LÄN</t>
        </is>
      </c>
      <c r="E396" t="inlineStr">
        <is>
          <t>VIMMERBY</t>
        </is>
      </c>
      <c r="G396" t="n">
        <v>4.2</v>
      </c>
      <c r="H396" t="n">
        <v>0</v>
      </c>
      <c r="I396" t="n">
        <v>0</v>
      </c>
      <c r="J396" t="n">
        <v>0</v>
      </c>
      <c r="K396" t="n">
        <v>0</v>
      </c>
      <c r="L396" t="n">
        <v>0</v>
      </c>
      <c r="M396" t="n">
        <v>0</v>
      </c>
      <c r="N396" t="n">
        <v>0</v>
      </c>
      <c r="O396" t="n">
        <v>0</v>
      </c>
      <c r="P396" t="n">
        <v>0</v>
      </c>
      <c r="Q396" t="n">
        <v>0</v>
      </c>
      <c r="R396" s="2" t="inlineStr"/>
    </row>
    <row r="397" ht="15" customHeight="1">
      <c r="A397" t="inlineStr">
        <is>
          <t>A 44091-2025</t>
        </is>
      </c>
      <c r="B397" s="1" t="n">
        <v>45915.55950231481</v>
      </c>
      <c r="C397" s="1" t="n">
        <v>45929</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44095-2025</t>
        </is>
      </c>
      <c r="B398" s="1" t="n">
        <v>45915.56430555556</v>
      </c>
      <c r="C398" s="1" t="n">
        <v>45929</v>
      </c>
      <c r="D398" t="inlineStr">
        <is>
          <t>KALMAR LÄN</t>
        </is>
      </c>
      <c r="E398" t="inlineStr">
        <is>
          <t>VIMMERBY</t>
        </is>
      </c>
      <c r="G398" t="n">
        <v>2.4</v>
      </c>
      <c r="H398" t="n">
        <v>0</v>
      </c>
      <c r="I398" t="n">
        <v>0</v>
      </c>
      <c r="J398" t="n">
        <v>0</v>
      </c>
      <c r="K398" t="n">
        <v>0</v>
      </c>
      <c r="L398" t="n">
        <v>0</v>
      </c>
      <c r="M398" t="n">
        <v>0</v>
      </c>
      <c r="N398" t="n">
        <v>0</v>
      </c>
      <c r="O398" t="n">
        <v>0</v>
      </c>
      <c r="P398" t="n">
        <v>0</v>
      </c>
      <c r="Q398" t="n">
        <v>0</v>
      </c>
      <c r="R398" s="2" t="inlineStr"/>
    </row>
    <row r="399" ht="15" customHeight="1">
      <c r="A399" t="inlineStr">
        <is>
          <t>A 11619-2023</t>
        </is>
      </c>
      <c r="B399" s="1" t="n">
        <v>44994.42113425926</v>
      </c>
      <c r="C399" s="1" t="n">
        <v>45929</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12327-2023</t>
        </is>
      </c>
      <c r="B400" s="1" t="n">
        <v>44999.36081018519</v>
      </c>
      <c r="C400" s="1" t="n">
        <v>45929</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5074-2023</t>
        </is>
      </c>
      <c r="B401" s="1" t="n">
        <v>44958.61047453704</v>
      </c>
      <c r="C401" s="1" t="n">
        <v>45929</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11429-2022</t>
        </is>
      </c>
      <c r="B402" s="1" t="n">
        <v>44630</v>
      </c>
      <c r="C402" s="1" t="n">
        <v>45929</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6368-2023</t>
        </is>
      </c>
      <c r="B403" s="1" t="n">
        <v>44965</v>
      </c>
      <c r="C403" s="1" t="n">
        <v>45929</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56582-2022</t>
        </is>
      </c>
      <c r="B404" s="1" t="n">
        <v>44893</v>
      </c>
      <c r="C404" s="1" t="n">
        <v>45929</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5701-2024</t>
        </is>
      </c>
      <c r="B405" s="1" t="n">
        <v>45334.78826388889</v>
      </c>
      <c r="C405" s="1" t="n">
        <v>45929</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37088-2025</t>
        </is>
      </c>
      <c r="B406" s="1" t="n">
        <v>45875.45716435185</v>
      </c>
      <c r="C406" s="1" t="n">
        <v>45929</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37102-2025</t>
        </is>
      </c>
      <c r="B407" s="1" t="n">
        <v>45875.47454861111</v>
      </c>
      <c r="C407" s="1" t="n">
        <v>45929</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30633-2024</t>
        </is>
      </c>
      <c r="B408" s="1" t="n">
        <v>45495</v>
      </c>
      <c r="C408" s="1" t="n">
        <v>45929</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33424-2023</t>
        </is>
      </c>
      <c r="B409" s="1" t="n">
        <v>45128.9325</v>
      </c>
      <c r="C409" s="1" t="n">
        <v>45929</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33425-2023</t>
        </is>
      </c>
      <c r="B410" s="1" t="n">
        <v>45128.93540509259</v>
      </c>
      <c r="C410" s="1" t="n">
        <v>45929</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3609-2024</t>
        </is>
      </c>
      <c r="B411" s="1" t="n">
        <v>45320.89128472222</v>
      </c>
      <c r="C411" s="1" t="n">
        <v>45929</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6408-2025</t>
        </is>
      </c>
      <c r="B412" s="1" t="n">
        <v>45699.45671296296</v>
      </c>
      <c r="C412" s="1" t="n">
        <v>45929</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7797-2023</t>
        </is>
      </c>
      <c r="B413" s="1" t="n">
        <v>44973.43075231482</v>
      </c>
      <c r="C413" s="1" t="n">
        <v>45929</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24655-2021</t>
        </is>
      </c>
      <c r="B414" s="1" t="n">
        <v>44340</v>
      </c>
      <c r="C414" s="1" t="n">
        <v>45929</v>
      </c>
      <c r="D414" t="inlineStr">
        <is>
          <t>KALMAR LÄN</t>
        </is>
      </c>
      <c r="E414" t="inlineStr">
        <is>
          <t>VIMMERBY</t>
        </is>
      </c>
      <c r="G414" t="n">
        <v>14.9</v>
      </c>
      <c r="H414" t="n">
        <v>0</v>
      </c>
      <c r="I414" t="n">
        <v>0</v>
      </c>
      <c r="J414" t="n">
        <v>0</v>
      </c>
      <c r="K414" t="n">
        <v>0</v>
      </c>
      <c r="L414" t="n">
        <v>0</v>
      </c>
      <c r="M414" t="n">
        <v>0</v>
      </c>
      <c r="N414" t="n">
        <v>0</v>
      </c>
      <c r="O414" t="n">
        <v>0</v>
      </c>
      <c r="P414" t="n">
        <v>0</v>
      </c>
      <c r="Q414" t="n">
        <v>0</v>
      </c>
      <c r="R414" s="2" t="inlineStr"/>
    </row>
    <row r="415" ht="15" customHeight="1">
      <c r="A415" t="inlineStr">
        <is>
          <t>A 11609-2023</t>
        </is>
      </c>
      <c r="B415" s="1" t="n">
        <v>44994.40635416667</v>
      </c>
      <c r="C415" s="1" t="n">
        <v>45929</v>
      </c>
      <c r="D415" t="inlineStr">
        <is>
          <t>KALMAR LÄN</t>
        </is>
      </c>
      <c r="E415" t="inlineStr">
        <is>
          <t>VIMMERBY</t>
        </is>
      </c>
      <c r="G415" t="n">
        <v>4.9</v>
      </c>
      <c r="H415" t="n">
        <v>0</v>
      </c>
      <c r="I415" t="n">
        <v>0</v>
      </c>
      <c r="J415" t="n">
        <v>0</v>
      </c>
      <c r="K415" t="n">
        <v>0</v>
      </c>
      <c r="L415" t="n">
        <v>0</v>
      </c>
      <c r="M415" t="n">
        <v>0</v>
      </c>
      <c r="N415" t="n">
        <v>0</v>
      </c>
      <c r="O415" t="n">
        <v>0</v>
      </c>
      <c r="P415" t="n">
        <v>0</v>
      </c>
      <c r="Q415" t="n">
        <v>0</v>
      </c>
      <c r="R415" s="2" t="inlineStr"/>
    </row>
    <row r="416" ht="15" customHeight="1">
      <c r="A416" t="inlineStr">
        <is>
          <t>A 37079-2025</t>
        </is>
      </c>
      <c r="B416" s="1" t="n">
        <v>45875.42716435185</v>
      </c>
      <c r="C416" s="1" t="n">
        <v>45929</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44464-2024</t>
        </is>
      </c>
      <c r="B417" s="1" t="n">
        <v>45574.35809027778</v>
      </c>
      <c r="C417" s="1" t="n">
        <v>45929</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44742-2025</t>
        </is>
      </c>
      <c r="B418" s="1" t="n">
        <v>45917.67054398148</v>
      </c>
      <c r="C418" s="1" t="n">
        <v>45929</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8410-2023</t>
        </is>
      </c>
      <c r="B419" s="1" t="n">
        <v>44977</v>
      </c>
      <c r="C419" s="1" t="n">
        <v>45929</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45114-2025</t>
        </is>
      </c>
      <c r="B420" s="1" t="n">
        <v>45919.42387731482</v>
      </c>
      <c r="C420" s="1" t="n">
        <v>45929</v>
      </c>
      <c r="D420" t="inlineStr">
        <is>
          <t>KALMAR LÄN</t>
        </is>
      </c>
      <c r="E420" t="inlineStr">
        <is>
          <t>VIMMERBY</t>
        </is>
      </c>
      <c r="G420" t="n">
        <v>2.7</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45929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41066-2024</t>
        </is>
      </c>
      <c r="B422" s="1" t="n">
        <v>45559.38876157408</v>
      </c>
      <c r="C422" s="1" t="n">
        <v>45929</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37668-2025</t>
        </is>
      </c>
      <c r="B423" s="1" t="n">
        <v>45880.51550925926</v>
      </c>
      <c r="C423" s="1" t="n">
        <v>45929</v>
      </c>
      <c r="D423" t="inlineStr">
        <is>
          <t>KALMAR LÄN</t>
        </is>
      </c>
      <c r="E423" t="inlineStr">
        <is>
          <t>VIMMERBY</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6028-2023</t>
        </is>
      </c>
      <c r="B424" s="1" t="n">
        <v>44964.44356481481</v>
      </c>
      <c r="C424" s="1" t="n">
        <v>45929</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8650-2022</t>
        </is>
      </c>
      <c r="B425" s="1" t="n">
        <v>44613</v>
      </c>
      <c r="C425" s="1" t="n">
        <v>45929</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37578-2025</t>
        </is>
      </c>
      <c r="B426" s="1" t="n">
        <v>45880.38380787037</v>
      </c>
      <c r="C426" s="1" t="n">
        <v>45929</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52823-2024</t>
        </is>
      </c>
      <c r="B427" s="1" t="n">
        <v>45610.59094907407</v>
      </c>
      <c r="C427" s="1" t="n">
        <v>45929</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3816-2022</t>
        </is>
      </c>
      <c r="B428" s="1" t="n">
        <v>44587</v>
      </c>
      <c r="C428" s="1" t="n">
        <v>45929</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56853-2022</t>
        </is>
      </c>
      <c r="B429" s="1" t="n">
        <v>44894.49538194444</v>
      </c>
      <c r="C429" s="1" t="n">
        <v>45929</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11152-2023</t>
        </is>
      </c>
      <c r="B430" s="1" t="n">
        <v>44992</v>
      </c>
      <c r="C430" s="1" t="n">
        <v>45929</v>
      </c>
      <c r="D430" t="inlineStr">
        <is>
          <t>KALMAR LÄN</t>
        </is>
      </c>
      <c r="E430" t="inlineStr">
        <is>
          <t>VIMMERBY</t>
        </is>
      </c>
      <c r="G430" t="n">
        <v>10.6</v>
      </c>
      <c r="H430" t="n">
        <v>0</v>
      </c>
      <c r="I430" t="n">
        <v>0</v>
      </c>
      <c r="J430" t="n">
        <v>0</v>
      </c>
      <c r="K430" t="n">
        <v>0</v>
      </c>
      <c r="L430" t="n">
        <v>0</v>
      </c>
      <c r="M430" t="n">
        <v>0</v>
      </c>
      <c r="N430" t="n">
        <v>0</v>
      </c>
      <c r="O430" t="n">
        <v>0</v>
      </c>
      <c r="P430" t="n">
        <v>0</v>
      </c>
      <c r="Q430" t="n">
        <v>0</v>
      </c>
      <c r="R430" s="2" t="inlineStr"/>
    </row>
    <row r="431" ht="15" customHeight="1">
      <c r="A431" t="inlineStr">
        <is>
          <t>A 15550-2023</t>
        </is>
      </c>
      <c r="B431" s="1" t="n">
        <v>45020</v>
      </c>
      <c r="C431" s="1" t="n">
        <v>45929</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11147-2023</t>
        </is>
      </c>
      <c r="B432" s="1" t="n">
        <v>44992</v>
      </c>
      <c r="C432" s="1" t="n">
        <v>45929</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45319-2025</t>
        </is>
      </c>
      <c r="B433" s="1" t="n">
        <v>45921.95611111111</v>
      </c>
      <c r="C433" s="1" t="n">
        <v>45929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1081-2023</t>
        </is>
      </c>
      <c r="B434" s="1" t="n">
        <v>44935</v>
      </c>
      <c r="C434" s="1" t="n">
        <v>45929</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45929</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12499-2023</t>
        </is>
      </c>
      <c r="B436" s="1" t="n">
        <v>44999.86172453704</v>
      </c>
      <c r="C436" s="1" t="n">
        <v>45929</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12500-2023</t>
        </is>
      </c>
      <c r="B437" s="1" t="n">
        <v>44999.8625</v>
      </c>
      <c r="C437" s="1" t="n">
        <v>45929</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31355-2023</t>
        </is>
      </c>
      <c r="B438" s="1" t="n">
        <v>45114.49505787037</v>
      </c>
      <c r="C438" s="1" t="n">
        <v>45929</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18330-2023</t>
        </is>
      </c>
      <c r="B439" s="1" t="n">
        <v>45041</v>
      </c>
      <c r="C439" s="1" t="n">
        <v>45929</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16676-2023</t>
        </is>
      </c>
      <c r="B440" s="1" t="n">
        <v>45028</v>
      </c>
      <c r="C440" s="1" t="n">
        <v>45929</v>
      </c>
      <c r="D440" t="inlineStr">
        <is>
          <t>KALMAR LÄN</t>
        </is>
      </c>
      <c r="E440" t="inlineStr">
        <is>
          <t>VIMMERBY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6066-2023</t>
        </is>
      </c>
      <c r="B441" s="1" t="n">
        <v>44964.50894675926</v>
      </c>
      <c r="C441" s="1" t="n">
        <v>45929</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58100-2024</t>
        </is>
      </c>
      <c r="B442" s="1" t="n">
        <v>45632.36706018518</v>
      </c>
      <c r="C442" s="1" t="n">
        <v>45929</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23263-2024</t>
        </is>
      </c>
      <c r="B443" s="1" t="n">
        <v>45453.36854166666</v>
      </c>
      <c r="C443" s="1" t="n">
        <v>45929</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27993-2022</t>
        </is>
      </c>
      <c r="B444" s="1" t="n">
        <v>44745.84396990741</v>
      </c>
      <c r="C444" s="1" t="n">
        <v>45929</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33103-2024</t>
        </is>
      </c>
      <c r="B445" s="1" t="n">
        <v>45517.8162037037</v>
      </c>
      <c r="C445" s="1" t="n">
        <v>45929</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33161-2024</t>
        </is>
      </c>
      <c r="B446" s="1" t="n">
        <v>45518.40657407408</v>
      </c>
      <c r="C446" s="1" t="n">
        <v>45929</v>
      </c>
      <c r="D446" t="inlineStr">
        <is>
          <t>KALMAR LÄN</t>
        </is>
      </c>
      <c r="E446" t="inlineStr">
        <is>
          <t>VIMMERBY</t>
        </is>
      </c>
      <c r="G446" t="n">
        <v>4.7</v>
      </c>
      <c r="H446" t="n">
        <v>0</v>
      </c>
      <c r="I446" t="n">
        <v>0</v>
      </c>
      <c r="J446" t="n">
        <v>0</v>
      </c>
      <c r="K446" t="n">
        <v>0</v>
      </c>
      <c r="L446" t="n">
        <v>0</v>
      </c>
      <c r="M446" t="n">
        <v>0</v>
      </c>
      <c r="N446" t="n">
        <v>0</v>
      </c>
      <c r="O446" t="n">
        <v>0</v>
      </c>
      <c r="P446" t="n">
        <v>0</v>
      </c>
      <c r="Q446" t="n">
        <v>0</v>
      </c>
      <c r="R446" s="2" t="inlineStr"/>
    </row>
    <row r="447" ht="15" customHeight="1">
      <c r="A447" t="inlineStr">
        <is>
          <t>A 12510-2022</t>
        </is>
      </c>
      <c r="B447" s="1" t="n">
        <v>44638.55256944444</v>
      </c>
      <c r="C447" s="1" t="n">
        <v>45929</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38969-2023</t>
        </is>
      </c>
      <c r="B448" s="1" t="n">
        <v>45163.63621527778</v>
      </c>
      <c r="C448" s="1" t="n">
        <v>45929</v>
      </c>
      <c r="D448" t="inlineStr">
        <is>
          <t>KALMAR LÄN</t>
        </is>
      </c>
      <c r="E448" t="inlineStr">
        <is>
          <t>VIMMERBY</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46118-2025</t>
        </is>
      </c>
      <c r="B449" s="1" t="n">
        <v>45924.57697916667</v>
      </c>
      <c r="C449" s="1" t="n">
        <v>45929</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49488-2023</t>
        </is>
      </c>
      <c r="B450" s="1" t="n">
        <v>45211.55472222222</v>
      </c>
      <c r="C450" s="1" t="n">
        <v>45929</v>
      </c>
      <c r="D450" t="inlineStr">
        <is>
          <t>KALMAR LÄN</t>
        </is>
      </c>
      <c r="E450" t="inlineStr">
        <is>
          <t>VIMMERBY</t>
        </is>
      </c>
      <c r="F450" t="inlineStr">
        <is>
          <t>Sveaskog</t>
        </is>
      </c>
      <c r="G450" t="n">
        <v>6.2</v>
      </c>
      <c r="H450" t="n">
        <v>0</v>
      </c>
      <c r="I450" t="n">
        <v>0</v>
      </c>
      <c r="J450" t="n">
        <v>0</v>
      </c>
      <c r="K450" t="n">
        <v>0</v>
      </c>
      <c r="L450" t="n">
        <v>0</v>
      </c>
      <c r="M450" t="n">
        <v>0</v>
      </c>
      <c r="N450" t="n">
        <v>0</v>
      </c>
      <c r="O450" t="n">
        <v>0</v>
      </c>
      <c r="P450" t="n">
        <v>0</v>
      </c>
      <c r="Q450" t="n">
        <v>0</v>
      </c>
      <c r="R450" s="2" t="inlineStr"/>
    </row>
    <row r="451" ht="15" customHeight="1">
      <c r="A451" t="inlineStr">
        <is>
          <t>A 59768-2024</t>
        </is>
      </c>
      <c r="B451" s="1" t="n">
        <v>45639.56185185185</v>
      </c>
      <c r="C451" s="1" t="n">
        <v>45929</v>
      </c>
      <c r="D451" t="inlineStr">
        <is>
          <t>KALMAR LÄN</t>
        </is>
      </c>
      <c r="E451" t="inlineStr">
        <is>
          <t>VIMMERBY</t>
        </is>
      </c>
      <c r="G451" t="n">
        <v>5.9</v>
      </c>
      <c r="H451" t="n">
        <v>0</v>
      </c>
      <c r="I451" t="n">
        <v>0</v>
      </c>
      <c r="J451" t="n">
        <v>0</v>
      </c>
      <c r="K451" t="n">
        <v>0</v>
      </c>
      <c r="L451" t="n">
        <v>0</v>
      </c>
      <c r="M451" t="n">
        <v>0</v>
      </c>
      <c r="N451" t="n">
        <v>0</v>
      </c>
      <c r="O451" t="n">
        <v>0</v>
      </c>
      <c r="P451" t="n">
        <v>0</v>
      </c>
      <c r="Q451" t="n">
        <v>0</v>
      </c>
      <c r="R451" s="2" t="inlineStr"/>
    </row>
    <row r="452" ht="15" customHeight="1">
      <c r="A452" t="inlineStr">
        <is>
          <t>A 37866-2025</t>
        </is>
      </c>
      <c r="B452" s="1" t="n">
        <v>45881</v>
      </c>
      <c r="C452" s="1" t="n">
        <v>45929</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72067-2021</t>
        </is>
      </c>
      <c r="B453" s="1" t="n">
        <v>44540</v>
      </c>
      <c r="C453" s="1" t="n">
        <v>45929</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41158-2023</t>
        </is>
      </c>
      <c r="B454" s="1" t="n">
        <v>45174.31395833333</v>
      </c>
      <c r="C454" s="1" t="n">
        <v>45929</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1146-2025</t>
        </is>
      </c>
      <c r="B455" s="1" t="n">
        <v>45666</v>
      </c>
      <c r="C455" s="1" t="n">
        <v>45929</v>
      </c>
      <c r="D455" t="inlineStr">
        <is>
          <t>KALMAR LÄN</t>
        </is>
      </c>
      <c r="E455" t="inlineStr">
        <is>
          <t>VIMMERBY</t>
        </is>
      </c>
      <c r="G455" t="n">
        <v>4</v>
      </c>
      <c r="H455" t="n">
        <v>0</v>
      </c>
      <c r="I455" t="n">
        <v>0</v>
      </c>
      <c r="J455" t="n">
        <v>0</v>
      </c>
      <c r="K455" t="n">
        <v>0</v>
      </c>
      <c r="L455" t="n">
        <v>0</v>
      </c>
      <c r="M455" t="n">
        <v>0</v>
      </c>
      <c r="N455" t="n">
        <v>0</v>
      </c>
      <c r="O455" t="n">
        <v>0</v>
      </c>
      <c r="P455" t="n">
        <v>0</v>
      </c>
      <c r="Q455" t="n">
        <v>0</v>
      </c>
      <c r="R455" s="2" t="inlineStr"/>
    </row>
    <row r="456" ht="15" customHeight="1">
      <c r="A456" t="inlineStr">
        <is>
          <t>A 37939-2025</t>
        </is>
      </c>
      <c r="B456" s="1" t="n">
        <v>45881.59877314815</v>
      </c>
      <c r="C456" s="1" t="n">
        <v>45929</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22198-2024</t>
        </is>
      </c>
      <c r="B457" s="1" t="n">
        <v>45446.36865740741</v>
      </c>
      <c r="C457" s="1" t="n">
        <v>45929</v>
      </c>
      <c r="D457" t="inlineStr">
        <is>
          <t>KALMAR LÄN</t>
        </is>
      </c>
      <c r="E457" t="inlineStr">
        <is>
          <t>VIMMERBY</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9511-2023</t>
        </is>
      </c>
      <c r="B458" s="1" t="n">
        <v>44981.64725694444</v>
      </c>
      <c r="C458" s="1" t="n">
        <v>45929</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53752-2024</t>
        </is>
      </c>
      <c r="B459" s="1" t="n">
        <v>45615.48927083334</v>
      </c>
      <c r="C459" s="1" t="n">
        <v>45929</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12890-2023</t>
        </is>
      </c>
      <c r="B460" s="1" t="n">
        <v>45001.59209490741</v>
      </c>
      <c r="C460" s="1" t="n">
        <v>45929</v>
      </c>
      <c r="D460" t="inlineStr">
        <is>
          <t>KALMAR LÄN</t>
        </is>
      </c>
      <c r="E460" t="inlineStr">
        <is>
          <t>VIMMERBY</t>
        </is>
      </c>
      <c r="G460" t="n">
        <v>2.8</v>
      </c>
      <c r="H460" t="n">
        <v>0</v>
      </c>
      <c r="I460" t="n">
        <v>0</v>
      </c>
      <c r="J460" t="n">
        <v>0</v>
      </c>
      <c r="K460" t="n">
        <v>0</v>
      </c>
      <c r="L460" t="n">
        <v>0</v>
      </c>
      <c r="M460" t="n">
        <v>0</v>
      </c>
      <c r="N460" t="n">
        <v>0</v>
      </c>
      <c r="O460" t="n">
        <v>0</v>
      </c>
      <c r="P460" t="n">
        <v>0</v>
      </c>
      <c r="Q460" t="n">
        <v>0</v>
      </c>
      <c r="R460" s="2" t="inlineStr"/>
    </row>
    <row r="461" ht="15" customHeight="1">
      <c r="A461" t="inlineStr">
        <is>
          <t>A 3902-2022</t>
        </is>
      </c>
      <c r="B461" s="1" t="n">
        <v>44587.48847222222</v>
      </c>
      <c r="C461" s="1" t="n">
        <v>45929</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89-2023</t>
        </is>
      </c>
      <c r="B462" s="1" t="n">
        <v>44918</v>
      </c>
      <c r="C462" s="1" t="n">
        <v>45929</v>
      </c>
      <c r="D462" t="inlineStr">
        <is>
          <t>KALMAR LÄN</t>
        </is>
      </c>
      <c r="E462" t="inlineStr">
        <is>
          <t>VIMMERBY</t>
        </is>
      </c>
      <c r="G462" t="n">
        <v>16.1</v>
      </c>
      <c r="H462" t="n">
        <v>0</v>
      </c>
      <c r="I462" t="n">
        <v>0</v>
      </c>
      <c r="J462" t="n">
        <v>0</v>
      </c>
      <c r="K462" t="n">
        <v>0</v>
      </c>
      <c r="L462" t="n">
        <v>0</v>
      </c>
      <c r="M462" t="n">
        <v>0</v>
      </c>
      <c r="N462" t="n">
        <v>0</v>
      </c>
      <c r="O462" t="n">
        <v>0</v>
      </c>
      <c r="P462" t="n">
        <v>0</v>
      </c>
      <c r="Q462" t="n">
        <v>0</v>
      </c>
      <c r="R462" s="2" t="inlineStr"/>
    </row>
    <row r="463" ht="15" customHeight="1">
      <c r="A463" t="inlineStr">
        <is>
          <t>A 5382-2023</t>
        </is>
      </c>
      <c r="B463" s="1" t="n">
        <v>44959.66407407408</v>
      </c>
      <c r="C463" s="1" t="n">
        <v>45929</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6668-2023</t>
        </is>
      </c>
      <c r="B464" s="1" t="n">
        <v>44966</v>
      </c>
      <c r="C464" s="1" t="n">
        <v>45929</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172-2022</t>
        </is>
      </c>
      <c r="B465" s="1" t="n">
        <v>44564.62598379629</v>
      </c>
      <c r="C465" s="1" t="n">
        <v>45929</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34205-2023</t>
        </is>
      </c>
      <c r="B466" s="1" t="n">
        <v>45138</v>
      </c>
      <c r="C466" s="1" t="n">
        <v>45929</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58728-2024</t>
        </is>
      </c>
      <c r="B467" s="1" t="n">
        <v>45635.66695601852</v>
      </c>
      <c r="C467" s="1" t="n">
        <v>45929</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30634-2024</t>
        </is>
      </c>
      <c r="B468" s="1" t="n">
        <v>45495</v>
      </c>
      <c r="C468" s="1" t="n">
        <v>45929</v>
      </c>
      <c r="D468" t="inlineStr">
        <is>
          <t>KALMAR LÄN</t>
        </is>
      </c>
      <c r="E468" t="inlineStr">
        <is>
          <t>VIMMERBY</t>
        </is>
      </c>
      <c r="G468" t="n">
        <v>1.2</v>
      </c>
      <c r="H468" t="n">
        <v>0</v>
      </c>
      <c r="I468" t="n">
        <v>0</v>
      </c>
      <c r="J468" t="n">
        <v>0</v>
      </c>
      <c r="K468" t="n">
        <v>0</v>
      </c>
      <c r="L468" t="n">
        <v>0</v>
      </c>
      <c r="M468" t="n">
        <v>0</v>
      </c>
      <c r="N468" t="n">
        <v>0</v>
      </c>
      <c r="O468" t="n">
        <v>0</v>
      </c>
      <c r="P468" t="n">
        <v>0</v>
      </c>
      <c r="Q468" t="n">
        <v>0</v>
      </c>
      <c r="R468" s="2" t="inlineStr"/>
    </row>
    <row r="469" ht="15" customHeight="1">
      <c r="A469" t="inlineStr">
        <is>
          <t>A 6355-2022</t>
        </is>
      </c>
      <c r="B469" s="1" t="n">
        <v>44600</v>
      </c>
      <c r="C469" s="1" t="n">
        <v>45929</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43242-2024</t>
        </is>
      </c>
      <c r="B470" s="1" t="n">
        <v>45568.30189814815</v>
      </c>
      <c r="C470" s="1" t="n">
        <v>45929</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16983-2023</t>
        </is>
      </c>
      <c r="B471" s="1" t="n">
        <v>45033.76043981482</v>
      </c>
      <c r="C471" s="1" t="n">
        <v>45929</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57091-2022</t>
        </is>
      </c>
      <c r="B472" s="1" t="n">
        <v>44895.46524305556</v>
      </c>
      <c r="C472" s="1" t="n">
        <v>45929</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6405-2025</t>
        </is>
      </c>
      <c r="B473" s="1" t="n">
        <v>45699.45392361111</v>
      </c>
      <c r="C473" s="1" t="n">
        <v>45929</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36843-2023</t>
        </is>
      </c>
      <c r="B474" s="1" t="n">
        <v>45154.49831018518</v>
      </c>
      <c r="C474" s="1" t="n">
        <v>45929</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16020-2023</t>
        </is>
      </c>
      <c r="B475" s="1" t="n">
        <v>45026.82216435186</v>
      </c>
      <c r="C475" s="1" t="n">
        <v>45929</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2604-2025</t>
        </is>
      </c>
      <c r="B476" s="1" t="n">
        <v>45674.74094907408</v>
      </c>
      <c r="C476" s="1" t="n">
        <v>45929</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6807-2025</t>
        </is>
      </c>
      <c r="B477" s="1" t="n">
        <v>45700.68672453704</v>
      </c>
      <c r="C477" s="1" t="n">
        <v>45929</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57486-2024</t>
        </is>
      </c>
      <c r="B478" s="1" t="n">
        <v>45630.35827546296</v>
      </c>
      <c r="C478" s="1" t="n">
        <v>45929</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38851-2023</t>
        </is>
      </c>
      <c r="B479" s="1" t="n">
        <v>45163</v>
      </c>
      <c r="C479" s="1" t="n">
        <v>45929</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60292-2022</t>
        </is>
      </c>
      <c r="B480" s="1" t="n">
        <v>44910.54231481482</v>
      </c>
      <c r="C480" s="1" t="n">
        <v>45929</v>
      </c>
      <c r="D480" t="inlineStr">
        <is>
          <t>KALMAR LÄN</t>
        </is>
      </c>
      <c r="E480" t="inlineStr">
        <is>
          <t>VIMMERBY</t>
        </is>
      </c>
      <c r="G480" t="n">
        <v>4.4</v>
      </c>
      <c r="H480" t="n">
        <v>0</v>
      </c>
      <c r="I480" t="n">
        <v>0</v>
      </c>
      <c r="J480" t="n">
        <v>0</v>
      </c>
      <c r="K480" t="n">
        <v>0</v>
      </c>
      <c r="L480" t="n">
        <v>0</v>
      </c>
      <c r="M480" t="n">
        <v>0</v>
      </c>
      <c r="N480" t="n">
        <v>0</v>
      </c>
      <c r="O480" t="n">
        <v>0</v>
      </c>
      <c r="P480" t="n">
        <v>0</v>
      </c>
      <c r="Q480" t="n">
        <v>0</v>
      </c>
      <c r="R480" s="2" t="inlineStr"/>
    </row>
    <row r="481" ht="15" customHeight="1">
      <c r="A481" t="inlineStr">
        <is>
          <t>A 66295-2020</t>
        </is>
      </c>
      <c r="B481" s="1" t="n">
        <v>44176</v>
      </c>
      <c r="C481" s="1" t="n">
        <v>45929</v>
      </c>
      <c r="D481" t="inlineStr">
        <is>
          <t>KALMAR LÄN</t>
        </is>
      </c>
      <c r="E481" t="inlineStr">
        <is>
          <t>VIMMERBY</t>
        </is>
      </c>
      <c r="G481" t="n">
        <v>4.1</v>
      </c>
      <c r="H481" t="n">
        <v>0</v>
      </c>
      <c r="I481" t="n">
        <v>0</v>
      </c>
      <c r="J481" t="n">
        <v>0</v>
      </c>
      <c r="K481" t="n">
        <v>0</v>
      </c>
      <c r="L481" t="n">
        <v>0</v>
      </c>
      <c r="M481" t="n">
        <v>0</v>
      </c>
      <c r="N481" t="n">
        <v>0</v>
      </c>
      <c r="O481" t="n">
        <v>0</v>
      </c>
      <c r="P481" t="n">
        <v>0</v>
      </c>
      <c r="Q481" t="n">
        <v>0</v>
      </c>
      <c r="R481" s="2" t="inlineStr"/>
    </row>
    <row r="482" ht="15" customHeight="1">
      <c r="A482" t="inlineStr">
        <is>
          <t>A 43034-2024</t>
        </is>
      </c>
      <c r="B482" s="1" t="n">
        <v>45567.42011574074</v>
      </c>
      <c r="C482" s="1" t="n">
        <v>45929</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40256-2024</t>
        </is>
      </c>
      <c r="B483" s="1" t="n">
        <v>45554.62944444444</v>
      </c>
      <c r="C483" s="1" t="n">
        <v>45929</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23252-2024</t>
        </is>
      </c>
      <c r="B484" s="1" t="n">
        <v>45453.36067129629</v>
      </c>
      <c r="C484" s="1" t="n">
        <v>45929</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5792-2023</t>
        </is>
      </c>
      <c r="B485" s="1" t="n">
        <v>44963.44769675926</v>
      </c>
      <c r="C485" s="1" t="n">
        <v>45929</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2797-2023</t>
        </is>
      </c>
      <c r="B486" s="1" t="n">
        <v>44944.71386574074</v>
      </c>
      <c r="C486" s="1" t="n">
        <v>45929</v>
      </c>
      <c r="D486" t="inlineStr">
        <is>
          <t>KALMAR LÄN</t>
        </is>
      </c>
      <c r="E486" t="inlineStr">
        <is>
          <t>VIMMERBY</t>
        </is>
      </c>
      <c r="G486" t="n">
        <v>3.4</v>
      </c>
      <c r="H486" t="n">
        <v>0</v>
      </c>
      <c r="I486" t="n">
        <v>0</v>
      </c>
      <c r="J486" t="n">
        <v>0</v>
      </c>
      <c r="K486" t="n">
        <v>0</v>
      </c>
      <c r="L486" t="n">
        <v>0</v>
      </c>
      <c r="M486" t="n">
        <v>0</v>
      </c>
      <c r="N486" t="n">
        <v>0</v>
      </c>
      <c r="O486" t="n">
        <v>0</v>
      </c>
      <c r="P486" t="n">
        <v>0</v>
      </c>
      <c r="Q486" t="n">
        <v>0</v>
      </c>
      <c r="R486" s="2" t="inlineStr"/>
    </row>
    <row r="487" ht="15" customHeight="1">
      <c r="A487" t="inlineStr">
        <is>
          <t>A 2799-2023</t>
        </is>
      </c>
      <c r="B487" s="1" t="n">
        <v>44944.72100694444</v>
      </c>
      <c r="C487" s="1" t="n">
        <v>45929</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6220-2025</t>
        </is>
      </c>
      <c r="B488" s="1" t="n">
        <v>45698.53725694444</v>
      </c>
      <c r="C488" s="1" t="n">
        <v>45929</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44423-2023</t>
        </is>
      </c>
      <c r="B489" s="1" t="n">
        <v>45189</v>
      </c>
      <c r="C489" s="1" t="n">
        <v>45929</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20-2025</t>
        </is>
      </c>
      <c r="B490" s="1" t="n">
        <v>45658.80232638889</v>
      </c>
      <c r="C490" s="1" t="n">
        <v>45929</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23-2025</t>
        </is>
      </c>
      <c r="B491" s="1" t="n">
        <v>45658.80827546296</v>
      </c>
      <c r="C491" s="1" t="n">
        <v>45929</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21496-2023</t>
        </is>
      </c>
      <c r="B492" s="1" t="n">
        <v>45063.49936342592</v>
      </c>
      <c r="C492" s="1" t="n">
        <v>45929</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31056-2022</t>
        </is>
      </c>
      <c r="B493" s="1" t="n">
        <v>44769.45805555556</v>
      </c>
      <c r="C493" s="1" t="n">
        <v>45929</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58278-2023</t>
        </is>
      </c>
      <c r="B494" s="1" t="n">
        <v>45250.5278587963</v>
      </c>
      <c r="C494" s="1" t="n">
        <v>45929</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36259-2022</t>
        </is>
      </c>
      <c r="B495" s="1" t="n">
        <v>44803.59118055556</v>
      </c>
      <c r="C495" s="1" t="n">
        <v>45929</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36526-2023</t>
        </is>
      </c>
      <c r="B496" s="1" t="n">
        <v>45153.32778935185</v>
      </c>
      <c r="C496" s="1" t="n">
        <v>45929</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17988-2025</t>
        </is>
      </c>
      <c r="B497" s="1" t="n">
        <v>45761.39600694444</v>
      </c>
      <c r="C497" s="1" t="n">
        <v>45929</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72701-2021</t>
        </is>
      </c>
      <c r="B498" s="1" t="n">
        <v>44546</v>
      </c>
      <c r="C498" s="1" t="n">
        <v>45929</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43093-2024</t>
        </is>
      </c>
      <c r="B499" s="1" t="n">
        <v>45567</v>
      </c>
      <c r="C499" s="1" t="n">
        <v>45929</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45929</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45929</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29350-2023</t>
        </is>
      </c>
      <c r="B502" s="1" t="n">
        <v>45106</v>
      </c>
      <c r="C502" s="1" t="n">
        <v>45929</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29351-2023</t>
        </is>
      </c>
      <c r="B503" s="1" t="n">
        <v>45106.2610300926</v>
      </c>
      <c r="C503" s="1" t="n">
        <v>45929</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6474-2025</t>
        </is>
      </c>
      <c r="B504" s="1" t="n">
        <v>45699.60055555555</v>
      </c>
      <c r="C504" s="1" t="n">
        <v>45929</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35198-2023</t>
        </is>
      </c>
      <c r="B505" s="1" t="n">
        <v>45145</v>
      </c>
      <c r="C505" s="1" t="n">
        <v>45929</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33374-2021</t>
        </is>
      </c>
      <c r="B506" s="1" t="n">
        <v>44377</v>
      </c>
      <c r="C506" s="1" t="n">
        <v>45929</v>
      </c>
      <c r="D506" t="inlineStr">
        <is>
          <t>KALMAR LÄN</t>
        </is>
      </c>
      <c r="E506" t="inlineStr">
        <is>
          <t>VIMMERBY</t>
        </is>
      </c>
      <c r="G506" t="n">
        <v>3.3</v>
      </c>
      <c r="H506" t="n">
        <v>0</v>
      </c>
      <c r="I506" t="n">
        <v>0</v>
      </c>
      <c r="J506" t="n">
        <v>0</v>
      </c>
      <c r="K506" t="n">
        <v>0</v>
      </c>
      <c r="L506" t="n">
        <v>0</v>
      </c>
      <c r="M506" t="n">
        <v>0</v>
      </c>
      <c r="N506" t="n">
        <v>0</v>
      </c>
      <c r="O506" t="n">
        <v>0</v>
      </c>
      <c r="P506" t="n">
        <v>0</v>
      </c>
      <c r="Q506" t="n">
        <v>0</v>
      </c>
      <c r="R506" s="2" t="inlineStr"/>
    </row>
    <row r="507" ht="15" customHeight="1">
      <c r="A507" t="inlineStr">
        <is>
          <t>A 10759-2023</t>
        </is>
      </c>
      <c r="B507" s="1" t="n">
        <v>44988</v>
      </c>
      <c r="C507" s="1" t="n">
        <v>45929</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18899-2025</t>
        </is>
      </c>
      <c r="B508" s="1" t="n">
        <v>45764.44931712963</v>
      </c>
      <c r="C508" s="1" t="n">
        <v>45929</v>
      </c>
      <c r="D508" t="inlineStr">
        <is>
          <t>KALMAR LÄN</t>
        </is>
      </c>
      <c r="E508" t="inlineStr">
        <is>
          <t>VIMMERBY</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17-2025</t>
        </is>
      </c>
      <c r="B509" s="1" t="n">
        <v>45658.78774305555</v>
      </c>
      <c r="C509" s="1" t="n">
        <v>45929</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57555-2024</t>
        </is>
      </c>
      <c r="B510" s="1" t="n">
        <v>45630.45069444444</v>
      </c>
      <c r="C510" s="1" t="n">
        <v>45929</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18411-2021</t>
        </is>
      </c>
      <c r="B511" s="1" t="n">
        <v>44302</v>
      </c>
      <c r="C511" s="1" t="n">
        <v>45929</v>
      </c>
      <c r="D511" t="inlineStr">
        <is>
          <t>KALMAR LÄN</t>
        </is>
      </c>
      <c r="E511" t="inlineStr">
        <is>
          <t>VIMMERBY</t>
        </is>
      </c>
      <c r="G511" t="n">
        <v>0.7</v>
      </c>
      <c r="H511" t="n">
        <v>0</v>
      </c>
      <c r="I511" t="n">
        <v>0</v>
      </c>
      <c r="J511" t="n">
        <v>0</v>
      </c>
      <c r="K511" t="n">
        <v>0</v>
      </c>
      <c r="L511" t="n">
        <v>0</v>
      </c>
      <c r="M511" t="n">
        <v>0</v>
      </c>
      <c r="N511" t="n">
        <v>0</v>
      </c>
      <c r="O511" t="n">
        <v>0</v>
      </c>
      <c r="P511" t="n">
        <v>0</v>
      </c>
      <c r="Q511" t="n">
        <v>0</v>
      </c>
      <c r="R511" s="2" t="inlineStr"/>
    </row>
    <row r="512" ht="15" customHeight="1">
      <c r="A512" t="inlineStr">
        <is>
          <t>A 12586-2021</t>
        </is>
      </c>
      <c r="B512" s="1" t="n">
        <v>44270.38002314815</v>
      </c>
      <c r="C512" s="1" t="n">
        <v>45929</v>
      </c>
      <c r="D512" t="inlineStr">
        <is>
          <t>KALMAR LÄN</t>
        </is>
      </c>
      <c r="E512" t="inlineStr">
        <is>
          <t>VIMMERBY</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52279-2023</t>
        </is>
      </c>
      <c r="B513" s="1" t="n">
        <v>45224</v>
      </c>
      <c r="C513" s="1" t="n">
        <v>45929</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52324-2023</t>
        </is>
      </c>
      <c r="B514" s="1" t="n">
        <v>45224.64659722222</v>
      </c>
      <c r="C514" s="1" t="n">
        <v>45929</v>
      </c>
      <c r="D514" t="inlineStr">
        <is>
          <t>KALMAR LÄN</t>
        </is>
      </c>
      <c r="E514" t="inlineStr">
        <is>
          <t>VIMMERBY</t>
        </is>
      </c>
      <c r="F514" t="inlineStr">
        <is>
          <t>Sveaskog</t>
        </is>
      </c>
      <c r="G514" t="n">
        <v>2.9</v>
      </c>
      <c r="H514" t="n">
        <v>0</v>
      </c>
      <c r="I514" t="n">
        <v>0</v>
      </c>
      <c r="J514" t="n">
        <v>0</v>
      </c>
      <c r="K514" t="n">
        <v>0</v>
      </c>
      <c r="L514" t="n">
        <v>0</v>
      </c>
      <c r="M514" t="n">
        <v>0</v>
      </c>
      <c r="N514" t="n">
        <v>0</v>
      </c>
      <c r="O514" t="n">
        <v>0</v>
      </c>
      <c r="P514" t="n">
        <v>0</v>
      </c>
      <c r="Q514" t="n">
        <v>0</v>
      </c>
      <c r="R514" s="2" t="inlineStr"/>
    </row>
    <row r="515" ht="15" customHeight="1">
      <c r="A515" t="inlineStr">
        <is>
          <t>A 46361-2025</t>
        </is>
      </c>
      <c r="B515" s="1" t="n">
        <v>45925.49670138889</v>
      </c>
      <c r="C515" s="1" t="n">
        <v>45929</v>
      </c>
      <c r="D515" t="inlineStr">
        <is>
          <t>KALMAR LÄN</t>
        </is>
      </c>
      <c r="E515" t="inlineStr">
        <is>
          <t>VIMMERBY</t>
        </is>
      </c>
      <c r="G515" t="n">
        <v>4.2</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45929</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61939-2021</t>
        </is>
      </c>
      <c r="B517" s="1" t="n">
        <v>44502</v>
      </c>
      <c r="C517" s="1" t="n">
        <v>45929</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32639-2023</t>
        </is>
      </c>
      <c r="B518" s="1" t="n">
        <v>45121.5965162037</v>
      </c>
      <c r="C518" s="1" t="n">
        <v>45929</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32642-2023</t>
        </is>
      </c>
      <c r="B519" s="1" t="n">
        <v>45121.59954861111</v>
      </c>
      <c r="C519" s="1" t="n">
        <v>45929</v>
      </c>
      <c r="D519" t="inlineStr">
        <is>
          <t>KALMAR LÄN</t>
        </is>
      </c>
      <c r="E519" t="inlineStr">
        <is>
          <t>VIMMERBY</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32651-2023</t>
        </is>
      </c>
      <c r="B520" s="1" t="n">
        <v>45121.6096875</v>
      </c>
      <c r="C520" s="1" t="n">
        <v>45929</v>
      </c>
      <c r="D520" t="inlineStr">
        <is>
          <t>KALMAR LÄN</t>
        </is>
      </c>
      <c r="E520" t="inlineStr">
        <is>
          <t>VIMMERBY</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40730-2024</t>
        </is>
      </c>
      <c r="B521" s="1" t="n">
        <v>45558.44914351852</v>
      </c>
      <c r="C521" s="1" t="n">
        <v>45929</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9643-2023</t>
        </is>
      </c>
      <c r="B522" s="1" t="n">
        <v>44984</v>
      </c>
      <c r="C522" s="1" t="n">
        <v>45929</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56213-2024</t>
        </is>
      </c>
      <c r="B523" s="1" t="n">
        <v>45624.60141203704</v>
      </c>
      <c r="C523" s="1" t="n">
        <v>45929</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20126-2024</t>
        </is>
      </c>
      <c r="B524" s="1" t="n">
        <v>45434.55471064815</v>
      </c>
      <c r="C524" s="1" t="n">
        <v>45929</v>
      </c>
      <c r="D524" t="inlineStr">
        <is>
          <t>KALMAR LÄN</t>
        </is>
      </c>
      <c r="E524" t="inlineStr">
        <is>
          <t>VIMMERBY</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19865-2021</t>
        </is>
      </c>
      <c r="B525" s="1" t="n">
        <v>44312</v>
      </c>
      <c r="C525" s="1" t="n">
        <v>45929</v>
      </c>
      <c r="D525" t="inlineStr">
        <is>
          <t>KALMAR LÄN</t>
        </is>
      </c>
      <c r="E525" t="inlineStr">
        <is>
          <t>VIMMERBY</t>
        </is>
      </c>
      <c r="G525" t="n">
        <v>8.6</v>
      </c>
      <c r="H525" t="n">
        <v>0</v>
      </c>
      <c r="I525" t="n">
        <v>0</v>
      </c>
      <c r="J525" t="n">
        <v>0</v>
      </c>
      <c r="K525" t="n">
        <v>0</v>
      </c>
      <c r="L525" t="n">
        <v>0</v>
      </c>
      <c r="M525" t="n">
        <v>0</v>
      </c>
      <c r="N525" t="n">
        <v>0</v>
      </c>
      <c r="O525" t="n">
        <v>0</v>
      </c>
      <c r="P525" t="n">
        <v>0</v>
      </c>
      <c r="Q525" t="n">
        <v>0</v>
      </c>
      <c r="R525" s="2" t="inlineStr"/>
    </row>
    <row r="526" ht="15" customHeight="1">
      <c r="A526" t="inlineStr">
        <is>
          <t>A 9694-2023</t>
        </is>
      </c>
      <c r="B526" s="1" t="n">
        <v>44984.45895833334</v>
      </c>
      <c r="C526" s="1" t="n">
        <v>45929</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9710-2023</t>
        </is>
      </c>
      <c r="B527" s="1" t="n">
        <v>44984</v>
      </c>
      <c r="C527" s="1" t="n">
        <v>45929</v>
      </c>
      <c r="D527" t="inlineStr">
        <is>
          <t>KALMAR LÄN</t>
        </is>
      </c>
      <c r="E527" t="inlineStr">
        <is>
          <t>VIMMERBY</t>
        </is>
      </c>
      <c r="G527" t="n">
        <v>3.7</v>
      </c>
      <c r="H527" t="n">
        <v>0</v>
      </c>
      <c r="I527" t="n">
        <v>0</v>
      </c>
      <c r="J527" t="n">
        <v>0</v>
      </c>
      <c r="K527" t="n">
        <v>0</v>
      </c>
      <c r="L527" t="n">
        <v>0</v>
      </c>
      <c r="M527" t="n">
        <v>0</v>
      </c>
      <c r="N527" t="n">
        <v>0</v>
      </c>
      <c r="O527" t="n">
        <v>0</v>
      </c>
      <c r="P527" t="n">
        <v>0</v>
      </c>
      <c r="Q527" t="n">
        <v>0</v>
      </c>
      <c r="R527" s="2" t="inlineStr"/>
    </row>
    <row r="528" ht="15" customHeight="1">
      <c r="A528" t="inlineStr">
        <is>
          <t>A 6216-2025</t>
        </is>
      </c>
      <c r="B528" s="1" t="n">
        <v>45698.52806712963</v>
      </c>
      <c r="C528" s="1" t="n">
        <v>45929</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46365-2025</t>
        </is>
      </c>
      <c r="B529" s="1" t="n">
        <v>45925.50075231482</v>
      </c>
      <c r="C529" s="1" t="n">
        <v>45929</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38604-2025</t>
        </is>
      </c>
      <c r="B530" s="1" t="n">
        <v>45884.50613425926</v>
      </c>
      <c r="C530" s="1" t="n">
        <v>45929</v>
      </c>
      <c r="D530" t="inlineStr">
        <is>
          <t>KALMAR LÄN</t>
        </is>
      </c>
      <c r="E530" t="inlineStr">
        <is>
          <t>VIMMERBY</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45856-2025</t>
        </is>
      </c>
      <c r="B531" s="1" t="n">
        <v>45923</v>
      </c>
      <c r="C531" s="1" t="n">
        <v>45929</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45929</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45929</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6218-2025</t>
        </is>
      </c>
      <c r="B534" s="1" t="n">
        <v>45698.53336805556</v>
      </c>
      <c r="C534" s="1" t="n">
        <v>45929</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40076-2021</t>
        </is>
      </c>
      <c r="B535" s="1" t="n">
        <v>44418</v>
      </c>
      <c r="C535" s="1" t="n">
        <v>45929</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7944-2024</t>
        </is>
      </c>
      <c r="B536" s="1" t="n">
        <v>45350.53306712963</v>
      </c>
      <c r="C536" s="1" t="n">
        <v>45929</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15976-2025</t>
        </is>
      </c>
      <c r="B537" s="1" t="n">
        <v>45749.56196759259</v>
      </c>
      <c r="C537" s="1" t="n">
        <v>45929</v>
      </c>
      <c r="D537" t="inlineStr">
        <is>
          <t>KALMAR LÄN</t>
        </is>
      </c>
      <c r="E537" t="inlineStr">
        <is>
          <t>VIMMERBY</t>
        </is>
      </c>
      <c r="F537" t="inlineStr">
        <is>
          <t>Kommuner</t>
        </is>
      </c>
      <c r="G537" t="n">
        <v>2.5</v>
      </c>
      <c r="H537" t="n">
        <v>0</v>
      </c>
      <c r="I537" t="n">
        <v>0</v>
      </c>
      <c r="J537" t="n">
        <v>0</v>
      </c>
      <c r="K537" t="n">
        <v>0</v>
      </c>
      <c r="L537" t="n">
        <v>0</v>
      </c>
      <c r="M537" t="n">
        <v>0</v>
      </c>
      <c r="N537" t="n">
        <v>0</v>
      </c>
      <c r="O537" t="n">
        <v>0</v>
      </c>
      <c r="P537" t="n">
        <v>0</v>
      </c>
      <c r="Q537" t="n">
        <v>0</v>
      </c>
      <c r="R537" s="2" t="inlineStr"/>
    </row>
    <row r="538" ht="15" customHeight="1">
      <c r="A538" t="inlineStr">
        <is>
          <t>A 598-2025</t>
        </is>
      </c>
      <c r="B538" s="1" t="n">
        <v>45660</v>
      </c>
      <c r="C538" s="1" t="n">
        <v>45929</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10674-2021</t>
        </is>
      </c>
      <c r="B539" s="1" t="n">
        <v>44258</v>
      </c>
      <c r="C539" s="1" t="n">
        <v>45929</v>
      </c>
      <c r="D539" t="inlineStr">
        <is>
          <t>KALMAR LÄN</t>
        </is>
      </c>
      <c r="E539" t="inlineStr">
        <is>
          <t>VIMMERBY</t>
        </is>
      </c>
      <c r="G539" t="n">
        <v>8.4</v>
      </c>
      <c r="H539" t="n">
        <v>0</v>
      </c>
      <c r="I539" t="n">
        <v>0</v>
      </c>
      <c r="J539" t="n">
        <v>0</v>
      </c>
      <c r="K539" t="n">
        <v>0</v>
      </c>
      <c r="L539" t="n">
        <v>0</v>
      </c>
      <c r="M539" t="n">
        <v>0</v>
      </c>
      <c r="N539" t="n">
        <v>0</v>
      </c>
      <c r="O539" t="n">
        <v>0</v>
      </c>
      <c r="P539" t="n">
        <v>0</v>
      </c>
      <c r="Q539" t="n">
        <v>0</v>
      </c>
      <c r="R539" s="2" t="inlineStr"/>
    </row>
    <row r="540" ht="15" customHeight="1">
      <c r="A540" t="inlineStr">
        <is>
          <t>A 10807-2024</t>
        </is>
      </c>
      <c r="B540" s="1" t="n">
        <v>45369.62780092593</v>
      </c>
      <c r="C540" s="1" t="n">
        <v>45929</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40260-2024</t>
        </is>
      </c>
      <c r="B541" s="1" t="n">
        <v>45554.63225694445</v>
      </c>
      <c r="C541" s="1" t="n">
        <v>45929</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10787-2025</t>
        </is>
      </c>
      <c r="B542" s="1" t="n">
        <v>45722.48915509259</v>
      </c>
      <c r="C542" s="1" t="n">
        <v>45929</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12588-2025</t>
        </is>
      </c>
      <c r="B543" s="1" t="n">
        <v>45732.76936342593</v>
      </c>
      <c r="C543" s="1" t="n">
        <v>45929</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25979-2023</t>
        </is>
      </c>
      <c r="B544" s="1" t="n">
        <v>45090.89653935185</v>
      </c>
      <c r="C544" s="1" t="n">
        <v>45929</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25980-2023</t>
        </is>
      </c>
      <c r="B545" s="1" t="n">
        <v>45090.89880787037</v>
      </c>
      <c r="C545" s="1" t="n">
        <v>45929</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58577-2024</t>
        </is>
      </c>
      <c r="B546" s="1" t="n">
        <v>45635.4874537037</v>
      </c>
      <c r="C546" s="1" t="n">
        <v>45929</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38198-2024</t>
        </is>
      </c>
      <c r="B547" s="1" t="n">
        <v>45545.49508101852</v>
      </c>
      <c r="C547" s="1" t="n">
        <v>45929</v>
      </c>
      <c r="D547" t="inlineStr">
        <is>
          <t>KALMAR LÄN</t>
        </is>
      </c>
      <c r="E547" t="inlineStr">
        <is>
          <t>VIMMERBY</t>
        </is>
      </c>
      <c r="G547" t="n">
        <v>7.9</v>
      </c>
      <c r="H547" t="n">
        <v>0</v>
      </c>
      <c r="I547" t="n">
        <v>0</v>
      </c>
      <c r="J547" t="n">
        <v>0</v>
      </c>
      <c r="K547" t="n">
        <v>0</v>
      </c>
      <c r="L547" t="n">
        <v>0</v>
      </c>
      <c r="M547" t="n">
        <v>0</v>
      </c>
      <c r="N547" t="n">
        <v>0</v>
      </c>
      <c r="O547" t="n">
        <v>0</v>
      </c>
      <c r="P547" t="n">
        <v>0</v>
      </c>
      <c r="Q547" t="n">
        <v>0</v>
      </c>
      <c r="R547" s="2" t="inlineStr"/>
    </row>
    <row r="548" ht="15" customHeight="1">
      <c r="A548" t="inlineStr">
        <is>
          <t>A 43617-2024</t>
        </is>
      </c>
      <c r="B548" s="1" t="n">
        <v>45569.47494212963</v>
      </c>
      <c r="C548" s="1" t="n">
        <v>45929</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46921-2023</t>
        </is>
      </c>
      <c r="B549" s="1" t="n">
        <v>45201.39996527778</v>
      </c>
      <c r="C549" s="1" t="n">
        <v>45929</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10837-2023</t>
        </is>
      </c>
      <c r="B550" s="1" t="n">
        <v>44991.30547453704</v>
      </c>
      <c r="C550" s="1" t="n">
        <v>45929</v>
      </c>
      <c r="D550" t="inlineStr">
        <is>
          <t>KALMAR LÄN</t>
        </is>
      </c>
      <c r="E550" t="inlineStr">
        <is>
          <t>VIMMERBY</t>
        </is>
      </c>
      <c r="G550" t="n">
        <v>7.3</v>
      </c>
      <c r="H550" t="n">
        <v>0</v>
      </c>
      <c r="I550" t="n">
        <v>0</v>
      </c>
      <c r="J550" t="n">
        <v>0</v>
      </c>
      <c r="K550" t="n">
        <v>0</v>
      </c>
      <c r="L550" t="n">
        <v>0</v>
      </c>
      <c r="M550" t="n">
        <v>0</v>
      </c>
      <c r="N550" t="n">
        <v>0</v>
      </c>
      <c r="O550" t="n">
        <v>0</v>
      </c>
      <c r="P550" t="n">
        <v>0</v>
      </c>
      <c r="Q550" t="n">
        <v>0</v>
      </c>
      <c r="R550" s="2" t="inlineStr"/>
    </row>
    <row r="551" ht="15" customHeight="1">
      <c r="A551" t="inlineStr">
        <is>
          <t>A 10838-2023</t>
        </is>
      </c>
      <c r="B551" s="1" t="n">
        <v>44991</v>
      </c>
      <c r="C551" s="1" t="n">
        <v>45929</v>
      </c>
      <c r="D551" t="inlineStr">
        <is>
          <t>KALMAR LÄN</t>
        </is>
      </c>
      <c r="E551" t="inlineStr">
        <is>
          <t>VIMMERBY</t>
        </is>
      </c>
      <c r="G551" t="n">
        <v>5.1</v>
      </c>
      <c r="H551" t="n">
        <v>0</v>
      </c>
      <c r="I551" t="n">
        <v>0</v>
      </c>
      <c r="J551" t="n">
        <v>0</v>
      </c>
      <c r="K551" t="n">
        <v>0</v>
      </c>
      <c r="L551" t="n">
        <v>0</v>
      </c>
      <c r="M551" t="n">
        <v>0</v>
      </c>
      <c r="N551" t="n">
        <v>0</v>
      </c>
      <c r="O551" t="n">
        <v>0</v>
      </c>
      <c r="P551" t="n">
        <v>0</v>
      </c>
      <c r="Q551" t="n">
        <v>0</v>
      </c>
      <c r="R551" s="2" t="inlineStr"/>
    </row>
    <row r="552" ht="15" customHeight="1">
      <c r="A552" t="inlineStr">
        <is>
          <t>A 30912-2023</t>
        </is>
      </c>
      <c r="B552" s="1" t="n">
        <v>45113.41633101852</v>
      </c>
      <c r="C552" s="1" t="n">
        <v>45929</v>
      </c>
      <c r="D552" t="inlineStr">
        <is>
          <t>KALMAR LÄN</t>
        </is>
      </c>
      <c r="E552" t="inlineStr">
        <is>
          <t>VIMMERBY</t>
        </is>
      </c>
      <c r="G552" t="n">
        <v>5</v>
      </c>
      <c r="H552" t="n">
        <v>0</v>
      </c>
      <c r="I552" t="n">
        <v>0</v>
      </c>
      <c r="J552" t="n">
        <v>0</v>
      </c>
      <c r="K552" t="n">
        <v>0</v>
      </c>
      <c r="L552" t="n">
        <v>0</v>
      </c>
      <c r="M552" t="n">
        <v>0</v>
      </c>
      <c r="N552" t="n">
        <v>0</v>
      </c>
      <c r="O552" t="n">
        <v>0</v>
      </c>
      <c r="P552" t="n">
        <v>0</v>
      </c>
      <c r="Q552" t="n">
        <v>0</v>
      </c>
      <c r="R552" s="2" t="inlineStr"/>
    </row>
    <row r="553" ht="15" customHeight="1">
      <c r="A553" t="inlineStr">
        <is>
          <t>A 55436-2023</t>
        </is>
      </c>
      <c r="B553" s="1" t="n">
        <v>45238.4328587963</v>
      </c>
      <c r="C553" s="1" t="n">
        <v>45929</v>
      </c>
      <c r="D553" t="inlineStr">
        <is>
          <t>KALMAR LÄN</t>
        </is>
      </c>
      <c r="E553" t="inlineStr">
        <is>
          <t>VIMMERBY</t>
        </is>
      </c>
      <c r="G553" t="n">
        <v>5.6</v>
      </c>
      <c r="H553" t="n">
        <v>0</v>
      </c>
      <c r="I553" t="n">
        <v>0</v>
      </c>
      <c r="J553" t="n">
        <v>0</v>
      </c>
      <c r="K553" t="n">
        <v>0</v>
      </c>
      <c r="L553" t="n">
        <v>0</v>
      </c>
      <c r="M553" t="n">
        <v>0</v>
      </c>
      <c r="N553" t="n">
        <v>0</v>
      </c>
      <c r="O553" t="n">
        <v>0</v>
      </c>
      <c r="P553" t="n">
        <v>0</v>
      </c>
      <c r="Q553" t="n">
        <v>0</v>
      </c>
      <c r="R553" s="2" t="inlineStr"/>
    </row>
    <row r="554" ht="15" customHeight="1">
      <c r="A554" t="inlineStr">
        <is>
          <t>A 22264-2023</t>
        </is>
      </c>
      <c r="B554" s="1" t="n">
        <v>45070.3665625</v>
      </c>
      <c r="C554" s="1" t="n">
        <v>45929</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22266-2023</t>
        </is>
      </c>
      <c r="B555" s="1" t="n">
        <v>45070</v>
      </c>
      <c r="C555" s="1" t="n">
        <v>45929</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50091-2023</t>
        </is>
      </c>
      <c r="B556" s="1" t="n">
        <v>45215.60199074074</v>
      </c>
      <c r="C556" s="1" t="n">
        <v>45929</v>
      </c>
      <c r="D556" t="inlineStr">
        <is>
          <t>KALMAR LÄN</t>
        </is>
      </c>
      <c r="E556" t="inlineStr">
        <is>
          <t>VIMMERBY</t>
        </is>
      </c>
      <c r="G556" t="n">
        <v>1.7</v>
      </c>
      <c r="H556" t="n">
        <v>0</v>
      </c>
      <c r="I556" t="n">
        <v>0</v>
      </c>
      <c r="J556" t="n">
        <v>0</v>
      </c>
      <c r="K556" t="n">
        <v>0</v>
      </c>
      <c r="L556" t="n">
        <v>0</v>
      </c>
      <c r="M556" t="n">
        <v>0</v>
      </c>
      <c r="N556" t="n">
        <v>0</v>
      </c>
      <c r="O556" t="n">
        <v>0</v>
      </c>
      <c r="P556" t="n">
        <v>0</v>
      </c>
      <c r="Q556" t="n">
        <v>0</v>
      </c>
      <c r="R556" s="2" t="inlineStr"/>
    </row>
    <row r="557" ht="15" customHeight="1">
      <c r="A557" t="inlineStr">
        <is>
          <t>A 10303-2025</t>
        </is>
      </c>
      <c r="B557" s="1" t="n">
        <v>45720.44217592593</v>
      </c>
      <c r="C557" s="1" t="n">
        <v>45929</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11027-2023</t>
        </is>
      </c>
      <c r="B558" s="1" t="n">
        <v>44991.89657407408</v>
      </c>
      <c r="C558" s="1" t="n">
        <v>45929</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21507-2023</t>
        </is>
      </c>
      <c r="B559" s="1" t="n">
        <v>45063.508125</v>
      </c>
      <c r="C559" s="1" t="n">
        <v>45929</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51187-2023</t>
        </is>
      </c>
      <c r="B560" s="1" t="n">
        <v>45219.40528935185</v>
      </c>
      <c r="C560" s="1" t="n">
        <v>45929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13290-2025</t>
        </is>
      </c>
      <c r="B561" s="1" t="n">
        <v>45735.56751157407</v>
      </c>
      <c r="C561" s="1" t="n">
        <v>45929</v>
      </c>
      <c r="D561" t="inlineStr">
        <is>
          <t>KALMAR LÄN</t>
        </is>
      </c>
      <c r="E561" t="inlineStr">
        <is>
          <t>VIMMERBY</t>
        </is>
      </c>
      <c r="G561" t="n">
        <v>0.8</v>
      </c>
      <c r="H561" t="n">
        <v>0</v>
      </c>
      <c r="I561" t="n">
        <v>0</v>
      </c>
      <c r="J561" t="n">
        <v>0</v>
      </c>
      <c r="K561" t="n">
        <v>0</v>
      </c>
      <c r="L561" t="n">
        <v>0</v>
      </c>
      <c r="M561" t="n">
        <v>0</v>
      </c>
      <c r="N561" t="n">
        <v>0</v>
      </c>
      <c r="O561" t="n">
        <v>0</v>
      </c>
      <c r="P561" t="n">
        <v>0</v>
      </c>
      <c r="Q561" t="n">
        <v>0</v>
      </c>
      <c r="R561" s="2" t="inlineStr"/>
    </row>
    <row r="562" ht="15" customHeight="1">
      <c r="A562" t="inlineStr">
        <is>
          <t>A 45560-2021</t>
        </is>
      </c>
      <c r="B562" s="1" t="n">
        <v>44440</v>
      </c>
      <c r="C562" s="1" t="n">
        <v>45929</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11661-2023</t>
        </is>
      </c>
      <c r="B563" s="1" t="n">
        <v>44994.46908564815</v>
      </c>
      <c r="C563" s="1" t="n">
        <v>45929</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36155-2023</t>
        </is>
      </c>
      <c r="B564" s="1" t="n">
        <v>45149.60917824074</v>
      </c>
      <c r="C564" s="1" t="n">
        <v>45929</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40147-2023</t>
        </is>
      </c>
      <c r="B565" s="1" t="n">
        <v>45169</v>
      </c>
      <c r="C565" s="1" t="n">
        <v>45929</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63950-2023</t>
        </is>
      </c>
      <c r="B566" s="1" t="n">
        <v>45278</v>
      </c>
      <c r="C566" s="1" t="n">
        <v>45929</v>
      </c>
      <c r="D566" t="inlineStr">
        <is>
          <t>KALMAR LÄN</t>
        </is>
      </c>
      <c r="E566" t="inlineStr">
        <is>
          <t>VIMMERBY</t>
        </is>
      </c>
      <c r="F566" t="inlineStr">
        <is>
          <t>Kyrkan</t>
        </is>
      </c>
      <c r="G566" t="n">
        <v>2.7</v>
      </c>
      <c r="H566" t="n">
        <v>0</v>
      </c>
      <c r="I566" t="n">
        <v>0</v>
      </c>
      <c r="J566" t="n">
        <v>0</v>
      </c>
      <c r="K566" t="n">
        <v>0</v>
      </c>
      <c r="L566" t="n">
        <v>0</v>
      </c>
      <c r="M566" t="n">
        <v>0</v>
      </c>
      <c r="N566" t="n">
        <v>0</v>
      </c>
      <c r="O566" t="n">
        <v>0</v>
      </c>
      <c r="P566" t="n">
        <v>0</v>
      </c>
      <c r="Q566" t="n">
        <v>0</v>
      </c>
      <c r="R566" s="2" t="inlineStr"/>
    </row>
    <row r="567" ht="15" customHeight="1">
      <c r="A567" t="inlineStr">
        <is>
          <t>A 16622-2025</t>
        </is>
      </c>
      <c r="B567" s="1" t="n">
        <v>45754.33641203704</v>
      </c>
      <c r="C567" s="1" t="n">
        <v>45929</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24096-2024</t>
        </is>
      </c>
      <c r="B568" s="1" t="n">
        <v>45456.59289351852</v>
      </c>
      <c r="C568" s="1" t="n">
        <v>45929</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13015-2023</t>
        </is>
      </c>
      <c r="B569" s="1" t="n">
        <v>45002</v>
      </c>
      <c r="C569" s="1" t="n">
        <v>45929</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41199-2023</t>
        </is>
      </c>
      <c r="B570" s="1" t="n">
        <v>45174.40454861111</v>
      </c>
      <c r="C570" s="1" t="n">
        <v>45929</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31340-2023</t>
        </is>
      </c>
      <c r="B571" s="1" t="n">
        <v>45114.47895833333</v>
      </c>
      <c r="C571" s="1" t="n">
        <v>45929</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36014-2024</t>
        </is>
      </c>
      <c r="B572" s="1" t="n">
        <v>45533.56108796296</v>
      </c>
      <c r="C572" s="1" t="n">
        <v>45929</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36030-2024</t>
        </is>
      </c>
      <c r="B573" s="1" t="n">
        <v>45533.58302083334</v>
      </c>
      <c r="C573" s="1" t="n">
        <v>45929</v>
      </c>
      <c r="D573" t="inlineStr">
        <is>
          <t>KALMAR LÄN</t>
        </is>
      </c>
      <c r="E573" t="inlineStr">
        <is>
          <t>VIMMERBY</t>
        </is>
      </c>
      <c r="F573" t="inlineStr">
        <is>
          <t>Kommuner</t>
        </is>
      </c>
      <c r="G573" t="n">
        <v>4</v>
      </c>
      <c r="H573" t="n">
        <v>0</v>
      </c>
      <c r="I573" t="n">
        <v>0</v>
      </c>
      <c r="J573" t="n">
        <v>0</v>
      </c>
      <c r="K573" t="n">
        <v>0</v>
      </c>
      <c r="L573" t="n">
        <v>0</v>
      </c>
      <c r="M573" t="n">
        <v>0</v>
      </c>
      <c r="N573" t="n">
        <v>0</v>
      </c>
      <c r="O573" t="n">
        <v>0</v>
      </c>
      <c r="P573" t="n">
        <v>0</v>
      </c>
      <c r="Q573" t="n">
        <v>0</v>
      </c>
      <c r="R573" s="2" t="inlineStr"/>
    </row>
    <row r="574" ht="15" customHeight="1">
      <c r="A574" t="inlineStr">
        <is>
          <t>A 29168-2024</t>
        </is>
      </c>
      <c r="B574" s="1" t="n">
        <v>45482.49870370371</v>
      </c>
      <c r="C574" s="1" t="n">
        <v>45929</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29186-2024</t>
        </is>
      </c>
      <c r="B575" s="1" t="n">
        <v>45482.54844907407</v>
      </c>
      <c r="C575" s="1" t="n">
        <v>45929</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35895-2024</t>
        </is>
      </c>
      <c r="B576" s="1" t="n">
        <v>45533.38870370371</v>
      </c>
      <c r="C576" s="1" t="n">
        <v>45929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12590-2025</t>
        </is>
      </c>
      <c r="B577" s="1" t="n">
        <v>45732.79925925926</v>
      </c>
      <c r="C577" s="1" t="n">
        <v>45929</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30318-2023</t>
        </is>
      </c>
      <c r="B578" s="1" t="n">
        <v>45111.30824074074</v>
      </c>
      <c r="C578" s="1" t="n">
        <v>45929</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7627-2025</t>
        </is>
      </c>
      <c r="B579" s="1" t="n">
        <v>45705.73300925926</v>
      </c>
      <c r="C579" s="1" t="n">
        <v>45929</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6321-2023</t>
        </is>
      </c>
      <c r="B580" s="1" t="n">
        <v>44965.4815162037</v>
      </c>
      <c r="C580" s="1" t="n">
        <v>45929</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43186-2021</t>
        </is>
      </c>
      <c r="B581" s="1" t="n">
        <v>44431.84840277778</v>
      </c>
      <c r="C581" s="1" t="n">
        <v>45929</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60215-2022</t>
        </is>
      </c>
      <c r="B582" s="1" t="n">
        <v>44910.41346064815</v>
      </c>
      <c r="C582" s="1" t="n">
        <v>45929</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60230-2022</t>
        </is>
      </c>
      <c r="B583" s="1" t="n">
        <v>44910</v>
      </c>
      <c r="C583" s="1" t="n">
        <v>45929</v>
      </c>
      <c r="D583" t="inlineStr">
        <is>
          <t>KALMAR LÄN</t>
        </is>
      </c>
      <c r="E583" t="inlineStr">
        <is>
          <t>VIMMERBY</t>
        </is>
      </c>
      <c r="G583" t="n">
        <v>11.3</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44598.7384837963</v>
      </c>
      <c r="C584" s="1" t="n">
        <v>45929</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845-2023</t>
        </is>
      </c>
      <c r="B585" s="1" t="n">
        <v>44931</v>
      </c>
      <c r="C585" s="1" t="n">
        <v>45929</v>
      </c>
      <c r="D585" t="inlineStr">
        <is>
          <t>KALMAR LÄN</t>
        </is>
      </c>
      <c r="E585" t="inlineStr">
        <is>
          <t>VIMMERBY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16119-2023</t>
        </is>
      </c>
      <c r="B586" s="1" t="n">
        <v>45027.59450231482</v>
      </c>
      <c r="C586" s="1" t="n">
        <v>45929</v>
      </c>
      <c r="D586" t="inlineStr">
        <is>
          <t>KALMAR LÄN</t>
        </is>
      </c>
      <c r="E586" t="inlineStr">
        <is>
          <t>VIMMERBY</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30588-2023</t>
        </is>
      </c>
      <c r="B587" s="1" t="n">
        <v>45112.33599537037</v>
      </c>
      <c r="C587" s="1" t="n">
        <v>45929</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52755-2022</t>
        </is>
      </c>
      <c r="B588" s="1" t="n">
        <v>44875.27736111111</v>
      </c>
      <c r="C588" s="1" t="n">
        <v>45929</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50764-2020</t>
        </is>
      </c>
      <c r="B589" s="1" t="n">
        <v>44111</v>
      </c>
      <c r="C589" s="1" t="n">
        <v>45929</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45528-2021</t>
        </is>
      </c>
      <c r="B590" s="1" t="n">
        <v>44440.60415509259</v>
      </c>
      <c r="C590" s="1" t="n">
        <v>45929</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40823-2023</t>
        </is>
      </c>
      <c r="B591" s="1" t="n">
        <v>45171.77335648148</v>
      </c>
      <c r="C591" s="1" t="n">
        <v>45929</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27761-2024</t>
        </is>
      </c>
      <c r="B592" s="1" t="n">
        <v>45475.49018518518</v>
      </c>
      <c r="C592" s="1" t="n">
        <v>45929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21028-2023</t>
        </is>
      </c>
      <c r="B593" s="1" t="n">
        <v>45061</v>
      </c>
      <c r="C593" s="1" t="n">
        <v>45929</v>
      </c>
      <c r="D593" t="inlineStr">
        <is>
          <t>KALMAR LÄN</t>
        </is>
      </c>
      <c r="E593" t="inlineStr">
        <is>
          <t>VIMMERBY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45929</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16516-2023</t>
        </is>
      </c>
      <c r="B595" s="1" t="n">
        <v>45029</v>
      </c>
      <c r="C595" s="1" t="n">
        <v>45929</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2510-2023</t>
        </is>
      </c>
      <c r="B596" s="1" t="n">
        <v>44943.57309027778</v>
      </c>
      <c r="C596" s="1" t="n">
        <v>45929</v>
      </c>
      <c r="D596" t="inlineStr">
        <is>
          <t>KALMAR LÄN</t>
        </is>
      </c>
      <c r="E596" t="inlineStr">
        <is>
          <t>VIMMERBY</t>
        </is>
      </c>
      <c r="G596" t="n">
        <v>8.6</v>
      </c>
      <c r="H596" t="n">
        <v>0</v>
      </c>
      <c r="I596" t="n">
        <v>0</v>
      </c>
      <c r="J596" t="n">
        <v>0</v>
      </c>
      <c r="K596" t="n">
        <v>0</v>
      </c>
      <c r="L596" t="n">
        <v>0</v>
      </c>
      <c r="M596" t="n">
        <v>0</v>
      </c>
      <c r="N596" t="n">
        <v>0</v>
      </c>
      <c r="O596" t="n">
        <v>0</v>
      </c>
      <c r="P596" t="n">
        <v>0</v>
      </c>
      <c r="Q596" t="n">
        <v>0</v>
      </c>
      <c r="R596" s="2" t="inlineStr"/>
    </row>
    <row r="597" ht="15" customHeight="1">
      <c r="A597" t="inlineStr">
        <is>
          <t>A 1016-2024</t>
        </is>
      </c>
      <c r="B597" s="1" t="n">
        <v>45301</v>
      </c>
      <c r="C597" s="1" t="n">
        <v>45929</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1024-2024</t>
        </is>
      </c>
      <c r="B598" s="1" t="n">
        <v>45301.68237268519</v>
      </c>
      <c r="C598" s="1" t="n">
        <v>45929</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27758-2024</t>
        </is>
      </c>
      <c r="B599" s="1" t="n">
        <v>45475.48303240741</v>
      </c>
      <c r="C599" s="1" t="n">
        <v>45929</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32865-2023</t>
        </is>
      </c>
      <c r="B600" s="1" t="n">
        <v>45124</v>
      </c>
      <c r="C600" s="1" t="n">
        <v>45929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48373-2021</t>
        </is>
      </c>
      <c r="B601" s="1" t="n">
        <v>44451</v>
      </c>
      <c r="C601" s="1" t="n">
        <v>45929</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22194-2024</t>
        </is>
      </c>
      <c r="B602" s="1" t="n">
        <v>45446.36482638889</v>
      </c>
      <c r="C602" s="1" t="n">
        <v>45929</v>
      </c>
      <c r="D602" t="inlineStr">
        <is>
          <t>KALMAR LÄN</t>
        </is>
      </c>
      <c r="E602" t="inlineStr">
        <is>
          <t>VIMMERBY</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17926-2025</t>
        </is>
      </c>
      <c r="B603" s="1" t="n">
        <v>45759.38987268518</v>
      </c>
      <c r="C603" s="1" t="n">
        <v>45929</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35127-2024</t>
        </is>
      </c>
      <c r="B604" s="1" t="n">
        <v>45530.33202546297</v>
      </c>
      <c r="C604" s="1" t="n">
        <v>45929</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7485-2024</t>
        </is>
      </c>
      <c r="B605" s="1" t="n">
        <v>45346.67184027778</v>
      </c>
      <c r="C605" s="1" t="n">
        <v>45929</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45929</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6574-2023</t>
        </is>
      </c>
      <c r="B607" s="1" t="n">
        <v>44966</v>
      </c>
      <c r="C607" s="1" t="n">
        <v>45929</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4297-2022</t>
        </is>
      </c>
      <c r="B608" s="1" t="n">
        <v>44588</v>
      </c>
      <c r="C608" s="1" t="n">
        <v>45929</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20054-2023</t>
        </is>
      </c>
      <c r="B609" s="1" t="n">
        <v>45054.6750462963</v>
      </c>
      <c r="C609" s="1" t="n">
        <v>45929</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58750-2022</t>
        </is>
      </c>
      <c r="B610" s="1" t="n">
        <v>44903.33363425926</v>
      </c>
      <c r="C610" s="1" t="n">
        <v>45929</v>
      </c>
      <c r="D610" t="inlineStr">
        <is>
          <t>KALMAR LÄN</t>
        </is>
      </c>
      <c r="E610" t="inlineStr">
        <is>
          <t>VIMMERBY</t>
        </is>
      </c>
      <c r="G610" t="n">
        <v>3.3</v>
      </c>
      <c r="H610" t="n">
        <v>0</v>
      </c>
      <c r="I610" t="n">
        <v>0</v>
      </c>
      <c r="J610" t="n">
        <v>0</v>
      </c>
      <c r="K610" t="n">
        <v>0</v>
      </c>
      <c r="L610" t="n">
        <v>0</v>
      </c>
      <c r="M610" t="n">
        <v>0</v>
      </c>
      <c r="N610" t="n">
        <v>0</v>
      </c>
      <c r="O610" t="n">
        <v>0</v>
      </c>
      <c r="P610" t="n">
        <v>0</v>
      </c>
      <c r="Q610" t="n">
        <v>0</v>
      </c>
      <c r="R610" s="2" t="inlineStr"/>
    </row>
    <row r="611" ht="15" customHeight="1">
      <c r="A611" t="inlineStr">
        <is>
          <t>A 55716-2023</t>
        </is>
      </c>
      <c r="B611" s="1" t="n">
        <v>45232</v>
      </c>
      <c r="C611" s="1" t="n">
        <v>45929</v>
      </c>
      <c r="D611" t="inlineStr">
        <is>
          <t>KALMAR LÄN</t>
        </is>
      </c>
      <c r="E611" t="inlineStr">
        <is>
          <t>VIMMERBY</t>
        </is>
      </c>
      <c r="G611" t="n">
        <v>2.3</v>
      </c>
      <c r="H611" t="n">
        <v>0</v>
      </c>
      <c r="I611" t="n">
        <v>0</v>
      </c>
      <c r="J611" t="n">
        <v>0</v>
      </c>
      <c r="K611" t="n">
        <v>0</v>
      </c>
      <c r="L611" t="n">
        <v>0</v>
      </c>
      <c r="M611" t="n">
        <v>0</v>
      </c>
      <c r="N611" t="n">
        <v>0</v>
      </c>
      <c r="O611" t="n">
        <v>0</v>
      </c>
      <c r="P611" t="n">
        <v>0</v>
      </c>
      <c r="Q611" t="n">
        <v>0</v>
      </c>
      <c r="R611" s="2" t="inlineStr"/>
    </row>
    <row r="612" ht="15" customHeight="1">
      <c r="A612" t="inlineStr">
        <is>
          <t>A 34386-2024</t>
        </is>
      </c>
      <c r="B612" s="1" t="n">
        <v>45525.41762731481</v>
      </c>
      <c r="C612" s="1" t="n">
        <v>45929</v>
      </c>
      <c r="D612" t="inlineStr">
        <is>
          <t>KALMAR LÄN</t>
        </is>
      </c>
      <c r="E612" t="inlineStr">
        <is>
          <t>VIMMERBY</t>
        </is>
      </c>
      <c r="G612" t="n">
        <v>0.3</v>
      </c>
      <c r="H612" t="n">
        <v>0</v>
      </c>
      <c r="I612" t="n">
        <v>0</v>
      </c>
      <c r="J612" t="n">
        <v>0</v>
      </c>
      <c r="K612" t="n">
        <v>0</v>
      </c>
      <c r="L612" t="n">
        <v>0</v>
      </c>
      <c r="M612" t="n">
        <v>0</v>
      </c>
      <c r="N612" t="n">
        <v>0</v>
      </c>
      <c r="O612" t="n">
        <v>0</v>
      </c>
      <c r="P612" t="n">
        <v>0</v>
      </c>
      <c r="Q612" t="n">
        <v>0</v>
      </c>
      <c r="R612" s="2" t="inlineStr"/>
    </row>
    <row r="613" ht="15" customHeight="1">
      <c r="A613" t="inlineStr">
        <is>
          <t>A 2260-2022</t>
        </is>
      </c>
      <c r="B613" s="1" t="n">
        <v>44578.62943287037</v>
      </c>
      <c r="C613" s="1" t="n">
        <v>45929</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42429-2024</t>
        </is>
      </c>
      <c r="B614" s="1" t="n">
        <v>45565.40657407408</v>
      </c>
      <c r="C614" s="1" t="n">
        <v>45929</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11946-2025</t>
        </is>
      </c>
      <c r="B615" s="1" t="n">
        <v>45728.54832175926</v>
      </c>
      <c r="C615" s="1" t="n">
        <v>45929</v>
      </c>
      <c r="D615" t="inlineStr">
        <is>
          <t>KALMAR LÄN</t>
        </is>
      </c>
      <c r="E615" t="inlineStr">
        <is>
          <t>VIMMERBY</t>
        </is>
      </c>
      <c r="G615" t="n">
        <v>0.4</v>
      </c>
      <c r="H615" t="n">
        <v>0</v>
      </c>
      <c r="I615" t="n">
        <v>0</v>
      </c>
      <c r="J615" t="n">
        <v>0</v>
      </c>
      <c r="K615" t="n">
        <v>0</v>
      </c>
      <c r="L615" t="n">
        <v>0</v>
      </c>
      <c r="M615" t="n">
        <v>0</v>
      </c>
      <c r="N615" t="n">
        <v>0</v>
      </c>
      <c r="O615" t="n">
        <v>0</v>
      </c>
      <c r="P615" t="n">
        <v>0</v>
      </c>
      <c r="Q615" t="n">
        <v>0</v>
      </c>
      <c r="R615" s="2" t="inlineStr"/>
    </row>
    <row r="616" ht="15" customHeight="1">
      <c r="A616" t="inlineStr">
        <is>
          <t>A 50860-2022</t>
        </is>
      </c>
      <c r="B616" s="1" t="n">
        <v>44867</v>
      </c>
      <c r="C616" s="1" t="n">
        <v>45929</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53483-2022</t>
        </is>
      </c>
      <c r="B617" s="1" t="n">
        <v>44879.55940972222</v>
      </c>
      <c r="C617" s="1" t="n">
        <v>45929</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59943-2023</t>
        </is>
      </c>
      <c r="B618" s="1" t="n">
        <v>45257.67958333333</v>
      </c>
      <c r="C618" s="1" t="n">
        <v>45929</v>
      </c>
      <c r="D618" t="inlineStr">
        <is>
          <t>KALMAR LÄN</t>
        </is>
      </c>
      <c r="E618" t="inlineStr">
        <is>
          <t>VIMMERBY</t>
        </is>
      </c>
      <c r="G618" t="n">
        <v>6.4</v>
      </c>
      <c r="H618" t="n">
        <v>0</v>
      </c>
      <c r="I618" t="n">
        <v>0</v>
      </c>
      <c r="J618" t="n">
        <v>0</v>
      </c>
      <c r="K618" t="n">
        <v>0</v>
      </c>
      <c r="L618" t="n">
        <v>0</v>
      </c>
      <c r="M618" t="n">
        <v>0</v>
      </c>
      <c r="N618" t="n">
        <v>0</v>
      </c>
      <c r="O618" t="n">
        <v>0</v>
      </c>
      <c r="P618" t="n">
        <v>0</v>
      </c>
      <c r="Q618" t="n">
        <v>0</v>
      </c>
      <c r="R618" s="2" t="inlineStr"/>
    </row>
    <row r="619" ht="15" customHeight="1">
      <c r="A619" t="inlineStr">
        <is>
          <t>A 15493-2023</t>
        </is>
      </c>
      <c r="B619" s="1" t="n">
        <v>45018</v>
      </c>
      <c r="C619" s="1" t="n">
        <v>45929</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51881-2024</t>
        </is>
      </c>
      <c r="B620" s="1" t="n">
        <v>45607.56773148148</v>
      </c>
      <c r="C620" s="1" t="n">
        <v>45929</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1021-2024</t>
        </is>
      </c>
      <c r="B621" s="1" t="n">
        <v>45301.67736111111</v>
      </c>
      <c r="C621" s="1" t="n">
        <v>45929</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32569-2024</t>
        </is>
      </c>
      <c r="B622" s="1" t="n">
        <v>45513.55840277778</v>
      </c>
      <c r="C622" s="1" t="n">
        <v>45929</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32575-2024</t>
        </is>
      </c>
      <c r="B623" s="1" t="n">
        <v>45513.56527777778</v>
      </c>
      <c r="C623" s="1" t="n">
        <v>45929</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30063-2023</t>
        </is>
      </c>
      <c r="B624" s="1" t="n">
        <v>45110.4184375</v>
      </c>
      <c r="C624" s="1" t="n">
        <v>45929</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17482-2024</t>
        </is>
      </c>
      <c r="B625" s="1" t="n">
        <v>45415.47848379629</v>
      </c>
      <c r="C625" s="1" t="n">
        <v>45929</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13817-2024</t>
        </is>
      </c>
      <c r="B626" s="1" t="n">
        <v>45391.41976851852</v>
      </c>
      <c r="C626" s="1" t="n">
        <v>45929</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30406-2023</t>
        </is>
      </c>
      <c r="B627" s="1" t="n">
        <v>45111.48787037037</v>
      </c>
      <c r="C627" s="1" t="n">
        <v>45929</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29020-2024</t>
        </is>
      </c>
      <c r="B628" s="1" t="n">
        <v>45481.58048611111</v>
      </c>
      <c r="C628" s="1" t="n">
        <v>45929</v>
      </c>
      <c r="D628" t="inlineStr">
        <is>
          <t>KALMAR LÄN</t>
        </is>
      </c>
      <c r="E628" t="inlineStr">
        <is>
          <t>VIMMERBY</t>
        </is>
      </c>
      <c r="G628" t="n">
        <v>2.3</v>
      </c>
      <c r="H628" t="n">
        <v>0</v>
      </c>
      <c r="I628" t="n">
        <v>0</v>
      </c>
      <c r="J628" t="n">
        <v>0</v>
      </c>
      <c r="K628" t="n">
        <v>0</v>
      </c>
      <c r="L628" t="n">
        <v>0</v>
      </c>
      <c r="M628" t="n">
        <v>0</v>
      </c>
      <c r="N628" t="n">
        <v>0</v>
      </c>
      <c r="O628" t="n">
        <v>0</v>
      </c>
      <c r="P628" t="n">
        <v>0</v>
      </c>
      <c r="Q628" t="n">
        <v>0</v>
      </c>
      <c r="R628" s="2" t="inlineStr"/>
    </row>
    <row r="629" ht="15" customHeight="1">
      <c r="A629" t="inlineStr">
        <is>
          <t>A 58962-2022</t>
        </is>
      </c>
      <c r="B629" s="1" t="n">
        <v>44903</v>
      </c>
      <c r="C629" s="1" t="n">
        <v>45929</v>
      </c>
      <c r="D629" t="inlineStr">
        <is>
          <t>KALMAR LÄN</t>
        </is>
      </c>
      <c r="E629" t="inlineStr">
        <is>
          <t>VIMMERBY</t>
        </is>
      </c>
      <c r="G629" t="n">
        <v>1.1</v>
      </c>
      <c r="H629" t="n">
        <v>0</v>
      </c>
      <c r="I629" t="n">
        <v>0</v>
      </c>
      <c r="J629" t="n">
        <v>0</v>
      </c>
      <c r="K629" t="n">
        <v>0</v>
      </c>
      <c r="L629" t="n">
        <v>0</v>
      </c>
      <c r="M629" t="n">
        <v>0</v>
      </c>
      <c r="N629" t="n">
        <v>0</v>
      </c>
      <c r="O629" t="n">
        <v>0</v>
      </c>
      <c r="P629" t="n">
        <v>0</v>
      </c>
      <c r="Q629" t="n">
        <v>0</v>
      </c>
      <c r="R629" s="2" t="inlineStr"/>
    </row>
    <row r="630" ht="15" customHeight="1">
      <c r="A630" t="inlineStr">
        <is>
          <t>A 58967-2022</t>
        </is>
      </c>
      <c r="B630" s="1" t="n">
        <v>44896</v>
      </c>
      <c r="C630" s="1" t="n">
        <v>45929</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45929</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4076-2022</t>
        </is>
      </c>
      <c r="B632" s="1" t="n">
        <v>44588.37998842593</v>
      </c>
      <c r="C632" s="1" t="n">
        <v>45929</v>
      </c>
      <c r="D632" t="inlineStr">
        <is>
          <t>KALMAR LÄN</t>
        </is>
      </c>
      <c r="E632" t="inlineStr">
        <is>
          <t>VIMMERBY</t>
        </is>
      </c>
      <c r="G632" t="n">
        <v>3</v>
      </c>
      <c r="H632" t="n">
        <v>0</v>
      </c>
      <c r="I632" t="n">
        <v>0</v>
      </c>
      <c r="J632" t="n">
        <v>0</v>
      </c>
      <c r="K632" t="n">
        <v>0</v>
      </c>
      <c r="L632" t="n">
        <v>0</v>
      </c>
      <c r="M632" t="n">
        <v>0</v>
      </c>
      <c r="N632" t="n">
        <v>0</v>
      </c>
      <c r="O632" t="n">
        <v>0</v>
      </c>
      <c r="P632" t="n">
        <v>0</v>
      </c>
      <c r="Q632" t="n">
        <v>0</v>
      </c>
      <c r="R632" s="2" t="inlineStr"/>
    </row>
    <row r="633" ht="15" customHeight="1">
      <c r="A633" t="inlineStr">
        <is>
          <t>A 4122-2022</t>
        </is>
      </c>
      <c r="B633" s="1" t="n">
        <v>44588</v>
      </c>
      <c r="C633" s="1" t="n">
        <v>45929</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65961-2020</t>
        </is>
      </c>
      <c r="B634" s="1" t="n">
        <v>44175.39748842592</v>
      </c>
      <c r="C634" s="1" t="n">
        <v>45929</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25582-2024</t>
        </is>
      </c>
      <c r="B635" s="1" t="n">
        <v>45463</v>
      </c>
      <c r="C635" s="1" t="n">
        <v>45929</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57578-2024</t>
        </is>
      </c>
      <c r="B636" s="1" t="n">
        <v>45630.47564814815</v>
      </c>
      <c r="C636" s="1" t="n">
        <v>45929</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9624-2024</t>
        </is>
      </c>
      <c r="B637" s="1" t="n">
        <v>45361.90282407407</v>
      </c>
      <c r="C637" s="1" t="n">
        <v>45929</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52327-2023</t>
        </is>
      </c>
      <c r="B638" s="1" t="n">
        <v>45224.6515162037</v>
      </c>
      <c r="C638" s="1" t="n">
        <v>45929</v>
      </c>
      <c r="D638" t="inlineStr">
        <is>
          <t>KALMAR LÄN</t>
        </is>
      </c>
      <c r="E638" t="inlineStr">
        <is>
          <t>VIMMERBY</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45929</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29348-2023</t>
        </is>
      </c>
      <c r="B640" s="1" t="n">
        <v>45106.25025462963</v>
      </c>
      <c r="C640" s="1" t="n">
        <v>45929</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28403-2023</t>
        </is>
      </c>
      <c r="B641" s="1" t="n">
        <v>45100.85270833333</v>
      </c>
      <c r="C641" s="1" t="n">
        <v>45929</v>
      </c>
      <c r="D641" t="inlineStr">
        <is>
          <t>KALMAR LÄN</t>
        </is>
      </c>
      <c r="E641" t="inlineStr">
        <is>
          <t>VIMMERBY</t>
        </is>
      </c>
      <c r="G641" t="n">
        <v>1.8</v>
      </c>
      <c r="H641" t="n">
        <v>0</v>
      </c>
      <c r="I641" t="n">
        <v>0</v>
      </c>
      <c r="J641" t="n">
        <v>0</v>
      </c>
      <c r="K641" t="n">
        <v>0</v>
      </c>
      <c r="L641" t="n">
        <v>0</v>
      </c>
      <c r="M641" t="n">
        <v>0</v>
      </c>
      <c r="N641" t="n">
        <v>0</v>
      </c>
      <c r="O641" t="n">
        <v>0</v>
      </c>
      <c r="P641" t="n">
        <v>0</v>
      </c>
      <c r="Q641" t="n">
        <v>0</v>
      </c>
      <c r="R641" s="2" t="inlineStr"/>
    </row>
    <row r="642" ht="15" customHeight="1">
      <c r="A642" t="inlineStr">
        <is>
          <t>A 17511-2024</t>
        </is>
      </c>
      <c r="B642" s="1" t="n">
        <v>45415.57682870371</v>
      </c>
      <c r="C642" s="1" t="n">
        <v>45929</v>
      </c>
      <c r="D642" t="inlineStr">
        <is>
          <t>KALMAR LÄN</t>
        </is>
      </c>
      <c r="E642" t="inlineStr">
        <is>
          <t>VIMMERBY</t>
        </is>
      </c>
      <c r="G642" t="n">
        <v>5.3</v>
      </c>
      <c r="H642" t="n">
        <v>0</v>
      </c>
      <c r="I642" t="n">
        <v>0</v>
      </c>
      <c r="J642" t="n">
        <v>0</v>
      </c>
      <c r="K642" t="n">
        <v>0</v>
      </c>
      <c r="L642" t="n">
        <v>0</v>
      </c>
      <c r="M642" t="n">
        <v>0</v>
      </c>
      <c r="N642" t="n">
        <v>0</v>
      </c>
      <c r="O642" t="n">
        <v>0</v>
      </c>
      <c r="P642" t="n">
        <v>0</v>
      </c>
      <c r="Q642" t="n">
        <v>0</v>
      </c>
      <c r="R642" s="2" t="inlineStr"/>
    </row>
    <row r="643" ht="15" customHeight="1">
      <c r="A643" t="inlineStr">
        <is>
          <t>A 66022-2021</t>
        </is>
      </c>
      <c r="B643" s="1" t="n">
        <v>44517</v>
      </c>
      <c r="C643" s="1" t="n">
        <v>45929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22399-2025</t>
        </is>
      </c>
      <c r="B644" s="1" t="n">
        <v>45786.52996527778</v>
      </c>
      <c r="C644" s="1" t="n">
        <v>45929</v>
      </c>
      <c r="D644" t="inlineStr">
        <is>
          <t>KALMAR LÄN</t>
        </is>
      </c>
      <c r="E644" t="inlineStr">
        <is>
          <t>VIMMERBY</t>
        </is>
      </c>
      <c r="G644" t="n">
        <v>2.1</v>
      </c>
      <c r="H644" t="n">
        <v>0</v>
      </c>
      <c r="I644" t="n">
        <v>0</v>
      </c>
      <c r="J644" t="n">
        <v>0</v>
      </c>
      <c r="K644" t="n">
        <v>0</v>
      </c>
      <c r="L644" t="n">
        <v>0</v>
      </c>
      <c r="M644" t="n">
        <v>0</v>
      </c>
      <c r="N644" t="n">
        <v>0</v>
      </c>
      <c r="O644" t="n">
        <v>0</v>
      </c>
      <c r="P644" t="n">
        <v>0</v>
      </c>
      <c r="Q644" t="n">
        <v>0</v>
      </c>
      <c r="R644" s="2" t="inlineStr"/>
    </row>
    <row r="645" ht="15" customHeight="1">
      <c r="A645" t="inlineStr">
        <is>
          <t>A 29973-2023</t>
        </is>
      </c>
      <c r="B645" s="1" t="n">
        <v>45108.703125</v>
      </c>
      <c r="C645" s="1" t="n">
        <v>45929</v>
      </c>
      <c r="D645" t="inlineStr">
        <is>
          <t>KALMAR LÄN</t>
        </is>
      </c>
      <c r="E645" t="inlineStr">
        <is>
          <t>VIMMERBY</t>
        </is>
      </c>
      <c r="G645" t="n">
        <v>4</v>
      </c>
      <c r="H645" t="n">
        <v>0</v>
      </c>
      <c r="I645" t="n">
        <v>0</v>
      </c>
      <c r="J645" t="n">
        <v>0</v>
      </c>
      <c r="K645" t="n">
        <v>0</v>
      </c>
      <c r="L645" t="n">
        <v>0</v>
      </c>
      <c r="M645" t="n">
        <v>0</v>
      </c>
      <c r="N645" t="n">
        <v>0</v>
      </c>
      <c r="O645" t="n">
        <v>0</v>
      </c>
      <c r="P645" t="n">
        <v>0</v>
      </c>
      <c r="Q645" t="n">
        <v>0</v>
      </c>
      <c r="R645" s="2" t="inlineStr"/>
    </row>
    <row r="646" ht="15" customHeight="1">
      <c r="A646" t="inlineStr">
        <is>
          <t>A 30070-2023</t>
        </is>
      </c>
      <c r="B646" s="1" t="n">
        <v>45110.4275</v>
      </c>
      <c r="C646" s="1" t="n">
        <v>45929</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46078-2023</t>
        </is>
      </c>
      <c r="B647" s="1" t="n">
        <v>45196</v>
      </c>
      <c r="C647" s="1" t="n">
        <v>45929</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7643-2022</t>
        </is>
      </c>
      <c r="B648" s="1" t="n">
        <v>44607</v>
      </c>
      <c r="C648" s="1" t="n">
        <v>45929</v>
      </c>
      <c r="D648" t="inlineStr">
        <is>
          <t>KALMAR LÄN</t>
        </is>
      </c>
      <c r="E648" t="inlineStr">
        <is>
          <t>VIMMERBY</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22397-2025</t>
        </is>
      </c>
      <c r="B649" s="1" t="n">
        <v>45786.52878472222</v>
      </c>
      <c r="C649" s="1" t="n">
        <v>45929</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3494-2023</t>
        </is>
      </c>
      <c r="B650" s="1" t="n">
        <v>44949</v>
      </c>
      <c r="C650" s="1" t="n">
        <v>45929</v>
      </c>
      <c r="D650" t="inlineStr">
        <is>
          <t>KALMAR LÄN</t>
        </is>
      </c>
      <c r="E650" t="inlineStr">
        <is>
          <t>VIMMERBY</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32633-2023</t>
        </is>
      </c>
      <c r="B651" s="1" t="n">
        <v>45121.58699074074</v>
      </c>
      <c r="C651" s="1" t="n">
        <v>45929</v>
      </c>
      <c r="D651" t="inlineStr">
        <is>
          <t>KALMAR LÄN</t>
        </is>
      </c>
      <c r="E651" t="inlineStr">
        <is>
          <t>VIMMERBY</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43601-2024</t>
        </is>
      </c>
      <c r="B652" s="1" t="n">
        <v>45569.44684027778</v>
      </c>
      <c r="C652" s="1" t="n">
        <v>45929</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11442-2025</t>
        </is>
      </c>
      <c r="B653" s="1" t="n">
        <v>45726.62721064815</v>
      </c>
      <c r="C653" s="1" t="n">
        <v>45929</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13813-2024</t>
        </is>
      </c>
      <c r="B654" s="1" t="n">
        <v>45391.41310185185</v>
      </c>
      <c r="C654" s="1" t="n">
        <v>45929</v>
      </c>
      <c r="D654" t="inlineStr">
        <is>
          <t>KALMAR LÄN</t>
        </is>
      </c>
      <c r="E654" t="inlineStr">
        <is>
          <t>VIMMERBY</t>
        </is>
      </c>
      <c r="G654" t="n">
        <v>0.4</v>
      </c>
      <c r="H654" t="n">
        <v>0</v>
      </c>
      <c r="I654" t="n">
        <v>0</v>
      </c>
      <c r="J654" t="n">
        <v>0</v>
      </c>
      <c r="K654" t="n">
        <v>0</v>
      </c>
      <c r="L654" t="n">
        <v>0</v>
      </c>
      <c r="M654" t="n">
        <v>0</v>
      </c>
      <c r="N654" t="n">
        <v>0</v>
      </c>
      <c r="O654" t="n">
        <v>0</v>
      </c>
      <c r="P654" t="n">
        <v>0</v>
      </c>
      <c r="Q654" t="n">
        <v>0</v>
      </c>
      <c r="R654" s="2" t="inlineStr"/>
    </row>
    <row r="655" ht="15" customHeight="1">
      <c r="A655" t="inlineStr">
        <is>
          <t>A 6307-2025</t>
        </is>
      </c>
      <c r="B655" s="1" t="n">
        <v>45698.69016203703</v>
      </c>
      <c r="C655" s="1" t="n">
        <v>45929</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25234-2023</t>
        </is>
      </c>
      <c r="B656" s="1" t="n">
        <v>45086.63194444445</v>
      </c>
      <c r="C656" s="1" t="n">
        <v>45929</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25236-2023</t>
        </is>
      </c>
      <c r="B657" s="1" t="n">
        <v>45086.63334490741</v>
      </c>
      <c r="C657" s="1" t="n">
        <v>45929</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25244-2023</t>
        </is>
      </c>
      <c r="B658" s="1" t="n">
        <v>45086</v>
      </c>
      <c r="C658" s="1" t="n">
        <v>45929</v>
      </c>
      <c r="D658" t="inlineStr">
        <is>
          <t>KALMAR LÄN</t>
        </is>
      </c>
      <c r="E658" t="inlineStr">
        <is>
          <t>VIMMERBY</t>
        </is>
      </c>
      <c r="G658" t="n">
        <v>4.7</v>
      </c>
      <c r="H658" t="n">
        <v>0</v>
      </c>
      <c r="I658" t="n">
        <v>0</v>
      </c>
      <c r="J658" t="n">
        <v>0</v>
      </c>
      <c r="K658" t="n">
        <v>0</v>
      </c>
      <c r="L658" t="n">
        <v>0</v>
      </c>
      <c r="M658" t="n">
        <v>0</v>
      </c>
      <c r="N658" t="n">
        <v>0</v>
      </c>
      <c r="O658" t="n">
        <v>0</v>
      </c>
      <c r="P658" t="n">
        <v>0</v>
      </c>
      <c r="Q658" t="n">
        <v>0</v>
      </c>
      <c r="R658" s="2" t="inlineStr"/>
    </row>
    <row r="659" ht="15" customHeight="1">
      <c r="A659" t="inlineStr">
        <is>
          <t>A 23341-2022</t>
        </is>
      </c>
      <c r="B659" s="1" t="n">
        <v>44720.53898148148</v>
      </c>
      <c r="C659" s="1" t="n">
        <v>45929</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8086-2021</t>
        </is>
      </c>
      <c r="B660" s="1" t="n">
        <v>44243</v>
      </c>
      <c r="C660" s="1" t="n">
        <v>45929</v>
      </c>
      <c r="D660" t="inlineStr">
        <is>
          <t>KALMAR LÄN</t>
        </is>
      </c>
      <c r="E660" t="inlineStr">
        <is>
          <t>VIMMERBY</t>
        </is>
      </c>
      <c r="G660" t="n">
        <v>4.1</v>
      </c>
      <c r="H660" t="n">
        <v>0</v>
      </c>
      <c r="I660" t="n">
        <v>0</v>
      </c>
      <c r="J660" t="n">
        <v>0</v>
      </c>
      <c r="K660" t="n">
        <v>0</v>
      </c>
      <c r="L660" t="n">
        <v>0</v>
      </c>
      <c r="M660" t="n">
        <v>0</v>
      </c>
      <c r="N660" t="n">
        <v>0</v>
      </c>
      <c r="O660" t="n">
        <v>0</v>
      </c>
      <c r="P660" t="n">
        <v>0</v>
      </c>
      <c r="Q660" t="n">
        <v>0</v>
      </c>
      <c r="R660" s="2" t="inlineStr"/>
    </row>
    <row r="661" ht="15" customHeight="1">
      <c r="A661" t="inlineStr">
        <is>
          <t>A 23394-2025</t>
        </is>
      </c>
      <c r="B661" s="1" t="n">
        <v>45791.89865740741</v>
      </c>
      <c r="C661" s="1" t="n">
        <v>45929</v>
      </c>
      <c r="D661" t="inlineStr">
        <is>
          <t>KALMAR LÄN</t>
        </is>
      </c>
      <c r="E661" t="inlineStr">
        <is>
          <t>VIMMERBY</t>
        </is>
      </c>
      <c r="G661" t="n">
        <v>3.1</v>
      </c>
      <c r="H661" t="n">
        <v>0</v>
      </c>
      <c r="I661" t="n">
        <v>0</v>
      </c>
      <c r="J661" t="n">
        <v>0</v>
      </c>
      <c r="K661" t="n">
        <v>0</v>
      </c>
      <c r="L661" t="n">
        <v>0</v>
      </c>
      <c r="M661" t="n">
        <v>0</v>
      </c>
      <c r="N661" t="n">
        <v>0</v>
      </c>
      <c r="O661" t="n">
        <v>0</v>
      </c>
      <c r="P661" t="n">
        <v>0</v>
      </c>
      <c r="Q661" t="n">
        <v>0</v>
      </c>
      <c r="R661" s="2" t="inlineStr"/>
    </row>
    <row r="662" ht="15" customHeight="1">
      <c r="A662" t="inlineStr">
        <is>
          <t>A 71793-2021</t>
        </is>
      </c>
      <c r="B662" s="1" t="n">
        <v>44539</v>
      </c>
      <c r="C662" s="1" t="n">
        <v>45929</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73938-2021</t>
        </is>
      </c>
      <c r="B663" s="1" t="n">
        <v>44553</v>
      </c>
      <c r="C663" s="1" t="n">
        <v>45929</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6069-2023</t>
        </is>
      </c>
      <c r="B664" s="1" t="n">
        <v>44964.5115162037</v>
      </c>
      <c r="C664" s="1" t="n">
        <v>45929</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50995-2022</t>
        </is>
      </c>
      <c r="B665" s="1" t="n">
        <v>44867</v>
      </c>
      <c r="C665" s="1" t="n">
        <v>45929</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27122-2023</t>
        </is>
      </c>
      <c r="B666" s="1" t="n">
        <v>45096.45247685185</v>
      </c>
      <c r="C666" s="1" t="n">
        <v>45929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30402-2023</t>
        </is>
      </c>
      <c r="B667" s="1" t="n">
        <v>45111.48395833333</v>
      </c>
      <c r="C667" s="1" t="n">
        <v>45929</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23984-2025</t>
        </is>
      </c>
      <c r="B668" s="1" t="n">
        <v>45796</v>
      </c>
      <c r="C668" s="1" t="n">
        <v>45929</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45929</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6857-2023</t>
        </is>
      </c>
      <c r="B670" s="1" t="n">
        <v>44967.45122685185</v>
      </c>
      <c r="C670" s="1" t="n">
        <v>45929</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46224-2024</t>
        </is>
      </c>
      <c r="B671" s="1" t="n">
        <v>45581.57016203704</v>
      </c>
      <c r="C671" s="1" t="n">
        <v>45929</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29013-2024</t>
        </is>
      </c>
      <c r="B672" s="1" t="n">
        <v>45481.55984953704</v>
      </c>
      <c r="C672" s="1" t="n">
        <v>45929</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37028-2024</t>
        </is>
      </c>
      <c r="B673" s="1" t="n">
        <v>45539.38744212963</v>
      </c>
      <c r="C673" s="1" t="n">
        <v>45929</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37187-2024</t>
        </is>
      </c>
      <c r="B674" s="1" t="n">
        <v>45539.65212962963</v>
      </c>
      <c r="C674" s="1" t="n">
        <v>45929</v>
      </c>
      <c r="D674" t="inlineStr">
        <is>
          <t>KALMAR LÄN</t>
        </is>
      </c>
      <c r="E674" t="inlineStr">
        <is>
          <t>VIMMERBY</t>
        </is>
      </c>
      <c r="G674" t="n">
        <v>2.7</v>
      </c>
      <c r="H674" t="n">
        <v>0</v>
      </c>
      <c r="I674" t="n">
        <v>0</v>
      </c>
      <c r="J674" t="n">
        <v>0</v>
      </c>
      <c r="K674" t="n">
        <v>0</v>
      </c>
      <c r="L674" t="n">
        <v>0</v>
      </c>
      <c r="M674" t="n">
        <v>0</v>
      </c>
      <c r="N674" t="n">
        <v>0</v>
      </c>
      <c r="O674" t="n">
        <v>0</v>
      </c>
      <c r="P674" t="n">
        <v>0</v>
      </c>
      <c r="Q674" t="n">
        <v>0</v>
      </c>
      <c r="R674" s="2" t="inlineStr"/>
    </row>
    <row r="675" ht="15" customHeight="1">
      <c r="A675" t="inlineStr">
        <is>
          <t>A 51278-2024</t>
        </is>
      </c>
      <c r="B675" s="1" t="n">
        <v>45603.74959490741</v>
      </c>
      <c r="C675" s="1" t="n">
        <v>45929</v>
      </c>
      <c r="D675" t="inlineStr">
        <is>
          <t>KALMAR LÄN</t>
        </is>
      </c>
      <c r="E675" t="inlineStr">
        <is>
          <t>VIMMERBY</t>
        </is>
      </c>
      <c r="G675" t="n">
        <v>3.4</v>
      </c>
      <c r="H675" t="n">
        <v>0</v>
      </c>
      <c r="I675" t="n">
        <v>0</v>
      </c>
      <c r="J675" t="n">
        <v>0</v>
      </c>
      <c r="K675" t="n">
        <v>0</v>
      </c>
      <c r="L675" t="n">
        <v>0</v>
      </c>
      <c r="M675" t="n">
        <v>0</v>
      </c>
      <c r="N675" t="n">
        <v>0</v>
      </c>
      <c r="O675" t="n">
        <v>0</v>
      </c>
      <c r="P675" t="n">
        <v>0</v>
      </c>
      <c r="Q675" t="n">
        <v>0</v>
      </c>
      <c r="R675" s="2" t="inlineStr"/>
    </row>
    <row r="676" ht="15" customHeight="1">
      <c r="A676" t="inlineStr">
        <is>
          <t>A 35082-2024</t>
        </is>
      </c>
      <c r="B676" s="1" t="n">
        <v>45527.68784722222</v>
      </c>
      <c r="C676" s="1" t="n">
        <v>45929</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44582-2024</t>
        </is>
      </c>
      <c r="B677" s="1" t="n">
        <v>45574.49298611111</v>
      </c>
      <c r="C677" s="1" t="n">
        <v>45929</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9456-2025</t>
        </is>
      </c>
      <c r="B678" s="1" t="n">
        <v>45715.44159722222</v>
      </c>
      <c r="C678" s="1" t="n">
        <v>45929</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11111-2023</t>
        </is>
      </c>
      <c r="B679" s="1" t="n">
        <v>44992.4255787037</v>
      </c>
      <c r="C679" s="1" t="n">
        <v>45929</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58724-2024</t>
        </is>
      </c>
      <c r="B680" s="1" t="n">
        <v>45635.66409722222</v>
      </c>
      <c r="C680" s="1" t="n">
        <v>45929</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15494-2024</t>
        </is>
      </c>
      <c r="B681" s="1" t="n">
        <v>45401.53033564815</v>
      </c>
      <c r="C681" s="1" t="n">
        <v>45929</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26039-2025</t>
        </is>
      </c>
      <c r="B682" s="1" t="n">
        <v>45804.6953587963</v>
      </c>
      <c r="C682" s="1" t="n">
        <v>45929</v>
      </c>
      <c r="D682" t="inlineStr">
        <is>
          <t>KALMAR LÄN</t>
        </is>
      </c>
      <c r="E682" t="inlineStr">
        <is>
          <t>VIMMERBY</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26046-2025</t>
        </is>
      </c>
      <c r="B683" s="1" t="n">
        <v>45804.708125</v>
      </c>
      <c r="C683" s="1" t="n">
        <v>45929</v>
      </c>
      <c r="D683" t="inlineStr">
        <is>
          <t>KALMAR LÄN</t>
        </is>
      </c>
      <c r="E683" t="inlineStr">
        <is>
          <t>VIMMERBY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25792-2025</t>
        </is>
      </c>
      <c r="B684" s="1" t="n">
        <v>45804.39141203704</v>
      </c>
      <c r="C684" s="1" t="n">
        <v>45929</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25830-2025</t>
        </is>
      </c>
      <c r="B685" s="1" t="n">
        <v>45804.44519675926</v>
      </c>
      <c r="C685" s="1" t="n">
        <v>45929</v>
      </c>
      <c r="D685" t="inlineStr">
        <is>
          <t>KALMAR LÄN</t>
        </is>
      </c>
      <c r="E685" t="inlineStr">
        <is>
          <t>VIMMERBY</t>
        </is>
      </c>
      <c r="G685" t="n">
        <v>4.9</v>
      </c>
      <c r="H685" t="n">
        <v>0</v>
      </c>
      <c r="I685" t="n">
        <v>0</v>
      </c>
      <c r="J685" t="n">
        <v>0</v>
      </c>
      <c r="K685" t="n">
        <v>0</v>
      </c>
      <c r="L685" t="n">
        <v>0</v>
      </c>
      <c r="M685" t="n">
        <v>0</v>
      </c>
      <c r="N685" t="n">
        <v>0</v>
      </c>
      <c r="O685" t="n">
        <v>0</v>
      </c>
      <c r="P685" t="n">
        <v>0</v>
      </c>
      <c r="Q685" t="n">
        <v>0</v>
      </c>
      <c r="R685" s="2" t="inlineStr"/>
    </row>
    <row r="686" ht="15" customHeight="1">
      <c r="A686" t="inlineStr">
        <is>
          <t>A 26124-2025</t>
        </is>
      </c>
      <c r="B686" s="1" t="n">
        <v>45805.39247685186</v>
      </c>
      <c r="C686" s="1" t="n">
        <v>45929</v>
      </c>
      <c r="D686" t="inlineStr">
        <is>
          <t>KALMAR LÄN</t>
        </is>
      </c>
      <c r="E686" t="inlineStr">
        <is>
          <t>VIMMERBY</t>
        </is>
      </c>
      <c r="G686" t="n">
        <v>6.6</v>
      </c>
      <c r="H686" t="n">
        <v>0</v>
      </c>
      <c r="I686" t="n">
        <v>0</v>
      </c>
      <c r="J686" t="n">
        <v>0</v>
      </c>
      <c r="K686" t="n">
        <v>0</v>
      </c>
      <c r="L686" t="n">
        <v>0</v>
      </c>
      <c r="M686" t="n">
        <v>0</v>
      </c>
      <c r="N686" t="n">
        <v>0</v>
      </c>
      <c r="O686" t="n">
        <v>0</v>
      </c>
      <c r="P686" t="n">
        <v>0</v>
      </c>
      <c r="Q686" t="n">
        <v>0</v>
      </c>
      <c r="R686" s="2" t="inlineStr"/>
    </row>
    <row r="687" ht="15" customHeight="1">
      <c r="A687" t="inlineStr">
        <is>
          <t>A 26254-2025</t>
        </is>
      </c>
      <c r="B687" s="1" t="n">
        <v>45805</v>
      </c>
      <c r="C687" s="1" t="n">
        <v>45929</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12630-2023</t>
        </is>
      </c>
      <c r="B688" s="1" t="n">
        <v>45000.47998842593</v>
      </c>
      <c r="C688" s="1" t="n">
        <v>45929</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39584-2024</t>
        </is>
      </c>
      <c r="B689" s="1" t="n">
        <v>45552.36759259259</v>
      </c>
      <c r="C689" s="1" t="n">
        <v>45929</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26207-2025</t>
        </is>
      </c>
      <c r="B690" s="1" t="n">
        <v>45805.52983796296</v>
      </c>
      <c r="C690" s="1" t="n">
        <v>45929</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27705-2023</t>
        </is>
      </c>
      <c r="B691" s="1" t="n">
        <v>45098.30535879629</v>
      </c>
      <c r="C691" s="1" t="n">
        <v>45929</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45929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15388-2025</t>
        </is>
      </c>
      <c r="B693" s="1" t="n">
        <v>45747.42633101852</v>
      </c>
      <c r="C693" s="1" t="n">
        <v>45929</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15391-2025</t>
        </is>
      </c>
      <c r="B694" s="1" t="n">
        <v>45747.42958333333</v>
      </c>
      <c r="C694" s="1" t="n">
        <v>45929</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11303-2025</t>
        </is>
      </c>
      <c r="B695" s="1" t="n">
        <v>45726.44471064815</v>
      </c>
      <c r="C695" s="1" t="n">
        <v>45929</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33352-2022</t>
        </is>
      </c>
      <c r="B696" s="1" t="n">
        <v>44788</v>
      </c>
      <c r="C696" s="1" t="n">
        <v>45929</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46234-2024</t>
        </is>
      </c>
      <c r="B697" s="1" t="n">
        <v>45581.57958333333</v>
      </c>
      <c r="C697" s="1" t="n">
        <v>45929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39053-2024</t>
        </is>
      </c>
      <c r="B698" s="1" t="n">
        <v>45548</v>
      </c>
      <c r="C698" s="1" t="n">
        <v>45929</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15449-2023</t>
        </is>
      </c>
      <c r="B699" s="1" t="n">
        <v>45020</v>
      </c>
      <c r="C699" s="1" t="n">
        <v>45929</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43594-2024</t>
        </is>
      </c>
      <c r="B700" s="1" t="n">
        <v>45569.44295138889</v>
      </c>
      <c r="C700" s="1" t="n">
        <v>45929</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17486-2024</t>
        </is>
      </c>
      <c r="B701" s="1" t="n">
        <v>45415.48979166667</v>
      </c>
      <c r="C701" s="1" t="n">
        <v>45929</v>
      </c>
      <c r="D701" t="inlineStr">
        <is>
          <t>KALMAR LÄN</t>
        </is>
      </c>
      <c r="E701" t="inlineStr">
        <is>
          <t>VIMMERBY</t>
        </is>
      </c>
      <c r="G701" t="n">
        <v>2.6</v>
      </c>
      <c r="H701" t="n">
        <v>0</v>
      </c>
      <c r="I701" t="n">
        <v>0</v>
      </c>
      <c r="J701" t="n">
        <v>0</v>
      </c>
      <c r="K701" t="n">
        <v>0</v>
      </c>
      <c r="L701" t="n">
        <v>0</v>
      </c>
      <c r="M701" t="n">
        <v>0</v>
      </c>
      <c r="N701" t="n">
        <v>0</v>
      </c>
      <c r="O701" t="n">
        <v>0</v>
      </c>
      <c r="P701" t="n">
        <v>0</v>
      </c>
      <c r="Q701" t="n">
        <v>0</v>
      </c>
      <c r="R701" s="2" t="inlineStr"/>
    </row>
    <row r="702" ht="15" customHeight="1">
      <c r="A702" t="inlineStr">
        <is>
          <t>A 14248-2023</t>
        </is>
      </c>
      <c r="B702" s="1" t="n">
        <v>45009</v>
      </c>
      <c r="C702" s="1" t="n">
        <v>45929</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30400-2023</t>
        </is>
      </c>
      <c r="B703" s="1" t="n">
        <v>45111.48225694444</v>
      </c>
      <c r="C703" s="1" t="n">
        <v>45929</v>
      </c>
      <c r="D703" t="inlineStr">
        <is>
          <t>KALMAR LÄN</t>
        </is>
      </c>
      <c r="E703" t="inlineStr">
        <is>
          <t>VIMMERBY</t>
        </is>
      </c>
      <c r="G703" t="n">
        <v>2.7</v>
      </c>
      <c r="H703" t="n">
        <v>0</v>
      </c>
      <c r="I703" t="n">
        <v>0</v>
      </c>
      <c r="J703" t="n">
        <v>0</v>
      </c>
      <c r="K703" t="n">
        <v>0</v>
      </c>
      <c r="L703" t="n">
        <v>0</v>
      </c>
      <c r="M703" t="n">
        <v>0</v>
      </c>
      <c r="N703" t="n">
        <v>0</v>
      </c>
      <c r="O703" t="n">
        <v>0</v>
      </c>
      <c r="P703" t="n">
        <v>0</v>
      </c>
      <c r="Q703" t="n">
        <v>0</v>
      </c>
      <c r="R703" s="2" t="inlineStr"/>
    </row>
    <row r="704" ht="15" customHeight="1">
      <c r="A704" t="inlineStr">
        <is>
          <t>A 30404-2023</t>
        </is>
      </c>
      <c r="B704" s="1" t="n">
        <v>45111.48636574074</v>
      </c>
      <c r="C704" s="1" t="n">
        <v>45929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55123-2024</t>
        </is>
      </c>
      <c r="B705" s="1" t="n">
        <v>45621.46103009259</v>
      </c>
      <c r="C705" s="1" t="n">
        <v>45929</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31405-2023</t>
        </is>
      </c>
      <c r="B706" s="1" t="n">
        <v>45114.58148148148</v>
      </c>
      <c r="C706" s="1" t="n">
        <v>45929</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24707-2024</t>
        </is>
      </c>
      <c r="B707" s="1" t="n">
        <v>45460.62172453704</v>
      </c>
      <c r="C707" s="1" t="n">
        <v>45929</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27719-2025</t>
        </is>
      </c>
      <c r="B708" s="1" t="n">
        <v>45814.3865625</v>
      </c>
      <c r="C708" s="1" t="n">
        <v>45929</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27718-2025</t>
        </is>
      </c>
      <c r="B709" s="1" t="n">
        <v>45814.38221064815</v>
      </c>
      <c r="C709" s="1" t="n">
        <v>45929</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36049-2024</t>
        </is>
      </c>
      <c r="B710" s="1" t="n">
        <v>45533.61996527778</v>
      </c>
      <c r="C710" s="1" t="n">
        <v>45929</v>
      </c>
      <c r="D710" t="inlineStr">
        <is>
          <t>KALMAR LÄN</t>
        </is>
      </c>
      <c r="E710" t="inlineStr">
        <is>
          <t>VIMMERBY</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28290-2025</t>
        </is>
      </c>
      <c r="B711" s="1" t="n">
        <v>45818.59261574074</v>
      </c>
      <c r="C711" s="1" t="n">
        <v>45929</v>
      </c>
      <c r="D711" t="inlineStr">
        <is>
          <t>KALMAR LÄN</t>
        </is>
      </c>
      <c r="E711" t="inlineStr">
        <is>
          <t>VIMMERBY</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28280-2025</t>
        </is>
      </c>
      <c r="B712" s="1" t="n">
        <v>45818.5862037037</v>
      </c>
      <c r="C712" s="1" t="n">
        <v>45929</v>
      </c>
      <c r="D712" t="inlineStr">
        <is>
          <t>KALMAR LÄN</t>
        </is>
      </c>
      <c r="E712" t="inlineStr">
        <is>
          <t>VIMMERBY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28286-2025</t>
        </is>
      </c>
      <c r="B713" s="1" t="n">
        <v>45818.58993055556</v>
      </c>
      <c r="C713" s="1" t="n">
        <v>45929</v>
      </c>
      <c r="D713" t="inlineStr">
        <is>
          <t>KALMAR LÄN</t>
        </is>
      </c>
      <c r="E713" t="inlineStr">
        <is>
          <t>VIMMERBY</t>
        </is>
      </c>
      <c r="F713" t="inlineStr">
        <is>
          <t>Sveaskog</t>
        </is>
      </c>
      <c r="G713" t="n">
        <v>8</v>
      </c>
      <c r="H713" t="n">
        <v>0</v>
      </c>
      <c r="I713" t="n">
        <v>0</v>
      </c>
      <c r="J713" t="n">
        <v>0</v>
      </c>
      <c r="K713" t="n">
        <v>0</v>
      </c>
      <c r="L713" t="n">
        <v>0</v>
      </c>
      <c r="M713" t="n">
        <v>0</v>
      </c>
      <c r="N713" t="n">
        <v>0</v>
      </c>
      <c r="O713" t="n">
        <v>0</v>
      </c>
      <c r="P713" t="n">
        <v>0</v>
      </c>
      <c r="Q713" t="n">
        <v>0</v>
      </c>
      <c r="R713" s="2" t="inlineStr"/>
    </row>
    <row r="714" ht="15" customHeight="1">
      <c r="A714" t="inlineStr">
        <is>
          <t>A 58159-2024</t>
        </is>
      </c>
      <c r="B714" s="1" t="n">
        <v>45632.44886574074</v>
      </c>
      <c r="C714" s="1" t="n">
        <v>45929</v>
      </c>
      <c r="D714" t="inlineStr">
        <is>
          <t>KALMAR LÄN</t>
        </is>
      </c>
      <c r="E714" t="inlineStr">
        <is>
          <t>VIMMERBY</t>
        </is>
      </c>
      <c r="G714" t="n">
        <v>7.5</v>
      </c>
      <c r="H714" t="n">
        <v>0</v>
      </c>
      <c r="I714" t="n">
        <v>0</v>
      </c>
      <c r="J714" t="n">
        <v>0</v>
      </c>
      <c r="K714" t="n">
        <v>0</v>
      </c>
      <c r="L714" t="n">
        <v>0</v>
      </c>
      <c r="M714" t="n">
        <v>0</v>
      </c>
      <c r="N714" t="n">
        <v>0</v>
      </c>
      <c r="O714" t="n">
        <v>0</v>
      </c>
      <c r="P714" t="n">
        <v>0</v>
      </c>
      <c r="Q714" t="n">
        <v>0</v>
      </c>
      <c r="R714" s="2" t="inlineStr"/>
    </row>
    <row r="715" ht="15" customHeight="1">
      <c r="A715" t="inlineStr">
        <is>
          <t>A 14359-2025</t>
        </is>
      </c>
      <c r="B715" s="1" t="n">
        <v>45741.37270833334</v>
      </c>
      <c r="C715" s="1" t="n">
        <v>45929</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28282-2025</t>
        </is>
      </c>
      <c r="B716" s="1" t="n">
        <v>45818.58769675926</v>
      </c>
      <c r="C716" s="1" t="n">
        <v>45929</v>
      </c>
      <c r="D716" t="inlineStr">
        <is>
          <t>KALMAR LÄN</t>
        </is>
      </c>
      <c r="E716" t="inlineStr">
        <is>
          <t>VIMMERBY</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28294-2025</t>
        </is>
      </c>
      <c r="B717" s="1" t="n">
        <v>45818.595625</v>
      </c>
      <c r="C717" s="1" t="n">
        <v>45929</v>
      </c>
      <c r="D717" t="inlineStr">
        <is>
          <t>KALMAR LÄN</t>
        </is>
      </c>
      <c r="E717" t="inlineStr">
        <is>
          <t>VIMMERBY</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28713-2025</t>
        </is>
      </c>
      <c r="B718" s="1" t="n">
        <v>45820.33930555556</v>
      </c>
      <c r="C718" s="1" t="n">
        <v>45929</v>
      </c>
      <c r="D718" t="inlineStr">
        <is>
          <t>KALMAR LÄN</t>
        </is>
      </c>
      <c r="E718" t="inlineStr">
        <is>
          <t>VIMMERBY</t>
        </is>
      </c>
      <c r="G718" t="n">
        <v>2.3</v>
      </c>
      <c r="H718" t="n">
        <v>0</v>
      </c>
      <c r="I718" t="n">
        <v>0</v>
      </c>
      <c r="J718" t="n">
        <v>0</v>
      </c>
      <c r="K718" t="n">
        <v>0</v>
      </c>
      <c r="L718" t="n">
        <v>0</v>
      </c>
      <c r="M718" t="n">
        <v>0</v>
      </c>
      <c r="N718" t="n">
        <v>0</v>
      </c>
      <c r="O718" t="n">
        <v>0</v>
      </c>
      <c r="P718" t="n">
        <v>0</v>
      </c>
      <c r="Q718" t="n">
        <v>0</v>
      </c>
      <c r="R718" s="2" t="inlineStr"/>
    </row>
    <row r="719" ht="15" customHeight="1">
      <c r="A719" t="inlineStr">
        <is>
          <t>A 28712-2025</t>
        </is>
      </c>
      <c r="B719" s="1" t="n">
        <v>45820.33708333333</v>
      </c>
      <c r="C719" s="1" t="n">
        <v>45929</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28714-2025</t>
        </is>
      </c>
      <c r="B720" s="1" t="n">
        <v>45820.34128472222</v>
      </c>
      <c r="C720" s="1" t="n">
        <v>45929</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28620-2025</t>
        </is>
      </c>
      <c r="B721" s="1" t="n">
        <v>45819.61060185185</v>
      </c>
      <c r="C721" s="1" t="n">
        <v>45929</v>
      </c>
      <c r="D721" t="inlineStr">
        <is>
          <t>KALMAR LÄN</t>
        </is>
      </c>
      <c r="E721" t="inlineStr">
        <is>
          <t>VIMMERBY</t>
        </is>
      </c>
      <c r="G721" t="n">
        <v>5.6</v>
      </c>
      <c r="H721" t="n">
        <v>0</v>
      </c>
      <c r="I721" t="n">
        <v>0</v>
      </c>
      <c r="J721" t="n">
        <v>0</v>
      </c>
      <c r="K721" t="n">
        <v>0</v>
      </c>
      <c r="L721" t="n">
        <v>0</v>
      </c>
      <c r="M721" t="n">
        <v>0</v>
      </c>
      <c r="N721" t="n">
        <v>0</v>
      </c>
      <c r="O721" t="n">
        <v>0</v>
      </c>
      <c r="P721" t="n">
        <v>0</v>
      </c>
      <c r="Q721" t="n">
        <v>0</v>
      </c>
      <c r="R721" s="2" t="inlineStr"/>
    </row>
    <row r="722" ht="15" customHeight="1">
      <c r="A722" t="inlineStr">
        <is>
          <t>A 39578-2024</t>
        </is>
      </c>
      <c r="B722" s="1" t="n">
        <v>45552.36484953704</v>
      </c>
      <c r="C722" s="1" t="n">
        <v>45929</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29727-2025</t>
        </is>
      </c>
      <c r="B723" s="1" t="n">
        <v>45825.5796875</v>
      </c>
      <c r="C723" s="1" t="n">
        <v>45929</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29737-2025</t>
        </is>
      </c>
      <c r="B724" s="1" t="n">
        <v>45825.58672453704</v>
      </c>
      <c r="C724" s="1" t="n">
        <v>45929</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62779-2023</t>
        </is>
      </c>
      <c r="B725" s="1" t="n">
        <v>45271.66576388889</v>
      </c>
      <c r="C725" s="1" t="n">
        <v>45929</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29726-2025</t>
        </is>
      </c>
      <c r="B726" s="1" t="n">
        <v>45825.57805555555</v>
      </c>
      <c r="C726" s="1" t="n">
        <v>45929</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29724-2025</t>
        </is>
      </c>
      <c r="B727" s="1" t="n">
        <v>45825.57680555555</v>
      </c>
      <c r="C727" s="1" t="n">
        <v>45929</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30293-2025</t>
        </is>
      </c>
      <c r="B728" s="1" t="n">
        <v>45827</v>
      </c>
      <c r="C728" s="1" t="n">
        <v>45929</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46399-2024</t>
        </is>
      </c>
      <c r="B729" s="1" t="n">
        <v>45582.41200231481</v>
      </c>
      <c r="C729" s="1" t="n">
        <v>45929</v>
      </c>
      <c r="D729" t="inlineStr">
        <is>
          <t>KALMAR LÄN</t>
        </is>
      </c>
      <c r="E729" t="inlineStr">
        <is>
          <t>VIMMERBY</t>
        </is>
      </c>
      <c r="G729" t="n">
        <v>4.6</v>
      </c>
      <c r="H729" t="n">
        <v>0</v>
      </c>
      <c r="I729" t="n">
        <v>0</v>
      </c>
      <c r="J729" t="n">
        <v>0</v>
      </c>
      <c r="K729" t="n">
        <v>0</v>
      </c>
      <c r="L729" t="n">
        <v>0</v>
      </c>
      <c r="M729" t="n">
        <v>0</v>
      </c>
      <c r="N729" t="n">
        <v>0</v>
      </c>
      <c r="O729" t="n">
        <v>0</v>
      </c>
      <c r="P729" t="n">
        <v>0</v>
      </c>
      <c r="Q729" t="n">
        <v>0</v>
      </c>
      <c r="R729" s="2" t="inlineStr"/>
    </row>
    <row r="730" ht="15" customHeight="1">
      <c r="A730" t="inlineStr">
        <is>
          <t>A 3425-2022</t>
        </is>
      </c>
      <c r="B730" s="1" t="n">
        <v>44585.51060185185</v>
      </c>
      <c r="C730" s="1" t="n">
        <v>45929</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43962-2024</t>
        </is>
      </c>
      <c r="B731" s="1" t="n">
        <v>45572.48293981481</v>
      </c>
      <c r="C731" s="1" t="n">
        <v>45929</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30290-2025</t>
        </is>
      </c>
      <c r="B732" s="1" t="n">
        <v>45827</v>
      </c>
      <c r="C732" s="1" t="n">
        <v>45929</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12810-2023</t>
        </is>
      </c>
      <c r="B733" s="1" t="n">
        <v>45001.43854166667</v>
      </c>
      <c r="C733" s="1" t="n">
        <v>45929</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43068-2023</t>
        </is>
      </c>
      <c r="B734" s="1" t="n">
        <v>45182.78834490741</v>
      </c>
      <c r="C734" s="1" t="n">
        <v>45929</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30850-2025</t>
        </is>
      </c>
      <c r="B735" s="1" t="n">
        <v>45831</v>
      </c>
      <c r="C735" s="1" t="n">
        <v>45929</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30882-2025</t>
        </is>
      </c>
      <c r="B736" s="1" t="n">
        <v>45832.34540509259</v>
      </c>
      <c r="C736" s="1" t="n">
        <v>45929</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30971-2025</t>
        </is>
      </c>
      <c r="B737" s="1" t="n">
        <v>45832.46146990741</v>
      </c>
      <c r="C737" s="1" t="n">
        <v>45929</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12075-2024</t>
        </is>
      </c>
      <c r="B738" s="1" t="n">
        <v>45377</v>
      </c>
      <c r="C738" s="1" t="n">
        <v>45929</v>
      </c>
      <c r="D738" t="inlineStr">
        <is>
          <t>KALMAR LÄN</t>
        </is>
      </c>
      <c r="E738" t="inlineStr">
        <is>
          <t>VIMMERBY</t>
        </is>
      </c>
      <c r="G738" t="n">
        <v>3.7</v>
      </c>
      <c r="H738" t="n">
        <v>0</v>
      </c>
      <c r="I738" t="n">
        <v>0</v>
      </c>
      <c r="J738" t="n">
        <v>0</v>
      </c>
      <c r="K738" t="n">
        <v>0</v>
      </c>
      <c r="L738" t="n">
        <v>0</v>
      </c>
      <c r="M738" t="n">
        <v>0</v>
      </c>
      <c r="N738" t="n">
        <v>0</v>
      </c>
      <c r="O738" t="n">
        <v>0</v>
      </c>
      <c r="P738" t="n">
        <v>0</v>
      </c>
      <c r="Q738" t="n">
        <v>0</v>
      </c>
      <c r="R738" s="2" t="inlineStr"/>
    </row>
    <row r="739" ht="15" customHeight="1">
      <c r="A739" t="inlineStr">
        <is>
          <t>A 31552-2025</t>
        </is>
      </c>
      <c r="B739" s="1" t="n">
        <v>45833.64563657407</v>
      </c>
      <c r="C739" s="1" t="n">
        <v>45929</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31555-2025</t>
        </is>
      </c>
      <c r="B740" s="1" t="n">
        <v>45833.64814814815</v>
      </c>
      <c r="C740" s="1" t="n">
        <v>45929</v>
      </c>
      <c r="D740" t="inlineStr">
        <is>
          <t>KALMAR LÄN</t>
        </is>
      </c>
      <c r="E740" t="inlineStr">
        <is>
          <t>VIMMERBY</t>
        </is>
      </c>
      <c r="G740" t="n">
        <v>1.8</v>
      </c>
      <c r="H740" t="n">
        <v>0</v>
      </c>
      <c r="I740" t="n">
        <v>0</v>
      </c>
      <c r="J740" t="n">
        <v>0</v>
      </c>
      <c r="K740" t="n">
        <v>0</v>
      </c>
      <c r="L740" t="n">
        <v>0</v>
      </c>
      <c r="M740" t="n">
        <v>0</v>
      </c>
      <c r="N740" t="n">
        <v>0</v>
      </c>
      <c r="O740" t="n">
        <v>0</v>
      </c>
      <c r="P740" t="n">
        <v>0</v>
      </c>
      <c r="Q740" t="n">
        <v>0</v>
      </c>
      <c r="R740" s="2" t="inlineStr"/>
    </row>
    <row r="741" ht="15" customHeight="1">
      <c r="A741" t="inlineStr">
        <is>
          <t>A 1799-2025</t>
        </is>
      </c>
      <c r="B741" s="1" t="n">
        <v>45671.46746527778</v>
      </c>
      <c r="C741" s="1" t="n">
        <v>45929</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31870-2025</t>
        </is>
      </c>
      <c r="B742" s="1" t="n">
        <v>45834.64667824074</v>
      </c>
      <c r="C742" s="1" t="n">
        <v>45929</v>
      </c>
      <c r="D742" t="inlineStr">
        <is>
          <t>KALMAR LÄN</t>
        </is>
      </c>
      <c r="E742" t="inlineStr">
        <is>
          <t>VIMMERBY</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8559-2025</t>
        </is>
      </c>
      <c r="B743" s="1" t="n">
        <v>45709.62280092593</v>
      </c>
      <c r="C743" s="1" t="n">
        <v>45929</v>
      </c>
      <c r="D743" t="inlineStr">
        <is>
          <t>KALMAR LÄN</t>
        </is>
      </c>
      <c r="E743" t="inlineStr">
        <is>
          <t>VIMMERBY</t>
        </is>
      </c>
      <c r="G743" t="n">
        <v>8.9</v>
      </c>
      <c r="H743" t="n">
        <v>0</v>
      </c>
      <c r="I743" t="n">
        <v>0</v>
      </c>
      <c r="J743" t="n">
        <v>0</v>
      </c>
      <c r="K743" t="n">
        <v>0</v>
      </c>
      <c r="L743" t="n">
        <v>0</v>
      </c>
      <c r="M743" t="n">
        <v>0</v>
      </c>
      <c r="N743" t="n">
        <v>0</v>
      </c>
      <c r="O743" t="n">
        <v>0</v>
      </c>
      <c r="P743" t="n">
        <v>0</v>
      </c>
      <c r="Q743" t="n">
        <v>0</v>
      </c>
      <c r="R743" s="2" t="inlineStr"/>
    </row>
    <row r="744" ht="15" customHeight="1">
      <c r="A744" t="inlineStr">
        <is>
          <t>A 31872-2025</t>
        </is>
      </c>
      <c r="B744" s="1" t="n">
        <v>45834.65040509259</v>
      </c>
      <c r="C744" s="1" t="n">
        <v>45929</v>
      </c>
      <c r="D744" t="inlineStr">
        <is>
          <t>KALMAR LÄN</t>
        </is>
      </c>
      <c r="E744" t="inlineStr">
        <is>
          <t>VIMMERBY</t>
        </is>
      </c>
      <c r="F744" t="inlineStr">
        <is>
          <t>Sveaskog</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31876-2025</t>
        </is>
      </c>
      <c r="B745" s="1" t="n">
        <v>45834.65197916667</v>
      </c>
      <c r="C745" s="1" t="n">
        <v>45929</v>
      </c>
      <c r="D745" t="inlineStr">
        <is>
          <t>KALMAR LÄN</t>
        </is>
      </c>
      <c r="E745" t="inlineStr">
        <is>
          <t>VIMMERBY</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2462-2022</t>
        </is>
      </c>
      <c r="B746" s="1" t="n">
        <v>44579.62225694444</v>
      </c>
      <c r="C746" s="1" t="n">
        <v>45929</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31551-2025</t>
        </is>
      </c>
      <c r="B747" s="1" t="n">
        <v>45833.64237268519</v>
      </c>
      <c r="C747" s="1" t="n">
        <v>45929</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31987-2025</t>
        </is>
      </c>
      <c r="B748" s="1" t="n">
        <v>45835.36229166666</v>
      </c>
      <c r="C748" s="1" t="n">
        <v>45929</v>
      </c>
      <c r="D748" t="inlineStr">
        <is>
          <t>KALMAR LÄN</t>
        </is>
      </c>
      <c r="E748" t="inlineStr">
        <is>
          <t>VIMMERBY</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45929</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32116-2025</t>
        </is>
      </c>
      <c r="B750" s="1" t="n">
        <v>45835.48862268519</v>
      </c>
      <c r="C750" s="1" t="n">
        <v>45929</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45929</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32380-2025</t>
        </is>
      </c>
      <c r="B752" s="1" t="n">
        <v>45837.77701388889</v>
      </c>
      <c r="C752" s="1" t="n">
        <v>45929</v>
      </c>
      <c r="D752" t="inlineStr">
        <is>
          <t>KALMAR LÄN</t>
        </is>
      </c>
      <c r="E752" t="inlineStr">
        <is>
          <t>VIMMERBY</t>
        </is>
      </c>
      <c r="G752" t="n">
        <v>3.1</v>
      </c>
      <c r="H752" t="n">
        <v>0</v>
      </c>
      <c r="I752" t="n">
        <v>0</v>
      </c>
      <c r="J752" t="n">
        <v>0</v>
      </c>
      <c r="K752" t="n">
        <v>0</v>
      </c>
      <c r="L752" t="n">
        <v>0</v>
      </c>
      <c r="M752" t="n">
        <v>0</v>
      </c>
      <c r="N752" t="n">
        <v>0</v>
      </c>
      <c r="O752" t="n">
        <v>0</v>
      </c>
      <c r="P752" t="n">
        <v>0</v>
      </c>
      <c r="Q752" t="n">
        <v>0</v>
      </c>
      <c r="R752" s="2" t="inlineStr"/>
    </row>
    <row r="753" ht="15" customHeight="1">
      <c r="A753" t="inlineStr">
        <is>
          <t>A 4624-2024</t>
        </is>
      </c>
      <c r="B753" s="1" t="n">
        <v>45328.38755787037</v>
      </c>
      <c r="C753" s="1" t="n">
        <v>45929</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9129-2025</t>
        </is>
      </c>
      <c r="B754" s="1" t="n">
        <v>45713.92412037037</v>
      </c>
      <c r="C754" s="1" t="n">
        <v>45929</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32109-2025</t>
        </is>
      </c>
      <c r="B755" s="1" t="n">
        <v>45835.48267361111</v>
      </c>
      <c r="C755" s="1" t="n">
        <v>45929</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32113-2025</t>
        </is>
      </c>
      <c r="B756" s="1" t="n">
        <v>45835.48445601852</v>
      </c>
      <c r="C756" s="1" t="n">
        <v>45929</v>
      </c>
      <c r="D756" t="inlineStr">
        <is>
          <t>KALMAR LÄN</t>
        </is>
      </c>
      <c r="E756" t="inlineStr">
        <is>
          <t>VIMMERBY</t>
        </is>
      </c>
      <c r="G756" t="n">
        <v>3.5</v>
      </c>
      <c r="H756" t="n">
        <v>0</v>
      </c>
      <c r="I756" t="n">
        <v>0</v>
      </c>
      <c r="J756" t="n">
        <v>0</v>
      </c>
      <c r="K756" t="n">
        <v>0</v>
      </c>
      <c r="L756" t="n">
        <v>0</v>
      </c>
      <c r="M756" t="n">
        <v>0</v>
      </c>
      <c r="N756" t="n">
        <v>0</v>
      </c>
      <c r="O756" t="n">
        <v>0</v>
      </c>
      <c r="P756" t="n">
        <v>0</v>
      </c>
      <c r="Q756" t="n">
        <v>0</v>
      </c>
      <c r="R756" s="2" t="inlineStr"/>
    </row>
    <row r="757" ht="15" customHeight="1">
      <c r="A757" t="inlineStr">
        <is>
          <t>A 32077-2025</t>
        </is>
      </c>
      <c r="B757" s="1" t="n">
        <v>45835.45099537037</v>
      </c>
      <c r="C757" s="1" t="n">
        <v>45929</v>
      </c>
      <c r="D757" t="inlineStr">
        <is>
          <t>KALMAR LÄN</t>
        </is>
      </c>
      <c r="E757" t="inlineStr">
        <is>
          <t>VIMMERBY</t>
        </is>
      </c>
      <c r="G757" t="n">
        <v>1.8</v>
      </c>
      <c r="H757" t="n">
        <v>0</v>
      </c>
      <c r="I757" t="n">
        <v>0</v>
      </c>
      <c r="J757" t="n">
        <v>0</v>
      </c>
      <c r="K757" t="n">
        <v>0</v>
      </c>
      <c r="L757" t="n">
        <v>0</v>
      </c>
      <c r="M757" t="n">
        <v>0</v>
      </c>
      <c r="N757" t="n">
        <v>0</v>
      </c>
      <c r="O757" t="n">
        <v>0</v>
      </c>
      <c r="P757" t="n">
        <v>0</v>
      </c>
      <c r="Q757" t="n">
        <v>0</v>
      </c>
      <c r="R757" s="2" t="inlineStr"/>
    </row>
    <row r="758" ht="15" customHeight="1">
      <c r="A758" t="inlineStr">
        <is>
          <t>A 32064-2025</t>
        </is>
      </c>
      <c r="B758" s="1" t="n">
        <v>45835.44709490741</v>
      </c>
      <c r="C758" s="1" t="n">
        <v>45929</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32065-2025</t>
        </is>
      </c>
      <c r="B759" s="1" t="n">
        <v>45835.44732638889</v>
      </c>
      <c r="C759" s="1" t="n">
        <v>45929</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33186-2025</t>
        </is>
      </c>
      <c r="B760" s="1" t="n">
        <v>45840.59474537037</v>
      </c>
      <c r="C760" s="1" t="n">
        <v>45929</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30977-2025</t>
        </is>
      </c>
      <c r="B761" s="1" t="n">
        <v>45832.46649305556</v>
      </c>
      <c r="C761" s="1" t="n">
        <v>45929</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33695-2025</t>
        </is>
      </c>
      <c r="B762" s="1" t="n">
        <v>45841.70569444444</v>
      </c>
      <c r="C762" s="1" t="n">
        <v>45929</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33698-2025</t>
        </is>
      </c>
      <c r="B763" s="1" t="n">
        <v>45841.70868055556</v>
      </c>
      <c r="C763" s="1" t="n">
        <v>45929</v>
      </c>
      <c r="D763" t="inlineStr">
        <is>
          <t>KALMAR LÄN</t>
        </is>
      </c>
      <c r="E763" t="inlineStr">
        <is>
          <t>VIMMERBY</t>
        </is>
      </c>
      <c r="G763" t="n">
        <v>3.7</v>
      </c>
      <c r="H763" t="n">
        <v>0</v>
      </c>
      <c r="I763" t="n">
        <v>0</v>
      </c>
      <c r="J763" t="n">
        <v>0</v>
      </c>
      <c r="K763" t="n">
        <v>0</v>
      </c>
      <c r="L763" t="n">
        <v>0</v>
      </c>
      <c r="M763" t="n">
        <v>0</v>
      </c>
      <c r="N763" t="n">
        <v>0</v>
      </c>
      <c r="O763" t="n">
        <v>0</v>
      </c>
      <c r="P763" t="n">
        <v>0</v>
      </c>
      <c r="Q763" t="n">
        <v>0</v>
      </c>
      <c r="R763" s="2" t="inlineStr"/>
    </row>
    <row r="764" ht="15" customHeight="1">
      <c r="A764" t="inlineStr">
        <is>
          <t>A 33696-2025</t>
        </is>
      </c>
      <c r="B764" s="1" t="n">
        <v>45841.7072337963</v>
      </c>
      <c r="C764" s="1" t="n">
        <v>45929</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22643-2023</t>
        </is>
      </c>
      <c r="B765" s="1" t="n">
        <v>45071</v>
      </c>
      <c r="C765" s="1" t="n">
        <v>45929</v>
      </c>
      <c r="D765" t="inlineStr">
        <is>
          <t>KALMAR LÄN</t>
        </is>
      </c>
      <c r="E765" t="inlineStr">
        <is>
          <t>VIMMERBY</t>
        </is>
      </c>
      <c r="G765" t="n">
        <v>3.9</v>
      </c>
      <c r="H765" t="n">
        <v>0</v>
      </c>
      <c r="I765" t="n">
        <v>0</v>
      </c>
      <c r="J765" t="n">
        <v>0</v>
      </c>
      <c r="K765" t="n">
        <v>0</v>
      </c>
      <c r="L765" t="n">
        <v>0</v>
      </c>
      <c r="M765" t="n">
        <v>0</v>
      </c>
      <c r="N765" t="n">
        <v>0</v>
      </c>
      <c r="O765" t="n">
        <v>0</v>
      </c>
      <c r="P765" t="n">
        <v>0</v>
      </c>
      <c r="Q765" t="n">
        <v>0</v>
      </c>
      <c r="R765" s="2" t="inlineStr"/>
    </row>
    <row r="766" ht="15" customHeight="1">
      <c r="A766" t="inlineStr">
        <is>
          <t>A 28702-2025</t>
        </is>
      </c>
      <c r="B766" s="1" t="n">
        <v>45820.03976851852</v>
      </c>
      <c r="C766" s="1" t="n">
        <v>45929</v>
      </c>
      <c r="D766" t="inlineStr">
        <is>
          <t>KALMAR LÄN</t>
        </is>
      </c>
      <c r="E766" t="inlineStr">
        <is>
          <t>VIMMERBY</t>
        </is>
      </c>
      <c r="G766" t="n">
        <v>2.1</v>
      </c>
      <c r="H766" t="n">
        <v>0</v>
      </c>
      <c r="I766" t="n">
        <v>0</v>
      </c>
      <c r="J766" t="n">
        <v>0</v>
      </c>
      <c r="K766" t="n">
        <v>0</v>
      </c>
      <c r="L766" t="n">
        <v>0</v>
      </c>
      <c r="M766" t="n">
        <v>0</v>
      </c>
      <c r="N766" t="n">
        <v>0</v>
      </c>
      <c r="O766" t="n">
        <v>0</v>
      </c>
      <c r="P766" t="n">
        <v>0</v>
      </c>
      <c r="Q766" t="n">
        <v>0</v>
      </c>
      <c r="R766" s="2" t="inlineStr"/>
    </row>
    <row r="767" ht="15" customHeight="1">
      <c r="A767" t="inlineStr">
        <is>
          <t>A 38964-2025</t>
        </is>
      </c>
      <c r="B767" s="1" t="n">
        <v>45887.68759259259</v>
      </c>
      <c r="C767" s="1" t="n">
        <v>45929</v>
      </c>
      <c r="D767" t="inlineStr">
        <is>
          <t>KALMAR LÄN</t>
        </is>
      </c>
      <c r="E767" t="inlineStr">
        <is>
          <t>VIMMERBY</t>
        </is>
      </c>
      <c r="G767" t="n">
        <v>7.5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45929</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34071-2025</t>
        </is>
      </c>
      <c r="B769" s="1" t="n">
        <v>45845.43803240741</v>
      </c>
      <c r="C769" s="1" t="n">
        <v>45929</v>
      </c>
      <c r="D769" t="inlineStr">
        <is>
          <t>KALMAR LÄN</t>
        </is>
      </c>
      <c r="E769" t="inlineStr">
        <is>
          <t>VIMMERBY</t>
        </is>
      </c>
      <c r="G769" t="n">
        <v>6.8</v>
      </c>
      <c r="H769" t="n">
        <v>0</v>
      </c>
      <c r="I769" t="n">
        <v>0</v>
      </c>
      <c r="J769" t="n">
        <v>0</v>
      </c>
      <c r="K769" t="n">
        <v>0</v>
      </c>
      <c r="L769" t="n">
        <v>0</v>
      </c>
      <c r="M769" t="n">
        <v>0</v>
      </c>
      <c r="N769" t="n">
        <v>0</v>
      </c>
      <c r="O769" t="n">
        <v>0</v>
      </c>
      <c r="P769" t="n">
        <v>0</v>
      </c>
      <c r="Q769" t="n">
        <v>0</v>
      </c>
      <c r="R769" s="2" t="inlineStr"/>
    </row>
    <row r="770" ht="15" customHeight="1">
      <c r="A770" t="inlineStr">
        <is>
          <t>A 34597-2022</t>
        </is>
      </c>
      <c r="B770" s="1" t="n">
        <v>44795</v>
      </c>
      <c r="C770" s="1" t="n">
        <v>45929</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45929</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40079-2023</t>
        </is>
      </c>
      <c r="B772" s="1" t="n">
        <v>45168.89298611111</v>
      </c>
      <c r="C772" s="1" t="n">
        <v>45929</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19833-2023</t>
        </is>
      </c>
      <c r="B773" s="1" t="n">
        <v>45052</v>
      </c>
      <c r="C773" s="1" t="n">
        <v>45929</v>
      </c>
      <c r="D773" t="inlineStr">
        <is>
          <t>KALMAR LÄN</t>
        </is>
      </c>
      <c r="E773" t="inlineStr">
        <is>
          <t>VIMMERBY</t>
        </is>
      </c>
      <c r="G773" t="n">
        <v>6.7</v>
      </c>
      <c r="H773" t="n">
        <v>0</v>
      </c>
      <c r="I773" t="n">
        <v>0</v>
      </c>
      <c r="J773" t="n">
        <v>0</v>
      </c>
      <c r="K773" t="n">
        <v>0</v>
      </c>
      <c r="L773" t="n">
        <v>0</v>
      </c>
      <c r="M773" t="n">
        <v>0</v>
      </c>
      <c r="N773" t="n">
        <v>0</v>
      </c>
      <c r="O773" t="n">
        <v>0</v>
      </c>
      <c r="P773" t="n">
        <v>0</v>
      </c>
      <c r="Q773" t="n">
        <v>0</v>
      </c>
      <c r="R773" s="2" t="inlineStr"/>
    </row>
    <row r="774" ht="15" customHeight="1">
      <c r="A774" t="inlineStr">
        <is>
          <t>A 26956-2025</t>
        </is>
      </c>
      <c r="B774" s="1" t="n">
        <v>45811.45460648148</v>
      </c>
      <c r="C774" s="1" t="n">
        <v>45929</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34628-2025</t>
        </is>
      </c>
      <c r="B775" s="1" t="n">
        <v>45847.91280092593</v>
      </c>
      <c r="C775" s="1" t="n">
        <v>45929</v>
      </c>
      <c r="D775" t="inlineStr">
        <is>
          <t>KALMAR LÄN</t>
        </is>
      </c>
      <c r="E775" t="inlineStr">
        <is>
          <t>VIMMERBY</t>
        </is>
      </c>
      <c r="G775" t="n">
        <v>4.2</v>
      </c>
      <c r="H775" t="n">
        <v>0</v>
      </c>
      <c r="I775" t="n">
        <v>0</v>
      </c>
      <c r="J775" t="n">
        <v>0</v>
      </c>
      <c r="K775" t="n">
        <v>0</v>
      </c>
      <c r="L775" t="n">
        <v>0</v>
      </c>
      <c r="M775" t="n">
        <v>0</v>
      </c>
      <c r="N775" t="n">
        <v>0</v>
      </c>
      <c r="O775" t="n">
        <v>0</v>
      </c>
      <c r="P775" t="n">
        <v>0</v>
      </c>
      <c r="Q775" t="n">
        <v>0</v>
      </c>
      <c r="R775" s="2" t="inlineStr"/>
    </row>
    <row r="776" ht="15" customHeight="1">
      <c r="A776" t="inlineStr">
        <is>
          <t>A 17084-2025</t>
        </is>
      </c>
      <c r="B776" s="1" t="n">
        <v>45755.64450231481</v>
      </c>
      <c r="C776" s="1" t="n">
        <v>45929</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56022-2024</t>
        </is>
      </c>
      <c r="B777" s="1" t="n">
        <v>45623.95947916667</v>
      </c>
      <c r="C777" s="1" t="n">
        <v>45929</v>
      </c>
      <c r="D777" t="inlineStr">
        <is>
          <t>KALMAR LÄN</t>
        </is>
      </c>
      <c r="E777" t="inlineStr">
        <is>
          <t>VIMMERBY</t>
        </is>
      </c>
      <c r="G777" t="n">
        <v>0.3</v>
      </c>
      <c r="H777" t="n">
        <v>0</v>
      </c>
      <c r="I777" t="n">
        <v>0</v>
      </c>
      <c r="J777" t="n">
        <v>0</v>
      </c>
      <c r="K777" t="n">
        <v>0</v>
      </c>
      <c r="L777" t="n">
        <v>0</v>
      </c>
      <c r="M777" t="n">
        <v>0</v>
      </c>
      <c r="N777" t="n">
        <v>0</v>
      </c>
      <c r="O777" t="n">
        <v>0</v>
      </c>
      <c r="P777" t="n">
        <v>0</v>
      </c>
      <c r="Q777" t="n">
        <v>0</v>
      </c>
      <c r="R777" s="2" t="inlineStr"/>
    </row>
    <row r="778" ht="15" customHeight="1">
      <c r="A778" t="inlineStr">
        <is>
          <t>A 11928-2022</t>
        </is>
      </c>
      <c r="B778" s="1" t="n">
        <v>44635</v>
      </c>
      <c r="C778" s="1" t="n">
        <v>45929</v>
      </c>
      <c r="D778" t="inlineStr">
        <is>
          <t>KALMAR LÄN</t>
        </is>
      </c>
      <c r="E778" t="inlineStr">
        <is>
          <t>VIMMERBY</t>
        </is>
      </c>
      <c r="G778" t="n">
        <v>2.8</v>
      </c>
      <c r="H778" t="n">
        <v>0</v>
      </c>
      <c r="I778" t="n">
        <v>0</v>
      </c>
      <c r="J778" t="n">
        <v>0</v>
      </c>
      <c r="K778" t="n">
        <v>0</v>
      </c>
      <c r="L778" t="n">
        <v>0</v>
      </c>
      <c r="M778" t="n">
        <v>0</v>
      </c>
      <c r="N778" t="n">
        <v>0</v>
      </c>
      <c r="O778" t="n">
        <v>0</v>
      </c>
      <c r="P778" t="n">
        <v>0</v>
      </c>
      <c r="Q778" t="n">
        <v>0</v>
      </c>
      <c r="R778" s="2" t="inlineStr"/>
    </row>
    <row r="779" ht="15" customHeight="1">
      <c r="A779" t="inlineStr">
        <is>
          <t>A 5527-2022</t>
        </is>
      </c>
      <c r="B779" s="1" t="n">
        <v>44595.583125</v>
      </c>
      <c r="C779" s="1" t="n">
        <v>45929</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39736-2025</t>
        </is>
      </c>
      <c r="B780" s="1" t="n">
        <v>45891</v>
      </c>
      <c r="C780" s="1" t="n">
        <v>45929</v>
      </c>
      <c r="D780" t="inlineStr">
        <is>
          <t>KALMAR LÄN</t>
        </is>
      </c>
      <c r="E780" t="inlineStr">
        <is>
          <t>VIMMERBY</t>
        </is>
      </c>
      <c r="G780" t="n">
        <v>12.8</v>
      </c>
      <c r="H780" t="n">
        <v>0</v>
      </c>
      <c r="I780" t="n">
        <v>0</v>
      </c>
      <c r="J780" t="n">
        <v>0</v>
      </c>
      <c r="K780" t="n">
        <v>0</v>
      </c>
      <c r="L780" t="n">
        <v>0</v>
      </c>
      <c r="M780" t="n">
        <v>0</v>
      </c>
      <c r="N780" t="n">
        <v>0</v>
      </c>
      <c r="O780" t="n">
        <v>0</v>
      </c>
      <c r="P780" t="n">
        <v>0</v>
      </c>
      <c r="Q780" t="n">
        <v>0</v>
      </c>
      <c r="R780" s="2" t="inlineStr"/>
    </row>
    <row r="781" ht="15" customHeight="1">
      <c r="A781" t="inlineStr">
        <is>
          <t>A 39803-2025</t>
        </is>
      </c>
      <c r="B781" s="1" t="n">
        <v>45891.50525462963</v>
      </c>
      <c r="C781" s="1" t="n">
        <v>45929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39807-2025</t>
        </is>
      </c>
      <c r="B782" s="1" t="n">
        <v>45891.50986111111</v>
      </c>
      <c r="C782" s="1" t="n">
        <v>45929</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49461-2023</t>
        </is>
      </c>
      <c r="B783" s="1" t="n">
        <v>45211.52642361111</v>
      </c>
      <c r="C783" s="1" t="n">
        <v>45929</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49474-2023</t>
        </is>
      </c>
      <c r="B784" s="1" t="n">
        <v>45211.541875</v>
      </c>
      <c r="C784" s="1" t="n">
        <v>45929</v>
      </c>
      <c r="D784" t="inlineStr">
        <is>
          <t>KALMAR LÄN</t>
        </is>
      </c>
      <c r="E784" t="inlineStr">
        <is>
          <t>VIMMERBY</t>
        </is>
      </c>
      <c r="G784" t="n">
        <v>3.6</v>
      </c>
      <c r="H784" t="n">
        <v>0</v>
      </c>
      <c r="I784" t="n">
        <v>0</v>
      </c>
      <c r="J784" t="n">
        <v>0</v>
      </c>
      <c r="K784" t="n">
        <v>0</v>
      </c>
      <c r="L784" t="n">
        <v>0</v>
      </c>
      <c r="M784" t="n">
        <v>0</v>
      </c>
      <c r="N784" t="n">
        <v>0</v>
      </c>
      <c r="O784" t="n">
        <v>0</v>
      </c>
      <c r="P784" t="n">
        <v>0</v>
      </c>
      <c r="Q784" t="n">
        <v>0</v>
      </c>
      <c r="R784" s="2" t="inlineStr"/>
    </row>
    <row r="785" ht="15" customHeight="1">
      <c r="A785" t="inlineStr">
        <is>
          <t>A 61861-2024</t>
        </is>
      </c>
      <c r="B785" s="1" t="n">
        <v>45650.37370370371</v>
      </c>
      <c r="C785" s="1" t="n">
        <v>45929</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45846-2023</t>
        </is>
      </c>
      <c r="B786" s="1" t="n">
        <v>45195.58452546296</v>
      </c>
      <c r="C786" s="1" t="n">
        <v>45929</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8167-2024</t>
        </is>
      </c>
      <c r="B787" s="1" t="n">
        <v>45351.6062962963</v>
      </c>
      <c r="C787" s="1" t="n">
        <v>45929</v>
      </c>
      <c r="D787" t="inlineStr">
        <is>
          <t>KALMAR LÄN</t>
        </is>
      </c>
      <c r="E787" t="inlineStr">
        <is>
          <t>VIMMERBY</t>
        </is>
      </c>
      <c r="G787" t="n">
        <v>3.8</v>
      </c>
      <c r="H787" t="n">
        <v>0</v>
      </c>
      <c r="I787" t="n">
        <v>0</v>
      </c>
      <c r="J787" t="n">
        <v>0</v>
      </c>
      <c r="K787" t="n">
        <v>0</v>
      </c>
      <c r="L787" t="n">
        <v>0</v>
      </c>
      <c r="M787" t="n">
        <v>0</v>
      </c>
      <c r="N787" t="n">
        <v>0</v>
      </c>
      <c r="O787" t="n">
        <v>0</v>
      </c>
      <c r="P787" t="n">
        <v>0</v>
      </c>
      <c r="Q787" t="n">
        <v>0</v>
      </c>
      <c r="R787" s="2" t="inlineStr"/>
    </row>
    <row r="788" ht="15" customHeight="1">
      <c r="A788" t="inlineStr">
        <is>
          <t>A 49382-2023</t>
        </is>
      </c>
      <c r="B788" s="1" t="n">
        <v>45208</v>
      </c>
      <c r="C788" s="1" t="n">
        <v>45929</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12121-2025</t>
        </is>
      </c>
      <c r="B789" s="1" t="n">
        <v>45729.36868055556</v>
      </c>
      <c r="C789" s="1" t="n">
        <v>45929</v>
      </c>
      <c r="D789" t="inlineStr">
        <is>
          <t>KALMAR LÄN</t>
        </is>
      </c>
      <c r="E789" t="inlineStr">
        <is>
          <t>VIMMERBY</t>
        </is>
      </c>
      <c r="G789" t="n">
        <v>4.3</v>
      </c>
      <c r="H789" t="n">
        <v>0</v>
      </c>
      <c r="I789" t="n">
        <v>0</v>
      </c>
      <c r="J789" t="n">
        <v>0</v>
      </c>
      <c r="K789" t="n">
        <v>0</v>
      </c>
      <c r="L789" t="n">
        <v>0</v>
      </c>
      <c r="M789" t="n">
        <v>0</v>
      </c>
      <c r="N789" t="n">
        <v>0</v>
      </c>
      <c r="O789" t="n">
        <v>0</v>
      </c>
      <c r="P789" t="n">
        <v>0</v>
      </c>
      <c r="Q789" t="n">
        <v>0</v>
      </c>
      <c r="R789" s="2" t="inlineStr"/>
    </row>
    <row r="790" ht="15" customHeight="1">
      <c r="A790" t="inlineStr">
        <is>
          <t>A 35846-2023</t>
        </is>
      </c>
      <c r="B790" s="1" t="n">
        <v>45148</v>
      </c>
      <c r="C790" s="1" t="n">
        <v>45929</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35913-2023</t>
        </is>
      </c>
      <c r="B791" s="1" t="n">
        <v>45148</v>
      </c>
      <c r="C791" s="1" t="n">
        <v>45929</v>
      </c>
      <c r="D791" t="inlineStr">
        <is>
          <t>KALMAR LÄN</t>
        </is>
      </c>
      <c r="E791" t="inlineStr">
        <is>
          <t>VIMMERBY</t>
        </is>
      </c>
      <c r="G791" t="n">
        <v>6.9</v>
      </c>
      <c r="H791" t="n">
        <v>0</v>
      </c>
      <c r="I791" t="n">
        <v>0</v>
      </c>
      <c r="J791" t="n">
        <v>0</v>
      </c>
      <c r="K791" t="n">
        <v>0</v>
      </c>
      <c r="L791" t="n">
        <v>0</v>
      </c>
      <c r="M791" t="n">
        <v>0</v>
      </c>
      <c r="N791" t="n">
        <v>0</v>
      </c>
      <c r="O791" t="n">
        <v>0</v>
      </c>
      <c r="P791" t="n">
        <v>0</v>
      </c>
      <c r="Q791" t="n">
        <v>0</v>
      </c>
      <c r="R791" s="2" t="inlineStr"/>
    </row>
    <row r="792" ht="15" customHeight="1">
      <c r="A792" t="inlineStr">
        <is>
          <t>A 38757-2023</t>
        </is>
      </c>
      <c r="B792" s="1" t="n">
        <v>45163.41376157408</v>
      </c>
      <c r="C792" s="1" t="n">
        <v>45929</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20136-2024</t>
        </is>
      </c>
      <c r="B793" s="1" t="n">
        <v>45434.56291666667</v>
      </c>
      <c r="C793" s="1" t="n">
        <v>45929</v>
      </c>
      <c r="D793" t="inlineStr">
        <is>
          <t>KALMAR LÄN</t>
        </is>
      </c>
      <c r="E793" t="inlineStr">
        <is>
          <t>VIMMERBY</t>
        </is>
      </c>
      <c r="F793" t="inlineStr">
        <is>
          <t>Sveaskog</t>
        </is>
      </c>
      <c r="G793" t="n">
        <v>8.4</v>
      </c>
      <c r="H793" t="n">
        <v>0</v>
      </c>
      <c r="I793" t="n">
        <v>0</v>
      </c>
      <c r="J793" t="n">
        <v>0</v>
      </c>
      <c r="K793" t="n">
        <v>0</v>
      </c>
      <c r="L793" t="n">
        <v>0</v>
      </c>
      <c r="M793" t="n">
        <v>0</v>
      </c>
      <c r="N793" t="n">
        <v>0</v>
      </c>
      <c r="O793" t="n">
        <v>0</v>
      </c>
      <c r="P793" t="n">
        <v>0</v>
      </c>
      <c r="Q793" t="n">
        <v>0</v>
      </c>
      <c r="R793" s="2" t="inlineStr"/>
    </row>
    <row r="794" ht="15" customHeight="1">
      <c r="A794" t="inlineStr">
        <is>
          <t>A 24283-2023</t>
        </is>
      </c>
      <c r="B794" s="1" t="n">
        <v>45079.87827546296</v>
      </c>
      <c r="C794" s="1" t="n">
        <v>45929</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59598-2023</t>
        </is>
      </c>
      <c r="B795" s="1" t="n">
        <v>45254.62489583333</v>
      </c>
      <c r="C795" s="1" t="n">
        <v>45929</v>
      </c>
      <c r="D795" t="inlineStr">
        <is>
          <t>KALMAR LÄN</t>
        </is>
      </c>
      <c r="E795" t="inlineStr">
        <is>
          <t>VIMMERBY</t>
        </is>
      </c>
      <c r="F795" t="inlineStr">
        <is>
          <t>Övriga Aktiebolag</t>
        </is>
      </c>
      <c r="G795" t="n">
        <v>4</v>
      </c>
      <c r="H795" t="n">
        <v>0</v>
      </c>
      <c r="I795" t="n">
        <v>0</v>
      </c>
      <c r="J795" t="n">
        <v>0</v>
      </c>
      <c r="K795" t="n">
        <v>0</v>
      </c>
      <c r="L795" t="n">
        <v>0</v>
      </c>
      <c r="M795" t="n">
        <v>0</v>
      </c>
      <c r="N795" t="n">
        <v>0</v>
      </c>
      <c r="O795" t="n">
        <v>0</v>
      </c>
      <c r="P795" t="n">
        <v>0</v>
      </c>
      <c r="Q795" t="n">
        <v>0</v>
      </c>
      <c r="R795" s="2" t="inlineStr"/>
    </row>
    <row r="796" ht="15" customHeight="1">
      <c r="A796" t="inlineStr">
        <is>
          <t>A 30920-2023</t>
        </is>
      </c>
      <c r="B796" s="1" t="n">
        <v>45113.43921296296</v>
      </c>
      <c r="C796" s="1" t="n">
        <v>45929</v>
      </c>
      <c r="D796" t="inlineStr">
        <is>
          <t>KALMAR LÄN</t>
        </is>
      </c>
      <c r="E796" t="inlineStr">
        <is>
          <t>VIMMERBY</t>
        </is>
      </c>
      <c r="G796" t="n">
        <v>3.1</v>
      </c>
      <c r="H796" t="n">
        <v>0</v>
      </c>
      <c r="I796" t="n">
        <v>0</v>
      </c>
      <c r="J796" t="n">
        <v>0</v>
      </c>
      <c r="K796" t="n">
        <v>0</v>
      </c>
      <c r="L796" t="n">
        <v>0</v>
      </c>
      <c r="M796" t="n">
        <v>0</v>
      </c>
      <c r="N796" t="n">
        <v>0</v>
      </c>
      <c r="O796" t="n">
        <v>0</v>
      </c>
      <c r="P796" t="n">
        <v>0</v>
      </c>
      <c r="Q796" t="n">
        <v>0</v>
      </c>
      <c r="R796" s="2" t="inlineStr"/>
    </row>
    <row r="797" ht="15" customHeight="1">
      <c r="A797" t="inlineStr">
        <is>
          <t>A 40929-2022</t>
        </is>
      </c>
      <c r="B797" s="1" t="n">
        <v>44825.4336574074</v>
      </c>
      <c r="C797" s="1" t="n">
        <v>45929</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33380-2023</t>
        </is>
      </c>
      <c r="B798" s="1" t="n">
        <v>45128</v>
      </c>
      <c r="C798" s="1" t="n">
        <v>45929</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46144-2023</t>
        </is>
      </c>
      <c r="B799" s="1" t="n">
        <v>45196.57247685185</v>
      </c>
      <c r="C799" s="1" t="n">
        <v>45929</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54787-2023</t>
        </is>
      </c>
      <c r="B800" s="1" t="n">
        <v>45236</v>
      </c>
      <c r="C800" s="1" t="n">
        <v>45929</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15715-2022</t>
        </is>
      </c>
      <c r="B801" s="1" t="n">
        <v>44663</v>
      </c>
      <c r="C801" s="1" t="n">
        <v>45929</v>
      </c>
      <c r="D801" t="inlineStr">
        <is>
          <t>KALMAR LÄN</t>
        </is>
      </c>
      <c r="E801" t="inlineStr">
        <is>
          <t>VIMMERBY</t>
        </is>
      </c>
      <c r="G801" t="n">
        <v>2.3</v>
      </c>
      <c r="H801" t="n">
        <v>0</v>
      </c>
      <c r="I801" t="n">
        <v>0</v>
      </c>
      <c r="J801" t="n">
        <v>0</v>
      </c>
      <c r="K801" t="n">
        <v>0</v>
      </c>
      <c r="L801" t="n">
        <v>0</v>
      </c>
      <c r="M801" t="n">
        <v>0</v>
      </c>
      <c r="N801" t="n">
        <v>0</v>
      </c>
      <c r="O801" t="n">
        <v>0</v>
      </c>
      <c r="P801" t="n">
        <v>0</v>
      </c>
      <c r="Q801" t="n">
        <v>0</v>
      </c>
      <c r="R801" s="2" t="inlineStr"/>
    </row>
    <row r="802" ht="15" customHeight="1">
      <c r="A802" t="inlineStr">
        <is>
          <t>A 43774-2023</t>
        </is>
      </c>
      <c r="B802" s="1" t="n">
        <v>45187</v>
      </c>
      <c r="C802" s="1" t="n">
        <v>45929</v>
      </c>
      <c r="D802" t="inlineStr">
        <is>
          <t>KALMAR LÄN</t>
        </is>
      </c>
      <c r="E802" t="inlineStr">
        <is>
          <t>VIMMERBY</t>
        </is>
      </c>
      <c r="G802" t="n">
        <v>3.4</v>
      </c>
      <c r="H802" t="n">
        <v>0</v>
      </c>
      <c r="I802" t="n">
        <v>0</v>
      </c>
      <c r="J802" t="n">
        <v>0</v>
      </c>
      <c r="K802" t="n">
        <v>0</v>
      </c>
      <c r="L802" t="n">
        <v>0</v>
      </c>
      <c r="M802" t="n">
        <v>0</v>
      </c>
      <c r="N802" t="n">
        <v>0</v>
      </c>
      <c r="O802" t="n">
        <v>0</v>
      </c>
      <c r="P802" t="n">
        <v>0</v>
      </c>
      <c r="Q802" t="n">
        <v>0</v>
      </c>
      <c r="R802" s="2" t="inlineStr"/>
    </row>
    <row r="803" ht="15" customHeight="1">
      <c r="A803" t="inlineStr">
        <is>
          <t>A 43705-2023</t>
        </is>
      </c>
      <c r="B803" s="1" t="n">
        <v>45187.42854166667</v>
      </c>
      <c r="C803" s="1" t="n">
        <v>45929</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7932-2025</t>
        </is>
      </c>
      <c r="B804" s="1" t="n">
        <v>45707.3793287037</v>
      </c>
      <c r="C804" s="1" t="n">
        <v>45929</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13532-2025</t>
        </is>
      </c>
      <c r="B805" s="1" t="n">
        <v>45736.50743055555</v>
      </c>
      <c r="C805" s="1" t="n">
        <v>45929</v>
      </c>
      <c r="D805" t="inlineStr">
        <is>
          <t>KALMAR LÄN</t>
        </is>
      </c>
      <c r="E805" t="inlineStr">
        <is>
          <t>VIMMERBY</t>
        </is>
      </c>
      <c r="G805" t="n">
        <v>3.6</v>
      </c>
      <c r="H805" t="n">
        <v>0</v>
      </c>
      <c r="I805" t="n">
        <v>0</v>
      </c>
      <c r="J805" t="n">
        <v>0</v>
      </c>
      <c r="K805" t="n">
        <v>0</v>
      </c>
      <c r="L805" t="n">
        <v>0</v>
      </c>
      <c r="M805" t="n">
        <v>0</v>
      </c>
      <c r="N805" t="n">
        <v>0</v>
      </c>
      <c r="O805" t="n">
        <v>0</v>
      </c>
      <c r="P805" t="n">
        <v>0</v>
      </c>
      <c r="Q805" t="n">
        <v>0</v>
      </c>
      <c r="R805" s="2" t="inlineStr"/>
    </row>
    <row r="806" ht="15" customHeight="1">
      <c r="A806" t="inlineStr">
        <is>
          <t>A 65049-2020</t>
        </is>
      </c>
      <c r="B806" s="1" t="n">
        <v>44172</v>
      </c>
      <c r="C806" s="1" t="n">
        <v>45929</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1978-2024</t>
        </is>
      </c>
      <c r="B807" s="1" t="n">
        <v>45308.59001157407</v>
      </c>
      <c r="C807" s="1" t="n">
        <v>45929</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6399-2025</t>
        </is>
      </c>
      <c r="B808" s="1" t="n">
        <v>45699.44291666667</v>
      </c>
      <c r="C808" s="1" t="n">
        <v>45929</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41311-2023</t>
        </is>
      </c>
      <c r="B809" s="1" t="n">
        <v>45174</v>
      </c>
      <c r="C809" s="1" t="n">
        <v>45929</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10785-2025</t>
        </is>
      </c>
      <c r="B810" s="1" t="n">
        <v>45722.48634259259</v>
      </c>
      <c r="C810" s="1" t="n">
        <v>45929</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10211-2025</t>
        </is>
      </c>
      <c r="B811" s="1" t="n">
        <v>45719.84378472222</v>
      </c>
      <c r="C811" s="1" t="n">
        <v>45929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18020-2025</t>
        </is>
      </c>
      <c r="B812" s="1" t="n">
        <v>45761.4437962963</v>
      </c>
      <c r="C812" s="1" t="n">
        <v>45929</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585-2024</t>
        </is>
      </c>
      <c r="B813" s="1" t="n">
        <v>45299.62576388889</v>
      </c>
      <c r="C813" s="1" t="n">
        <v>45929</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6802-2025</t>
        </is>
      </c>
      <c r="B814" s="1" t="n">
        <v>45700.68289351852</v>
      </c>
      <c r="C814" s="1" t="n">
        <v>45929</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56020-2024</t>
        </is>
      </c>
      <c r="B815" s="1" t="n">
        <v>45623.9525462963</v>
      </c>
      <c r="C815" s="1" t="n">
        <v>45929</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33842-2022</t>
        </is>
      </c>
      <c r="B816" s="1" t="n">
        <v>44790.49523148148</v>
      </c>
      <c r="C816" s="1" t="n">
        <v>45929</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60675-2023</t>
        </is>
      </c>
      <c r="B817" s="1" t="n">
        <v>45260.4716550926</v>
      </c>
      <c r="C817" s="1" t="n">
        <v>45929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40095-2022</t>
        </is>
      </c>
      <c r="B818" s="1" t="n">
        <v>44820</v>
      </c>
      <c r="C818" s="1" t="n">
        <v>45929</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19537-2022</t>
        </is>
      </c>
      <c r="B819" s="1" t="n">
        <v>44693.62822916666</v>
      </c>
      <c r="C819" s="1" t="n">
        <v>45929</v>
      </c>
      <c r="D819" t="inlineStr">
        <is>
          <t>KALMAR LÄN</t>
        </is>
      </c>
      <c r="E819" t="inlineStr">
        <is>
          <t>VIMMERBY</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57311-2023</t>
        </is>
      </c>
      <c r="B820" s="1" t="n">
        <v>45245.63574074074</v>
      </c>
      <c r="C820" s="1" t="n">
        <v>45929</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64428-2023</t>
        </is>
      </c>
      <c r="B821" s="1" t="n">
        <v>45280.66769675926</v>
      </c>
      <c r="C821" s="1" t="n">
        <v>45929</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4527-2023</t>
        </is>
      </c>
      <c r="B822" s="1" t="n">
        <v>44956</v>
      </c>
      <c r="C822" s="1" t="n">
        <v>45929</v>
      </c>
      <c r="D822" t="inlineStr">
        <is>
          <t>KALMAR LÄN</t>
        </is>
      </c>
      <c r="E822" t="inlineStr">
        <is>
          <t>VIMMERBY</t>
        </is>
      </c>
      <c r="F822" t="inlineStr">
        <is>
          <t>Kommuner</t>
        </is>
      </c>
      <c r="G822" t="n">
        <v>8.5</v>
      </c>
      <c r="H822" t="n">
        <v>0</v>
      </c>
      <c r="I822" t="n">
        <v>0</v>
      </c>
      <c r="J822" t="n">
        <v>0</v>
      </c>
      <c r="K822" t="n">
        <v>0</v>
      </c>
      <c r="L822" t="n">
        <v>0</v>
      </c>
      <c r="M822" t="n">
        <v>0</v>
      </c>
      <c r="N822" t="n">
        <v>0</v>
      </c>
      <c r="O822" t="n">
        <v>0</v>
      </c>
      <c r="P822" t="n">
        <v>0</v>
      </c>
      <c r="Q822" t="n">
        <v>0</v>
      </c>
      <c r="R822" s="2" t="inlineStr"/>
    </row>
    <row r="823" ht="15" customHeight="1">
      <c r="A823" t="inlineStr">
        <is>
          <t>A 3268-2024</t>
        </is>
      </c>
      <c r="B823" s="1" t="n">
        <v>45317</v>
      </c>
      <c r="C823" s="1" t="n">
        <v>45929</v>
      </c>
      <c r="D823" t="inlineStr">
        <is>
          <t>KALMAR LÄN</t>
        </is>
      </c>
      <c r="E823" t="inlineStr">
        <is>
          <t>VIMMERBY</t>
        </is>
      </c>
      <c r="F823" t="inlineStr">
        <is>
          <t>Övriga Aktiebolag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51408-2023</t>
        </is>
      </c>
      <c r="B824" s="1" t="n">
        <v>45219.69356481481</v>
      </c>
      <c r="C824" s="1" t="n">
        <v>45929</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12480-2024</t>
        </is>
      </c>
      <c r="B825" s="1" t="n">
        <v>45379</v>
      </c>
      <c r="C825" s="1" t="n">
        <v>45929</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52588-2023</t>
        </is>
      </c>
      <c r="B826" s="1" t="n">
        <v>45225.60192129629</v>
      </c>
      <c r="C826" s="1" t="n">
        <v>45929</v>
      </c>
      <c r="D826" t="inlineStr">
        <is>
          <t>KALMAR LÄN</t>
        </is>
      </c>
      <c r="E826" t="inlineStr">
        <is>
          <t>VIMMERBY</t>
        </is>
      </c>
      <c r="G826" t="n">
        <v>2.9</v>
      </c>
      <c r="H826" t="n">
        <v>0</v>
      </c>
      <c r="I826" t="n">
        <v>0</v>
      </c>
      <c r="J826" t="n">
        <v>0</v>
      </c>
      <c r="K826" t="n">
        <v>0</v>
      </c>
      <c r="L826" t="n">
        <v>0</v>
      </c>
      <c r="M826" t="n">
        <v>0</v>
      </c>
      <c r="N826" t="n">
        <v>0</v>
      </c>
      <c r="O826" t="n">
        <v>0</v>
      </c>
      <c r="P826" t="n">
        <v>0</v>
      </c>
      <c r="Q826" t="n">
        <v>0</v>
      </c>
      <c r="R826" s="2" t="inlineStr"/>
    </row>
    <row r="827" ht="15" customHeight="1">
      <c r="A827" t="inlineStr">
        <is>
          <t>A 55236-2023</t>
        </is>
      </c>
      <c r="B827" s="1" t="n">
        <v>45237.63225694445</v>
      </c>
      <c r="C827" s="1" t="n">
        <v>45929</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55245-2023</t>
        </is>
      </c>
      <c r="B828" s="1" t="n">
        <v>45237.64408564815</v>
      </c>
      <c r="C828" s="1" t="n">
        <v>45929</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19111-2025</t>
        </is>
      </c>
      <c r="B829" s="1" t="n">
        <v>45768.65611111111</v>
      </c>
      <c r="C829" s="1" t="n">
        <v>45929</v>
      </c>
      <c r="D829" t="inlineStr">
        <is>
          <t>KALMAR LÄN</t>
        </is>
      </c>
      <c r="E829" t="inlineStr">
        <is>
          <t>VIMMERBY</t>
        </is>
      </c>
      <c r="G829" t="n">
        <v>6.2</v>
      </c>
      <c r="H829" t="n">
        <v>0</v>
      </c>
      <c r="I829" t="n">
        <v>0</v>
      </c>
      <c r="J829" t="n">
        <v>0</v>
      </c>
      <c r="K829" t="n">
        <v>0</v>
      </c>
      <c r="L829" t="n">
        <v>0</v>
      </c>
      <c r="M829" t="n">
        <v>0</v>
      </c>
      <c r="N829" t="n">
        <v>0</v>
      </c>
      <c r="O829" t="n">
        <v>0</v>
      </c>
      <c r="P829" t="n">
        <v>0</v>
      </c>
      <c r="Q829" t="n">
        <v>0</v>
      </c>
      <c r="R829" s="2" t="inlineStr"/>
    </row>
    <row r="830" ht="15" customHeight="1">
      <c r="A830" t="inlineStr">
        <is>
          <t>A 25370-2022</t>
        </is>
      </c>
      <c r="B830" s="1" t="n">
        <v>44732.3659837963</v>
      </c>
      <c r="C830" s="1" t="n">
        <v>45929</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33838-2022</t>
        </is>
      </c>
      <c r="B831" s="1" t="n">
        <v>44790.49040509259</v>
      </c>
      <c r="C831" s="1" t="n">
        <v>45929</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4058-2024</t>
        </is>
      </c>
      <c r="B832" s="1" t="n">
        <v>45323.53744212963</v>
      </c>
      <c r="C832" s="1" t="n">
        <v>45929</v>
      </c>
      <c r="D832" t="inlineStr">
        <is>
          <t>KALMAR LÄN</t>
        </is>
      </c>
      <c r="E832" t="inlineStr">
        <is>
          <t>VIMMERBY</t>
        </is>
      </c>
      <c r="G832" t="n">
        <v>6.5</v>
      </c>
      <c r="H832" t="n">
        <v>0</v>
      </c>
      <c r="I832" t="n">
        <v>0</v>
      </c>
      <c r="J832" t="n">
        <v>0</v>
      </c>
      <c r="K832" t="n">
        <v>0</v>
      </c>
      <c r="L832" t="n">
        <v>0</v>
      </c>
      <c r="M832" t="n">
        <v>0</v>
      </c>
      <c r="N832" t="n">
        <v>0</v>
      </c>
      <c r="O832" t="n">
        <v>0</v>
      </c>
      <c r="P832" t="n">
        <v>0</v>
      </c>
      <c r="Q832" t="n">
        <v>0</v>
      </c>
      <c r="R832" s="2" t="inlineStr"/>
    </row>
    <row r="833" ht="15" customHeight="1">
      <c r="A833" t="inlineStr">
        <is>
          <t>A 36008-2024</t>
        </is>
      </c>
      <c r="B833" s="1" t="n">
        <v>45533.55362268518</v>
      </c>
      <c r="C833" s="1" t="n">
        <v>45929</v>
      </c>
      <c r="D833" t="inlineStr">
        <is>
          <t>KALMAR LÄN</t>
        </is>
      </c>
      <c r="E833" t="inlineStr">
        <is>
          <t>VIMMERBY</t>
        </is>
      </c>
      <c r="G833" t="n">
        <v>3.7</v>
      </c>
      <c r="H833" t="n">
        <v>0</v>
      </c>
      <c r="I833" t="n">
        <v>0</v>
      </c>
      <c r="J833" t="n">
        <v>0</v>
      </c>
      <c r="K833" t="n">
        <v>0</v>
      </c>
      <c r="L833" t="n">
        <v>0</v>
      </c>
      <c r="M833" t="n">
        <v>0</v>
      </c>
      <c r="N833" t="n">
        <v>0</v>
      </c>
      <c r="O833" t="n">
        <v>0</v>
      </c>
      <c r="P833" t="n">
        <v>0</v>
      </c>
      <c r="Q833" t="n">
        <v>0</v>
      </c>
      <c r="R833" s="2" t="inlineStr"/>
    </row>
    <row r="834" ht="15" customHeight="1">
      <c r="A834" t="inlineStr">
        <is>
          <t>A 18669-2025</t>
        </is>
      </c>
      <c r="B834" s="1" t="n">
        <v>45763.59436342592</v>
      </c>
      <c r="C834" s="1" t="n">
        <v>45929</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8540-2024</t>
        </is>
      </c>
      <c r="B835" s="1" t="n">
        <v>45355.54138888889</v>
      </c>
      <c r="C835" s="1" t="n">
        <v>45929</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9623-2024</t>
        </is>
      </c>
      <c r="B836" s="1" t="n">
        <v>45361.87975694444</v>
      </c>
      <c r="C836" s="1" t="n">
        <v>45929</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5146-2024</t>
        </is>
      </c>
      <c r="B837" s="1" t="n">
        <v>45330</v>
      </c>
      <c r="C837" s="1" t="n">
        <v>45929</v>
      </c>
      <c r="D837" t="inlineStr">
        <is>
          <t>KALMAR LÄN</t>
        </is>
      </c>
      <c r="E837" t="inlineStr">
        <is>
          <t>VIMMERBY</t>
        </is>
      </c>
      <c r="G837" t="n">
        <v>5.3</v>
      </c>
      <c r="H837" t="n">
        <v>0</v>
      </c>
      <c r="I837" t="n">
        <v>0</v>
      </c>
      <c r="J837" t="n">
        <v>0</v>
      </c>
      <c r="K837" t="n">
        <v>0</v>
      </c>
      <c r="L837" t="n">
        <v>0</v>
      </c>
      <c r="M837" t="n">
        <v>0</v>
      </c>
      <c r="N837" t="n">
        <v>0</v>
      </c>
      <c r="O837" t="n">
        <v>0</v>
      </c>
      <c r="P837" t="n">
        <v>0</v>
      </c>
      <c r="Q837" t="n">
        <v>0</v>
      </c>
      <c r="R837" s="2" t="inlineStr"/>
    </row>
    <row r="838" ht="15" customHeight="1">
      <c r="A838" t="inlineStr">
        <is>
          <t>A 5148-2024</t>
        </is>
      </c>
      <c r="B838" s="1" t="n">
        <v>45330</v>
      </c>
      <c r="C838" s="1" t="n">
        <v>45929</v>
      </c>
      <c r="D838" t="inlineStr">
        <is>
          <t>KALMAR LÄN</t>
        </is>
      </c>
      <c r="E838" t="inlineStr">
        <is>
          <t>VIMMERBY</t>
        </is>
      </c>
      <c r="G838" t="n">
        <v>5.6</v>
      </c>
      <c r="H838" t="n">
        <v>0</v>
      </c>
      <c r="I838" t="n">
        <v>0</v>
      </c>
      <c r="J838" t="n">
        <v>0</v>
      </c>
      <c r="K838" t="n">
        <v>0</v>
      </c>
      <c r="L838" t="n">
        <v>0</v>
      </c>
      <c r="M838" t="n">
        <v>0</v>
      </c>
      <c r="N838" t="n">
        <v>0</v>
      </c>
      <c r="O838" t="n">
        <v>0</v>
      </c>
      <c r="P838" t="n">
        <v>0</v>
      </c>
      <c r="Q838" t="n">
        <v>0</v>
      </c>
      <c r="R838" s="2" t="inlineStr"/>
    </row>
    <row r="839" ht="15" customHeight="1">
      <c r="A839" t="inlineStr">
        <is>
          <t>A 44179-2022</t>
        </is>
      </c>
      <c r="B839" s="1" t="n">
        <v>44839.4528125</v>
      </c>
      <c r="C839" s="1" t="n">
        <v>45929</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50648-2023</t>
        </is>
      </c>
      <c r="B840" s="1" t="n">
        <v>45217.47834490741</v>
      </c>
      <c r="C840" s="1" t="n">
        <v>45929</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2121-2022</t>
        </is>
      </c>
      <c r="B841" s="1" t="n">
        <v>44578.32717592592</v>
      </c>
      <c r="C841" s="1" t="n">
        <v>45929</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57799-2022</t>
        </is>
      </c>
      <c r="B842" s="1" t="n">
        <v>44897</v>
      </c>
      <c r="C842" s="1" t="n">
        <v>45929</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15394-2025</t>
        </is>
      </c>
      <c r="B843" s="1" t="n">
        <v>45747.43196759259</v>
      </c>
      <c r="C843" s="1" t="n">
        <v>45929</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26318-2023</t>
        </is>
      </c>
      <c r="B844" s="1" t="n">
        <v>45091.67936342592</v>
      </c>
      <c r="C844" s="1" t="n">
        <v>45929</v>
      </c>
      <c r="D844" t="inlineStr">
        <is>
          <t>KALMAR LÄN</t>
        </is>
      </c>
      <c r="E844" t="inlineStr">
        <is>
          <t>VIMMERBY</t>
        </is>
      </c>
      <c r="G844" t="n">
        <v>3.8</v>
      </c>
      <c r="H844" t="n">
        <v>0</v>
      </c>
      <c r="I844" t="n">
        <v>0</v>
      </c>
      <c r="J844" t="n">
        <v>0</v>
      </c>
      <c r="K844" t="n">
        <v>0</v>
      </c>
      <c r="L844" t="n">
        <v>0</v>
      </c>
      <c r="M844" t="n">
        <v>0</v>
      </c>
      <c r="N844" t="n">
        <v>0</v>
      </c>
      <c r="O844" t="n">
        <v>0</v>
      </c>
      <c r="P844" t="n">
        <v>0</v>
      </c>
      <c r="Q844" t="n">
        <v>0</v>
      </c>
      <c r="R844" s="2" t="inlineStr"/>
    </row>
    <row r="845" ht="15" customHeight="1">
      <c r="A845" t="inlineStr">
        <is>
          <t>A 60437-2023</t>
        </is>
      </c>
      <c r="B845" s="1" t="n">
        <v>45259.51916666667</v>
      </c>
      <c r="C845" s="1" t="n">
        <v>45929</v>
      </c>
      <c r="D845" t="inlineStr">
        <is>
          <t>KALMAR LÄN</t>
        </is>
      </c>
      <c r="E845" t="inlineStr">
        <is>
          <t>VIMMERBY</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60438-2023</t>
        </is>
      </c>
      <c r="B846" s="1" t="n">
        <v>45259.52020833334</v>
      </c>
      <c r="C846" s="1" t="n">
        <v>45929</v>
      </c>
      <c r="D846" t="inlineStr">
        <is>
          <t>KALMAR LÄN</t>
        </is>
      </c>
      <c r="E846" t="inlineStr">
        <is>
          <t>VIMMERBY</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13076-2025</t>
        </is>
      </c>
      <c r="B847" s="1" t="n">
        <v>45734.62017361111</v>
      </c>
      <c r="C847" s="1" t="n">
        <v>45929</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7758-2024</t>
        </is>
      </c>
      <c r="B848" s="1" t="n">
        <v>45349.54434027777</v>
      </c>
      <c r="C848" s="1" t="n">
        <v>45929</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7456-2024</t>
        </is>
      </c>
      <c r="B849" s="1" t="n">
        <v>45345.83557870371</v>
      </c>
      <c r="C849" s="1" t="n">
        <v>45929</v>
      </c>
      <c r="D849" t="inlineStr">
        <is>
          <t>KALMAR LÄN</t>
        </is>
      </c>
      <c r="E849" t="inlineStr">
        <is>
          <t>VIMMERBY</t>
        </is>
      </c>
      <c r="G849" t="n">
        <v>4.1</v>
      </c>
      <c r="H849" t="n">
        <v>0</v>
      </c>
      <c r="I849" t="n">
        <v>0</v>
      </c>
      <c r="J849" t="n">
        <v>0</v>
      </c>
      <c r="K849" t="n">
        <v>0</v>
      </c>
      <c r="L849" t="n">
        <v>0</v>
      </c>
      <c r="M849" t="n">
        <v>0</v>
      </c>
      <c r="N849" t="n">
        <v>0</v>
      </c>
      <c r="O849" t="n">
        <v>0</v>
      </c>
      <c r="P849" t="n">
        <v>0</v>
      </c>
      <c r="Q849" t="n">
        <v>0</v>
      </c>
      <c r="R849" s="2" t="inlineStr"/>
    </row>
    <row r="850" ht="15" customHeight="1">
      <c r="A850" t="inlineStr">
        <is>
          <t>A 6082-2022</t>
        </is>
      </c>
      <c r="B850" s="1" t="n">
        <v>44599</v>
      </c>
      <c r="C850" s="1" t="n">
        <v>45929</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46979-2023</t>
        </is>
      </c>
      <c r="B851" s="1" t="n">
        <v>45201</v>
      </c>
      <c r="C851" s="1" t="n">
        <v>45929</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2596-2025</t>
        </is>
      </c>
      <c r="B852" s="1" t="n">
        <v>45674.71810185185</v>
      </c>
      <c r="C852" s="1" t="n">
        <v>45929</v>
      </c>
      <c r="D852" t="inlineStr">
        <is>
          <t>KALMAR LÄN</t>
        </is>
      </c>
      <c r="E852" t="inlineStr">
        <is>
          <t>VIMMERBY</t>
        </is>
      </c>
      <c r="G852" t="n">
        <v>9</v>
      </c>
      <c r="H852" t="n">
        <v>0</v>
      </c>
      <c r="I852" t="n">
        <v>0</v>
      </c>
      <c r="J852" t="n">
        <v>0</v>
      </c>
      <c r="K852" t="n">
        <v>0</v>
      </c>
      <c r="L852" t="n">
        <v>0</v>
      </c>
      <c r="M852" t="n">
        <v>0</v>
      </c>
      <c r="N852" t="n">
        <v>0</v>
      </c>
      <c r="O852" t="n">
        <v>0</v>
      </c>
      <c r="P852" t="n">
        <v>0</v>
      </c>
      <c r="Q852" t="n">
        <v>0</v>
      </c>
      <c r="R852" s="2" t="inlineStr"/>
    </row>
    <row r="853" ht="15" customHeight="1">
      <c r="A853" t="inlineStr">
        <is>
          <t>A 47855-2024</t>
        </is>
      </c>
      <c r="B853" s="1" t="n">
        <v>45588.66457175926</v>
      </c>
      <c r="C853" s="1" t="n">
        <v>45929</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63583-2023</t>
        </is>
      </c>
      <c r="B854" s="1" t="n">
        <v>45275.41833333333</v>
      </c>
      <c r="C854" s="1" t="n">
        <v>45929</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c r="A855" t="inlineStr">
        <is>
          <t>A 60228-2021</t>
        </is>
      </c>
      <c r="B855" s="1" t="n">
        <v>44495</v>
      </c>
      <c r="C855" s="1" t="n">
        <v>45929</v>
      </c>
      <c r="D855" t="inlineStr">
        <is>
          <t>KALMAR LÄN</t>
        </is>
      </c>
      <c r="E855" t="inlineStr">
        <is>
          <t>VIMMERBY</t>
        </is>
      </c>
      <c r="G855" t="n">
        <v>4.1</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2025-09-29T12:14:25Z</dcterms:created>
  <dcterms:modified xmlns:dcterms="http://purl.org/dc/terms/" xmlns:xsi="http://www.w3.org/2001/XMLSchema-instance" xsi:type="dcterms:W3CDTF">2025-09-29T12:14:26Z</dcterms:modified>
</cp:coreProperties>
</file>