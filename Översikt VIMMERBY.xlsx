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46175</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46175</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46175</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46175</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46175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46175</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55604-2025</t>
        </is>
      </c>
      <c r="B14" s="1" t="n">
        <v>45971</v>
      </c>
      <c r="C14" s="1" t="n">
        <v>46175</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46175</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46175</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37901-2022</t>
        </is>
      </c>
      <c r="B17" s="1" t="n">
        <v>44811</v>
      </c>
      <c r="C17" s="1" t="n">
        <v>46175</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46175</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46175</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46175</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46175</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46175</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46175</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46175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46175</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40684-2025</t>
        </is>
      </c>
      <c r="B26" s="1" t="n">
        <v>45896.86820601852</v>
      </c>
      <c r="C26" s="1" t="n">
        <v>46175</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46175</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14426-2026</t>
        </is>
      </c>
      <c r="B28" s="1" t="n">
        <v>46100.46956018519</v>
      </c>
      <c r="C28" s="1" t="n">
        <v>46175</v>
      </c>
      <c r="D28" t="inlineStr">
        <is>
          <t>KALMAR LÄN</t>
        </is>
      </c>
      <c r="E28" t="inlineStr">
        <is>
          <t>VIMMERBY</t>
        </is>
      </c>
      <c r="F28" t="inlineStr">
        <is>
          <t>Kyrkan</t>
        </is>
      </c>
      <c r="G28" t="n">
        <v>8.6</v>
      </c>
      <c r="H28" t="n">
        <v>1</v>
      </c>
      <c r="I28" t="n">
        <v>0</v>
      </c>
      <c r="J28" t="n">
        <v>1</v>
      </c>
      <c r="K28" t="n">
        <v>1</v>
      </c>
      <c r="L28" t="n">
        <v>0</v>
      </c>
      <c r="M28" t="n">
        <v>0</v>
      </c>
      <c r="N28" t="n">
        <v>0</v>
      </c>
      <c r="O28" t="n">
        <v>2</v>
      </c>
      <c r="P28" t="n">
        <v>1</v>
      </c>
      <c r="Q28" t="n">
        <v>2</v>
      </c>
      <c r="R28" s="2" t="inlineStr">
        <is>
          <t>Knärot
Tallticka</t>
        </is>
      </c>
      <c r="S28">
        <f>HYPERLINK("https://klasma.github.io/Logging_0884/artfynd/A 14426-2026 artfynd.xlsx", "A 14426-2026")</f>
        <v/>
      </c>
      <c r="T28">
        <f>HYPERLINK("https://klasma.github.io/Logging_0884/kartor/A 14426-2026 karta.png", "A 14426-2026")</f>
        <v/>
      </c>
      <c r="U28">
        <f>HYPERLINK("https://klasma.github.io/Logging_0884/knärot/A 14426-2026 karta knärot.png", "A 14426-2026")</f>
        <v/>
      </c>
      <c r="V28">
        <f>HYPERLINK("https://klasma.github.io/Logging_0884/klagomål/A 14426-2026 FSC-klagomål.docx", "A 14426-2026")</f>
        <v/>
      </c>
      <c r="W28">
        <f>HYPERLINK("https://klasma.github.io/Logging_0884/klagomålsmail/A 14426-2026 FSC-klagomål mail.docx", "A 14426-2026")</f>
        <v/>
      </c>
      <c r="X28">
        <f>HYPERLINK("https://klasma.github.io/Logging_0884/tillsyn/A 14426-2026 tillsynsbegäran.docx", "A 14426-2026")</f>
        <v/>
      </c>
      <c r="Y28">
        <f>HYPERLINK("https://klasma.github.io/Logging_0884/tillsynsmail/A 14426-2026 tillsynsbegäran mail.docx", "A 14426-2026")</f>
        <v/>
      </c>
    </row>
    <row r="29" ht="15" customHeight="1">
      <c r="A29" t="inlineStr">
        <is>
          <t>A 19158-2023</t>
        </is>
      </c>
      <c r="B29" s="1" t="n">
        <v>45048</v>
      </c>
      <c r="C29" s="1" t="n">
        <v>46175</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53787-2025</t>
        </is>
      </c>
      <c r="B30" s="1" t="n">
        <v>45960</v>
      </c>
      <c r="C30" s="1" t="n">
        <v>46175</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14024-2023</t>
        </is>
      </c>
      <c r="B31" s="1" t="n">
        <v>45008.60878472222</v>
      </c>
      <c r="C31" s="1" t="n">
        <v>46175</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22825-2023</t>
        </is>
      </c>
      <c r="B32" s="1" t="n">
        <v>45072</v>
      </c>
      <c r="C32" s="1" t="n">
        <v>46175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22396-2025</t>
        </is>
      </c>
      <c r="B33" s="1" t="n">
        <v>45786.52827546297</v>
      </c>
      <c r="C33" s="1" t="n">
        <v>46175</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46175</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46175</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29183-2025</t>
        </is>
      </c>
      <c r="B36" s="1" t="n">
        <v>45821</v>
      </c>
      <c r="C36" s="1" t="n">
        <v>46175</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40083-2023</t>
        </is>
      </c>
      <c r="B37" s="1" t="n">
        <v>45168</v>
      </c>
      <c r="C37" s="1" t="n">
        <v>46175</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46175</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61860-2024</t>
        </is>
      </c>
      <c r="B39" s="1" t="n">
        <v>45649</v>
      </c>
      <c r="C39" s="1" t="n">
        <v>46175</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23602-2023</t>
        </is>
      </c>
      <c r="B40" s="1" t="n">
        <v>45077</v>
      </c>
      <c r="C40" s="1" t="n">
        <v>46175</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53400-2025</t>
        </is>
      </c>
      <c r="B41" s="1" t="n">
        <v>45959.56684027778</v>
      </c>
      <c r="C41" s="1" t="n">
        <v>46175</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53404-2025</t>
        </is>
      </c>
      <c r="B42" s="1" t="n">
        <v>45959.57126157408</v>
      </c>
      <c r="C42" s="1" t="n">
        <v>46175</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55384-2025</t>
        </is>
      </c>
      <c r="B43" s="1" t="n">
        <v>45971.43178240741</v>
      </c>
      <c r="C43" s="1" t="n">
        <v>46175</v>
      </c>
      <c r="D43" t="inlineStr">
        <is>
          <t>KALMAR LÄN</t>
        </is>
      </c>
      <c r="E43" t="inlineStr">
        <is>
          <t>VIMMERBY</t>
        </is>
      </c>
      <c r="G43" t="n">
        <v>1.7</v>
      </c>
      <c r="H43" t="n">
        <v>1</v>
      </c>
      <c r="I43" t="n">
        <v>0</v>
      </c>
      <c r="J43" t="n">
        <v>1</v>
      </c>
      <c r="K43" t="n">
        <v>0</v>
      </c>
      <c r="L43" t="n">
        <v>0</v>
      </c>
      <c r="M43" t="n">
        <v>0</v>
      </c>
      <c r="N43" t="n">
        <v>0</v>
      </c>
      <c r="O43" t="n">
        <v>1</v>
      </c>
      <c r="P43" t="n">
        <v>0</v>
      </c>
      <c r="Q43" t="n">
        <v>1</v>
      </c>
      <c r="R43" s="2" t="inlineStr">
        <is>
          <t>Talltita</t>
        </is>
      </c>
      <c r="S43">
        <f>HYPERLINK("https://klasma.github.io/Logging_0884/artfynd/A 55384-2025 artfynd.xlsx", "A 55384-2025")</f>
        <v/>
      </c>
      <c r="T43">
        <f>HYPERLINK("https://klasma.github.io/Logging_0884/kartor/A 55384-2025 karta.png", "A 55384-2025")</f>
        <v/>
      </c>
      <c r="V43">
        <f>HYPERLINK("https://klasma.github.io/Logging_0884/klagomål/A 55384-2025 FSC-klagomål.docx", "A 55384-2025")</f>
        <v/>
      </c>
      <c r="W43">
        <f>HYPERLINK("https://klasma.github.io/Logging_0884/klagomålsmail/A 55384-2025 FSC-klagomål mail.docx", "A 55384-2025")</f>
        <v/>
      </c>
      <c r="X43">
        <f>HYPERLINK("https://klasma.github.io/Logging_0884/tillsyn/A 55384-2025 tillsynsbegäran.docx", "A 55384-2025")</f>
        <v/>
      </c>
      <c r="Y43">
        <f>HYPERLINK("https://klasma.github.io/Logging_0884/tillsynsmail/A 55384-2025 tillsynsbegäran mail.docx", "A 55384-2025")</f>
        <v/>
      </c>
      <c r="Z43">
        <f>HYPERLINK("https://klasma.github.io/Logging_0884/fåglar/A 55384-2025 prioriterade fågelarter.docx", "A 55384-2025")</f>
        <v/>
      </c>
    </row>
    <row r="44" ht="15" customHeight="1">
      <c r="A44" t="inlineStr">
        <is>
          <t>A 57062-2025</t>
        </is>
      </c>
      <c r="B44" s="1" t="n">
        <v>45979.37598379629</v>
      </c>
      <c r="C44" s="1" t="n">
        <v>46175</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15122-2024</t>
        </is>
      </c>
      <c r="B45" s="1" t="n">
        <v>45399.71412037037</v>
      </c>
      <c r="C45" s="1" t="n">
        <v>46175</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46175</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46175</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44515-2024</t>
        </is>
      </c>
      <c r="B48" s="1" t="n">
        <v>45574.42767361111</v>
      </c>
      <c r="C48" s="1" t="n">
        <v>46175</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9067-2025</t>
        </is>
      </c>
      <c r="B49" s="1" t="n">
        <v>45713</v>
      </c>
      <c r="C49" s="1" t="n">
        <v>46175</v>
      </c>
      <c r="D49" t="inlineStr">
        <is>
          <t>KALMAR LÄN</t>
        </is>
      </c>
      <c r="E49" t="inlineStr">
        <is>
          <t>VIMMERBY</t>
        </is>
      </c>
      <c r="G49" t="n">
        <v>3.9</v>
      </c>
      <c r="H49" t="n">
        <v>0</v>
      </c>
      <c r="I49" t="n">
        <v>1</v>
      </c>
      <c r="J49" t="n">
        <v>0</v>
      </c>
      <c r="K49" t="n">
        <v>0</v>
      </c>
      <c r="L49" t="n">
        <v>0</v>
      </c>
      <c r="M49" t="n">
        <v>0</v>
      </c>
      <c r="N49" t="n">
        <v>0</v>
      </c>
      <c r="O49" t="n">
        <v>0</v>
      </c>
      <c r="P49" t="n">
        <v>0</v>
      </c>
      <c r="Q49" t="n">
        <v>1</v>
      </c>
      <c r="R49" s="2" t="inlineStr">
        <is>
          <t>Ögonpyrola</t>
        </is>
      </c>
      <c r="S49">
        <f>HYPERLINK("https://klasma.github.io/Logging_0884/artfynd/A 9067-2025 artfynd.xlsx", "A 9067-2025")</f>
        <v/>
      </c>
      <c r="T49">
        <f>HYPERLINK("https://klasma.github.io/Logging_0884/kartor/A 9067-2025 karta.png", "A 9067-2025")</f>
        <v/>
      </c>
      <c r="V49">
        <f>HYPERLINK("https://klasma.github.io/Logging_0884/klagomål/A 9067-2025 FSC-klagomål.docx", "A 9067-2025")</f>
        <v/>
      </c>
      <c r="W49">
        <f>HYPERLINK("https://klasma.github.io/Logging_0884/klagomålsmail/A 9067-2025 FSC-klagomål mail.docx", "A 9067-2025")</f>
        <v/>
      </c>
      <c r="X49">
        <f>HYPERLINK("https://klasma.github.io/Logging_0884/tillsyn/A 9067-2025 tillsynsbegäran.docx", "A 9067-2025")</f>
        <v/>
      </c>
      <c r="Y49">
        <f>HYPERLINK("https://klasma.github.io/Logging_0884/tillsynsmail/A 9067-2025 tillsynsbegäran mail.docx", "A 9067-2025")</f>
        <v/>
      </c>
    </row>
    <row r="50" ht="15" customHeight="1">
      <c r="A50" t="inlineStr">
        <is>
          <t>A 52301-2023</t>
        </is>
      </c>
      <c r="B50" s="1" t="n">
        <v>45224</v>
      </c>
      <c r="C50" s="1" t="n">
        <v>46175</v>
      </c>
      <c r="D50" t="inlineStr">
        <is>
          <t>KALMAR LÄN</t>
        </is>
      </c>
      <c r="E50" t="inlineStr">
        <is>
          <t>VIMMERBY</t>
        </is>
      </c>
      <c r="G50" t="n">
        <v>5.3</v>
      </c>
      <c r="H50" t="n">
        <v>0</v>
      </c>
      <c r="I50" t="n">
        <v>0</v>
      </c>
      <c r="J50" t="n">
        <v>0</v>
      </c>
      <c r="K50" t="n">
        <v>0</v>
      </c>
      <c r="L50" t="n">
        <v>1</v>
      </c>
      <c r="M50" t="n">
        <v>0</v>
      </c>
      <c r="N50" t="n">
        <v>0</v>
      </c>
      <c r="O50" t="n">
        <v>1</v>
      </c>
      <c r="P50" t="n">
        <v>1</v>
      </c>
      <c r="Q50" t="n">
        <v>1</v>
      </c>
      <c r="R50" s="2" t="inlineStr">
        <is>
          <t>Ask</t>
        </is>
      </c>
      <c r="S50">
        <f>HYPERLINK("https://klasma.github.io/Logging_0884/artfynd/A 52301-2023 artfynd.xlsx", "A 52301-2023")</f>
        <v/>
      </c>
      <c r="T50">
        <f>HYPERLINK("https://klasma.github.io/Logging_0884/kartor/A 52301-2023 karta.png", "A 52301-2023")</f>
        <v/>
      </c>
      <c r="V50">
        <f>HYPERLINK("https://klasma.github.io/Logging_0884/klagomål/A 52301-2023 FSC-klagomål.docx", "A 52301-2023")</f>
        <v/>
      </c>
      <c r="W50">
        <f>HYPERLINK("https://klasma.github.io/Logging_0884/klagomålsmail/A 52301-2023 FSC-klagomål mail.docx", "A 52301-2023")</f>
        <v/>
      </c>
      <c r="X50">
        <f>HYPERLINK("https://klasma.github.io/Logging_0884/tillsyn/A 52301-2023 tillsynsbegäran.docx", "A 52301-2023")</f>
        <v/>
      </c>
      <c r="Y50">
        <f>HYPERLINK("https://klasma.github.io/Logging_0884/tillsynsmail/A 52301-2023 tillsynsbegäran mail.docx", "A 52301-2023")</f>
        <v/>
      </c>
    </row>
    <row r="51" ht="15" customHeight="1">
      <c r="A51" t="inlineStr">
        <is>
          <t>A 33436-2021</t>
        </is>
      </c>
      <c r="B51" s="1" t="n">
        <v>44377.61104166666</v>
      </c>
      <c r="C51" s="1" t="n">
        <v>46175</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1201-2025</t>
        </is>
      </c>
      <c r="B52" s="1" t="n">
        <v>45667</v>
      </c>
      <c r="C52" s="1" t="n">
        <v>46175</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59070-2021</t>
        </is>
      </c>
      <c r="B53" s="1" t="n">
        <v>44490.38613425926</v>
      </c>
      <c r="C53" s="1" t="n">
        <v>46175</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46175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46175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46175</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46175</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46175</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46175</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46175</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46175</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46175</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46175</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46175</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46175</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46175</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46175</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46175</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46175</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50809-2022</t>
        </is>
      </c>
      <c r="B70" s="1" t="n">
        <v>44862</v>
      </c>
      <c r="C70" s="1" t="n">
        <v>46175</v>
      </c>
      <c r="D70" t="inlineStr">
        <is>
          <t>KALMAR LÄN</t>
        </is>
      </c>
      <c r="E70" t="inlineStr">
        <is>
          <t>VIMMERBY</t>
        </is>
      </c>
      <c r="G70" t="n">
        <v>3.7</v>
      </c>
      <c r="H70" t="n">
        <v>0</v>
      </c>
      <c r="I70" t="n">
        <v>0</v>
      </c>
      <c r="J70" t="n">
        <v>0</v>
      </c>
      <c r="K70" t="n">
        <v>0</v>
      </c>
      <c r="L70" t="n">
        <v>0</v>
      </c>
      <c r="M70" t="n">
        <v>0</v>
      </c>
      <c r="N70" t="n">
        <v>0</v>
      </c>
      <c r="O70" t="n">
        <v>0</v>
      </c>
      <c r="P70" t="n">
        <v>0</v>
      </c>
      <c r="Q70" t="n">
        <v>0</v>
      </c>
      <c r="R70" s="2" t="inlineStr"/>
    </row>
    <row r="71" ht="15" customHeight="1">
      <c r="A71" t="inlineStr">
        <is>
          <t>A 2183-2022</t>
        </is>
      </c>
      <c r="B71" s="1" t="n">
        <v>44578.47597222222</v>
      </c>
      <c r="C71" s="1" t="n">
        <v>46175</v>
      </c>
      <c r="D71" t="inlineStr">
        <is>
          <t>KALMAR LÄN</t>
        </is>
      </c>
      <c r="E71" t="inlineStr">
        <is>
          <t>VIMMERBY</t>
        </is>
      </c>
      <c r="G71" t="n">
        <v>4.8</v>
      </c>
      <c r="H71" t="n">
        <v>0</v>
      </c>
      <c r="I71" t="n">
        <v>0</v>
      </c>
      <c r="J71" t="n">
        <v>0</v>
      </c>
      <c r="K71" t="n">
        <v>0</v>
      </c>
      <c r="L71" t="n">
        <v>0</v>
      </c>
      <c r="M71" t="n">
        <v>0</v>
      </c>
      <c r="N71" t="n">
        <v>0</v>
      </c>
      <c r="O71" t="n">
        <v>0</v>
      </c>
      <c r="P71" t="n">
        <v>0</v>
      </c>
      <c r="Q71" t="n">
        <v>0</v>
      </c>
      <c r="R71" s="2" t="inlineStr"/>
    </row>
    <row r="72" ht="15" customHeight="1">
      <c r="A72" t="inlineStr">
        <is>
          <t>A 65670-2021</t>
        </is>
      </c>
      <c r="B72" s="1" t="n">
        <v>44516.59703703703</v>
      </c>
      <c r="C72" s="1" t="n">
        <v>46175</v>
      </c>
      <c r="D72" t="inlineStr">
        <is>
          <t>KALMAR LÄN</t>
        </is>
      </c>
      <c r="E72" t="inlineStr">
        <is>
          <t>VIMMERBY</t>
        </is>
      </c>
      <c r="G72" t="n">
        <v>1.9</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46175</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46175</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46175</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46175</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46175</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27762-2021</t>
        </is>
      </c>
      <c r="B78" s="1" t="n">
        <v>44354</v>
      </c>
      <c r="C78" s="1" t="n">
        <v>46175</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46175</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71626-2021</t>
        </is>
      </c>
      <c r="B80" s="1" t="n">
        <v>44542.8859375</v>
      </c>
      <c r="C80" s="1" t="n">
        <v>46175</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46175</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46175</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46175</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46175</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46175</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46175</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46175</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46175</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46175</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46175</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46175</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46175</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46175</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46175</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46175</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46175</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46175</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46175</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46175</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46175</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33690-2022</t>
        </is>
      </c>
      <c r="B101" s="1" t="n">
        <v>44789</v>
      </c>
      <c r="C101" s="1" t="n">
        <v>46175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35198-2021</t>
        </is>
      </c>
      <c r="B102" s="1" t="n">
        <v>44377</v>
      </c>
      <c r="C102" s="1" t="n">
        <v>46175</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34036-2021</t>
        </is>
      </c>
      <c r="B103" s="1" t="n">
        <v>44379</v>
      </c>
      <c r="C103" s="1" t="n">
        <v>46175</v>
      </c>
      <c r="D103" t="inlineStr">
        <is>
          <t>KALMAR LÄN</t>
        </is>
      </c>
      <c r="E103" t="inlineStr">
        <is>
          <t>VIMMERBY</t>
        </is>
      </c>
      <c r="F103" t="inlineStr">
        <is>
          <t>Sveaskog</t>
        </is>
      </c>
      <c r="G103" t="n">
        <v>7</v>
      </c>
      <c r="H103" t="n">
        <v>0</v>
      </c>
      <c r="I103" t="n">
        <v>0</v>
      </c>
      <c r="J103" t="n">
        <v>0</v>
      </c>
      <c r="K103" t="n">
        <v>0</v>
      </c>
      <c r="L103" t="n">
        <v>0</v>
      </c>
      <c r="M103" t="n">
        <v>0</v>
      </c>
      <c r="N103" t="n">
        <v>0</v>
      </c>
      <c r="O103" t="n">
        <v>0</v>
      </c>
      <c r="P103" t="n">
        <v>0</v>
      </c>
      <c r="Q103" t="n">
        <v>0</v>
      </c>
      <c r="R103" s="2" t="inlineStr"/>
    </row>
    <row r="104" ht="15" customHeight="1">
      <c r="A104" t="inlineStr">
        <is>
          <t>A 63244-2021</t>
        </is>
      </c>
      <c r="B104" s="1" t="n">
        <v>44508</v>
      </c>
      <c r="C104" s="1" t="n">
        <v>46175</v>
      </c>
      <c r="D104" t="inlineStr">
        <is>
          <t>KALMAR LÄN</t>
        </is>
      </c>
      <c r="E104" t="inlineStr">
        <is>
          <t>VIMMERBY</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11814-2022</t>
        </is>
      </c>
      <c r="B105" s="1" t="n">
        <v>44634.69703703704</v>
      </c>
      <c r="C105" s="1" t="n">
        <v>46175</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56385-2021</t>
        </is>
      </c>
      <c r="B106" s="1" t="n">
        <v>44480</v>
      </c>
      <c r="C106" s="1" t="n">
        <v>46175</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31053-2022</t>
        </is>
      </c>
      <c r="B107" s="1" t="n">
        <v>44769.45422453704</v>
      </c>
      <c r="C107" s="1" t="n">
        <v>46175</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8454-2022</t>
        </is>
      </c>
      <c r="B108" s="1" t="n">
        <v>44612.86762731482</v>
      </c>
      <c r="C108" s="1" t="n">
        <v>46175</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65887-2021</t>
        </is>
      </c>
      <c r="B109" s="1" t="n">
        <v>44517</v>
      </c>
      <c r="C109" s="1" t="n">
        <v>46175</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46175</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7917-2022</t>
        </is>
      </c>
      <c r="B111" s="1" t="n">
        <v>44608</v>
      </c>
      <c r="C111" s="1" t="n">
        <v>46175</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47208-2021</t>
        </is>
      </c>
      <c r="B112" s="1" t="n">
        <v>44447.34237268518</v>
      </c>
      <c r="C112" s="1" t="n">
        <v>46175</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56389-2021</t>
        </is>
      </c>
      <c r="B113" s="1" t="n">
        <v>44480</v>
      </c>
      <c r="C113" s="1" t="n">
        <v>46175</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67952-2021</t>
        </is>
      </c>
      <c r="B114" s="1" t="n">
        <v>44525.63913194444</v>
      </c>
      <c r="C114" s="1" t="n">
        <v>46175</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15533-2022</t>
        </is>
      </c>
      <c r="B115" s="1" t="n">
        <v>44662</v>
      </c>
      <c r="C115" s="1" t="n">
        <v>46175</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46175</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34040-2021</t>
        </is>
      </c>
      <c r="B117" s="1" t="n">
        <v>44379</v>
      </c>
      <c r="C117" s="1" t="n">
        <v>46175</v>
      </c>
      <c r="D117" t="inlineStr">
        <is>
          <t>KALMAR LÄN</t>
        </is>
      </c>
      <c r="E117" t="inlineStr">
        <is>
          <t>VIMMERBY</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12107-2022</t>
        </is>
      </c>
      <c r="B118" s="1" t="n">
        <v>44636</v>
      </c>
      <c r="C118" s="1" t="n">
        <v>46175</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39225-2022</t>
        </is>
      </c>
      <c r="B119" s="1" t="n">
        <v>44817.57988425926</v>
      </c>
      <c r="C119" s="1" t="n">
        <v>46175</v>
      </c>
      <c r="D119" t="inlineStr">
        <is>
          <t>KALMAR LÄN</t>
        </is>
      </c>
      <c r="E119" t="inlineStr">
        <is>
          <t>VIMMERBY</t>
        </is>
      </c>
      <c r="G119" t="n">
        <v>2.2</v>
      </c>
      <c r="H119" t="n">
        <v>0</v>
      </c>
      <c r="I119" t="n">
        <v>0</v>
      </c>
      <c r="J119" t="n">
        <v>0</v>
      </c>
      <c r="K119" t="n">
        <v>0</v>
      </c>
      <c r="L119" t="n">
        <v>0</v>
      </c>
      <c r="M119" t="n">
        <v>0</v>
      </c>
      <c r="N119" t="n">
        <v>0</v>
      </c>
      <c r="O119" t="n">
        <v>0</v>
      </c>
      <c r="P119" t="n">
        <v>0</v>
      </c>
      <c r="Q119" t="n">
        <v>0</v>
      </c>
      <c r="R119" s="2" t="inlineStr"/>
    </row>
    <row r="120" ht="15" customHeight="1">
      <c r="A120" t="inlineStr">
        <is>
          <t>A 17029-2022</t>
        </is>
      </c>
      <c r="B120" s="1" t="n">
        <v>44676.85248842592</v>
      </c>
      <c r="C120" s="1" t="n">
        <v>46175</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7167-2022</t>
        </is>
      </c>
      <c r="B121" s="1" t="n">
        <v>44604</v>
      </c>
      <c r="C121" s="1" t="n">
        <v>46175</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35001-2021</t>
        </is>
      </c>
      <c r="B122" s="1" t="n">
        <v>44383</v>
      </c>
      <c r="C122" s="1" t="n">
        <v>46175</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55674-2021</t>
        </is>
      </c>
      <c r="B123" s="1" t="n">
        <v>44476</v>
      </c>
      <c r="C123" s="1" t="n">
        <v>46175</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40077-2021</t>
        </is>
      </c>
      <c r="B124" s="1" t="n">
        <v>44418</v>
      </c>
      <c r="C124" s="1" t="n">
        <v>46175</v>
      </c>
      <c r="D124" t="inlineStr">
        <is>
          <t>KALMAR LÄN</t>
        </is>
      </c>
      <c r="E124" t="inlineStr">
        <is>
          <t>VIMMERBY</t>
        </is>
      </c>
      <c r="G124" t="n">
        <v>2.9</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46175</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48377-2021</t>
        </is>
      </c>
      <c r="B126" s="1" t="n">
        <v>44451.8375</v>
      </c>
      <c r="C126" s="1" t="n">
        <v>46175</v>
      </c>
      <c r="D126" t="inlineStr">
        <is>
          <t>KALMAR LÄN</t>
        </is>
      </c>
      <c r="E126" t="inlineStr">
        <is>
          <t>VIMMERBY</t>
        </is>
      </c>
      <c r="G126" t="n">
        <v>0.4</v>
      </c>
      <c r="H126" t="n">
        <v>0</v>
      </c>
      <c r="I126" t="n">
        <v>0</v>
      </c>
      <c r="J126" t="n">
        <v>0</v>
      </c>
      <c r="K126" t="n">
        <v>0</v>
      </c>
      <c r="L126" t="n">
        <v>0</v>
      </c>
      <c r="M126" t="n">
        <v>0</v>
      </c>
      <c r="N126" t="n">
        <v>0</v>
      </c>
      <c r="O126" t="n">
        <v>0</v>
      </c>
      <c r="P126" t="n">
        <v>0</v>
      </c>
      <c r="Q126" t="n">
        <v>0</v>
      </c>
      <c r="R126" s="2" t="inlineStr"/>
    </row>
    <row r="127" ht="15" customHeight="1">
      <c r="A127" t="inlineStr">
        <is>
          <t>A 40472-2022</t>
        </is>
      </c>
      <c r="B127" s="1" t="n">
        <v>44823</v>
      </c>
      <c r="C127" s="1" t="n">
        <v>46175</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35316-2021</t>
        </is>
      </c>
      <c r="B128" s="1" t="n">
        <v>44384</v>
      </c>
      <c r="C128" s="1" t="n">
        <v>46175</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33831-2022</t>
        </is>
      </c>
      <c r="B129" s="1" t="n">
        <v>44790.48503472222</v>
      </c>
      <c r="C129" s="1" t="n">
        <v>46175</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47708-2022</t>
        </is>
      </c>
      <c r="B130" s="1" t="n">
        <v>44854.59157407407</v>
      </c>
      <c r="C130" s="1" t="n">
        <v>46175</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9918-2022</t>
        </is>
      </c>
      <c r="B131" s="1" t="n">
        <v>44620</v>
      </c>
      <c r="C131" s="1" t="n">
        <v>46175</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23825-2022</t>
        </is>
      </c>
      <c r="B132" s="1" t="n">
        <v>44722.48768518519</v>
      </c>
      <c r="C132" s="1" t="n">
        <v>46175</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41056-2022</t>
        </is>
      </c>
      <c r="B133" s="1" t="n">
        <v>44824</v>
      </c>
      <c r="C133" s="1" t="n">
        <v>46175</v>
      </c>
      <c r="D133" t="inlineStr">
        <is>
          <t>KALMAR LÄN</t>
        </is>
      </c>
      <c r="E133" t="inlineStr">
        <is>
          <t>VIMMERBY</t>
        </is>
      </c>
      <c r="G133" t="n">
        <v>0.8</v>
      </c>
      <c r="H133" t="n">
        <v>0</v>
      </c>
      <c r="I133" t="n">
        <v>0</v>
      </c>
      <c r="J133" t="n">
        <v>0</v>
      </c>
      <c r="K133" t="n">
        <v>0</v>
      </c>
      <c r="L133" t="n">
        <v>0</v>
      </c>
      <c r="M133" t="n">
        <v>0</v>
      </c>
      <c r="N133" t="n">
        <v>0</v>
      </c>
      <c r="O133" t="n">
        <v>0</v>
      </c>
      <c r="P133" t="n">
        <v>0</v>
      </c>
      <c r="Q133" t="n">
        <v>0</v>
      </c>
      <c r="R133" s="2" t="inlineStr"/>
    </row>
    <row r="134" ht="15" customHeight="1">
      <c r="A134" t="inlineStr">
        <is>
          <t>A 31660-2021</t>
        </is>
      </c>
      <c r="B134" s="1" t="n">
        <v>44369</v>
      </c>
      <c r="C134" s="1" t="n">
        <v>46175</v>
      </c>
      <c r="D134" t="inlineStr">
        <is>
          <t>KALMAR LÄN</t>
        </is>
      </c>
      <c r="E134" t="inlineStr">
        <is>
          <t>VIMMERBY</t>
        </is>
      </c>
      <c r="G134" t="n">
        <v>4.2</v>
      </c>
      <c r="H134" t="n">
        <v>0</v>
      </c>
      <c r="I134" t="n">
        <v>0</v>
      </c>
      <c r="J134" t="n">
        <v>0</v>
      </c>
      <c r="K134" t="n">
        <v>0</v>
      </c>
      <c r="L134" t="n">
        <v>0</v>
      </c>
      <c r="M134" t="n">
        <v>0</v>
      </c>
      <c r="N134" t="n">
        <v>0</v>
      </c>
      <c r="O134" t="n">
        <v>0</v>
      </c>
      <c r="P134" t="n">
        <v>0</v>
      </c>
      <c r="Q134" t="n">
        <v>0</v>
      </c>
      <c r="R134" s="2" t="inlineStr"/>
    </row>
    <row r="135" ht="15" customHeight="1">
      <c r="A135" t="inlineStr">
        <is>
          <t>A 27455-2022</t>
        </is>
      </c>
      <c r="B135" s="1" t="n">
        <v>44742</v>
      </c>
      <c r="C135" s="1" t="n">
        <v>46175</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47473-2021</t>
        </is>
      </c>
      <c r="B136" s="1" t="n">
        <v>44447</v>
      </c>
      <c r="C136" s="1" t="n">
        <v>46175</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36117-2021</t>
        </is>
      </c>
      <c r="B137" s="1" t="n">
        <v>44386</v>
      </c>
      <c r="C137" s="1" t="n">
        <v>46175</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32603-2021</t>
        </is>
      </c>
      <c r="B138" s="1" t="n">
        <v>44375.38789351852</v>
      </c>
      <c r="C138" s="1" t="n">
        <v>46175</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42521-2021</t>
        </is>
      </c>
      <c r="B139" s="1" t="n">
        <v>44427</v>
      </c>
      <c r="C139" s="1" t="n">
        <v>46175</v>
      </c>
      <c r="D139" t="inlineStr">
        <is>
          <t>KALMAR LÄN</t>
        </is>
      </c>
      <c r="E139" t="inlineStr">
        <is>
          <t>VIMMERBY</t>
        </is>
      </c>
      <c r="G139" t="n">
        <v>5.4</v>
      </c>
      <c r="H139" t="n">
        <v>0</v>
      </c>
      <c r="I139" t="n">
        <v>0</v>
      </c>
      <c r="J139" t="n">
        <v>0</v>
      </c>
      <c r="K139" t="n">
        <v>0</v>
      </c>
      <c r="L139" t="n">
        <v>0</v>
      </c>
      <c r="M139" t="n">
        <v>0</v>
      </c>
      <c r="N139" t="n">
        <v>0</v>
      </c>
      <c r="O139" t="n">
        <v>0</v>
      </c>
      <c r="P139" t="n">
        <v>0</v>
      </c>
      <c r="Q139" t="n">
        <v>0</v>
      </c>
      <c r="R139" s="2" t="inlineStr"/>
    </row>
    <row r="140" ht="15" customHeight="1">
      <c r="A140" t="inlineStr">
        <is>
          <t>A 46964-2022</t>
        </is>
      </c>
      <c r="B140" s="1" t="n">
        <v>44851.95016203704</v>
      </c>
      <c r="C140" s="1" t="n">
        <v>46175</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13180-2022</t>
        </is>
      </c>
      <c r="B141" s="1" t="n">
        <v>44644</v>
      </c>
      <c r="C141" s="1" t="n">
        <v>46175</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42850-2022</t>
        </is>
      </c>
      <c r="B142" s="1" t="n">
        <v>44832.67608796297</v>
      </c>
      <c r="C142" s="1" t="n">
        <v>46175</v>
      </c>
      <c r="D142" t="inlineStr">
        <is>
          <t>KALMAR LÄN</t>
        </is>
      </c>
      <c r="E142" t="inlineStr">
        <is>
          <t>VIMMERBY</t>
        </is>
      </c>
      <c r="G142" t="n">
        <v>5.9</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46175</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53145-2022</t>
        </is>
      </c>
      <c r="B144" s="1" t="n">
        <v>44876.48346064815</v>
      </c>
      <c r="C144" s="1" t="n">
        <v>46175</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25738-2022</t>
        </is>
      </c>
      <c r="B145" s="1" t="n">
        <v>44733.43092592592</v>
      </c>
      <c r="C145" s="1" t="n">
        <v>46175</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46175</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40971-2021</t>
        </is>
      </c>
      <c r="B147" s="1" t="n">
        <v>44421</v>
      </c>
      <c r="C147" s="1" t="n">
        <v>46175</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8453-2022</t>
        </is>
      </c>
      <c r="B148" s="1" t="n">
        <v>44612.86554398148</v>
      </c>
      <c r="C148" s="1" t="n">
        <v>46175</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54065-2021</t>
        </is>
      </c>
      <c r="B149" s="1" t="n">
        <v>44470.44232638889</v>
      </c>
      <c r="C149" s="1" t="n">
        <v>46175</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52433-2021</t>
        </is>
      </c>
      <c r="B150" s="1" t="n">
        <v>44466.34726851852</v>
      </c>
      <c r="C150" s="1" t="n">
        <v>46175</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50621-2022</t>
        </is>
      </c>
      <c r="B151" s="1" t="n">
        <v>44866.81100694444</v>
      </c>
      <c r="C151" s="1" t="n">
        <v>46175</v>
      </c>
      <c r="D151" t="inlineStr">
        <is>
          <t>KALMAR LÄN</t>
        </is>
      </c>
      <c r="E151" t="inlineStr">
        <is>
          <t>VIMMERBY</t>
        </is>
      </c>
      <c r="F151" t="inlineStr">
        <is>
          <t>Övriga Aktiebolag</t>
        </is>
      </c>
      <c r="G151" t="n">
        <v>5.1</v>
      </c>
      <c r="H151" t="n">
        <v>0</v>
      </c>
      <c r="I151" t="n">
        <v>0</v>
      </c>
      <c r="J151" t="n">
        <v>0</v>
      </c>
      <c r="K151" t="n">
        <v>0</v>
      </c>
      <c r="L151" t="n">
        <v>0</v>
      </c>
      <c r="M151" t="n">
        <v>0</v>
      </c>
      <c r="N151" t="n">
        <v>0</v>
      </c>
      <c r="O151" t="n">
        <v>0</v>
      </c>
      <c r="P151" t="n">
        <v>0</v>
      </c>
      <c r="Q151" t="n">
        <v>0</v>
      </c>
      <c r="R151" s="2" t="inlineStr"/>
    </row>
    <row r="152" ht="15" customHeight="1">
      <c r="A152" t="inlineStr">
        <is>
          <t>A 31824-2022</t>
        </is>
      </c>
      <c r="B152" s="1" t="n">
        <v>44776</v>
      </c>
      <c r="C152" s="1" t="n">
        <v>46175</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39042-2022</t>
        </is>
      </c>
      <c r="B153" s="1" t="n">
        <v>44817</v>
      </c>
      <c r="C153" s="1" t="n">
        <v>46175</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7804-2022</t>
        </is>
      </c>
      <c r="B154" s="1" t="n">
        <v>44608.50458333334</v>
      </c>
      <c r="C154" s="1" t="n">
        <v>46175</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29441-2024</t>
        </is>
      </c>
      <c r="B155" s="1" t="n">
        <v>45483.82834490741</v>
      </c>
      <c r="C155" s="1" t="n">
        <v>46175</v>
      </c>
      <c r="D155" t="inlineStr">
        <is>
          <t>KALMAR LÄN</t>
        </is>
      </c>
      <c r="E155" t="inlineStr">
        <is>
          <t>VIMMERBY</t>
        </is>
      </c>
      <c r="G155" t="n">
        <v>1.3</v>
      </c>
      <c r="H155" t="n">
        <v>0</v>
      </c>
      <c r="I155" t="n">
        <v>0</v>
      </c>
      <c r="J155" t="n">
        <v>0</v>
      </c>
      <c r="K155" t="n">
        <v>0</v>
      </c>
      <c r="L155" t="n">
        <v>0</v>
      </c>
      <c r="M155" t="n">
        <v>0</v>
      </c>
      <c r="N155" t="n">
        <v>0</v>
      </c>
      <c r="O155" t="n">
        <v>0</v>
      </c>
      <c r="P155" t="n">
        <v>0</v>
      </c>
      <c r="Q155" t="n">
        <v>0</v>
      </c>
      <c r="R155" s="2" t="inlineStr"/>
    </row>
    <row r="156" ht="15" customHeight="1">
      <c r="A156" t="inlineStr">
        <is>
          <t>A 25728-2023</t>
        </is>
      </c>
      <c r="B156" s="1" t="n">
        <v>45090.38012731481</v>
      </c>
      <c r="C156" s="1" t="n">
        <v>46175</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46175</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52435-2021</t>
        </is>
      </c>
      <c r="B158" s="1" t="n">
        <v>44466.34962962963</v>
      </c>
      <c r="C158" s="1" t="n">
        <v>46175</v>
      </c>
      <c r="D158" t="inlineStr">
        <is>
          <t>KALMAR LÄN</t>
        </is>
      </c>
      <c r="E158" t="inlineStr">
        <is>
          <t>VIMMERBY</t>
        </is>
      </c>
      <c r="G158" t="n">
        <v>2.8</v>
      </c>
      <c r="H158" t="n">
        <v>0</v>
      </c>
      <c r="I158" t="n">
        <v>0</v>
      </c>
      <c r="J158" t="n">
        <v>0</v>
      </c>
      <c r="K158" t="n">
        <v>0</v>
      </c>
      <c r="L158" t="n">
        <v>0</v>
      </c>
      <c r="M158" t="n">
        <v>0</v>
      </c>
      <c r="N158" t="n">
        <v>0</v>
      </c>
      <c r="O158" t="n">
        <v>0</v>
      </c>
      <c r="P158" t="n">
        <v>0</v>
      </c>
      <c r="Q158" t="n">
        <v>0</v>
      </c>
      <c r="R158" s="2" t="inlineStr"/>
    </row>
    <row r="159" ht="15" customHeight="1">
      <c r="A159" t="inlineStr">
        <is>
          <t>A 29093-2023</t>
        </is>
      </c>
      <c r="B159" s="1" t="n">
        <v>45105</v>
      </c>
      <c r="C159" s="1" t="n">
        <v>46175</v>
      </c>
      <c r="D159" t="inlineStr">
        <is>
          <t>KALMAR LÄN</t>
        </is>
      </c>
      <c r="E159" t="inlineStr">
        <is>
          <t>VIMMERBY</t>
        </is>
      </c>
      <c r="G159" t="n">
        <v>2.9</v>
      </c>
      <c r="H159" t="n">
        <v>0</v>
      </c>
      <c r="I159" t="n">
        <v>0</v>
      </c>
      <c r="J159" t="n">
        <v>0</v>
      </c>
      <c r="K159" t="n">
        <v>0</v>
      </c>
      <c r="L159" t="n">
        <v>0</v>
      </c>
      <c r="M159" t="n">
        <v>0</v>
      </c>
      <c r="N159" t="n">
        <v>0</v>
      </c>
      <c r="O159" t="n">
        <v>0</v>
      </c>
      <c r="P159" t="n">
        <v>0</v>
      </c>
      <c r="Q159" t="n">
        <v>0</v>
      </c>
      <c r="R159" s="2" t="inlineStr"/>
    </row>
    <row r="160" ht="15" customHeight="1">
      <c r="A160" t="inlineStr">
        <is>
          <t>A 16825-2024</t>
        </is>
      </c>
      <c r="B160" s="1" t="n">
        <v>45411.47335648148</v>
      </c>
      <c r="C160" s="1" t="n">
        <v>46175</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12033-2024</t>
        </is>
      </c>
      <c r="B161" s="1" t="n">
        <v>45377.40043981482</v>
      </c>
      <c r="C161" s="1" t="n">
        <v>46175</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6214-2025</t>
        </is>
      </c>
      <c r="B162" s="1" t="n">
        <v>45698.51711805556</v>
      </c>
      <c r="C162" s="1" t="n">
        <v>46175</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18501-2024</t>
        </is>
      </c>
      <c r="B163" s="1" t="n">
        <v>45425.57538194444</v>
      </c>
      <c r="C163" s="1" t="n">
        <v>46175</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28395-2023</t>
        </is>
      </c>
      <c r="B164" s="1" t="n">
        <v>45100.4062962963</v>
      </c>
      <c r="C164" s="1" t="n">
        <v>46175</v>
      </c>
      <c r="D164" t="inlineStr">
        <is>
          <t>KALMAR LÄN</t>
        </is>
      </c>
      <c r="E164" t="inlineStr">
        <is>
          <t>VIMMERBY</t>
        </is>
      </c>
      <c r="G164" t="n">
        <v>1.4</v>
      </c>
      <c r="H164" t="n">
        <v>0</v>
      </c>
      <c r="I164" t="n">
        <v>0</v>
      </c>
      <c r="J164" t="n">
        <v>0</v>
      </c>
      <c r="K164" t="n">
        <v>0</v>
      </c>
      <c r="L164" t="n">
        <v>0</v>
      </c>
      <c r="M164" t="n">
        <v>0</v>
      </c>
      <c r="N164" t="n">
        <v>0</v>
      </c>
      <c r="O164" t="n">
        <v>0</v>
      </c>
      <c r="P164" t="n">
        <v>0</v>
      </c>
      <c r="Q164" t="n">
        <v>0</v>
      </c>
      <c r="R164" s="2" t="inlineStr"/>
    </row>
    <row r="165" ht="15" customHeight="1">
      <c r="A165" t="inlineStr">
        <is>
          <t>A 33359-2021</t>
        </is>
      </c>
      <c r="B165" s="1" t="n">
        <v>44377.49684027778</v>
      </c>
      <c r="C165" s="1" t="n">
        <v>46175</v>
      </c>
      <c r="D165" t="inlineStr">
        <is>
          <t>KALMAR LÄN</t>
        </is>
      </c>
      <c r="E165" t="inlineStr">
        <is>
          <t>VIMMERBY</t>
        </is>
      </c>
      <c r="F165" t="inlineStr">
        <is>
          <t>Kommuner</t>
        </is>
      </c>
      <c r="G165" t="n">
        <v>8</v>
      </c>
      <c r="H165" t="n">
        <v>0</v>
      </c>
      <c r="I165" t="n">
        <v>0</v>
      </c>
      <c r="J165" t="n">
        <v>0</v>
      </c>
      <c r="K165" t="n">
        <v>0</v>
      </c>
      <c r="L165" t="n">
        <v>0</v>
      </c>
      <c r="M165" t="n">
        <v>0</v>
      </c>
      <c r="N165" t="n">
        <v>0</v>
      </c>
      <c r="O165" t="n">
        <v>0</v>
      </c>
      <c r="P165" t="n">
        <v>0</v>
      </c>
      <c r="Q165" t="n">
        <v>0</v>
      </c>
      <c r="R165" s="2" t="inlineStr"/>
    </row>
    <row r="166" ht="15" customHeight="1">
      <c r="A166" t="inlineStr">
        <is>
          <t>A 49408-2023</t>
        </is>
      </c>
      <c r="B166" s="1" t="n">
        <v>45211.43555555555</v>
      </c>
      <c r="C166" s="1" t="n">
        <v>46175</v>
      </c>
      <c r="D166" t="inlineStr">
        <is>
          <t>KALMAR LÄN</t>
        </is>
      </c>
      <c r="E166" t="inlineStr">
        <is>
          <t>VIMMERBY</t>
        </is>
      </c>
      <c r="G166" t="n">
        <v>13.1</v>
      </c>
      <c r="H166" t="n">
        <v>0</v>
      </c>
      <c r="I166" t="n">
        <v>0</v>
      </c>
      <c r="J166" t="n">
        <v>0</v>
      </c>
      <c r="K166" t="n">
        <v>0</v>
      </c>
      <c r="L166" t="n">
        <v>0</v>
      </c>
      <c r="M166" t="n">
        <v>0</v>
      </c>
      <c r="N166" t="n">
        <v>0</v>
      </c>
      <c r="O166" t="n">
        <v>0</v>
      </c>
      <c r="P166" t="n">
        <v>0</v>
      </c>
      <c r="Q166" t="n">
        <v>0</v>
      </c>
      <c r="R166" s="2" t="inlineStr"/>
    </row>
    <row r="167" ht="15" customHeight="1">
      <c r="A167" t="inlineStr">
        <is>
          <t>A 27443-2023</t>
        </is>
      </c>
      <c r="B167" s="1" t="n">
        <v>45097.40524305555</v>
      </c>
      <c r="C167" s="1" t="n">
        <v>46175</v>
      </c>
      <c r="D167" t="inlineStr">
        <is>
          <t>KALMAR LÄN</t>
        </is>
      </c>
      <c r="E167" t="inlineStr">
        <is>
          <t>VIMMERBY</t>
        </is>
      </c>
      <c r="F167" t="inlineStr">
        <is>
          <t>Övriga Aktiebolag</t>
        </is>
      </c>
      <c r="G167" t="n">
        <v>2.3</v>
      </c>
      <c r="H167" t="n">
        <v>0</v>
      </c>
      <c r="I167" t="n">
        <v>0</v>
      </c>
      <c r="J167" t="n">
        <v>0</v>
      </c>
      <c r="K167" t="n">
        <v>0</v>
      </c>
      <c r="L167" t="n">
        <v>0</v>
      </c>
      <c r="M167" t="n">
        <v>0</v>
      </c>
      <c r="N167" t="n">
        <v>0</v>
      </c>
      <c r="O167" t="n">
        <v>0</v>
      </c>
      <c r="P167" t="n">
        <v>0</v>
      </c>
      <c r="Q167" t="n">
        <v>0</v>
      </c>
      <c r="R167" s="2" t="inlineStr"/>
    </row>
    <row r="168" ht="15" customHeight="1">
      <c r="A168" t="inlineStr">
        <is>
          <t>A 57256-2023</t>
        </is>
      </c>
      <c r="B168" s="1" t="n">
        <v>45245.5735300926</v>
      </c>
      <c r="C168" s="1" t="n">
        <v>46175</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25799-2023</t>
        </is>
      </c>
      <c r="B169" s="1" t="n">
        <v>45090</v>
      </c>
      <c r="C169" s="1" t="n">
        <v>46175</v>
      </c>
      <c r="D169" t="inlineStr">
        <is>
          <t>KALMAR LÄN</t>
        </is>
      </c>
      <c r="E169" t="inlineStr">
        <is>
          <t>VIMMERBY</t>
        </is>
      </c>
      <c r="G169" t="n">
        <v>7.7</v>
      </c>
      <c r="H169" t="n">
        <v>0</v>
      </c>
      <c r="I169" t="n">
        <v>0</v>
      </c>
      <c r="J169" t="n">
        <v>0</v>
      </c>
      <c r="K169" t="n">
        <v>0</v>
      </c>
      <c r="L169" t="n">
        <v>0</v>
      </c>
      <c r="M169" t="n">
        <v>0</v>
      </c>
      <c r="N169" t="n">
        <v>0</v>
      </c>
      <c r="O169" t="n">
        <v>0</v>
      </c>
      <c r="P169" t="n">
        <v>0</v>
      </c>
      <c r="Q169" t="n">
        <v>0</v>
      </c>
      <c r="R169" s="2" t="inlineStr"/>
    </row>
    <row r="170" ht="15" customHeight="1">
      <c r="A170" t="inlineStr">
        <is>
          <t>A 23088-2024</t>
        </is>
      </c>
      <c r="B170" s="1" t="n">
        <v>45450.51092592593</v>
      </c>
      <c r="C170" s="1" t="n">
        <v>46175</v>
      </c>
      <c r="D170" t="inlineStr">
        <is>
          <t>KALMAR LÄN</t>
        </is>
      </c>
      <c r="E170" t="inlineStr">
        <is>
          <t>VIMMERBY</t>
        </is>
      </c>
      <c r="G170" t="n">
        <v>1.9</v>
      </c>
      <c r="H170" t="n">
        <v>0</v>
      </c>
      <c r="I170" t="n">
        <v>0</v>
      </c>
      <c r="J170" t="n">
        <v>0</v>
      </c>
      <c r="K170" t="n">
        <v>0</v>
      </c>
      <c r="L170" t="n">
        <v>0</v>
      </c>
      <c r="M170" t="n">
        <v>0</v>
      </c>
      <c r="N170" t="n">
        <v>0</v>
      </c>
      <c r="O170" t="n">
        <v>0</v>
      </c>
      <c r="P170" t="n">
        <v>0</v>
      </c>
      <c r="Q170" t="n">
        <v>0</v>
      </c>
      <c r="R170" s="2" t="inlineStr"/>
    </row>
    <row r="171" ht="15" customHeight="1">
      <c r="A171" t="inlineStr">
        <is>
          <t>A 57189-2022</t>
        </is>
      </c>
      <c r="B171" s="1" t="n">
        <v>44895.62296296296</v>
      </c>
      <c r="C171" s="1" t="n">
        <v>46175</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16015-2025</t>
        </is>
      </c>
      <c r="B172" s="1" t="n">
        <v>45749.60487268519</v>
      </c>
      <c r="C172" s="1" t="n">
        <v>46175</v>
      </c>
      <c r="D172" t="inlineStr">
        <is>
          <t>KALMAR LÄN</t>
        </is>
      </c>
      <c r="E172" t="inlineStr">
        <is>
          <t>VIMMERBY</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43038-2022</t>
        </is>
      </c>
      <c r="B173" s="1" t="n">
        <v>44833.60123842592</v>
      </c>
      <c r="C173" s="1" t="n">
        <v>46175</v>
      </c>
      <c r="D173" t="inlineStr">
        <is>
          <t>KALMAR LÄN</t>
        </is>
      </c>
      <c r="E173" t="inlineStr">
        <is>
          <t>VIMMERBY</t>
        </is>
      </c>
      <c r="G173" t="n">
        <v>4.2</v>
      </c>
      <c r="H173" t="n">
        <v>0</v>
      </c>
      <c r="I173" t="n">
        <v>0</v>
      </c>
      <c r="J173" t="n">
        <v>0</v>
      </c>
      <c r="K173" t="n">
        <v>0</v>
      </c>
      <c r="L173" t="n">
        <v>0</v>
      </c>
      <c r="M173" t="n">
        <v>0</v>
      </c>
      <c r="N173" t="n">
        <v>0</v>
      </c>
      <c r="O173" t="n">
        <v>0</v>
      </c>
      <c r="P173" t="n">
        <v>0</v>
      </c>
      <c r="Q173" t="n">
        <v>0</v>
      </c>
      <c r="R173" s="2" t="inlineStr"/>
    </row>
    <row r="174" ht="15" customHeight="1">
      <c r="A174" t="inlineStr">
        <is>
          <t>A 1987-2024</t>
        </is>
      </c>
      <c r="B174" s="1" t="n">
        <v>45308.61152777778</v>
      </c>
      <c r="C174" s="1" t="n">
        <v>46175</v>
      </c>
      <c r="D174" t="inlineStr">
        <is>
          <t>KALMAR LÄN</t>
        </is>
      </c>
      <c r="E174" t="inlineStr">
        <is>
          <t>VIMMERBY</t>
        </is>
      </c>
      <c r="G174" t="n">
        <v>3</v>
      </c>
      <c r="H174" t="n">
        <v>0</v>
      </c>
      <c r="I174" t="n">
        <v>0</v>
      </c>
      <c r="J174" t="n">
        <v>0</v>
      </c>
      <c r="K174" t="n">
        <v>0</v>
      </c>
      <c r="L174" t="n">
        <v>0</v>
      </c>
      <c r="M174" t="n">
        <v>0</v>
      </c>
      <c r="N174" t="n">
        <v>0</v>
      </c>
      <c r="O174" t="n">
        <v>0</v>
      </c>
      <c r="P174" t="n">
        <v>0</v>
      </c>
      <c r="Q174" t="n">
        <v>0</v>
      </c>
      <c r="R174" s="2" t="inlineStr"/>
    </row>
    <row r="175" ht="15" customHeight="1">
      <c r="A175" t="inlineStr">
        <is>
          <t>A 527-2024</t>
        </is>
      </c>
      <c r="B175" s="1" t="n">
        <v>45299.47513888889</v>
      </c>
      <c r="C175" s="1" t="n">
        <v>46175</v>
      </c>
      <c r="D175" t="inlineStr">
        <is>
          <t>KALMAR LÄN</t>
        </is>
      </c>
      <c r="E175" t="inlineStr">
        <is>
          <t>VIMMERBY</t>
        </is>
      </c>
      <c r="G175" t="n">
        <v>2.2</v>
      </c>
      <c r="H175" t="n">
        <v>0</v>
      </c>
      <c r="I175" t="n">
        <v>0</v>
      </c>
      <c r="J175" t="n">
        <v>0</v>
      </c>
      <c r="K175" t="n">
        <v>0</v>
      </c>
      <c r="L175" t="n">
        <v>0</v>
      </c>
      <c r="M175" t="n">
        <v>0</v>
      </c>
      <c r="N175" t="n">
        <v>0</v>
      </c>
      <c r="O175" t="n">
        <v>0</v>
      </c>
      <c r="P175" t="n">
        <v>0</v>
      </c>
      <c r="Q175" t="n">
        <v>0</v>
      </c>
      <c r="R175" s="2" t="inlineStr"/>
    </row>
    <row r="176" ht="15" customHeight="1">
      <c r="A176" t="inlineStr">
        <is>
          <t>A 50087-2023</t>
        </is>
      </c>
      <c r="B176" s="1" t="n">
        <v>45215.59743055556</v>
      </c>
      <c r="C176" s="1" t="n">
        <v>46175</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33681-2022</t>
        </is>
      </c>
      <c r="B177" s="1" t="n">
        <v>44789</v>
      </c>
      <c r="C177" s="1" t="n">
        <v>46175</v>
      </c>
      <c r="D177" t="inlineStr">
        <is>
          <t>KALMAR LÄN</t>
        </is>
      </c>
      <c r="E177" t="inlineStr">
        <is>
          <t>VIMMERBY</t>
        </is>
      </c>
      <c r="G177" t="n">
        <v>3.2</v>
      </c>
      <c r="H177" t="n">
        <v>0</v>
      </c>
      <c r="I177" t="n">
        <v>0</v>
      </c>
      <c r="J177" t="n">
        <v>0</v>
      </c>
      <c r="K177" t="n">
        <v>0</v>
      </c>
      <c r="L177" t="n">
        <v>0</v>
      </c>
      <c r="M177" t="n">
        <v>0</v>
      </c>
      <c r="N177" t="n">
        <v>0</v>
      </c>
      <c r="O177" t="n">
        <v>0</v>
      </c>
      <c r="P177" t="n">
        <v>0</v>
      </c>
      <c r="Q177" t="n">
        <v>0</v>
      </c>
      <c r="R177" s="2" t="inlineStr"/>
    </row>
    <row r="178" ht="15" customHeight="1">
      <c r="A178" t="inlineStr">
        <is>
          <t>A 37192-2024</t>
        </is>
      </c>
      <c r="B178" s="1" t="n">
        <v>45539.66027777778</v>
      </c>
      <c r="C178" s="1" t="n">
        <v>46175</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47063-2022</t>
        </is>
      </c>
      <c r="B179" s="1" t="n">
        <v>44852</v>
      </c>
      <c r="C179" s="1" t="n">
        <v>46175</v>
      </c>
      <c r="D179" t="inlineStr">
        <is>
          <t>KALMAR LÄN</t>
        </is>
      </c>
      <c r="E179" t="inlineStr">
        <is>
          <t>VIMMERBY</t>
        </is>
      </c>
      <c r="G179" t="n">
        <v>2.5</v>
      </c>
      <c r="H179" t="n">
        <v>0</v>
      </c>
      <c r="I179" t="n">
        <v>0</v>
      </c>
      <c r="J179" t="n">
        <v>0</v>
      </c>
      <c r="K179" t="n">
        <v>0</v>
      </c>
      <c r="L179" t="n">
        <v>0</v>
      </c>
      <c r="M179" t="n">
        <v>0</v>
      </c>
      <c r="N179" t="n">
        <v>0</v>
      </c>
      <c r="O179" t="n">
        <v>0</v>
      </c>
      <c r="P179" t="n">
        <v>0</v>
      </c>
      <c r="Q179" t="n">
        <v>0</v>
      </c>
      <c r="R179" s="2" t="inlineStr"/>
    </row>
    <row r="180" ht="15" customHeight="1">
      <c r="A180" t="inlineStr">
        <is>
          <t>A 12819-2024</t>
        </is>
      </c>
      <c r="B180" s="1" t="n">
        <v>45384.66917824074</v>
      </c>
      <c r="C180" s="1" t="n">
        <v>46175</v>
      </c>
      <c r="D180" t="inlineStr">
        <is>
          <t>KALMAR LÄN</t>
        </is>
      </c>
      <c r="E180" t="inlineStr">
        <is>
          <t>VIMMERBY</t>
        </is>
      </c>
      <c r="G180" t="n">
        <v>5.1</v>
      </c>
      <c r="H180" t="n">
        <v>0</v>
      </c>
      <c r="I180" t="n">
        <v>0</v>
      </c>
      <c r="J180" t="n">
        <v>0</v>
      </c>
      <c r="K180" t="n">
        <v>0</v>
      </c>
      <c r="L180" t="n">
        <v>0</v>
      </c>
      <c r="M180" t="n">
        <v>0</v>
      </c>
      <c r="N180" t="n">
        <v>0</v>
      </c>
      <c r="O180" t="n">
        <v>0</v>
      </c>
      <c r="P180" t="n">
        <v>0</v>
      </c>
      <c r="Q180" t="n">
        <v>0</v>
      </c>
      <c r="R180" s="2" t="inlineStr"/>
    </row>
    <row r="181" ht="15" customHeight="1">
      <c r="A181" t="inlineStr">
        <is>
          <t>A 31382-2023</t>
        </is>
      </c>
      <c r="B181" s="1" t="n">
        <v>45114.55136574074</v>
      </c>
      <c r="C181" s="1" t="n">
        <v>46175</v>
      </c>
      <c r="D181" t="inlineStr">
        <is>
          <t>KALMAR LÄN</t>
        </is>
      </c>
      <c r="E181" t="inlineStr">
        <is>
          <t>VIMMERBY</t>
        </is>
      </c>
      <c r="G181" t="n">
        <v>3.7</v>
      </c>
      <c r="H181" t="n">
        <v>0</v>
      </c>
      <c r="I181" t="n">
        <v>0</v>
      </c>
      <c r="J181" t="n">
        <v>0</v>
      </c>
      <c r="K181" t="n">
        <v>0</v>
      </c>
      <c r="L181" t="n">
        <v>0</v>
      </c>
      <c r="M181" t="n">
        <v>0</v>
      </c>
      <c r="N181" t="n">
        <v>0</v>
      </c>
      <c r="O181" t="n">
        <v>0</v>
      </c>
      <c r="P181" t="n">
        <v>0</v>
      </c>
      <c r="Q181" t="n">
        <v>0</v>
      </c>
      <c r="R181" s="2" t="inlineStr"/>
    </row>
    <row r="182" ht="15" customHeight="1">
      <c r="A182" t="inlineStr">
        <is>
          <t>A 11073-2023</t>
        </is>
      </c>
      <c r="B182" s="1" t="n">
        <v>44992</v>
      </c>
      <c r="C182" s="1" t="n">
        <v>46175</v>
      </c>
      <c r="D182" t="inlineStr">
        <is>
          <t>KALMAR LÄN</t>
        </is>
      </c>
      <c r="E182" t="inlineStr">
        <is>
          <t>VIMMERBY</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36802-2021</t>
        </is>
      </c>
      <c r="B183" s="1" t="n">
        <v>44392</v>
      </c>
      <c r="C183" s="1" t="n">
        <v>46175</v>
      </c>
      <c r="D183" t="inlineStr">
        <is>
          <t>KALMAR LÄN</t>
        </is>
      </c>
      <c r="E183" t="inlineStr">
        <is>
          <t>VIMMERBY</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61820-2023</t>
        </is>
      </c>
      <c r="B184" s="1" t="n">
        <v>45266.32614583334</v>
      </c>
      <c r="C184" s="1" t="n">
        <v>46175</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9418-2024</t>
        </is>
      </c>
      <c r="B185" s="1" t="n">
        <v>45359.45038194444</v>
      </c>
      <c r="C185" s="1" t="n">
        <v>46175</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59955-2023</t>
        </is>
      </c>
      <c r="B186" s="1" t="n">
        <v>45257.70313657408</v>
      </c>
      <c r="C186" s="1" t="n">
        <v>46175</v>
      </c>
      <c r="D186" t="inlineStr">
        <is>
          <t>KALMAR LÄN</t>
        </is>
      </c>
      <c r="E186" t="inlineStr">
        <is>
          <t>VIMMERBY</t>
        </is>
      </c>
      <c r="G186" t="n">
        <v>13.8</v>
      </c>
      <c r="H186" t="n">
        <v>0</v>
      </c>
      <c r="I186" t="n">
        <v>0</v>
      </c>
      <c r="J186" t="n">
        <v>0</v>
      </c>
      <c r="K186" t="n">
        <v>0</v>
      </c>
      <c r="L186" t="n">
        <v>0</v>
      </c>
      <c r="M186" t="n">
        <v>0</v>
      </c>
      <c r="N186" t="n">
        <v>0</v>
      </c>
      <c r="O186" t="n">
        <v>0</v>
      </c>
      <c r="P186" t="n">
        <v>0</v>
      </c>
      <c r="Q186" t="n">
        <v>0</v>
      </c>
      <c r="R186" s="2" t="inlineStr"/>
    </row>
    <row r="187" ht="15" customHeight="1">
      <c r="A187" t="inlineStr">
        <is>
          <t>A 22197-2024</t>
        </is>
      </c>
      <c r="B187" s="1" t="n">
        <v>45446.36774305555</v>
      </c>
      <c r="C187" s="1" t="n">
        <v>46175</v>
      </c>
      <c r="D187" t="inlineStr">
        <is>
          <t>KALMAR LÄN</t>
        </is>
      </c>
      <c r="E187" t="inlineStr">
        <is>
          <t>VIMMERBY</t>
        </is>
      </c>
      <c r="F187" t="inlineStr">
        <is>
          <t>Sveaskog</t>
        </is>
      </c>
      <c r="G187" t="n">
        <v>3.2</v>
      </c>
      <c r="H187" t="n">
        <v>0</v>
      </c>
      <c r="I187" t="n">
        <v>0</v>
      </c>
      <c r="J187" t="n">
        <v>0</v>
      </c>
      <c r="K187" t="n">
        <v>0</v>
      </c>
      <c r="L187" t="n">
        <v>0</v>
      </c>
      <c r="M187" t="n">
        <v>0</v>
      </c>
      <c r="N187" t="n">
        <v>0</v>
      </c>
      <c r="O187" t="n">
        <v>0</v>
      </c>
      <c r="P187" t="n">
        <v>0</v>
      </c>
      <c r="Q187" t="n">
        <v>0</v>
      </c>
      <c r="R187" s="2" t="inlineStr"/>
    </row>
    <row r="188" ht="15" customHeight="1">
      <c r="A188" t="inlineStr">
        <is>
          <t>A 49313-2022</t>
        </is>
      </c>
      <c r="B188" s="1" t="n">
        <v>44861.52505787037</v>
      </c>
      <c r="C188" s="1" t="n">
        <v>46175</v>
      </c>
      <c r="D188" t="inlineStr">
        <is>
          <t>KALMAR LÄN</t>
        </is>
      </c>
      <c r="E188" t="inlineStr">
        <is>
          <t>VIMMERBY</t>
        </is>
      </c>
      <c r="G188" t="n">
        <v>1.9</v>
      </c>
      <c r="H188" t="n">
        <v>0</v>
      </c>
      <c r="I188" t="n">
        <v>0</v>
      </c>
      <c r="J188" t="n">
        <v>0</v>
      </c>
      <c r="K188" t="n">
        <v>0</v>
      </c>
      <c r="L188" t="n">
        <v>0</v>
      </c>
      <c r="M188" t="n">
        <v>0</v>
      </c>
      <c r="N188" t="n">
        <v>0</v>
      </c>
      <c r="O188" t="n">
        <v>0</v>
      </c>
      <c r="P188" t="n">
        <v>0</v>
      </c>
      <c r="Q188" t="n">
        <v>0</v>
      </c>
      <c r="R188" s="2" t="inlineStr"/>
    </row>
    <row r="189" ht="15" customHeight="1">
      <c r="A189" t="inlineStr">
        <is>
          <t>A 35998-2024</t>
        </is>
      </c>
      <c r="B189" s="1" t="n">
        <v>45533.54429398148</v>
      </c>
      <c r="C189" s="1" t="n">
        <v>46175</v>
      </c>
      <c r="D189" t="inlineStr">
        <is>
          <t>KALMAR LÄN</t>
        </is>
      </c>
      <c r="E189" t="inlineStr">
        <is>
          <t>VIMMERBY</t>
        </is>
      </c>
      <c r="G189" t="n">
        <v>8.6</v>
      </c>
      <c r="H189" t="n">
        <v>0</v>
      </c>
      <c r="I189" t="n">
        <v>0</v>
      </c>
      <c r="J189" t="n">
        <v>0</v>
      </c>
      <c r="K189" t="n">
        <v>0</v>
      </c>
      <c r="L189" t="n">
        <v>0</v>
      </c>
      <c r="M189" t="n">
        <v>0</v>
      </c>
      <c r="N189" t="n">
        <v>0</v>
      </c>
      <c r="O189" t="n">
        <v>0</v>
      </c>
      <c r="P189" t="n">
        <v>0</v>
      </c>
      <c r="Q189" t="n">
        <v>0</v>
      </c>
      <c r="R189" s="2" t="inlineStr"/>
    </row>
    <row r="190" ht="15" customHeight="1">
      <c r="A190" t="inlineStr">
        <is>
          <t>A 36040-2024</t>
        </is>
      </c>
      <c r="B190" s="1" t="n">
        <v>45533.60232638889</v>
      </c>
      <c r="C190" s="1" t="n">
        <v>46175</v>
      </c>
      <c r="D190" t="inlineStr">
        <is>
          <t>KALMAR LÄN</t>
        </is>
      </c>
      <c r="E190" t="inlineStr">
        <is>
          <t>VIMMERBY</t>
        </is>
      </c>
      <c r="F190" t="inlineStr">
        <is>
          <t>Kommuner</t>
        </is>
      </c>
      <c r="G190" t="n">
        <v>3.6</v>
      </c>
      <c r="H190" t="n">
        <v>0</v>
      </c>
      <c r="I190" t="n">
        <v>0</v>
      </c>
      <c r="J190" t="n">
        <v>0</v>
      </c>
      <c r="K190" t="n">
        <v>0</v>
      </c>
      <c r="L190" t="n">
        <v>0</v>
      </c>
      <c r="M190" t="n">
        <v>0</v>
      </c>
      <c r="N190" t="n">
        <v>0</v>
      </c>
      <c r="O190" t="n">
        <v>0</v>
      </c>
      <c r="P190" t="n">
        <v>0</v>
      </c>
      <c r="Q190" t="n">
        <v>0</v>
      </c>
      <c r="R190" s="2" t="inlineStr"/>
    </row>
    <row r="191" ht="15" customHeight="1">
      <c r="A191" t="inlineStr">
        <is>
          <t>A 36043-2024</t>
        </is>
      </c>
      <c r="B191" s="1" t="n">
        <v>45533.60770833334</v>
      </c>
      <c r="C191" s="1" t="n">
        <v>46175</v>
      </c>
      <c r="D191" t="inlineStr">
        <is>
          <t>KALMAR LÄN</t>
        </is>
      </c>
      <c r="E191" t="inlineStr">
        <is>
          <t>VIMMERBY</t>
        </is>
      </c>
      <c r="F191" t="inlineStr">
        <is>
          <t>Kommuner</t>
        </is>
      </c>
      <c r="G191" t="n">
        <v>1.5</v>
      </c>
      <c r="H191" t="n">
        <v>0</v>
      </c>
      <c r="I191" t="n">
        <v>0</v>
      </c>
      <c r="J191" t="n">
        <v>0</v>
      </c>
      <c r="K191" t="n">
        <v>0</v>
      </c>
      <c r="L191" t="n">
        <v>0</v>
      </c>
      <c r="M191" t="n">
        <v>0</v>
      </c>
      <c r="N191" t="n">
        <v>0</v>
      </c>
      <c r="O191" t="n">
        <v>0</v>
      </c>
      <c r="P191" t="n">
        <v>0</v>
      </c>
      <c r="Q191" t="n">
        <v>0</v>
      </c>
      <c r="R191" s="2" t="inlineStr"/>
    </row>
    <row r="192" ht="15" customHeight="1">
      <c r="A192" t="inlineStr">
        <is>
          <t>A 3269-2024</t>
        </is>
      </c>
      <c r="B192" s="1" t="n">
        <v>45317.40372685185</v>
      </c>
      <c r="C192" s="1" t="n">
        <v>46175</v>
      </c>
      <c r="D192" t="inlineStr">
        <is>
          <t>KALMAR LÄN</t>
        </is>
      </c>
      <c r="E192" t="inlineStr">
        <is>
          <t>VIMMERBY</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35710-2023</t>
        </is>
      </c>
      <c r="B193" s="1" t="n">
        <v>45147.67096064815</v>
      </c>
      <c r="C193" s="1" t="n">
        <v>46175</v>
      </c>
      <c r="D193" t="inlineStr">
        <is>
          <t>KALMAR LÄN</t>
        </is>
      </c>
      <c r="E193" t="inlineStr">
        <is>
          <t>VIMMERBY</t>
        </is>
      </c>
      <c r="G193" t="n">
        <v>3.1</v>
      </c>
      <c r="H193" t="n">
        <v>0</v>
      </c>
      <c r="I193" t="n">
        <v>0</v>
      </c>
      <c r="J193" t="n">
        <v>0</v>
      </c>
      <c r="K193" t="n">
        <v>0</v>
      </c>
      <c r="L193" t="n">
        <v>0</v>
      </c>
      <c r="M193" t="n">
        <v>0</v>
      </c>
      <c r="N193" t="n">
        <v>0</v>
      </c>
      <c r="O193" t="n">
        <v>0</v>
      </c>
      <c r="P193" t="n">
        <v>0</v>
      </c>
      <c r="Q193" t="n">
        <v>0</v>
      </c>
      <c r="R193" s="2" t="inlineStr"/>
    </row>
    <row r="194" ht="15" customHeight="1">
      <c r="A194" t="inlineStr">
        <is>
          <t>A 35711-2023</t>
        </is>
      </c>
      <c r="B194" s="1" t="n">
        <v>45147.67172453704</v>
      </c>
      <c r="C194" s="1" t="n">
        <v>46175</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2157-2024</t>
        </is>
      </c>
      <c r="B195" s="1" t="n">
        <v>45309.59487268519</v>
      </c>
      <c r="C195" s="1" t="n">
        <v>46175</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34588-2024</t>
        </is>
      </c>
      <c r="B196" s="1" t="n">
        <v>45526.3865625</v>
      </c>
      <c r="C196" s="1" t="n">
        <v>46175</v>
      </c>
      <c r="D196" t="inlineStr">
        <is>
          <t>KALMAR LÄN</t>
        </is>
      </c>
      <c r="E196" t="inlineStr">
        <is>
          <t>VIMMERBY</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56659-2023</t>
        </is>
      </c>
      <c r="B197" s="1" t="n">
        <v>45243.84869212963</v>
      </c>
      <c r="C197" s="1" t="n">
        <v>46175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3331-2023</t>
        </is>
      </c>
      <c r="B198" s="1" t="n">
        <v>44949</v>
      </c>
      <c r="C198" s="1" t="n">
        <v>46175</v>
      </c>
      <c r="D198" t="inlineStr">
        <is>
          <t>KALMAR LÄN</t>
        </is>
      </c>
      <c r="E198" t="inlineStr">
        <is>
          <t>VIMMERBY</t>
        </is>
      </c>
      <c r="G198" t="n">
        <v>6.2</v>
      </c>
      <c r="H198" t="n">
        <v>0</v>
      </c>
      <c r="I198" t="n">
        <v>0</v>
      </c>
      <c r="J198" t="n">
        <v>0</v>
      </c>
      <c r="K198" t="n">
        <v>0</v>
      </c>
      <c r="L198" t="n">
        <v>0</v>
      </c>
      <c r="M198" t="n">
        <v>0</v>
      </c>
      <c r="N198" t="n">
        <v>0</v>
      </c>
      <c r="O198" t="n">
        <v>0</v>
      </c>
      <c r="P198" t="n">
        <v>0</v>
      </c>
      <c r="Q198" t="n">
        <v>0</v>
      </c>
      <c r="R198" s="2" t="inlineStr"/>
    </row>
    <row r="199" ht="15" customHeight="1">
      <c r="A199" t="inlineStr">
        <is>
          <t>A 9416-2024</t>
        </is>
      </c>
      <c r="B199" s="1" t="n">
        <v>45359.44837962963</v>
      </c>
      <c r="C199" s="1" t="n">
        <v>46175</v>
      </c>
      <c r="D199" t="inlineStr">
        <is>
          <t>KALMAR LÄN</t>
        </is>
      </c>
      <c r="E199" t="inlineStr">
        <is>
          <t>VIMMERBY</t>
        </is>
      </c>
      <c r="G199" t="n">
        <v>3.2</v>
      </c>
      <c r="H199" t="n">
        <v>0</v>
      </c>
      <c r="I199" t="n">
        <v>0</v>
      </c>
      <c r="J199" t="n">
        <v>0</v>
      </c>
      <c r="K199" t="n">
        <v>0</v>
      </c>
      <c r="L199" t="n">
        <v>0</v>
      </c>
      <c r="M199" t="n">
        <v>0</v>
      </c>
      <c r="N199" t="n">
        <v>0</v>
      </c>
      <c r="O199" t="n">
        <v>0</v>
      </c>
      <c r="P199" t="n">
        <v>0</v>
      </c>
      <c r="Q199" t="n">
        <v>0</v>
      </c>
      <c r="R199" s="2" t="inlineStr"/>
    </row>
    <row r="200" ht="15" customHeight="1">
      <c r="A200" t="inlineStr">
        <is>
          <t>A 58318-2021</t>
        </is>
      </c>
      <c r="B200" s="1" t="n">
        <v>44488.35878472222</v>
      </c>
      <c r="C200" s="1" t="n">
        <v>46175</v>
      </c>
      <c r="D200" t="inlineStr">
        <is>
          <t>KALMAR LÄN</t>
        </is>
      </c>
      <c r="E200" t="inlineStr">
        <is>
          <t>VIMMERBY</t>
        </is>
      </c>
      <c r="G200" t="n">
        <v>4</v>
      </c>
      <c r="H200" t="n">
        <v>0</v>
      </c>
      <c r="I200" t="n">
        <v>0</v>
      </c>
      <c r="J200" t="n">
        <v>0</v>
      </c>
      <c r="K200" t="n">
        <v>0</v>
      </c>
      <c r="L200" t="n">
        <v>0</v>
      </c>
      <c r="M200" t="n">
        <v>0</v>
      </c>
      <c r="N200" t="n">
        <v>0</v>
      </c>
      <c r="O200" t="n">
        <v>0</v>
      </c>
      <c r="P200" t="n">
        <v>0</v>
      </c>
      <c r="Q200" t="n">
        <v>0</v>
      </c>
      <c r="R200" s="2" t="inlineStr"/>
    </row>
    <row r="201" ht="15" customHeight="1">
      <c r="A201" t="inlineStr">
        <is>
          <t>A 53083-2021</t>
        </is>
      </c>
      <c r="B201" s="1" t="n">
        <v>44467.83386574074</v>
      </c>
      <c r="C201" s="1" t="n">
        <v>46175</v>
      </c>
      <c r="D201" t="inlineStr">
        <is>
          <t>KALMAR LÄN</t>
        </is>
      </c>
      <c r="E201" t="inlineStr">
        <is>
          <t>VIMMERBY</t>
        </is>
      </c>
      <c r="G201" t="n">
        <v>6.8</v>
      </c>
      <c r="H201" t="n">
        <v>0</v>
      </c>
      <c r="I201" t="n">
        <v>0</v>
      </c>
      <c r="J201" t="n">
        <v>0</v>
      </c>
      <c r="K201" t="n">
        <v>0</v>
      </c>
      <c r="L201" t="n">
        <v>0</v>
      </c>
      <c r="M201" t="n">
        <v>0</v>
      </c>
      <c r="N201" t="n">
        <v>0</v>
      </c>
      <c r="O201" t="n">
        <v>0</v>
      </c>
      <c r="P201" t="n">
        <v>0</v>
      </c>
      <c r="Q201" t="n">
        <v>0</v>
      </c>
      <c r="R201" s="2" t="inlineStr"/>
    </row>
    <row r="202" ht="15" customHeight="1">
      <c r="A202" t="inlineStr">
        <is>
          <t>A 29173-2024</t>
        </is>
      </c>
      <c r="B202" s="1" t="n">
        <v>45482.52887731481</v>
      </c>
      <c r="C202" s="1" t="n">
        <v>46175</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16734-2023</t>
        </is>
      </c>
      <c r="B203" s="1" t="n">
        <v>45030.71012731481</v>
      </c>
      <c r="C203" s="1" t="n">
        <v>46175</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40828-2023</t>
        </is>
      </c>
      <c r="B204" s="1" t="n">
        <v>45171.96248842592</v>
      </c>
      <c r="C204" s="1" t="n">
        <v>46175</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1687-2023</t>
        </is>
      </c>
      <c r="B205" s="1" t="n">
        <v>44938</v>
      </c>
      <c r="C205" s="1" t="n">
        <v>46175</v>
      </c>
      <c r="D205" t="inlineStr">
        <is>
          <t>KALMAR LÄN</t>
        </is>
      </c>
      <c r="E205" t="inlineStr">
        <is>
          <t>VIMMERBY</t>
        </is>
      </c>
      <c r="F205" t="inlineStr">
        <is>
          <t>Kommuner</t>
        </is>
      </c>
      <c r="G205" t="n">
        <v>2.5</v>
      </c>
      <c r="H205" t="n">
        <v>0</v>
      </c>
      <c r="I205" t="n">
        <v>0</v>
      </c>
      <c r="J205" t="n">
        <v>0</v>
      </c>
      <c r="K205" t="n">
        <v>0</v>
      </c>
      <c r="L205" t="n">
        <v>0</v>
      </c>
      <c r="M205" t="n">
        <v>0</v>
      </c>
      <c r="N205" t="n">
        <v>0</v>
      </c>
      <c r="O205" t="n">
        <v>0</v>
      </c>
      <c r="P205" t="n">
        <v>0</v>
      </c>
      <c r="Q205" t="n">
        <v>0</v>
      </c>
      <c r="R205" s="2" t="inlineStr"/>
    </row>
    <row r="206" ht="15" customHeight="1">
      <c r="A206" t="inlineStr">
        <is>
          <t>A 29440-2024</t>
        </is>
      </c>
      <c r="B206" s="1" t="n">
        <v>45483.82479166667</v>
      </c>
      <c r="C206" s="1" t="n">
        <v>46175</v>
      </c>
      <c r="D206" t="inlineStr">
        <is>
          <t>KALMAR LÄN</t>
        </is>
      </c>
      <c r="E206" t="inlineStr">
        <is>
          <t>VIMMERBY</t>
        </is>
      </c>
      <c r="G206" t="n">
        <v>4.5</v>
      </c>
      <c r="H206" t="n">
        <v>0</v>
      </c>
      <c r="I206" t="n">
        <v>0</v>
      </c>
      <c r="J206" t="n">
        <v>0</v>
      </c>
      <c r="K206" t="n">
        <v>0</v>
      </c>
      <c r="L206" t="n">
        <v>0</v>
      </c>
      <c r="M206" t="n">
        <v>0</v>
      </c>
      <c r="N206" t="n">
        <v>0</v>
      </c>
      <c r="O206" t="n">
        <v>0</v>
      </c>
      <c r="P206" t="n">
        <v>0</v>
      </c>
      <c r="Q206" t="n">
        <v>0</v>
      </c>
      <c r="R206" s="2" t="inlineStr"/>
    </row>
    <row r="207" ht="15" customHeight="1">
      <c r="A207" t="inlineStr">
        <is>
          <t>A 30921-2024</t>
        </is>
      </c>
      <c r="B207" s="1" t="n">
        <v>45498</v>
      </c>
      <c r="C207" s="1" t="n">
        <v>46175</v>
      </c>
      <c r="D207" t="inlineStr">
        <is>
          <t>KALMAR LÄN</t>
        </is>
      </c>
      <c r="E207" t="inlineStr">
        <is>
          <t>VIMMERBY</t>
        </is>
      </c>
      <c r="G207" t="n">
        <v>1.6</v>
      </c>
      <c r="H207" t="n">
        <v>0</v>
      </c>
      <c r="I207" t="n">
        <v>0</v>
      </c>
      <c r="J207" t="n">
        <v>0</v>
      </c>
      <c r="K207" t="n">
        <v>0</v>
      </c>
      <c r="L207" t="n">
        <v>0</v>
      </c>
      <c r="M207" t="n">
        <v>0</v>
      </c>
      <c r="N207" t="n">
        <v>0</v>
      </c>
      <c r="O207" t="n">
        <v>0</v>
      </c>
      <c r="P207" t="n">
        <v>0</v>
      </c>
      <c r="Q207" t="n">
        <v>0</v>
      </c>
      <c r="R207" s="2" t="inlineStr"/>
    </row>
    <row r="208" ht="15" customHeight="1">
      <c r="A208" t="inlineStr">
        <is>
          <t>A 11111-2024</t>
        </is>
      </c>
      <c r="B208" s="1" t="n">
        <v>45371.36359953704</v>
      </c>
      <c r="C208" s="1" t="n">
        <v>46175</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11141-2024</t>
        </is>
      </c>
      <c r="B209" s="1" t="n">
        <v>45371.45865740741</v>
      </c>
      <c r="C209" s="1" t="n">
        <v>46175</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53482-2022</t>
        </is>
      </c>
      <c r="B210" s="1" t="n">
        <v>44879</v>
      </c>
      <c r="C210" s="1" t="n">
        <v>46175</v>
      </c>
      <c r="D210" t="inlineStr">
        <is>
          <t>KALMAR LÄN</t>
        </is>
      </c>
      <c r="E210" t="inlineStr">
        <is>
          <t>VIMMERBY</t>
        </is>
      </c>
      <c r="G210" t="n">
        <v>10.1</v>
      </c>
      <c r="H210" t="n">
        <v>0</v>
      </c>
      <c r="I210" t="n">
        <v>0</v>
      </c>
      <c r="J210" t="n">
        <v>0</v>
      </c>
      <c r="K210" t="n">
        <v>0</v>
      </c>
      <c r="L210" t="n">
        <v>0</v>
      </c>
      <c r="M210" t="n">
        <v>0</v>
      </c>
      <c r="N210" t="n">
        <v>0</v>
      </c>
      <c r="O210" t="n">
        <v>0</v>
      </c>
      <c r="P210" t="n">
        <v>0</v>
      </c>
      <c r="Q210" t="n">
        <v>0</v>
      </c>
      <c r="R210" s="2" t="inlineStr"/>
    </row>
    <row r="211" ht="15" customHeight="1">
      <c r="A211" t="inlineStr">
        <is>
          <t>A 64143-2021</t>
        </is>
      </c>
      <c r="B211" s="1" t="n">
        <v>44510.52157407408</v>
      </c>
      <c r="C211" s="1" t="n">
        <v>46175</v>
      </c>
      <c r="D211" t="inlineStr">
        <is>
          <t>KALMAR LÄN</t>
        </is>
      </c>
      <c r="E211" t="inlineStr">
        <is>
          <t>VIMMERBY</t>
        </is>
      </c>
      <c r="G211" t="n">
        <v>1.6</v>
      </c>
      <c r="H211" t="n">
        <v>0</v>
      </c>
      <c r="I211" t="n">
        <v>0</v>
      </c>
      <c r="J211" t="n">
        <v>0</v>
      </c>
      <c r="K211" t="n">
        <v>0</v>
      </c>
      <c r="L211" t="n">
        <v>0</v>
      </c>
      <c r="M211" t="n">
        <v>0</v>
      </c>
      <c r="N211" t="n">
        <v>0</v>
      </c>
      <c r="O211" t="n">
        <v>0</v>
      </c>
      <c r="P211" t="n">
        <v>0</v>
      </c>
      <c r="Q211" t="n">
        <v>0</v>
      </c>
      <c r="R211" s="2" t="inlineStr"/>
    </row>
    <row r="212" ht="15" customHeight="1">
      <c r="A212" t="inlineStr">
        <is>
          <t>A 9720-2023</t>
        </is>
      </c>
      <c r="B212" s="1" t="n">
        <v>44984</v>
      </c>
      <c r="C212" s="1" t="n">
        <v>46175</v>
      </c>
      <c r="D212" t="inlineStr">
        <is>
          <t>KALMAR LÄN</t>
        </is>
      </c>
      <c r="E212" t="inlineStr">
        <is>
          <t>VIMMERBY</t>
        </is>
      </c>
      <c r="G212" t="n">
        <v>4.4</v>
      </c>
      <c r="H212" t="n">
        <v>0</v>
      </c>
      <c r="I212" t="n">
        <v>0</v>
      </c>
      <c r="J212" t="n">
        <v>0</v>
      </c>
      <c r="K212" t="n">
        <v>0</v>
      </c>
      <c r="L212" t="n">
        <v>0</v>
      </c>
      <c r="M212" t="n">
        <v>0</v>
      </c>
      <c r="N212" t="n">
        <v>0</v>
      </c>
      <c r="O212" t="n">
        <v>0</v>
      </c>
      <c r="P212" t="n">
        <v>0</v>
      </c>
      <c r="Q212" t="n">
        <v>0</v>
      </c>
      <c r="R212" s="2" t="inlineStr"/>
    </row>
    <row r="213" ht="15" customHeight="1">
      <c r="A213" t="inlineStr">
        <is>
          <t>A 5938-2022</t>
        </is>
      </c>
      <c r="B213" s="1" t="n">
        <v>44598</v>
      </c>
      <c r="C213" s="1" t="n">
        <v>46175</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29180-2024</t>
        </is>
      </c>
      <c r="B214" s="1" t="n">
        <v>45482.54108796296</v>
      </c>
      <c r="C214" s="1" t="n">
        <v>46175</v>
      </c>
      <c r="D214" t="inlineStr">
        <is>
          <t>KALMAR LÄN</t>
        </is>
      </c>
      <c r="E214" t="inlineStr">
        <is>
          <t>VIMMERBY</t>
        </is>
      </c>
      <c r="G214" t="n">
        <v>3.8</v>
      </c>
      <c r="H214" t="n">
        <v>0</v>
      </c>
      <c r="I214" t="n">
        <v>0</v>
      </c>
      <c r="J214" t="n">
        <v>0</v>
      </c>
      <c r="K214" t="n">
        <v>0</v>
      </c>
      <c r="L214" t="n">
        <v>0</v>
      </c>
      <c r="M214" t="n">
        <v>0</v>
      </c>
      <c r="N214" t="n">
        <v>0</v>
      </c>
      <c r="O214" t="n">
        <v>0</v>
      </c>
      <c r="P214" t="n">
        <v>0</v>
      </c>
      <c r="Q214" t="n">
        <v>0</v>
      </c>
      <c r="R214" s="2" t="inlineStr"/>
    </row>
    <row r="215" ht="15" customHeight="1">
      <c r="A215" t="inlineStr">
        <is>
          <t>A 54838-2024</t>
        </is>
      </c>
      <c r="B215" s="1" t="n">
        <v>45618.56787037037</v>
      </c>
      <c r="C215" s="1" t="n">
        <v>46175</v>
      </c>
      <c r="D215" t="inlineStr">
        <is>
          <t>KALMAR LÄN</t>
        </is>
      </c>
      <c r="E215" t="inlineStr">
        <is>
          <t>VIMMERBY</t>
        </is>
      </c>
      <c r="G215" t="n">
        <v>3.3</v>
      </c>
      <c r="H215" t="n">
        <v>0</v>
      </c>
      <c r="I215" t="n">
        <v>0</v>
      </c>
      <c r="J215" t="n">
        <v>0</v>
      </c>
      <c r="K215" t="n">
        <v>0</v>
      </c>
      <c r="L215" t="n">
        <v>0</v>
      </c>
      <c r="M215" t="n">
        <v>0</v>
      </c>
      <c r="N215" t="n">
        <v>0</v>
      </c>
      <c r="O215" t="n">
        <v>0</v>
      </c>
      <c r="P215" t="n">
        <v>0</v>
      </c>
      <c r="Q215" t="n">
        <v>0</v>
      </c>
      <c r="R215" s="2" t="inlineStr"/>
    </row>
    <row r="216" ht="15" customHeight="1">
      <c r="A216" t="inlineStr">
        <is>
          <t>A 58104-2024</t>
        </is>
      </c>
      <c r="B216" s="1" t="n">
        <v>45632.37459490741</v>
      </c>
      <c r="C216" s="1" t="n">
        <v>46175</v>
      </c>
      <c r="D216" t="inlineStr">
        <is>
          <t>KALMAR LÄN</t>
        </is>
      </c>
      <c r="E216" t="inlineStr">
        <is>
          <t>VIMMERBY</t>
        </is>
      </c>
      <c r="G216" t="n">
        <v>5</v>
      </c>
      <c r="H216" t="n">
        <v>0</v>
      </c>
      <c r="I216" t="n">
        <v>0</v>
      </c>
      <c r="J216" t="n">
        <v>0</v>
      </c>
      <c r="K216" t="n">
        <v>0</v>
      </c>
      <c r="L216" t="n">
        <v>0</v>
      </c>
      <c r="M216" t="n">
        <v>0</v>
      </c>
      <c r="N216" t="n">
        <v>0</v>
      </c>
      <c r="O216" t="n">
        <v>0</v>
      </c>
      <c r="P216" t="n">
        <v>0</v>
      </c>
      <c r="Q216" t="n">
        <v>0</v>
      </c>
      <c r="R216" s="2" t="inlineStr"/>
    </row>
    <row r="217" ht="15" customHeight="1">
      <c r="A217" t="inlineStr">
        <is>
          <t>A 12215-2024</t>
        </is>
      </c>
      <c r="B217" s="1" t="n">
        <v>45378.32185185186</v>
      </c>
      <c r="C217" s="1" t="n">
        <v>46175</v>
      </c>
      <c r="D217" t="inlineStr">
        <is>
          <t>KALMAR LÄN</t>
        </is>
      </c>
      <c r="E217" t="inlineStr">
        <is>
          <t>VIMMERBY</t>
        </is>
      </c>
      <c r="G217" t="n">
        <v>1.6</v>
      </c>
      <c r="H217" t="n">
        <v>0</v>
      </c>
      <c r="I217" t="n">
        <v>0</v>
      </c>
      <c r="J217" t="n">
        <v>0</v>
      </c>
      <c r="K217" t="n">
        <v>0</v>
      </c>
      <c r="L217" t="n">
        <v>0</v>
      </c>
      <c r="M217" t="n">
        <v>0</v>
      </c>
      <c r="N217" t="n">
        <v>0</v>
      </c>
      <c r="O217" t="n">
        <v>0</v>
      </c>
      <c r="P217" t="n">
        <v>0</v>
      </c>
      <c r="Q217" t="n">
        <v>0</v>
      </c>
      <c r="R217" s="2" t="inlineStr"/>
    </row>
    <row r="218" ht="15" customHeight="1">
      <c r="A218" t="inlineStr">
        <is>
          <t>A 25987-2024</t>
        </is>
      </c>
      <c r="B218" s="1" t="n">
        <v>45467.74417824074</v>
      </c>
      <c r="C218" s="1" t="n">
        <v>46175</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30920-2024</t>
        </is>
      </c>
      <c r="B219" s="1" t="n">
        <v>45498.673125</v>
      </c>
      <c r="C219" s="1" t="n">
        <v>46175</v>
      </c>
      <c r="D219" t="inlineStr">
        <is>
          <t>KALMAR LÄN</t>
        </is>
      </c>
      <c r="E219" t="inlineStr">
        <is>
          <t>VIMMERBY</t>
        </is>
      </c>
      <c r="G219" t="n">
        <v>1.3</v>
      </c>
      <c r="H219" t="n">
        <v>0</v>
      </c>
      <c r="I219" t="n">
        <v>0</v>
      </c>
      <c r="J219" t="n">
        <v>0</v>
      </c>
      <c r="K219" t="n">
        <v>0</v>
      </c>
      <c r="L219" t="n">
        <v>0</v>
      </c>
      <c r="M219" t="n">
        <v>0</v>
      </c>
      <c r="N219" t="n">
        <v>0</v>
      </c>
      <c r="O219" t="n">
        <v>0</v>
      </c>
      <c r="P219" t="n">
        <v>0</v>
      </c>
      <c r="Q219" t="n">
        <v>0</v>
      </c>
      <c r="R219" s="2" t="inlineStr"/>
    </row>
    <row r="220" ht="15" customHeight="1">
      <c r="A220" t="inlineStr">
        <is>
          <t>A 56536-2022</t>
        </is>
      </c>
      <c r="B220" s="1" t="n">
        <v>44893</v>
      </c>
      <c r="C220" s="1" t="n">
        <v>46175</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25109-2023</t>
        </is>
      </c>
      <c r="B221" s="1" t="n">
        <v>45086</v>
      </c>
      <c r="C221" s="1" t="n">
        <v>46175</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29783-2024</t>
        </is>
      </c>
      <c r="B222" s="1" t="n">
        <v>45485.45778935185</v>
      </c>
      <c r="C222" s="1" t="n">
        <v>46175</v>
      </c>
      <c r="D222" t="inlineStr">
        <is>
          <t>KALMAR LÄN</t>
        </is>
      </c>
      <c r="E222" t="inlineStr">
        <is>
          <t>VIMMERBY</t>
        </is>
      </c>
      <c r="G222" t="n">
        <v>3.1</v>
      </c>
      <c r="H222" t="n">
        <v>0</v>
      </c>
      <c r="I222" t="n">
        <v>0</v>
      </c>
      <c r="J222" t="n">
        <v>0</v>
      </c>
      <c r="K222" t="n">
        <v>0</v>
      </c>
      <c r="L222" t="n">
        <v>0</v>
      </c>
      <c r="M222" t="n">
        <v>0</v>
      </c>
      <c r="N222" t="n">
        <v>0</v>
      </c>
      <c r="O222" t="n">
        <v>0</v>
      </c>
      <c r="P222" t="n">
        <v>0</v>
      </c>
      <c r="Q222" t="n">
        <v>0</v>
      </c>
      <c r="R222" s="2" t="inlineStr"/>
    </row>
    <row r="223" ht="15" customHeight="1">
      <c r="A223" t="inlineStr">
        <is>
          <t>A 11429-2022</t>
        </is>
      </c>
      <c r="B223" s="1" t="n">
        <v>44630</v>
      </c>
      <c r="C223" s="1" t="n">
        <v>46175</v>
      </c>
      <c r="D223" t="inlineStr">
        <is>
          <t>KALMAR LÄN</t>
        </is>
      </c>
      <c r="E223" t="inlineStr">
        <is>
          <t>VIMMERBY</t>
        </is>
      </c>
      <c r="G223" t="n">
        <v>2.6</v>
      </c>
      <c r="H223" t="n">
        <v>0</v>
      </c>
      <c r="I223" t="n">
        <v>0</v>
      </c>
      <c r="J223" t="n">
        <v>0</v>
      </c>
      <c r="K223" t="n">
        <v>0</v>
      </c>
      <c r="L223" t="n">
        <v>0</v>
      </c>
      <c r="M223" t="n">
        <v>0</v>
      </c>
      <c r="N223" t="n">
        <v>0</v>
      </c>
      <c r="O223" t="n">
        <v>0</v>
      </c>
      <c r="P223" t="n">
        <v>0</v>
      </c>
      <c r="Q223" t="n">
        <v>0</v>
      </c>
      <c r="R223" s="2" t="inlineStr"/>
    </row>
    <row r="224" ht="15" customHeight="1">
      <c r="A224" t="inlineStr">
        <is>
          <t>A 63541-2023</t>
        </is>
      </c>
      <c r="B224" s="1" t="n">
        <v>45275.32266203704</v>
      </c>
      <c r="C224" s="1" t="n">
        <v>46175</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56582-2022</t>
        </is>
      </c>
      <c r="B225" s="1" t="n">
        <v>44893</v>
      </c>
      <c r="C225" s="1" t="n">
        <v>46175</v>
      </c>
      <c r="D225" t="inlineStr">
        <is>
          <t>KALMAR LÄN</t>
        </is>
      </c>
      <c r="E225" t="inlineStr">
        <is>
          <t>VIMMERBY</t>
        </is>
      </c>
      <c r="G225" t="n">
        <v>2.2</v>
      </c>
      <c r="H225" t="n">
        <v>0</v>
      </c>
      <c r="I225" t="n">
        <v>0</v>
      </c>
      <c r="J225" t="n">
        <v>0</v>
      </c>
      <c r="K225" t="n">
        <v>0</v>
      </c>
      <c r="L225" t="n">
        <v>0</v>
      </c>
      <c r="M225" t="n">
        <v>0</v>
      </c>
      <c r="N225" t="n">
        <v>0</v>
      </c>
      <c r="O225" t="n">
        <v>0</v>
      </c>
      <c r="P225" t="n">
        <v>0</v>
      </c>
      <c r="Q225" t="n">
        <v>0</v>
      </c>
      <c r="R225" s="2" t="inlineStr"/>
    </row>
    <row r="226" ht="15" customHeight="1">
      <c r="A226" t="inlineStr">
        <is>
          <t>A 37323-2024</t>
        </is>
      </c>
      <c r="B226" s="1" t="n">
        <v>45540.50098379629</v>
      </c>
      <c r="C226" s="1" t="n">
        <v>46175</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6408-2025</t>
        </is>
      </c>
      <c r="B227" s="1" t="n">
        <v>45699.45671296296</v>
      </c>
      <c r="C227" s="1" t="n">
        <v>46175</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11609-2023</t>
        </is>
      </c>
      <c r="B228" s="1" t="n">
        <v>44994.40635416667</v>
      </c>
      <c r="C228" s="1" t="n">
        <v>46175</v>
      </c>
      <c r="D228" t="inlineStr">
        <is>
          <t>KALMAR LÄN</t>
        </is>
      </c>
      <c r="E228" t="inlineStr">
        <is>
          <t>VIMMERBY</t>
        </is>
      </c>
      <c r="G228" t="n">
        <v>4.9</v>
      </c>
      <c r="H228" t="n">
        <v>0</v>
      </c>
      <c r="I228" t="n">
        <v>0</v>
      </c>
      <c r="J228" t="n">
        <v>0</v>
      </c>
      <c r="K228" t="n">
        <v>0</v>
      </c>
      <c r="L228" t="n">
        <v>0</v>
      </c>
      <c r="M228" t="n">
        <v>0</v>
      </c>
      <c r="N228" t="n">
        <v>0</v>
      </c>
      <c r="O228" t="n">
        <v>0</v>
      </c>
      <c r="P228" t="n">
        <v>0</v>
      </c>
      <c r="Q228" t="n">
        <v>0</v>
      </c>
      <c r="R228" s="2" t="inlineStr"/>
    </row>
    <row r="229" ht="15" customHeight="1">
      <c r="A229" t="inlineStr">
        <is>
          <t>A 44464-2024</t>
        </is>
      </c>
      <c r="B229" s="1" t="n">
        <v>45574.35809027778</v>
      </c>
      <c r="C229" s="1" t="n">
        <v>46175</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41066-2024</t>
        </is>
      </c>
      <c r="B230" s="1" t="n">
        <v>45559.38876157408</v>
      </c>
      <c r="C230" s="1" t="n">
        <v>46175</v>
      </c>
      <c r="D230" t="inlineStr">
        <is>
          <t>KALMAR LÄN</t>
        </is>
      </c>
      <c r="E230" t="inlineStr">
        <is>
          <t>VIMMERBY</t>
        </is>
      </c>
      <c r="G230" t="n">
        <v>2.4</v>
      </c>
      <c r="H230" t="n">
        <v>0</v>
      </c>
      <c r="I230" t="n">
        <v>0</v>
      </c>
      <c r="J230" t="n">
        <v>0</v>
      </c>
      <c r="K230" t="n">
        <v>0</v>
      </c>
      <c r="L230" t="n">
        <v>0</v>
      </c>
      <c r="M230" t="n">
        <v>0</v>
      </c>
      <c r="N230" t="n">
        <v>0</v>
      </c>
      <c r="O230" t="n">
        <v>0</v>
      </c>
      <c r="P230" t="n">
        <v>0</v>
      </c>
      <c r="Q230" t="n">
        <v>0</v>
      </c>
      <c r="R230" s="2" t="inlineStr"/>
    </row>
    <row r="231" ht="15" customHeight="1">
      <c r="A231" t="inlineStr">
        <is>
          <t>A 62023-2022</t>
        </is>
      </c>
      <c r="B231" s="1" t="n">
        <v>44918.50106481482</v>
      </c>
      <c r="C231" s="1" t="n">
        <v>46175</v>
      </c>
      <c r="D231" t="inlineStr">
        <is>
          <t>KALMAR LÄN</t>
        </is>
      </c>
      <c r="E231" t="inlineStr">
        <is>
          <t>VIMMERBY</t>
        </is>
      </c>
      <c r="G231" t="n">
        <v>0.3</v>
      </c>
      <c r="H231" t="n">
        <v>0</v>
      </c>
      <c r="I231" t="n">
        <v>0</v>
      </c>
      <c r="J231" t="n">
        <v>0</v>
      </c>
      <c r="K231" t="n">
        <v>0</v>
      </c>
      <c r="L231" t="n">
        <v>0</v>
      </c>
      <c r="M231" t="n">
        <v>0</v>
      </c>
      <c r="N231" t="n">
        <v>0</v>
      </c>
      <c r="O231" t="n">
        <v>0</v>
      </c>
      <c r="P231" t="n">
        <v>0</v>
      </c>
      <c r="Q231" t="n">
        <v>0</v>
      </c>
      <c r="R231" s="2" t="inlineStr"/>
    </row>
    <row r="232" ht="15" customHeight="1">
      <c r="A232" t="inlineStr">
        <is>
          <t>A 1081-2023</t>
        </is>
      </c>
      <c r="B232" s="1" t="n">
        <v>44935</v>
      </c>
      <c r="C232" s="1" t="n">
        <v>46175</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7047-2022</t>
        </is>
      </c>
      <c r="B233" s="1" t="n">
        <v>44603</v>
      </c>
      <c r="C233" s="1" t="n">
        <v>46175</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12499-2023</t>
        </is>
      </c>
      <c r="B234" s="1" t="n">
        <v>44999.86172453704</v>
      </c>
      <c r="C234" s="1" t="n">
        <v>46175</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12500-2023</t>
        </is>
      </c>
      <c r="B235" s="1" t="n">
        <v>44999.8625</v>
      </c>
      <c r="C235" s="1" t="n">
        <v>46175</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6066-2023</t>
        </is>
      </c>
      <c r="B236" s="1" t="n">
        <v>44964.50894675926</v>
      </c>
      <c r="C236" s="1" t="n">
        <v>46175</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12890-2023</t>
        </is>
      </c>
      <c r="B237" s="1" t="n">
        <v>45001.59209490741</v>
      </c>
      <c r="C237" s="1" t="n">
        <v>46175</v>
      </c>
      <c r="D237" t="inlineStr">
        <is>
          <t>KALMAR LÄN</t>
        </is>
      </c>
      <c r="E237" t="inlineStr">
        <is>
          <t>VIMMERBY</t>
        </is>
      </c>
      <c r="G237" t="n">
        <v>2.8</v>
      </c>
      <c r="H237" t="n">
        <v>0</v>
      </c>
      <c r="I237" t="n">
        <v>0</v>
      </c>
      <c r="J237" t="n">
        <v>0</v>
      </c>
      <c r="K237" t="n">
        <v>0</v>
      </c>
      <c r="L237" t="n">
        <v>0</v>
      </c>
      <c r="M237" t="n">
        <v>0</v>
      </c>
      <c r="N237" t="n">
        <v>0</v>
      </c>
      <c r="O237" t="n">
        <v>0</v>
      </c>
      <c r="P237" t="n">
        <v>0</v>
      </c>
      <c r="Q237" t="n">
        <v>0</v>
      </c>
      <c r="R237" s="2" t="inlineStr"/>
    </row>
    <row r="238" ht="15" customHeight="1">
      <c r="A238" t="inlineStr">
        <is>
          <t>A 3902-2022</t>
        </is>
      </c>
      <c r="B238" s="1" t="n">
        <v>44587.48847222222</v>
      </c>
      <c r="C238" s="1" t="n">
        <v>46175</v>
      </c>
      <c r="D238" t="inlineStr">
        <is>
          <t>KALMAR LÄN</t>
        </is>
      </c>
      <c r="E238" t="inlineStr">
        <is>
          <t>VIMMERBY</t>
        </is>
      </c>
      <c r="G238" t="n">
        <v>2.6</v>
      </c>
      <c r="H238" t="n">
        <v>0</v>
      </c>
      <c r="I238" t="n">
        <v>0</v>
      </c>
      <c r="J238" t="n">
        <v>0</v>
      </c>
      <c r="K238" t="n">
        <v>0</v>
      </c>
      <c r="L238" t="n">
        <v>0</v>
      </c>
      <c r="M238" t="n">
        <v>0</v>
      </c>
      <c r="N238" t="n">
        <v>0</v>
      </c>
      <c r="O238" t="n">
        <v>0</v>
      </c>
      <c r="P238" t="n">
        <v>0</v>
      </c>
      <c r="Q238" t="n">
        <v>0</v>
      </c>
      <c r="R238" s="2" t="inlineStr"/>
    </row>
    <row r="239" ht="15" customHeight="1">
      <c r="A239" t="inlineStr">
        <is>
          <t>A 33103-2024</t>
        </is>
      </c>
      <c r="B239" s="1" t="n">
        <v>45517.8162037037</v>
      </c>
      <c r="C239" s="1" t="n">
        <v>46175</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89-2023</t>
        </is>
      </c>
      <c r="B240" s="1" t="n">
        <v>44918</v>
      </c>
      <c r="C240" s="1" t="n">
        <v>46175</v>
      </c>
      <c r="D240" t="inlineStr">
        <is>
          <t>KALMAR LÄN</t>
        </is>
      </c>
      <c r="E240" t="inlineStr">
        <is>
          <t>VIMMERBY</t>
        </is>
      </c>
      <c r="G240" t="n">
        <v>16.1</v>
      </c>
      <c r="H240" t="n">
        <v>0</v>
      </c>
      <c r="I240" t="n">
        <v>0</v>
      </c>
      <c r="J240" t="n">
        <v>0</v>
      </c>
      <c r="K240" t="n">
        <v>0</v>
      </c>
      <c r="L240" t="n">
        <v>0</v>
      </c>
      <c r="M240" t="n">
        <v>0</v>
      </c>
      <c r="N240" t="n">
        <v>0</v>
      </c>
      <c r="O240" t="n">
        <v>0</v>
      </c>
      <c r="P240" t="n">
        <v>0</v>
      </c>
      <c r="Q240" t="n">
        <v>0</v>
      </c>
      <c r="R240" s="2" t="inlineStr"/>
    </row>
    <row r="241" ht="15" customHeight="1">
      <c r="A241" t="inlineStr">
        <is>
          <t>A 5382-2023</t>
        </is>
      </c>
      <c r="B241" s="1" t="n">
        <v>44959.66407407408</v>
      </c>
      <c r="C241" s="1" t="n">
        <v>46175</v>
      </c>
      <c r="D241" t="inlineStr">
        <is>
          <t>KALMAR LÄN</t>
        </is>
      </c>
      <c r="E241" t="inlineStr">
        <is>
          <t>VIMMERBY</t>
        </is>
      </c>
      <c r="G241" t="n">
        <v>1</v>
      </c>
      <c r="H241" t="n">
        <v>0</v>
      </c>
      <c r="I241" t="n">
        <v>0</v>
      </c>
      <c r="J241" t="n">
        <v>0</v>
      </c>
      <c r="K241" t="n">
        <v>0</v>
      </c>
      <c r="L241" t="n">
        <v>0</v>
      </c>
      <c r="M241" t="n">
        <v>0</v>
      </c>
      <c r="N241" t="n">
        <v>0</v>
      </c>
      <c r="O241" t="n">
        <v>0</v>
      </c>
      <c r="P241" t="n">
        <v>0</v>
      </c>
      <c r="Q241" t="n">
        <v>0</v>
      </c>
      <c r="R241" s="2" t="inlineStr"/>
    </row>
    <row r="242" ht="15" customHeight="1">
      <c r="A242" t="inlineStr">
        <is>
          <t>A 6668-2023</t>
        </is>
      </c>
      <c r="B242" s="1" t="n">
        <v>44966</v>
      </c>
      <c r="C242" s="1" t="n">
        <v>46175</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172-2022</t>
        </is>
      </c>
      <c r="B243" s="1" t="n">
        <v>44564.62598379629</v>
      </c>
      <c r="C243" s="1" t="n">
        <v>46175</v>
      </c>
      <c r="D243" t="inlineStr">
        <is>
          <t>KALMAR LÄN</t>
        </is>
      </c>
      <c r="E243" t="inlineStr">
        <is>
          <t>VIMMERBY</t>
        </is>
      </c>
      <c r="G243" t="n">
        <v>2.1</v>
      </c>
      <c r="H243" t="n">
        <v>0</v>
      </c>
      <c r="I243" t="n">
        <v>0</v>
      </c>
      <c r="J243" t="n">
        <v>0</v>
      </c>
      <c r="K243" t="n">
        <v>0</v>
      </c>
      <c r="L243" t="n">
        <v>0</v>
      </c>
      <c r="M243" t="n">
        <v>0</v>
      </c>
      <c r="N243" t="n">
        <v>0</v>
      </c>
      <c r="O243" t="n">
        <v>0</v>
      </c>
      <c r="P243" t="n">
        <v>0</v>
      </c>
      <c r="Q243" t="n">
        <v>0</v>
      </c>
      <c r="R243" s="2" t="inlineStr"/>
    </row>
    <row r="244" ht="15" customHeight="1">
      <c r="A244" t="inlineStr">
        <is>
          <t>A 33161-2024</t>
        </is>
      </c>
      <c r="B244" s="1" t="n">
        <v>45518.40657407408</v>
      </c>
      <c r="C244" s="1" t="n">
        <v>46175</v>
      </c>
      <c r="D244" t="inlineStr">
        <is>
          <t>KALMAR LÄN</t>
        </is>
      </c>
      <c r="E244" t="inlineStr">
        <is>
          <t>VIMMERBY</t>
        </is>
      </c>
      <c r="G244" t="n">
        <v>4.7</v>
      </c>
      <c r="H244" t="n">
        <v>0</v>
      </c>
      <c r="I244" t="n">
        <v>0</v>
      </c>
      <c r="J244" t="n">
        <v>0</v>
      </c>
      <c r="K244" t="n">
        <v>0</v>
      </c>
      <c r="L244" t="n">
        <v>0</v>
      </c>
      <c r="M244" t="n">
        <v>0</v>
      </c>
      <c r="N244" t="n">
        <v>0</v>
      </c>
      <c r="O244" t="n">
        <v>0</v>
      </c>
      <c r="P244" t="n">
        <v>0</v>
      </c>
      <c r="Q244" t="n">
        <v>0</v>
      </c>
      <c r="R244" s="2" t="inlineStr"/>
    </row>
    <row r="245" ht="15" customHeight="1">
      <c r="A245" t="inlineStr">
        <is>
          <t>A 12510-2022</t>
        </is>
      </c>
      <c r="B245" s="1" t="n">
        <v>44638.55256944444</v>
      </c>
      <c r="C245" s="1" t="n">
        <v>46175</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30634-2024</t>
        </is>
      </c>
      <c r="B246" s="1" t="n">
        <v>45495</v>
      </c>
      <c r="C246" s="1" t="n">
        <v>46175</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6355-2022</t>
        </is>
      </c>
      <c r="B247" s="1" t="n">
        <v>44600</v>
      </c>
      <c r="C247" s="1" t="n">
        <v>46175</v>
      </c>
      <c r="D247" t="inlineStr">
        <is>
          <t>KALMAR LÄN</t>
        </is>
      </c>
      <c r="E247" t="inlineStr">
        <is>
          <t>VIMMERBY</t>
        </is>
      </c>
      <c r="G247" t="n">
        <v>4.9</v>
      </c>
      <c r="H247" t="n">
        <v>0</v>
      </c>
      <c r="I247" t="n">
        <v>0</v>
      </c>
      <c r="J247" t="n">
        <v>0</v>
      </c>
      <c r="K247" t="n">
        <v>0</v>
      </c>
      <c r="L247" t="n">
        <v>0</v>
      </c>
      <c r="M247" t="n">
        <v>0</v>
      </c>
      <c r="N247" t="n">
        <v>0</v>
      </c>
      <c r="O247" t="n">
        <v>0</v>
      </c>
      <c r="P247" t="n">
        <v>0</v>
      </c>
      <c r="Q247" t="n">
        <v>0</v>
      </c>
      <c r="R247" s="2" t="inlineStr"/>
    </row>
    <row r="248" ht="15" customHeight="1">
      <c r="A248" t="inlineStr">
        <is>
          <t>A 3816-2022</t>
        </is>
      </c>
      <c r="B248" s="1" t="n">
        <v>44587</v>
      </c>
      <c r="C248" s="1" t="n">
        <v>46175</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16020-2023</t>
        </is>
      </c>
      <c r="B249" s="1" t="n">
        <v>45026.82216435186</v>
      </c>
      <c r="C249" s="1" t="n">
        <v>46175</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1146-2025</t>
        </is>
      </c>
      <c r="B250" s="1" t="n">
        <v>45666</v>
      </c>
      <c r="C250" s="1" t="n">
        <v>46175</v>
      </c>
      <c r="D250" t="inlineStr">
        <is>
          <t>KALMAR LÄN</t>
        </is>
      </c>
      <c r="E250" t="inlineStr">
        <is>
          <t>VIMMERBY</t>
        </is>
      </c>
      <c r="G250" t="n">
        <v>4</v>
      </c>
      <c r="H250" t="n">
        <v>0</v>
      </c>
      <c r="I250" t="n">
        <v>0</v>
      </c>
      <c r="J250" t="n">
        <v>0</v>
      </c>
      <c r="K250" t="n">
        <v>0</v>
      </c>
      <c r="L250" t="n">
        <v>0</v>
      </c>
      <c r="M250" t="n">
        <v>0</v>
      </c>
      <c r="N250" t="n">
        <v>0</v>
      </c>
      <c r="O250" t="n">
        <v>0</v>
      </c>
      <c r="P250" t="n">
        <v>0</v>
      </c>
      <c r="Q250" t="n">
        <v>0</v>
      </c>
      <c r="R250" s="2" t="inlineStr"/>
    </row>
    <row r="251" ht="15" customHeight="1">
      <c r="A251" t="inlineStr">
        <is>
          <t>A 60292-2022</t>
        </is>
      </c>
      <c r="B251" s="1" t="n">
        <v>44910.54231481482</v>
      </c>
      <c r="C251" s="1" t="n">
        <v>46175</v>
      </c>
      <c r="D251" t="inlineStr">
        <is>
          <t>KALMAR LÄN</t>
        </is>
      </c>
      <c r="E251" t="inlineStr">
        <is>
          <t>VIMMERBY</t>
        </is>
      </c>
      <c r="G251" t="n">
        <v>4.4</v>
      </c>
      <c r="H251" t="n">
        <v>0</v>
      </c>
      <c r="I251" t="n">
        <v>0</v>
      </c>
      <c r="J251" t="n">
        <v>0</v>
      </c>
      <c r="K251" t="n">
        <v>0</v>
      </c>
      <c r="L251" t="n">
        <v>0</v>
      </c>
      <c r="M251" t="n">
        <v>0</v>
      </c>
      <c r="N251" t="n">
        <v>0</v>
      </c>
      <c r="O251" t="n">
        <v>0</v>
      </c>
      <c r="P251" t="n">
        <v>0</v>
      </c>
      <c r="Q251" t="n">
        <v>0</v>
      </c>
      <c r="R251" s="2" t="inlineStr"/>
    </row>
    <row r="252" ht="15" customHeight="1">
      <c r="A252" t="inlineStr">
        <is>
          <t>A 43034-2024</t>
        </is>
      </c>
      <c r="B252" s="1" t="n">
        <v>45567.42011574074</v>
      </c>
      <c r="C252" s="1" t="n">
        <v>46175</v>
      </c>
      <c r="D252" t="inlineStr">
        <is>
          <t>KALMAR LÄN</t>
        </is>
      </c>
      <c r="E252" t="inlineStr">
        <is>
          <t>VIMMERBY</t>
        </is>
      </c>
      <c r="G252" t="n">
        <v>1.8</v>
      </c>
      <c r="H252" t="n">
        <v>0</v>
      </c>
      <c r="I252" t="n">
        <v>0</v>
      </c>
      <c r="J252" t="n">
        <v>0</v>
      </c>
      <c r="K252" t="n">
        <v>0</v>
      </c>
      <c r="L252" t="n">
        <v>0</v>
      </c>
      <c r="M252" t="n">
        <v>0</v>
      </c>
      <c r="N252" t="n">
        <v>0</v>
      </c>
      <c r="O252" t="n">
        <v>0</v>
      </c>
      <c r="P252" t="n">
        <v>0</v>
      </c>
      <c r="Q252" t="n">
        <v>0</v>
      </c>
      <c r="R252" s="2" t="inlineStr"/>
    </row>
    <row r="253" ht="15" customHeight="1">
      <c r="A253" t="inlineStr">
        <is>
          <t>A 40256-2024</t>
        </is>
      </c>
      <c r="B253" s="1" t="n">
        <v>45554.62944444444</v>
      </c>
      <c r="C253" s="1" t="n">
        <v>46175</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28713-2025</t>
        </is>
      </c>
      <c r="B254" s="1" t="n">
        <v>45820.33930555556</v>
      </c>
      <c r="C254" s="1" t="n">
        <v>46175</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38604-2025</t>
        </is>
      </c>
      <c r="B255" s="1" t="n">
        <v>45884.50613425926</v>
      </c>
      <c r="C255" s="1" t="n">
        <v>46175</v>
      </c>
      <c r="D255" t="inlineStr">
        <is>
          <t>KALMAR LÄN</t>
        </is>
      </c>
      <c r="E255" t="inlineStr">
        <is>
          <t>VIMMERBY</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28712-2025</t>
        </is>
      </c>
      <c r="B256" s="1" t="n">
        <v>45820.33708333333</v>
      </c>
      <c r="C256" s="1" t="n">
        <v>46175</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28714-2025</t>
        </is>
      </c>
      <c r="B257" s="1" t="n">
        <v>45820.34128472222</v>
      </c>
      <c r="C257" s="1" t="n">
        <v>46175</v>
      </c>
      <c r="D257" t="inlineStr">
        <is>
          <t>KALMAR LÄN</t>
        </is>
      </c>
      <c r="E257" t="inlineStr">
        <is>
          <t>VIMMERBY</t>
        </is>
      </c>
      <c r="G257" t="n">
        <v>1.8</v>
      </c>
      <c r="H257" t="n">
        <v>0</v>
      </c>
      <c r="I257" t="n">
        <v>0</v>
      </c>
      <c r="J257" t="n">
        <v>0</v>
      </c>
      <c r="K257" t="n">
        <v>0</v>
      </c>
      <c r="L257" t="n">
        <v>0</v>
      </c>
      <c r="M257" t="n">
        <v>0</v>
      </c>
      <c r="N257" t="n">
        <v>0</v>
      </c>
      <c r="O257" t="n">
        <v>0</v>
      </c>
      <c r="P257" t="n">
        <v>0</v>
      </c>
      <c r="Q257" t="n">
        <v>0</v>
      </c>
      <c r="R257" s="2" t="inlineStr"/>
    </row>
    <row r="258" ht="15" customHeight="1">
      <c r="A258" t="inlineStr">
        <is>
          <t>A 28620-2025</t>
        </is>
      </c>
      <c r="B258" s="1" t="n">
        <v>45819.61060185185</v>
      </c>
      <c r="C258" s="1" t="n">
        <v>46175</v>
      </c>
      <c r="D258" t="inlineStr">
        <is>
          <t>KALMAR LÄN</t>
        </is>
      </c>
      <c r="E258" t="inlineStr">
        <is>
          <t>VIMMERBY</t>
        </is>
      </c>
      <c r="G258" t="n">
        <v>5.6</v>
      </c>
      <c r="H258" t="n">
        <v>0</v>
      </c>
      <c r="I258" t="n">
        <v>0</v>
      </c>
      <c r="J258" t="n">
        <v>0</v>
      </c>
      <c r="K258" t="n">
        <v>0</v>
      </c>
      <c r="L258" t="n">
        <v>0</v>
      </c>
      <c r="M258" t="n">
        <v>0</v>
      </c>
      <c r="N258" t="n">
        <v>0</v>
      </c>
      <c r="O258" t="n">
        <v>0</v>
      </c>
      <c r="P258" t="n">
        <v>0</v>
      </c>
      <c r="Q258" t="n">
        <v>0</v>
      </c>
      <c r="R258" s="2" t="inlineStr"/>
    </row>
    <row r="259" ht="15" customHeight="1">
      <c r="A259" t="inlineStr">
        <is>
          <t>A 8696-2026</t>
        </is>
      </c>
      <c r="B259" s="1" t="n">
        <v>46066.45273148148</v>
      </c>
      <c r="C259" s="1" t="n">
        <v>46175</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43093-2024</t>
        </is>
      </c>
      <c r="B260" s="1" t="n">
        <v>45567</v>
      </c>
      <c r="C260" s="1" t="n">
        <v>46175</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29727-2025</t>
        </is>
      </c>
      <c r="B261" s="1" t="n">
        <v>45825.5796875</v>
      </c>
      <c r="C261" s="1" t="n">
        <v>46175</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29737-2025</t>
        </is>
      </c>
      <c r="B262" s="1" t="n">
        <v>45825.58672453704</v>
      </c>
      <c r="C262" s="1" t="n">
        <v>46175</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35198-2023</t>
        </is>
      </c>
      <c r="B263" s="1" t="n">
        <v>45145</v>
      </c>
      <c r="C263" s="1" t="n">
        <v>46175</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8595-2026</t>
        </is>
      </c>
      <c r="B264" s="1" t="n">
        <v>46065.7372337963</v>
      </c>
      <c r="C264" s="1" t="n">
        <v>46175</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30293-2025</t>
        </is>
      </c>
      <c r="B265" s="1" t="n">
        <v>45827</v>
      </c>
      <c r="C265" s="1" t="n">
        <v>46175</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58374-2024</t>
        </is>
      </c>
      <c r="B266" s="1" t="n">
        <v>45632.72635416667</v>
      </c>
      <c r="C266" s="1" t="n">
        <v>46175</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30290-2025</t>
        </is>
      </c>
      <c r="B267" s="1" t="n">
        <v>45827</v>
      </c>
      <c r="C267" s="1" t="n">
        <v>46175</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55300-2021</t>
        </is>
      </c>
      <c r="B268" s="1" t="n">
        <v>44475</v>
      </c>
      <c r="C268" s="1" t="n">
        <v>46175</v>
      </c>
      <c r="D268" t="inlineStr">
        <is>
          <t>KALMAR LÄN</t>
        </is>
      </c>
      <c r="E268" t="inlineStr">
        <is>
          <t>VIMMERBY</t>
        </is>
      </c>
      <c r="G268" t="n">
        <v>3.4</v>
      </c>
      <c r="H268" t="n">
        <v>0</v>
      </c>
      <c r="I268" t="n">
        <v>0</v>
      </c>
      <c r="J268" t="n">
        <v>0</v>
      </c>
      <c r="K268" t="n">
        <v>0</v>
      </c>
      <c r="L268" t="n">
        <v>0</v>
      </c>
      <c r="M268" t="n">
        <v>0</v>
      </c>
      <c r="N268" t="n">
        <v>0</v>
      </c>
      <c r="O268" t="n">
        <v>0</v>
      </c>
      <c r="P268" t="n">
        <v>0</v>
      </c>
      <c r="Q268" t="n">
        <v>0</v>
      </c>
      <c r="R268" s="2" t="inlineStr"/>
    </row>
    <row r="269" ht="15" customHeight="1">
      <c r="A269" t="inlineStr">
        <is>
          <t>A 47263-2023</t>
        </is>
      </c>
      <c r="B269" s="1" t="n">
        <v>45202.4209837963</v>
      </c>
      <c r="C269" s="1" t="n">
        <v>46175</v>
      </c>
      <c r="D269" t="inlineStr">
        <is>
          <t>KALMAR LÄN</t>
        </is>
      </c>
      <c r="E269" t="inlineStr">
        <is>
          <t>VIMMERBY</t>
        </is>
      </c>
      <c r="G269" t="n">
        <v>1.8</v>
      </c>
      <c r="H269" t="n">
        <v>0</v>
      </c>
      <c r="I269" t="n">
        <v>0</v>
      </c>
      <c r="J269" t="n">
        <v>0</v>
      </c>
      <c r="K269" t="n">
        <v>0</v>
      </c>
      <c r="L269" t="n">
        <v>0</v>
      </c>
      <c r="M269" t="n">
        <v>0</v>
      </c>
      <c r="N269" t="n">
        <v>0</v>
      </c>
      <c r="O269" t="n">
        <v>0</v>
      </c>
      <c r="P269" t="n">
        <v>0</v>
      </c>
      <c r="Q269" t="n">
        <v>0</v>
      </c>
      <c r="R269" s="2" t="inlineStr"/>
    </row>
    <row r="270" ht="15" customHeight="1">
      <c r="A270" t="inlineStr">
        <is>
          <t>A 29726-2025</t>
        </is>
      </c>
      <c r="B270" s="1" t="n">
        <v>45825.57805555555</v>
      </c>
      <c r="C270" s="1" t="n">
        <v>46175</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30850-2025</t>
        </is>
      </c>
      <c r="B271" s="1" t="n">
        <v>45831</v>
      </c>
      <c r="C271" s="1" t="n">
        <v>46175</v>
      </c>
      <c r="D271" t="inlineStr">
        <is>
          <t>KALMAR LÄN</t>
        </is>
      </c>
      <c r="E271" t="inlineStr">
        <is>
          <t>VIMMERBY</t>
        </is>
      </c>
      <c r="G271" t="n">
        <v>2.7</v>
      </c>
      <c r="H271" t="n">
        <v>0</v>
      </c>
      <c r="I271" t="n">
        <v>0</v>
      </c>
      <c r="J271" t="n">
        <v>0</v>
      </c>
      <c r="K271" t="n">
        <v>0</v>
      </c>
      <c r="L271" t="n">
        <v>0</v>
      </c>
      <c r="M271" t="n">
        <v>0</v>
      </c>
      <c r="N271" t="n">
        <v>0</v>
      </c>
      <c r="O271" t="n">
        <v>0</v>
      </c>
      <c r="P271" t="n">
        <v>0</v>
      </c>
      <c r="Q271" t="n">
        <v>0</v>
      </c>
      <c r="R271" s="2" t="inlineStr"/>
    </row>
    <row r="272" ht="15" customHeight="1">
      <c r="A272" t="inlineStr">
        <is>
          <t>A 2536-2023</t>
        </is>
      </c>
      <c r="B272" s="1" t="n">
        <v>44943.62954861111</v>
      </c>
      <c r="C272" s="1" t="n">
        <v>46175</v>
      </c>
      <c r="D272" t="inlineStr">
        <is>
          <t>KALMAR LÄN</t>
        </is>
      </c>
      <c r="E272" t="inlineStr">
        <is>
          <t>VIMMERBY</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2801-2023</t>
        </is>
      </c>
      <c r="B273" s="1" t="n">
        <v>44944.73487268519</v>
      </c>
      <c r="C273" s="1" t="n">
        <v>46175</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17968-2025</t>
        </is>
      </c>
      <c r="B274" s="1" t="n">
        <v>45761.35990740741</v>
      </c>
      <c r="C274" s="1" t="n">
        <v>46175</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38964-2025</t>
        </is>
      </c>
      <c r="B275" s="1" t="n">
        <v>45887.68759259259</v>
      </c>
      <c r="C275" s="1" t="n">
        <v>46175</v>
      </c>
      <c r="D275" t="inlineStr">
        <is>
          <t>KALMAR LÄN</t>
        </is>
      </c>
      <c r="E275" t="inlineStr">
        <is>
          <t>VIMMERBY</t>
        </is>
      </c>
      <c r="G275" t="n">
        <v>7.5</v>
      </c>
      <c r="H275" t="n">
        <v>0</v>
      </c>
      <c r="I275" t="n">
        <v>0</v>
      </c>
      <c r="J275" t="n">
        <v>0</v>
      </c>
      <c r="K275" t="n">
        <v>0</v>
      </c>
      <c r="L275" t="n">
        <v>0</v>
      </c>
      <c r="M275" t="n">
        <v>0</v>
      </c>
      <c r="N275" t="n">
        <v>0</v>
      </c>
      <c r="O275" t="n">
        <v>0</v>
      </c>
      <c r="P275" t="n">
        <v>0</v>
      </c>
      <c r="Q275" t="n">
        <v>0</v>
      </c>
      <c r="R275" s="2" t="inlineStr"/>
    </row>
    <row r="276" ht="15" customHeight="1">
      <c r="A276" t="inlineStr">
        <is>
          <t>A 14451-2024</t>
        </is>
      </c>
      <c r="B276" s="1" t="n">
        <v>45394.50028935185</v>
      </c>
      <c r="C276" s="1" t="n">
        <v>46175</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46238-2024</t>
        </is>
      </c>
      <c r="B277" s="1" t="n">
        <v>45581.58418981481</v>
      </c>
      <c r="C277" s="1" t="n">
        <v>46175</v>
      </c>
      <c r="D277" t="inlineStr">
        <is>
          <t>KALMAR LÄN</t>
        </is>
      </c>
      <c r="E277" t="inlineStr">
        <is>
          <t>VIMMERBY</t>
        </is>
      </c>
      <c r="G277" t="n">
        <v>2.1</v>
      </c>
      <c r="H277" t="n">
        <v>0</v>
      </c>
      <c r="I277" t="n">
        <v>0</v>
      </c>
      <c r="J277" t="n">
        <v>0</v>
      </c>
      <c r="K277" t="n">
        <v>0</v>
      </c>
      <c r="L277" t="n">
        <v>0</v>
      </c>
      <c r="M277" t="n">
        <v>0</v>
      </c>
      <c r="N277" t="n">
        <v>0</v>
      </c>
      <c r="O277" t="n">
        <v>0</v>
      </c>
      <c r="P277" t="n">
        <v>0</v>
      </c>
      <c r="Q277" t="n">
        <v>0</v>
      </c>
      <c r="R277" s="2" t="inlineStr"/>
    </row>
    <row r="278" ht="15" customHeight="1">
      <c r="A278" t="inlineStr">
        <is>
          <t>A 30882-2025</t>
        </is>
      </c>
      <c r="B278" s="1" t="n">
        <v>45832.34540509259</v>
      </c>
      <c r="C278" s="1" t="n">
        <v>46175</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50993-2022</t>
        </is>
      </c>
      <c r="B279" s="1" t="n">
        <v>44867</v>
      </c>
      <c r="C279" s="1" t="n">
        <v>46175</v>
      </c>
      <c r="D279" t="inlineStr">
        <is>
          <t>KALMAR LÄN</t>
        </is>
      </c>
      <c r="E279" t="inlineStr">
        <is>
          <t>VIMMERBY</t>
        </is>
      </c>
      <c r="G279" t="n">
        <v>1.7</v>
      </c>
      <c r="H279" t="n">
        <v>0</v>
      </c>
      <c r="I279" t="n">
        <v>0</v>
      </c>
      <c r="J279" t="n">
        <v>0</v>
      </c>
      <c r="K279" t="n">
        <v>0</v>
      </c>
      <c r="L279" t="n">
        <v>0</v>
      </c>
      <c r="M279" t="n">
        <v>0</v>
      </c>
      <c r="N279" t="n">
        <v>0</v>
      </c>
      <c r="O279" t="n">
        <v>0</v>
      </c>
      <c r="P279" t="n">
        <v>0</v>
      </c>
      <c r="Q279" t="n">
        <v>0</v>
      </c>
      <c r="R279" s="2" t="inlineStr"/>
    </row>
    <row r="280" ht="15" customHeight="1">
      <c r="A280" t="inlineStr">
        <is>
          <t>A 46225-2024</t>
        </is>
      </c>
      <c r="B280" s="1" t="n">
        <v>45581.57333333333</v>
      </c>
      <c r="C280" s="1" t="n">
        <v>46175</v>
      </c>
      <c r="D280" t="inlineStr">
        <is>
          <t>KALMAR LÄN</t>
        </is>
      </c>
      <c r="E280" t="inlineStr">
        <is>
          <t>VIMMERBY</t>
        </is>
      </c>
      <c r="G280" t="n">
        <v>1.3</v>
      </c>
      <c r="H280" t="n">
        <v>0</v>
      </c>
      <c r="I280" t="n">
        <v>0</v>
      </c>
      <c r="J280" t="n">
        <v>0</v>
      </c>
      <c r="K280" t="n">
        <v>0</v>
      </c>
      <c r="L280" t="n">
        <v>0</v>
      </c>
      <c r="M280" t="n">
        <v>0</v>
      </c>
      <c r="N280" t="n">
        <v>0</v>
      </c>
      <c r="O280" t="n">
        <v>0</v>
      </c>
      <c r="P280" t="n">
        <v>0</v>
      </c>
      <c r="Q280" t="n">
        <v>0</v>
      </c>
      <c r="R280" s="2" t="inlineStr"/>
    </row>
    <row r="281" ht="15" customHeight="1">
      <c r="A281" t="inlineStr">
        <is>
          <t>A 30971-2025</t>
        </is>
      </c>
      <c r="B281" s="1" t="n">
        <v>45832.46146990741</v>
      </c>
      <c r="C281" s="1" t="n">
        <v>46175</v>
      </c>
      <c r="D281" t="inlineStr">
        <is>
          <t>KALMAR LÄN</t>
        </is>
      </c>
      <c r="E281" t="inlineStr">
        <is>
          <t>VIMMERBY</t>
        </is>
      </c>
      <c r="G281" t="n">
        <v>1.2</v>
      </c>
      <c r="H281" t="n">
        <v>0</v>
      </c>
      <c r="I281" t="n">
        <v>0</v>
      </c>
      <c r="J281" t="n">
        <v>0</v>
      </c>
      <c r="K281" t="n">
        <v>0</v>
      </c>
      <c r="L281" t="n">
        <v>0</v>
      </c>
      <c r="M281" t="n">
        <v>0</v>
      </c>
      <c r="N281" t="n">
        <v>0</v>
      </c>
      <c r="O281" t="n">
        <v>0</v>
      </c>
      <c r="P281" t="n">
        <v>0</v>
      </c>
      <c r="Q281" t="n">
        <v>0</v>
      </c>
      <c r="R281" s="2" t="inlineStr"/>
    </row>
    <row r="282" ht="15" customHeight="1">
      <c r="A282" t="inlineStr">
        <is>
          <t>A 36055-2024</t>
        </is>
      </c>
      <c r="B282" s="1" t="n">
        <v>45533.63056712963</v>
      </c>
      <c r="C282" s="1" t="n">
        <v>46175</v>
      </c>
      <c r="D282" t="inlineStr">
        <is>
          <t>KALMAR LÄN</t>
        </is>
      </c>
      <c r="E282" t="inlineStr">
        <is>
          <t>VIMMERBY</t>
        </is>
      </c>
      <c r="F282" t="inlineStr">
        <is>
          <t>Kommuner</t>
        </is>
      </c>
      <c r="G282" t="n">
        <v>1.9</v>
      </c>
      <c r="H282" t="n">
        <v>0</v>
      </c>
      <c r="I282" t="n">
        <v>0</v>
      </c>
      <c r="J282" t="n">
        <v>0</v>
      </c>
      <c r="K282" t="n">
        <v>0</v>
      </c>
      <c r="L282" t="n">
        <v>0</v>
      </c>
      <c r="M282" t="n">
        <v>0</v>
      </c>
      <c r="N282" t="n">
        <v>0</v>
      </c>
      <c r="O282" t="n">
        <v>0</v>
      </c>
      <c r="P282" t="n">
        <v>0</v>
      </c>
      <c r="Q282" t="n">
        <v>0</v>
      </c>
      <c r="R282" s="2" t="inlineStr"/>
    </row>
    <row r="283" ht="15" customHeight="1">
      <c r="A283" t="inlineStr">
        <is>
          <t>A 47859-2024</t>
        </is>
      </c>
      <c r="B283" s="1" t="n">
        <v>45588.67070601852</v>
      </c>
      <c r="C283" s="1" t="n">
        <v>46175</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32835-2022</t>
        </is>
      </c>
      <c r="B284" s="1" t="n">
        <v>44784.42528935185</v>
      </c>
      <c r="C284" s="1" t="n">
        <v>46175</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39801-2025</t>
        </is>
      </c>
      <c r="B285" s="1" t="n">
        <v>45891.50216435185</v>
      </c>
      <c r="C285" s="1" t="n">
        <v>46175</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39807-2025</t>
        </is>
      </c>
      <c r="B286" s="1" t="n">
        <v>45891.50986111111</v>
      </c>
      <c r="C286" s="1" t="n">
        <v>46175</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10965-2026</t>
        </is>
      </c>
      <c r="B287" s="1" t="n">
        <v>46079.43295138889</v>
      </c>
      <c r="C287" s="1" t="n">
        <v>46175</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31552-2025</t>
        </is>
      </c>
      <c r="B288" s="1" t="n">
        <v>45833.64563657407</v>
      </c>
      <c r="C288" s="1" t="n">
        <v>46175</v>
      </c>
      <c r="D288" t="inlineStr">
        <is>
          <t>KALMAR LÄN</t>
        </is>
      </c>
      <c r="E288" t="inlineStr">
        <is>
          <t>VIMMERBY</t>
        </is>
      </c>
      <c r="G288" t="n">
        <v>1.7</v>
      </c>
      <c r="H288" t="n">
        <v>0</v>
      </c>
      <c r="I288" t="n">
        <v>0</v>
      </c>
      <c r="J288" t="n">
        <v>0</v>
      </c>
      <c r="K288" t="n">
        <v>0</v>
      </c>
      <c r="L288" t="n">
        <v>0</v>
      </c>
      <c r="M288" t="n">
        <v>0</v>
      </c>
      <c r="N288" t="n">
        <v>0</v>
      </c>
      <c r="O288" t="n">
        <v>0</v>
      </c>
      <c r="P288" t="n">
        <v>0</v>
      </c>
      <c r="Q288" t="n">
        <v>0</v>
      </c>
      <c r="R288" s="2" t="inlineStr"/>
    </row>
    <row r="289" ht="15" customHeight="1">
      <c r="A289" t="inlineStr">
        <is>
          <t>A 31555-2025</t>
        </is>
      </c>
      <c r="B289" s="1" t="n">
        <v>45833.64814814815</v>
      </c>
      <c r="C289" s="1" t="n">
        <v>46175</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41896-2023</t>
        </is>
      </c>
      <c r="B290" s="1" t="n">
        <v>45176.72427083334</v>
      </c>
      <c r="C290" s="1" t="n">
        <v>46175</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39736-2025</t>
        </is>
      </c>
      <c r="B291" s="1" t="n">
        <v>45891</v>
      </c>
      <c r="C291" s="1" t="n">
        <v>46175</v>
      </c>
      <c r="D291" t="inlineStr">
        <is>
          <t>KALMAR LÄN</t>
        </is>
      </c>
      <c r="E291" t="inlineStr">
        <is>
          <t>VIMMERBY</t>
        </is>
      </c>
      <c r="G291" t="n">
        <v>12.8</v>
      </c>
      <c r="H291" t="n">
        <v>0</v>
      </c>
      <c r="I291" t="n">
        <v>0</v>
      </c>
      <c r="J291" t="n">
        <v>0</v>
      </c>
      <c r="K291" t="n">
        <v>0</v>
      </c>
      <c r="L291" t="n">
        <v>0</v>
      </c>
      <c r="M291" t="n">
        <v>0</v>
      </c>
      <c r="N291" t="n">
        <v>0</v>
      </c>
      <c r="O291" t="n">
        <v>0</v>
      </c>
      <c r="P291" t="n">
        <v>0</v>
      </c>
      <c r="Q291" t="n">
        <v>0</v>
      </c>
      <c r="R291" s="2" t="inlineStr"/>
    </row>
    <row r="292" ht="15" customHeight="1">
      <c r="A292" t="inlineStr">
        <is>
          <t>A 31870-2025</t>
        </is>
      </c>
      <c r="B292" s="1" t="n">
        <v>45834.64667824074</v>
      </c>
      <c r="C292" s="1" t="n">
        <v>46175</v>
      </c>
      <c r="D292" t="inlineStr">
        <is>
          <t>KALMAR LÄN</t>
        </is>
      </c>
      <c r="E292" t="inlineStr">
        <is>
          <t>VIMMERBY</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39803-2025</t>
        </is>
      </c>
      <c r="B293" s="1" t="n">
        <v>45891.50525462963</v>
      </c>
      <c r="C293" s="1" t="n">
        <v>46175</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43606-2024</t>
        </is>
      </c>
      <c r="B294" s="1" t="n">
        <v>45569.45017361111</v>
      </c>
      <c r="C294" s="1" t="n">
        <v>46175</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39889-2025</t>
        </is>
      </c>
      <c r="B295" s="1" t="n">
        <v>45891</v>
      </c>
      <c r="C295" s="1" t="n">
        <v>46175</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12325-2023</t>
        </is>
      </c>
      <c r="B296" s="1" t="n">
        <v>44999.35858796296</v>
      </c>
      <c r="C296" s="1" t="n">
        <v>46175</v>
      </c>
      <c r="D296" t="inlineStr">
        <is>
          <t>KALMAR LÄN</t>
        </is>
      </c>
      <c r="E296" t="inlineStr">
        <is>
          <t>VIMMERBY</t>
        </is>
      </c>
      <c r="G296" t="n">
        <v>3.4</v>
      </c>
      <c r="H296" t="n">
        <v>0</v>
      </c>
      <c r="I296" t="n">
        <v>0</v>
      </c>
      <c r="J296" t="n">
        <v>0</v>
      </c>
      <c r="K296" t="n">
        <v>0</v>
      </c>
      <c r="L296" t="n">
        <v>0</v>
      </c>
      <c r="M296" t="n">
        <v>0</v>
      </c>
      <c r="N296" t="n">
        <v>0</v>
      </c>
      <c r="O296" t="n">
        <v>0</v>
      </c>
      <c r="P296" t="n">
        <v>0</v>
      </c>
      <c r="Q296" t="n">
        <v>0</v>
      </c>
      <c r="R296" s="2" t="inlineStr"/>
    </row>
    <row r="297" ht="15" customHeight="1">
      <c r="A297" t="inlineStr">
        <is>
          <t>A 8559-2025</t>
        </is>
      </c>
      <c r="B297" s="1" t="n">
        <v>45709.62280092593</v>
      </c>
      <c r="C297" s="1" t="n">
        <v>46175</v>
      </c>
      <c r="D297" t="inlineStr">
        <is>
          <t>KALMAR LÄN</t>
        </is>
      </c>
      <c r="E297" t="inlineStr">
        <is>
          <t>VIMMERBY</t>
        </is>
      </c>
      <c r="G297" t="n">
        <v>8.9</v>
      </c>
      <c r="H297" t="n">
        <v>0</v>
      </c>
      <c r="I297" t="n">
        <v>0</v>
      </c>
      <c r="J297" t="n">
        <v>0</v>
      </c>
      <c r="K297" t="n">
        <v>0</v>
      </c>
      <c r="L297" t="n">
        <v>0</v>
      </c>
      <c r="M297" t="n">
        <v>0</v>
      </c>
      <c r="N297" t="n">
        <v>0</v>
      </c>
      <c r="O297" t="n">
        <v>0</v>
      </c>
      <c r="P297" t="n">
        <v>0</v>
      </c>
      <c r="Q297" t="n">
        <v>0</v>
      </c>
      <c r="R297" s="2" t="inlineStr"/>
    </row>
    <row r="298" ht="15" customHeight="1">
      <c r="A298" t="inlineStr">
        <is>
          <t>A 31872-2025</t>
        </is>
      </c>
      <c r="B298" s="1" t="n">
        <v>45834.65040509259</v>
      </c>
      <c r="C298" s="1" t="n">
        <v>46175</v>
      </c>
      <c r="D298" t="inlineStr">
        <is>
          <t>KALMAR LÄN</t>
        </is>
      </c>
      <c r="E298" t="inlineStr">
        <is>
          <t>VIMMERBY</t>
        </is>
      </c>
      <c r="F298" t="inlineStr">
        <is>
          <t>Sveaskog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8945-2025</t>
        </is>
      </c>
      <c r="B299" s="1" t="n">
        <v>45713.45311342592</v>
      </c>
      <c r="C299" s="1" t="n">
        <v>46175</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31876-2025</t>
        </is>
      </c>
      <c r="B300" s="1" t="n">
        <v>45834.65197916667</v>
      </c>
      <c r="C300" s="1" t="n">
        <v>46175</v>
      </c>
      <c r="D300" t="inlineStr">
        <is>
          <t>KALMAR LÄN</t>
        </is>
      </c>
      <c r="E300" t="inlineStr">
        <is>
          <t>VIMMERBY</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11407-2026</t>
        </is>
      </c>
      <c r="B301" s="1" t="n">
        <v>46083</v>
      </c>
      <c r="C301" s="1" t="n">
        <v>46175</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40665-2023</t>
        </is>
      </c>
      <c r="B302" s="1" t="n">
        <v>45170</v>
      </c>
      <c r="C302" s="1" t="n">
        <v>46175</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13307-2025</t>
        </is>
      </c>
      <c r="B303" s="1" t="n">
        <v>45735.58024305556</v>
      </c>
      <c r="C303" s="1" t="n">
        <v>46175</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31551-2025</t>
        </is>
      </c>
      <c r="B304" s="1" t="n">
        <v>45833.64237268519</v>
      </c>
      <c r="C304" s="1" t="n">
        <v>46175</v>
      </c>
      <c r="D304" t="inlineStr">
        <is>
          <t>KALMAR LÄN</t>
        </is>
      </c>
      <c r="E304" t="inlineStr">
        <is>
          <t>VIMMERBY</t>
        </is>
      </c>
      <c r="G304" t="n">
        <v>1.9</v>
      </c>
      <c r="H304" t="n">
        <v>0</v>
      </c>
      <c r="I304" t="n">
        <v>0</v>
      </c>
      <c r="J304" t="n">
        <v>0</v>
      </c>
      <c r="K304" t="n">
        <v>0</v>
      </c>
      <c r="L304" t="n">
        <v>0</v>
      </c>
      <c r="M304" t="n">
        <v>0</v>
      </c>
      <c r="N304" t="n">
        <v>0</v>
      </c>
      <c r="O304" t="n">
        <v>0</v>
      </c>
      <c r="P304" t="n">
        <v>0</v>
      </c>
      <c r="Q304" t="n">
        <v>0</v>
      </c>
      <c r="R304" s="2" t="inlineStr"/>
    </row>
    <row r="305" ht="15" customHeight="1">
      <c r="A305" t="inlineStr">
        <is>
          <t>A 11273-2026</t>
        </is>
      </c>
      <c r="B305" s="1" t="n">
        <v>46080.57634259259</v>
      </c>
      <c r="C305" s="1" t="n">
        <v>46175</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31987-2025</t>
        </is>
      </c>
      <c r="B306" s="1" t="n">
        <v>45835.36229166666</v>
      </c>
      <c r="C306" s="1" t="n">
        <v>46175</v>
      </c>
      <c r="D306" t="inlineStr">
        <is>
          <t>KALMAR LÄN</t>
        </is>
      </c>
      <c r="E306" t="inlineStr">
        <is>
          <t>VIMMERBY</t>
        </is>
      </c>
      <c r="F306" t="inlineStr">
        <is>
          <t>Kyrkan</t>
        </is>
      </c>
      <c r="G306" t="n">
        <v>1.2</v>
      </c>
      <c r="H306" t="n">
        <v>0</v>
      </c>
      <c r="I306" t="n">
        <v>0</v>
      </c>
      <c r="J306" t="n">
        <v>0</v>
      </c>
      <c r="K306" t="n">
        <v>0</v>
      </c>
      <c r="L306" t="n">
        <v>0</v>
      </c>
      <c r="M306" t="n">
        <v>0</v>
      </c>
      <c r="N306" t="n">
        <v>0</v>
      </c>
      <c r="O306" t="n">
        <v>0</v>
      </c>
      <c r="P306" t="n">
        <v>0</v>
      </c>
      <c r="Q306" t="n">
        <v>0</v>
      </c>
      <c r="R306" s="2" t="inlineStr"/>
    </row>
    <row r="307" ht="15" customHeight="1">
      <c r="A307" t="inlineStr">
        <is>
          <t>A 28034-2022</t>
        </is>
      </c>
      <c r="B307" s="1" t="n">
        <v>44746.38834490741</v>
      </c>
      <c r="C307" s="1" t="n">
        <v>46175</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11415-2026</t>
        </is>
      </c>
      <c r="B308" s="1" t="n">
        <v>46083</v>
      </c>
      <c r="C308" s="1" t="n">
        <v>46175</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32120-2025</t>
        </is>
      </c>
      <c r="B309" s="1" t="n">
        <v>45835.4924537037</v>
      </c>
      <c r="C309" s="1" t="n">
        <v>46175</v>
      </c>
      <c r="D309" t="inlineStr">
        <is>
          <t>KALMAR LÄN</t>
        </is>
      </c>
      <c r="E309" t="inlineStr">
        <is>
          <t>VIMMERBY</t>
        </is>
      </c>
      <c r="G309" t="n">
        <v>0.8</v>
      </c>
      <c r="H309" t="n">
        <v>0</v>
      </c>
      <c r="I309" t="n">
        <v>0</v>
      </c>
      <c r="J309" t="n">
        <v>0</v>
      </c>
      <c r="K309" t="n">
        <v>0</v>
      </c>
      <c r="L309" t="n">
        <v>0</v>
      </c>
      <c r="M309" t="n">
        <v>0</v>
      </c>
      <c r="N309" t="n">
        <v>0</v>
      </c>
      <c r="O309" t="n">
        <v>0</v>
      </c>
      <c r="P309" t="n">
        <v>0</v>
      </c>
      <c r="Q309" t="n">
        <v>0</v>
      </c>
      <c r="R309" s="2" t="inlineStr"/>
    </row>
    <row r="310" ht="15" customHeight="1">
      <c r="A310" t="inlineStr">
        <is>
          <t>A 40970-2025</t>
        </is>
      </c>
      <c r="B310" s="1" t="n">
        <v>45897.88706018519</v>
      </c>
      <c r="C310" s="1" t="n">
        <v>46175</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40973-2025</t>
        </is>
      </c>
      <c r="B311" s="1" t="n">
        <v>45897.89737268518</v>
      </c>
      <c r="C311" s="1" t="n">
        <v>46175</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41224-2025</t>
        </is>
      </c>
      <c r="B312" s="1" t="n">
        <v>45898.58861111111</v>
      </c>
      <c r="C312" s="1" t="n">
        <v>46175</v>
      </c>
      <c r="D312" t="inlineStr">
        <is>
          <t>KALMAR LÄN</t>
        </is>
      </c>
      <c r="E312" t="inlineStr">
        <is>
          <t>VIMMERBY</t>
        </is>
      </c>
      <c r="G312" t="n">
        <v>4.4</v>
      </c>
      <c r="H312" t="n">
        <v>0</v>
      </c>
      <c r="I312" t="n">
        <v>0</v>
      </c>
      <c r="J312" t="n">
        <v>0</v>
      </c>
      <c r="K312" t="n">
        <v>0</v>
      </c>
      <c r="L312" t="n">
        <v>0</v>
      </c>
      <c r="M312" t="n">
        <v>0</v>
      </c>
      <c r="N312" t="n">
        <v>0</v>
      </c>
      <c r="O312" t="n">
        <v>0</v>
      </c>
      <c r="P312" t="n">
        <v>0</v>
      </c>
      <c r="Q312" t="n">
        <v>0</v>
      </c>
      <c r="R312" s="2" t="inlineStr"/>
    </row>
    <row r="313" ht="15" customHeight="1">
      <c r="A313" t="inlineStr">
        <is>
          <t>A 55605-2024</t>
        </is>
      </c>
      <c r="B313" s="1" t="n">
        <v>45622</v>
      </c>
      <c r="C313" s="1" t="n">
        <v>46175</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42165-2024</t>
        </is>
      </c>
      <c r="B314" s="1" t="n">
        <v>45562.46342592593</v>
      </c>
      <c r="C314" s="1" t="n">
        <v>46175</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20129-2024</t>
        </is>
      </c>
      <c r="B315" s="1" t="n">
        <v>45434.55831018519</v>
      </c>
      <c r="C315" s="1" t="n">
        <v>46175</v>
      </c>
      <c r="D315" t="inlineStr">
        <is>
          <t>KALMAR LÄN</t>
        </is>
      </c>
      <c r="E315" t="inlineStr">
        <is>
          <t>VIMMERBY</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20137-2024</t>
        </is>
      </c>
      <c r="B316" s="1" t="n">
        <v>45434.56398148148</v>
      </c>
      <c r="C316" s="1" t="n">
        <v>46175</v>
      </c>
      <c r="D316" t="inlineStr">
        <is>
          <t>KALMAR LÄN</t>
        </is>
      </c>
      <c r="E316" t="inlineStr">
        <is>
          <t>VIMMERBY</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32116-2025</t>
        </is>
      </c>
      <c r="B317" s="1" t="n">
        <v>45835.48862268519</v>
      </c>
      <c r="C317" s="1" t="n">
        <v>46175</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23095-2023</t>
        </is>
      </c>
      <c r="B318" s="1" t="n">
        <v>45075.43059027778</v>
      </c>
      <c r="C318" s="1" t="n">
        <v>46175</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32919-2022</t>
        </is>
      </c>
      <c r="B319" s="1" t="n">
        <v>44784.62724537037</v>
      </c>
      <c r="C319" s="1" t="n">
        <v>46175</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11798-2026</t>
        </is>
      </c>
      <c r="B320" s="1" t="n">
        <v>46085.34020833333</v>
      </c>
      <c r="C320" s="1" t="n">
        <v>46175</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32380-2025</t>
        </is>
      </c>
      <c r="B321" s="1" t="n">
        <v>45837.77701388889</v>
      </c>
      <c r="C321" s="1" t="n">
        <v>46175</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40925-2025</t>
        </is>
      </c>
      <c r="B322" s="1" t="n">
        <v>45897.64208333333</v>
      </c>
      <c r="C322" s="1" t="n">
        <v>46175</v>
      </c>
      <c r="D322" t="inlineStr">
        <is>
          <t>KALMAR LÄN</t>
        </is>
      </c>
      <c r="E322" t="inlineStr">
        <is>
          <t>VIMMERBY</t>
        </is>
      </c>
      <c r="G322" t="n">
        <v>1.9</v>
      </c>
      <c r="H322" t="n">
        <v>0</v>
      </c>
      <c r="I322" t="n">
        <v>0</v>
      </c>
      <c r="J322" t="n">
        <v>0</v>
      </c>
      <c r="K322" t="n">
        <v>0</v>
      </c>
      <c r="L322" t="n">
        <v>0</v>
      </c>
      <c r="M322" t="n">
        <v>0</v>
      </c>
      <c r="N322" t="n">
        <v>0</v>
      </c>
      <c r="O322" t="n">
        <v>0</v>
      </c>
      <c r="P322" t="n">
        <v>0</v>
      </c>
      <c r="Q322" t="n">
        <v>0</v>
      </c>
      <c r="R322" s="2" t="inlineStr"/>
    </row>
    <row r="323" ht="15" customHeight="1">
      <c r="A323" t="inlineStr">
        <is>
          <t>A 32109-2025</t>
        </is>
      </c>
      <c r="B323" s="1" t="n">
        <v>45835.48267361111</v>
      </c>
      <c r="C323" s="1" t="n">
        <v>46175</v>
      </c>
      <c r="D323" t="inlineStr">
        <is>
          <t>KALMAR LÄN</t>
        </is>
      </c>
      <c r="E323" t="inlineStr">
        <is>
          <t>VIMMERBY</t>
        </is>
      </c>
      <c r="G323" t="n">
        <v>2.5</v>
      </c>
      <c r="H323" t="n">
        <v>0</v>
      </c>
      <c r="I323" t="n">
        <v>0</v>
      </c>
      <c r="J323" t="n">
        <v>0</v>
      </c>
      <c r="K323" t="n">
        <v>0</v>
      </c>
      <c r="L323" t="n">
        <v>0</v>
      </c>
      <c r="M323" t="n">
        <v>0</v>
      </c>
      <c r="N323" t="n">
        <v>0</v>
      </c>
      <c r="O323" t="n">
        <v>0</v>
      </c>
      <c r="P323" t="n">
        <v>0</v>
      </c>
      <c r="Q323" t="n">
        <v>0</v>
      </c>
      <c r="R323" s="2" t="inlineStr"/>
    </row>
    <row r="324" ht="15" customHeight="1">
      <c r="A324" t="inlineStr">
        <is>
          <t>A 32113-2025</t>
        </is>
      </c>
      <c r="B324" s="1" t="n">
        <v>45835.48445601852</v>
      </c>
      <c r="C324" s="1" t="n">
        <v>46175</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40921-2025</t>
        </is>
      </c>
      <c r="B325" s="1" t="n">
        <v>45897.63520833333</v>
      </c>
      <c r="C325" s="1" t="n">
        <v>46175</v>
      </c>
      <c r="D325" t="inlineStr">
        <is>
          <t>KALMAR LÄN</t>
        </is>
      </c>
      <c r="E325" t="inlineStr">
        <is>
          <t>VIMMERBY</t>
        </is>
      </c>
      <c r="G325" t="n">
        <v>4.2</v>
      </c>
      <c r="H325" t="n">
        <v>0</v>
      </c>
      <c r="I325" t="n">
        <v>0</v>
      </c>
      <c r="J325" t="n">
        <v>0</v>
      </c>
      <c r="K325" t="n">
        <v>0</v>
      </c>
      <c r="L325" t="n">
        <v>0</v>
      </c>
      <c r="M325" t="n">
        <v>0</v>
      </c>
      <c r="N325" t="n">
        <v>0</v>
      </c>
      <c r="O325" t="n">
        <v>0</v>
      </c>
      <c r="P325" t="n">
        <v>0</v>
      </c>
      <c r="Q325" t="n">
        <v>0</v>
      </c>
      <c r="R325" s="2" t="inlineStr"/>
    </row>
    <row r="326" ht="15" customHeight="1">
      <c r="A326" t="inlineStr">
        <is>
          <t>A 40971-2025</t>
        </is>
      </c>
      <c r="B326" s="1" t="n">
        <v>45897.88836805556</v>
      </c>
      <c r="C326" s="1" t="n">
        <v>46175</v>
      </c>
      <c r="D326" t="inlineStr">
        <is>
          <t>KALMAR LÄN</t>
        </is>
      </c>
      <c r="E326" t="inlineStr">
        <is>
          <t>VIMMERBY</t>
        </is>
      </c>
      <c r="G326" t="n">
        <v>1.5</v>
      </c>
      <c r="H326" t="n">
        <v>0</v>
      </c>
      <c r="I326" t="n">
        <v>0</v>
      </c>
      <c r="J326" t="n">
        <v>0</v>
      </c>
      <c r="K326" t="n">
        <v>0</v>
      </c>
      <c r="L326" t="n">
        <v>0</v>
      </c>
      <c r="M326" t="n">
        <v>0</v>
      </c>
      <c r="N326" t="n">
        <v>0</v>
      </c>
      <c r="O326" t="n">
        <v>0</v>
      </c>
      <c r="P326" t="n">
        <v>0</v>
      </c>
      <c r="Q326" t="n">
        <v>0</v>
      </c>
      <c r="R326" s="2" t="inlineStr"/>
    </row>
    <row r="327" ht="15" customHeight="1">
      <c r="A327" t="inlineStr">
        <is>
          <t>A 32077-2025</t>
        </is>
      </c>
      <c r="B327" s="1" t="n">
        <v>45835.45099537037</v>
      </c>
      <c r="C327" s="1" t="n">
        <v>46175</v>
      </c>
      <c r="D327" t="inlineStr">
        <is>
          <t>KALMAR LÄN</t>
        </is>
      </c>
      <c r="E327" t="inlineStr">
        <is>
          <t>VIMMERBY</t>
        </is>
      </c>
      <c r="G327" t="n">
        <v>1.8</v>
      </c>
      <c r="H327" t="n">
        <v>0</v>
      </c>
      <c r="I327" t="n">
        <v>0</v>
      </c>
      <c r="J327" t="n">
        <v>0</v>
      </c>
      <c r="K327" t="n">
        <v>0</v>
      </c>
      <c r="L327" t="n">
        <v>0</v>
      </c>
      <c r="M327" t="n">
        <v>0</v>
      </c>
      <c r="N327" t="n">
        <v>0</v>
      </c>
      <c r="O327" t="n">
        <v>0</v>
      </c>
      <c r="P327" t="n">
        <v>0</v>
      </c>
      <c r="Q327" t="n">
        <v>0</v>
      </c>
      <c r="R327" s="2" t="inlineStr"/>
    </row>
    <row r="328" ht="15" customHeight="1">
      <c r="A328" t="inlineStr">
        <is>
          <t>A 7068-2024</t>
        </is>
      </c>
      <c r="B328" s="1" t="n">
        <v>45343.68038194445</v>
      </c>
      <c r="C328" s="1" t="n">
        <v>46175</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32064-2025</t>
        </is>
      </c>
      <c r="B329" s="1" t="n">
        <v>45835.44709490741</v>
      </c>
      <c r="C329" s="1" t="n">
        <v>46175</v>
      </c>
      <c r="D329" t="inlineStr">
        <is>
          <t>KALMAR LÄN</t>
        </is>
      </c>
      <c r="E329" t="inlineStr">
        <is>
          <t>VIMMERBY</t>
        </is>
      </c>
      <c r="G329" t="n">
        <v>2.6</v>
      </c>
      <c r="H329" t="n">
        <v>0</v>
      </c>
      <c r="I329" t="n">
        <v>0</v>
      </c>
      <c r="J329" t="n">
        <v>0</v>
      </c>
      <c r="K329" t="n">
        <v>0</v>
      </c>
      <c r="L329" t="n">
        <v>0</v>
      </c>
      <c r="M329" t="n">
        <v>0</v>
      </c>
      <c r="N329" t="n">
        <v>0</v>
      </c>
      <c r="O329" t="n">
        <v>0</v>
      </c>
      <c r="P329" t="n">
        <v>0</v>
      </c>
      <c r="Q329" t="n">
        <v>0</v>
      </c>
      <c r="R329" s="2" t="inlineStr"/>
    </row>
    <row r="330" ht="15" customHeight="1">
      <c r="A330" t="inlineStr">
        <is>
          <t>A 32065-2025</t>
        </is>
      </c>
      <c r="B330" s="1" t="n">
        <v>45835.44732638889</v>
      </c>
      <c r="C330" s="1" t="n">
        <v>46175</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41591-2025</t>
        </is>
      </c>
      <c r="B331" s="1" t="n">
        <v>45901.6327662037</v>
      </c>
      <c r="C331" s="1" t="n">
        <v>46175</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41589-2025</t>
        </is>
      </c>
      <c r="B332" s="1" t="n">
        <v>45901.63219907408</v>
      </c>
      <c r="C332" s="1" t="n">
        <v>46175</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32655-2023</t>
        </is>
      </c>
      <c r="B333" s="1" t="n">
        <v>45121.61318287037</v>
      </c>
      <c r="C333" s="1" t="n">
        <v>46175</v>
      </c>
      <c r="D333" t="inlineStr">
        <is>
          <t>KALMAR LÄN</t>
        </is>
      </c>
      <c r="E333" t="inlineStr">
        <is>
          <t>VIMMERBY</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33186-2025</t>
        </is>
      </c>
      <c r="B334" s="1" t="n">
        <v>45840.59474537037</v>
      </c>
      <c r="C334" s="1" t="n">
        <v>46175</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54409-2024</t>
        </is>
      </c>
      <c r="B335" s="1" t="n">
        <v>45617.47570601852</v>
      </c>
      <c r="C335" s="1" t="n">
        <v>46175</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34090-2025</t>
        </is>
      </c>
      <c r="B336" s="1" t="n">
        <v>45845</v>
      </c>
      <c r="C336" s="1" t="n">
        <v>46175</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30977-2025</t>
        </is>
      </c>
      <c r="B337" s="1" t="n">
        <v>45832.46649305556</v>
      </c>
      <c r="C337" s="1" t="n">
        <v>46175</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41735-2025</t>
        </is>
      </c>
      <c r="B338" s="1" t="n">
        <v>45902.47164351852</v>
      </c>
      <c r="C338" s="1" t="n">
        <v>46175</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12730-2026</t>
        </is>
      </c>
      <c r="B339" s="1" t="n">
        <v>46091</v>
      </c>
      <c r="C339" s="1" t="n">
        <v>46175</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33695-2025</t>
        </is>
      </c>
      <c r="B340" s="1" t="n">
        <v>45841.70569444444</v>
      </c>
      <c r="C340" s="1" t="n">
        <v>46175</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33698-2025</t>
        </is>
      </c>
      <c r="B341" s="1" t="n">
        <v>45841.70868055556</v>
      </c>
      <c r="C341" s="1" t="n">
        <v>46175</v>
      </c>
      <c r="D341" t="inlineStr">
        <is>
          <t>KALMAR LÄN</t>
        </is>
      </c>
      <c r="E341" t="inlineStr">
        <is>
          <t>VIMMERBY</t>
        </is>
      </c>
      <c r="G341" t="n">
        <v>3.7</v>
      </c>
      <c r="H341" t="n">
        <v>0</v>
      </c>
      <c r="I341" t="n">
        <v>0</v>
      </c>
      <c r="J341" t="n">
        <v>0</v>
      </c>
      <c r="K341" t="n">
        <v>0</v>
      </c>
      <c r="L341" t="n">
        <v>0</v>
      </c>
      <c r="M341" t="n">
        <v>0</v>
      </c>
      <c r="N341" t="n">
        <v>0</v>
      </c>
      <c r="O341" t="n">
        <v>0</v>
      </c>
      <c r="P341" t="n">
        <v>0</v>
      </c>
      <c r="Q341" t="n">
        <v>0</v>
      </c>
      <c r="R341" s="2" t="inlineStr"/>
    </row>
    <row r="342" ht="15" customHeight="1">
      <c r="A342" t="inlineStr">
        <is>
          <t>A 9475-2023</t>
        </is>
      </c>
      <c r="B342" s="1" t="n">
        <v>44981.58834490741</v>
      </c>
      <c r="C342" s="1" t="n">
        <v>46175</v>
      </c>
      <c r="D342" t="inlineStr">
        <is>
          <t>KALMAR LÄN</t>
        </is>
      </c>
      <c r="E342" t="inlineStr">
        <is>
          <t>VIMMERBY</t>
        </is>
      </c>
      <c r="G342" t="n">
        <v>2</v>
      </c>
      <c r="H342" t="n">
        <v>0</v>
      </c>
      <c r="I342" t="n">
        <v>0</v>
      </c>
      <c r="J342" t="n">
        <v>0</v>
      </c>
      <c r="K342" t="n">
        <v>0</v>
      </c>
      <c r="L342" t="n">
        <v>0</v>
      </c>
      <c r="M342" t="n">
        <v>0</v>
      </c>
      <c r="N342" t="n">
        <v>0</v>
      </c>
      <c r="O342" t="n">
        <v>0</v>
      </c>
      <c r="P342" t="n">
        <v>0</v>
      </c>
      <c r="Q342" t="n">
        <v>0</v>
      </c>
      <c r="R342" s="2" t="inlineStr"/>
    </row>
    <row r="343" ht="15" customHeight="1">
      <c r="A343" t="inlineStr">
        <is>
          <t>A 43092-2024</t>
        </is>
      </c>
      <c r="B343" s="1" t="n">
        <v>45567</v>
      </c>
      <c r="C343" s="1" t="n">
        <v>46175</v>
      </c>
      <c r="D343" t="inlineStr">
        <is>
          <t>KALMAR LÄN</t>
        </is>
      </c>
      <c r="E343" t="inlineStr">
        <is>
          <t>VIMMERBY</t>
        </is>
      </c>
      <c r="G343" t="n">
        <v>2.7</v>
      </c>
      <c r="H343" t="n">
        <v>0</v>
      </c>
      <c r="I343" t="n">
        <v>0</v>
      </c>
      <c r="J343" t="n">
        <v>0</v>
      </c>
      <c r="K343" t="n">
        <v>0</v>
      </c>
      <c r="L343" t="n">
        <v>0</v>
      </c>
      <c r="M343" t="n">
        <v>0</v>
      </c>
      <c r="N343" t="n">
        <v>0</v>
      </c>
      <c r="O343" t="n">
        <v>0</v>
      </c>
      <c r="P343" t="n">
        <v>0</v>
      </c>
      <c r="Q343" t="n">
        <v>0</v>
      </c>
      <c r="R343" s="2" t="inlineStr"/>
    </row>
    <row r="344" ht="15" customHeight="1">
      <c r="A344" t="inlineStr">
        <is>
          <t>A 33696-2025</t>
        </is>
      </c>
      <c r="B344" s="1" t="n">
        <v>45841.7072337963</v>
      </c>
      <c r="C344" s="1" t="n">
        <v>46175</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11619-2023</t>
        </is>
      </c>
      <c r="B345" s="1" t="n">
        <v>44994.42113425926</v>
      </c>
      <c r="C345" s="1" t="n">
        <v>46175</v>
      </c>
      <c r="D345" t="inlineStr">
        <is>
          <t>KALMAR LÄN</t>
        </is>
      </c>
      <c r="E345" t="inlineStr">
        <is>
          <t>VIMMERBY</t>
        </is>
      </c>
      <c r="G345" t="n">
        <v>2.5</v>
      </c>
      <c r="H345" t="n">
        <v>0</v>
      </c>
      <c r="I345" t="n">
        <v>0</v>
      </c>
      <c r="J345" t="n">
        <v>0</v>
      </c>
      <c r="K345" t="n">
        <v>0</v>
      </c>
      <c r="L345" t="n">
        <v>0</v>
      </c>
      <c r="M345" t="n">
        <v>0</v>
      </c>
      <c r="N345" t="n">
        <v>0</v>
      </c>
      <c r="O345" t="n">
        <v>0</v>
      </c>
      <c r="P345" t="n">
        <v>0</v>
      </c>
      <c r="Q345" t="n">
        <v>0</v>
      </c>
      <c r="R345" s="2" t="inlineStr"/>
    </row>
    <row r="346" ht="15" customHeight="1">
      <c r="A346" t="inlineStr">
        <is>
          <t>A 42828-2025</t>
        </is>
      </c>
      <c r="B346" s="1" t="n">
        <v>45908.57716435185</v>
      </c>
      <c r="C346" s="1" t="n">
        <v>46175</v>
      </c>
      <c r="D346" t="inlineStr">
        <is>
          <t>KALMAR LÄN</t>
        </is>
      </c>
      <c r="E346" t="inlineStr">
        <is>
          <t>VIMMERBY</t>
        </is>
      </c>
      <c r="G346" t="n">
        <v>5.2</v>
      </c>
      <c r="H346" t="n">
        <v>0</v>
      </c>
      <c r="I346" t="n">
        <v>0</v>
      </c>
      <c r="J346" t="n">
        <v>0</v>
      </c>
      <c r="K346" t="n">
        <v>0</v>
      </c>
      <c r="L346" t="n">
        <v>0</v>
      </c>
      <c r="M346" t="n">
        <v>0</v>
      </c>
      <c r="N346" t="n">
        <v>0</v>
      </c>
      <c r="O346" t="n">
        <v>0</v>
      </c>
      <c r="P346" t="n">
        <v>0</v>
      </c>
      <c r="Q346" t="n">
        <v>0</v>
      </c>
      <c r="R346" s="2" t="inlineStr"/>
    </row>
    <row r="347" ht="15" customHeight="1">
      <c r="A347" t="inlineStr">
        <is>
          <t>A 5074-2023</t>
        </is>
      </c>
      <c r="B347" s="1" t="n">
        <v>44958.61047453704</v>
      </c>
      <c r="C347" s="1" t="n">
        <v>46175</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28702-2025</t>
        </is>
      </c>
      <c r="B348" s="1" t="n">
        <v>45820.03976851852</v>
      </c>
      <c r="C348" s="1" t="n">
        <v>46175</v>
      </c>
      <c r="D348" t="inlineStr">
        <is>
          <t>KALMAR LÄN</t>
        </is>
      </c>
      <c r="E348" t="inlineStr">
        <is>
          <t>VIMMERBY</t>
        </is>
      </c>
      <c r="G348" t="n">
        <v>2.1</v>
      </c>
      <c r="H348" t="n">
        <v>0</v>
      </c>
      <c r="I348" t="n">
        <v>0</v>
      </c>
      <c r="J348" t="n">
        <v>0</v>
      </c>
      <c r="K348" t="n">
        <v>0</v>
      </c>
      <c r="L348" t="n">
        <v>0</v>
      </c>
      <c r="M348" t="n">
        <v>0</v>
      </c>
      <c r="N348" t="n">
        <v>0</v>
      </c>
      <c r="O348" t="n">
        <v>0</v>
      </c>
      <c r="P348" t="n">
        <v>0</v>
      </c>
      <c r="Q348" t="n">
        <v>0</v>
      </c>
      <c r="R348" s="2" t="inlineStr"/>
    </row>
    <row r="349" ht="15" customHeight="1">
      <c r="A349" t="inlineStr">
        <is>
          <t>A 6368-2023</t>
        </is>
      </c>
      <c r="B349" s="1" t="n">
        <v>44965</v>
      </c>
      <c r="C349" s="1" t="n">
        <v>46175</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5701-2024</t>
        </is>
      </c>
      <c r="B350" s="1" t="n">
        <v>45334.78826388889</v>
      </c>
      <c r="C350" s="1" t="n">
        <v>46175</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42794-2025</t>
        </is>
      </c>
      <c r="B351" s="1" t="n">
        <v>45908</v>
      </c>
      <c r="C351" s="1" t="n">
        <v>46175</v>
      </c>
      <c r="D351" t="inlineStr">
        <is>
          <t>KALMAR LÄN</t>
        </is>
      </c>
      <c r="E351" t="inlineStr">
        <is>
          <t>VIMMERBY</t>
        </is>
      </c>
      <c r="G351" t="n">
        <v>0.9</v>
      </c>
      <c r="H351" t="n">
        <v>0</v>
      </c>
      <c r="I351" t="n">
        <v>0</v>
      </c>
      <c r="J351" t="n">
        <v>0</v>
      </c>
      <c r="K351" t="n">
        <v>0</v>
      </c>
      <c r="L351" t="n">
        <v>0</v>
      </c>
      <c r="M351" t="n">
        <v>0</v>
      </c>
      <c r="N351" t="n">
        <v>0</v>
      </c>
      <c r="O351" t="n">
        <v>0</v>
      </c>
      <c r="P351" t="n">
        <v>0</v>
      </c>
      <c r="Q351" t="n">
        <v>0</v>
      </c>
      <c r="R351" s="2" t="inlineStr"/>
    </row>
    <row r="352" ht="15" customHeight="1">
      <c r="A352" t="inlineStr">
        <is>
          <t>A 34071-2025</t>
        </is>
      </c>
      <c r="B352" s="1" t="n">
        <v>45845.43803240741</v>
      </c>
      <c r="C352" s="1" t="n">
        <v>46175</v>
      </c>
      <c r="D352" t="inlineStr">
        <is>
          <t>KALMAR LÄN</t>
        </is>
      </c>
      <c r="E352" t="inlineStr">
        <is>
          <t>VIMMERBY</t>
        </is>
      </c>
      <c r="G352" t="n">
        <v>6.8</v>
      </c>
      <c r="H352" t="n">
        <v>0</v>
      </c>
      <c r="I352" t="n">
        <v>0</v>
      </c>
      <c r="J352" t="n">
        <v>0</v>
      </c>
      <c r="K352" t="n">
        <v>0</v>
      </c>
      <c r="L352" t="n">
        <v>0</v>
      </c>
      <c r="M352" t="n">
        <v>0</v>
      </c>
      <c r="N352" t="n">
        <v>0</v>
      </c>
      <c r="O352" t="n">
        <v>0</v>
      </c>
      <c r="P352" t="n">
        <v>0</v>
      </c>
      <c r="Q352" t="n">
        <v>0</v>
      </c>
      <c r="R352" s="2" t="inlineStr"/>
    </row>
    <row r="353" ht="15" customHeight="1">
      <c r="A353" t="inlineStr">
        <is>
          <t>A 12820-2026</t>
        </is>
      </c>
      <c r="B353" s="1" t="n">
        <v>46092.40909722223</v>
      </c>
      <c r="C353" s="1" t="n">
        <v>46175</v>
      </c>
      <c r="D353" t="inlineStr">
        <is>
          <t>KALMAR LÄN</t>
        </is>
      </c>
      <c r="E353" t="inlineStr">
        <is>
          <t>VIMMERBY</t>
        </is>
      </c>
      <c r="G353" t="n">
        <v>4.3</v>
      </c>
      <c r="H353" t="n">
        <v>0</v>
      </c>
      <c r="I353" t="n">
        <v>0</v>
      </c>
      <c r="J353" t="n">
        <v>0</v>
      </c>
      <c r="K353" t="n">
        <v>0</v>
      </c>
      <c r="L353" t="n">
        <v>0</v>
      </c>
      <c r="M353" t="n">
        <v>0</v>
      </c>
      <c r="N353" t="n">
        <v>0</v>
      </c>
      <c r="O353" t="n">
        <v>0</v>
      </c>
      <c r="P353" t="n">
        <v>0</v>
      </c>
      <c r="Q353" t="n">
        <v>0</v>
      </c>
      <c r="R353" s="2" t="inlineStr"/>
    </row>
    <row r="354" ht="15" customHeight="1">
      <c r="A354" t="inlineStr">
        <is>
          <t>A 12821-2026</t>
        </is>
      </c>
      <c r="B354" s="1" t="n">
        <v>46092.41256944444</v>
      </c>
      <c r="C354" s="1" t="n">
        <v>46175</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12825-2026</t>
        </is>
      </c>
      <c r="B355" s="1" t="n">
        <v>46092.41561342592</v>
      </c>
      <c r="C355" s="1" t="n">
        <v>46175</v>
      </c>
      <c r="D355" t="inlineStr">
        <is>
          <t>KALMAR LÄN</t>
        </is>
      </c>
      <c r="E355" t="inlineStr">
        <is>
          <t>VIMMERBY</t>
        </is>
      </c>
      <c r="G355" t="n">
        <v>2.6</v>
      </c>
      <c r="H355" t="n">
        <v>0</v>
      </c>
      <c r="I355" t="n">
        <v>0</v>
      </c>
      <c r="J355" t="n">
        <v>0</v>
      </c>
      <c r="K355" t="n">
        <v>0</v>
      </c>
      <c r="L355" t="n">
        <v>0</v>
      </c>
      <c r="M355" t="n">
        <v>0</v>
      </c>
      <c r="N355" t="n">
        <v>0</v>
      </c>
      <c r="O355" t="n">
        <v>0</v>
      </c>
      <c r="P355" t="n">
        <v>0</v>
      </c>
      <c r="Q355" t="n">
        <v>0</v>
      </c>
      <c r="R355" s="2" t="inlineStr"/>
    </row>
    <row r="356" ht="15" customHeight="1">
      <c r="A356" t="inlineStr">
        <is>
          <t>A 34106-2025</t>
        </is>
      </c>
      <c r="B356" s="1" t="n">
        <v>45845.49414351852</v>
      </c>
      <c r="C356" s="1" t="n">
        <v>46175</v>
      </c>
      <c r="D356" t="inlineStr">
        <is>
          <t>KALMAR LÄN</t>
        </is>
      </c>
      <c r="E356" t="inlineStr">
        <is>
          <t>VIMMERBY</t>
        </is>
      </c>
      <c r="G356" t="n">
        <v>6</v>
      </c>
      <c r="H356" t="n">
        <v>0</v>
      </c>
      <c r="I356" t="n">
        <v>0</v>
      </c>
      <c r="J356" t="n">
        <v>0</v>
      </c>
      <c r="K356" t="n">
        <v>0</v>
      </c>
      <c r="L356" t="n">
        <v>0</v>
      </c>
      <c r="M356" t="n">
        <v>0</v>
      </c>
      <c r="N356" t="n">
        <v>0</v>
      </c>
      <c r="O356" t="n">
        <v>0</v>
      </c>
      <c r="P356" t="n">
        <v>0</v>
      </c>
      <c r="Q356" t="n">
        <v>0</v>
      </c>
      <c r="R356" s="2" t="inlineStr"/>
    </row>
    <row r="357" ht="15" customHeight="1">
      <c r="A357" t="inlineStr">
        <is>
          <t>A 42820-2025</t>
        </is>
      </c>
      <c r="B357" s="1" t="n">
        <v>45908</v>
      </c>
      <c r="C357" s="1" t="n">
        <v>46175</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26956-2025</t>
        </is>
      </c>
      <c r="B358" s="1" t="n">
        <v>45811.45460648148</v>
      </c>
      <c r="C358" s="1" t="n">
        <v>46175</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7797-2023</t>
        </is>
      </c>
      <c r="B359" s="1" t="n">
        <v>44973.43075231482</v>
      </c>
      <c r="C359" s="1" t="n">
        <v>46175</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20017-2026</t>
        </is>
      </c>
      <c r="B360" s="1" t="n">
        <v>46136.49986111111</v>
      </c>
      <c r="C360" s="1" t="n">
        <v>46175</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20018-2026</t>
        </is>
      </c>
      <c r="B361" s="1" t="n">
        <v>46136.50282407407</v>
      </c>
      <c r="C361" s="1" t="n">
        <v>46175</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34060-2025</t>
        </is>
      </c>
      <c r="B362" s="1" t="n">
        <v>45845.42015046296</v>
      </c>
      <c r="C362" s="1" t="n">
        <v>46175</v>
      </c>
      <c r="D362" t="inlineStr">
        <is>
          <t>KALMAR LÄN</t>
        </is>
      </c>
      <c r="E362" t="inlineStr">
        <is>
          <t>VIMMERBY</t>
        </is>
      </c>
      <c r="G362" t="n">
        <v>5.7</v>
      </c>
      <c r="H362" t="n">
        <v>0</v>
      </c>
      <c r="I362" t="n">
        <v>0</v>
      </c>
      <c r="J362" t="n">
        <v>0</v>
      </c>
      <c r="K362" t="n">
        <v>0</v>
      </c>
      <c r="L362" t="n">
        <v>0</v>
      </c>
      <c r="M362" t="n">
        <v>0</v>
      </c>
      <c r="N362" t="n">
        <v>0</v>
      </c>
      <c r="O362" t="n">
        <v>0</v>
      </c>
      <c r="P362" t="n">
        <v>0</v>
      </c>
      <c r="Q362" t="n">
        <v>0</v>
      </c>
      <c r="R362" s="2" t="inlineStr"/>
    </row>
    <row r="363" ht="15" customHeight="1">
      <c r="A363" t="inlineStr">
        <is>
          <t>A 34628-2025</t>
        </is>
      </c>
      <c r="B363" s="1" t="n">
        <v>45847.91280092593</v>
      </c>
      <c r="C363" s="1" t="n">
        <v>46175</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13667-2026</t>
        </is>
      </c>
      <c r="B364" s="1" t="n">
        <v>46097</v>
      </c>
      <c r="C364" s="1" t="n">
        <v>46175</v>
      </c>
      <c r="D364" t="inlineStr">
        <is>
          <t>KALMAR LÄN</t>
        </is>
      </c>
      <c r="E364" t="inlineStr">
        <is>
          <t>VIMMERBY</t>
        </is>
      </c>
      <c r="G364" t="n">
        <v>6.8</v>
      </c>
      <c r="H364" t="n">
        <v>0</v>
      </c>
      <c r="I364" t="n">
        <v>0</v>
      </c>
      <c r="J364" t="n">
        <v>0</v>
      </c>
      <c r="K364" t="n">
        <v>0</v>
      </c>
      <c r="L364" t="n">
        <v>0</v>
      </c>
      <c r="M364" t="n">
        <v>0</v>
      </c>
      <c r="N364" t="n">
        <v>0</v>
      </c>
      <c r="O364" t="n">
        <v>0</v>
      </c>
      <c r="P364" t="n">
        <v>0</v>
      </c>
      <c r="Q364" t="n">
        <v>0</v>
      </c>
      <c r="R364" s="2" t="inlineStr"/>
    </row>
    <row r="365" ht="15" customHeight="1">
      <c r="A365" t="inlineStr">
        <is>
          <t>A 8410-2023</t>
        </is>
      </c>
      <c r="B365" s="1" t="n">
        <v>44977</v>
      </c>
      <c r="C365" s="1" t="n">
        <v>46175</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13714-2026</t>
        </is>
      </c>
      <c r="B366" s="1" t="n">
        <v>46097.58472222222</v>
      </c>
      <c r="C366" s="1" t="n">
        <v>46175</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43617-2025</t>
        </is>
      </c>
      <c r="B367" s="1" t="n">
        <v>45911.67798611111</v>
      </c>
      <c r="C367" s="1" t="n">
        <v>46175</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6028-2023</t>
        </is>
      </c>
      <c r="B368" s="1" t="n">
        <v>44964.44356481481</v>
      </c>
      <c r="C368" s="1" t="n">
        <v>46175</v>
      </c>
      <c r="D368" t="inlineStr">
        <is>
          <t>KALMAR LÄN</t>
        </is>
      </c>
      <c r="E368" t="inlineStr">
        <is>
          <t>VIMMERBY</t>
        </is>
      </c>
      <c r="G368" t="n">
        <v>2.5</v>
      </c>
      <c r="H368" t="n">
        <v>0</v>
      </c>
      <c r="I368" t="n">
        <v>0</v>
      </c>
      <c r="J368" t="n">
        <v>0</v>
      </c>
      <c r="K368" t="n">
        <v>0</v>
      </c>
      <c r="L368" t="n">
        <v>0</v>
      </c>
      <c r="M368" t="n">
        <v>0</v>
      </c>
      <c r="N368" t="n">
        <v>0</v>
      </c>
      <c r="O368" t="n">
        <v>0</v>
      </c>
      <c r="P368" t="n">
        <v>0</v>
      </c>
      <c r="Q368" t="n">
        <v>0</v>
      </c>
      <c r="R368" s="2" t="inlineStr"/>
    </row>
    <row r="369" ht="15" customHeight="1">
      <c r="A369" t="inlineStr">
        <is>
          <t>A 43465-2025</t>
        </is>
      </c>
      <c r="B369" s="1" t="n">
        <v>45911.47138888889</v>
      </c>
      <c r="C369" s="1" t="n">
        <v>46175</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52823-2024</t>
        </is>
      </c>
      <c r="B370" s="1" t="n">
        <v>45610.59094907407</v>
      </c>
      <c r="C370" s="1" t="n">
        <v>46175</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13793-2026</t>
        </is>
      </c>
      <c r="B371" s="1" t="n">
        <v>46097.79199074074</v>
      </c>
      <c r="C371" s="1" t="n">
        <v>46175</v>
      </c>
      <c r="D371" t="inlineStr">
        <is>
          <t>KALMAR LÄN</t>
        </is>
      </c>
      <c r="E371" t="inlineStr">
        <is>
          <t>VIMMERBY</t>
        </is>
      </c>
      <c r="G371" t="n">
        <v>2.9</v>
      </c>
      <c r="H371" t="n">
        <v>0</v>
      </c>
      <c r="I371" t="n">
        <v>0</v>
      </c>
      <c r="J371" t="n">
        <v>0</v>
      </c>
      <c r="K371" t="n">
        <v>0</v>
      </c>
      <c r="L371" t="n">
        <v>0</v>
      </c>
      <c r="M371" t="n">
        <v>0</v>
      </c>
      <c r="N371" t="n">
        <v>0</v>
      </c>
      <c r="O371" t="n">
        <v>0</v>
      </c>
      <c r="P371" t="n">
        <v>0</v>
      </c>
      <c r="Q371" t="n">
        <v>0</v>
      </c>
      <c r="R371" s="2" t="inlineStr"/>
    </row>
    <row r="372" ht="15" customHeight="1">
      <c r="A372" t="inlineStr">
        <is>
          <t>A 14279-2026</t>
        </is>
      </c>
      <c r="B372" s="1" t="n">
        <v>46099.66826388889</v>
      </c>
      <c r="C372" s="1" t="n">
        <v>46175</v>
      </c>
      <c r="D372" t="inlineStr">
        <is>
          <t>KALMAR LÄN</t>
        </is>
      </c>
      <c r="E372" t="inlineStr">
        <is>
          <t>VIMMERBY</t>
        </is>
      </c>
      <c r="G372" t="n">
        <v>2.8</v>
      </c>
      <c r="H372" t="n">
        <v>0</v>
      </c>
      <c r="I372" t="n">
        <v>0</v>
      </c>
      <c r="J372" t="n">
        <v>0</v>
      </c>
      <c r="K372" t="n">
        <v>0</v>
      </c>
      <c r="L372" t="n">
        <v>0</v>
      </c>
      <c r="M372" t="n">
        <v>0</v>
      </c>
      <c r="N372" t="n">
        <v>0</v>
      </c>
      <c r="O372" t="n">
        <v>0</v>
      </c>
      <c r="P372" t="n">
        <v>0</v>
      </c>
      <c r="Q372" t="n">
        <v>0</v>
      </c>
      <c r="R372" s="2" t="inlineStr"/>
    </row>
    <row r="373" ht="15" customHeight="1">
      <c r="A373" t="inlineStr">
        <is>
          <t>A 56853-2022</t>
        </is>
      </c>
      <c r="B373" s="1" t="n">
        <v>44894.49538194444</v>
      </c>
      <c r="C373" s="1" t="n">
        <v>46175</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11152-2023</t>
        </is>
      </c>
      <c r="B374" s="1" t="n">
        <v>44992</v>
      </c>
      <c r="C374" s="1" t="n">
        <v>46175</v>
      </c>
      <c r="D374" t="inlineStr">
        <is>
          <t>KALMAR LÄN</t>
        </is>
      </c>
      <c r="E374" t="inlineStr">
        <is>
          <t>VIMMERBY</t>
        </is>
      </c>
      <c r="G374" t="n">
        <v>10.6</v>
      </c>
      <c r="H374" t="n">
        <v>0</v>
      </c>
      <c r="I374" t="n">
        <v>0</v>
      </c>
      <c r="J374" t="n">
        <v>0</v>
      </c>
      <c r="K374" t="n">
        <v>0</v>
      </c>
      <c r="L374" t="n">
        <v>0</v>
      </c>
      <c r="M374" t="n">
        <v>0</v>
      </c>
      <c r="N374" t="n">
        <v>0</v>
      </c>
      <c r="O374" t="n">
        <v>0</v>
      </c>
      <c r="P374" t="n">
        <v>0</v>
      </c>
      <c r="Q374" t="n">
        <v>0</v>
      </c>
      <c r="R374" s="2" t="inlineStr"/>
    </row>
    <row r="375" ht="15" customHeight="1">
      <c r="A375" t="inlineStr">
        <is>
          <t>A 44329-2025</t>
        </is>
      </c>
      <c r="B375" s="1" t="n">
        <v>45916.41019675926</v>
      </c>
      <c r="C375" s="1" t="n">
        <v>46175</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15550-2023</t>
        </is>
      </c>
      <c r="B376" s="1" t="n">
        <v>45020</v>
      </c>
      <c r="C376" s="1" t="n">
        <v>46175</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46175</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31355-2023</t>
        </is>
      </c>
      <c r="B378" s="1" t="n">
        <v>45114.49505787037</v>
      </c>
      <c r="C378" s="1" t="n">
        <v>46175</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18330-2023</t>
        </is>
      </c>
      <c r="B379" s="1" t="n">
        <v>45041</v>
      </c>
      <c r="C379" s="1" t="n">
        <v>46175</v>
      </c>
      <c r="D379" t="inlineStr">
        <is>
          <t>KALMAR LÄN</t>
        </is>
      </c>
      <c r="E379" t="inlineStr">
        <is>
          <t>VIMMERBY</t>
        </is>
      </c>
      <c r="G379" t="n">
        <v>1.7</v>
      </c>
      <c r="H379" t="n">
        <v>0</v>
      </c>
      <c r="I379" t="n">
        <v>0</v>
      </c>
      <c r="J379" t="n">
        <v>0</v>
      </c>
      <c r="K379" t="n">
        <v>0</v>
      </c>
      <c r="L379" t="n">
        <v>0</v>
      </c>
      <c r="M379" t="n">
        <v>0</v>
      </c>
      <c r="N379" t="n">
        <v>0</v>
      </c>
      <c r="O379" t="n">
        <v>0</v>
      </c>
      <c r="P379" t="n">
        <v>0</v>
      </c>
      <c r="Q379" t="n">
        <v>0</v>
      </c>
      <c r="R379" s="2" t="inlineStr"/>
    </row>
    <row r="380" ht="15" customHeight="1">
      <c r="A380" t="inlineStr">
        <is>
          <t>A 44091-2025</t>
        </is>
      </c>
      <c r="B380" s="1" t="n">
        <v>45915.55950231481</v>
      </c>
      <c r="C380" s="1" t="n">
        <v>46175</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14277-2026</t>
        </is>
      </c>
      <c r="B381" s="1" t="n">
        <v>46099.66305555555</v>
      </c>
      <c r="C381" s="1" t="n">
        <v>46175</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58100-2024</t>
        </is>
      </c>
      <c r="B382" s="1" t="n">
        <v>45632.36706018518</v>
      </c>
      <c r="C382" s="1" t="n">
        <v>46175</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44095-2025</t>
        </is>
      </c>
      <c r="B383" s="1" t="n">
        <v>45915.56430555556</v>
      </c>
      <c r="C383" s="1" t="n">
        <v>46175</v>
      </c>
      <c r="D383" t="inlineStr">
        <is>
          <t>KALMAR LÄN</t>
        </is>
      </c>
      <c r="E383" t="inlineStr">
        <is>
          <t>VIMMERBY</t>
        </is>
      </c>
      <c r="G383" t="n">
        <v>2.4</v>
      </c>
      <c r="H383" t="n">
        <v>0</v>
      </c>
      <c r="I383" t="n">
        <v>0</v>
      </c>
      <c r="J383" t="n">
        <v>0</v>
      </c>
      <c r="K383" t="n">
        <v>0</v>
      </c>
      <c r="L383" t="n">
        <v>0</v>
      </c>
      <c r="M383" t="n">
        <v>0</v>
      </c>
      <c r="N383" t="n">
        <v>0</v>
      </c>
      <c r="O383" t="n">
        <v>0</v>
      </c>
      <c r="P383" t="n">
        <v>0</v>
      </c>
      <c r="Q383" t="n">
        <v>0</v>
      </c>
      <c r="R383" s="2" t="inlineStr"/>
    </row>
    <row r="384" ht="15" customHeight="1">
      <c r="A384" t="inlineStr">
        <is>
          <t>A 27993-2022</t>
        </is>
      </c>
      <c r="B384" s="1" t="n">
        <v>44745.84396990741</v>
      </c>
      <c r="C384" s="1" t="n">
        <v>46175</v>
      </c>
      <c r="D384" t="inlineStr">
        <is>
          <t>KALMAR LÄN</t>
        </is>
      </c>
      <c r="E384" t="inlineStr">
        <is>
          <t>VIMMERBY</t>
        </is>
      </c>
      <c r="G384" t="n">
        <v>2.8</v>
      </c>
      <c r="H384" t="n">
        <v>0</v>
      </c>
      <c r="I384" t="n">
        <v>0</v>
      </c>
      <c r="J384" t="n">
        <v>0</v>
      </c>
      <c r="K384" t="n">
        <v>0</v>
      </c>
      <c r="L384" t="n">
        <v>0</v>
      </c>
      <c r="M384" t="n">
        <v>0</v>
      </c>
      <c r="N384" t="n">
        <v>0</v>
      </c>
      <c r="O384" t="n">
        <v>0</v>
      </c>
      <c r="P384" t="n">
        <v>0</v>
      </c>
      <c r="Q384" t="n">
        <v>0</v>
      </c>
      <c r="R384" s="2" t="inlineStr"/>
    </row>
    <row r="385" ht="15" customHeight="1">
      <c r="A385" t="inlineStr">
        <is>
          <t>A 38969-2023</t>
        </is>
      </c>
      <c r="B385" s="1" t="n">
        <v>45163.63621527778</v>
      </c>
      <c r="C385" s="1" t="n">
        <v>46175</v>
      </c>
      <c r="D385" t="inlineStr">
        <is>
          <t>KALMAR LÄN</t>
        </is>
      </c>
      <c r="E385" t="inlineStr">
        <is>
          <t>VIMMERBY</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14320-2026</t>
        </is>
      </c>
      <c r="B386" s="1" t="n">
        <v>46099.88449074074</v>
      </c>
      <c r="C386" s="1" t="n">
        <v>46175</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44742-2025</t>
        </is>
      </c>
      <c r="B387" s="1" t="n">
        <v>45917.67054398148</v>
      </c>
      <c r="C387" s="1" t="n">
        <v>46175</v>
      </c>
      <c r="D387" t="inlineStr">
        <is>
          <t>KALMAR LÄN</t>
        </is>
      </c>
      <c r="E387" t="inlineStr">
        <is>
          <t>VIMMERBY</t>
        </is>
      </c>
      <c r="G387" t="n">
        <v>4.7</v>
      </c>
      <c r="H387" t="n">
        <v>0</v>
      </c>
      <c r="I387" t="n">
        <v>0</v>
      </c>
      <c r="J387" t="n">
        <v>0</v>
      </c>
      <c r="K387" t="n">
        <v>0</v>
      </c>
      <c r="L387" t="n">
        <v>0</v>
      </c>
      <c r="M387" t="n">
        <v>0</v>
      </c>
      <c r="N387" t="n">
        <v>0</v>
      </c>
      <c r="O387" t="n">
        <v>0</v>
      </c>
      <c r="P387" t="n">
        <v>0</v>
      </c>
      <c r="Q387" t="n">
        <v>0</v>
      </c>
      <c r="R387" s="2" t="inlineStr"/>
    </row>
    <row r="388" ht="15" customHeight="1">
      <c r="A388" t="inlineStr">
        <is>
          <t>A 41896-2025</t>
        </is>
      </c>
      <c r="B388" s="1" t="n">
        <v>45903.38800925926</v>
      </c>
      <c r="C388" s="1" t="n">
        <v>46175</v>
      </c>
      <c r="D388" t="inlineStr">
        <is>
          <t>KALMAR LÄN</t>
        </is>
      </c>
      <c r="E388" t="inlineStr">
        <is>
          <t>VIMMERBY</t>
        </is>
      </c>
      <c r="G388" t="n">
        <v>2.9</v>
      </c>
      <c r="H388" t="n">
        <v>0</v>
      </c>
      <c r="I388" t="n">
        <v>0</v>
      </c>
      <c r="J388" t="n">
        <v>0</v>
      </c>
      <c r="K388" t="n">
        <v>0</v>
      </c>
      <c r="L388" t="n">
        <v>0</v>
      </c>
      <c r="M388" t="n">
        <v>0</v>
      </c>
      <c r="N388" t="n">
        <v>0</v>
      </c>
      <c r="O388" t="n">
        <v>0</v>
      </c>
      <c r="P388" t="n">
        <v>0</v>
      </c>
      <c r="Q388" t="n">
        <v>0</v>
      </c>
      <c r="R388" s="2" t="inlineStr"/>
    </row>
    <row r="389" ht="15" customHeight="1">
      <c r="A389" t="inlineStr">
        <is>
          <t>A 53752-2024</t>
        </is>
      </c>
      <c r="B389" s="1" t="n">
        <v>45615.48927083334</v>
      </c>
      <c r="C389" s="1" t="n">
        <v>46175</v>
      </c>
      <c r="D389" t="inlineStr">
        <is>
          <t>KALMAR LÄN</t>
        </is>
      </c>
      <c r="E389" t="inlineStr">
        <is>
          <t>VIMMERBY</t>
        </is>
      </c>
      <c r="G389" t="n">
        <v>2.4</v>
      </c>
      <c r="H389" t="n">
        <v>0</v>
      </c>
      <c r="I389" t="n">
        <v>0</v>
      </c>
      <c r="J389" t="n">
        <v>0</v>
      </c>
      <c r="K389" t="n">
        <v>0</v>
      </c>
      <c r="L389" t="n">
        <v>0</v>
      </c>
      <c r="M389" t="n">
        <v>0</v>
      </c>
      <c r="N389" t="n">
        <v>0</v>
      </c>
      <c r="O389" t="n">
        <v>0</v>
      </c>
      <c r="P389" t="n">
        <v>0</v>
      </c>
      <c r="Q389" t="n">
        <v>0</v>
      </c>
      <c r="R389" s="2" t="inlineStr"/>
    </row>
    <row r="390" ht="15" customHeight="1">
      <c r="A390" t="inlineStr">
        <is>
          <t>A 14318-2026</t>
        </is>
      </c>
      <c r="B390" s="1" t="n">
        <v>46099.87961805556</v>
      </c>
      <c r="C390" s="1" t="n">
        <v>46175</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15205-2026</t>
        </is>
      </c>
      <c r="B391" s="1" t="n">
        <v>46105.48628472222</v>
      </c>
      <c r="C391" s="1" t="n">
        <v>46175</v>
      </c>
      <c r="D391" t="inlineStr">
        <is>
          <t>KALMAR LÄN</t>
        </is>
      </c>
      <c r="E391" t="inlineStr">
        <is>
          <t>VIMMERBY</t>
        </is>
      </c>
      <c r="G391" t="n">
        <v>2.1</v>
      </c>
      <c r="H391" t="n">
        <v>0</v>
      </c>
      <c r="I391" t="n">
        <v>0</v>
      </c>
      <c r="J391" t="n">
        <v>0</v>
      </c>
      <c r="K391" t="n">
        <v>0</v>
      </c>
      <c r="L391" t="n">
        <v>0</v>
      </c>
      <c r="M391" t="n">
        <v>0</v>
      </c>
      <c r="N391" t="n">
        <v>0</v>
      </c>
      <c r="O391" t="n">
        <v>0</v>
      </c>
      <c r="P391" t="n">
        <v>0</v>
      </c>
      <c r="Q391" t="n">
        <v>0</v>
      </c>
      <c r="R391" s="2" t="inlineStr"/>
    </row>
    <row r="392" ht="15" customHeight="1">
      <c r="A392" t="inlineStr">
        <is>
          <t>A 35270-2025</t>
        </is>
      </c>
      <c r="B392" s="1" t="n">
        <v>45853.87112268519</v>
      </c>
      <c r="C392" s="1" t="n">
        <v>46175</v>
      </c>
      <c r="D392" t="inlineStr">
        <is>
          <t>KALMAR LÄN</t>
        </is>
      </c>
      <c r="E392" t="inlineStr">
        <is>
          <t>VIMMERBY</t>
        </is>
      </c>
      <c r="G392" t="n">
        <v>2.4</v>
      </c>
      <c r="H392" t="n">
        <v>0</v>
      </c>
      <c r="I392" t="n">
        <v>0</v>
      </c>
      <c r="J392" t="n">
        <v>0</v>
      </c>
      <c r="K392" t="n">
        <v>0</v>
      </c>
      <c r="L392" t="n">
        <v>0</v>
      </c>
      <c r="M392" t="n">
        <v>0</v>
      </c>
      <c r="N392" t="n">
        <v>0</v>
      </c>
      <c r="O392" t="n">
        <v>0</v>
      </c>
      <c r="P392" t="n">
        <v>0</v>
      </c>
      <c r="Q392" t="n">
        <v>0</v>
      </c>
      <c r="R392" s="2" t="inlineStr"/>
    </row>
    <row r="393" ht="15" customHeight="1">
      <c r="A393" t="inlineStr">
        <is>
          <t>A 58728-2024</t>
        </is>
      </c>
      <c r="B393" s="1" t="n">
        <v>45635.66695601852</v>
      </c>
      <c r="C393" s="1" t="n">
        <v>46175</v>
      </c>
      <c r="D393" t="inlineStr">
        <is>
          <t>KALMAR LÄN</t>
        </is>
      </c>
      <c r="E393" t="inlineStr">
        <is>
          <t>VIMMERBY</t>
        </is>
      </c>
      <c r="G393" t="n">
        <v>0.4</v>
      </c>
      <c r="H393" t="n">
        <v>0</v>
      </c>
      <c r="I393" t="n">
        <v>0</v>
      </c>
      <c r="J393" t="n">
        <v>0</v>
      </c>
      <c r="K393" t="n">
        <v>0</v>
      </c>
      <c r="L393" t="n">
        <v>0</v>
      </c>
      <c r="M393" t="n">
        <v>0</v>
      </c>
      <c r="N393" t="n">
        <v>0</v>
      </c>
      <c r="O393" t="n">
        <v>0</v>
      </c>
      <c r="P393" t="n">
        <v>0</v>
      </c>
      <c r="Q393" t="n">
        <v>0</v>
      </c>
      <c r="R393" s="2" t="inlineStr"/>
    </row>
    <row r="394" ht="15" customHeight="1">
      <c r="A394" t="inlineStr">
        <is>
          <t>A 35271-2025</t>
        </is>
      </c>
      <c r="B394" s="1" t="n">
        <v>45853.87599537037</v>
      </c>
      <c r="C394" s="1" t="n">
        <v>46175</v>
      </c>
      <c r="D394" t="inlineStr">
        <is>
          <t>KALMAR LÄN</t>
        </is>
      </c>
      <c r="E394" t="inlineStr">
        <is>
          <t>VIMMERBY</t>
        </is>
      </c>
      <c r="G394" t="n">
        <v>0.4</v>
      </c>
      <c r="H394" t="n">
        <v>0</v>
      </c>
      <c r="I394" t="n">
        <v>0</v>
      </c>
      <c r="J394" t="n">
        <v>0</v>
      </c>
      <c r="K394" t="n">
        <v>0</v>
      </c>
      <c r="L394" t="n">
        <v>0</v>
      </c>
      <c r="M394" t="n">
        <v>0</v>
      </c>
      <c r="N394" t="n">
        <v>0</v>
      </c>
      <c r="O394" t="n">
        <v>0</v>
      </c>
      <c r="P394" t="n">
        <v>0</v>
      </c>
      <c r="Q394" t="n">
        <v>0</v>
      </c>
      <c r="R394" s="2" t="inlineStr"/>
    </row>
    <row r="395" ht="15" customHeight="1">
      <c r="A395" t="inlineStr">
        <is>
          <t>A 35272-2025</t>
        </is>
      </c>
      <c r="B395" s="1" t="n">
        <v>45853.88070601852</v>
      </c>
      <c r="C395" s="1" t="n">
        <v>46175</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43242-2024</t>
        </is>
      </c>
      <c r="B396" s="1" t="n">
        <v>45568.30189814815</v>
      </c>
      <c r="C396" s="1" t="n">
        <v>46175</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16983-2023</t>
        </is>
      </c>
      <c r="B397" s="1" t="n">
        <v>45033.76043981482</v>
      </c>
      <c r="C397" s="1" t="n">
        <v>46175</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16953-2025</t>
        </is>
      </c>
      <c r="B398" s="1" t="n">
        <v>45755.44333333334</v>
      </c>
      <c r="C398" s="1" t="n">
        <v>46175</v>
      </c>
      <c r="D398" t="inlineStr">
        <is>
          <t>KALMAR LÄN</t>
        </is>
      </c>
      <c r="E398" t="inlineStr">
        <is>
          <t>VIMMERBY</t>
        </is>
      </c>
      <c r="G398" t="n">
        <v>2</v>
      </c>
      <c r="H398" t="n">
        <v>0</v>
      </c>
      <c r="I398" t="n">
        <v>0</v>
      </c>
      <c r="J398" t="n">
        <v>0</v>
      </c>
      <c r="K398" t="n">
        <v>0</v>
      </c>
      <c r="L398" t="n">
        <v>0</v>
      </c>
      <c r="M398" t="n">
        <v>0</v>
      </c>
      <c r="N398" t="n">
        <v>0</v>
      </c>
      <c r="O398" t="n">
        <v>0</v>
      </c>
      <c r="P398" t="n">
        <v>0</v>
      </c>
      <c r="Q398" t="n">
        <v>0</v>
      </c>
      <c r="R398" s="2" t="inlineStr"/>
    </row>
    <row r="399" ht="15" customHeight="1">
      <c r="A399" t="inlineStr">
        <is>
          <t>A 45319-2025</t>
        </is>
      </c>
      <c r="B399" s="1" t="n">
        <v>45921.95611111111</v>
      </c>
      <c r="C399" s="1" t="n">
        <v>46175</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45320-2025</t>
        </is>
      </c>
      <c r="B400" s="1" t="n">
        <v>45921.96395833333</v>
      </c>
      <c r="C400" s="1" t="n">
        <v>46175</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6405-2025</t>
        </is>
      </c>
      <c r="B401" s="1" t="n">
        <v>45699.45392361111</v>
      </c>
      <c r="C401" s="1" t="n">
        <v>46175</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36843-2023</t>
        </is>
      </c>
      <c r="B402" s="1" t="n">
        <v>45154.49831018518</v>
      </c>
      <c r="C402" s="1" t="n">
        <v>46175</v>
      </c>
      <c r="D402" t="inlineStr">
        <is>
          <t>KALMAR LÄN</t>
        </is>
      </c>
      <c r="E402" t="inlineStr">
        <is>
          <t>VIMMERBY</t>
        </is>
      </c>
      <c r="G402" t="n">
        <v>2</v>
      </c>
      <c r="H402" t="n">
        <v>0</v>
      </c>
      <c r="I402" t="n">
        <v>0</v>
      </c>
      <c r="J402" t="n">
        <v>0</v>
      </c>
      <c r="K402" t="n">
        <v>0</v>
      </c>
      <c r="L402" t="n">
        <v>0</v>
      </c>
      <c r="M402" t="n">
        <v>0</v>
      </c>
      <c r="N402" t="n">
        <v>0</v>
      </c>
      <c r="O402" t="n">
        <v>0</v>
      </c>
      <c r="P402" t="n">
        <v>0</v>
      </c>
      <c r="Q402" t="n">
        <v>0</v>
      </c>
      <c r="R402" s="2" t="inlineStr"/>
    </row>
    <row r="403" ht="15" customHeight="1">
      <c r="A403" t="inlineStr">
        <is>
          <t>A 15054-2026</t>
        </is>
      </c>
      <c r="B403" s="1" t="n">
        <v>46104.6815162037</v>
      </c>
      <c r="C403" s="1" t="n">
        <v>46175</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57486-2024</t>
        </is>
      </c>
      <c r="B404" s="1" t="n">
        <v>45630.35827546296</v>
      </c>
      <c r="C404" s="1" t="n">
        <v>46175</v>
      </c>
      <c r="D404" t="inlineStr">
        <is>
          <t>KALMAR LÄN</t>
        </is>
      </c>
      <c r="E404" t="inlineStr">
        <is>
          <t>VIMMERBY</t>
        </is>
      </c>
      <c r="G404" t="n">
        <v>0.4</v>
      </c>
      <c r="H404" t="n">
        <v>0</v>
      </c>
      <c r="I404" t="n">
        <v>0</v>
      </c>
      <c r="J404" t="n">
        <v>0</v>
      </c>
      <c r="K404" t="n">
        <v>0</v>
      </c>
      <c r="L404" t="n">
        <v>0</v>
      </c>
      <c r="M404" t="n">
        <v>0</v>
      </c>
      <c r="N404" t="n">
        <v>0</v>
      </c>
      <c r="O404" t="n">
        <v>0</v>
      </c>
      <c r="P404" t="n">
        <v>0</v>
      </c>
      <c r="Q404" t="n">
        <v>0</v>
      </c>
      <c r="R404" s="2" t="inlineStr"/>
    </row>
    <row r="405" ht="15" customHeight="1">
      <c r="A405" t="inlineStr">
        <is>
          <t>A 45114-2025</t>
        </is>
      </c>
      <c r="B405" s="1" t="n">
        <v>45919.42387731482</v>
      </c>
      <c r="C405" s="1" t="n">
        <v>46175</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14793-2026</t>
        </is>
      </c>
      <c r="B406" s="1" t="n">
        <v>46101.92108796296</v>
      </c>
      <c r="C406" s="1" t="n">
        <v>46175</v>
      </c>
      <c r="D406" t="inlineStr">
        <is>
          <t>KALMAR LÄN</t>
        </is>
      </c>
      <c r="E406" t="inlineStr">
        <is>
          <t>VIMMERBY</t>
        </is>
      </c>
      <c r="G406" t="n">
        <v>5.7</v>
      </c>
      <c r="H406" t="n">
        <v>0</v>
      </c>
      <c r="I406" t="n">
        <v>0</v>
      </c>
      <c r="J406" t="n">
        <v>0</v>
      </c>
      <c r="K406" t="n">
        <v>0</v>
      </c>
      <c r="L406" t="n">
        <v>0</v>
      </c>
      <c r="M406" t="n">
        <v>0</v>
      </c>
      <c r="N406" t="n">
        <v>0</v>
      </c>
      <c r="O406" t="n">
        <v>0</v>
      </c>
      <c r="P406" t="n">
        <v>0</v>
      </c>
      <c r="Q406" t="n">
        <v>0</v>
      </c>
      <c r="R406" s="2" t="inlineStr"/>
    </row>
    <row r="407" ht="15" customHeight="1">
      <c r="A407" t="inlineStr">
        <is>
          <t>A 44423-2023</t>
        </is>
      </c>
      <c r="B407" s="1" t="n">
        <v>45189</v>
      </c>
      <c r="C407" s="1" t="n">
        <v>46175</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20-2025</t>
        </is>
      </c>
      <c r="B408" s="1" t="n">
        <v>45658.80232638889</v>
      </c>
      <c r="C408" s="1" t="n">
        <v>46175</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23-2025</t>
        </is>
      </c>
      <c r="B409" s="1" t="n">
        <v>45658.80827546296</v>
      </c>
      <c r="C409" s="1" t="n">
        <v>46175</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46118-2025</t>
        </is>
      </c>
      <c r="B410" s="1" t="n">
        <v>45924.57697916667</v>
      </c>
      <c r="C410" s="1" t="n">
        <v>46175</v>
      </c>
      <c r="D410" t="inlineStr">
        <is>
          <t>KALMAR LÄN</t>
        </is>
      </c>
      <c r="E410" t="inlineStr">
        <is>
          <t>VIMMERBY</t>
        </is>
      </c>
      <c r="G410" t="n">
        <v>2.9</v>
      </c>
      <c r="H410" t="n">
        <v>0</v>
      </c>
      <c r="I410" t="n">
        <v>0</v>
      </c>
      <c r="J410" t="n">
        <v>0</v>
      </c>
      <c r="K410" t="n">
        <v>0</v>
      </c>
      <c r="L410" t="n">
        <v>0</v>
      </c>
      <c r="M410" t="n">
        <v>0</v>
      </c>
      <c r="N410" t="n">
        <v>0</v>
      </c>
      <c r="O410" t="n">
        <v>0</v>
      </c>
      <c r="P410" t="n">
        <v>0</v>
      </c>
      <c r="Q410" t="n">
        <v>0</v>
      </c>
      <c r="R410" s="2" t="inlineStr"/>
    </row>
    <row r="411" ht="15" customHeight="1">
      <c r="A411" t="inlineStr">
        <is>
          <t>A 14792-2026</t>
        </is>
      </c>
      <c r="B411" s="1" t="n">
        <v>46101.91993055555</v>
      </c>
      <c r="C411" s="1" t="n">
        <v>46175</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21496-2023</t>
        </is>
      </c>
      <c r="B412" s="1" t="n">
        <v>45063.49936342592</v>
      </c>
      <c r="C412" s="1" t="n">
        <v>46175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31056-2022</t>
        </is>
      </c>
      <c r="B413" s="1" t="n">
        <v>44769.45805555556</v>
      </c>
      <c r="C413" s="1" t="n">
        <v>46175</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72701-2021</t>
        </is>
      </c>
      <c r="B414" s="1" t="n">
        <v>44546</v>
      </c>
      <c r="C414" s="1" t="n">
        <v>46175</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52294-2023</t>
        </is>
      </c>
      <c r="B415" s="1" t="n">
        <v>45224.60075231481</v>
      </c>
      <c r="C415" s="1" t="n">
        <v>46175</v>
      </c>
      <c r="D415" t="inlineStr">
        <is>
          <t>KALMAR LÄN</t>
        </is>
      </c>
      <c r="E415" t="inlineStr">
        <is>
          <t>VIMMERBY</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61355-2024</t>
        </is>
      </c>
      <c r="B416" s="1" t="n">
        <v>45646.38200231481</v>
      </c>
      <c r="C416" s="1" t="n">
        <v>46175</v>
      </c>
      <c r="D416" t="inlineStr">
        <is>
          <t>KALMAR LÄN</t>
        </is>
      </c>
      <c r="E416" t="inlineStr">
        <is>
          <t>VIMMERBY</t>
        </is>
      </c>
      <c r="G416" t="n">
        <v>2.7</v>
      </c>
      <c r="H416" t="n">
        <v>0</v>
      </c>
      <c r="I416" t="n">
        <v>0</v>
      </c>
      <c r="J416" t="n">
        <v>0</v>
      </c>
      <c r="K416" t="n">
        <v>0</v>
      </c>
      <c r="L416" t="n">
        <v>0</v>
      </c>
      <c r="M416" t="n">
        <v>0</v>
      </c>
      <c r="N416" t="n">
        <v>0</v>
      </c>
      <c r="O416" t="n">
        <v>0</v>
      </c>
      <c r="P416" t="n">
        <v>0</v>
      </c>
      <c r="Q416" t="n">
        <v>0</v>
      </c>
      <c r="R416" s="2" t="inlineStr"/>
    </row>
    <row r="417" ht="15" customHeight="1">
      <c r="A417" t="inlineStr">
        <is>
          <t>A 45854-2025</t>
        </is>
      </c>
      <c r="B417" s="1" t="n">
        <v>45923</v>
      </c>
      <c r="C417" s="1" t="n">
        <v>46175</v>
      </c>
      <c r="D417" t="inlineStr">
        <is>
          <t>KALMAR LÄN</t>
        </is>
      </c>
      <c r="E417" t="inlineStr">
        <is>
          <t>VIMMERBY</t>
        </is>
      </c>
      <c r="G417" t="n">
        <v>2.2</v>
      </c>
      <c r="H417" t="n">
        <v>0</v>
      </c>
      <c r="I417" t="n">
        <v>0</v>
      </c>
      <c r="J417" t="n">
        <v>0</v>
      </c>
      <c r="K417" t="n">
        <v>0</v>
      </c>
      <c r="L417" t="n">
        <v>0</v>
      </c>
      <c r="M417" t="n">
        <v>0</v>
      </c>
      <c r="N417" t="n">
        <v>0</v>
      </c>
      <c r="O417" t="n">
        <v>0</v>
      </c>
      <c r="P417" t="n">
        <v>0</v>
      </c>
      <c r="Q417" t="n">
        <v>0</v>
      </c>
      <c r="R417" s="2" t="inlineStr"/>
    </row>
    <row r="418" ht="15" customHeight="1">
      <c r="A418" t="inlineStr">
        <is>
          <t>A 45855-2025</t>
        </is>
      </c>
      <c r="B418" s="1" t="n">
        <v>45923</v>
      </c>
      <c r="C418" s="1" t="n">
        <v>46175</v>
      </c>
      <c r="D418" t="inlineStr">
        <is>
          <t>KALMAR LÄN</t>
        </is>
      </c>
      <c r="E418" t="inlineStr">
        <is>
          <t>VIMMERBY</t>
        </is>
      </c>
      <c r="G418" t="n">
        <v>1.4</v>
      </c>
      <c r="H418" t="n">
        <v>0</v>
      </c>
      <c r="I418" t="n">
        <v>0</v>
      </c>
      <c r="J418" t="n">
        <v>0</v>
      </c>
      <c r="K418" t="n">
        <v>0</v>
      </c>
      <c r="L418" t="n">
        <v>0</v>
      </c>
      <c r="M418" t="n">
        <v>0</v>
      </c>
      <c r="N418" t="n">
        <v>0</v>
      </c>
      <c r="O418" t="n">
        <v>0</v>
      </c>
      <c r="P418" t="n">
        <v>0</v>
      </c>
      <c r="Q418" t="n">
        <v>0</v>
      </c>
      <c r="R418" s="2" t="inlineStr"/>
    </row>
    <row r="419" ht="15" customHeight="1">
      <c r="A419" t="inlineStr">
        <is>
          <t>A 33374-2021</t>
        </is>
      </c>
      <c r="B419" s="1" t="n">
        <v>44377</v>
      </c>
      <c r="C419" s="1" t="n">
        <v>46175</v>
      </c>
      <c r="D419" t="inlineStr">
        <is>
          <t>KALMAR LÄN</t>
        </is>
      </c>
      <c r="E419" t="inlineStr">
        <is>
          <t>VIMMERBY</t>
        </is>
      </c>
      <c r="G419" t="n">
        <v>3.3</v>
      </c>
      <c r="H419" t="n">
        <v>0</v>
      </c>
      <c r="I419" t="n">
        <v>0</v>
      </c>
      <c r="J419" t="n">
        <v>0</v>
      </c>
      <c r="K419" t="n">
        <v>0</v>
      </c>
      <c r="L419" t="n">
        <v>0</v>
      </c>
      <c r="M419" t="n">
        <v>0</v>
      </c>
      <c r="N419" t="n">
        <v>0</v>
      </c>
      <c r="O419" t="n">
        <v>0</v>
      </c>
      <c r="P419" t="n">
        <v>0</v>
      </c>
      <c r="Q419" t="n">
        <v>0</v>
      </c>
      <c r="R419" s="2" t="inlineStr"/>
    </row>
    <row r="420" ht="15" customHeight="1">
      <c r="A420" t="inlineStr">
        <is>
          <t>A 10759-2023</t>
        </is>
      </c>
      <c r="B420" s="1" t="n">
        <v>44988</v>
      </c>
      <c r="C420" s="1" t="n">
        <v>46175</v>
      </c>
      <c r="D420" t="inlineStr">
        <is>
          <t>KALMAR LÄN</t>
        </is>
      </c>
      <c r="E420" t="inlineStr">
        <is>
          <t>VIMMERBY</t>
        </is>
      </c>
      <c r="G420" t="n">
        <v>0.4</v>
      </c>
      <c r="H420" t="n">
        <v>0</v>
      </c>
      <c r="I420" t="n">
        <v>0</v>
      </c>
      <c r="J420" t="n">
        <v>0</v>
      </c>
      <c r="K420" t="n">
        <v>0</v>
      </c>
      <c r="L420" t="n">
        <v>0</v>
      </c>
      <c r="M420" t="n">
        <v>0</v>
      </c>
      <c r="N420" t="n">
        <v>0</v>
      </c>
      <c r="O420" t="n">
        <v>0</v>
      </c>
      <c r="P420" t="n">
        <v>0</v>
      </c>
      <c r="Q420" t="n">
        <v>0</v>
      </c>
      <c r="R420" s="2" t="inlineStr"/>
    </row>
    <row r="421" ht="15" customHeight="1">
      <c r="A421" t="inlineStr">
        <is>
          <t>A 46361-2025</t>
        </is>
      </c>
      <c r="B421" s="1" t="n">
        <v>45925.49670138889</v>
      </c>
      <c r="C421" s="1" t="n">
        <v>46175</v>
      </c>
      <c r="D421" t="inlineStr">
        <is>
          <t>KALMAR LÄN</t>
        </is>
      </c>
      <c r="E421" t="inlineStr">
        <is>
          <t>VIMMERBY</t>
        </is>
      </c>
      <c r="G421" t="n">
        <v>4.2</v>
      </c>
      <c r="H421" t="n">
        <v>0</v>
      </c>
      <c r="I421" t="n">
        <v>0</v>
      </c>
      <c r="J421" t="n">
        <v>0</v>
      </c>
      <c r="K421" t="n">
        <v>0</v>
      </c>
      <c r="L421" t="n">
        <v>0</v>
      </c>
      <c r="M421" t="n">
        <v>0</v>
      </c>
      <c r="N421" t="n">
        <v>0</v>
      </c>
      <c r="O421" t="n">
        <v>0</v>
      </c>
      <c r="P421" t="n">
        <v>0</v>
      </c>
      <c r="Q421" t="n">
        <v>0</v>
      </c>
      <c r="R421" s="2" t="inlineStr"/>
    </row>
    <row r="422" ht="15" customHeight="1">
      <c r="A422" t="inlineStr">
        <is>
          <t>A 46365-2025</t>
        </is>
      </c>
      <c r="B422" s="1" t="n">
        <v>45925.50075231482</v>
      </c>
      <c r="C422" s="1" t="n">
        <v>46175</v>
      </c>
      <c r="D422" t="inlineStr">
        <is>
          <t>KALMAR LÄN</t>
        </is>
      </c>
      <c r="E422" t="inlineStr">
        <is>
          <t>VIMMERBY</t>
        </is>
      </c>
      <c r="G422" t="n">
        <v>5.6</v>
      </c>
      <c r="H422" t="n">
        <v>0</v>
      </c>
      <c r="I422" t="n">
        <v>0</v>
      </c>
      <c r="J422" t="n">
        <v>0</v>
      </c>
      <c r="K422" t="n">
        <v>0</v>
      </c>
      <c r="L422" t="n">
        <v>0</v>
      </c>
      <c r="M422" t="n">
        <v>0</v>
      </c>
      <c r="N422" t="n">
        <v>0</v>
      </c>
      <c r="O422" t="n">
        <v>0</v>
      </c>
      <c r="P422" t="n">
        <v>0</v>
      </c>
      <c r="Q422" t="n">
        <v>0</v>
      </c>
      <c r="R422" s="2" t="inlineStr"/>
    </row>
    <row r="423" ht="15" customHeight="1">
      <c r="A423" t="inlineStr">
        <is>
          <t>A 18899-2025</t>
        </is>
      </c>
      <c r="B423" s="1" t="n">
        <v>45764.44931712963</v>
      </c>
      <c r="C423" s="1" t="n">
        <v>46175</v>
      </c>
      <c r="D423" t="inlineStr">
        <is>
          <t>KALMAR LÄN</t>
        </is>
      </c>
      <c r="E423" t="inlineStr">
        <is>
          <t>VIMMERBY</t>
        </is>
      </c>
      <c r="F423" t="inlineStr">
        <is>
          <t>Kommuner</t>
        </is>
      </c>
      <c r="G423" t="n">
        <v>4</v>
      </c>
      <c r="H423" t="n">
        <v>0</v>
      </c>
      <c r="I423" t="n">
        <v>0</v>
      </c>
      <c r="J423" t="n">
        <v>0</v>
      </c>
      <c r="K423" t="n">
        <v>0</v>
      </c>
      <c r="L423" t="n">
        <v>0</v>
      </c>
      <c r="M423" t="n">
        <v>0</v>
      </c>
      <c r="N423" t="n">
        <v>0</v>
      </c>
      <c r="O423" t="n">
        <v>0</v>
      </c>
      <c r="P423" t="n">
        <v>0</v>
      </c>
      <c r="Q423" t="n">
        <v>0</v>
      </c>
      <c r="R423" s="2" t="inlineStr"/>
    </row>
    <row r="424" ht="15" customHeight="1">
      <c r="A424" t="inlineStr">
        <is>
          <t>A 45856-2025</t>
        </is>
      </c>
      <c r="B424" s="1" t="n">
        <v>45923</v>
      </c>
      <c r="C424" s="1" t="n">
        <v>46175</v>
      </c>
      <c r="D424" t="inlineStr">
        <is>
          <t>KALMAR LÄN</t>
        </is>
      </c>
      <c r="E424" t="inlineStr">
        <is>
          <t>VIMMERBY</t>
        </is>
      </c>
      <c r="G424" t="n">
        <v>2.1</v>
      </c>
      <c r="H424" t="n">
        <v>0</v>
      </c>
      <c r="I424" t="n">
        <v>0</v>
      </c>
      <c r="J424" t="n">
        <v>0</v>
      </c>
      <c r="K424" t="n">
        <v>0</v>
      </c>
      <c r="L424" t="n">
        <v>0</v>
      </c>
      <c r="M424" t="n">
        <v>0</v>
      </c>
      <c r="N424" t="n">
        <v>0</v>
      </c>
      <c r="O424" t="n">
        <v>0</v>
      </c>
      <c r="P424" t="n">
        <v>0</v>
      </c>
      <c r="Q424" t="n">
        <v>0</v>
      </c>
      <c r="R424" s="2" t="inlineStr"/>
    </row>
    <row r="425" ht="15" customHeight="1">
      <c r="A425" t="inlineStr">
        <is>
          <t>A 32614-2023</t>
        </is>
      </c>
      <c r="B425" s="1" t="n">
        <v>45121</v>
      </c>
      <c r="C425" s="1" t="n">
        <v>46175</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21882-2026</t>
        </is>
      </c>
      <c r="B426" s="1" t="n">
        <v>46150.59287037037</v>
      </c>
      <c r="C426" s="1" t="n">
        <v>46175</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61939-2021</t>
        </is>
      </c>
      <c r="B427" s="1" t="n">
        <v>44502</v>
      </c>
      <c r="C427" s="1" t="n">
        <v>46175</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46887-2025</t>
        </is>
      </c>
      <c r="B428" s="1" t="n">
        <v>45929.3672337963</v>
      </c>
      <c r="C428" s="1" t="n">
        <v>46175</v>
      </c>
      <c r="D428" t="inlineStr">
        <is>
          <t>KALMAR LÄN</t>
        </is>
      </c>
      <c r="E428" t="inlineStr">
        <is>
          <t>VIMMERBY</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47227-2025</t>
        </is>
      </c>
      <c r="B429" s="1" t="n">
        <v>45930.39769675926</v>
      </c>
      <c r="C429" s="1" t="n">
        <v>46175</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16183-2026</t>
        </is>
      </c>
      <c r="B430" s="1" t="n">
        <v>46111</v>
      </c>
      <c r="C430" s="1" t="n">
        <v>46175</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6218-2025</t>
        </is>
      </c>
      <c r="B431" s="1" t="n">
        <v>45698.53336805556</v>
      </c>
      <c r="C431" s="1" t="n">
        <v>46175</v>
      </c>
      <c r="D431" t="inlineStr">
        <is>
          <t>KALMAR LÄN</t>
        </is>
      </c>
      <c r="E431" t="inlineStr">
        <is>
          <t>VIMMERBY</t>
        </is>
      </c>
      <c r="G431" t="n">
        <v>1.1</v>
      </c>
      <c r="H431" t="n">
        <v>0</v>
      </c>
      <c r="I431" t="n">
        <v>0</v>
      </c>
      <c r="J431" t="n">
        <v>0</v>
      </c>
      <c r="K431" t="n">
        <v>0</v>
      </c>
      <c r="L431" t="n">
        <v>0</v>
      </c>
      <c r="M431" t="n">
        <v>0</v>
      </c>
      <c r="N431" t="n">
        <v>0</v>
      </c>
      <c r="O431" t="n">
        <v>0</v>
      </c>
      <c r="P431" t="n">
        <v>0</v>
      </c>
      <c r="Q431" t="n">
        <v>0</v>
      </c>
      <c r="R431" s="2" t="inlineStr"/>
    </row>
    <row r="432" ht="15" customHeight="1">
      <c r="A432" t="inlineStr">
        <is>
          <t>A 40076-2021</t>
        </is>
      </c>
      <c r="B432" s="1" t="n">
        <v>44418</v>
      </c>
      <c r="C432" s="1" t="n">
        <v>46175</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47965-2025</t>
        </is>
      </c>
      <c r="B433" s="1" t="n">
        <v>45932.59597222223</v>
      </c>
      <c r="C433" s="1" t="n">
        <v>46175</v>
      </c>
      <c r="D433" t="inlineStr">
        <is>
          <t>KALMAR LÄN</t>
        </is>
      </c>
      <c r="E433" t="inlineStr">
        <is>
          <t>VIMMERBY</t>
        </is>
      </c>
      <c r="G433" t="n">
        <v>2.2</v>
      </c>
      <c r="H433" t="n">
        <v>0</v>
      </c>
      <c r="I433" t="n">
        <v>0</v>
      </c>
      <c r="J433" t="n">
        <v>0</v>
      </c>
      <c r="K433" t="n">
        <v>0</v>
      </c>
      <c r="L433" t="n">
        <v>0</v>
      </c>
      <c r="M433" t="n">
        <v>0</v>
      </c>
      <c r="N433" t="n">
        <v>0</v>
      </c>
      <c r="O433" t="n">
        <v>0</v>
      </c>
      <c r="P433" t="n">
        <v>0</v>
      </c>
      <c r="Q433" t="n">
        <v>0</v>
      </c>
      <c r="R433" s="2" t="inlineStr"/>
    </row>
    <row r="434" ht="15" customHeight="1">
      <c r="A434" t="inlineStr">
        <is>
          <t>A 16632-2026</t>
        </is>
      </c>
      <c r="B434" s="1" t="n">
        <v>46112.62212962963</v>
      </c>
      <c r="C434" s="1" t="n">
        <v>46175</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35597-2025</t>
        </is>
      </c>
      <c r="B435" s="1" t="n">
        <v>45858.66019675926</v>
      </c>
      <c r="C435" s="1" t="n">
        <v>46175</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16653-2026</t>
        </is>
      </c>
      <c r="B436" s="1" t="n">
        <v>46112.64597222222</v>
      </c>
      <c r="C436" s="1" t="n">
        <v>46175</v>
      </c>
      <c r="D436" t="inlineStr">
        <is>
          <t>KALMAR LÄN</t>
        </is>
      </c>
      <c r="E436" t="inlineStr">
        <is>
          <t>VIMMERBY</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16672-2026</t>
        </is>
      </c>
      <c r="B437" s="1" t="n">
        <v>46112.67336805556</v>
      </c>
      <c r="C437" s="1" t="n">
        <v>46175</v>
      </c>
      <c r="D437" t="inlineStr">
        <is>
          <t>KALMAR LÄN</t>
        </is>
      </c>
      <c r="E437" t="inlineStr">
        <is>
          <t>VIMMERBY</t>
        </is>
      </c>
      <c r="F437" t="inlineStr">
        <is>
          <t>Kommuner</t>
        </is>
      </c>
      <c r="G437" t="n">
        <v>1.4</v>
      </c>
      <c r="H437" t="n">
        <v>0</v>
      </c>
      <c r="I437" t="n">
        <v>0</v>
      </c>
      <c r="J437" t="n">
        <v>0</v>
      </c>
      <c r="K437" t="n">
        <v>0</v>
      </c>
      <c r="L437" t="n">
        <v>0</v>
      </c>
      <c r="M437" t="n">
        <v>0</v>
      </c>
      <c r="N437" t="n">
        <v>0</v>
      </c>
      <c r="O437" t="n">
        <v>0</v>
      </c>
      <c r="P437" t="n">
        <v>0</v>
      </c>
      <c r="Q437" t="n">
        <v>0</v>
      </c>
      <c r="R437" s="2" t="inlineStr"/>
    </row>
    <row r="438" ht="15" customHeight="1">
      <c r="A438" t="inlineStr">
        <is>
          <t>A 16870-2026</t>
        </is>
      </c>
      <c r="B438" s="1" t="n">
        <v>46113.5822800926</v>
      </c>
      <c r="C438" s="1" t="n">
        <v>46175</v>
      </c>
      <c r="D438" t="inlineStr">
        <is>
          <t>KALMAR LÄN</t>
        </is>
      </c>
      <c r="E438" t="inlineStr">
        <is>
          <t>VIMMERBY</t>
        </is>
      </c>
      <c r="G438" t="n">
        <v>2</v>
      </c>
      <c r="H438" t="n">
        <v>0</v>
      </c>
      <c r="I438" t="n">
        <v>0</v>
      </c>
      <c r="J438" t="n">
        <v>0</v>
      </c>
      <c r="K438" t="n">
        <v>0</v>
      </c>
      <c r="L438" t="n">
        <v>0</v>
      </c>
      <c r="M438" t="n">
        <v>0</v>
      </c>
      <c r="N438" t="n">
        <v>0</v>
      </c>
      <c r="O438" t="n">
        <v>0</v>
      </c>
      <c r="P438" t="n">
        <v>0</v>
      </c>
      <c r="Q438" t="n">
        <v>0</v>
      </c>
      <c r="R438" s="2" t="inlineStr"/>
    </row>
    <row r="439" ht="15" customHeight="1">
      <c r="A439" t="inlineStr">
        <is>
          <t>A 47955-2025</t>
        </is>
      </c>
      <c r="B439" s="1" t="n">
        <v>45932.58896990741</v>
      </c>
      <c r="C439" s="1" t="n">
        <v>46175</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16795-2026</t>
        </is>
      </c>
      <c r="B440" s="1" t="n">
        <v>46113.47216435185</v>
      </c>
      <c r="C440" s="1" t="n">
        <v>46175</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16799-2026</t>
        </is>
      </c>
      <c r="B441" s="1" t="n">
        <v>46113.47913194444</v>
      </c>
      <c r="C441" s="1" t="n">
        <v>46175</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48299-2025</t>
        </is>
      </c>
      <c r="B442" s="1" t="n">
        <v>45933.60982638889</v>
      </c>
      <c r="C442" s="1" t="n">
        <v>46175</v>
      </c>
      <c r="D442" t="inlineStr">
        <is>
          <t>KALMAR LÄN</t>
        </is>
      </c>
      <c r="E442" t="inlineStr">
        <is>
          <t>VIMMERBY</t>
        </is>
      </c>
      <c r="G442" t="n">
        <v>1.8</v>
      </c>
      <c r="H442" t="n">
        <v>0</v>
      </c>
      <c r="I442" t="n">
        <v>0</v>
      </c>
      <c r="J442" t="n">
        <v>0</v>
      </c>
      <c r="K442" t="n">
        <v>0</v>
      </c>
      <c r="L442" t="n">
        <v>0</v>
      </c>
      <c r="M442" t="n">
        <v>0</v>
      </c>
      <c r="N442" t="n">
        <v>0</v>
      </c>
      <c r="O442" t="n">
        <v>0</v>
      </c>
      <c r="P442" t="n">
        <v>0</v>
      </c>
      <c r="Q442" t="n">
        <v>0</v>
      </c>
      <c r="R442" s="2" t="inlineStr"/>
    </row>
    <row r="443" ht="15" customHeight="1">
      <c r="A443" t="inlineStr">
        <is>
          <t>A 16801-2026</t>
        </is>
      </c>
      <c r="B443" s="1" t="n">
        <v>46113.48400462963</v>
      </c>
      <c r="C443" s="1" t="n">
        <v>46175</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16675-2026</t>
        </is>
      </c>
      <c r="B444" s="1" t="n">
        <v>46112.68202546296</v>
      </c>
      <c r="C444" s="1" t="n">
        <v>46175</v>
      </c>
      <c r="D444" t="inlineStr">
        <is>
          <t>KALMAR LÄN</t>
        </is>
      </c>
      <c r="E444" t="inlineStr">
        <is>
          <t>VIMMERBY</t>
        </is>
      </c>
      <c r="F444" t="inlineStr">
        <is>
          <t>Kommuner</t>
        </is>
      </c>
      <c r="G444" t="n">
        <v>0.8</v>
      </c>
      <c r="H444" t="n">
        <v>0</v>
      </c>
      <c r="I444" t="n">
        <v>0</v>
      </c>
      <c r="J444" t="n">
        <v>0</v>
      </c>
      <c r="K444" t="n">
        <v>0</v>
      </c>
      <c r="L444" t="n">
        <v>0</v>
      </c>
      <c r="M444" t="n">
        <v>0</v>
      </c>
      <c r="N444" t="n">
        <v>0</v>
      </c>
      <c r="O444" t="n">
        <v>0</v>
      </c>
      <c r="P444" t="n">
        <v>0</v>
      </c>
      <c r="Q444" t="n">
        <v>0</v>
      </c>
      <c r="R444" s="2" t="inlineStr"/>
    </row>
    <row r="445" ht="15" customHeight="1">
      <c r="A445" t="inlineStr">
        <is>
          <t>A 16678-2026</t>
        </is>
      </c>
      <c r="B445" s="1" t="n">
        <v>46112.69435185185</v>
      </c>
      <c r="C445" s="1" t="n">
        <v>46175</v>
      </c>
      <c r="D445" t="inlineStr">
        <is>
          <t>KALMAR LÄN</t>
        </is>
      </c>
      <c r="E445" t="inlineStr">
        <is>
          <t>VIMMERBY</t>
        </is>
      </c>
      <c r="F445" t="inlineStr">
        <is>
          <t>Kommuner</t>
        </is>
      </c>
      <c r="G445" t="n">
        <v>1.6</v>
      </c>
      <c r="H445" t="n">
        <v>0</v>
      </c>
      <c r="I445" t="n">
        <v>0</v>
      </c>
      <c r="J445" t="n">
        <v>0</v>
      </c>
      <c r="K445" t="n">
        <v>0</v>
      </c>
      <c r="L445" t="n">
        <v>0</v>
      </c>
      <c r="M445" t="n">
        <v>0</v>
      </c>
      <c r="N445" t="n">
        <v>0</v>
      </c>
      <c r="O445" t="n">
        <v>0</v>
      </c>
      <c r="P445" t="n">
        <v>0</v>
      </c>
      <c r="Q445" t="n">
        <v>0</v>
      </c>
      <c r="R445" s="2" t="inlineStr"/>
    </row>
    <row r="446" ht="15" customHeight="1">
      <c r="A446" t="inlineStr">
        <is>
          <t>A 12588-2025</t>
        </is>
      </c>
      <c r="B446" s="1" t="n">
        <v>45732.76936342593</v>
      </c>
      <c r="C446" s="1" t="n">
        <v>46175</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25979-2023</t>
        </is>
      </c>
      <c r="B447" s="1" t="n">
        <v>45090.89653935185</v>
      </c>
      <c r="C447" s="1" t="n">
        <v>46175</v>
      </c>
      <c r="D447" t="inlineStr">
        <is>
          <t>KALMAR LÄN</t>
        </is>
      </c>
      <c r="E447" t="inlineStr">
        <is>
          <t>VIMMERBY</t>
        </is>
      </c>
      <c r="G447" t="n">
        <v>2</v>
      </c>
      <c r="H447" t="n">
        <v>0</v>
      </c>
      <c r="I447" t="n">
        <v>0</v>
      </c>
      <c r="J447" t="n">
        <v>0</v>
      </c>
      <c r="K447" t="n">
        <v>0</v>
      </c>
      <c r="L447" t="n">
        <v>0</v>
      </c>
      <c r="M447" t="n">
        <v>0</v>
      </c>
      <c r="N447" t="n">
        <v>0</v>
      </c>
      <c r="O447" t="n">
        <v>0</v>
      </c>
      <c r="P447" t="n">
        <v>0</v>
      </c>
      <c r="Q447" t="n">
        <v>0</v>
      </c>
      <c r="R447" s="2" t="inlineStr"/>
    </row>
    <row r="448" ht="15" customHeight="1">
      <c r="A448" t="inlineStr">
        <is>
          <t>A 25980-2023</t>
        </is>
      </c>
      <c r="B448" s="1" t="n">
        <v>45090.89880787037</v>
      </c>
      <c r="C448" s="1" t="n">
        <v>46175</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16648-2026</t>
        </is>
      </c>
      <c r="B449" s="1" t="n">
        <v>46112.64032407408</v>
      </c>
      <c r="C449" s="1" t="n">
        <v>46175</v>
      </c>
      <c r="D449" t="inlineStr">
        <is>
          <t>KALMAR LÄN</t>
        </is>
      </c>
      <c r="E449" t="inlineStr">
        <is>
          <t>VIMMERBY</t>
        </is>
      </c>
      <c r="F449" t="inlineStr">
        <is>
          <t>Kommuner</t>
        </is>
      </c>
      <c r="G449" t="n">
        <v>0.9</v>
      </c>
      <c r="H449" t="n">
        <v>0</v>
      </c>
      <c r="I449" t="n">
        <v>0</v>
      </c>
      <c r="J449" t="n">
        <v>0</v>
      </c>
      <c r="K449" t="n">
        <v>0</v>
      </c>
      <c r="L449" t="n">
        <v>0</v>
      </c>
      <c r="M449" t="n">
        <v>0</v>
      </c>
      <c r="N449" t="n">
        <v>0</v>
      </c>
      <c r="O449" t="n">
        <v>0</v>
      </c>
      <c r="P449" t="n">
        <v>0</v>
      </c>
      <c r="Q449" t="n">
        <v>0</v>
      </c>
      <c r="R449" s="2" t="inlineStr"/>
    </row>
    <row r="450" ht="15" customHeight="1">
      <c r="A450" t="inlineStr">
        <is>
          <t>A 16656-2026</t>
        </is>
      </c>
      <c r="B450" s="1" t="n">
        <v>46112.65111111111</v>
      </c>
      <c r="C450" s="1" t="n">
        <v>46175</v>
      </c>
      <c r="D450" t="inlineStr">
        <is>
          <t>KALMAR LÄN</t>
        </is>
      </c>
      <c r="E450" t="inlineStr">
        <is>
          <t>VIMMERBY</t>
        </is>
      </c>
      <c r="F450" t="inlineStr">
        <is>
          <t>Kommuner</t>
        </is>
      </c>
      <c r="G450" t="n">
        <v>5.5</v>
      </c>
      <c r="H450" t="n">
        <v>0</v>
      </c>
      <c r="I450" t="n">
        <v>0</v>
      </c>
      <c r="J450" t="n">
        <v>0</v>
      </c>
      <c r="K450" t="n">
        <v>0</v>
      </c>
      <c r="L450" t="n">
        <v>0</v>
      </c>
      <c r="M450" t="n">
        <v>0</v>
      </c>
      <c r="N450" t="n">
        <v>0</v>
      </c>
      <c r="O450" t="n">
        <v>0</v>
      </c>
      <c r="P450" t="n">
        <v>0</v>
      </c>
      <c r="Q450" t="n">
        <v>0</v>
      </c>
      <c r="R450" s="2" t="inlineStr"/>
    </row>
    <row r="451" ht="15" customHeight="1">
      <c r="A451" t="inlineStr">
        <is>
          <t>A 48723-2025</t>
        </is>
      </c>
      <c r="B451" s="1" t="n">
        <v>45936.65121527778</v>
      </c>
      <c r="C451" s="1" t="n">
        <v>46175</v>
      </c>
      <c r="D451" t="inlineStr">
        <is>
          <t>KALMAR LÄN</t>
        </is>
      </c>
      <c r="E451" t="inlineStr">
        <is>
          <t>VIMMERBY</t>
        </is>
      </c>
      <c r="G451" t="n">
        <v>3</v>
      </c>
      <c r="H451" t="n">
        <v>0</v>
      </c>
      <c r="I451" t="n">
        <v>0</v>
      </c>
      <c r="J451" t="n">
        <v>0</v>
      </c>
      <c r="K451" t="n">
        <v>0</v>
      </c>
      <c r="L451" t="n">
        <v>0</v>
      </c>
      <c r="M451" t="n">
        <v>0</v>
      </c>
      <c r="N451" t="n">
        <v>0</v>
      </c>
      <c r="O451" t="n">
        <v>0</v>
      </c>
      <c r="P451" t="n">
        <v>0</v>
      </c>
      <c r="Q451" t="n">
        <v>0</v>
      </c>
      <c r="R451" s="2" t="inlineStr"/>
    </row>
    <row r="452" ht="15" customHeight="1">
      <c r="A452" t="inlineStr">
        <is>
          <t>A 46921-2023</t>
        </is>
      </c>
      <c r="B452" s="1" t="n">
        <v>45201.39996527778</v>
      </c>
      <c r="C452" s="1" t="n">
        <v>46175</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48600-2025</t>
        </is>
      </c>
      <c r="B453" s="1" t="n">
        <v>45935</v>
      </c>
      <c r="C453" s="1" t="n">
        <v>46175</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10837-2023</t>
        </is>
      </c>
      <c r="B454" s="1" t="n">
        <v>44991.30547453704</v>
      </c>
      <c r="C454" s="1" t="n">
        <v>46175</v>
      </c>
      <c r="D454" t="inlineStr">
        <is>
          <t>KALMAR LÄN</t>
        </is>
      </c>
      <c r="E454" t="inlineStr">
        <is>
          <t>VIMMERBY</t>
        </is>
      </c>
      <c r="G454" t="n">
        <v>7.3</v>
      </c>
      <c r="H454" t="n">
        <v>0</v>
      </c>
      <c r="I454" t="n">
        <v>0</v>
      </c>
      <c r="J454" t="n">
        <v>0</v>
      </c>
      <c r="K454" t="n">
        <v>0</v>
      </c>
      <c r="L454" t="n">
        <v>0</v>
      </c>
      <c r="M454" t="n">
        <v>0</v>
      </c>
      <c r="N454" t="n">
        <v>0</v>
      </c>
      <c r="O454" t="n">
        <v>0</v>
      </c>
      <c r="P454" t="n">
        <v>0</v>
      </c>
      <c r="Q454" t="n">
        <v>0</v>
      </c>
      <c r="R454" s="2" t="inlineStr"/>
    </row>
    <row r="455" ht="15" customHeight="1">
      <c r="A455" t="inlineStr">
        <is>
          <t>A 10838-2023</t>
        </is>
      </c>
      <c r="B455" s="1" t="n">
        <v>44991</v>
      </c>
      <c r="C455" s="1" t="n">
        <v>46175</v>
      </c>
      <c r="D455" t="inlineStr">
        <is>
          <t>KALMAR LÄN</t>
        </is>
      </c>
      <c r="E455" t="inlineStr">
        <is>
          <t>VIMMERBY</t>
        </is>
      </c>
      <c r="G455" t="n">
        <v>5.1</v>
      </c>
      <c r="H455" t="n">
        <v>0</v>
      </c>
      <c r="I455" t="n">
        <v>0</v>
      </c>
      <c r="J455" t="n">
        <v>0</v>
      </c>
      <c r="K455" t="n">
        <v>0</v>
      </c>
      <c r="L455" t="n">
        <v>0</v>
      </c>
      <c r="M455" t="n">
        <v>0</v>
      </c>
      <c r="N455" t="n">
        <v>0</v>
      </c>
      <c r="O455" t="n">
        <v>0</v>
      </c>
      <c r="P455" t="n">
        <v>0</v>
      </c>
      <c r="Q455" t="n">
        <v>0</v>
      </c>
      <c r="R455" s="2" t="inlineStr"/>
    </row>
    <row r="456" ht="15" customHeight="1">
      <c r="A456" t="inlineStr">
        <is>
          <t>A 35596-2025</t>
        </is>
      </c>
      <c r="B456" s="1" t="n">
        <v>45858.60641203704</v>
      </c>
      <c r="C456" s="1" t="n">
        <v>46175</v>
      </c>
      <c r="D456" t="inlineStr">
        <is>
          <t>KALMAR LÄN</t>
        </is>
      </c>
      <c r="E456" t="inlineStr">
        <is>
          <t>VIMMERBY</t>
        </is>
      </c>
      <c r="G456" t="n">
        <v>2.8</v>
      </c>
      <c r="H456" t="n">
        <v>0</v>
      </c>
      <c r="I456" t="n">
        <v>0</v>
      </c>
      <c r="J456" t="n">
        <v>0</v>
      </c>
      <c r="K456" t="n">
        <v>0</v>
      </c>
      <c r="L456" t="n">
        <v>0</v>
      </c>
      <c r="M456" t="n">
        <v>0</v>
      </c>
      <c r="N456" t="n">
        <v>0</v>
      </c>
      <c r="O456" t="n">
        <v>0</v>
      </c>
      <c r="P456" t="n">
        <v>0</v>
      </c>
      <c r="Q456" t="n">
        <v>0</v>
      </c>
      <c r="R456" s="2" t="inlineStr"/>
    </row>
    <row r="457" ht="15" customHeight="1">
      <c r="A457" t="inlineStr">
        <is>
          <t>A 16823-2026</t>
        </is>
      </c>
      <c r="B457" s="1" t="n">
        <v>46113.51649305555</v>
      </c>
      <c r="C457" s="1" t="n">
        <v>46175</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30912-2023</t>
        </is>
      </c>
      <c r="B458" s="1" t="n">
        <v>45113.41633101852</v>
      </c>
      <c r="C458" s="1" t="n">
        <v>46175</v>
      </c>
      <c r="D458" t="inlineStr">
        <is>
          <t>KALMAR LÄN</t>
        </is>
      </c>
      <c r="E458" t="inlineStr">
        <is>
          <t>VIMMERBY</t>
        </is>
      </c>
      <c r="G458" t="n">
        <v>5</v>
      </c>
      <c r="H458" t="n">
        <v>0</v>
      </c>
      <c r="I458" t="n">
        <v>0</v>
      </c>
      <c r="J458" t="n">
        <v>0</v>
      </c>
      <c r="K458" t="n">
        <v>0</v>
      </c>
      <c r="L458" t="n">
        <v>0</v>
      </c>
      <c r="M458" t="n">
        <v>0</v>
      </c>
      <c r="N458" t="n">
        <v>0</v>
      </c>
      <c r="O458" t="n">
        <v>0</v>
      </c>
      <c r="P458" t="n">
        <v>0</v>
      </c>
      <c r="Q458" t="n">
        <v>0</v>
      </c>
      <c r="R458" s="2" t="inlineStr"/>
    </row>
    <row r="459" ht="15" customHeight="1">
      <c r="A459" t="inlineStr">
        <is>
          <t>A 48408-2025</t>
        </is>
      </c>
      <c r="B459" s="1" t="n">
        <v>45934.40527777778</v>
      </c>
      <c r="C459" s="1" t="n">
        <v>46175</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48409-2025</t>
        </is>
      </c>
      <c r="B460" s="1" t="n">
        <v>45934.41387731482</v>
      </c>
      <c r="C460" s="1" t="n">
        <v>46175</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16617-2026</t>
        </is>
      </c>
      <c r="B461" s="1" t="n">
        <v>46112.60607638889</v>
      </c>
      <c r="C461" s="1" t="n">
        <v>46175</v>
      </c>
      <c r="D461" t="inlineStr">
        <is>
          <t>KALMAR LÄN</t>
        </is>
      </c>
      <c r="E461" t="inlineStr">
        <is>
          <t>VIMMERBY</t>
        </is>
      </c>
      <c r="F461" t="inlineStr">
        <is>
          <t>Kommuner</t>
        </is>
      </c>
      <c r="G461" t="n">
        <v>0.6</v>
      </c>
      <c r="H461" t="n">
        <v>0</v>
      </c>
      <c r="I461" t="n">
        <v>0</v>
      </c>
      <c r="J461" t="n">
        <v>0</v>
      </c>
      <c r="K461" t="n">
        <v>0</v>
      </c>
      <c r="L461" t="n">
        <v>0</v>
      </c>
      <c r="M461" t="n">
        <v>0</v>
      </c>
      <c r="N461" t="n">
        <v>0</v>
      </c>
      <c r="O461" t="n">
        <v>0</v>
      </c>
      <c r="P461" t="n">
        <v>0</v>
      </c>
      <c r="Q461" t="n">
        <v>0</v>
      </c>
      <c r="R461" s="2" t="inlineStr"/>
    </row>
    <row r="462" ht="15" customHeight="1">
      <c r="A462" t="inlineStr">
        <is>
          <t>A 48712-2025</t>
        </is>
      </c>
      <c r="B462" s="1" t="n">
        <v>45936.63373842592</v>
      </c>
      <c r="C462" s="1" t="n">
        <v>46175</v>
      </c>
      <c r="D462" t="inlineStr">
        <is>
          <t>KALMAR LÄN</t>
        </is>
      </c>
      <c r="E462" t="inlineStr">
        <is>
          <t>VIMMERBY</t>
        </is>
      </c>
      <c r="G462" t="n">
        <v>3</v>
      </c>
      <c r="H462" t="n">
        <v>0</v>
      </c>
      <c r="I462" t="n">
        <v>0</v>
      </c>
      <c r="J462" t="n">
        <v>0</v>
      </c>
      <c r="K462" t="n">
        <v>0</v>
      </c>
      <c r="L462" t="n">
        <v>0</v>
      </c>
      <c r="M462" t="n">
        <v>0</v>
      </c>
      <c r="N462" t="n">
        <v>0</v>
      </c>
      <c r="O462" t="n">
        <v>0</v>
      </c>
      <c r="P462" t="n">
        <v>0</v>
      </c>
      <c r="Q462" t="n">
        <v>0</v>
      </c>
      <c r="R462" s="2" t="inlineStr"/>
    </row>
    <row r="463" ht="15" customHeight="1">
      <c r="A463" t="inlineStr">
        <is>
          <t>A 55436-2023</t>
        </is>
      </c>
      <c r="B463" s="1" t="n">
        <v>45238.4328587963</v>
      </c>
      <c r="C463" s="1" t="n">
        <v>46175</v>
      </c>
      <c r="D463" t="inlineStr">
        <is>
          <t>KALMAR LÄN</t>
        </is>
      </c>
      <c r="E463" t="inlineStr">
        <is>
          <t>VIMMERBY</t>
        </is>
      </c>
      <c r="G463" t="n">
        <v>5.6</v>
      </c>
      <c r="H463" t="n">
        <v>0</v>
      </c>
      <c r="I463" t="n">
        <v>0</v>
      </c>
      <c r="J463" t="n">
        <v>0</v>
      </c>
      <c r="K463" t="n">
        <v>0</v>
      </c>
      <c r="L463" t="n">
        <v>0</v>
      </c>
      <c r="M463" t="n">
        <v>0</v>
      </c>
      <c r="N463" t="n">
        <v>0</v>
      </c>
      <c r="O463" t="n">
        <v>0</v>
      </c>
      <c r="P463" t="n">
        <v>0</v>
      </c>
      <c r="Q463" t="n">
        <v>0</v>
      </c>
      <c r="R463" s="2" t="inlineStr"/>
    </row>
    <row r="464" ht="15" customHeight="1">
      <c r="A464" t="inlineStr">
        <is>
          <t>A 19502-2025</t>
        </is>
      </c>
      <c r="B464" s="1" t="n">
        <v>45769</v>
      </c>
      <c r="C464" s="1" t="n">
        <v>46175</v>
      </c>
      <c r="D464" t="inlineStr">
        <is>
          <t>KALMAR LÄN</t>
        </is>
      </c>
      <c r="E464" t="inlineStr">
        <is>
          <t>VIMMERBY</t>
        </is>
      </c>
      <c r="G464" t="n">
        <v>1.9</v>
      </c>
      <c r="H464" t="n">
        <v>0</v>
      </c>
      <c r="I464" t="n">
        <v>0</v>
      </c>
      <c r="J464" t="n">
        <v>0</v>
      </c>
      <c r="K464" t="n">
        <v>0</v>
      </c>
      <c r="L464" t="n">
        <v>0</v>
      </c>
      <c r="M464" t="n">
        <v>0</v>
      </c>
      <c r="N464" t="n">
        <v>0</v>
      </c>
      <c r="O464" t="n">
        <v>0</v>
      </c>
      <c r="P464" t="n">
        <v>0</v>
      </c>
      <c r="Q464" t="n">
        <v>0</v>
      </c>
      <c r="R464" s="2" t="inlineStr"/>
    </row>
    <row r="465" ht="15" customHeight="1">
      <c r="A465" t="inlineStr">
        <is>
          <t>A 36273-2025</t>
        </is>
      </c>
      <c r="B465" s="1" t="n">
        <v>45867.63094907408</v>
      </c>
      <c r="C465" s="1" t="n">
        <v>46175</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36299-2025</t>
        </is>
      </c>
      <c r="B466" s="1" t="n">
        <v>45867.69346064814</v>
      </c>
      <c r="C466" s="1" t="n">
        <v>46175</v>
      </c>
      <c r="D466" t="inlineStr">
        <is>
          <t>KALMAR LÄN</t>
        </is>
      </c>
      <c r="E466" t="inlineStr">
        <is>
          <t>VIMMERBY</t>
        </is>
      </c>
      <c r="G466" t="n">
        <v>7.6</v>
      </c>
      <c r="H466" t="n">
        <v>0</v>
      </c>
      <c r="I466" t="n">
        <v>0</v>
      </c>
      <c r="J466" t="n">
        <v>0</v>
      </c>
      <c r="K466" t="n">
        <v>0</v>
      </c>
      <c r="L466" t="n">
        <v>0</v>
      </c>
      <c r="M466" t="n">
        <v>0</v>
      </c>
      <c r="N466" t="n">
        <v>0</v>
      </c>
      <c r="O466" t="n">
        <v>0</v>
      </c>
      <c r="P466" t="n">
        <v>0</v>
      </c>
      <c r="Q466" t="n">
        <v>0</v>
      </c>
      <c r="R466" s="2" t="inlineStr"/>
    </row>
    <row r="467" ht="15" customHeight="1">
      <c r="A467" t="inlineStr">
        <is>
          <t>A 21507-2023</t>
        </is>
      </c>
      <c r="B467" s="1" t="n">
        <v>45063.508125</v>
      </c>
      <c r="C467" s="1" t="n">
        <v>46175</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51187-2023</t>
        </is>
      </c>
      <c r="B468" s="1" t="n">
        <v>45219.40528935185</v>
      </c>
      <c r="C468" s="1" t="n">
        <v>46175</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36221-2025</t>
        </is>
      </c>
      <c r="B469" s="1" t="n">
        <v>45867.50792824074</v>
      </c>
      <c r="C469" s="1" t="n">
        <v>46175</v>
      </c>
      <c r="D469" t="inlineStr">
        <is>
          <t>KALMAR LÄN</t>
        </is>
      </c>
      <c r="E469" t="inlineStr">
        <is>
          <t>VIMMERBY</t>
        </is>
      </c>
      <c r="G469" t="n">
        <v>2.5</v>
      </c>
      <c r="H469" t="n">
        <v>0</v>
      </c>
      <c r="I469" t="n">
        <v>0</v>
      </c>
      <c r="J469" t="n">
        <v>0</v>
      </c>
      <c r="K469" t="n">
        <v>0</v>
      </c>
      <c r="L469" t="n">
        <v>0</v>
      </c>
      <c r="M469" t="n">
        <v>0</v>
      </c>
      <c r="N469" t="n">
        <v>0</v>
      </c>
      <c r="O469" t="n">
        <v>0</v>
      </c>
      <c r="P469" t="n">
        <v>0</v>
      </c>
      <c r="Q469" t="n">
        <v>0</v>
      </c>
      <c r="R469" s="2" t="inlineStr"/>
    </row>
    <row r="470" ht="15" customHeight="1">
      <c r="A470" t="inlineStr">
        <is>
          <t>A 36226-2025</t>
        </is>
      </c>
      <c r="B470" s="1" t="n">
        <v>45867.51630787037</v>
      </c>
      <c r="C470" s="1" t="n">
        <v>46175</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36297-2025</t>
        </is>
      </c>
      <c r="B471" s="1" t="n">
        <v>45867.68625</v>
      </c>
      <c r="C471" s="1" t="n">
        <v>46175</v>
      </c>
      <c r="D471" t="inlineStr">
        <is>
          <t>KALMAR LÄN</t>
        </is>
      </c>
      <c r="E471" t="inlineStr">
        <is>
          <t>VIMMERBY</t>
        </is>
      </c>
      <c r="G471" t="n">
        <v>4.9</v>
      </c>
      <c r="H471" t="n">
        <v>0</v>
      </c>
      <c r="I471" t="n">
        <v>0</v>
      </c>
      <c r="J471" t="n">
        <v>0</v>
      </c>
      <c r="K471" t="n">
        <v>0</v>
      </c>
      <c r="L471" t="n">
        <v>0</v>
      </c>
      <c r="M471" t="n">
        <v>0</v>
      </c>
      <c r="N471" t="n">
        <v>0</v>
      </c>
      <c r="O471" t="n">
        <v>0</v>
      </c>
      <c r="P471" t="n">
        <v>0</v>
      </c>
      <c r="Q471" t="n">
        <v>0</v>
      </c>
      <c r="R471" s="2" t="inlineStr"/>
    </row>
    <row r="472" ht="15" customHeight="1">
      <c r="A472" t="inlineStr">
        <is>
          <t>A 36246-2025</t>
        </is>
      </c>
      <c r="B472" s="1" t="n">
        <v>45867.56320601852</v>
      </c>
      <c r="C472" s="1" t="n">
        <v>46175</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36282-2025</t>
        </is>
      </c>
      <c r="B473" s="1" t="n">
        <v>45867.64663194444</v>
      </c>
      <c r="C473" s="1" t="n">
        <v>46175</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36538-2025</t>
        </is>
      </c>
      <c r="B474" s="1" t="n">
        <v>45869.62276620371</v>
      </c>
      <c r="C474" s="1" t="n">
        <v>46175</v>
      </c>
      <c r="D474" t="inlineStr">
        <is>
          <t>KALMAR LÄN</t>
        </is>
      </c>
      <c r="E474" t="inlineStr">
        <is>
          <t>VIMMERBY</t>
        </is>
      </c>
      <c r="G474" t="n">
        <v>2.6</v>
      </c>
      <c r="H474" t="n">
        <v>0</v>
      </c>
      <c r="I474" t="n">
        <v>0</v>
      </c>
      <c r="J474" t="n">
        <v>0</v>
      </c>
      <c r="K474" t="n">
        <v>0</v>
      </c>
      <c r="L474" t="n">
        <v>0</v>
      </c>
      <c r="M474" t="n">
        <v>0</v>
      </c>
      <c r="N474" t="n">
        <v>0</v>
      </c>
      <c r="O474" t="n">
        <v>0</v>
      </c>
      <c r="P474" t="n">
        <v>0</v>
      </c>
      <c r="Q474" t="n">
        <v>0</v>
      </c>
      <c r="R474" s="2" t="inlineStr"/>
    </row>
    <row r="475" ht="15" customHeight="1">
      <c r="A475" t="inlineStr">
        <is>
          <t>A 36598-2025</t>
        </is>
      </c>
      <c r="B475" s="1" t="n">
        <v>45870.51708333333</v>
      </c>
      <c r="C475" s="1" t="n">
        <v>46175</v>
      </c>
      <c r="D475" t="inlineStr">
        <is>
          <t>KALMAR LÄN</t>
        </is>
      </c>
      <c r="E475" t="inlineStr">
        <is>
          <t>VIMMERBY</t>
        </is>
      </c>
      <c r="G475" t="n">
        <v>3.7</v>
      </c>
      <c r="H475" t="n">
        <v>0</v>
      </c>
      <c r="I475" t="n">
        <v>0</v>
      </c>
      <c r="J475" t="n">
        <v>0</v>
      </c>
      <c r="K475" t="n">
        <v>0</v>
      </c>
      <c r="L475" t="n">
        <v>0</v>
      </c>
      <c r="M475" t="n">
        <v>0</v>
      </c>
      <c r="N475" t="n">
        <v>0</v>
      </c>
      <c r="O475" t="n">
        <v>0</v>
      </c>
      <c r="P475" t="n">
        <v>0</v>
      </c>
      <c r="Q475" t="n">
        <v>0</v>
      </c>
      <c r="R475" s="2" t="inlineStr"/>
    </row>
    <row r="476" ht="15" customHeight="1">
      <c r="A476" t="inlineStr">
        <is>
          <t>A 36602-2025</t>
        </is>
      </c>
      <c r="B476" s="1" t="n">
        <v>45870.52111111111</v>
      </c>
      <c r="C476" s="1" t="n">
        <v>46175</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13290-2025</t>
        </is>
      </c>
      <c r="B477" s="1" t="n">
        <v>45735.56751157407</v>
      </c>
      <c r="C477" s="1" t="n">
        <v>46175</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45560-2021</t>
        </is>
      </c>
      <c r="B478" s="1" t="n">
        <v>44440</v>
      </c>
      <c r="C478" s="1" t="n">
        <v>46175</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36600-2025</t>
        </is>
      </c>
      <c r="B479" s="1" t="n">
        <v>45870.51958333333</v>
      </c>
      <c r="C479" s="1" t="n">
        <v>46175</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36601-2025</t>
        </is>
      </c>
      <c r="B480" s="1" t="n">
        <v>45870.52005787037</v>
      </c>
      <c r="C480" s="1" t="n">
        <v>46175</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36603-2025</t>
        </is>
      </c>
      <c r="B481" s="1" t="n">
        <v>45870.52142361111</v>
      </c>
      <c r="C481" s="1" t="n">
        <v>46175</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16622-2025</t>
        </is>
      </c>
      <c r="B482" s="1" t="n">
        <v>45754.33641203704</v>
      </c>
      <c r="C482" s="1" t="n">
        <v>46175</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31340-2023</t>
        </is>
      </c>
      <c r="B483" s="1" t="n">
        <v>45114.47895833333</v>
      </c>
      <c r="C483" s="1" t="n">
        <v>46175</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49871-2025</t>
        </is>
      </c>
      <c r="B484" s="1" t="n">
        <v>45940.54104166666</v>
      </c>
      <c r="C484" s="1" t="n">
        <v>46175</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29168-2024</t>
        </is>
      </c>
      <c r="B485" s="1" t="n">
        <v>45482.49870370371</v>
      </c>
      <c r="C485" s="1" t="n">
        <v>46175</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29186-2024</t>
        </is>
      </c>
      <c r="B486" s="1" t="n">
        <v>45482.54844907407</v>
      </c>
      <c r="C486" s="1" t="n">
        <v>46175</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35895-2024</t>
        </is>
      </c>
      <c r="B487" s="1" t="n">
        <v>45533.38870370371</v>
      </c>
      <c r="C487" s="1" t="n">
        <v>46175</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12590-2025</t>
        </is>
      </c>
      <c r="B488" s="1" t="n">
        <v>45732.79925925926</v>
      </c>
      <c r="C488" s="1" t="n">
        <v>46175</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30318-2023</t>
        </is>
      </c>
      <c r="B489" s="1" t="n">
        <v>45111.30824074074</v>
      </c>
      <c r="C489" s="1" t="n">
        <v>46175</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43186-2021</t>
        </is>
      </c>
      <c r="B490" s="1" t="n">
        <v>44431.84840277778</v>
      </c>
      <c r="C490" s="1" t="n">
        <v>46175</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60215-2022</t>
        </is>
      </c>
      <c r="B491" s="1" t="n">
        <v>44910.41346064815</v>
      </c>
      <c r="C491" s="1" t="n">
        <v>46175</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60230-2022</t>
        </is>
      </c>
      <c r="B492" s="1" t="n">
        <v>44910</v>
      </c>
      <c r="C492" s="1" t="n">
        <v>46175</v>
      </c>
      <c r="D492" t="inlineStr">
        <is>
          <t>KALMAR LÄN</t>
        </is>
      </c>
      <c r="E492" t="inlineStr">
        <is>
          <t>VIMMERBY</t>
        </is>
      </c>
      <c r="G492" t="n">
        <v>11.3</v>
      </c>
      <c r="H492" t="n">
        <v>0</v>
      </c>
      <c r="I492" t="n">
        <v>0</v>
      </c>
      <c r="J492" t="n">
        <v>0</v>
      </c>
      <c r="K492" t="n">
        <v>0</v>
      </c>
      <c r="L492" t="n">
        <v>0</v>
      </c>
      <c r="M492" t="n">
        <v>0</v>
      </c>
      <c r="N492" t="n">
        <v>0</v>
      </c>
      <c r="O492" t="n">
        <v>0</v>
      </c>
      <c r="P492" t="n">
        <v>0</v>
      </c>
      <c r="Q492" t="n">
        <v>0</v>
      </c>
      <c r="R492" s="2" t="inlineStr"/>
    </row>
    <row r="493" ht="15" customHeight="1">
      <c r="A493" t="inlineStr">
        <is>
          <t>A 5925-2022</t>
        </is>
      </c>
      <c r="B493" s="1" t="n">
        <v>44598.7384837963</v>
      </c>
      <c r="C493" s="1" t="n">
        <v>46175</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845-2023</t>
        </is>
      </c>
      <c r="B494" s="1" t="n">
        <v>44931</v>
      </c>
      <c r="C494" s="1" t="n">
        <v>46175</v>
      </c>
      <c r="D494" t="inlineStr">
        <is>
          <t>KALMAR LÄN</t>
        </is>
      </c>
      <c r="E494" t="inlineStr">
        <is>
          <t>VIMMERBY</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36934-2025</t>
        </is>
      </c>
      <c r="B495" s="1" t="n">
        <v>45874.57109953704</v>
      </c>
      <c r="C495" s="1" t="n">
        <v>46175</v>
      </c>
      <c r="D495" t="inlineStr">
        <is>
          <t>KALMAR LÄN</t>
        </is>
      </c>
      <c r="E495" t="inlineStr">
        <is>
          <t>VIMMERBY</t>
        </is>
      </c>
      <c r="G495" t="n">
        <v>4.2</v>
      </c>
      <c r="H495" t="n">
        <v>0</v>
      </c>
      <c r="I495" t="n">
        <v>0</v>
      </c>
      <c r="J495" t="n">
        <v>0</v>
      </c>
      <c r="K495" t="n">
        <v>0</v>
      </c>
      <c r="L495" t="n">
        <v>0</v>
      </c>
      <c r="M495" t="n">
        <v>0</v>
      </c>
      <c r="N495" t="n">
        <v>0</v>
      </c>
      <c r="O495" t="n">
        <v>0</v>
      </c>
      <c r="P495" t="n">
        <v>0</v>
      </c>
      <c r="Q495" t="n">
        <v>0</v>
      </c>
      <c r="R495" s="2" t="inlineStr"/>
    </row>
    <row r="496" ht="15" customHeight="1">
      <c r="A496" t="inlineStr">
        <is>
          <t>A 50324-2025</t>
        </is>
      </c>
      <c r="B496" s="1" t="n">
        <v>45944.45962962963</v>
      </c>
      <c r="C496" s="1" t="n">
        <v>46175</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16119-2023</t>
        </is>
      </c>
      <c r="B497" s="1" t="n">
        <v>45027.59450231482</v>
      </c>
      <c r="C497" s="1" t="n">
        <v>46175</v>
      </c>
      <c r="D497" t="inlineStr">
        <is>
          <t>KALMAR LÄN</t>
        </is>
      </c>
      <c r="E497" t="inlineStr">
        <is>
          <t>VIMMERBY</t>
        </is>
      </c>
      <c r="F497" t="inlineStr">
        <is>
          <t>Kommuner</t>
        </is>
      </c>
      <c r="G497" t="n">
        <v>4.4</v>
      </c>
      <c r="H497" t="n">
        <v>0</v>
      </c>
      <c r="I497" t="n">
        <v>0</v>
      </c>
      <c r="J497" t="n">
        <v>0</v>
      </c>
      <c r="K497" t="n">
        <v>0</v>
      </c>
      <c r="L497" t="n">
        <v>0</v>
      </c>
      <c r="M497" t="n">
        <v>0</v>
      </c>
      <c r="N497" t="n">
        <v>0</v>
      </c>
      <c r="O497" t="n">
        <v>0</v>
      </c>
      <c r="P497" t="n">
        <v>0</v>
      </c>
      <c r="Q497" t="n">
        <v>0</v>
      </c>
      <c r="R497" s="2" t="inlineStr"/>
    </row>
    <row r="498" ht="15" customHeight="1">
      <c r="A498" t="inlineStr">
        <is>
          <t>A 30588-2023</t>
        </is>
      </c>
      <c r="B498" s="1" t="n">
        <v>45112.33599537037</v>
      </c>
      <c r="C498" s="1" t="n">
        <v>46175</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37088-2025</t>
        </is>
      </c>
      <c r="B499" s="1" t="n">
        <v>45875.45716435185</v>
      </c>
      <c r="C499" s="1" t="n">
        <v>46175</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37102-2025</t>
        </is>
      </c>
      <c r="B500" s="1" t="n">
        <v>45875.47454861111</v>
      </c>
      <c r="C500" s="1" t="n">
        <v>46175</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45528-2021</t>
        </is>
      </c>
      <c r="B501" s="1" t="n">
        <v>44440.60415509259</v>
      </c>
      <c r="C501" s="1" t="n">
        <v>46175</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17713-2026</t>
        </is>
      </c>
      <c r="B502" s="1" t="n">
        <v>46121.72810185186</v>
      </c>
      <c r="C502" s="1" t="n">
        <v>46175</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37079-2025</t>
        </is>
      </c>
      <c r="B503" s="1" t="n">
        <v>45875.42716435185</v>
      </c>
      <c r="C503" s="1" t="n">
        <v>46175</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50544-2025</t>
        </is>
      </c>
      <c r="B504" s="1" t="n">
        <v>45945.50736111111</v>
      </c>
      <c r="C504" s="1" t="n">
        <v>46175</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16516-2023</t>
        </is>
      </c>
      <c r="B505" s="1" t="n">
        <v>45029</v>
      </c>
      <c r="C505" s="1" t="n">
        <v>46175</v>
      </c>
      <c r="D505" t="inlineStr">
        <is>
          <t>KALMAR LÄN</t>
        </is>
      </c>
      <c r="E505" t="inlineStr">
        <is>
          <t>VIMMERBY</t>
        </is>
      </c>
      <c r="G505" t="n">
        <v>4.3</v>
      </c>
      <c r="H505" t="n">
        <v>0</v>
      </c>
      <c r="I505" t="n">
        <v>0</v>
      </c>
      <c r="J505" t="n">
        <v>0</v>
      </c>
      <c r="K505" t="n">
        <v>0</v>
      </c>
      <c r="L505" t="n">
        <v>0</v>
      </c>
      <c r="M505" t="n">
        <v>0</v>
      </c>
      <c r="N505" t="n">
        <v>0</v>
      </c>
      <c r="O505" t="n">
        <v>0</v>
      </c>
      <c r="P505" t="n">
        <v>0</v>
      </c>
      <c r="Q505" t="n">
        <v>0</v>
      </c>
      <c r="R505" s="2" t="inlineStr"/>
    </row>
    <row r="506" ht="15" customHeight="1">
      <c r="A506" t="inlineStr">
        <is>
          <t>A 37668-2025</t>
        </is>
      </c>
      <c r="B506" s="1" t="n">
        <v>45880.51550925926</v>
      </c>
      <c r="C506" s="1" t="n">
        <v>46175</v>
      </c>
      <c r="D506" t="inlineStr">
        <is>
          <t>KALMAR LÄN</t>
        </is>
      </c>
      <c r="E506" t="inlineStr">
        <is>
          <t>VIMMERBY</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2510-2023</t>
        </is>
      </c>
      <c r="B507" s="1" t="n">
        <v>44943.57309027778</v>
      </c>
      <c r="C507" s="1" t="n">
        <v>46175</v>
      </c>
      <c r="D507" t="inlineStr">
        <is>
          <t>KALMAR LÄN</t>
        </is>
      </c>
      <c r="E507" t="inlineStr">
        <is>
          <t>VIMMERBY</t>
        </is>
      </c>
      <c r="G507" t="n">
        <v>8.6</v>
      </c>
      <c r="H507" t="n">
        <v>0</v>
      </c>
      <c r="I507" t="n">
        <v>0</v>
      </c>
      <c r="J507" t="n">
        <v>0</v>
      </c>
      <c r="K507" t="n">
        <v>0</v>
      </c>
      <c r="L507" t="n">
        <v>0</v>
      </c>
      <c r="M507" t="n">
        <v>0</v>
      </c>
      <c r="N507" t="n">
        <v>0</v>
      </c>
      <c r="O507" t="n">
        <v>0</v>
      </c>
      <c r="P507" t="n">
        <v>0</v>
      </c>
      <c r="Q507" t="n">
        <v>0</v>
      </c>
      <c r="R507" s="2" t="inlineStr"/>
    </row>
    <row r="508" ht="15" customHeight="1">
      <c r="A508" t="inlineStr">
        <is>
          <t>A 51062-2025</t>
        </is>
      </c>
      <c r="B508" s="1" t="n">
        <v>45947.44685185186</v>
      </c>
      <c r="C508" s="1" t="n">
        <v>46175</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37578-2025</t>
        </is>
      </c>
      <c r="B509" s="1" t="n">
        <v>45880.38380787037</v>
      </c>
      <c r="C509" s="1" t="n">
        <v>46175</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18122-2026</t>
        </is>
      </c>
      <c r="B510" s="1" t="n">
        <v>46125.58524305555</v>
      </c>
      <c r="C510" s="1" t="n">
        <v>46175</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46175</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7485-2024</t>
        </is>
      </c>
      <c r="B512" s="1" t="n">
        <v>45346.67184027778</v>
      </c>
      <c r="C512" s="1" t="n">
        <v>46175</v>
      </c>
      <c r="D512" t="inlineStr">
        <is>
          <t>KALMAR LÄN</t>
        </is>
      </c>
      <c r="E512" t="inlineStr">
        <is>
          <t>VIMMERBY</t>
        </is>
      </c>
      <c r="G512" t="n">
        <v>1.9</v>
      </c>
      <c r="H512" t="n">
        <v>0</v>
      </c>
      <c r="I512" t="n">
        <v>0</v>
      </c>
      <c r="J512" t="n">
        <v>0</v>
      </c>
      <c r="K512" t="n">
        <v>0</v>
      </c>
      <c r="L512" t="n">
        <v>0</v>
      </c>
      <c r="M512" t="n">
        <v>0</v>
      </c>
      <c r="N512" t="n">
        <v>0</v>
      </c>
      <c r="O512" t="n">
        <v>0</v>
      </c>
      <c r="P512" t="n">
        <v>0</v>
      </c>
      <c r="Q512" t="n">
        <v>0</v>
      </c>
      <c r="R512" s="2" t="inlineStr"/>
    </row>
    <row r="513" ht="15" customHeight="1">
      <c r="A513" t="inlineStr">
        <is>
          <t>A 6574-2023</t>
        </is>
      </c>
      <c r="B513" s="1" t="n">
        <v>44966</v>
      </c>
      <c r="C513" s="1" t="n">
        <v>46175</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20054-2023</t>
        </is>
      </c>
      <c r="B514" s="1" t="n">
        <v>45054.6750462963</v>
      </c>
      <c r="C514" s="1" t="n">
        <v>46175</v>
      </c>
      <c r="D514" t="inlineStr">
        <is>
          <t>KALMAR LÄN</t>
        </is>
      </c>
      <c r="E514" t="inlineStr">
        <is>
          <t>VIMMERBY</t>
        </is>
      </c>
      <c r="G514" t="n">
        <v>2.4</v>
      </c>
      <c r="H514" t="n">
        <v>0</v>
      </c>
      <c r="I514" t="n">
        <v>0</v>
      </c>
      <c r="J514" t="n">
        <v>0</v>
      </c>
      <c r="K514" t="n">
        <v>0</v>
      </c>
      <c r="L514" t="n">
        <v>0</v>
      </c>
      <c r="M514" t="n">
        <v>0</v>
      </c>
      <c r="N514" t="n">
        <v>0</v>
      </c>
      <c r="O514" t="n">
        <v>0</v>
      </c>
      <c r="P514" t="n">
        <v>0</v>
      </c>
      <c r="Q514" t="n">
        <v>0</v>
      </c>
      <c r="R514" s="2" t="inlineStr"/>
    </row>
    <row r="515" ht="15" customHeight="1">
      <c r="A515" t="inlineStr">
        <is>
          <t>A 51993-2025</t>
        </is>
      </c>
      <c r="B515" s="1" t="n">
        <v>45952.58194444444</v>
      </c>
      <c r="C515" s="1" t="n">
        <v>46175</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58750-2022</t>
        </is>
      </c>
      <c r="B516" s="1" t="n">
        <v>44903.33363425926</v>
      </c>
      <c r="C516" s="1" t="n">
        <v>46175</v>
      </c>
      <c r="D516" t="inlineStr">
        <is>
          <t>KALMAR LÄN</t>
        </is>
      </c>
      <c r="E516" t="inlineStr">
        <is>
          <t>VIMMERBY</t>
        </is>
      </c>
      <c r="G516" t="n">
        <v>3.3</v>
      </c>
      <c r="H516" t="n">
        <v>0</v>
      </c>
      <c r="I516" t="n">
        <v>0</v>
      </c>
      <c r="J516" t="n">
        <v>0</v>
      </c>
      <c r="K516" t="n">
        <v>0</v>
      </c>
      <c r="L516" t="n">
        <v>0</v>
      </c>
      <c r="M516" t="n">
        <v>0</v>
      </c>
      <c r="N516" t="n">
        <v>0</v>
      </c>
      <c r="O516" t="n">
        <v>0</v>
      </c>
      <c r="P516" t="n">
        <v>0</v>
      </c>
      <c r="Q516" t="n">
        <v>0</v>
      </c>
      <c r="R516" s="2" t="inlineStr"/>
    </row>
    <row r="517" ht="15" customHeight="1">
      <c r="A517" t="inlineStr">
        <is>
          <t>A 51990-2025</t>
        </is>
      </c>
      <c r="B517" s="1" t="n">
        <v>45952.58061342593</v>
      </c>
      <c r="C517" s="1" t="n">
        <v>46175</v>
      </c>
      <c r="D517" t="inlineStr">
        <is>
          <t>KALMAR LÄN</t>
        </is>
      </c>
      <c r="E517" t="inlineStr">
        <is>
          <t>VIMMERBY</t>
        </is>
      </c>
      <c r="G517" t="n">
        <v>2.4</v>
      </c>
      <c r="H517" t="n">
        <v>0</v>
      </c>
      <c r="I517" t="n">
        <v>0</v>
      </c>
      <c r="J517" t="n">
        <v>0</v>
      </c>
      <c r="K517" t="n">
        <v>0</v>
      </c>
      <c r="L517" t="n">
        <v>0</v>
      </c>
      <c r="M517" t="n">
        <v>0</v>
      </c>
      <c r="N517" t="n">
        <v>0</v>
      </c>
      <c r="O517" t="n">
        <v>0</v>
      </c>
      <c r="P517" t="n">
        <v>0</v>
      </c>
      <c r="Q517" t="n">
        <v>0</v>
      </c>
      <c r="R517" s="2" t="inlineStr"/>
    </row>
    <row r="518" ht="15" customHeight="1">
      <c r="A518" t="inlineStr">
        <is>
          <t>A 2260-2022</t>
        </is>
      </c>
      <c r="B518" s="1" t="n">
        <v>44578.62943287037</v>
      </c>
      <c r="C518" s="1" t="n">
        <v>46175</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52473-2025</t>
        </is>
      </c>
      <c r="B519" s="1" t="n">
        <v>45954.45947916667</v>
      </c>
      <c r="C519" s="1" t="n">
        <v>46175</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52480-2025</t>
        </is>
      </c>
      <c r="B520" s="1" t="n">
        <v>45954.47172453703</v>
      </c>
      <c r="C520" s="1" t="n">
        <v>46175</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50860-2022</t>
        </is>
      </c>
      <c r="B521" s="1" t="n">
        <v>44867</v>
      </c>
      <c r="C521" s="1" t="n">
        <v>46175</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52466-2025</t>
        </is>
      </c>
      <c r="B522" s="1" t="n">
        <v>45954.44707175926</v>
      </c>
      <c r="C522" s="1" t="n">
        <v>46175</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53483-2022</t>
        </is>
      </c>
      <c r="B523" s="1" t="n">
        <v>44879.55940972222</v>
      </c>
      <c r="C523" s="1" t="n">
        <v>46175</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52516-2025</t>
        </is>
      </c>
      <c r="B524" s="1" t="n">
        <v>45954.51412037037</v>
      </c>
      <c r="C524" s="1" t="n">
        <v>46175</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58962-2022</t>
        </is>
      </c>
      <c r="B525" s="1" t="n">
        <v>44903</v>
      </c>
      <c r="C525" s="1" t="n">
        <v>46175</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52465-2025</t>
        </is>
      </c>
      <c r="B526" s="1" t="n">
        <v>45954.44543981482</v>
      </c>
      <c r="C526" s="1" t="n">
        <v>46175</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58967-2022</t>
        </is>
      </c>
      <c r="B527" s="1" t="n">
        <v>44896</v>
      </c>
      <c r="C527" s="1" t="n">
        <v>46175</v>
      </c>
      <c r="D527" t="inlineStr">
        <is>
          <t>KALMAR LÄN</t>
        </is>
      </c>
      <c r="E527" t="inlineStr">
        <is>
          <t>VIMMERBY</t>
        </is>
      </c>
      <c r="G527" t="n">
        <v>5</v>
      </c>
      <c r="H527" t="n">
        <v>0</v>
      </c>
      <c r="I527" t="n">
        <v>0</v>
      </c>
      <c r="J527" t="n">
        <v>0</v>
      </c>
      <c r="K527" t="n">
        <v>0</v>
      </c>
      <c r="L527" t="n">
        <v>0</v>
      </c>
      <c r="M527" t="n">
        <v>0</v>
      </c>
      <c r="N527" t="n">
        <v>0</v>
      </c>
      <c r="O527" t="n">
        <v>0</v>
      </c>
      <c r="P527" t="n">
        <v>0</v>
      </c>
      <c r="Q527" t="n">
        <v>0</v>
      </c>
      <c r="R527" s="2" t="inlineStr"/>
    </row>
    <row r="528" ht="15" customHeight="1">
      <c r="A528" t="inlineStr">
        <is>
          <t>A 57682-2022</t>
        </is>
      </c>
      <c r="B528" s="1" t="n">
        <v>44890</v>
      </c>
      <c r="C528" s="1" t="n">
        <v>46175</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37866-2025</t>
        </is>
      </c>
      <c r="B529" s="1" t="n">
        <v>45881</v>
      </c>
      <c r="C529" s="1" t="n">
        <v>46175</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24932-2026</t>
        </is>
      </c>
      <c r="B530" s="1" t="n">
        <v>46174.5197800926</v>
      </c>
      <c r="C530" s="1" t="n">
        <v>46175</v>
      </c>
      <c r="D530" t="inlineStr">
        <is>
          <t>KALMAR LÄN</t>
        </is>
      </c>
      <c r="E530" t="inlineStr">
        <is>
          <t>VIMMERBY</t>
        </is>
      </c>
      <c r="G530" t="n">
        <v>2.3</v>
      </c>
      <c r="H530" t="n">
        <v>0</v>
      </c>
      <c r="I530" t="n">
        <v>0</v>
      </c>
      <c r="J530" t="n">
        <v>0</v>
      </c>
      <c r="K530" t="n">
        <v>0</v>
      </c>
      <c r="L530" t="n">
        <v>0</v>
      </c>
      <c r="M530" t="n">
        <v>0</v>
      </c>
      <c r="N530" t="n">
        <v>0</v>
      </c>
      <c r="O530" t="n">
        <v>0</v>
      </c>
      <c r="P530" t="n">
        <v>0</v>
      </c>
      <c r="Q530" t="n">
        <v>0</v>
      </c>
      <c r="R530" s="2" t="inlineStr"/>
    </row>
    <row r="531" ht="15" customHeight="1">
      <c r="A531" t="inlineStr">
        <is>
          <t>A 4076-2022</t>
        </is>
      </c>
      <c r="B531" s="1" t="n">
        <v>44588.37998842593</v>
      </c>
      <c r="C531" s="1" t="n">
        <v>46175</v>
      </c>
      <c r="D531" t="inlineStr">
        <is>
          <t>KALMAR LÄN</t>
        </is>
      </c>
      <c r="E531" t="inlineStr">
        <is>
          <t>VIMMERBY</t>
        </is>
      </c>
      <c r="G531" t="n">
        <v>3</v>
      </c>
      <c r="H531" t="n">
        <v>0</v>
      </c>
      <c r="I531" t="n">
        <v>0</v>
      </c>
      <c r="J531" t="n">
        <v>0</v>
      </c>
      <c r="K531" t="n">
        <v>0</v>
      </c>
      <c r="L531" t="n">
        <v>0</v>
      </c>
      <c r="M531" t="n">
        <v>0</v>
      </c>
      <c r="N531" t="n">
        <v>0</v>
      </c>
      <c r="O531" t="n">
        <v>0</v>
      </c>
      <c r="P531" t="n">
        <v>0</v>
      </c>
      <c r="Q531" t="n">
        <v>0</v>
      </c>
      <c r="R531" s="2" t="inlineStr"/>
    </row>
    <row r="532" ht="15" customHeight="1">
      <c r="A532" t="inlineStr">
        <is>
          <t>A 4122-2022</t>
        </is>
      </c>
      <c r="B532" s="1" t="n">
        <v>44588</v>
      </c>
      <c r="C532" s="1" t="n">
        <v>46175</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37939-2025</t>
        </is>
      </c>
      <c r="B533" s="1" t="n">
        <v>45881.59877314815</v>
      </c>
      <c r="C533" s="1" t="n">
        <v>46175</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9624-2024</t>
        </is>
      </c>
      <c r="B534" s="1" t="n">
        <v>45361.90282407407</v>
      </c>
      <c r="C534" s="1" t="n">
        <v>46175</v>
      </c>
      <c r="D534" t="inlineStr">
        <is>
          <t>KALMAR LÄN</t>
        </is>
      </c>
      <c r="E534" t="inlineStr">
        <is>
          <t>VIMMERBY</t>
        </is>
      </c>
      <c r="G534" t="n">
        <v>3.8</v>
      </c>
      <c r="H534" t="n">
        <v>0</v>
      </c>
      <c r="I534" t="n">
        <v>0</v>
      </c>
      <c r="J534" t="n">
        <v>0</v>
      </c>
      <c r="K534" t="n">
        <v>0</v>
      </c>
      <c r="L534" t="n">
        <v>0</v>
      </c>
      <c r="M534" t="n">
        <v>0</v>
      </c>
      <c r="N534" t="n">
        <v>0</v>
      </c>
      <c r="O534" t="n">
        <v>0</v>
      </c>
      <c r="P534" t="n">
        <v>0</v>
      </c>
      <c r="Q534" t="n">
        <v>0</v>
      </c>
      <c r="R534" s="2" t="inlineStr"/>
    </row>
    <row r="535" ht="15" customHeight="1">
      <c r="A535" t="inlineStr">
        <is>
          <t>A 52475-2025</t>
        </is>
      </c>
      <c r="B535" s="1" t="n">
        <v>45954.468125</v>
      </c>
      <c r="C535" s="1" t="n">
        <v>46175</v>
      </c>
      <c r="D535" t="inlineStr">
        <is>
          <t>KALMAR LÄN</t>
        </is>
      </c>
      <c r="E535" t="inlineStr">
        <is>
          <t>VIMMERBY</t>
        </is>
      </c>
      <c r="G535" t="n">
        <v>1.5</v>
      </c>
      <c r="H535" t="n">
        <v>0</v>
      </c>
      <c r="I535" t="n">
        <v>0</v>
      </c>
      <c r="J535" t="n">
        <v>0</v>
      </c>
      <c r="K535" t="n">
        <v>0</v>
      </c>
      <c r="L535" t="n">
        <v>0</v>
      </c>
      <c r="M535" t="n">
        <v>0</v>
      </c>
      <c r="N535" t="n">
        <v>0</v>
      </c>
      <c r="O535" t="n">
        <v>0</v>
      </c>
      <c r="P535" t="n">
        <v>0</v>
      </c>
      <c r="Q535" t="n">
        <v>0</v>
      </c>
      <c r="R535" s="2" t="inlineStr"/>
    </row>
    <row r="536" ht="15" customHeight="1">
      <c r="A536" t="inlineStr">
        <is>
          <t>A 52327-2023</t>
        </is>
      </c>
      <c r="B536" s="1" t="n">
        <v>45224.6515162037</v>
      </c>
      <c r="C536" s="1" t="n">
        <v>46175</v>
      </c>
      <c r="D536" t="inlineStr">
        <is>
          <t>KALMAR LÄN</t>
        </is>
      </c>
      <c r="E536" t="inlineStr">
        <is>
          <t>VIMMERBY</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53220-2025</t>
        </is>
      </c>
      <c r="B537" s="1" t="n">
        <v>45958.60146990741</v>
      </c>
      <c r="C537" s="1" t="n">
        <v>46175</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18633-2026</t>
        </is>
      </c>
      <c r="B538" s="1" t="n">
        <v>46128.26289351852</v>
      </c>
      <c r="C538" s="1" t="n">
        <v>46175</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29616-2022</t>
        </is>
      </c>
      <c r="B539" s="1" t="n">
        <v>44754</v>
      </c>
      <c r="C539" s="1" t="n">
        <v>46175</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52451-2025</t>
        </is>
      </c>
      <c r="B540" s="1" t="n">
        <v>45954.42326388889</v>
      </c>
      <c r="C540" s="1" t="n">
        <v>46175</v>
      </c>
      <c r="D540" t="inlineStr">
        <is>
          <t>KALMAR LÄN</t>
        </is>
      </c>
      <c r="E540" t="inlineStr">
        <is>
          <t>VIMMERBY</t>
        </is>
      </c>
      <c r="G540" t="n">
        <v>2.8</v>
      </c>
      <c r="H540" t="n">
        <v>0</v>
      </c>
      <c r="I540" t="n">
        <v>0</v>
      </c>
      <c r="J540" t="n">
        <v>0</v>
      </c>
      <c r="K540" t="n">
        <v>0</v>
      </c>
      <c r="L540" t="n">
        <v>0</v>
      </c>
      <c r="M540" t="n">
        <v>0</v>
      </c>
      <c r="N540" t="n">
        <v>0</v>
      </c>
      <c r="O540" t="n">
        <v>0</v>
      </c>
      <c r="P540" t="n">
        <v>0</v>
      </c>
      <c r="Q540" t="n">
        <v>0</v>
      </c>
      <c r="R540" s="2" t="inlineStr"/>
    </row>
    <row r="541" ht="15" customHeight="1">
      <c r="A541" t="inlineStr">
        <is>
          <t>A 29348-2023</t>
        </is>
      </c>
      <c r="B541" s="1" t="n">
        <v>45106.25025462963</v>
      </c>
      <c r="C541" s="1" t="n">
        <v>46175</v>
      </c>
      <c r="D541" t="inlineStr">
        <is>
          <t>KALMAR LÄN</t>
        </is>
      </c>
      <c r="E541" t="inlineStr">
        <is>
          <t>VIMMERBY</t>
        </is>
      </c>
      <c r="G541" t="n">
        <v>2.4</v>
      </c>
      <c r="H541" t="n">
        <v>0</v>
      </c>
      <c r="I541" t="n">
        <v>0</v>
      </c>
      <c r="J541" t="n">
        <v>0</v>
      </c>
      <c r="K541" t="n">
        <v>0</v>
      </c>
      <c r="L541" t="n">
        <v>0</v>
      </c>
      <c r="M541" t="n">
        <v>0</v>
      </c>
      <c r="N541" t="n">
        <v>0</v>
      </c>
      <c r="O541" t="n">
        <v>0</v>
      </c>
      <c r="P541" t="n">
        <v>0</v>
      </c>
      <c r="Q541" t="n">
        <v>0</v>
      </c>
      <c r="R541" s="2" t="inlineStr"/>
    </row>
    <row r="542" ht="15" customHeight="1">
      <c r="A542" t="inlineStr">
        <is>
          <t>A 53393-2025</t>
        </is>
      </c>
      <c r="B542" s="1" t="n">
        <v>45959.55284722222</v>
      </c>
      <c r="C542" s="1" t="n">
        <v>46175</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53398-2025</t>
        </is>
      </c>
      <c r="B543" s="1" t="n">
        <v>45959.56247685185</v>
      </c>
      <c r="C543" s="1" t="n">
        <v>46175</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53397-2025</t>
        </is>
      </c>
      <c r="B544" s="1" t="n">
        <v>45959.55918981481</v>
      </c>
      <c r="C544" s="1" t="n">
        <v>46175</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28403-2023</t>
        </is>
      </c>
      <c r="B545" s="1" t="n">
        <v>45100.85270833333</v>
      </c>
      <c r="C545" s="1" t="n">
        <v>46175</v>
      </c>
      <c r="D545" t="inlineStr">
        <is>
          <t>KALMAR LÄN</t>
        </is>
      </c>
      <c r="E545" t="inlineStr">
        <is>
          <t>VIMMERBY</t>
        </is>
      </c>
      <c r="G545" t="n">
        <v>1.8</v>
      </c>
      <c r="H545" t="n">
        <v>0</v>
      </c>
      <c r="I545" t="n">
        <v>0</v>
      </c>
      <c r="J545" t="n">
        <v>0</v>
      </c>
      <c r="K545" t="n">
        <v>0</v>
      </c>
      <c r="L545" t="n">
        <v>0</v>
      </c>
      <c r="M545" t="n">
        <v>0</v>
      </c>
      <c r="N545" t="n">
        <v>0</v>
      </c>
      <c r="O545" t="n">
        <v>0</v>
      </c>
      <c r="P545" t="n">
        <v>0</v>
      </c>
      <c r="Q545" t="n">
        <v>0</v>
      </c>
      <c r="R545" s="2" t="inlineStr"/>
    </row>
    <row r="546" ht="15" customHeight="1">
      <c r="A546" t="inlineStr">
        <is>
          <t>A 53416-2025</t>
        </is>
      </c>
      <c r="B546" s="1" t="n">
        <v>45959.58387731481</v>
      </c>
      <c r="C546" s="1" t="n">
        <v>46175</v>
      </c>
      <c r="D546" t="inlineStr">
        <is>
          <t>KALMAR LÄN</t>
        </is>
      </c>
      <c r="E546" t="inlineStr">
        <is>
          <t>VIMMERBY</t>
        </is>
      </c>
      <c r="G546" t="n">
        <v>4.4</v>
      </c>
      <c r="H546" t="n">
        <v>0</v>
      </c>
      <c r="I546" t="n">
        <v>0</v>
      </c>
      <c r="J546" t="n">
        <v>0</v>
      </c>
      <c r="K546" t="n">
        <v>0</v>
      </c>
      <c r="L546" t="n">
        <v>0</v>
      </c>
      <c r="M546" t="n">
        <v>0</v>
      </c>
      <c r="N546" t="n">
        <v>0</v>
      </c>
      <c r="O546" t="n">
        <v>0</v>
      </c>
      <c r="P546" t="n">
        <v>0</v>
      </c>
      <c r="Q546" t="n">
        <v>0</v>
      </c>
      <c r="R546" s="2" t="inlineStr"/>
    </row>
    <row r="547" ht="15" customHeight="1">
      <c r="A547" t="inlineStr">
        <is>
          <t>A 17511-2024</t>
        </is>
      </c>
      <c r="B547" s="1" t="n">
        <v>45415.57682870371</v>
      </c>
      <c r="C547" s="1" t="n">
        <v>46175</v>
      </c>
      <c r="D547" t="inlineStr">
        <is>
          <t>KALMAR LÄN</t>
        </is>
      </c>
      <c r="E547" t="inlineStr">
        <is>
          <t>VIMMERBY</t>
        </is>
      </c>
      <c r="G547" t="n">
        <v>5.3</v>
      </c>
      <c r="H547" t="n">
        <v>0</v>
      </c>
      <c r="I547" t="n">
        <v>0</v>
      </c>
      <c r="J547" t="n">
        <v>0</v>
      </c>
      <c r="K547" t="n">
        <v>0</v>
      </c>
      <c r="L547" t="n">
        <v>0</v>
      </c>
      <c r="M547" t="n">
        <v>0</v>
      </c>
      <c r="N547" t="n">
        <v>0</v>
      </c>
      <c r="O547" t="n">
        <v>0</v>
      </c>
      <c r="P547" t="n">
        <v>0</v>
      </c>
      <c r="Q547" t="n">
        <v>0</v>
      </c>
      <c r="R547" s="2" t="inlineStr"/>
    </row>
    <row r="548" ht="15" customHeight="1">
      <c r="A548" t="inlineStr">
        <is>
          <t>A 53413-2025</t>
        </is>
      </c>
      <c r="B548" s="1" t="n">
        <v>45959.5787037037</v>
      </c>
      <c r="C548" s="1" t="n">
        <v>46175</v>
      </c>
      <c r="D548" t="inlineStr">
        <is>
          <t>KALMAR LÄN</t>
        </is>
      </c>
      <c r="E548" t="inlineStr">
        <is>
          <t>VIMMERBY</t>
        </is>
      </c>
      <c r="G548" t="n">
        <v>4.3</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46175</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29973-2023</t>
        </is>
      </c>
      <c r="B550" s="1" t="n">
        <v>45108.703125</v>
      </c>
      <c r="C550" s="1" t="n">
        <v>46175</v>
      </c>
      <c r="D550" t="inlineStr">
        <is>
          <t>KALMAR LÄN</t>
        </is>
      </c>
      <c r="E550" t="inlineStr">
        <is>
          <t>VIMMERBY</t>
        </is>
      </c>
      <c r="G550" t="n">
        <v>4</v>
      </c>
      <c r="H550" t="n">
        <v>0</v>
      </c>
      <c r="I550" t="n">
        <v>0</v>
      </c>
      <c r="J550" t="n">
        <v>0</v>
      </c>
      <c r="K550" t="n">
        <v>0</v>
      </c>
      <c r="L550" t="n">
        <v>0</v>
      </c>
      <c r="M550" t="n">
        <v>0</v>
      </c>
      <c r="N550" t="n">
        <v>0</v>
      </c>
      <c r="O550" t="n">
        <v>0</v>
      </c>
      <c r="P550" t="n">
        <v>0</v>
      </c>
      <c r="Q550" t="n">
        <v>0</v>
      </c>
      <c r="R550" s="2" t="inlineStr"/>
    </row>
    <row r="551" ht="15" customHeight="1">
      <c r="A551" t="inlineStr">
        <is>
          <t>A 30070-2023</t>
        </is>
      </c>
      <c r="B551" s="1" t="n">
        <v>45110.4275</v>
      </c>
      <c r="C551" s="1" t="n">
        <v>46175</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53396-2025</t>
        </is>
      </c>
      <c r="B552" s="1" t="n">
        <v>45959.55577546296</v>
      </c>
      <c r="C552" s="1" t="n">
        <v>46175</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53788-2025</t>
        </is>
      </c>
      <c r="B553" s="1" t="n">
        <v>45960</v>
      </c>
      <c r="C553" s="1" t="n">
        <v>46175</v>
      </c>
      <c r="D553" t="inlineStr">
        <is>
          <t>KALMAR LÄN</t>
        </is>
      </c>
      <c r="E553" t="inlineStr">
        <is>
          <t>VIMMERBY</t>
        </is>
      </c>
      <c r="F553" t="inlineStr">
        <is>
          <t>Övriga statliga verk och myndigheter</t>
        </is>
      </c>
      <c r="G553" t="n">
        <v>6.3</v>
      </c>
      <c r="H553" t="n">
        <v>0</v>
      </c>
      <c r="I553" t="n">
        <v>0</v>
      </c>
      <c r="J553" t="n">
        <v>0</v>
      </c>
      <c r="K553" t="n">
        <v>0</v>
      </c>
      <c r="L553" t="n">
        <v>0</v>
      </c>
      <c r="M553" t="n">
        <v>0</v>
      </c>
      <c r="N553" t="n">
        <v>0</v>
      </c>
      <c r="O553" t="n">
        <v>0</v>
      </c>
      <c r="P553" t="n">
        <v>0</v>
      </c>
      <c r="Q553" t="n">
        <v>0</v>
      </c>
      <c r="R553" s="2" t="inlineStr"/>
    </row>
    <row r="554" ht="15" customHeight="1">
      <c r="A554" t="inlineStr">
        <is>
          <t>A 53927-2025</t>
        </is>
      </c>
      <c r="B554" s="1" t="n">
        <v>45961.46740740741</v>
      </c>
      <c r="C554" s="1" t="n">
        <v>46175</v>
      </c>
      <c r="D554" t="inlineStr">
        <is>
          <t>KALMAR LÄN</t>
        </is>
      </c>
      <c r="E554" t="inlineStr">
        <is>
          <t>VIMMERBY</t>
        </is>
      </c>
      <c r="G554" t="n">
        <v>2.5</v>
      </c>
      <c r="H554" t="n">
        <v>0</v>
      </c>
      <c r="I554" t="n">
        <v>0</v>
      </c>
      <c r="J554" t="n">
        <v>0</v>
      </c>
      <c r="K554" t="n">
        <v>0</v>
      </c>
      <c r="L554" t="n">
        <v>0</v>
      </c>
      <c r="M554" t="n">
        <v>0</v>
      </c>
      <c r="N554" t="n">
        <v>0</v>
      </c>
      <c r="O554" t="n">
        <v>0</v>
      </c>
      <c r="P554" t="n">
        <v>0</v>
      </c>
      <c r="Q554" t="n">
        <v>0</v>
      </c>
      <c r="R554" s="2" t="inlineStr"/>
    </row>
    <row r="555" ht="15" customHeight="1">
      <c r="A555" t="inlineStr">
        <is>
          <t>A 53933-2025</t>
        </is>
      </c>
      <c r="B555" s="1" t="n">
        <v>45961.47650462963</v>
      </c>
      <c r="C555" s="1" t="n">
        <v>46175</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54236-2025</t>
        </is>
      </c>
      <c r="B556" s="1" t="n">
        <v>45964.62671296296</v>
      </c>
      <c r="C556" s="1" t="n">
        <v>46175</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53923-2025</t>
        </is>
      </c>
      <c r="B557" s="1" t="n">
        <v>45961.4569212963</v>
      </c>
      <c r="C557" s="1" t="n">
        <v>46175</v>
      </c>
      <c r="D557" t="inlineStr">
        <is>
          <t>KALMAR LÄN</t>
        </is>
      </c>
      <c r="E557" t="inlineStr">
        <is>
          <t>VIMMERBY</t>
        </is>
      </c>
      <c r="G557" t="n">
        <v>2.4</v>
      </c>
      <c r="H557" t="n">
        <v>0</v>
      </c>
      <c r="I557" t="n">
        <v>0</v>
      </c>
      <c r="J557" t="n">
        <v>0</v>
      </c>
      <c r="K557" t="n">
        <v>0</v>
      </c>
      <c r="L557" t="n">
        <v>0</v>
      </c>
      <c r="M557" t="n">
        <v>0</v>
      </c>
      <c r="N557" t="n">
        <v>0</v>
      </c>
      <c r="O557" t="n">
        <v>0</v>
      </c>
      <c r="P557" t="n">
        <v>0</v>
      </c>
      <c r="Q557" t="n">
        <v>0</v>
      </c>
      <c r="R557" s="2" t="inlineStr"/>
    </row>
    <row r="558" ht="15" customHeight="1">
      <c r="A558" t="inlineStr">
        <is>
          <t>A 53920-2025</t>
        </is>
      </c>
      <c r="B558" s="1" t="n">
        <v>45961.44951388889</v>
      </c>
      <c r="C558" s="1" t="n">
        <v>46175</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46078-2023</t>
        </is>
      </c>
      <c r="B559" s="1" t="n">
        <v>45196</v>
      </c>
      <c r="C559" s="1" t="n">
        <v>46175</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54234-2025</t>
        </is>
      </c>
      <c r="B560" s="1" t="n">
        <v>45964.62486111111</v>
      </c>
      <c r="C560" s="1" t="n">
        <v>46175</v>
      </c>
      <c r="D560" t="inlineStr">
        <is>
          <t>KALMAR LÄN</t>
        </is>
      </c>
      <c r="E560" t="inlineStr">
        <is>
          <t>VIMMERBY</t>
        </is>
      </c>
      <c r="G560" t="n">
        <v>4.1</v>
      </c>
      <c r="H560" t="n">
        <v>0</v>
      </c>
      <c r="I560" t="n">
        <v>0</v>
      </c>
      <c r="J560" t="n">
        <v>0</v>
      </c>
      <c r="K560" t="n">
        <v>0</v>
      </c>
      <c r="L560" t="n">
        <v>0</v>
      </c>
      <c r="M560" t="n">
        <v>0</v>
      </c>
      <c r="N560" t="n">
        <v>0</v>
      </c>
      <c r="O560" t="n">
        <v>0</v>
      </c>
      <c r="P560" t="n">
        <v>0</v>
      </c>
      <c r="Q560" t="n">
        <v>0</v>
      </c>
      <c r="R560" s="2" t="inlineStr"/>
    </row>
    <row r="561" ht="15" customHeight="1">
      <c r="A561" t="inlineStr">
        <is>
          <t>A 7643-2022</t>
        </is>
      </c>
      <c r="B561" s="1" t="n">
        <v>44607</v>
      </c>
      <c r="C561" s="1" t="n">
        <v>46175</v>
      </c>
      <c r="D561" t="inlineStr">
        <is>
          <t>KALMAR LÄN</t>
        </is>
      </c>
      <c r="E561" t="inlineStr">
        <is>
          <t>VIMMERBY</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3494-2023</t>
        </is>
      </c>
      <c r="B562" s="1" t="n">
        <v>44949</v>
      </c>
      <c r="C562" s="1" t="n">
        <v>46175</v>
      </c>
      <c r="D562" t="inlineStr">
        <is>
          <t>KALMAR LÄN</t>
        </is>
      </c>
      <c r="E562" t="inlineStr">
        <is>
          <t>VIMMERBY</t>
        </is>
      </c>
      <c r="F562" t="inlineStr">
        <is>
          <t>Kyrkan</t>
        </is>
      </c>
      <c r="G562" t="n">
        <v>0.8</v>
      </c>
      <c r="H562" t="n">
        <v>0</v>
      </c>
      <c r="I562" t="n">
        <v>0</v>
      </c>
      <c r="J562" t="n">
        <v>0</v>
      </c>
      <c r="K562" t="n">
        <v>0</v>
      </c>
      <c r="L562" t="n">
        <v>0</v>
      </c>
      <c r="M562" t="n">
        <v>0</v>
      </c>
      <c r="N562" t="n">
        <v>0</v>
      </c>
      <c r="O562" t="n">
        <v>0</v>
      </c>
      <c r="P562" t="n">
        <v>0</v>
      </c>
      <c r="Q562" t="n">
        <v>0</v>
      </c>
      <c r="R562" s="2" t="inlineStr"/>
    </row>
    <row r="563" ht="15" customHeight="1">
      <c r="A563" t="inlineStr">
        <is>
          <t>A 53789-2025</t>
        </is>
      </c>
      <c r="B563" s="1" t="n">
        <v>45960</v>
      </c>
      <c r="C563" s="1" t="n">
        <v>46175</v>
      </c>
      <c r="D563" t="inlineStr">
        <is>
          <t>KALMAR LÄN</t>
        </is>
      </c>
      <c r="E563" t="inlineStr">
        <is>
          <t>VIMMERBY</t>
        </is>
      </c>
      <c r="F563" t="inlineStr">
        <is>
          <t>Övriga statliga verk och myndigheter</t>
        </is>
      </c>
      <c r="G563" t="n">
        <v>1.6</v>
      </c>
      <c r="H563" t="n">
        <v>0</v>
      </c>
      <c r="I563" t="n">
        <v>0</v>
      </c>
      <c r="J563" t="n">
        <v>0</v>
      </c>
      <c r="K563" t="n">
        <v>0</v>
      </c>
      <c r="L563" t="n">
        <v>0</v>
      </c>
      <c r="M563" t="n">
        <v>0</v>
      </c>
      <c r="N563" t="n">
        <v>0</v>
      </c>
      <c r="O563" t="n">
        <v>0</v>
      </c>
      <c r="P563" t="n">
        <v>0</v>
      </c>
      <c r="Q563" t="n">
        <v>0</v>
      </c>
      <c r="R563" s="2" t="inlineStr"/>
    </row>
    <row r="564" ht="15" customHeight="1">
      <c r="A564" t="inlineStr">
        <is>
          <t>A 32633-2023</t>
        </is>
      </c>
      <c r="B564" s="1" t="n">
        <v>45121.58699074074</v>
      </c>
      <c r="C564" s="1" t="n">
        <v>46175</v>
      </c>
      <c r="D564" t="inlineStr">
        <is>
          <t>KALMAR LÄN</t>
        </is>
      </c>
      <c r="E564" t="inlineStr">
        <is>
          <t>VIMMERBY</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24930-2026</t>
        </is>
      </c>
      <c r="B565" s="1" t="n">
        <v>46174.51430555555</v>
      </c>
      <c r="C565" s="1" t="n">
        <v>46175</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53903-2025</t>
        </is>
      </c>
      <c r="B566" s="1" t="n">
        <v>45961.43738425926</v>
      </c>
      <c r="C566" s="1" t="n">
        <v>46175</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43601-2024</t>
        </is>
      </c>
      <c r="B567" s="1" t="n">
        <v>45569.44684027778</v>
      </c>
      <c r="C567" s="1" t="n">
        <v>46175</v>
      </c>
      <c r="D567" t="inlineStr">
        <is>
          <t>KALMAR LÄN</t>
        </is>
      </c>
      <c r="E567" t="inlineStr">
        <is>
          <t>VIMMERBY</t>
        </is>
      </c>
      <c r="G567" t="n">
        <v>0.5</v>
      </c>
      <c r="H567" t="n">
        <v>0</v>
      </c>
      <c r="I567" t="n">
        <v>0</v>
      </c>
      <c r="J567" t="n">
        <v>0</v>
      </c>
      <c r="K567" t="n">
        <v>0</v>
      </c>
      <c r="L567" t="n">
        <v>0</v>
      </c>
      <c r="M567" t="n">
        <v>0</v>
      </c>
      <c r="N567" t="n">
        <v>0</v>
      </c>
      <c r="O567" t="n">
        <v>0</v>
      </c>
      <c r="P567" t="n">
        <v>0</v>
      </c>
      <c r="Q567" t="n">
        <v>0</v>
      </c>
      <c r="R567" s="2" t="inlineStr"/>
    </row>
    <row r="568" ht="15" customHeight="1">
      <c r="A568" t="inlineStr">
        <is>
          <t>A 54737-2025</t>
        </is>
      </c>
      <c r="B568" s="1" t="n">
        <v>45966.56826388889</v>
      </c>
      <c r="C568" s="1" t="n">
        <v>46175</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13813-2024</t>
        </is>
      </c>
      <c r="B569" s="1" t="n">
        <v>45391.41310185185</v>
      </c>
      <c r="C569" s="1" t="n">
        <v>46175</v>
      </c>
      <c r="D569" t="inlineStr">
        <is>
          <t>KALMAR LÄN</t>
        </is>
      </c>
      <c r="E569" t="inlineStr">
        <is>
          <t>VIMMERBY</t>
        </is>
      </c>
      <c r="G569" t="n">
        <v>0.4</v>
      </c>
      <c r="H569" t="n">
        <v>0</v>
      </c>
      <c r="I569" t="n">
        <v>0</v>
      </c>
      <c r="J569" t="n">
        <v>0</v>
      </c>
      <c r="K569" t="n">
        <v>0</v>
      </c>
      <c r="L569" t="n">
        <v>0</v>
      </c>
      <c r="M569" t="n">
        <v>0</v>
      </c>
      <c r="N569" t="n">
        <v>0</v>
      </c>
      <c r="O569" t="n">
        <v>0</v>
      </c>
      <c r="P569" t="n">
        <v>0</v>
      </c>
      <c r="Q569" t="n">
        <v>0</v>
      </c>
      <c r="R569" s="2" t="inlineStr"/>
    </row>
    <row r="570" ht="15" customHeight="1">
      <c r="A570" t="inlineStr">
        <is>
          <t>A 25234-2023</t>
        </is>
      </c>
      <c r="B570" s="1" t="n">
        <v>45086.63194444445</v>
      </c>
      <c r="C570" s="1" t="n">
        <v>46175</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54813-2025</t>
        </is>
      </c>
      <c r="B571" s="1" t="n">
        <v>45966.64881944445</v>
      </c>
      <c r="C571" s="1" t="n">
        <v>46175</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25236-2023</t>
        </is>
      </c>
      <c r="B572" s="1" t="n">
        <v>45086.63334490741</v>
      </c>
      <c r="C572" s="1" t="n">
        <v>46175</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25244-2023</t>
        </is>
      </c>
      <c r="B573" s="1" t="n">
        <v>45086</v>
      </c>
      <c r="C573" s="1" t="n">
        <v>46175</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23341-2022</t>
        </is>
      </c>
      <c r="B574" s="1" t="n">
        <v>44720.53898148148</v>
      </c>
      <c r="C574" s="1" t="n">
        <v>46175</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71793-2021</t>
        </is>
      </c>
      <c r="B575" s="1" t="n">
        <v>44539</v>
      </c>
      <c r="C575" s="1" t="n">
        <v>46175</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73938-2021</t>
        </is>
      </c>
      <c r="B576" s="1" t="n">
        <v>44553</v>
      </c>
      <c r="C576" s="1" t="n">
        <v>46175</v>
      </c>
      <c r="D576" t="inlineStr">
        <is>
          <t>KALMAR LÄN</t>
        </is>
      </c>
      <c r="E576" t="inlineStr">
        <is>
          <t>VIMMERBY</t>
        </is>
      </c>
      <c r="G576" t="n">
        <v>3.2</v>
      </c>
      <c r="H576" t="n">
        <v>0</v>
      </c>
      <c r="I576" t="n">
        <v>0</v>
      </c>
      <c r="J576" t="n">
        <v>0</v>
      </c>
      <c r="K576" t="n">
        <v>0</v>
      </c>
      <c r="L576" t="n">
        <v>0</v>
      </c>
      <c r="M576" t="n">
        <v>0</v>
      </c>
      <c r="N576" t="n">
        <v>0</v>
      </c>
      <c r="O576" t="n">
        <v>0</v>
      </c>
      <c r="P576" t="n">
        <v>0</v>
      </c>
      <c r="Q576" t="n">
        <v>0</v>
      </c>
      <c r="R576" s="2" t="inlineStr"/>
    </row>
    <row r="577" ht="15" customHeight="1">
      <c r="A577" t="inlineStr">
        <is>
          <t>A 55385-2025</t>
        </is>
      </c>
      <c r="B577" s="1" t="n">
        <v>45971.43350694444</v>
      </c>
      <c r="C577" s="1" t="n">
        <v>46175</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6069-2023</t>
        </is>
      </c>
      <c r="B578" s="1" t="n">
        <v>44964.5115162037</v>
      </c>
      <c r="C578" s="1" t="n">
        <v>46175</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55602-2025</t>
        </is>
      </c>
      <c r="B579" s="1" t="n">
        <v>45971</v>
      </c>
      <c r="C579" s="1" t="n">
        <v>46175</v>
      </c>
      <c r="D579" t="inlineStr">
        <is>
          <t>KALMAR LÄN</t>
        </is>
      </c>
      <c r="E579" t="inlineStr">
        <is>
          <t>VIMMERBY</t>
        </is>
      </c>
      <c r="G579" t="n">
        <v>2.7</v>
      </c>
      <c r="H579" t="n">
        <v>0</v>
      </c>
      <c r="I579" t="n">
        <v>0</v>
      </c>
      <c r="J579" t="n">
        <v>0</v>
      </c>
      <c r="K579" t="n">
        <v>0</v>
      </c>
      <c r="L579" t="n">
        <v>0</v>
      </c>
      <c r="M579" t="n">
        <v>0</v>
      </c>
      <c r="N579" t="n">
        <v>0</v>
      </c>
      <c r="O579" t="n">
        <v>0</v>
      </c>
      <c r="P579" t="n">
        <v>0</v>
      </c>
      <c r="Q579" t="n">
        <v>0</v>
      </c>
      <c r="R579" s="2" t="inlineStr"/>
    </row>
    <row r="580" ht="15" customHeight="1">
      <c r="A580" t="inlineStr">
        <is>
          <t>A 55603-2025</t>
        </is>
      </c>
      <c r="B580" s="1" t="n">
        <v>45971</v>
      </c>
      <c r="C580" s="1" t="n">
        <v>46175</v>
      </c>
      <c r="D580" t="inlineStr">
        <is>
          <t>KALMAR LÄN</t>
        </is>
      </c>
      <c r="E580" t="inlineStr">
        <is>
          <t>VIMMERBY</t>
        </is>
      </c>
      <c r="G580" t="n">
        <v>0.9</v>
      </c>
      <c r="H580" t="n">
        <v>0</v>
      </c>
      <c r="I580" t="n">
        <v>0</v>
      </c>
      <c r="J580" t="n">
        <v>0</v>
      </c>
      <c r="K580" t="n">
        <v>0</v>
      </c>
      <c r="L580" t="n">
        <v>0</v>
      </c>
      <c r="M580" t="n">
        <v>0</v>
      </c>
      <c r="N580" t="n">
        <v>0</v>
      </c>
      <c r="O580" t="n">
        <v>0</v>
      </c>
      <c r="P580" t="n">
        <v>0</v>
      </c>
      <c r="Q580" t="n">
        <v>0</v>
      </c>
      <c r="R580" s="2" t="inlineStr"/>
    </row>
    <row r="581" ht="15" customHeight="1">
      <c r="A581" t="inlineStr">
        <is>
          <t>A 55605-2025</t>
        </is>
      </c>
      <c r="B581" s="1" t="n">
        <v>45971</v>
      </c>
      <c r="C581" s="1" t="n">
        <v>46175</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50995-2022</t>
        </is>
      </c>
      <c r="B582" s="1" t="n">
        <v>44867</v>
      </c>
      <c r="C582" s="1" t="n">
        <v>46175</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27122-2023</t>
        </is>
      </c>
      <c r="B583" s="1" t="n">
        <v>45096.45247685185</v>
      </c>
      <c r="C583" s="1" t="n">
        <v>46175</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30402-2023</t>
        </is>
      </c>
      <c r="B584" s="1" t="n">
        <v>45111.48395833333</v>
      </c>
      <c r="C584" s="1" t="n">
        <v>46175</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47842-2024</t>
        </is>
      </c>
      <c r="B585" s="1" t="n">
        <v>45588.65545138889</v>
      </c>
      <c r="C585" s="1" t="n">
        <v>46175</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6857-2023</t>
        </is>
      </c>
      <c r="B586" s="1" t="n">
        <v>44967.45122685185</v>
      </c>
      <c r="C586" s="1" t="n">
        <v>46175</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46224-2024</t>
        </is>
      </c>
      <c r="B587" s="1" t="n">
        <v>45581.57016203704</v>
      </c>
      <c r="C587" s="1" t="n">
        <v>46175</v>
      </c>
      <c r="D587" t="inlineStr">
        <is>
          <t>KALMAR LÄN</t>
        </is>
      </c>
      <c r="E587" t="inlineStr">
        <is>
          <t>VIMMERBY</t>
        </is>
      </c>
      <c r="G587" t="n">
        <v>3.1</v>
      </c>
      <c r="H587" t="n">
        <v>0</v>
      </c>
      <c r="I587" t="n">
        <v>0</v>
      </c>
      <c r="J587" t="n">
        <v>0</v>
      </c>
      <c r="K587" t="n">
        <v>0</v>
      </c>
      <c r="L587" t="n">
        <v>0</v>
      </c>
      <c r="M587" t="n">
        <v>0</v>
      </c>
      <c r="N587" t="n">
        <v>0</v>
      </c>
      <c r="O587" t="n">
        <v>0</v>
      </c>
      <c r="P587" t="n">
        <v>0</v>
      </c>
      <c r="Q587" t="n">
        <v>0</v>
      </c>
      <c r="R587" s="2" t="inlineStr"/>
    </row>
    <row r="588" ht="15" customHeight="1">
      <c r="A588" t="inlineStr">
        <is>
          <t>A 29013-2024</t>
        </is>
      </c>
      <c r="B588" s="1" t="n">
        <v>45481.55984953704</v>
      </c>
      <c r="C588" s="1" t="n">
        <v>46175</v>
      </c>
      <c r="D588" t="inlineStr">
        <is>
          <t>KALMAR LÄN</t>
        </is>
      </c>
      <c r="E588" t="inlineStr">
        <is>
          <t>VIMMERBY</t>
        </is>
      </c>
      <c r="G588" t="n">
        <v>3.4</v>
      </c>
      <c r="H588" t="n">
        <v>0</v>
      </c>
      <c r="I588" t="n">
        <v>0</v>
      </c>
      <c r="J588" t="n">
        <v>0</v>
      </c>
      <c r="K588" t="n">
        <v>0</v>
      </c>
      <c r="L588" t="n">
        <v>0</v>
      </c>
      <c r="M588" t="n">
        <v>0</v>
      </c>
      <c r="N588" t="n">
        <v>0</v>
      </c>
      <c r="O588" t="n">
        <v>0</v>
      </c>
      <c r="P588" t="n">
        <v>0</v>
      </c>
      <c r="Q588" t="n">
        <v>0</v>
      </c>
      <c r="R588" s="2" t="inlineStr"/>
    </row>
    <row r="589" ht="15" customHeight="1">
      <c r="A589" t="inlineStr">
        <is>
          <t>A 37028-2024</t>
        </is>
      </c>
      <c r="B589" s="1" t="n">
        <v>45539.38744212963</v>
      </c>
      <c r="C589" s="1" t="n">
        <v>46175</v>
      </c>
      <c r="D589" t="inlineStr">
        <is>
          <t>KALMAR LÄN</t>
        </is>
      </c>
      <c r="E589" t="inlineStr">
        <is>
          <t>VIMMERBY</t>
        </is>
      </c>
      <c r="G589" t="n">
        <v>5.2</v>
      </c>
      <c r="H589" t="n">
        <v>0</v>
      </c>
      <c r="I589" t="n">
        <v>0</v>
      </c>
      <c r="J589" t="n">
        <v>0</v>
      </c>
      <c r="K589" t="n">
        <v>0</v>
      </c>
      <c r="L589" t="n">
        <v>0</v>
      </c>
      <c r="M589" t="n">
        <v>0</v>
      </c>
      <c r="N589" t="n">
        <v>0</v>
      </c>
      <c r="O589" t="n">
        <v>0</v>
      </c>
      <c r="P589" t="n">
        <v>0</v>
      </c>
      <c r="Q589" t="n">
        <v>0</v>
      </c>
      <c r="R589" s="2" t="inlineStr"/>
    </row>
    <row r="590" ht="15" customHeight="1">
      <c r="A590" t="inlineStr">
        <is>
          <t>A 37187-2024</t>
        </is>
      </c>
      <c r="B590" s="1" t="n">
        <v>45539.65212962963</v>
      </c>
      <c r="C590" s="1" t="n">
        <v>46175</v>
      </c>
      <c r="D590" t="inlineStr">
        <is>
          <t>KALMAR LÄN</t>
        </is>
      </c>
      <c r="E590" t="inlineStr">
        <is>
          <t>VIMMERBY</t>
        </is>
      </c>
      <c r="G590" t="n">
        <v>2.7</v>
      </c>
      <c r="H590" t="n">
        <v>0</v>
      </c>
      <c r="I590" t="n">
        <v>0</v>
      </c>
      <c r="J590" t="n">
        <v>0</v>
      </c>
      <c r="K590" t="n">
        <v>0</v>
      </c>
      <c r="L590" t="n">
        <v>0</v>
      </c>
      <c r="M590" t="n">
        <v>0</v>
      </c>
      <c r="N590" t="n">
        <v>0</v>
      </c>
      <c r="O590" t="n">
        <v>0</v>
      </c>
      <c r="P590" t="n">
        <v>0</v>
      </c>
      <c r="Q590" t="n">
        <v>0</v>
      </c>
      <c r="R590" s="2" t="inlineStr"/>
    </row>
    <row r="591" ht="15" customHeight="1">
      <c r="A591" t="inlineStr">
        <is>
          <t>A 12630-2023</t>
        </is>
      </c>
      <c r="B591" s="1" t="n">
        <v>45000.47998842593</v>
      </c>
      <c r="C591" s="1" t="n">
        <v>46175</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57728-2025</t>
        </is>
      </c>
      <c r="B592" s="1" t="n">
        <v>45981</v>
      </c>
      <c r="C592" s="1" t="n">
        <v>46175</v>
      </c>
      <c r="D592" t="inlineStr">
        <is>
          <t>KALMAR LÄN</t>
        </is>
      </c>
      <c r="E592" t="inlineStr">
        <is>
          <t>VIMMERBY</t>
        </is>
      </c>
      <c r="G592" t="n">
        <v>0.8</v>
      </c>
      <c r="H592" t="n">
        <v>0</v>
      </c>
      <c r="I592" t="n">
        <v>0</v>
      </c>
      <c r="J592" t="n">
        <v>0</v>
      </c>
      <c r="K592" t="n">
        <v>0</v>
      </c>
      <c r="L592" t="n">
        <v>0</v>
      </c>
      <c r="M592" t="n">
        <v>0</v>
      </c>
      <c r="N592" t="n">
        <v>0</v>
      </c>
      <c r="O592" t="n">
        <v>0</v>
      </c>
      <c r="P592" t="n">
        <v>0</v>
      </c>
      <c r="Q592" t="n">
        <v>0</v>
      </c>
      <c r="R592" s="2" t="inlineStr"/>
    </row>
    <row r="593" ht="15" customHeight="1">
      <c r="A593" t="inlineStr">
        <is>
          <t>A 39584-2024</t>
        </is>
      </c>
      <c r="B593" s="1" t="n">
        <v>45552.36759259259</v>
      </c>
      <c r="C593" s="1" t="n">
        <v>46175</v>
      </c>
      <c r="D593" t="inlineStr">
        <is>
          <t>KALMAR LÄN</t>
        </is>
      </c>
      <c r="E593" t="inlineStr">
        <is>
          <t>VIMMERBY</t>
        </is>
      </c>
      <c r="G593" t="n">
        <v>1.9</v>
      </c>
      <c r="H593" t="n">
        <v>0</v>
      </c>
      <c r="I593" t="n">
        <v>0</v>
      </c>
      <c r="J593" t="n">
        <v>0</v>
      </c>
      <c r="K593" t="n">
        <v>0</v>
      </c>
      <c r="L593" t="n">
        <v>0</v>
      </c>
      <c r="M593" t="n">
        <v>0</v>
      </c>
      <c r="N593" t="n">
        <v>0</v>
      </c>
      <c r="O593" t="n">
        <v>0</v>
      </c>
      <c r="P593" t="n">
        <v>0</v>
      </c>
      <c r="Q593" t="n">
        <v>0</v>
      </c>
      <c r="R593" s="2" t="inlineStr"/>
    </row>
    <row r="594" ht="15" customHeight="1">
      <c r="A594" t="inlineStr">
        <is>
          <t>A 27705-2023</t>
        </is>
      </c>
      <c r="B594" s="1" t="n">
        <v>45098.30535879629</v>
      </c>
      <c r="C594" s="1" t="n">
        <v>46175</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58442-2025</t>
        </is>
      </c>
      <c r="B595" s="1" t="n">
        <v>45985.61635416667</v>
      </c>
      <c r="C595" s="1" t="n">
        <v>46175</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58498-2025</t>
        </is>
      </c>
      <c r="B596" s="1" t="n">
        <v>45985.68671296296</v>
      </c>
      <c r="C596" s="1" t="n">
        <v>46175</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58501-2025</t>
        </is>
      </c>
      <c r="B597" s="1" t="n">
        <v>45985.69153935185</v>
      </c>
      <c r="C597" s="1" t="n">
        <v>46175</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58514-2025</t>
        </is>
      </c>
      <c r="B598" s="1" t="n">
        <v>45985.70513888889</v>
      </c>
      <c r="C598" s="1" t="n">
        <v>46175</v>
      </c>
      <c r="D598" t="inlineStr">
        <is>
          <t>KALMAR LÄN</t>
        </is>
      </c>
      <c r="E598" t="inlineStr">
        <is>
          <t>VIMMERBY</t>
        </is>
      </c>
      <c r="G598" t="n">
        <v>3.7</v>
      </c>
      <c r="H598" t="n">
        <v>0</v>
      </c>
      <c r="I598" t="n">
        <v>0</v>
      </c>
      <c r="J598" t="n">
        <v>0</v>
      </c>
      <c r="K598" t="n">
        <v>0</v>
      </c>
      <c r="L598" t="n">
        <v>0</v>
      </c>
      <c r="M598" t="n">
        <v>0</v>
      </c>
      <c r="N598" t="n">
        <v>0</v>
      </c>
      <c r="O598" t="n">
        <v>0</v>
      </c>
      <c r="P598" t="n">
        <v>0</v>
      </c>
      <c r="Q598" t="n">
        <v>0</v>
      </c>
      <c r="R598" s="2" t="inlineStr"/>
    </row>
    <row r="599" ht="15" customHeight="1">
      <c r="A599" t="inlineStr">
        <is>
          <t>A 31013-2023</t>
        </is>
      </c>
      <c r="B599" s="1" t="n">
        <v>45113.56574074074</v>
      </c>
      <c r="C599" s="1" t="n">
        <v>46175</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15388-2025</t>
        </is>
      </c>
      <c r="B600" s="1" t="n">
        <v>45747.42633101852</v>
      </c>
      <c r="C600" s="1" t="n">
        <v>46175</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15391-2025</t>
        </is>
      </c>
      <c r="B601" s="1" t="n">
        <v>45747.42958333333</v>
      </c>
      <c r="C601" s="1" t="n">
        <v>46175</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11303-2025</t>
        </is>
      </c>
      <c r="B602" s="1" t="n">
        <v>45726.44471064815</v>
      </c>
      <c r="C602" s="1" t="n">
        <v>46175</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58503-2025</t>
        </is>
      </c>
      <c r="B603" s="1" t="n">
        <v>45985.69509259259</v>
      </c>
      <c r="C603" s="1" t="n">
        <v>46175</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58446-2025</t>
        </is>
      </c>
      <c r="B604" s="1" t="n">
        <v>45985.62168981481</v>
      </c>
      <c r="C604" s="1" t="n">
        <v>46175</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58500-2025</t>
        </is>
      </c>
      <c r="B605" s="1" t="n">
        <v>45985.69008101852</v>
      </c>
      <c r="C605" s="1" t="n">
        <v>46175</v>
      </c>
      <c r="D605" t="inlineStr">
        <is>
          <t>KALMAR LÄN</t>
        </is>
      </c>
      <c r="E605" t="inlineStr">
        <is>
          <t>VIMMERBY</t>
        </is>
      </c>
      <c r="G605" t="n">
        <v>1.8</v>
      </c>
      <c r="H605" t="n">
        <v>0</v>
      </c>
      <c r="I605" t="n">
        <v>0</v>
      </c>
      <c r="J605" t="n">
        <v>0</v>
      </c>
      <c r="K605" t="n">
        <v>0</v>
      </c>
      <c r="L605" t="n">
        <v>0</v>
      </c>
      <c r="M605" t="n">
        <v>0</v>
      </c>
      <c r="N605" t="n">
        <v>0</v>
      </c>
      <c r="O605" t="n">
        <v>0</v>
      </c>
      <c r="P605" t="n">
        <v>0</v>
      </c>
      <c r="Q605" t="n">
        <v>0</v>
      </c>
      <c r="R605" s="2" t="inlineStr"/>
    </row>
    <row r="606" ht="15" customHeight="1">
      <c r="A606" t="inlineStr">
        <is>
          <t>A 33352-2022</t>
        </is>
      </c>
      <c r="B606" s="1" t="n">
        <v>44788</v>
      </c>
      <c r="C606" s="1" t="n">
        <v>46175</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58435-2025</t>
        </is>
      </c>
      <c r="B607" s="1" t="n">
        <v>45985.61501157407</v>
      </c>
      <c r="C607" s="1" t="n">
        <v>46175</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46234-2024</t>
        </is>
      </c>
      <c r="B608" s="1" t="n">
        <v>45581.57958333333</v>
      </c>
      <c r="C608" s="1" t="n">
        <v>46175</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39053-2024</t>
        </is>
      </c>
      <c r="B609" s="1" t="n">
        <v>45548</v>
      </c>
      <c r="C609" s="1" t="n">
        <v>46175</v>
      </c>
      <c r="D609" t="inlineStr">
        <is>
          <t>KALMAR LÄN</t>
        </is>
      </c>
      <c r="E609" t="inlineStr">
        <is>
          <t>VIMMERBY</t>
        </is>
      </c>
      <c r="G609" t="n">
        <v>5</v>
      </c>
      <c r="H609" t="n">
        <v>0</v>
      </c>
      <c r="I609" t="n">
        <v>0</v>
      </c>
      <c r="J609" t="n">
        <v>0</v>
      </c>
      <c r="K609" t="n">
        <v>0</v>
      </c>
      <c r="L609" t="n">
        <v>0</v>
      </c>
      <c r="M609" t="n">
        <v>0</v>
      </c>
      <c r="N609" t="n">
        <v>0</v>
      </c>
      <c r="O609" t="n">
        <v>0</v>
      </c>
      <c r="P609" t="n">
        <v>0</v>
      </c>
      <c r="Q609" t="n">
        <v>0</v>
      </c>
      <c r="R609" s="2" t="inlineStr"/>
    </row>
    <row r="610" ht="15" customHeight="1">
      <c r="A610" t="inlineStr">
        <is>
          <t>A 15449-2023</t>
        </is>
      </c>
      <c r="B610" s="1" t="n">
        <v>45020</v>
      </c>
      <c r="C610" s="1" t="n">
        <v>46175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59037-2025</t>
        </is>
      </c>
      <c r="B611" s="1" t="n">
        <v>45988.36508101852</v>
      </c>
      <c r="C611" s="1" t="n">
        <v>46175</v>
      </c>
      <c r="D611" t="inlineStr">
        <is>
          <t>KALMAR LÄN</t>
        </is>
      </c>
      <c r="E611" t="inlineStr">
        <is>
          <t>VIMMERBY</t>
        </is>
      </c>
      <c r="F611" t="inlineStr">
        <is>
          <t>Sveaskog</t>
        </is>
      </c>
      <c r="G611" t="n">
        <v>4</v>
      </c>
      <c r="H611" t="n">
        <v>0</v>
      </c>
      <c r="I611" t="n">
        <v>0</v>
      </c>
      <c r="J611" t="n">
        <v>0</v>
      </c>
      <c r="K611" t="n">
        <v>0</v>
      </c>
      <c r="L611" t="n">
        <v>0</v>
      </c>
      <c r="M611" t="n">
        <v>0</v>
      </c>
      <c r="N611" t="n">
        <v>0</v>
      </c>
      <c r="O611" t="n">
        <v>0</v>
      </c>
      <c r="P611" t="n">
        <v>0</v>
      </c>
      <c r="Q611" t="n">
        <v>0</v>
      </c>
      <c r="R611" s="2" t="inlineStr"/>
    </row>
    <row r="612" ht="15" customHeight="1">
      <c r="A612" t="inlineStr">
        <is>
          <t>A 59034-2025</t>
        </is>
      </c>
      <c r="B612" s="1" t="n">
        <v>45988.36243055556</v>
      </c>
      <c r="C612" s="1" t="n">
        <v>46175</v>
      </c>
      <c r="D612" t="inlineStr">
        <is>
          <t>KALMAR LÄN</t>
        </is>
      </c>
      <c r="E612" t="inlineStr">
        <is>
          <t>VIMMERBY</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59068-2025</t>
        </is>
      </c>
      <c r="B613" s="1" t="n">
        <v>45988.41725694444</v>
      </c>
      <c r="C613" s="1" t="n">
        <v>46175</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43594-2024</t>
        </is>
      </c>
      <c r="B614" s="1" t="n">
        <v>45569.44295138889</v>
      </c>
      <c r="C614" s="1" t="n">
        <v>46175</v>
      </c>
      <c r="D614" t="inlineStr">
        <is>
          <t>KALMAR LÄN</t>
        </is>
      </c>
      <c r="E614" t="inlineStr">
        <is>
          <t>VIMMERBY</t>
        </is>
      </c>
      <c r="G614" t="n">
        <v>3.9</v>
      </c>
      <c r="H614" t="n">
        <v>0</v>
      </c>
      <c r="I614" t="n">
        <v>0</v>
      </c>
      <c r="J614" t="n">
        <v>0</v>
      </c>
      <c r="K614" t="n">
        <v>0</v>
      </c>
      <c r="L614" t="n">
        <v>0</v>
      </c>
      <c r="M614" t="n">
        <v>0</v>
      </c>
      <c r="N614" t="n">
        <v>0</v>
      </c>
      <c r="O614" t="n">
        <v>0</v>
      </c>
      <c r="P614" t="n">
        <v>0</v>
      </c>
      <c r="Q614" t="n">
        <v>0</v>
      </c>
      <c r="R614" s="2" t="inlineStr"/>
    </row>
    <row r="615" ht="15" customHeight="1">
      <c r="A615" t="inlineStr">
        <is>
          <t>A 58858-2025</t>
        </is>
      </c>
      <c r="B615" s="1" t="n">
        <v>45987.4243287037</v>
      </c>
      <c r="C615" s="1" t="n">
        <v>46175</v>
      </c>
      <c r="D615" t="inlineStr">
        <is>
          <t>KALMAR LÄN</t>
        </is>
      </c>
      <c r="E615" t="inlineStr">
        <is>
          <t>VIMMERBY</t>
        </is>
      </c>
      <c r="G615" t="n">
        <v>1.2</v>
      </c>
      <c r="H615" t="n">
        <v>0</v>
      </c>
      <c r="I615" t="n">
        <v>0</v>
      </c>
      <c r="J615" t="n">
        <v>0</v>
      </c>
      <c r="K615" t="n">
        <v>0</v>
      </c>
      <c r="L615" t="n">
        <v>0</v>
      </c>
      <c r="M615" t="n">
        <v>0</v>
      </c>
      <c r="N615" t="n">
        <v>0</v>
      </c>
      <c r="O615" t="n">
        <v>0</v>
      </c>
      <c r="P615" t="n">
        <v>0</v>
      </c>
      <c r="Q615" t="n">
        <v>0</v>
      </c>
      <c r="R615" s="2" t="inlineStr"/>
    </row>
    <row r="616" ht="15" customHeight="1">
      <c r="A616" t="inlineStr">
        <is>
          <t>A 59039-2025</t>
        </is>
      </c>
      <c r="B616" s="1" t="n">
        <v>45988.36790509259</v>
      </c>
      <c r="C616" s="1" t="n">
        <v>46175</v>
      </c>
      <c r="D616" t="inlineStr">
        <is>
          <t>KALMAR LÄN</t>
        </is>
      </c>
      <c r="E616" t="inlineStr">
        <is>
          <t>VIMMERBY</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17486-2024</t>
        </is>
      </c>
      <c r="B617" s="1" t="n">
        <v>45415.48979166667</v>
      </c>
      <c r="C617" s="1" t="n">
        <v>46175</v>
      </c>
      <c r="D617" t="inlineStr">
        <is>
          <t>KALMAR LÄN</t>
        </is>
      </c>
      <c r="E617" t="inlineStr">
        <is>
          <t>VIMMERBY</t>
        </is>
      </c>
      <c r="G617" t="n">
        <v>2.6</v>
      </c>
      <c r="H617" t="n">
        <v>0</v>
      </c>
      <c r="I617" t="n">
        <v>0</v>
      </c>
      <c r="J617" t="n">
        <v>0</v>
      </c>
      <c r="K617" t="n">
        <v>0</v>
      </c>
      <c r="L617" t="n">
        <v>0</v>
      </c>
      <c r="M617" t="n">
        <v>0</v>
      </c>
      <c r="N617" t="n">
        <v>0</v>
      </c>
      <c r="O617" t="n">
        <v>0</v>
      </c>
      <c r="P617" t="n">
        <v>0</v>
      </c>
      <c r="Q617" t="n">
        <v>0</v>
      </c>
      <c r="R617" s="2" t="inlineStr"/>
    </row>
    <row r="618" ht="15" customHeight="1">
      <c r="A618" t="inlineStr">
        <is>
          <t>A 14248-2023</t>
        </is>
      </c>
      <c r="B618" s="1" t="n">
        <v>45009</v>
      </c>
      <c r="C618" s="1" t="n">
        <v>46175</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58841-2025</t>
        </is>
      </c>
      <c r="B619" s="1" t="n">
        <v>45987.36275462963</v>
      </c>
      <c r="C619" s="1" t="n">
        <v>46175</v>
      </c>
      <c r="D619" t="inlineStr">
        <is>
          <t>KALMAR LÄN</t>
        </is>
      </c>
      <c r="E619" t="inlineStr">
        <is>
          <t>VIMMERBY</t>
        </is>
      </c>
      <c r="G619" t="n">
        <v>3.5</v>
      </c>
      <c r="H619" t="n">
        <v>0</v>
      </c>
      <c r="I619" t="n">
        <v>0</v>
      </c>
      <c r="J619" t="n">
        <v>0</v>
      </c>
      <c r="K619" t="n">
        <v>0</v>
      </c>
      <c r="L619" t="n">
        <v>0</v>
      </c>
      <c r="M619" t="n">
        <v>0</v>
      </c>
      <c r="N619" t="n">
        <v>0</v>
      </c>
      <c r="O619" t="n">
        <v>0</v>
      </c>
      <c r="P619" t="n">
        <v>0</v>
      </c>
      <c r="Q619" t="n">
        <v>0</v>
      </c>
      <c r="R619" s="2" t="inlineStr"/>
    </row>
    <row r="620" ht="15" customHeight="1">
      <c r="A620" t="inlineStr">
        <is>
          <t>A 30400-2023</t>
        </is>
      </c>
      <c r="B620" s="1" t="n">
        <v>45111.48225694444</v>
      </c>
      <c r="C620" s="1" t="n">
        <v>46175</v>
      </c>
      <c r="D620" t="inlineStr">
        <is>
          <t>KALMAR LÄN</t>
        </is>
      </c>
      <c r="E620" t="inlineStr">
        <is>
          <t>VIMMERBY</t>
        </is>
      </c>
      <c r="G620" t="n">
        <v>2.7</v>
      </c>
      <c r="H620" t="n">
        <v>0</v>
      </c>
      <c r="I620" t="n">
        <v>0</v>
      </c>
      <c r="J620" t="n">
        <v>0</v>
      </c>
      <c r="K620" t="n">
        <v>0</v>
      </c>
      <c r="L620" t="n">
        <v>0</v>
      </c>
      <c r="M620" t="n">
        <v>0</v>
      </c>
      <c r="N620" t="n">
        <v>0</v>
      </c>
      <c r="O620" t="n">
        <v>0</v>
      </c>
      <c r="P620" t="n">
        <v>0</v>
      </c>
      <c r="Q620" t="n">
        <v>0</v>
      </c>
      <c r="R620" s="2" t="inlineStr"/>
    </row>
    <row r="621" ht="15" customHeight="1">
      <c r="A621" t="inlineStr">
        <is>
          <t>A 30404-2023</t>
        </is>
      </c>
      <c r="B621" s="1" t="n">
        <v>45111.48636574074</v>
      </c>
      <c r="C621" s="1" t="n">
        <v>46175</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55123-2024</t>
        </is>
      </c>
      <c r="B622" s="1" t="n">
        <v>45621.46103009259</v>
      </c>
      <c r="C622" s="1" t="n">
        <v>46175</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31405-2023</t>
        </is>
      </c>
      <c r="B623" s="1" t="n">
        <v>45114.58148148148</v>
      </c>
      <c r="C623" s="1" t="n">
        <v>46175</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24707-2024</t>
        </is>
      </c>
      <c r="B624" s="1" t="n">
        <v>45460.62172453704</v>
      </c>
      <c r="C624" s="1" t="n">
        <v>46175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36049-2024</t>
        </is>
      </c>
      <c r="B625" s="1" t="n">
        <v>45533.61996527778</v>
      </c>
      <c r="C625" s="1" t="n">
        <v>46175</v>
      </c>
      <c r="D625" t="inlineStr">
        <is>
          <t>KALMAR LÄN</t>
        </is>
      </c>
      <c r="E625" t="inlineStr">
        <is>
          <t>VIMMERBY</t>
        </is>
      </c>
      <c r="F625" t="inlineStr">
        <is>
          <t>Kommuner</t>
        </is>
      </c>
      <c r="G625" t="n">
        <v>2.6</v>
      </c>
      <c r="H625" t="n">
        <v>0</v>
      </c>
      <c r="I625" t="n">
        <v>0</v>
      </c>
      <c r="J625" t="n">
        <v>0</v>
      </c>
      <c r="K625" t="n">
        <v>0</v>
      </c>
      <c r="L625" t="n">
        <v>0</v>
      </c>
      <c r="M625" t="n">
        <v>0</v>
      </c>
      <c r="N625" t="n">
        <v>0</v>
      </c>
      <c r="O625" t="n">
        <v>0</v>
      </c>
      <c r="P625" t="n">
        <v>0</v>
      </c>
      <c r="Q625" t="n">
        <v>0</v>
      </c>
      <c r="R625" s="2" t="inlineStr"/>
    </row>
    <row r="626" ht="15" customHeight="1">
      <c r="A626" t="inlineStr">
        <is>
          <t>A 59579-2025</t>
        </is>
      </c>
      <c r="B626" s="1" t="n">
        <v>45992.30569444445</v>
      </c>
      <c r="C626" s="1" t="n">
        <v>46175</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60180-2025</t>
        </is>
      </c>
      <c r="B627" s="1" t="n">
        <v>45994.46428240741</v>
      </c>
      <c r="C627" s="1" t="n">
        <v>46175</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60297-2025</t>
        </is>
      </c>
      <c r="B628" s="1" t="n">
        <v>45994</v>
      </c>
      <c r="C628" s="1" t="n">
        <v>46175</v>
      </c>
      <c r="D628" t="inlineStr">
        <is>
          <t>KALMAR LÄN</t>
        </is>
      </c>
      <c r="E628" t="inlineStr">
        <is>
          <t>VIMMERBY</t>
        </is>
      </c>
      <c r="G628" t="n">
        <v>4.2</v>
      </c>
      <c r="H628" t="n">
        <v>0</v>
      </c>
      <c r="I628" t="n">
        <v>0</v>
      </c>
      <c r="J628" t="n">
        <v>0</v>
      </c>
      <c r="K628" t="n">
        <v>0</v>
      </c>
      <c r="L628" t="n">
        <v>0</v>
      </c>
      <c r="M628" t="n">
        <v>0</v>
      </c>
      <c r="N628" t="n">
        <v>0</v>
      </c>
      <c r="O628" t="n">
        <v>0</v>
      </c>
      <c r="P628" t="n">
        <v>0</v>
      </c>
      <c r="Q628" t="n">
        <v>0</v>
      </c>
      <c r="R628" s="2" t="inlineStr"/>
    </row>
    <row r="629" ht="15" customHeight="1">
      <c r="A629" t="inlineStr">
        <is>
          <t>A 58159-2024</t>
        </is>
      </c>
      <c r="B629" s="1" t="n">
        <v>45632.44886574074</v>
      </c>
      <c r="C629" s="1" t="n">
        <v>46175</v>
      </c>
      <c r="D629" t="inlineStr">
        <is>
          <t>KALMAR LÄN</t>
        </is>
      </c>
      <c r="E629" t="inlineStr">
        <is>
          <t>VIMMERBY</t>
        </is>
      </c>
      <c r="G629" t="n">
        <v>7.5</v>
      </c>
      <c r="H629" t="n">
        <v>0</v>
      </c>
      <c r="I629" t="n">
        <v>0</v>
      </c>
      <c r="J629" t="n">
        <v>0</v>
      </c>
      <c r="K629" t="n">
        <v>0</v>
      </c>
      <c r="L629" t="n">
        <v>0</v>
      </c>
      <c r="M629" t="n">
        <v>0</v>
      </c>
      <c r="N629" t="n">
        <v>0</v>
      </c>
      <c r="O629" t="n">
        <v>0</v>
      </c>
      <c r="P629" t="n">
        <v>0</v>
      </c>
      <c r="Q629" t="n">
        <v>0</v>
      </c>
      <c r="R629" s="2" t="inlineStr"/>
    </row>
    <row r="630" ht="15" customHeight="1">
      <c r="A630" t="inlineStr">
        <is>
          <t>A 14359-2025</t>
        </is>
      </c>
      <c r="B630" s="1" t="n">
        <v>45741.37270833334</v>
      </c>
      <c r="C630" s="1" t="n">
        <v>46175</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39578-2024</t>
        </is>
      </c>
      <c r="B631" s="1" t="n">
        <v>45552.36484953704</v>
      </c>
      <c r="C631" s="1" t="n">
        <v>46175</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62779-2023</t>
        </is>
      </c>
      <c r="B632" s="1" t="n">
        <v>45271.66576388889</v>
      </c>
      <c r="C632" s="1" t="n">
        <v>46175</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46399-2024</t>
        </is>
      </c>
      <c r="B633" s="1" t="n">
        <v>45582.41200231481</v>
      </c>
      <c r="C633" s="1" t="n">
        <v>46175</v>
      </c>
      <c r="D633" t="inlineStr">
        <is>
          <t>KALMAR LÄN</t>
        </is>
      </c>
      <c r="E633" t="inlineStr">
        <is>
          <t>VIMMERBY</t>
        </is>
      </c>
      <c r="G633" t="n">
        <v>4.6</v>
      </c>
      <c r="H633" t="n">
        <v>0</v>
      </c>
      <c r="I633" t="n">
        <v>0</v>
      </c>
      <c r="J633" t="n">
        <v>0</v>
      </c>
      <c r="K633" t="n">
        <v>0</v>
      </c>
      <c r="L633" t="n">
        <v>0</v>
      </c>
      <c r="M633" t="n">
        <v>0</v>
      </c>
      <c r="N633" t="n">
        <v>0</v>
      </c>
      <c r="O633" t="n">
        <v>0</v>
      </c>
      <c r="P633" t="n">
        <v>0</v>
      </c>
      <c r="Q633" t="n">
        <v>0</v>
      </c>
      <c r="R633" s="2" t="inlineStr"/>
    </row>
    <row r="634" ht="15" customHeight="1">
      <c r="A634" t="inlineStr">
        <is>
          <t>A 3425-2022</t>
        </is>
      </c>
      <c r="B634" s="1" t="n">
        <v>44585.51060185185</v>
      </c>
      <c r="C634" s="1" t="n">
        <v>46175</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43962-2024</t>
        </is>
      </c>
      <c r="B635" s="1" t="n">
        <v>45572.48293981481</v>
      </c>
      <c r="C635" s="1" t="n">
        <v>46175</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12810-2023</t>
        </is>
      </c>
      <c r="B636" s="1" t="n">
        <v>45001.43854166667</v>
      </c>
      <c r="C636" s="1" t="n">
        <v>46175</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43068-2023</t>
        </is>
      </c>
      <c r="B637" s="1" t="n">
        <v>45182.78834490741</v>
      </c>
      <c r="C637" s="1" t="n">
        <v>46175</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61790-2025</t>
        </is>
      </c>
      <c r="B638" s="1" t="n">
        <v>46002.68768518518</v>
      </c>
      <c r="C638" s="1" t="n">
        <v>46175</v>
      </c>
      <c r="D638" t="inlineStr">
        <is>
          <t>KALMAR LÄN</t>
        </is>
      </c>
      <c r="E638" t="inlineStr">
        <is>
          <t>VIMMERBY</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12075-2024</t>
        </is>
      </c>
      <c r="B639" s="1" t="n">
        <v>45377</v>
      </c>
      <c r="C639" s="1" t="n">
        <v>46175</v>
      </c>
      <c r="D639" t="inlineStr">
        <is>
          <t>KALMAR LÄN</t>
        </is>
      </c>
      <c r="E639" t="inlineStr">
        <is>
          <t>VIMMERBY</t>
        </is>
      </c>
      <c r="G639" t="n">
        <v>3.7</v>
      </c>
      <c r="H639" t="n">
        <v>0</v>
      </c>
      <c r="I639" t="n">
        <v>0</v>
      </c>
      <c r="J639" t="n">
        <v>0</v>
      </c>
      <c r="K639" t="n">
        <v>0</v>
      </c>
      <c r="L639" t="n">
        <v>0</v>
      </c>
      <c r="M639" t="n">
        <v>0</v>
      </c>
      <c r="N639" t="n">
        <v>0</v>
      </c>
      <c r="O639" t="n">
        <v>0</v>
      </c>
      <c r="P639" t="n">
        <v>0</v>
      </c>
      <c r="Q639" t="n">
        <v>0</v>
      </c>
      <c r="R639" s="2" t="inlineStr"/>
    </row>
    <row r="640" ht="15" customHeight="1">
      <c r="A640" t="inlineStr">
        <is>
          <t>A 61726-2025</t>
        </is>
      </c>
      <c r="B640" s="1" t="n">
        <v>46002.58822916666</v>
      </c>
      <c r="C640" s="1" t="n">
        <v>46175</v>
      </c>
      <c r="D640" t="inlineStr">
        <is>
          <t>KALMAR LÄN</t>
        </is>
      </c>
      <c r="E640" t="inlineStr">
        <is>
          <t>VIMMERBY</t>
        </is>
      </c>
      <c r="F640" t="inlineStr">
        <is>
          <t>Sveaskog</t>
        </is>
      </c>
      <c r="G640" t="n">
        <v>0.2</v>
      </c>
      <c r="H640" t="n">
        <v>0</v>
      </c>
      <c r="I640" t="n">
        <v>0</v>
      </c>
      <c r="J640" t="n">
        <v>0</v>
      </c>
      <c r="K640" t="n">
        <v>0</v>
      </c>
      <c r="L640" t="n">
        <v>0</v>
      </c>
      <c r="M640" t="n">
        <v>0</v>
      </c>
      <c r="N640" t="n">
        <v>0</v>
      </c>
      <c r="O640" t="n">
        <v>0</v>
      </c>
      <c r="P640" t="n">
        <v>0</v>
      </c>
      <c r="Q640" t="n">
        <v>0</v>
      </c>
      <c r="R640" s="2" t="inlineStr"/>
    </row>
    <row r="641" ht="15" customHeight="1">
      <c r="A641" t="inlineStr">
        <is>
          <t>A 61725-2025</t>
        </is>
      </c>
      <c r="B641" s="1" t="n">
        <v>46002.58680555555</v>
      </c>
      <c r="C641" s="1" t="n">
        <v>46175</v>
      </c>
      <c r="D641" t="inlineStr">
        <is>
          <t>KALMAR LÄN</t>
        </is>
      </c>
      <c r="E641" t="inlineStr">
        <is>
          <t>VIMMERBY</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1799-2025</t>
        </is>
      </c>
      <c r="B642" s="1" t="n">
        <v>45671.46746527778</v>
      </c>
      <c r="C642" s="1" t="n">
        <v>46175</v>
      </c>
      <c r="D642" t="inlineStr">
        <is>
          <t>KALMAR LÄN</t>
        </is>
      </c>
      <c r="E642" t="inlineStr">
        <is>
          <t>VIMMERBY</t>
        </is>
      </c>
      <c r="G642" t="n">
        <v>3.3</v>
      </c>
      <c r="H642" t="n">
        <v>0</v>
      </c>
      <c r="I642" t="n">
        <v>0</v>
      </c>
      <c r="J642" t="n">
        <v>0</v>
      </c>
      <c r="K642" t="n">
        <v>0</v>
      </c>
      <c r="L642" t="n">
        <v>0</v>
      </c>
      <c r="M642" t="n">
        <v>0</v>
      </c>
      <c r="N642" t="n">
        <v>0</v>
      </c>
      <c r="O642" t="n">
        <v>0</v>
      </c>
      <c r="P642" t="n">
        <v>0</v>
      </c>
      <c r="Q642" t="n">
        <v>0</v>
      </c>
      <c r="R642" s="2" t="inlineStr"/>
    </row>
    <row r="643" ht="15" customHeight="1">
      <c r="A643" t="inlineStr">
        <is>
          <t>A 2462-2022</t>
        </is>
      </c>
      <c r="B643" s="1" t="n">
        <v>44579.62225694444</v>
      </c>
      <c r="C643" s="1" t="n">
        <v>46175</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13015-2022</t>
        </is>
      </c>
      <c r="B644" s="1" t="n">
        <v>44643</v>
      </c>
      <c r="C644" s="1" t="n">
        <v>46175</v>
      </c>
      <c r="D644" t="inlineStr">
        <is>
          <t>KALMAR LÄN</t>
        </is>
      </c>
      <c r="E644" t="inlineStr">
        <is>
          <t>VIMMERBY</t>
        </is>
      </c>
      <c r="G644" t="n">
        <v>2.4</v>
      </c>
      <c r="H644" t="n">
        <v>0</v>
      </c>
      <c r="I644" t="n">
        <v>0</v>
      </c>
      <c r="J644" t="n">
        <v>0</v>
      </c>
      <c r="K644" t="n">
        <v>0</v>
      </c>
      <c r="L644" t="n">
        <v>0</v>
      </c>
      <c r="M644" t="n">
        <v>0</v>
      </c>
      <c r="N644" t="n">
        <v>0</v>
      </c>
      <c r="O644" t="n">
        <v>0</v>
      </c>
      <c r="P644" t="n">
        <v>0</v>
      </c>
      <c r="Q644" t="n">
        <v>0</v>
      </c>
      <c r="R644" s="2" t="inlineStr"/>
    </row>
    <row r="645" ht="15" customHeight="1">
      <c r="A645" t="inlineStr">
        <is>
          <t>A 4624-2024</t>
        </is>
      </c>
      <c r="B645" s="1" t="n">
        <v>45328.38755787037</v>
      </c>
      <c r="C645" s="1" t="n">
        <v>46175</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9129-2025</t>
        </is>
      </c>
      <c r="B646" s="1" t="n">
        <v>45713.92412037037</v>
      </c>
      <c r="C646" s="1" t="n">
        <v>46175</v>
      </c>
      <c r="D646" t="inlineStr">
        <is>
          <t>KALMAR LÄN</t>
        </is>
      </c>
      <c r="E646" t="inlineStr">
        <is>
          <t>VIMMERBY</t>
        </is>
      </c>
      <c r="G646" t="n">
        <v>2.8</v>
      </c>
      <c r="H646" t="n">
        <v>0</v>
      </c>
      <c r="I646" t="n">
        <v>0</v>
      </c>
      <c r="J646" t="n">
        <v>0</v>
      </c>
      <c r="K646" t="n">
        <v>0</v>
      </c>
      <c r="L646" t="n">
        <v>0</v>
      </c>
      <c r="M646" t="n">
        <v>0</v>
      </c>
      <c r="N646" t="n">
        <v>0</v>
      </c>
      <c r="O646" t="n">
        <v>0</v>
      </c>
      <c r="P646" t="n">
        <v>0</v>
      </c>
      <c r="Q646" t="n">
        <v>0</v>
      </c>
      <c r="R646" s="2" t="inlineStr"/>
    </row>
    <row r="647" ht="15" customHeight="1">
      <c r="A647" t="inlineStr">
        <is>
          <t>A 22643-2023</t>
        </is>
      </c>
      <c r="B647" s="1" t="n">
        <v>45071</v>
      </c>
      <c r="C647" s="1" t="n">
        <v>46175</v>
      </c>
      <c r="D647" t="inlineStr">
        <is>
          <t>KALMAR LÄN</t>
        </is>
      </c>
      <c r="E647" t="inlineStr">
        <is>
          <t>VIMMERBY</t>
        </is>
      </c>
      <c r="G647" t="n">
        <v>3.9</v>
      </c>
      <c r="H647" t="n">
        <v>0</v>
      </c>
      <c r="I647" t="n">
        <v>0</v>
      </c>
      <c r="J647" t="n">
        <v>0</v>
      </c>
      <c r="K647" t="n">
        <v>0</v>
      </c>
      <c r="L647" t="n">
        <v>0</v>
      </c>
      <c r="M647" t="n">
        <v>0</v>
      </c>
      <c r="N647" t="n">
        <v>0</v>
      </c>
      <c r="O647" t="n">
        <v>0</v>
      </c>
      <c r="P647" t="n">
        <v>0</v>
      </c>
      <c r="Q647" t="n">
        <v>0</v>
      </c>
      <c r="R647" s="2" t="inlineStr"/>
    </row>
    <row r="648" ht="15" customHeight="1">
      <c r="A648" t="inlineStr">
        <is>
          <t>A 61937-2025</t>
        </is>
      </c>
      <c r="B648" s="1" t="n">
        <v>46003</v>
      </c>
      <c r="C648" s="1" t="n">
        <v>46175</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63711-2025</t>
        </is>
      </c>
      <c r="B649" s="1" t="n">
        <v>46014.62724537037</v>
      </c>
      <c r="C649" s="1" t="n">
        <v>46175</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34597-2022</t>
        </is>
      </c>
      <c r="B650" s="1" t="n">
        <v>44795</v>
      </c>
      <c r="C650" s="1" t="n">
        <v>46175</v>
      </c>
      <c r="D650" t="inlineStr">
        <is>
          <t>KALMAR LÄN</t>
        </is>
      </c>
      <c r="E650" t="inlineStr">
        <is>
          <t>VIMMERBY</t>
        </is>
      </c>
      <c r="G650" t="n">
        <v>2.2</v>
      </c>
      <c r="H650" t="n">
        <v>0</v>
      </c>
      <c r="I650" t="n">
        <v>0</v>
      </c>
      <c r="J650" t="n">
        <v>0</v>
      </c>
      <c r="K650" t="n">
        <v>0</v>
      </c>
      <c r="L650" t="n">
        <v>0</v>
      </c>
      <c r="M650" t="n">
        <v>0</v>
      </c>
      <c r="N650" t="n">
        <v>0</v>
      </c>
      <c r="O650" t="n">
        <v>0</v>
      </c>
      <c r="P650" t="n">
        <v>0</v>
      </c>
      <c r="Q650" t="n">
        <v>0</v>
      </c>
      <c r="R650" s="2" t="inlineStr"/>
    </row>
    <row r="651" ht="15" customHeight="1">
      <c r="A651" t="inlineStr">
        <is>
          <t>A 40079-2023</t>
        </is>
      </c>
      <c r="B651" s="1" t="n">
        <v>45168.89298611111</v>
      </c>
      <c r="C651" s="1" t="n">
        <v>46175</v>
      </c>
      <c r="D651" t="inlineStr">
        <is>
          <t>KALMAR LÄN</t>
        </is>
      </c>
      <c r="E651" t="inlineStr">
        <is>
          <t>VIMMERBY</t>
        </is>
      </c>
      <c r="G651" t="n">
        <v>1.2</v>
      </c>
      <c r="H651" t="n">
        <v>0</v>
      </c>
      <c r="I651" t="n">
        <v>0</v>
      </c>
      <c r="J651" t="n">
        <v>0</v>
      </c>
      <c r="K651" t="n">
        <v>0</v>
      </c>
      <c r="L651" t="n">
        <v>0</v>
      </c>
      <c r="M651" t="n">
        <v>0</v>
      </c>
      <c r="N651" t="n">
        <v>0</v>
      </c>
      <c r="O651" t="n">
        <v>0</v>
      </c>
      <c r="P651" t="n">
        <v>0</v>
      </c>
      <c r="Q651" t="n">
        <v>0</v>
      </c>
      <c r="R651" s="2" t="inlineStr"/>
    </row>
    <row r="652" ht="15" customHeight="1">
      <c r="A652" t="inlineStr">
        <is>
          <t>A 19833-2023</t>
        </is>
      </c>
      <c r="B652" s="1" t="n">
        <v>45052</v>
      </c>
      <c r="C652" s="1" t="n">
        <v>46175</v>
      </c>
      <c r="D652" t="inlineStr">
        <is>
          <t>KALMAR LÄN</t>
        </is>
      </c>
      <c r="E652" t="inlineStr">
        <is>
          <t>VIMMERBY</t>
        </is>
      </c>
      <c r="G652" t="n">
        <v>6.7</v>
      </c>
      <c r="H652" t="n">
        <v>0</v>
      </c>
      <c r="I652" t="n">
        <v>0</v>
      </c>
      <c r="J652" t="n">
        <v>0</v>
      </c>
      <c r="K652" t="n">
        <v>0</v>
      </c>
      <c r="L652" t="n">
        <v>0</v>
      </c>
      <c r="M652" t="n">
        <v>0</v>
      </c>
      <c r="N652" t="n">
        <v>0</v>
      </c>
      <c r="O652" t="n">
        <v>0</v>
      </c>
      <c r="P652" t="n">
        <v>0</v>
      </c>
      <c r="Q652" t="n">
        <v>0</v>
      </c>
      <c r="R652" s="2" t="inlineStr"/>
    </row>
    <row r="653" ht="15" customHeight="1">
      <c r="A653" t="inlineStr">
        <is>
          <t>A 63845-2025</t>
        </is>
      </c>
      <c r="B653" s="1" t="n">
        <v>46020.43715277778</v>
      </c>
      <c r="C653" s="1" t="n">
        <v>46175</v>
      </c>
      <c r="D653" t="inlineStr">
        <is>
          <t>KALMAR LÄN</t>
        </is>
      </c>
      <c r="E653" t="inlineStr">
        <is>
          <t>VIMMERBY</t>
        </is>
      </c>
      <c r="G653" t="n">
        <v>3.8</v>
      </c>
      <c r="H653" t="n">
        <v>0</v>
      </c>
      <c r="I653" t="n">
        <v>0</v>
      </c>
      <c r="J653" t="n">
        <v>0</v>
      </c>
      <c r="K653" t="n">
        <v>0</v>
      </c>
      <c r="L653" t="n">
        <v>0</v>
      </c>
      <c r="M653" t="n">
        <v>0</v>
      </c>
      <c r="N653" t="n">
        <v>0</v>
      </c>
      <c r="O653" t="n">
        <v>0</v>
      </c>
      <c r="P653" t="n">
        <v>0</v>
      </c>
      <c r="Q653" t="n">
        <v>0</v>
      </c>
      <c r="R653" s="2" t="inlineStr"/>
    </row>
    <row r="654" ht="15" customHeight="1">
      <c r="A654" t="inlineStr">
        <is>
          <t>A 63848-2025</t>
        </is>
      </c>
      <c r="B654" s="1" t="n">
        <v>46020.44902777778</v>
      </c>
      <c r="C654" s="1" t="n">
        <v>46175</v>
      </c>
      <c r="D654" t="inlineStr">
        <is>
          <t>KALMAR LÄN</t>
        </is>
      </c>
      <c r="E654" t="inlineStr">
        <is>
          <t>VIMMERBY</t>
        </is>
      </c>
      <c r="G654" t="n">
        <v>3.4</v>
      </c>
      <c r="H654" t="n">
        <v>0</v>
      </c>
      <c r="I654" t="n">
        <v>0</v>
      </c>
      <c r="J654" t="n">
        <v>0</v>
      </c>
      <c r="K654" t="n">
        <v>0</v>
      </c>
      <c r="L654" t="n">
        <v>0</v>
      </c>
      <c r="M654" t="n">
        <v>0</v>
      </c>
      <c r="N654" t="n">
        <v>0</v>
      </c>
      <c r="O654" t="n">
        <v>0</v>
      </c>
      <c r="P654" t="n">
        <v>0</v>
      </c>
      <c r="Q654" t="n">
        <v>0</v>
      </c>
      <c r="R654" s="2" t="inlineStr"/>
    </row>
    <row r="655" ht="15" customHeight="1">
      <c r="A655" t="inlineStr">
        <is>
          <t>A 63758-2025</t>
        </is>
      </c>
      <c r="B655" s="1" t="n">
        <v>46018.46483796297</v>
      </c>
      <c r="C655" s="1" t="n">
        <v>46175</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63839-2025</t>
        </is>
      </c>
      <c r="B656" s="1" t="n">
        <v>46020.41998842593</v>
      </c>
      <c r="C656" s="1" t="n">
        <v>46175</v>
      </c>
      <c r="D656" t="inlineStr">
        <is>
          <t>KALMAR LÄN</t>
        </is>
      </c>
      <c r="E656" t="inlineStr">
        <is>
          <t>VIMMERBY</t>
        </is>
      </c>
      <c r="G656" t="n">
        <v>2.9</v>
      </c>
      <c r="H656" t="n">
        <v>0</v>
      </c>
      <c r="I656" t="n">
        <v>0</v>
      </c>
      <c r="J656" t="n">
        <v>0</v>
      </c>
      <c r="K656" t="n">
        <v>0</v>
      </c>
      <c r="L656" t="n">
        <v>0</v>
      </c>
      <c r="M656" t="n">
        <v>0</v>
      </c>
      <c r="N656" t="n">
        <v>0</v>
      </c>
      <c r="O656" t="n">
        <v>0</v>
      </c>
      <c r="P656" t="n">
        <v>0</v>
      </c>
      <c r="Q656" t="n">
        <v>0</v>
      </c>
      <c r="R656" s="2" t="inlineStr"/>
    </row>
    <row r="657" ht="15" customHeight="1">
      <c r="A657" t="inlineStr">
        <is>
          <t>A 63762-2025</t>
        </is>
      </c>
      <c r="B657" s="1" t="n">
        <v>46018.67197916667</v>
      </c>
      <c r="C657" s="1" t="n">
        <v>46175</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17084-2025</t>
        </is>
      </c>
      <c r="B658" s="1" t="n">
        <v>45755.64450231481</v>
      </c>
      <c r="C658" s="1" t="n">
        <v>46175</v>
      </c>
      <c r="D658" t="inlineStr">
        <is>
          <t>KALMAR LÄN</t>
        </is>
      </c>
      <c r="E658" t="inlineStr">
        <is>
          <t>VIMMERBY</t>
        </is>
      </c>
      <c r="G658" t="n">
        <v>1.4</v>
      </c>
      <c r="H658" t="n">
        <v>0</v>
      </c>
      <c r="I658" t="n">
        <v>0</v>
      </c>
      <c r="J658" t="n">
        <v>0</v>
      </c>
      <c r="K658" t="n">
        <v>0</v>
      </c>
      <c r="L658" t="n">
        <v>0</v>
      </c>
      <c r="M658" t="n">
        <v>0</v>
      </c>
      <c r="N658" t="n">
        <v>0</v>
      </c>
      <c r="O658" t="n">
        <v>0</v>
      </c>
      <c r="P658" t="n">
        <v>0</v>
      </c>
      <c r="Q658" t="n">
        <v>0</v>
      </c>
      <c r="R658" s="2" t="inlineStr"/>
    </row>
    <row r="659" ht="15" customHeight="1">
      <c r="A659" t="inlineStr">
        <is>
          <t>A 56022-2024</t>
        </is>
      </c>
      <c r="B659" s="1" t="n">
        <v>45623.95947916667</v>
      </c>
      <c r="C659" s="1" t="n">
        <v>46175</v>
      </c>
      <c r="D659" t="inlineStr">
        <is>
          <t>KALMAR LÄN</t>
        </is>
      </c>
      <c r="E659" t="inlineStr">
        <is>
          <t>VIMMERBY</t>
        </is>
      </c>
      <c r="G659" t="n">
        <v>0.3</v>
      </c>
      <c r="H659" t="n">
        <v>0</v>
      </c>
      <c r="I659" t="n">
        <v>0</v>
      </c>
      <c r="J659" t="n">
        <v>0</v>
      </c>
      <c r="K659" t="n">
        <v>0</v>
      </c>
      <c r="L659" t="n">
        <v>0</v>
      </c>
      <c r="M659" t="n">
        <v>0</v>
      </c>
      <c r="N659" t="n">
        <v>0</v>
      </c>
      <c r="O659" t="n">
        <v>0</v>
      </c>
      <c r="P659" t="n">
        <v>0</v>
      </c>
      <c r="Q659" t="n">
        <v>0</v>
      </c>
      <c r="R659" s="2" t="inlineStr"/>
    </row>
    <row r="660" ht="15" customHeight="1">
      <c r="A660" t="inlineStr">
        <is>
          <t>A 11928-2022</t>
        </is>
      </c>
      <c r="B660" s="1" t="n">
        <v>44635</v>
      </c>
      <c r="C660" s="1" t="n">
        <v>46175</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409-2026</t>
        </is>
      </c>
      <c r="B661" s="1" t="n">
        <v>46028.69432870371</v>
      </c>
      <c r="C661" s="1" t="n">
        <v>46175</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5527-2022</t>
        </is>
      </c>
      <c r="B662" s="1" t="n">
        <v>44595.583125</v>
      </c>
      <c r="C662" s="1" t="n">
        <v>46175</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406-2026</t>
        </is>
      </c>
      <c r="B663" s="1" t="n">
        <v>46028.68663194445</v>
      </c>
      <c r="C663" s="1" t="n">
        <v>46175</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579-2026</t>
        </is>
      </c>
      <c r="B664" s="1" t="n">
        <v>46029.47912037037</v>
      </c>
      <c r="C664" s="1" t="n">
        <v>46175</v>
      </c>
      <c r="D664" t="inlineStr">
        <is>
          <t>KALMAR LÄN</t>
        </is>
      </c>
      <c r="E664" t="inlineStr">
        <is>
          <t>VIMMERBY</t>
        </is>
      </c>
      <c r="G664" t="n">
        <v>3</v>
      </c>
      <c r="H664" t="n">
        <v>0</v>
      </c>
      <c r="I664" t="n">
        <v>0</v>
      </c>
      <c r="J664" t="n">
        <v>0</v>
      </c>
      <c r="K664" t="n">
        <v>0</v>
      </c>
      <c r="L664" t="n">
        <v>0</v>
      </c>
      <c r="M664" t="n">
        <v>0</v>
      </c>
      <c r="N664" t="n">
        <v>0</v>
      </c>
      <c r="O664" t="n">
        <v>0</v>
      </c>
      <c r="P664" t="n">
        <v>0</v>
      </c>
      <c r="Q664" t="n">
        <v>0</v>
      </c>
      <c r="R664" s="2" t="inlineStr"/>
    </row>
    <row r="665" ht="15" customHeight="1">
      <c r="A665" t="inlineStr">
        <is>
          <t>A 49461-2023</t>
        </is>
      </c>
      <c r="B665" s="1" t="n">
        <v>45211.52642361111</v>
      </c>
      <c r="C665" s="1" t="n">
        <v>46175</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49474-2023</t>
        </is>
      </c>
      <c r="B666" s="1" t="n">
        <v>45211.541875</v>
      </c>
      <c r="C666" s="1" t="n">
        <v>46175</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61861-2024</t>
        </is>
      </c>
      <c r="B667" s="1" t="n">
        <v>45650.37370370371</v>
      </c>
      <c r="C667" s="1" t="n">
        <v>46175</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842-2026</t>
        </is>
      </c>
      <c r="B668" s="1" t="n">
        <v>46030.380625</v>
      </c>
      <c r="C668" s="1" t="n">
        <v>46175</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45846-2023</t>
        </is>
      </c>
      <c r="B669" s="1" t="n">
        <v>45195.58452546296</v>
      </c>
      <c r="C669" s="1" t="n">
        <v>46175</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1069-2026</t>
        </is>
      </c>
      <c r="B670" s="1" t="n">
        <v>46030</v>
      </c>
      <c r="C670" s="1" t="n">
        <v>46175</v>
      </c>
      <c r="D670" t="inlineStr">
        <is>
          <t>KALMAR LÄN</t>
        </is>
      </c>
      <c r="E670" t="inlineStr">
        <is>
          <t>VIMMERBY</t>
        </is>
      </c>
      <c r="G670" t="n">
        <v>3.3</v>
      </c>
      <c r="H670" t="n">
        <v>0</v>
      </c>
      <c r="I670" t="n">
        <v>0</v>
      </c>
      <c r="J670" t="n">
        <v>0</v>
      </c>
      <c r="K670" t="n">
        <v>0</v>
      </c>
      <c r="L670" t="n">
        <v>0</v>
      </c>
      <c r="M670" t="n">
        <v>0</v>
      </c>
      <c r="N670" t="n">
        <v>0</v>
      </c>
      <c r="O670" t="n">
        <v>0</v>
      </c>
      <c r="P670" t="n">
        <v>0</v>
      </c>
      <c r="Q670" t="n">
        <v>0</v>
      </c>
      <c r="R670" s="2" t="inlineStr"/>
    </row>
    <row r="671" ht="15" customHeight="1">
      <c r="A671" t="inlineStr">
        <is>
          <t>A 8167-2024</t>
        </is>
      </c>
      <c r="B671" s="1" t="n">
        <v>45351.6062962963</v>
      </c>
      <c r="C671" s="1" t="n">
        <v>46175</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49382-2023</t>
        </is>
      </c>
      <c r="B672" s="1" t="n">
        <v>45208</v>
      </c>
      <c r="C672" s="1" t="n">
        <v>46175</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12121-2025</t>
        </is>
      </c>
      <c r="B673" s="1" t="n">
        <v>45729.36868055556</v>
      </c>
      <c r="C673" s="1" t="n">
        <v>46175</v>
      </c>
      <c r="D673" t="inlineStr">
        <is>
          <t>KALMAR LÄN</t>
        </is>
      </c>
      <c r="E673" t="inlineStr">
        <is>
          <t>VIMMERBY</t>
        </is>
      </c>
      <c r="G673" t="n">
        <v>4.3</v>
      </c>
      <c r="H673" t="n">
        <v>0</v>
      </c>
      <c r="I673" t="n">
        <v>0</v>
      </c>
      <c r="J673" t="n">
        <v>0</v>
      </c>
      <c r="K673" t="n">
        <v>0</v>
      </c>
      <c r="L673" t="n">
        <v>0</v>
      </c>
      <c r="M673" t="n">
        <v>0</v>
      </c>
      <c r="N673" t="n">
        <v>0</v>
      </c>
      <c r="O673" t="n">
        <v>0</v>
      </c>
      <c r="P673" t="n">
        <v>0</v>
      </c>
      <c r="Q673" t="n">
        <v>0</v>
      </c>
      <c r="R673" s="2" t="inlineStr"/>
    </row>
    <row r="674" ht="15" customHeight="1">
      <c r="A674" t="inlineStr">
        <is>
          <t>A 35846-2023</t>
        </is>
      </c>
      <c r="B674" s="1" t="n">
        <v>45148</v>
      </c>
      <c r="C674" s="1" t="n">
        <v>46175</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35913-2023</t>
        </is>
      </c>
      <c r="B675" s="1" t="n">
        <v>45148</v>
      </c>
      <c r="C675" s="1" t="n">
        <v>46175</v>
      </c>
      <c r="D675" t="inlineStr">
        <is>
          <t>KALMAR LÄN</t>
        </is>
      </c>
      <c r="E675" t="inlineStr">
        <is>
          <t>VIMMERBY</t>
        </is>
      </c>
      <c r="G675" t="n">
        <v>6.9</v>
      </c>
      <c r="H675" t="n">
        <v>0</v>
      </c>
      <c r="I675" t="n">
        <v>0</v>
      </c>
      <c r="J675" t="n">
        <v>0</v>
      </c>
      <c r="K675" t="n">
        <v>0</v>
      </c>
      <c r="L675" t="n">
        <v>0</v>
      </c>
      <c r="M675" t="n">
        <v>0</v>
      </c>
      <c r="N675" t="n">
        <v>0</v>
      </c>
      <c r="O675" t="n">
        <v>0</v>
      </c>
      <c r="P675" t="n">
        <v>0</v>
      </c>
      <c r="Q675" t="n">
        <v>0</v>
      </c>
      <c r="R675" s="2" t="inlineStr"/>
    </row>
    <row r="676" ht="15" customHeight="1">
      <c r="A676" t="inlineStr">
        <is>
          <t>A 1734-2026</t>
        </is>
      </c>
      <c r="B676" s="1" t="n">
        <v>46034</v>
      </c>
      <c r="C676" s="1" t="n">
        <v>46175</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1743-2026</t>
        </is>
      </c>
      <c r="B677" s="1" t="n">
        <v>46034</v>
      </c>
      <c r="C677" s="1" t="n">
        <v>46175</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38757-2023</t>
        </is>
      </c>
      <c r="B678" s="1" t="n">
        <v>45163.41376157408</v>
      </c>
      <c r="C678" s="1" t="n">
        <v>46175</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20136-2024</t>
        </is>
      </c>
      <c r="B679" s="1" t="n">
        <v>45434.56291666667</v>
      </c>
      <c r="C679" s="1" t="n">
        <v>46175</v>
      </c>
      <c r="D679" t="inlineStr">
        <is>
          <t>KALMAR LÄN</t>
        </is>
      </c>
      <c r="E679" t="inlineStr">
        <is>
          <t>VIMMERBY</t>
        </is>
      </c>
      <c r="F679" t="inlineStr">
        <is>
          <t>Sveaskog</t>
        </is>
      </c>
      <c r="G679" t="n">
        <v>8.4</v>
      </c>
      <c r="H679" t="n">
        <v>0</v>
      </c>
      <c r="I679" t="n">
        <v>0</v>
      </c>
      <c r="J679" t="n">
        <v>0</v>
      </c>
      <c r="K679" t="n">
        <v>0</v>
      </c>
      <c r="L679" t="n">
        <v>0</v>
      </c>
      <c r="M679" t="n">
        <v>0</v>
      </c>
      <c r="N679" t="n">
        <v>0</v>
      </c>
      <c r="O679" t="n">
        <v>0</v>
      </c>
      <c r="P679" t="n">
        <v>0</v>
      </c>
      <c r="Q679" t="n">
        <v>0</v>
      </c>
      <c r="R679" s="2" t="inlineStr"/>
    </row>
    <row r="680" ht="15" customHeight="1">
      <c r="A680" t="inlineStr">
        <is>
          <t>A 24283-2023</t>
        </is>
      </c>
      <c r="B680" s="1" t="n">
        <v>45079.87827546296</v>
      </c>
      <c r="C680" s="1" t="n">
        <v>46175</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1748-2026</t>
        </is>
      </c>
      <c r="B681" s="1" t="n">
        <v>46034.65589120371</v>
      </c>
      <c r="C681" s="1" t="n">
        <v>46175</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1862-2026</t>
        </is>
      </c>
      <c r="B682" s="1" t="n">
        <v>46035.44689814815</v>
      </c>
      <c r="C682" s="1" t="n">
        <v>46175</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59598-2023</t>
        </is>
      </c>
      <c r="B683" s="1" t="n">
        <v>45254.62489583333</v>
      </c>
      <c r="C683" s="1" t="n">
        <v>46175</v>
      </c>
      <c r="D683" t="inlineStr">
        <is>
          <t>KALMAR LÄN</t>
        </is>
      </c>
      <c r="E683" t="inlineStr">
        <is>
          <t>VIMMERBY</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30920-2023</t>
        </is>
      </c>
      <c r="B684" s="1" t="n">
        <v>45113.43921296296</v>
      </c>
      <c r="C684" s="1" t="n">
        <v>46175</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2523-2026</t>
        </is>
      </c>
      <c r="B685" s="1" t="n">
        <v>46037.42825231481</v>
      </c>
      <c r="C685" s="1" t="n">
        <v>46175</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40929-2022</t>
        </is>
      </c>
      <c r="B686" s="1" t="n">
        <v>44825.4336574074</v>
      </c>
      <c r="C686" s="1" t="n">
        <v>46175</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2514-2026</t>
        </is>
      </c>
      <c r="B687" s="1" t="n">
        <v>46037.42219907408</v>
      </c>
      <c r="C687" s="1" t="n">
        <v>46175</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2518-2026</t>
        </is>
      </c>
      <c r="B688" s="1" t="n">
        <v>46037.42511574074</v>
      </c>
      <c r="C688" s="1" t="n">
        <v>46175</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33380-2023</t>
        </is>
      </c>
      <c r="B689" s="1" t="n">
        <v>45128</v>
      </c>
      <c r="C689" s="1" t="n">
        <v>46175</v>
      </c>
      <c r="D689" t="inlineStr">
        <is>
          <t>KALMAR LÄN</t>
        </is>
      </c>
      <c r="E689" t="inlineStr">
        <is>
          <t>VIMMERBY</t>
        </is>
      </c>
      <c r="G689" t="n">
        <v>5.2</v>
      </c>
      <c r="H689" t="n">
        <v>0</v>
      </c>
      <c r="I689" t="n">
        <v>0</v>
      </c>
      <c r="J689" t="n">
        <v>0</v>
      </c>
      <c r="K689" t="n">
        <v>0</v>
      </c>
      <c r="L689" t="n">
        <v>0</v>
      </c>
      <c r="M689" t="n">
        <v>0</v>
      </c>
      <c r="N689" t="n">
        <v>0</v>
      </c>
      <c r="O689" t="n">
        <v>0</v>
      </c>
      <c r="P689" t="n">
        <v>0</v>
      </c>
      <c r="Q689" t="n">
        <v>0</v>
      </c>
      <c r="R689" s="2" t="inlineStr"/>
    </row>
    <row r="690" ht="15" customHeight="1">
      <c r="A690" t="inlineStr">
        <is>
          <t>A 46144-2023</t>
        </is>
      </c>
      <c r="B690" s="1" t="n">
        <v>45196.57247685185</v>
      </c>
      <c r="C690" s="1" t="n">
        <v>46175</v>
      </c>
      <c r="D690" t="inlineStr">
        <is>
          <t>KALMAR LÄN</t>
        </is>
      </c>
      <c r="E690" t="inlineStr">
        <is>
          <t>VIMMERBY</t>
        </is>
      </c>
      <c r="G690" t="n">
        <v>6.5</v>
      </c>
      <c r="H690" t="n">
        <v>0</v>
      </c>
      <c r="I690" t="n">
        <v>0</v>
      </c>
      <c r="J690" t="n">
        <v>0</v>
      </c>
      <c r="K690" t="n">
        <v>0</v>
      </c>
      <c r="L690" t="n">
        <v>0</v>
      </c>
      <c r="M690" t="n">
        <v>0</v>
      </c>
      <c r="N690" t="n">
        <v>0</v>
      </c>
      <c r="O690" t="n">
        <v>0</v>
      </c>
      <c r="P690" t="n">
        <v>0</v>
      </c>
      <c r="Q690" t="n">
        <v>0</v>
      </c>
      <c r="R690" s="2" t="inlineStr"/>
    </row>
    <row r="691" ht="15" customHeight="1">
      <c r="A691" t="inlineStr">
        <is>
          <t>A 54787-2023</t>
        </is>
      </c>
      <c r="B691" s="1" t="n">
        <v>45236</v>
      </c>
      <c r="C691" s="1" t="n">
        <v>46175</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15715-2022</t>
        </is>
      </c>
      <c r="B692" s="1" t="n">
        <v>44663</v>
      </c>
      <c r="C692" s="1" t="n">
        <v>46175</v>
      </c>
      <c r="D692" t="inlineStr">
        <is>
          <t>KALMAR LÄN</t>
        </is>
      </c>
      <c r="E692" t="inlineStr">
        <is>
          <t>VIMMERBY</t>
        </is>
      </c>
      <c r="G692" t="n">
        <v>2.3</v>
      </c>
      <c r="H692" t="n">
        <v>0</v>
      </c>
      <c r="I692" t="n">
        <v>0</v>
      </c>
      <c r="J692" t="n">
        <v>0</v>
      </c>
      <c r="K692" t="n">
        <v>0</v>
      </c>
      <c r="L692" t="n">
        <v>0</v>
      </c>
      <c r="M692" t="n">
        <v>0</v>
      </c>
      <c r="N692" t="n">
        <v>0</v>
      </c>
      <c r="O692" t="n">
        <v>0</v>
      </c>
      <c r="P692" t="n">
        <v>0</v>
      </c>
      <c r="Q692" t="n">
        <v>0</v>
      </c>
      <c r="R692" s="2" t="inlineStr"/>
    </row>
    <row r="693" ht="15" customHeight="1">
      <c r="A693" t="inlineStr">
        <is>
          <t>A 3266-2026</t>
        </is>
      </c>
      <c r="B693" s="1" t="n">
        <v>46041</v>
      </c>
      <c r="C693" s="1" t="n">
        <v>46175</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43774-2023</t>
        </is>
      </c>
      <c r="B694" s="1" t="n">
        <v>45187</v>
      </c>
      <c r="C694" s="1" t="n">
        <v>46175</v>
      </c>
      <c r="D694" t="inlineStr">
        <is>
          <t>KALMAR LÄN</t>
        </is>
      </c>
      <c r="E694" t="inlineStr">
        <is>
          <t>VIMMERBY</t>
        </is>
      </c>
      <c r="G694" t="n">
        <v>3.4</v>
      </c>
      <c r="H694" t="n">
        <v>0</v>
      </c>
      <c r="I694" t="n">
        <v>0</v>
      </c>
      <c r="J694" t="n">
        <v>0</v>
      </c>
      <c r="K694" t="n">
        <v>0</v>
      </c>
      <c r="L694" t="n">
        <v>0</v>
      </c>
      <c r="M694" t="n">
        <v>0</v>
      </c>
      <c r="N694" t="n">
        <v>0</v>
      </c>
      <c r="O694" t="n">
        <v>0</v>
      </c>
      <c r="P694" t="n">
        <v>0</v>
      </c>
      <c r="Q694" t="n">
        <v>0</v>
      </c>
      <c r="R694" s="2" t="inlineStr"/>
    </row>
    <row r="695" ht="15" customHeight="1">
      <c r="A695" t="inlineStr">
        <is>
          <t>A 43705-2023</t>
        </is>
      </c>
      <c r="B695" s="1" t="n">
        <v>45187.42854166667</v>
      </c>
      <c r="C695" s="1" t="n">
        <v>46175</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7932-2025</t>
        </is>
      </c>
      <c r="B696" s="1" t="n">
        <v>45707.3793287037</v>
      </c>
      <c r="C696" s="1" t="n">
        <v>46175</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3292-2026</t>
        </is>
      </c>
      <c r="B697" s="1" t="n">
        <v>46041</v>
      </c>
      <c r="C697" s="1" t="n">
        <v>46175</v>
      </c>
      <c r="D697" t="inlineStr">
        <is>
          <t>KALMAR LÄN</t>
        </is>
      </c>
      <c r="E697" t="inlineStr">
        <is>
          <t>VIMMERBY</t>
        </is>
      </c>
      <c r="G697" t="n">
        <v>3.9</v>
      </c>
      <c r="H697" t="n">
        <v>0</v>
      </c>
      <c r="I697" t="n">
        <v>0</v>
      </c>
      <c r="J697" t="n">
        <v>0</v>
      </c>
      <c r="K697" t="n">
        <v>0</v>
      </c>
      <c r="L697" t="n">
        <v>0</v>
      </c>
      <c r="M697" t="n">
        <v>0</v>
      </c>
      <c r="N697" t="n">
        <v>0</v>
      </c>
      <c r="O697" t="n">
        <v>0</v>
      </c>
      <c r="P697" t="n">
        <v>0</v>
      </c>
      <c r="Q697" t="n">
        <v>0</v>
      </c>
      <c r="R697" s="2" t="inlineStr"/>
    </row>
    <row r="698" ht="15" customHeight="1">
      <c r="A698" t="inlineStr">
        <is>
          <t>A 13532-2025</t>
        </is>
      </c>
      <c r="B698" s="1" t="n">
        <v>45736.50743055555</v>
      </c>
      <c r="C698" s="1" t="n">
        <v>46175</v>
      </c>
      <c r="D698" t="inlineStr">
        <is>
          <t>KALMAR LÄN</t>
        </is>
      </c>
      <c r="E698" t="inlineStr">
        <is>
          <t>VIMMERBY</t>
        </is>
      </c>
      <c r="G698" t="n">
        <v>3.6</v>
      </c>
      <c r="H698" t="n">
        <v>0</v>
      </c>
      <c r="I698" t="n">
        <v>0</v>
      </c>
      <c r="J698" t="n">
        <v>0</v>
      </c>
      <c r="K698" t="n">
        <v>0</v>
      </c>
      <c r="L698" t="n">
        <v>0</v>
      </c>
      <c r="M698" t="n">
        <v>0</v>
      </c>
      <c r="N698" t="n">
        <v>0</v>
      </c>
      <c r="O698" t="n">
        <v>0</v>
      </c>
      <c r="P698" t="n">
        <v>0</v>
      </c>
      <c r="Q698" t="n">
        <v>0</v>
      </c>
      <c r="R698" s="2" t="inlineStr"/>
    </row>
    <row r="699" ht="15" customHeight="1">
      <c r="A699" t="inlineStr">
        <is>
          <t>A 3965-2026</t>
        </is>
      </c>
      <c r="B699" s="1" t="n">
        <v>46044.34563657407</v>
      </c>
      <c r="C699" s="1" t="n">
        <v>46175</v>
      </c>
      <c r="D699" t="inlineStr">
        <is>
          <t>KALMAR LÄN</t>
        </is>
      </c>
      <c r="E699" t="inlineStr">
        <is>
          <t>VIMMERBY</t>
        </is>
      </c>
      <c r="G699" t="n">
        <v>2.6</v>
      </c>
      <c r="H699" t="n">
        <v>0</v>
      </c>
      <c r="I699" t="n">
        <v>0</v>
      </c>
      <c r="J699" t="n">
        <v>0</v>
      </c>
      <c r="K699" t="n">
        <v>0</v>
      </c>
      <c r="L699" t="n">
        <v>0</v>
      </c>
      <c r="M699" t="n">
        <v>0</v>
      </c>
      <c r="N699" t="n">
        <v>0</v>
      </c>
      <c r="O699" t="n">
        <v>0</v>
      </c>
      <c r="P699" t="n">
        <v>0</v>
      </c>
      <c r="Q699" t="n">
        <v>0</v>
      </c>
      <c r="R699" s="2" t="inlineStr"/>
    </row>
    <row r="700" ht="15" customHeight="1">
      <c r="A700" t="inlineStr">
        <is>
          <t>A 3868-2026</t>
        </is>
      </c>
      <c r="B700" s="1" t="n">
        <v>46043.6360300926</v>
      </c>
      <c r="C700" s="1" t="n">
        <v>46175</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3869-2026</t>
        </is>
      </c>
      <c r="B701" s="1" t="n">
        <v>46043.63940972222</v>
      </c>
      <c r="C701" s="1" t="n">
        <v>46175</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1978-2024</t>
        </is>
      </c>
      <c r="B702" s="1" t="n">
        <v>45308.59001157407</v>
      </c>
      <c r="C702" s="1" t="n">
        <v>46175</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6399-2025</t>
        </is>
      </c>
      <c r="B703" s="1" t="n">
        <v>45699.44291666667</v>
      </c>
      <c r="C703" s="1" t="n">
        <v>46175</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41311-2023</t>
        </is>
      </c>
      <c r="B704" s="1" t="n">
        <v>45174</v>
      </c>
      <c r="C704" s="1" t="n">
        <v>46175</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10785-2025</t>
        </is>
      </c>
      <c r="B705" s="1" t="n">
        <v>45722.48634259259</v>
      </c>
      <c r="C705" s="1" t="n">
        <v>46175</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18020-2025</t>
        </is>
      </c>
      <c r="B706" s="1" t="n">
        <v>45761.4437962963</v>
      </c>
      <c r="C706" s="1" t="n">
        <v>46175</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585-2024</t>
        </is>
      </c>
      <c r="B707" s="1" t="n">
        <v>45299.62576388889</v>
      </c>
      <c r="C707" s="1" t="n">
        <v>46175</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6802-2025</t>
        </is>
      </c>
      <c r="B708" s="1" t="n">
        <v>45700.68289351852</v>
      </c>
      <c r="C708" s="1" t="n">
        <v>46175</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56020-2024</t>
        </is>
      </c>
      <c r="B709" s="1" t="n">
        <v>45623.9525462963</v>
      </c>
      <c r="C709" s="1" t="n">
        <v>46175</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46175</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60675-2023</t>
        </is>
      </c>
      <c r="B711" s="1" t="n">
        <v>45260.4716550926</v>
      </c>
      <c r="C711" s="1" t="n">
        <v>46175</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40095-2022</t>
        </is>
      </c>
      <c r="B712" s="1" t="n">
        <v>44820</v>
      </c>
      <c r="C712" s="1" t="n">
        <v>46175</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19537-2022</t>
        </is>
      </c>
      <c r="B713" s="1" t="n">
        <v>44693.62822916666</v>
      </c>
      <c r="C713" s="1" t="n">
        <v>46175</v>
      </c>
      <c r="D713" t="inlineStr">
        <is>
          <t>KALMAR LÄN</t>
        </is>
      </c>
      <c r="E713" t="inlineStr">
        <is>
          <t>VIMMERBY</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57311-2023</t>
        </is>
      </c>
      <c r="B714" s="1" t="n">
        <v>45245.63574074074</v>
      </c>
      <c r="C714" s="1" t="n">
        <v>46175</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64428-2023</t>
        </is>
      </c>
      <c r="B715" s="1" t="n">
        <v>45280.66769675926</v>
      </c>
      <c r="C715" s="1" t="n">
        <v>46175</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4527-2023</t>
        </is>
      </c>
      <c r="B716" s="1" t="n">
        <v>44956</v>
      </c>
      <c r="C716" s="1" t="n">
        <v>46175</v>
      </c>
      <c r="D716" t="inlineStr">
        <is>
          <t>KALMAR LÄN</t>
        </is>
      </c>
      <c r="E716" t="inlineStr">
        <is>
          <t>VIMMERBY</t>
        </is>
      </c>
      <c r="F716" t="inlineStr">
        <is>
          <t>Kommuner</t>
        </is>
      </c>
      <c r="G716" t="n">
        <v>8.5</v>
      </c>
      <c r="H716" t="n">
        <v>0</v>
      </c>
      <c r="I716" t="n">
        <v>0</v>
      </c>
      <c r="J716" t="n">
        <v>0</v>
      </c>
      <c r="K716" t="n">
        <v>0</v>
      </c>
      <c r="L716" t="n">
        <v>0</v>
      </c>
      <c r="M716" t="n">
        <v>0</v>
      </c>
      <c r="N716" t="n">
        <v>0</v>
      </c>
      <c r="O716" t="n">
        <v>0</v>
      </c>
      <c r="P716" t="n">
        <v>0</v>
      </c>
      <c r="Q716" t="n">
        <v>0</v>
      </c>
      <c r="R716" s="2" t="inlineStr"/>
    </row>
    <row r="717" ht="15" customHeight="1">
      <c r="A717" t="inlineStr">
        <is>
          <t>A 3268-2024</t>
        </is>
      </c>
      <c r="B717" s="1" t="n">
        <v>45317</v>
      </c>
      <c r="C717" s="1" t="n">
        <v>46175</v>
      </c>
      <c r="D717" t="inlineStr">
        <is>
          <t>KALMAR LÄN</t>
        </is>
      </c>
      <c r="E717" t="inlineStr">
        <is>
          <t>VIMMERBY</t>
        </is>
      </c>
      <c r="F717" t="inlineStr">
        <is>
          <t>Övriga Aktiebolag</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51408-2023</t>
        </is>
      </c>
      <c r="B718" s="1" t="n">
        <v>45219.69356481481</v>
      </c>
      <c r="C718" s="1" t="n">
        <v>46175</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12480-2024</t>
        </is>
      </c>
      <c r="B719" s="1" t="n">
        <v>45379</v>
      </c>
      <c r="C719" s="1" t="n">
        <v>46175</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52588-2023</t>
        </is>
      </c>
      <c r="B720" s="1" t="n">
        <v>45225.60192129629</v>
      </c>
      <c r="C720" s="1" t="n">
        <v>46175</v>
      </c>
      <c r="D720" t="inlineStr">
        <is>
          <t>KALMAR LÄN</t>
        </is>
      </c>
      <c r="E720" t="inlineStr">
        <is>
          <t>VIMMERBY</t>
        </is>
      </c>
      <c r="G720" t="n">
        <v>2.9</v>
      </c>
      <c r="H720" t="n">
        <v>0</v>
      </c>
      <c r="I720" t="n">
        <v>0</v>
      </c>
      <c r="J720" t="n">
        <v>0</v>
      </c>
      <c r="K720" t="n">
        <v>0</v>
      </c>
      <c r="L720" t="n">
        <v>0</v>
      </c>
      <c r="M720" t="n">
        <v>0</v>
      </c>
      <c r="N720" t="n">
        <v>0</v>
      </c>
      <c r="O720" t="n">
        <v>0</v>
      </c>
      <c r="P720" t="n">
        <v>0</v>
      </c>
      <c r="Q720" t="n">
        <v>0</v>
      </c>
      <c r="R720" s="2" t="inlineStr"/>
    </row>
    <row r="721" ht="15" customHeight="1">
      <c r="A721" t="inlineStr">
        <is>
          <t>A 55236-2023</t>
        </is>
      </c>
      <c r="B721" s="1" t="n">
        <v>45237.63225694445</v>
      </c>
      <c r="C721" s="1" t="n">
        <v>46175</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55245-2023</t>
        </is>
      </c>
      <c r="B722" s="1" t="n">
        <v>45237.64408564815</v>
      </c>
      <c r="C722" s="1" t="n">
        <v>46175</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19111-2025</t>
        </is>
      </c>
      <c r="B723" s="1" t="n">
        <v>45768.65611111111</v>
      </c>
      <c r="C723" s="1" t="n">
        <v>46175</v>
      </c>
      <c r="D723" t="inlineStr">
        <is>
          <t>KALMAR LÄN</t>
        </is>
      </c>
      <c r="E723" t="inlineStr">
        <is>
          <t>VIMMERBY</t>
        </is>
      </c>
      <c r="G723" t="n">
        <v>6.2</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46175</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6817-2026</t>
        </is>
      </c>
      <c r="B725" s="1" t="n">
        <v>46057.38412037037</v>
      </c>
      <c r="C725" s="1" t="n">
        <v>46175</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33838-2022</t>
        </is>
      </c>
      <c r="B726" s="1" t="n">
        <v>44790.49040509259</v>
      </c>
      <c r="C726" s="1" t="n">
        <v>46175</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4058-2024</t>
        </is>
      </c>
      <c r="B727" s="1" t="n">
        <v>45323.53744212963</v>
      </c>
      <c r="C727" s="1" t="n">
        <v>46175</v>
      </c>
      <c r="D727" t="inlineStr">
        <is>
          <t>KALMAR LÄN</t>
        </is>
      </c>
      <c r="E727" t="inlineStr">
        <is>
          <t>VIMMERBY</t>
        </is>
      </c>
      <c r="G727" t="n">
        <v>6.5</v>
      </c>
      <c r="H727" t="n">
        <v>0</v>
      </c>
      <c r="I727" t="n">
        <v>0</v>
      </c>
      <c r="J727" t="n">
        <v>0</v>
      </c>
      <c r="K727" t="n">
        <v>0</v>
      </c>
      <c r="L727" t="n">
        <v>0</v>
      </c>
      <c r="M727" t="n">
        <v>0</v>
      </c>
      <c r="N727" t="n">
        <v>0</v>
      </c>
      <c r="O727" t="n">
        <v>0</v>
      </c>
      <c r="P727" t="n">
        <v>0</v>
      </c>
      <c r="Q727" t="n">
        <v>0</v>
      </c>
      <c r="R727" s="2" t="inlineStr"/>
    </row>
    <row r="728" ht="15" customHeight="1">
      <c r="A728" t="inlineStr">
        <is>
          <t>A 36008-2024</t>
        </is>
      </c>
      <c r="B728" s="1" t="n">
        <v>45533.55362268518</v>
      </c>
      <c r="C728" s="1" t="n">
        <v>46175</v>
      </c>
      <c r="D728" t="inlineStr">
        <is>
          <t>KALMAR LÄN</t>
        </is>
      </c>
      <c r="E728" t="inlineStr">
        <is>
          <t>VIMMERBY</t>
        </is>
      </c>
      <c r="G728" t="n">
        <v>3.7</v>
      </c>
      <c r="H728" t="n">
        <v>0</v>
      </c>
      <c r="I728" t="n">
        <v>0</v>
      </c>
      <c r="J728" t="n">
        <v>0</v>
      </c>
      <c r="K728" t="n">
        <v>0</v>
      </c>
      <c r="L728" t="n">
        <v>0</v>
      </c>
      <c r="M728" t="n">
        <v>0</v>
      </c>
      <c r="N728" t="n">
        <v>0</v>
      </c>
      <c r="O728" t="n">
        <v>0</v>
      </c>
      <c r="P728" t="n">
        <v>0</v>
      </c>
      <c r="Q728" t="n">
        <v>0</v>
      </c>
      <c r="R728" s="2" t="inlineStr"/>
    </row>
    <row r="729" ht="15" customHeight="1">
      <c r="A729" t="inlineStr">
        <is>
          <t>A 18669-2025</t>
        </is>
      </c>
      <c r="B729" s="1" t="n">
        <v>45763.59436342592</v>
      </c>
      <c r="C729" s="1" t="n">
        <v>46175</v>
      </c>
      <c r="D729" t="inlineStr">
        <is>
          <t>KALMAR LÄN</t>
        </is>
      </c>
      <c r="E729" t="inlineStr">
        <is>
          <t>VIMMERBY</t>
        </is>
      </c>
      <c r="G729" t="n">
        <v>2.7</v>
      </c>
      <c r="H729" t="n">
        <v>0</v>
      </c>
      <c r="I729" t="n">
        <v>0</v>
      </c>
      <c r="J729" t="n">
        <v>0</v>
      </c>
      <c r="K729" t="n">
        <v>0</v>
      </c>
      <c r="L729" t="n">
        <v>0</v>
      </c>
      <c r="M729" t="n">
        <v>0</v>
      </c>
      <c r="N729" t="n">
        <v>0</v>
      </c>
      <c r="O729" t="n">
        <v>0</v>
      </c>
      <c r="P729" t="n">
        <v>0</v>
      </c>
      <c r="Q729" t="n">
        <v>0</v>
      </c>
      <c r="R729" s="2" t="inlineStr"/>
    </row>
    <row r="730" ht="15" customHeight="1">
      <c r="A730" t="inlineStr">
        <is>
          <t>A 8540-2024</t>
        </is>
      </c>
      <c r="B730" s="1" t="n">
        <v>45355.54138888889</v>
      </c>
      <c r="C730" s="1" t="n">
        <v>46175</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9623-2024</t>
        </is>
      </c>
      <c r="B731" s="1" t="n">
        <v>45361.87975694444</v>
      </c>
      <c r="C731" s="1" t="n">
        <v>46175</v>
      </c>
      <c r="D731" t="inlineStr">
        <is>
          <t>KALMAR LÄN</t>
        </is>
      </c>
      <c r="E731" t="inlineStr">
        <is>
          <t>VIMMERBY</t>
        </is>
      </c>
      <c r="G731" t="n">
        <v>1.6</v>
      </c>
      <c r="H731" t="n">
        <v>0</v>
      </c>
      <c r="I731" t="n">
        <v>0</v>
      </c>
      <c r="J731" t="n">
        <v>0</v>
      </c>
      <c r="K731" t="n">
        <v>0</v>
      </c>
      <c r="L731" t="n">
        <v>0</v>
      </c>
      <c r="M731" t="n">
        <v>0</v>
      </c>
      <c r="N731" t="n">
        <v>0</v>
      </c>
      <c r="O731" t="n">
        <v>0</v>
      </c>
      <c r="P731" t="n">
        <v>0</v>
      </c>
      <c r="Q731" t="n">
        <v>0</v>
      </c>
      <c r="R731" s="2" t="inlineStr"/>
    </row>
    <row r="732" ht="15" customHeight="1">
      <c r="A732" t="inlineStr">
        <is>
          <t>A 5146-2024</t>
        </is>
      </c>
      <c r="B732" s="1" t="n">
        <v>45330</v>
      </c>
      <c r="C732" s="1" t="n">
        <v>46175</v>
      </c>
      <c r="D732" t="inlineStr">
        <is>
          <t>KALMAR LÄN</t>
        </is>
      </c>
      <c r="E732" t="inlineStr">
        <is>
          <t>VIMMERBY</t>
        </is>
      </c>
      <c r="G732" t="n">
        <v>5.3</v>
      </c>
      <c r="H732" t="n">
        <v>0</v>
      </c>
      <c r="I732" t="n">
        <v>0</v>
      </c>
      <c r="J732" t="n">
        <v>0</v>
      </c>
      <c r="K732" t="n">
        <v>0</v>
      </c>
      <c r="L732" t="n">
        <v>0</v>
      </c>
      <c r="M732" t="n">
        <v>0</v>
      </c>
      <c r="N732" t="n">
        <v>0</v>
      </c>
      <c r="O732" t="n">
        <v>0</v>
      </c>
      <c r="P732" t="n">
        <v>0</v>
      </c>
      <c r="Q732" t="n">
        <v>0</v>
      </c>
      <c r="R732" s="2" t="inlineStr"/>
    </row>
    <row r="733" ht="15" customHeight="1">
      <c r="A733" t="inlineStr">
        <is>
          <t>A 5148-2024</t>
        </is>
      </c>
      <c r="B733" s="1" t="n">
        <v>45330</v>
      </c>
      <c r="C733" s="1" t="n">
        <v>46175</v>
      </c>
      <c r="D733" t="inlineStr">
        <is>
          <t>KALMAR LÄN</t>
        </is>
      </c>
      <c r="E733" t="inlineStr">
        <is>
          <t>VIMMERBY</t>
        </is>
      </c>
      <c r="G733" t="n">
        <v>5.6</v>
      </c>
      <c r="H733" t="n">
        <v>0</v>
      </c>
      <c r="I733" t="n">
        <v>0</v>
      </c>
      <c r="J733" t="n">
        <v>0</v>
      </c>
      <c r="K733" t="n">
        <v>0</v>
      </c>
      <c r="L733" t="n">
        <v>0</v>
      </c>
      <c r="M733" t="n">
        <v>0</v>
      </c>
      <c r="N733" t="n">
        <v>0</v>
      </c>
      <c r="O733" t="n">
        <v>0</v>
      </c>
      <c r="P733" t="n">
        <v>0</v>
      </c>
      <c r="Q733" t="n">
        <v>0</v>
      </c>
      <c r="R733" s="2" t="inlineStr"/>
    </row>
    <row r="734" ht="15" customHeight="1">
      <c r="A734" t="inlineStr">
        <is>
          <t>A 44179-2022</t>
        </is>
      </c>
      <c r="B734" s="1" t="n">
        <v>44839.4528125</v>
      </c>
      <c r="C734" s="1" t="n">
        <v>46175</v>
      </c>
      <c r="D734" t="inlineStr">
        <is>
          <t>KALMAR LÄN</t>
        </is>
      </c>
      <c r="E734" t="inlineStr">
        <is>
          <t>VIMMERBY</t>
        </is>
      </c>
      <c r="G734" t="n">
        <v>2.8</v>
      </c>
      <c r="H734" t="n">
        <v>0</v>
      </c>
      <c r="I734" t="n">
        <v>0</v>
      </c>
      <c r="J734" t="n">
        <v>0</v>
      </c>
      <c r="K734" t="n">
        <v>0</v>
      </c>
      <c r="L734" t="n">
        <v>0</v>
      </c>
      <c r="M734" t="n">
        <v>0</v>
      </c>
      <c r="N734" t="n">
        <v>0</v>
      </c>
      <c r="O734" t="n">
        <v>0</v>
      </c>
      <c r="P734" t="n">
        <v>0</v>
      </c>
      <c r="Q734" t="n">
        <v>0</v>
      </c>
      <c r="R734" s="2" t="inlineStr"/>
    </row>
    <row r="735" ht="15" customHeight="1">
      <c r="A735" t="inlineStr">
        <is>
          <t>A 50648-2023</t>
        </is>
      </c>
      <c r="B735" s="1" t="n">
        <v>45217.47834490741</v>
      </c>
      <c r="C735" s="1" t="n">
        <v>46175</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2121-2022</t>
        </is>
      </c>
      <c r="B736" s="1" t="n">
        <v>44578.32717592592</v>
      </c>
      <c r="C736" s="1" t="n">
        <v>46175</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57799-2022</t>
        </is>
      </c>
      <c r="B737" s="1" t="n">
        <v>44897</v>
      </c>
      <c r="C737" s="1" t="n">
        <v>46175</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15394-2025</t>
        </is>
      </c>
      <c r="B738" s="1" t="n">
        <v>45747.43196759259</v>
      </c>
      <c r="C738" s="1" t="n">
        <v>46175</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26318-2023</t>
        </is>
      </c>
      <c r="B739" s="1" t="n">
        <v>45091.67936342592</v>
      </c>
      <c r="C739" s="1" t="n">
        <v>46175</v>
      </c>
      <c r="D739" t="inlineStr">
        <is>
          <t>KALMAR LÄN</t>
        </is>
      </c>
      <c r="E739" t="inlineStr">
        <is>
          <t>VIMMERBY</t>
        </is>
      </c>
      <c r="G739" t="n">
        <v>3.8</v>
      </c>
      <c r="H739" t="n">
        <v>0</v>
      </c>
      <c r="I739" t="n">
        <v>0</v>
      </c>
      <c r="J739" t="n">
        <v>0</v>
      </c>
      <c r="K739" t="n">
        <v>0</v>
      </c>
      <c r="L739" t="n">
        <v>0</v>
      </c>
      <c r="M739" t="n">
        <v>0</v>
      </c>
      <c r="N739" t="n">
        <v>0</v>
      </c>
      <c r="O739" t="n">
        <v>0</v>
      </c>
      <c r="P739" t="n">
        <v>0</v>
      </c>
      <c r="Q739" t="n">
        <v>0</v>
      </c>
      <c r="R739" s="2" t="inlineStr"/>
    </row>
    <row r="740" ht="15" customHeight="1">
      <c r="A740" t="inlineStr">
        <is>
          <t>A 60437-2023</t>
        </is>
      </c>
      <c r="B740" s="1" t="n">
        <v>45259.51916666667</v>
      </c>
      <c r="C740" s="1" t="n">
        <v>46175</v>
      </c>
      <c r="D740" t="inlineStr">
        <is>
          <t>KALMAR LÄN</t>
        </is>
      </c>
      <c r="E740" t="inlineStr">
        <is>
          <t>VIMMERBY</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60438-2023</t>
        </is>
      </c>
      <c r="B741" s="1" t="n">
        <v>45259.52020833334</v>
      </c>
      <c r="C741" s="1" t="n">
        <v>46175</v>
      </c>
      <c r="D741" t="inlineStr">
        <is>
          <t>KALMAR LÄN</t>
        </is>
      </c>
      <c r="E741" t="inlineStr">
        <is>
          <t>VIMMERBY</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7758-2024</t>
        </is>
      </c>
      <c r="B742" s="1" t="n">
        <v>45349.54434027777</v>
      </c>
      <c r="C742" s="1" t="n">
        <v>46175</v>
      </c>
      <c r="D742" t="inlineStr">
        <is>
          <t>KALMAR LÄN</t>
        </is>
      </c>
      <c r="E742" t="inlineStr">
        <is>
          <t>VIMMERBY</t>
        </is>
      </c>
      <c r="G742" t="n">
        <v>3.5</v>
      </c>
      <c r="H742" t="n">
        <v>0</v>
      </c>
      <c r="I742" t="n">
        <v>0</v>
      </c>
      <c r="J742" t="n">
        <v>0</v>
      </c>
      <c r="K742" t="n">
        <v>0</v>
      </c>
      <c r="L742" t="n">
        <v>0</v>
      </c>
      <c r="M742" t="n">
        <v>0</v>
      </c>
      <c r="N742" t="n">
        <v>0</v>
      </c>
      <c r="O742" t="n">
        <v>0</v>
      </c>
      <c r="P742" t="n">
        <v>0</v>
      </c>
      <c r="Q742" t="n">
        <v>0</v>
      </c>
      <c r="R742" s="2" t="inlineStr"/>
    </row>
    <row r="743" ht="15" customHeight="1">
      <c r="A743" t="inlineStr">
        <is>
          <t>A 7456-2024</t>
        </is>
      </c>
      <c r="B743" s="1" t="n">
        <v>45345.83557870371</v>
      </c>
      <c r="C743" s="1" t="n">
        <v>46175</v>
      </c>
      <c r="D743" t="inlineStr">
        <is>
          <t>KALMAR LÄN</t>
        </is>
      </c>
      <c r="E743" t="inlineStr">
        <is>
          <t>VIMMERBY</t>
        </is>
      </c>
      <c r="G743" t="n">
        <v>4.1</v>
      </c>
      <c r="H743" t="n">
        <v>0</v>
      </c>
      <c r="I743" t="n">
        <v>0</v>
      </c>
      <c r="J743" t="n">
        <v>0</v>
      </c>
      <c r="K743" t="n">
        <v>0</v>
      </c>
      <c r="L743" t="n">
        <v>0</v>
      </c>
      <c r="M743" t="n">
        <v>0</v>
      </c>
      <c r="N743" t="n">
        <v>0</v>
      </c>
      <c r="O743" t="n">
        <v>0</v>
      </c>
      <c r="P743" t="n">
        <v>0</v>
      </c>
      <c r="Q743" t="n">
        <v>0</v>
      </c>
      <c r="R743" s="2" t="inlineStr"/>
    </row>
    <row r="744" ht="15" customHeight="1">
      <c r="A744" t="inlineStr">
        <is>
          <t>A 6082-2022</t>
        </is>
      </c>
      <c r="B744" s="1" t="n">
        <v>44599</v>
      </c>
      <c r="C744" s="1" t="n">
        <v>46175</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46979-2023</t>
        </is>
      </c>
      <c r="B745" s="1" t="n">
        <v>45201</v>
      </c>
      <c r="C745" s="1" t="n">
        <v>46175</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2596-2025</t>
        </is>
      </c>
      <c r="B746" s="1" t="n">
        <v>45674.71810185185</v>
      </c>
      <c r="C746" s="1" t="n">
        <v>46175</v>
      </c>
      <c r="D746" t="inlineStr">
        <is>
          <t>KALMAR LÄN</t>
        </is>
      </c>
      <c r="E746" t="inlineStr">
        <is>
          <t>VIMMERBY</t>
        </is>
      </c>
      <c r="G746" t="n">
        <v>9</v>
      </c>
      <c r="H746" t="n">
        <v>0</v>
      </c>
      <c r="I746" t="n">
        <v>0</v>
      </c>
      <c r="J746" t="n">
        <v>0</v>
      </c>
      <c r="K746" t="n">
        <v>0</v>
      </c>
      <c r="L746" t="n">
        <v>0</v>
      </c>
      <c r="M746" t="n">
        <v>0</v>
      </c>
      <c r="N746" t="n">
        <v>0</v>
      </c>
      <c r="O746" t="n">
        <v>0</v>
      </c>
      <c r="P746" t="n">
        <v>0</v>
      </c>
      <c r="Q746" t="n">
        <v>0</v>
      </c>
      <c r="R746" s="2" t="inlineStr"/>
    </row>
    <row r="747" ht="15" customHeight="1">
      <c r="A747" t="inlineStr">
        <is>
          <t>A 47855-2024</t>
        </is>
      </c>
      <c r="B747" s="1" t="n">
        <v>45588.66457175926</v>
      </c>
      <c r="C747" s="1" t="n">
        <v>46175</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63583-2023</t>
        </is>
      </c>
      <c r="B748" s="1" t="n">
        <v>45275.41833333333</v>
      </c>
      <c r="C748" s="1" t="n">
        <v>46175</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60228-2021</t>
        </is>
      </c>
      <c r="B749" s="1" t="n">
        <v>44495</v>
      </c>
      <c r="C749" s="1" t="n">
        <v>46175</v>
      </c>
      <c r="D749" t="inlineStr">
        <is>
          <t>KALMAR LÄN</t>
        </is>
      </c>
      <c r="E749" t="inlineStr">
        <is>
          <t>VIMMERBY</t>
        </is>
      </c>
      <c r="G749" t="n">
        <v>4.1</v>
      </c>
      <c r="H749" t="n">
        <v>0</v>
      </c>
      <c r="I749" t="n">
        <v>0</v>
      </c>
      <c r="J749" t="n">
        <v>0</v>
      </c>
      <c r="K749" t="n">
        <v>0</v>
      </c>
      <c r="L749" t="n">
        <v>0</v>
      </c>
      <c r="M749" t="n">
        <v>0</v>
      </c>
      <c r="N749" t="n">
        <v>0</v>
      </c>
      <c r="O749" t="n">
        <v>0</v>
      </c>
      <c r="P749" t="n">
        <v>0</v>
      </c>
      <c r="Q749" t="n">
        <v>0</v>
      </c>
      <c r="R749" s="2" t="inlineStr"/>
    </row>
    <row r="750" ht="15" customHeight="1">
      <c r="A750" t="inlineStr">
        <is>
          <t>A 46522-2022</t>
        </is>
      </c>
      <c r="B750" s="1" t="n">
        <v>44848.59133101852</v>
      </c>
      <c r="C750" s="1" t="n">
        <v>46175</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21109-2024</t>
        </is>
      </c>
      <c r="B751" s="1" t="n">
        <v>45440.28329861111</v>
      </c>
      <c r="C751" s="1" t="n">
        <v>46175</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33815-2022</t>
        </is>
      </c>
      <c r="B752" s="1" t="n">
        <v>44790.45876157407</v>
      </c>
      <c r="C752" s="1" t="n">
        <v>46175</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49461-2022</t>
        </is>
      </c>
      <c r="B753" s="1" t="n">
        <v>44861</v>
      </c>
      <c r="C753" s="1" t="n">
        <v>46175</v>
      </c>
      <c r="D753" t="inlineStr">
        <is>
          <t>KALMAR LÄN</t>
        </is>
      </c>
      <c r="E753" t="inlineStr">
        <is>
          <t>VIMMERBY</t>
        </is>
      </c>
      <c r="G753" t="n">
        <v>3.2</v>
      </c>
      <c r="H753" t="n">
        <v>0</v>
      </c>
      <c r="I753" t="n">
        <v>0</v>
      </c>
      <c r="J753" t="n">
        <v>0</v>
      </c>
      <c r="K753" t="n">
        <v>0</v>
      </c>
      <c r="L753" t="n">
        <v>0</v>
      </c>
      <c r="M753" t="n">
        <v>0</v>
      </c>
      <c r="N753" t="n">
        <v>0</v>
      </c>
      <c r="O753" t="n">
        <v>0</v>
      </c>
      <c r="P753" t="n">
        <v>0</v>
      </c>
      <c r="Q753" t="n">
        <v>0</v>
      </c>
      <c r="R753" s="2" t="inlineStr"/>
    </row>
    <row r="754" ht="15" customHeight="1">
      <c r="A754" t="inlineStr">
        <is>
          <t>A 53542-2022</t>
        </is>
      </c>
      <c r="B754" s="1" t="n">
        <v>44879.62173611111</v>
      </c>
      <c r="C754" s="1" t="n">
        <v>46175</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35713-2023</t>
        </is>
      </c>
      <c r="B755" s="1" t="n">
        <v>45147</v>
      </c>
      <c r="C755" s="1" t="n">
        <v>46175</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10424-2023</t>
        </is>
      </c>
      <c r="B756" s="1" t="n">
        <v>44987.54104166666</v>
      </c>
      <c r="C756" s="1" t="n">
        <v>46175</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33340-2023</t>
        </is>
      </c>
      <c r="B757" s="1" t="n">
        <v>45128.37305555555</v>
      </c>
      <c r="C757" s="1" t="n">
        <v>46175</v>
      </c>
      <c r="D757" t="inlineStr">
        <is>
          <t>KALMAR LÄN</t>
        </is>
      </c>
      <c r="E757" t="inlineStr">
        <is>
          <t>VIMMERBY</t>
        </is>
      </c>
      <c r="G757" t="n">
        <v>1.5</v>
      </c>
      <c r="H757" t="n">
        <v>0</v>
      </c>
      <c r="I757" t="n">
        <v>0</v>
      </c>
      <c r="J757" t="n">
        <v>0</v>
      </c>
      <c r="K757" t="n">
        <v>0</v>
      </c>
      <c r="L757" t="n">
        <v>0</v>
      </c>
      <c r="M757" t="n">
        <v>0</v>
      </c>
      <c r="N757" t="n">
        <v>0</v>
      </c>
      <c r="O757" t="n">
        <v>0</v>
      </c>
      <c r="P757" t="n">
        <v>0</v>
      </c>
      <c r="Q757" t="n">
        <v>0</v>
      </c>
      <c r="R757" s="2" t="inlineStr"/>
    </row>
    <row r="758" ht="15" customHeight="1">
      <c r="A758" t="inlineStr">
        <is>
          <t>A 29017-2024</t>
        </is>
      </c>
      <c r="B758" s="1" t="n">
        <v>45481.56722222222</v>
      </c>
      <c r="C758" s="1" t="n">
        <v>46175</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58046-2022</t>
        </is>
      </c>
      <c r="B759" s="1" t="n">
        <v>44900.57393518519</v>
      </c>
      <c r="C759" s="1" t="n">
        <v>46175</v>
      </c>
      <c r="D759" t="inlineStr">
        <is>
          <t>KALMAR LÄN</t>
        </is>
      </c>
      <c r="E759" t="inlineStr">
        <is>
          <t>VIMMERBY</t>
        </is>
      </c>
      <c r="G759" t="n">
        <v>2.5</v>
      </c>
      <c r="H759" t="n">
        <v>0</v>
      </c>
      <c r="I759" t="n">
        <v>0</v>
      </c>
      <c r="J759" t="n">
        <v>0</v>
      </c>
      <c r="K759" t="n">
        <v>0</v>
      </c>
      <c r="L759" t="n">
        <v>0</v>
      </c>
      <c r="M759" t="n">
        <v>0</v>
      </c>
      <c r="N759" t="n">
        <v>0</v>
      </c>
      <c r="O759" t="n">
        <v>0</v>
      </c>
      <c r="P759" t="n">
        <v>0</v>
      </c>
      <c r="Q759" t="n">
        <v>0</v>
      </c>
      <c r="R759" s="2" t="inlineStr"/>
    </row>
    <row r="760" ht="15" customHeight="1">
      <c r="A760" t="inlineStr">
        <is>
          <t>A 14548-2024</t>
        </is>
      </c>
      <c r="B760" s="1" t="n">
        <v>45394.66887731481</v>
      </c>
      <c r="C760" s="1" t="n">
        <v>46175</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48120-2022</t>
        </is>
      </c>
      <c r="B761" s="1" t="n">
        <v>44857.65989583333</v>
      </c>
      <c r="C761" s="1" t="n">
        <v>46175</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3423-2022</t>
        </is>
      </c>
      <c r="B762" s="1" t="n">
        <v>44585.50431712963</v>
      </c>
      <c r="C762" s="1" t="n">
        <v>46175</v>
      </c>
      <c r="D762" t="inlineStr">
        <is>
          <t>KALMAR LÄN</t>
        </is>
      </c>
      <c r="E762" t="inlineStr">
        <is>
          <t>VIMMERBY</t>
        </is>
      </c>
      <c r="G762" t="n">
        <v>1.7</v>
      </c>
      <c r="H762" t="n">
        <v>0</v>
      </c>
      <c r="I762" t="n">
        <v>0</v>
      </c>
      <c r="J762" t="n">
        <v>0</v>
      </c>
      <c r="K762" t="n">
        <v>0</v>
      </c>
      <c r="L762" t="n">
        <v>0</v>
      </c>
      <c r="M762" t="n">
        <v>0</v>
      </c>
      <c r="N762" t="n">
        <v>0</v>
      </c>
      <c r="O762" t="n">
        <v>0</v>
      </c>
      <c r="P762" t="n">
        <v>0</v>
      </c>
      <c r="Q762" t="n">
        <v>0</v>
      </c>
      <c r="R762" s="2" t="inlineStr"/>
    </row>
    <row r="763" ht="15" customHeight="1">
      <c r="A763" t="inlineStr">
        <is>
          <t>A 11074-2023</t>
        </is>
      </c>
      <c r="B763" s="1" t="n">
        <v>44992.34151620371</v>
      </c>
      <c r="C763" s="1" t="n">
        <v>46175</v>
      </c>
      <c r="D763" t="inlineStr">
        <is>
          <t>KALMAR LÄN</t>
        </is>
      </c>
      <c r="E763" t="inlineStr">
        <is>
          <t>VIMMERBY</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71631-2021</t>
        </is>
      </c>
      <c r="B764" s="1" t="n">
        <v>44542.90072916666</v>
      </c>
      <c r="C764" s="1" t="n">
        <v>46175</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49039-2021</t>
        </is>
      </c>
      <c r="B765" s="1" t="n">
        <v>44453.56578703703</v>
      </c>
      <c r="C765" s="1" t="n">
        <v>46175</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42918-2021</t>
        </is>
      </c>
      <c r="B766" s="1" t="n">
        <v>44431</v>
      </c>
      <c r="C766" s="1" t="n">
        <v>46175</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529-2022</t>
        </is>
      </c>
      <c r="B767" s="1" t="n">
        <v>44566</v>
      </c>
      <c r="C767" s="1" t="n">
        <v>46175</v>
      </c>
      <c r="D767" t="inlineStr">
        <is>
          <t>KALMAR LÄN</t>
        </is>
      </c>
      <c r="E767" t="inlineStr">
        <is>
          <t>VIMMERBY</t>
        </is>
      </c>
      <c r="G767" t="n">
        <v>1.5</v>
      </c>
      <c r="H767" t="n">
        <v>0</v>
      </c>
      <c r="I767" t="n">
        <v>0</v>
      </c>
      <c r="J767" t="n">
        <v>0</v>
      </c>
      <c r="K767" t="n">
        <v>0</v>
      </c>
      <c r="L767" t="n">
        <v>0</v>
      </c>
      <c r="M767" t="n">
        <v>0</v>
      </c>
      <c r="N767" t="n">
        <v>0</v>
      </c>
      <c r="O767" t="n">
        <v>0</v>
      </c>
      <c r="P767" t="n">
        <v>0</v>
      </c>
      <c r="Q767" t="n">
        <v>0</v>
      </c>
      <c r="R767" s="2" t="inlineStr"/>
    </row>
    <row r="768" ht="15" customHeight="1">
      <c r="A768" t="inlineStr">
        <is>
          <t>A 14855-2025</t>
        </is>
      </c>
      <c r="B768" s="1" t="n">
        <v>45743.41148148148</v>
      </c>
      <c r="C768" s="1" t="n">
        <v>46175</v>
      </c>
      <c r="D768" t="inlineStr">
        <is>
          <t>KALMAR LÄN</t>
        </is>
      </c>
      <c r="E768" t="inlineStr">
        <is>
          <t>VIMMERBY</t>
        </is>
      </c>
      <c r="G768" t="n">
        <v>1.2</v>
      </c>
      <c r="H768" t="n">
        <v>0</v>
      </c>
      <c r="I768" t="n">
        <v>0</v>
      </c>
      <c r="J768" t="n">
        <v>0</v>
      </c>
      <c r="K768" t="n">
        <v>0</v>
      </c>
      <c r="L768" t="n">
        <v>0</v>
      </c>
      <c r="M768" t="n">
        <v>0</v>
      </c>
      <c r="N768" t="n">
        <v>0</v>
      </c>
      <c r="O768" t="n">
        <v>0</v>
      </c>
      <c r="P768" t="n">
        <v>0</v>
      </c>
      <c r="Q768" t="n">
        <v>0</v>
      </c>
      <c r="R768" s="2" t="inlineStr"/>
    </row>
    <row r="769" ht="15" customHeight="1">
      <c r="A769" t="inlineStr">
        <is>
          <t>A 60951-2023</t>
        </is>
      </c>
      <c r="B769" s="1" t="n">
        <v>45261.44914351852</v>
      </c>
      <c r="C769" s="1" t="n">
        <v>46175</v>
      </c>
      <c r="D769" t="inlineStr">
        <is>
          <t>KALMAR LÄN</t>
        </is>
      </c>
      <c r="E769" t="inlineStr">
        <is>
          <t>VIMMERBY</t>
        </is>
      </c>
      <c r="G769" t="n">
        <v>4.3</v>
      </c>
      <c r="H769" t="n">
        <v>0</v>
      </c>
      <c r="I769" t="n">
        <v>0</v>
      </c>
      <c r="J769" t="n">
        <v>0</v>
      </c>
      <c r="K769" t="n">
        <v>0</v>
      </c>
      <c r="L769" t="n">
        <v>0</v>
      </c>
      <c r="M769" t="n">
        <v>0</v>
      </c>
      <c r="N769" t="n">
        <v>0</v>
      </c>
      <c r="O769" t="n">
        <v>0</v>
      </c>
      <c r="P769" t="n">
        <v>0</v>
      </c>
      <c r="Q769" t="n">
        <v>0</v>
      </c>
      <c r="R769" s="2" t="inlineStr"/>
    </row>
    <row r="770" ht="15" customHeight="1">
      <c r="A770" t="inlineStr">
        <is>
          <t>A 19162-2023</t>
        </is>
      </c>
      <c r="B770" s="1" t="n">
        <v>45048.59699074074</v>
      </c>
      <c r="C770" s="1" t="n">
        <v>46175</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31209-2024</t>
        </is>
      </c>
      <c r="B771" s="1" t="n">
        <v>45503.5658912037</v>
      </c>
      <c r="C771" s="1" t="n">
        <v>46175</v>
      </c>
      <c r="D771" t="inlineStr">
        <is>
          <t>KALMAR LÄN</t>
        </is>
      </c>
      <c r="E771" t="inlineStr">
        <is>
          <t>VIMMERBY</t>
        </is>
      </c>
      <c r="G771" t="n">
        <v>1.7</v>
      </c>
      <c r="H771" t="n">
        <v>0</v>
      </c>
      <c r="I771" t="n">
        <v>0</v>
      </c>
      <c r="J771" t="n">
        <v>0</v>
      </c>
      <c r="K771" t="n">
        <v>0</v>
      </c>
      <c r="L771" t="n">
        <v>0</v>
      </c>
      <c r="M771" t="n">
        <v>0</v>
      </c>
      <c r="N771" t="n">
        <v>0</v>
      </c>
      <c r="O771" t="n">
        <v>0</v>
      </c>
      <c r="P771" t="n">
        <v>0</v>
      </c>
      <c r="Q771" t="n">
        <v>0</v>
      </c>
      <c r="R771" s="2" t="inlineStr"/>
    </row>
    <row r="772" ht="15" customHeight="1">
      <c r="A772" t="inlineStr">
        <is>
          <t>A 5864-2022</t>
        </is>
      </c>
      <c r="B772" s="1" t="n">
        <v>44596</v>
      </c>
      <c r="C772" s="1" t="n">
        <v>46175</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44952.35775462963</v>
      </c>
      <c r="C773" s="1" t="n">
        <v>46175</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26937-2023</t>
        </is>
      </c>
      <c r="B774" s="1" t="n">
        <v>45093.62777777778</v>
      </c>
      <c r="C774" s="1" t="n">
        <v>46175</v>
      </c>
      <c r="D774" t="inlineStr">
        <is>
          <t>KALMAR LÄN</t>
        </is>
      </c>
      <c r="E774" t="inlineStr">
        <is>
          <t>VIMMERBY</t>
        </is>
      </c>
      <c r="F774" t="inlineStr">
        <is>
          <t>Sveaskog</t>
        </is>
      </c>
      <c r="G774" t="n">
        <v>14.5</v>
      </c>
      <c r="H774" t="n">
        <v>0</v>
      </c>
      <c r="I774" t="n">
        <v>0</v>
      </c>
      <c r="J774" t="n">
        <v>0</v>
      </c>
      <c r="K774" t="n">
        <v>0</v>
      </c>
      <c r="L774" t="n">
        <v>0</v>
      </c>
      <c r="M774" t="n">
        <v>0</v>
      </c>
      <c r="N774" t="n">
        <v>0</v>
      </c>
      <c r="O774" t="n">
        <v>0</v>
      </c>
      <c r="P774" t="n">
        <v>0</v>
      </c>
      <c r="Q774" t="n">
        <v>0</v>
      </c>
      <c r="R774" s="2" t="inlineStr"/>
    </row>
    <row r="775" ht="15" customHeight="1">
      <c r="A775" t="inlineStr">
        <is>
          <t>A 50085-2023</t>
        </is>
      </c>
      <c r="B775" s="1" t="n">
        <v>45215.5959375</v>
      </c>
      <c r="C775" s="1" t="n">
        <v>46175</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11219-2023</t>
        </is>
      </c>
      <c r="B776" s="1" t="n">
        <v>44992.62498842592</v>
      </c>
      <c r="C776" s="1" t="n">
        <v>46175</v>
      </c>
      <c r="D776" t="inlineStr">
        <is>
          <t>KALMAR LÄN</t>
        </is>
      </c>
      <c r="E776" t="inlineStr">
        <is>
          <t>VIMMERBY</t>
        </is>
      </c>
      <c r="G776" t="n">
        <v>2.5</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44967.44255787037</v>
      </c>
      <c r="C777" s="1" t="n">
        <v>46175</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6358-2022</t>
        </is>
      </c>
      <c r="B778" s="1" t="n">
        <v>44600</v>
      </c>
      <c r="C778" s="1" t="n">
        <v>46175</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43853-2023</t>
        </is>
      </c>
      <c r="B779" s="1" t="n">
        <v>45187.60813657408</v>
      </c>
      <c r="C779" s="1" t="n">
        <v>46175</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48673-2021</t>
        </is>
      </c>
      <c r="B780" s="1" t="n">
        <v>44452</v>
      </c>
      <c r="C780" s="1" t="n">
        <v>46175</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14137-2023</t>
        </is>
      </c>
      <c r="B781" s="1" t="n">
        <v>45009.4671875</v>
      </c>
      <c r="C781" s="1" t="n">
        <v>46175</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7630-2025</t>
        </is>
      </c>
      <c r="B782" s="1" t="n">
        <v>45705.74418981482</v>
      </c>
      <c r="C782" s="1" t="n">
        <v>46175</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38780-2021</t>
        </is>
      </c>
      <c r="B783" s="1" t="n">
        <v>44410</v>
      </c>
      <c r="C783" s="1" t="n">
        <v>46175</v>
      </c>
      <c r="D783" t="inlineStr">
        <is>
          <t>KALMAR LÄN</t>
        </is>
      </c>
      <c r="E783" t="inlineStr">
        <is>
          <t>VIMMERBY</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30503-2023</t>
        </is>
      </c>
      <c r="B784" s="1" t="n">
        <v>45111</v>
      </c>
      <c r="C784" s="1" t="n">
        <v>46175</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60110-2022</t>
        </is>
      </c>
      <c r="B785" s="1" t="n">
        <v>44909</v>
      </c>
      <c r="C785" s="1" t="n">
        <v>46175</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59300-2024</t>
        </is>
      </c>
      <c r="B786" s="1" t="n">
        <v>45637.66542824074</v>
      </c>
      <c r="C786" s="1" t="n">
        <v>46175</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18329-2023</t>
        </is>
      </c>
      <c r="B787" s="1" t="n">
        <v>45041.63380787037</v>
      </c>
      <c r="C787" s="1" t="n">
        <v>46175</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5720-2023</t>
        </is>
      </c>
      <c r="B788" s="1" t="n">
        <v>44961</v>
      </c>
      <c r="C788" s="1" t="n">
        <v>46175</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61538-2022</t>
        </is>
      </c>
      <c r="B789" s="1" t="n">
        <v>44916.55414351852</v>
      </c>
      <c r="C789" s="1" t="n">
        <v>46175</v>
      </c>
      <c r="D789" t="inlineStr">
        <is>
          <t>KALMAR LÄN</t>
        </is>
      </c>
      <c r="E789" t="inlineStr">
        <is>
          <t>VIMMERBY</t>
        </is>
      </c>
      <c r="G789" t="n">
        <v>1.5</v>
      </c>
      <c r="H789" t="n">
        <v>0</v>
      </c>
      <c r="I789" t="n">
        <v>0</v>
      </c>
      <c r="J789" t="n">
        <v>0</v>
      </c>
      <c r="K789" t="n">
        <v>0</v>
      </c>
      <c r="L789" t="n">
        <v>0</v>
      </c>
      <c r="M789" t="n">
        <v>0</v>
      </c>
      <c r="N789" t="n">
        <v>0</v>
      </c>
      <c r="O789" t="n">
        <v>0</v>
      </c>
      <c r="P789" t="n">
        <v>0</v>
      </c>
      <c r="Q789" t="n">
        <v>0</v>
      </c>
      <c r="R789" s="2" t="inlineStr"/>
    </row>
    <row r="790" ht="15" customHeight="1">
      <c r="A790" t="inlineStr">
        <is>
          <t>A 694-2024</t>
        </is>
      </c>
      <c r="B790" s="1" t="n">
        <v>45300.3794212963</v>
      </c>
      <c r="C790" s="1" t="n">
        <v>46175</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57114-2023</t>
        </is>
      </c>
      <c r="B791" s="1" t="n">
        <v>45245.36174768519</v>
      </c>
      <c r="C791" s="1" t="n">
        <v>46175</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12327-2023</t>
        </is>
      </c>
      <c r="B792" s="1" t="n">
        <v>44999.36081018519</v>
      </c>
      <c r="C792" s="1" t="n">
        <v>46175</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30633-2024</t>
        </is>
      </c>
      <c r="B793" s="1" t="n">
        <v>45495</v>
      </c>
      <c r="C793" s="1" t="n">
        <v>46175</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33424-2023</t>
        </is>
      </c>
      <c r="B794" s="1" t="n">
        <v>45128.9325</v>
      </c>
      <c r="C794" s="1" t="n">
        <v>46175</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33425-2023</t>
        </is>
      </c>
      <c r="B795" s="1" t="n">
        <v>45128.93540509259</v>
      </c>
      <c r="C795" s="1" t="n">
        <v>46175</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3609-2024</t>
        </is>
      </c>
      <c r="B796" s="1" t="n">
        <v>45320.89128472222</v>
      </c>
      <c r="C796" s="1" t="n">
        <v>46175</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8650-2022</t>
        </is>
      </c>
      <c r="B797" s="1" t="n">
        <v>44613</v>
      </c>
      <c r="C797" s="1" t="n">
        <v>46175</v>
      </c>
      <c r="D797" t="inlineStr">
        <is>
          <t>KALMAR LÄN</t>
        </is>
      </c>
      <c r="E797" t="inlineStr">
        <is>
          <t>VIMMERBY</t>
        </is>
      </c>
      <c r="G797" t="n">
        <v>1.4</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46175</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16676-2023</t>
        </is>
      </c>
      <c r="B799" s="1" t="n">
        <v>45028</v>
      </c>
      <c r="C799" s="1" t="n">
        <v>46175</v>
      </c>
      <c r="D799" t="inlineStr">
        <is>
          <t>KALMAR LÄN</t>
        </is>
      </c>
      <c r="E799" t="inlineStr">
        <is>
          <t>VIMMERBY</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23263-2024</t>
        </is>
      </c>
      <c r="B800" s="1" t="n">
        <v>45453.36854166666</v>
      </c>
      <c r="C800" s="1" t="n">
        <v>46175</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49488-2023</t>
        </is>
      </c>
      <c r="B801" s="1" t="n">
        <v>45211.55472222222</v>
      </c>
      <c r="C801" s="1" t="n">
        <v>46175</v>
      </c>
      <c r="D801" t="inlineStr">
        <is>
          <t>KALMAR LÄN</t>
        </is>
      </c>
      <c r="E801" t="inlineStr">
        <is>
          <t>VIMMERBY</t>
        </is>
      </c>
      <c r="F801" t="inlineStr">
        <is>
          <t>Sveaskog</t>
        </is>
      </c>
      <c r="G801" t="n">
        <v>6.2</v>
      </c>
      <c r="H801" t="n">
        <v>0</v>
      </c>
      <c r="I801" t="n">
        <v>0</v>
      </c>
      <c r="J801" t="n">
        <v>0</v>
      </c>
      <c r="K801" t="n">
        <v>0</v>
      </c>
      <c r="L801" t="n">
        <v>0</v>
      </c>
      <c r="M801" t="n">
        <v>0</v>
      </c>
      <c r="N801" t="n">
        <v>0</v>
      </c>
      <c r="O801" t="n">
        <v>0</v>
      </c>
      <c r="P801" t="n">
        <v>0</v>
      </c>
      <c r="Q801" t="n">
        <v>0</v>
      </c>
      <c r="R801" s="2" t="inlineStr"/>
    </row>
    <row r="802" ht="15" customHeight="1">
      <c r="A802" t="inlineStr">
        <is>
          <t>A 59768-2024</t>
        </is>
      </c>
      <c r="B802" s="1" t="n">
        <v>45639.56185185185</v>
      </c>
      <c r="C802" s="1" t="n">
        <v>46175</v>
      </c>
      <c r="D802" t="inlineStr">
        <is>
          <t>KALMAR LÄN</t>
        </is>
      </c>
      <c r="E802" t="inlineStr">
        <is>
          <t>VIMMERBY</t>
        </is>
      </c>
      <c r="G802" t="n">
        <v>5.9</v>
      </c>
      <c r="H802" t="n">
        <v>0</v>
      </c>
      <c r="I802" t="n">
        <v>0</v>
      </c>
      <c r="J802" t="n">
        <v>0</v>
      </c>
      <c r="K802" t="n">
        <v>0</v>
      </c>
      <c r="L802" t="n">
        <v>0</v>
      </c>
      <c r="M802" t="n">
        <v>0</v>
      </c>
      <c r="N802" t="n">
        <v>0</v>
      </c>
      <c r="O802" t="n">
        <v>0</v>
      </c>
      <c r="P802" t="n">
        <v>0</v>
      </c>
      <c r="Q802" t="n">
        <v>0</v>
      </c>
      <c r="R802" s="2" t="inlineStr"/>
    </row>
    <row r="803" ht="15" customHeight="1">
      <c r="A803" t="inlineStr">
        <is>
          <t>A 72067-2021</t>
        </is>
      </c>
      <c r="B803" s="1" t="n">
        <v>44540</v>
      </c>
      <c r="C803" s="1" t="n">
        <v>46175</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41158-2023</t>
        </is>
      </c>
      <c r="B804" s="1" t="n">
        <v>45174.31395833333</v>
      </c>
      <c r="C804" s="1" t="n">
        <v>46175</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22198-2024</t>
        </is>
      </c>
      <c r="B805" s="1" t="n">
        <v>45446.36865740741</v>
      </c>
      <c r="C805" s="1" t="n">
        <v>46175</v>
      </c>
      <c r="D805" t="inlineStr">
        <is>
          <t>KALMAR LÄN</t>
        </is>
      </c>
      <c r="E805" t="inlineStr">
        <is>
          <t>VIMMERBY</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44981.64725694444</v>
      </c>
      <c r="C806" s="1" t="n">
        <v>46175</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34205-2023</t>
        </is>
      </c>
      <c r="B807" s="1" t="n">
        <v>45138</v>
      </c>
      <c r="C807" s="1" t="n">
        <v>46175</v>
      </c>
      <c r="D807" t="inlineStr">
        <is>
          <t>KALMAR LÄN</t>
        </is>
      </c>
      <c r="E807" t="inlineStr">
        <is>
          <t>VIMMERBY</t>
        </is>
      </c>
      <c r="G807" t="n">
        <v>0.6</v>
      </c>
      <c r="H807" t="n">
        <v>0</v>
      </c>
      <c r="I807" t="n">
        <v>0</v>
      </c>
      <c r="J807" t="n">
        <v>0</v>
      </c>
      <c r="K807" t="n">
        <v>0</v>
      </c>
      <c r="L807" t="n">
        <v>0</v>
      </c>
      <c r="M807" t="n">
        <v>0</v>
      </c>
      <c r="N807" t="n">
        <v>0</v>
      </c>
      <c r="O807" t="n">
        <v>0</v>
      </c>
      <c r="P807" t="n">
        <v>0</v>
      </c>
      <c r="Q807" t="n">
        <v>0</v>
      </c>
      <c r="R807" s="2" t="inlineStr"/>
    </row>
    <row r="808" ht="15" customHeight="1">
      <c r="A808" t="inlineStr">
        <is>
          <t>A 57091-2022</t>
        </is>
      </c>
      <c r="B808" s="1" t="n">
        <v>44895.46524305556</v>
      </c>
      <c r="C808" s="1" t="n">
        <v>46175</v>
      </c>
      <c r="D808" t="inlineStr">
        <is>
          <t>KALMAR LÄN</t>
        </is>
      </c>
      <c r="E808" t="inlineStr">
        <is>
          <t>VIMMERBY</t>
        </is>
      </c>
      <c r="G808" t="n">
        <v>2.6</v>
      </c>
      <c r="H808" t="n">
        <v>0</v>
      </c>
      <c r="I808" t="n">
        <v>0</v>
      </c>
      <c r="J808" t="n">
        <v>0</v>
      </c>
      <c r="K808" t="n">
        <v>0</v>
      </c>
      <c r="L808" t="n">
        <v>0</v>
      </c>
      <c r="M808" t="n">
        <v>0</v>
      </c>
      <c r="N808" t="n">
        <v>0</v>
      </c>
      <c r="O808" t="n">
        <v>0</v>
      </c>
      <c r="P808" t="n">
        <v>0</v>
      </c>
      <c r="Q808" t="n">
        <v>0</v>
      </c>
      <c r="R808" s="2" t="inlineStr"/>
    </row>
    <row r="809" ht="15" customHeight="1">
      <c r="A809" t="inlineStr">
        <is>
          <t>A 2604-2025</t>
        </is>
      </c>
      <c r="B809" s="1" t="n">
        <v>45674.74094907408</v>
      </c>
      <c r="C809" s="1" t="n">
        <v>46175</v>
      </c>
      <c r="D809" t="inlineStr">
        <is>
          <t>KALMAR LÄN</t>
        </is>
      </c>
      <c r="E809" t="inlineStr">
        <is>
          <t>VIMMERBY</t>
        </is>
      </c>
      <c r="G809" t="n">
        <v>7.6</v>
      </c>
      <c r="H809" t="n">
        <v>0</v>
      </c>
      <c r="I809" t="n">
        <v>0</v>
      </c>
      <c r="J809" t="n">
        <v>0</v>
      </c>
      <c r="K809" t="n">
        <v>0</v>
      </c>
      <c r="L809" t="n">
        <v>0</v>
      </c>
      <c r="M809" t="n">
        <v>0</v>
      </c>
      <c r="N809" t="n">
        <v>0</v>
      </c>
      <c r="O809" t="n">
        <v>0</v>
      </c>
      <c r="P809" t="n">
        <v>0</v>
      </c>
      <c r="Q809" t="n">
        <v>0</v>
      </c>
      <c r="R809" s="2" t="inlineStr"/>
    </row>
    <row r="810" ht="15" customHeight="1">
      <c r="A810" t="inlineStr">
        <is>
          <t>A 6807-2025</t>
        </is>
      </c>
      <c r="B810" s="1" t="n">
        <v>45700.68672453704</v>
      </c>
      <c r="C810" s="1" t="n">
        <v>46175</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38851-2023</t>
        </is>
      </c>
      <c r="B811" s="1" t="n">
        <v>45163</v>
      </c>
      <c r="C811" s="1" t="n">
        <v>46175</v>
      </c>
      <c r="D811" t="inlineStr">
        <is>
          <t>KALMAR LÄN</t>
        </is>
      </c>
      <c r="E811" t="inlineStr">
        <is>
          <t>VIMMERBY</t>
        </is>
      </c>
      <c r="G811" t="n">
        <v>4.3</v>
      </c>
      <c r="H811" t="n">
        <v>0</v>
      </c>
      <c r="I811" t="n">
        <v>0</v>
      </c>
      <c r="J811" t="n">
        <v>0</v>
      </c>
      <c r="K811" t="n">
        <v>0</v>
      </c>
      <c r="L811" t="n">
        <v>0</v>
      </c>
      <c r="M811" t="n">
        <v>0</v>
      </c>
      <c r="N811" t="n">
        <v>0</v>
      </c>
      <c r="O811" t="n">
        <v>0</v>
      </c>
      <c r="P811" t="n">
        <v>0</v>
      </c>
      <c r="Q811" t="n">
        <v>0</v>
      </c>
      <c r="R811" s="2" t="inlineStr"/>
    </row>
    <row r="812" ht="15" customHeight="1">
      <c r="A812" t="inlineStr">
        <is>
          <t>A 23252-2024</t>
        </is>
      </c>
      <c r="B812" s="1" t="n">
        <v>45453.36067129629</v>
      </c>
      <c r="C812" s="1" t="n">
        <v>46175</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5792-2023</t>
        </is>
      </c>
      <c r="B813" s="1" t="n">
        <v>44963.44769675926</v>
      </c>
      <c r="C813" s="1" t="n">
        <v>46175</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2797-2023</t>
        </is>
      </c>
      <c r="B814" s="1" t="n">
        <v>44944.71386574074</v>
      </c>
      <c r="C814" s="1" t="n">
        <v>46175</v>
      </c>
      <c r="D814" t="inlineStr">
        <is>
          <t>KALMAR LÄN</t>
        </is>
      </c>
      <c r="E814" t="inlineStr">
        <is>
          <t>VIMMERBY</t>
        </is>
      </c>
      <c r="G814" t="n">
        <v>3.4</v>
      </c>
      <c r="H814" t="n">
        <v>0</v>
      </c>
      <c r="I814" t="n">
        <v>0</v>
      </c>
      <c r="J814" t="n">
        <v>0</v>
      </c>
      <c r="K814" t="n">
        <v>0</v>
      </c>
      <c r="L814" t="n">
        <v>0</v>
      </c>
      <c r="M814" t="n">
        <v>0</v>
      </c>
      <c r="N814" t="n">
        <v>0</v>
      </c>
      <c r="O814" t="n">
        <v>0</v>
      </c>
      <c r="P814" t="n">
        <v>0</v>
      </c>
      <c r="Q814" t="n">
        <v>0</v>
      </c>
      <c r="R814" s="2" t="inlineStr"/>
    </row>
    <row r="815" ht="15" customHeight="1">
      <c r="A815" t="inlineStr">
        <is>
          <t>A 2799-2023</t>
        </is>
      </c>
      <c r="B815" s="1" t="n">
        <v>44944.72100694444</v>
      </c>
      <c r="C815" s="1" t="n">
        <v>46175</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6220-2025</t>
        </is>
      </c>
      <c r="B816" s="1" t="n">
        <v>45698.53725694444</v>
      </c>
      <c r="C816" s="1" t="n">
        <v>46175</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58278-2023</t>
        </is>
      </c>
      <c r="B817" s="1" t="n">
        <v>45250.5278587963</v>
      </c>
      <c r="C817" s="1" t="n">
        <v>46175</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36259-2022</t>
        </is>
      </c>
      <c r="B818" s="1" t="n">
        <v>44803.59118055556</v>
      </c>
      <c r="C818" s="1" t="n">
        <v>46175</v>
      </c>
      <c r="D818" t="inlineStr">
        <is>
          <t>KALMAR LÄN</t>
        </is>
      </c>
      <c r="E818" t="inlineStr">
        <is>
          <t>VIMMERBY</t>
        </is>
      </c>
      <c r="G818" t="n">
        <v>3.9</v>
      </c>
      <c r="H818" t="n">
        <v>0</v>
      </c>
      <c r="I818" t="n">
        <v>0</v>
      </c>
      <c r="J818" t="n">
        <v>0</v>
      </c>
      <c r="K818" t="n">
        <v>0</v>
      </c>
      <c r="L818" t="n">
        <v>0</v>
      </c>
      <c r="M818" t="n">
        <v>0</v>
      </c>
      <c r="N818" t="n">
        <v>0</v>
      </c>
      <c r="O818" t="n">
        <v>0</v>
      </c>
      <c r="P818" t="n">
        <v>0</v>
      </c>
      <c r="Q818" t="n">
        <v>0</v>
      </c>
      <c r="R818" s="2" t="inlineStr"/>
    </row>
    <row r="819" ht="15" customHeight="1">
      <c r="A819" t="inlineStr">
        <is>
          <t>A 36526-2023</t>
        </is>
      </c>
      <c r="B819" s="1" t="n">
        <v>45153.32778935185</v>
      </c>
      <c r="C819" s="1" t="n">
        <v>46175</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17988-2025</t>
        </is>
      </c>
      <c r="B820" s="1" t="n">
        <v>45761.39600694444</v>
      </c>
      <c r="C820" s="1" t="n">
        <v>46175</v>
      </c>
      <c r="D820" t="inlineStr">
        <is>
          <t>KALMAR LÄN</t>
        </is>
      </c>
      <c r="E820" t="inlineStr">
        <is>
          <t>VIMMERBY</t>
        </is>
      </c>
      <c r="G820" t="n">
        <v>2.8</v>
      </c>
      <c r="H820" t="n">
        <v>0</v>
      </c>
      <c r="I820" t="n">
        <v>0</v>
      </c>
      <c r="J820" t="n">
        <v>0</v>
      </c>
      <c r="K820" t="n">
        <v>0</v>
      </c>
      <c r="L820" t="n">
        <v>0</v>
      </c>
      <c r="M820" t="n">
        <v>0</v>
      </c>
      <c r="N820" t="n">
        <v>0</v>
      </c>
      <c r="O820" t="n">
        <v>0</v>
      </c>
      <c r="P820" t="n">
        <v>0</v>
      </c>
      <c r="Q820" t="n">
        <v>0</v>
      </c>
      <c r="R820" s="2" t="inlineStr"/>
    </row>
    <row r="821" ht="15" customHeight="1">
      <c r="A821" t="inlineStr">
        <is>
          <t>A 29350-2023</t>
        </is>
      </c>
      <c r="B821" s="1" t="n">
        <v>45106</v>
      </c>
      <c r="C821" s="1" t="n">
        <v>46175</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29351-2023</t>
        </is>
      </c>
      <c r="B822" s="1" t="n">
        <v>45106.2610300926</v>
      </c>
      <c r="C822" s="1" t="n">
        <v>46175</v>
      </c>
      <c r="D822" t="inlineStr">
        <is>
          <t>KALMAR LÄN</t>
        </is>
      </c>
      <c r="E822" t="inlineStr">
        <is>
          <t>VIMMERBY</t>
        </is>
      </c>
      <c r="G822" t="n">
        <v>0.4</v>
      </c>
      <c r="H822" t="n">
        <v>0</v>
      </c>
      <c r="I822" t="n">
        <v>0</v>
      </c>
      <c r="J822" t="n">
        <v>0</v>
      </c>
      <c r="K822" t="n">
        <v>0</v>
      </c>
      <c r="L822" t="n">
        <v>0</v>
      </c>
      <c r="M822" t="n">
        <v>0</v>
      </c>
      <c r="N822" t="n">
        <v>0</v>
      </c>
      <c r="O822" t="n">
        <v>0</v>
      </c>
      <c r="P822" t="n">
        <v>0</v>
      </c>
      <c r="Q822" t="n">
        <v>0</v>
      </c>
      <c r="R822" s="2" t="inlineStr"/>
    </row>
    <row r="823" ht="15" customHeight="1">
      <c r="A823" t="inlineStr">
        <is>
          <t>A 6474-2025</t>
        </is>
      </c>
      <c r="B823" s="1" t="n">
        <v>45699.60055555555</v>
      </c>
      <c r="C823" s="1" t="n">
        <v>46175</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17-2025</t>
        </is>
      </c>
      <c r="B824" s="1" t="n">
        <v>45658.78774305555</v>
      </c>
      <c r="C824" s="1" t="n">
        <v>46175</v>
      </c>
      <c r="D824" t="inlineStr">
        <is>
          <t>KALMAR LÄN</t>
        </is>
      </c>
      <c r="E824" t="inlineStr">
        <is>
          <t>VIMMERBY</t>
        </is>
      </c>
      <c r="G824" t="n">
        <v>4.4</v>
      </c>
      <c r="H824" t="n">
        <v>0</v>
      </c>
      <c r="I824" t="n">
        <v>0</v>
      </c>
      <c r="J824" t="n">
        <v>0</v>
      </c>
      <c r="K824" t="n">
        <v>0</v>
      </c>
      <c r="L824" t="n">
        <v>0</v>
      </c>
      <c r="M824" t="n">
        <v>0</v>
      </c>
      <c r="N824" t="n">
        <v>0</v>
      </c>
      <c r="O824" t="n">
        <v>0</v>
      </c>
      <c r="P824" t="n">
        <v>0</v>
      </c>
      <c r="Q824" t="n">
        <v>0</v>
      </c>
      <c r="R824" s="2" t="inlineStr"/>
    </row>
    <row r="825" ht="15" customHeight="1">
      <c r="A825" t="inlineStr">
        <is>
          <t>A 57555-2024</t>
        </is>
      </c>
      <c r="B825" s="1" t="n">
        <v>45630.45069444444</v>
      </c>
      <c r="C825" s="1" t="n">
        <v>46175</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52279-2023</t>
        </is>
      </c>
      <c r="B826" s="1" t="n">
        <v>45224</v>
      </c>
      <c r="C826" s="1" t="n">
        <v>46175</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52324-2023</t>
        </is>
      </c>
      <c r="B827" s="1" t="n">
        <v>45224.64659722222</v>
      </c>
      <c r="C827" s="1" t="n">
        <v>46175</v>
      </c>
      <c r="D827" t="inlineStr">
        <is>
          <t>KALMAR LÄN</t>
        </is>
      </c>
      <c r="E827" t="inlineStr">
        <is>
          <t>VIMMERBY</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32639-2023</t>
        </is>
      </c>
      <c r="B828" s="1" t="n">
        <v>45121.5965162037</v>
      </c>
      <c r="C828" s="1" t="n">
        <v>46175</v>
      </c>
      <c r="D828" t="inlineStr">
        <is>
          <t>KALMAR LÄN</t>
        </is>
      </c>
      <c r="E828" t="inlineStr">
        <is>
          <t>VIMMERBY</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32642-2023</t>
        </is>
      </c>
      <c r="B829" s="1" t="n">
        <v>45121.59954861111</v>
      </c>
      <c r="C829" s="1" t="n">
        <v>46175</v>
      </c>
      <c r="D829" t="inlineStr">
        <is>
          <t>KALMAR LÄN</t>
        </is>
      </c>
      <c r="E829" t="inlineStr">
        <is>
          <t>VIMMERBY</t>
        </is>
      </c>
      <c r="F829" t="inlineStr">
        <is>
          <t>Sveaskog</t>
        </is>
      </c>
      <c r="G829" t="n">
        <v>2.1</v>
      </c>
      <c r="H829" t="n">
        <v>0</v>
      </c>
      <c r="I829" t="n">
        <v>0</v>
      </c>
      <c r="J829" t="n">
        <v>0</v>
      </c>
      <c r="K829" t="n">
        <v>0</v>
      </c>
      <c r="L829" t="n">
        <v>0</v>
      </c>
      <c r="M829" t="n">
        <v>0</v>
      </c>
      <c r="N829" t="n">
        <v>0</v>
      </c>
      <c r="O829" t="n">
        <v>0</v>
      </c>
      <c r="P829" t="n">
        <v>0</v>
      </c>
      <c r="Q829" t="n">
        <v>0</v>
      </c>
      <c r="R829" s="2" t="inlineStr"/>
    </row>
    <row r="830" ht="15" customHeight="1">
      <c r="A830" t="inlineStr">
        <is>
          <t>A 32651-2023</t>
        </is>
      </c>
      <c r="B830" s="1" t="n">
        <v>45121.6096875</v>
      </c>
      <c r="C830" s="1" t="n">
        <v>46175</v>
      </c>
      <c r="D830" t="inlineStr">
        <is>
          <t>KALMAR LÄN</t>
        </is>
      </c>
      <c r="E830" t="inlineStr">
        <is>
          <t>VIMMERBY</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40730-2024</t>
        </is>
      </c>
      <c r="B831" s="1" t="n">
        <v>45558.44914351852</v>
      </c>
      <c r="C831" s="1" t="n">
        <v>46175</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9643-2023</t>
        </is>
      </c>
      <c r="B832" s="1" t="n">
        <v>44984</v>
      </c>
      <c r="C832" s="1" t="n">
        <v>46175</v>
      </c>
      <c r="D832" t="inlineStr">
        <is>
          <t>KALMAR LÄN</t>
        </is>
      </c>
      <c r="E832" t="inlineStr">
        <is>
          <t>VIMMERBY</t>
        </is>
      </c>
      <c r="G832" t="n">
        <v>2</v>
      </c>
      <c r="H832" t="n">
        <v>0</v>
      </c>
      <c r="I832" t="n">
        <v>0</v>
      </c>
      <c r="J832" t="n">
        <v>0</v>
      </c>
      <c r="K832" t="n">
        <v>0</v>
      </c>
      <c r="L832" t="n">
        <v>0</v>
      </c>
      <c r="M832" t="n">
        <v>0</v>
      </c>
      <c r="N832" t="n">
        <v>0</v>
      </c>
      <c r="O832" t="n">
        <v>0</v>
      </c>
      <c r="P832" t="n">
        <v>0</v>
      </c>
      <c r="Q832" t="n">
        <v>0</v>
      </c>
      <c r="R832" s="2" t="inlineStr"/>
    </row>
    <row r="833" ht="15" customHeight="1">
      <c r="A833" t="inlineStr">
        <is>
          <t>A 56213-2024</t>
        </is>
      </c>
      <c r="B833" s="1" t="n">
        <v>45624.60141203704</v>
      </c>
      <c r="C833" s="1" t="n">
        <v>46175</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20126-2024</t>
        </is>
      </c>
      <c r="B834" s="1" t="n">
        <v>45434.55471064815</v>
      </c>
      <c r="C834" s="1" t="n">
        <v>46175</v>
      </c>
      <c r="D834" t="inlineStr">
        <is>
          <t>KALMAR LÄN</t>
        </is>
      </c>
      <c r="E834" t="inlineStr">
        <is>
          <t>VIMMERBY</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9694-2023</t>
        </is>
      </c>
      <c r="B835" s="1" t="n">
        <v>44984.45895833334</v>
      </c>
      <c r="C835" s="1" t="n">
        <v>46175</v>
      </c>
      <c r="D835" t="inlineStr">
        <is>
          <t>KALMAR LÄN</t>
        </is>
      </c>
      <c r="E835" t="inlineStr">
        <is>
          <t>VIMMERBY</t>
        </is>
      </c>
      <c r="G835" t="n">
        <v>2.1</v>
      </c>
      <c r="H835" t="n">
        <v>0</v>
      </c>
      <c r="I835" t="n">
        <v>0</v>
      </c>
      <c r="J835" t="n">
        <v>0</v>
      </c>
      <c r="K835" t="n">
        <v>0</v>
      </c>
      <c r="L835" t="n">
        <v>0</v>
      </c>
      <c r="M835" t="n">
        <v>0</v>
      </c>
      <c r="N835" t="n">
        <v>0</v>
      </c>
      <c r="O835" t="n">
        <v>0</v>
      </c>
      <c r="P835" t="n">
        <v>0</v>
      </c>
      <c r="Q835" t="n">
        <v>0</v>
      </c>
      <c r="R835" s="2" t="inlineStr"/>
    </row>
    <row r="836" ht="15" customHeight="1">
      <c r="A836" t="inlineStr">
        <is>
          <t>A 9710-2023</t>
        </is>
      </c>
      <c r="B836" s="1" t="n">
        <v>44984</v>
      </c>
      <c r="C836" s="1" t="n">
        <v>46175</v>
      </c>
      <c r="D836" t="inlineStr">
        <is>
          <t>KALMAR LÄN</t>
        </is>
      </c>
      <c r="E836" t="inlineStr">
        <is>
          <t>VIMMERBY</t>
        </is>
      </c>
      <c r="G836" t="n">
        <v>3.7</v>
      </c>
      <c r="H836" t="n">
        <v>0</v>
      </c>
      <c r="I836" t="n">
        <v>0</v>
      </c>
      <c r="J836" t="n">
        <v>0</v>
      </c>
      <c r="K836" t="n">
        <v>0</v>
      </c>
      <c r="L836" t="n">
        <v>0</v>
      </c>
      <c r="M836" t="n">
        <v>0</v>
      </c>
      <c r="N836" t="n">
        <v>0</v>
      </c>
      <c r="O836" t="n">
        <v>0</v>
      </c>
      <c r="P836" t="n">
        <v>0</v>
      </c>
      <c r="Q836" t="n">
        <v>0</v>
      </c>
      <c r="R836" s="2" t="inlineStr"/>
    </row>
    <row r="837" ht="15" customHeight="1">
      <c r="A837" t="inlineStr">
        <is>
          <t>A 6216-2025</t>
        </is>
      </c>
      <c r="B837" s="1" t="n">
        <v>45698.52806712963</v>
      </c>
      <c r="C837" s="1" t="n">
        <v>46175</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7944-2024</t>
        </is>
      </c>
      <c r="B838" s="1" t="n">
        <v>45350.53306712963</v>
      </c>
      <c r="C838" s="1" t="n">
        <v>46175</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598-2025</t>
        </is>
      </c>
      <c r="B839" s="1" t="n">
        <v>45660</v>
      </c>
      <c r="C839" s="1" t="n">
        <v>46175</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10807-2024</t>
        </is>
      </c>
      <c r="B840" s="1" t="n">
        <v>45369.62780092593</v>
      </c>
      <c r="C840" s="1" t="n">
        <v>46175</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40260-2024</t>
        </is>
      </c>
      <c r="B841" s="1" t="n">
        <v>45554.63225694445</v>
      </c>
      <c r="C841" s="1" t="n">
        <v>46175</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10787-2025</t>
        </is>
      </c>
      <c r="B842" s="1" t="n">
        <v>45722.48915509259</v>
      </c>
      <c r="C842" s="1" t="n">
        <v>46175</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58577-2024</t>
        </is>
      </c>
      <c r="B843" s="1" t="n">
        <v>45635.4874537037</v>
      </c>
      <c r="C843" s="1" t="n">
        <v>46175</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38198-2024</t>
        </is>
      </c>
      <c r="B844" s="1" t="n">
        <v>45545.49508101852</v>
      </c>
      <c r="C844" s="1" t="n">
        <v>46175</v>
      </c>
      <c r="D844" t="inlineStr">
        <is>
          <t>KALMAR LÄN</t>
        </is>
      </c>
      <c r="E844" t="inlineStr">
        <is>
          <t>VIMMERBY</t>
        </is>
      </c>
      <c r="G844" t="n">
        <v>7.9</v>
      </c>
      <c r="H844" t="n">
        <v>0</v>
      </c>
      <c r="I844" t="n">
        <v>0</v>
      </c>
      <c r="J844" t="n">
        <v>0</v>
      </c>
      <c r="K844" t="n">
        <v>0</v>
      </c>
      <c r="L844" t="n">
        <v>0</v>
      </c>
      <c r="M844" t="n">
        <v>0</v>
      </c>
      <c r="N844" t="n">
        <v>0</v>
      </c>
      <c r="O844" t="n">
        <v>0</v>
      </c>
      <c r="P844" t="n">
        <v>0</v>
      </c>
      <c r="Q844" t="n">
        <v>0</v>
      </c>
      <c r="R844" s="2" t="inlineStr"/>
    </row>
    <row r="845" ht="15" customHeight="1">
      <c r="A845" t="inlineStr">
        <is>
          <t>A 43617-2024</t>
        </is>
      </c>
      <c r="B845" s="1" t="n">
        <v>45569.47494212963</v>
      </c>
      <c r="C845" s="1" t="n">
        <v>46175</v>
      </c>
      <c r="D845" t="inlineStr">
        <is>
          <t>KALMAR LÄN</t>
        </is>
      </c>
      <c r="E845" t="inlineStr">
        <is>
          <t>VIMMERBY</t>
        </is>
      </c>
      <c r="G845" t="n">
        <v>2.7</v>
      </c>
      <c r="H845" t="n">
        <v>0</v>
      </c>
      <c r="I845" t="n">
        <v>0</v>
      </c>
      <c r="J845" t="n">
        <v>0</v>
      </c>
      <c r="K845" t="n">
        <v>0</v>
      </c>
      <c r="L845" t="n">
        <v>0</v>
      </c>
      <c r="M845" t="n">
        <v>0</v>
      </c>
      <c r="N845" t="n">
        <v>0</v>
      </c>
      <c r="O845" t="n">
        <v>0</v>
      </c>
      <c r="P845" t="n">
        <v>0</v>
      </c>
      <c r="Q845" t="n">
        <v>0</v>
      </c>
      <c r="R845" s="2" t="inlineStr"/>
    </row>
    <row r="846" ht="15" customHeight="1">
      <c r="A846" t="inlineStr">
        <is>
          <t>A 22264-2023</t>
        </is>
      </c>
      <c r="B846" s="1" t="n">
        <v>45070.3665625</v>
      </c>
      <c r="C846" s="1" t="n">
        <v>46175</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22266-2023</t>
        </is>
      </c>
      <c r="B847" s="1" t="n">
        <v>45070</v>
      </c>
      <c r="C847" s="1" t="n">
        <v>46175</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50091-2023</t>
        </is>
      </c>
      <c r="B848" s="1" t="n">
        <v>45215.60199074074</v>
      </c>
      <c r="C848" s="1" t="n">
        <v>46175</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10303-2025</t>
        </is>
      </c>
      <c r="B849" s="1" t="n">
        <v>45720.44217592593</v>
      </c>
      <c r="C849" s="1" t="n">
        <v>46175</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11027-2023</t>
        </is>
      </c>
      <c r="B850" s="1" t="n">
        <v>44991.89657407408</v>
      </c>
      <c r="C850" s="1" t="n">
        <v>46175</v>
      </c>
      <c r="D850" t="inlineStr">
        <is>
          <t>KALMAR LÄN</t>
        </is>
      </c>
      <c r="E850" t="inlineStr">
        <is>
          <t>VIMMERBY</t>
        </is>
      </c>
      <c r="G850" t="n">
        <v>0.8</v>
      </c>
      <c r="H850" t="n">
        <v>0</v>
      </c>
      <c r="I850" t="n">
        <v>0</v>
      </c>
      <c r="J850" t="n">
        <v>0</v>
      </c>
      <c r="K850" t="n">
        <v>0</v>
      </c>
      <c r="L850" t="n">
        <v>0</v>
      </c>
      <c r="M850" t="n">
        <v>0</v>
      </c>
      <c r="N850" t="n">
        <v>0</v>
      </c>
      <c r="O850" t="n">
        <v>0</v>
      </c>
      <c r="P850" t="n">
        <v>0</v>
      </c>
      <c r="Q850" t="n">
        <v>0</v>
      </c>
      <c r="R850" s="2" t="inlineStr"/>
    </row>
    <row r="851" ht="15" customHeight="1">
      <c r="A851" t="inlineStr">
        <is>
          <t>A 11661-2023</t>
        </is>
      </c>
      <c r="B851" s="1" t="n">
        <v>44994.46908564815</v>
      </c>
      <c r="C851" s="1" t="n">
        <v>46175</v>
      </c>
      <c r="D851" t="inlineStr">
        <is>
          <t>KALMAR LÄN</t>
        </is>
      </c>
      <c r="E851" t="inlineStr">
        <is>
          <t>VIMMERBY</t>
        </is>
      </c>
      <c r="G851" t="n">
        <v>2.7</v>
      </c>
      <c r="H851" t="n">
        <v>0</v>
      </c>
      <c r="I851" t="n">
        <v>0</v>
      </c>
      <c r="J851" t="n">
        <v>0</v>
      </c>
      <c r="K851" t="n">
        <v>0</v>
      </c>
      <c r="L851" t="n">
        <v>0</v>
      </c>
      <c r="M851" t="n">
        <v>0</v>
      </c>
      <c r="N851" t="n">
        <v>0</v>
      </c>
      <c r="O851" t="n">
        <v>0</v>
      </c>
      <c r="P851" t="n">
        <v>0</v>
      </c>
      <c r="Q851" t="n">
        <v>0</v>
      </c>
      <c r="R851" s="2" t="inlineStr"/>
    </row>
    <row r="852" ht="15" customHeight="1">
      <c r="A852" t="inlineStr">
        <is>
          <t>A 36155-2023</t>
        </is>
      </c>
      <c r="B852" s="1" t="n">
        <v>45149.60917824074</v>
      </c>
      <c r="C852" s="1" t="n">
        <v>46175</v>
      </c>
      <c r="D852" t="inlineStr">
        <is>
          <t>KALMAR LÄN</t>
        </is>
      </c>
      <c r="E852" t="inlineStr">
        <is>
          <t>VIMMERBY</t>
        </is>
      </c>
      <c r="G852" t="n">
        <v>5</v>
      </c>
      <c r="H852" t="n">
        <v>0</v>
      </c>
      <c r="I852" t="n">
        <v>0</v>
      </c>
      <c r="J852" t="n">
        <v>0</v>
      </c>
      <c r="K852" t="n">
        <v>0</v>
      </c>
      <c r="L852" t="n">
        <v>0</v>
      </c>
      <c r="M852" t="n">
        <v>0</v>
      </c>
      <c r="N852" t="n">
        <v>0</v>
      </c>
      <c r="O852" t="n">
        <v>0</v>
      </c>
      <c r="P852" t="n">
        <v>0</v>
      </c>
      <c r="Q852" t="n">
        <v>0</v>
      </c>
      <c r="R852" s="2" t="inlineStr"/>
    </row>
    <row r="853" ht="15" customHeight="1">
      <c r="A853" t="inlineStr">
        <is>
          <t>A 40147-2023</t>
        </is>
      </c>
      <c r="B853" s="1" t="n">
        <v>45169</v>
      </c>
      <c r="C853" s="1" t="n">
        <v>46175</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63950-2023</t>
        </is>
      </c>
      <c r="B854" s="1" t="n">
        <v>45278</v>
      </c>
      <c r="C854" s="1" t="n">
        <v>46175</v>
      </c>
      <c r="D854" t="inlineStr">
        <is>
          <t>KALMAR LÄN</t>
        </is>
      </c>
      <c r="E854" t="inlineStr">
        <is>
          <t>VIMMERBY</t>
        </is>
      </c>
      <c r="F854" t="inlineStr">
        <is>
          <t>Kyrkan</t>
        </is>
      </c>
      <c r="G854" t="n">
        <v>2.7</v>
      </c>
      <c r="H854" t="n">
        <v>0</v>
      </c>
      <c r="I854" t="n">
        <v>0</v>
      </c>
      <c r="J854" t="n">
        <v>0</v>
      </c>
      <c r="K854" t="n">
        <v>0</v>
      </c>
      <c r="L854" t="n">
        <v>0</v>
      </c>
      <c r="M854" t="n">
        <v>0</v>
      </c>
      <c r="N854" t="n">
        <v>0</v>
      </c>
      <c r="O854" t="n">
        <v>0</v>
      </c>
      <c r="P854" t="n">
        <v>0</v>
      </c>
      <c r="Q854" t="n">
        <v>0</v>
      </c>
      <c r="R854" s="2" t="inlineStr"/>
    </row>
    <row r="855" ht="15" customHeight="1">
      <c r="A855" t="inlineStr">
        <is>
          <t>A 24096-2024</t>
        </is>
      </c>
      <c r="B855" s="1" t="n">
        <v>45456.59289351852</v>
      </c>
      <c r="C855" s="1" t="n">
        <v>46175</v>
      </c>
      <c r="D855" t="inlineStr">
        <is>
          <t>KALMAR LÄN</t>
        </is>
      </c>
      <c r="E855" t="inlineStr">
        <is>
          <t>VIMMERBY</t>
        </is>
      </c>
      <c r="G855" t="n">
        <v>2.3</v>
      </c>
      <c r="H855" t="n">
        <v>0</v>
      </c>
      <c r="I855" t="n">
        <v>0</v>
      </c>
      <c r="J855" t="n">
        <v>0</v>
      </c>
      <c r="K855" t="n">
        <v>0</v>
      </c>
      <c r="L855" t="n">
        <v>0</v>
      </c>
      <c r="M855" t="n">
        <v>0</v>
      </c>
      <c r="N855" t="n">
        <v>0</v>
      </c>
      <c r="O855" t="n">
        <v>0</v>
      </c>
      <c r="P855" t="n">
        <v>0</v>
      </c>
      <c r="Q855" t="n">
        <v>0</v>
      </c>
      <c r="R855" s="2" t="inlineStr"/>
    </row>
    <row r="856" ht="15" customHeight="1">
      <c r="A856" t="inlineStr">
        <is>
          <t>A 13015-2023</t>
        </is>
      </c>
      <c r="B856" s="1" t="n">
        <v>45002</v>
      </c>
      <c r="C856" s="1" t="n">
        <v>46175</v>
      </c>
      <c r="D856" t="inlineStr">
        <is>
          <t>KALMAR LÄN</t>
        </is>
      </c>
      <c r="E856" t="inlineStr">
        <is>
          <t>VIMMERBY</t>
        </is>
      </c>
      <c r="G856" t="n">
        <v>3.2</v>
      </c>
      <c r="H856" t="n">
        <v>0</v>
      </c>
      <c r="I856" t="n">
        <v>0</v>
      </c>
      <c r="J856" t="n">
        <v>0</v>
      </c>
      <c r="K856" t="n">
        <v>0</v>
      </c>
      <c r="L856" t="n">
        <v>0</v>
      </c>
      <c r="M856" t="n">
        <v>0</v>
      </c>
      <c r="N856" t="n">
        <v>0</v>
      </c>
      <c r="O856" t="n">
        <v>0</v>
      </c>
      <c r="P856" t="n">
        <v>0</v>
      </c>
      <c r="Q856" t="n">
        <v>0</v>
      </c>
      <c r="R856" s="2" t="inlineStr"/>
    </row>
    <row r="857" ht="15" customHeight="1">
      <c r="A857" t="inlineStr">
        <is>
          <t>A 41199-2023</t>
        </is>
      </c>
      <c r="B857" s="1" t="n">
        <v>45174.40454861111</v>
      </c>
      <c r="C857" s="1" t="n">
        <v>46175</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36014-2024</t>
        </is>
      </c>
      <c r="B858" s="1" t="n">
        <v>45533.56108796296</v>
      </c>
      <c r="C858" s="1" t="n">
        <v>46175</v>
      </c>
      <c r="D858" t="inlineStr">
        <is>
          <t>KALMAR LÄN</t>
        </is>
      </c>
      <c r="E858" t="inlineStr">
        <is>
          <t>VIMMERBY</t>
        </is>
      </c>
      <c r="G858" t="n">
        <v>2.3</v>
      </c>
      <c r="H858" t="n">
        <v>0</v>
      </c>
      <c r="I858" t="n">
        <v>0</v>
      </c>
      <c r="J858" t="n">
        <v>0</v>
      </c>
      <c r="K858" t="n">
        <v>0</v>
      </c>
      <c r="L858" t="n">
        <v>0</v>
      </c>
      <c r="M858" t="n">
        <v>0</v>
      </c>
      <c r="N858" t="n">
        <v>0</v>
      </c>
      <c r="O858" t="n">
        <v>0</v>
      </c>
      <c r="P858" t="n">
        <v>0</v>
      </c>
      <c r="Q858" t="n">
        <v>0</v>
      </c>
      <c r="R858" s="2" t="inlineStr"/>
    </row>
    <row r="859" ht="15" customHeight="1">
      <c r="A859" t="inlineStr">
        <is>
          <t>A 36030-2024</t>
        </is>
      </c>
      <c r="B859" s="1" t="n">
        <v>45533.58302083334</v>
      </c>
      <c r="C859" s="1" t="n">
        <v>46175</v>
      </c>
      <c r="D859" t="inlineStr">
        <is>
          <t>KALMAR LÄN</t>
        </is>
      </c>
      <c r="E859" t="inlineStr">
        <is>
          <t>VIMMERBY</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6321-2023</t>
        </is>
      </c>
      <c r="B860" s="1" t="n">
        <v>44965.4815162037</v>
      </c>
      <c r="C860" s="1" t="n">
        <v>46175</v>
      </c>
      <c r="D860" t="inlineStr">
        <is>
          <t>KALMAR LÄN</t>
        </is>
      </c>
      <c r="E860" t="inlineStr">
        <is>
          <t>VIMMERBY</t>
        </is>
      </c>
      <c r="G860" t="n">
        <v>1.8</v>
      </c>
      <c r="H860" t="n">
        <v>0</v>
      </c>
      <c r="I860" t="n">
        <v>0</v>
      </c>
      <c r="J860" t="n">
        <v>0</v>
      </c>
      <c r="K860" t="n">
        <v>0</v>
      </c>
      <c r="L860" t="n">
        <v>0</v>
      </c>
      <c r="M860" t="n">
        <v>0</v>
      </c>
      <c r="N860" t="n">
        <v>0</v>
      </c>
      <c r="O860" t="n">
        <v>0</v>
      </c>
      <c r="P860" t="n">
        <v>0</v>
      </c>
      <c r="Q860" t="n">
        <v>0</v>
      </c>
      <c r="R860" s="2" t="inlineStr"/>
    </row>
    <row r="861" ht="15" customHeight="1">
      <c r="A861" t="inlineStr">
        <is>
          <t>A 52755-2022</t>
        </is>
      </c>
      <c r="B861" s="1" t="n">
        <v>44875.27736111111</v>
      </c>
      <c r="C861" s="1" t="n">
        <v>46175</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40823-2023</t>
        </is>
      </c>
      <c r="B862" s="1" t="n">
        <v>45171.77335648148</v>
      </c>
      <c r="C862" s="1" t="n">
        <v>46175</v>
      </c>
      <c r="D862" t="inlineStr">
        <is>
          <t>KALMAR LÄN</t>
        </is>
      </c>
      <c r="E862" t="inlineStr">
        <is>
          <t>VIMMERBY</t>
        </is>
      </c>
      <c r="G862" t="n">
        <v>2.7</v>
      </c>
      <c r="H862" t="n">
        <v>0</v>
      </c>
      <c r="I862" t="n">
        <v>0</v>
      </c>
      <c r="J862" t="n">
        <v>0</v>
      </c>
      <c r="K862" t="n">
        <v>0</v>
      </c>
      <c r="L862" t="n">
        <v>0</v>
      </c>
      <c r="M862" t="n">
        <v>0</v>
      </c>
      <c r="N862" t="n">
        <v>0</v>
      </c>
      <c r="O862" t="n">
        <v>0</v>
      </c>
      <c r="P862" t="n">
        <v>0</v>
      </c>
      <c r="Q862" t="n">
        <v>0</v>
      </c>
      <c r="R862" s="2" t="inlineStr"/>
    </row>
    <row r="863" ht="15" customHeight="1">
      <c r="A863" t="inlineStr">
        <is>
          <t>A 27761-2024</t>
        </is>
      </c>
      <c r="B863" s="1" t="n">
        <v>45475.49018518518</v>
      </c>
      <c r="C863" s="1" t="n">
        <v>46175</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21028-2023</t>
        </is>
      </c>
      <c r="B864" s="1" t="n">
        <v>45061</v>
      </c>
      <c r="C864" s="1" t="n">
        <v>46175</v>
      </c>
      <c r="D864" t="inlineStr">
        <is>
          <t>KALMAR LÄN</t>
        </is>
      </c>
      <c r="E864" t="inlineStr">
        <is>
          <t>VIMMERBY</t>
        </is>
      </c>
      <c r="F864" t="inlineStr">
        <is>
          <t>Övriga Aktiebolag</t>
        </is>
      </c>
      <c r="G864" t="n">
        <v>0.7</v>
      </c>
      <c r="H864" t="n">
        <v>0</v>
      </c>
      <c r="I864" t="n">
        <v>0</v>
      </c>
      <c r="J864" t="n">
        <v>0</v>
      </c>
      <c r="K864" t="n">
        <v>0</v>
      </c>
      <c r="L864" t="n">
        <v>0</v>
      </c>
      <c r="M864" t="n">
        <v>0</v>
      </c>
      <c r="N864" t="n">
        <v>0</v>
      </c>
      <c r="O864" t="n">
        <v>0</v>
      </c>
      <c r="P864" t="n">
        <v>0</v>
      </c>
      <c r="Q864" t="n">
        <v>0</v>
      </c>
      <c r="R864" s="2" t="inlineStr"/>
    </row>
    <row r="865" ht="15" customHeight="1">
      <c r="A865" t="inlineStr">
        <is>
          <t>A 64203-2021</t>
        </is>
      </c>
      <c r="B865" s="1" t="n">
        <v>44510.60921296296</v>
      </c>
      <c r="C865" s="1" t="n">
        <v>46175</v>
      </c>
      <c r="D865" t="inlineStr">
        <is>
          <t>KALMAR LÄN</t>
        </is>
      </c>
      <c r="E865" t="inlineStr">
        <is>
          <t>VIMMERBY</t>
        </is>
      </c>
      <c r="F865" t="inlineStr">
        <is>
          <t>Övriga Aktiebolag</t>
        </is>
      </c>
      <c r="G865" t="n">
        <v>5.4</v>
      </c>
      <c r="H865" t="n">
        <v>0</v>
      </c>
      <c r="I865" t="n">
        <v>0</v>
      </c>
      <c r="J865" t="n">
        <v>0</v>
      </c>
      <c r="K865" t="n">
        <v>0</v>
      </c>
      <c r="L865" t="n">
        <v>0</v>
      </c>
      <c r="M865" t="n">
        <v>0</v>
      </c>
      <c r="N865" t="n">
        <v>0</v>
      </c>
      <c r="O865" t="n">
        <v>0</v>
      </c>
      <c r="P865" t="n">
        <v>0</v>
      </c>
      <c r="Q865" t="n">
        <v>0</v>
      </c>
      <c r="R865" s="2" t="inlineStr"/>
    </row>
    <row r="866" ht="15" customHeight="1">
      <c r="A866" t="inlineStr">
        <is>
          <t>A 1016-2024</t>
        </is>
      </c>
      <c r="B866" s="1" t="n">
        <v>45301</v>
      </c>
      <c r="C866" s="1" t="n">
        <v>46175</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1024-2024</t>
        </is>
      </c>
      <c r="B867" s="1" t="n">
        <v>45301.68237268519</v>
      </c>
      <c r="C867" s="1" t="n">
        <v>46175</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27758-2024</t>
        </is>
      </c>
      <c r="B868" s="1" t="n">
        <v>45475.48303240741</v>
      </c>
      <c r="C868" s="1" t="n">
        <v>46175</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32865-2023</t>
        </is>
      </c>
      <c r="B869" s="1" t="n">
        <v>45124</v>
      </c>
      <c r="C869" s="1" t="n">
        <v>46175</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22194-2024</t>
        </is>
      </c>
      <c r="B870" s="1" t="n">
        <v>45446.36482638889</v>
      </c>
      <c r="C870" s="1" t="n">
        <v>46175</v>
      </c>
      <c r="D870" t="inlineStr">
        <is>
          <t>KALMAR LÄN</t>
        </is>
      </c>
      <c r="E870" t="inlineStr">
        <is>
          <t>VIMMERBY</t>
        </is>
      </c>
      <c r="F870" t="inlineStr">
        <is>
          <t>Sveaskog</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17926-2025</t>
        </is>
      </c>
      <c r="B871" s="1" t="n">
        <v>45759.38987268518</v>
      </c>
      <c r="C871" s="1" t="n">
        <v>46175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35127-2024</t>
        </is>
      </c>
      <c r="B872" s="1" t="n">
        <v>45530.33202546297</v>
      </c>
      <c r="C872" s="1" t="n">
        <v>46175</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33383-2023</t>
        </is>
      </c>
      <c r="B873" s="1" t="n">
        <v>45128.58414351852</v>
      </c>
      <c r="C873" s="1" t="n">
        <v>46175</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4297-2022</t>
        </is>
      </c>
      <c r="B874" s="1" t="n">
        <v>44588</v>
      </c>
      <c r="C874" s="1" t="n">
        <v>46175</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55716-2023</t>
        </is>
      </c>
      <c r="B875" s="1" t="n">
        <v>45232</v>
      </c>
      <c r="C875" s="1" t="n">
        <v>46175</v>
      </c>
      <c r="D875" t="inlineStr">
        <is>
          <t>KALMAR LÄN</t>
        </is>
      </c>
      <c r="E875" t="inlineStr">
        <is>
          <t>VIMMERBY</t>
        </is>
      </c>
      <c r="G875" t="n">
        <v>2.3</v>
      </c>
      <c r="H875" t="n">
        <v>0</v>
      </c>
      <c r="I875" t="n">
        <v>0</v>
      </c>
      <c r="J875" t="n">
        <v>0</v>
      </c>
      <c r="K875" t="n">
        <v>0</v>
      </c>
      <c r="L875" t="n">
        <v>0</v>
      </c>
      <c r="M875" t="n">
        <v>0</v>
      </c>
      <c r="N875" t="n">
        <v>0</v>
      </c>
      <c r="O875" t="n">
        <v>0</v>
      </c>
      <c r="P875" t="n">
        <v>0</v>
      </c>
      <c r="Q875" t="n">
        <v>0</v>
      </c>
      <c r="R875" s="2" t="inlineStr"/>
    </row>
    <row r="876" ht="15" customHeight="1">
      <c r="A876" t="inlineStr">
        <is>
          <t>A 34386-2024</t>
        </is>
      </c>
      <c r="B876" s="1" t="n">
        <v>45525.41762731481</v>
      </c>
      <c r="C876" s="1" t="n">
        <v>46175</v>
      </c>
      <c r="D876" t="inlineStr">
        <is>
          <t>KALMAR LÄN</t>
        </is>
      </c>
      <c r="E876" t="inlineStr">
        <is>
          <t>VIMMERBY</t>
        </is>
      </c>
      <c r="G876" t="n">
        <v>0.3</v>
      </c>
      <c r="H876" t="n">
        <v>0</v>
      </c>
      <c r="I876" t="n">
        <v>0</v>
      </c>
      <c r="J876" t="n">
        <v>0</v>
      </c>
      <c r="K876" t="n">
        <v>0</v>
      </c>
      <c r="L876" t="n">
        <v>0</v>
      </c>
      <c r="M876" t="n">
        <v>0</v>
      </c>
      <c r="N876" t="n">
        <v>0</v>
      </c>
      <c r="O876" t="n">
        <v>0</v>
      </c>
      <c r="P876" t="n">
        <v>0</v>
      </c>
      <c r="Q876" t="n">
        <v>0</v>
      </c>
      <c r="R876" s="2" t="inlineStr"/>
    </row>
    <row r="877" ht="15" customHeight="1">
      <c r="A877" t="inlineStr">
        <is>
          <t>A 42429-2024</t>
        </is>
      </c>
      <c r="B877" s="1" t="n">
        <v>45565.40657407408</v>
      </c>
      <c r="C877" s="1" t="n">
        <v>46175</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11946-2025</t>
        </is>
      </c>
      <c r="B878" s="1" t="n">
        <v>45728.54832175926</v>
      </c>
      <c r="C878" s="1" t="n">
        <v>46175</v>
      </c>
      <c r="D878" t="inlineStr">
        <is>
          <t>KALMAR LÄN</t>
        </is>
      </c>
      <c r="E878" t="inlineStr">
        <is>
          <t>VIMMERBY</t>
        </is>
      </c>
      <c r="G878" t="n">
        <v>0.4</v>
      </c>
      <c r="H878" t="n">
        <v>0</v>
      </c>
      <c r="I878" t="n">
        <v>0</v>
      </c>
      <c r="J878" t="n">
        <v>0</v>
      </c>
      <c r="K878" t="n">
        <v>0</v>
      </c>
      <c r="L878" t="n">
        <v>0</v>
      </c>
      <c r="M878" t="n">
        <v>0</v>
      </c>
      <c r="N878" t="n">
        <v>0</v>
      </c>
      <c r="O878" t="n">
        <v>0</v>
      </c>
      <c r="P878" t="n">
        <v>0</v>
      </c>
      <c r="Q878" t="n">
        <v>0</v>
      </c>
      <c r="R878" s="2" t="inlineStr"/>
    </row>
    <row r="879" ht="15" customHeight="1">
      <c r="A879" t="inlineStr">
        <is>
          <t>A 59943-2023</t>
        </is>
      </c>
      <c r="B879" s="1" t="n">
        <v>45257.67958333333</v>
      </c>
      <c r="C879" s="1" t="n">
        <v>46175</v>
      </c>
      <c r="D879" t="inlineStr">
        <is>
          <t>KALMAR LÄN</t>
        </is>
      </c>
      <c r="E879" t="inlineStr">
        <is>
          <t>VIMMERBY</t>
        </is>
      </c>
      <c r="G879" t="n">
        <v>6.4</v>
      </c>
      <c r="H879" t="n">
        <v>0</v>
      </c>
      <c r="I879" t="n">
        <v>0</v>
      </c>
      <c r="J879" t="n">
        <v>0</v>
      </c>
      <c r="K879" t="n">
        <v>0</v>
      </c>
      <c r="L879" t="n">
        <v>0</v>
      </c>
      <c r="M879" t="n">
        <v>0</v>
      </c>
      <c r="N879" t="n">
        <v>0</v>
      </c>
      <c r="O879" t="n">
        <v>0</v>
      </c>
      <c r="P879" t="n">
        <v>0</v>
      </c>
      <c r="Q879" t="n">
        <v>0</v>
      </c>
      <c r="R879" s="2" t="inlineStr"/>
    </row>
    <row r="880" ht="15" customHeight="1">
      <c r="A880" t="inlineStr">
        <is>
          <t>A 15493-2023</t>
        </is>
      </c>
      <c r="B880" s="1" t="n">
        <v>45018</v>
      </c>
      <c r="C880" s="1" t="n">
        <v>46175</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51881-2024</t>
        </is>
      </c>
      <c r="B881" s="1" t="n">
        <v>45607.56773148148</v>
      </c>
      <c r="C881" s="1" t="n">
        <v>46175</v>
      </c>
      <c r="D881" t="inlineStr">
        <is>
          <t>KALMAR LÄN</t>
        </is>
      </c>
      <c r="E881" t="inlineStr">
        <is>
          <t>VIMMERBY</t>
        </is>
      </c>
      <c r="G881" t="n">
        <v>3.4</v>
      </c>
      <c r="H881" t="n">
        <v>0</v>
      </c>
      <c r="I881" t="n">
        <v>0</v>
      </c>
      <c r="J881" t="n">
        <v>0</v>
      </c>
      <c r="K881" t="n">
        <v>0</v>
      </c>
      <c r="L881" t="n">
        <v>0</v>
      </c>
      <c r="M881" t="n">
        <v>0</v>
      </c>
      <c r="N881" t="n">
        <v>0</v>
      </c>
      <c r="O881" t="n">
        <v>0</v>
      </c>
      <c r="P881" t="n">
        <v>0</v>
      </c>
      <c r="Q881" t="n">
        <v>0</v>
      </c>
      <c r="R881" s="2" t="inlineStr"/>
    </row>
    <row r="882" ht="15" customHeight="1">
      <c r="A882" t="inlineStr">
        <is>
          <t>A 1021-2024</t>
        </is>
      </c>
      <c r="B882" s="1" t="n">
        <v>45301.67736111111</v>
      </c>
      <c r="C882" s="1" t="n">
        <v>46175</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32569-2024</t>
        </is>
      </c>
      <c r="B883" s="1" t="n">
        <v>45513.55840277778</v>
      </c>
      <c r="C883" s="1" t="n">
        <v>46175</v>
      </c>
      <c r="D883" t="inlineStr">
        <is>
          <t>KALMAR LÄN</t>
        </is>
      </c>
      <c r="E883" t="inlineStr">
        <is>
          <t>VIMMERBY</t>
        </is>
      </c>
      <c r="G883" t="n">
        <v>3.7</v>
      </c>
      <c r="H883" t="n">
        <v>0</v>
      </c>
      <c r="I883" t="n">
        <v>0</v>
      </c>
      <c r="J883" t="n">
        <v>0</v>
      </c>
      <c r="K883" t="n">
        <v>0</v>
      </c>
      <c r="L883" t="n">
        <v>0</v>
      </c>
      <c r="M883" t="n">
        <v>0</v>
      </c>
      <c r="N883" t="n">
        <v>0</v>
      </c>
      <c r="O883" t="n">
        <v>0</v>
      </c>
      <c r="P883" t="n">
        <v>0</v>
      </c>
      <c r="Q883" t="n">
        <v>0</v>
      </c>
      <c r="R883" s="2" t="inlineStr"/>
    </row>
    <row r="884" ht="15" customHeight="1">
      <c r="A884" t="inlineStr">
        <is>
          <t>A 32575-2024</t>
        </is>
      </c>
      <c r="B884" s="1" t="n">
        <v>45513.56527777778</v>
      </c>
      <c r="C884" s="1" t="n">
        <v>46175</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30063-2023</t>
        </is>
      </c>
      <c r="B885" s="1" t="n">
        <v>45110.4184375</v>
      </c>
      <c r="C885" s="1" t="n">
        <v>46175</v>
      </c>
      <c r="D885" t="inlineStr">
        <is>
          <t>KALMAR LÄN</t>
        </is>
      </c>
      <c r="E885" t="inlineStr">
        <is>
          <t>VIMMERBY</t>
        </is>
      </c>
      <c r="G885" t="n">
        <v>1.2</v>
      </c>
      <c r="H885" t="n">
        <v>0</v>
      </c>
      <c r="I885" t="n">
        <v>0</v>
      </c>
      <c r="J885" t="n">
        <v>0</v>
      </c>
      <c r="K885" t="n">
        <v>0</v>
      </c>
      <c r="L885" t="n">
        <v>0</v>
      </c>
      <c r="M885" t="n">
        <v>0</v>
      </c>
      <c r="N885" t="n">
        <v>0</v>
      </c>
      <c r="O885" t="n">
        <v>0</v>
      </c>
      <c r="P885" t="n">
        <v>0</v>
      </c>
      <c r="Q885" t="n">
        <v>0</v>
      </c>
      <c r="R885" s="2" t="inlineStr"/>
    </row>
    <row r="886" ht="15" customHeight="1">
      <c r="A886" t="inlineStr">
        <is>
          <t>A 17482-2024</t>
        </is>
      </c>
      <c r="B886" s="1" t="n">
        <v>45415.47848379629</v>
      </c>
      <c r="C886" s="1" t="n">
        <v>46175</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13817-2024</t>
        </is>
      </c>
      <c r="B887" s="1" t="n">
        <v>45391.41976851852</v>
      </c>
      <c r="C887" s="1" t="n">
        <v>46175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30406-2023</t>
        </is>
      </c>
      <c r="B888" s="1" t="n">
        <v>45111.48787037037</v>
      </c>
      <c r="C888" s="1" t="n">
        <v>46175</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29020-2024</t>
        </is>
      </c>
      <c r="B889" s="1" t="n">
        <v>45481.58048611111</v>
      </c>
      <c r="C889" s="1" t="n">
        <v>46175</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25582-2024</t>
        </is>
      </c>
      <c r="B890" s="1" t="n">
        <v>45463</v>
      </c>
      <c r="C890" s="1" t="n">
        <v>46175</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57578-2024</t>
        </is>
      </c>
      <c r="B891" s="1" t="n">
        <v>45630.47564814815</v>
      </c>
      <c r="C891" s="1" t="n">
        <v>46175</v>
      </c>
      <c r="D891" t="inlineStr">
        <is>
          <t>KALMAR LÄN</t>
        </is>
      </c>
      <c r="E891" t="inlineStr">
        <is>
          <t>VIMMERBY</t>
        </is>
      </c>
      <c r="G891" t="n">
        <v>2.6</v>
      </c>
      <c r="H891" t="n">
        <v>0</v>
      </c>
      <c r="I891" t="n">
        <v>0</v>
      </c>
      <c r="J891" t="n">
        <v>0</v>
      </c>
      <c r="K891" t="n">
        <v>0</v>
      </c>
      <c r="L891" t="n">
        <v>0</v>
      </c>
      <c r="M891" t="n">
        <v>0</v>
      </c>
      <c r="N891" t="n">
        <v>0</v>
      </c>
      <c r="O891" t="n">
        <v>0</v>
      </c>
      <c r="P891" t="n">
        <v>0</v>
      </c>
      <c r="Q891" t="n">
        <v>0</v>
      </c>
      <c r="R891" s="2" t="inlineStr"/>
    </row>
    <row r="892" ht="15" customHeight="1">
      <c r="A892" t="inlineStr">
        <is>
          <t>A 22399-2025</t>
        </is>
      </c>
      <c r="B892" s="1" t="n">
        <v>45786.52996527778</v>
      </c>
      <c r="C892" s="1" t="n">
        <v>46175</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22397-2025</t>
        </is>
      </c>
      <c r="B893" s="1" t="n">
        <v>45786.52878472222</v>
      </c>
      <c r="C893" s="1" t="n">
        <v>46175</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11442-2025</t>
        </is>
      </c>
      <c r="B894" s="1" t="n">
        <v>45726.62721064815</v>
      </c>
      <c r="C894" s="1" t="n">
        <v>46175</v>
      </c>
      <c r="D894" t="inlineStr">
        <is>
          <t>KALMAR LÄN</t>
        </is>
      </c>
      <c r="E894" t="inlineStr">
        <is>
          <t>VIMMERBY</t>
        </is>
      </c>
      <c r="G894" t="n">
        <v>2.6</v>
      </c>
      <c r="H894" t="n">
        <v>0</v>
      </c>
      <c r="I894" t="n">
        <v>0</v>
      </c>
      <c r="J894" t="n">
        <v>0</v>
      </c>
      <c r="K894" t="n">
        <v>0</v>
      </c>
      <c r="L894" t="n">
        <v>0</v>
      </c>
      <c r="M894" t="n">
        <v>0</v>
      </c>
      <c r="N894" t="n">
        <v>0</v>
      </c>
      <c r="O894" t="n">
        <v>0</v>
      </c>
      <c r="P894" t="n">
        <v>0</v>
      </c>
      <c r="Q894" t="n">
        <v>0</v>
      </c>
      <c r="R894" s="2" t="inlineStr"/>
    </row>
    <row r="895" ht="15" customHeight="1">
      <c r="A895" t="inlineStr">
        <is>
          <t>A 6307-2025</t>
        </is>
      </c>
      <c r="B895" s="1" t="n">
        <v>45698.69016203703</v>
      </c>
      <c r="C895" s="1" t="n">
        <v>46175</v>
      </c>
      <c r="D895" t="inlineStr">
        <is>
          <t>KALMAR LÄN</t>
        </is>
      </c>
      <c r="E895" t="inlineStr">
        <is>
          <t>VIMMERBY</t>
        </is>
      </c>
      <c r="G895" t="n">
        <v>3</v>
      </c>
      <c r="H895" t="n">
        <v>0</v>
      </c>
      <c r="I895" t="n">
        <v>0</v>
      </c>
      <c r="J895" t="n">
        <v>0</v>
      </c>
      <c r="K895" t="n">
        <v>0</v>
      </c>
      <c r="L895" t="n">
        <v>0</v>
      </c>
      <c r="M895" t="n">
        <v>0</v>
      </c>
      <c r="N895" t="n">
        <v>0</v>
      </c>
      <c r="O895" t="n">
        <v>0</v>
      </c>
      <c r="P895" t="n">
        <v>0</v>
      </c>
      <c r="Q895" t="n">
        <v>0</v>
      </c>
      <c r="R895" s="2" t="inlineStr"/>
    </row>
    <row r="896" ht="15" customHeight="1">
      <c r="A896" t="inlineStr">
        <is>
          <t>A 23394-2025</t>
        </is>
      </c>
      <c r="B896" s="1" t="n">
        <v>45791.89865740741</v>
      </c>
      <c r="C896" s="1" t="n">
        <v>46175</v>
      </c>
      <c r="D896" t="inlineStr">
        <is>
          <t>KALMAR LÄN</t>
        </is>
      </c>
      <c r="E896" t="inlineStr">
        <is>
          <t>VIMMERBY</t>
        </is>
      </c>
      <c r="G896" t="n">
        <v>3.1</v>
      </c>
      <c r="H896" t="n">
        <v>0</v>
      </c>
      <c r="I896" t="n">
        <v>0</v>
      </c>
      <c r="J896" t="n">
        <v>0</v>
      </c>
      <c r="K896" t="n">
        <v>0</v>
      </c>
      <c r="L896" t="n">
        <v>0</v>
      </c>
      <c r="M896" t="n">
        <v>0</v>
      </c>
      <c r="N896" t="n">
        <v>0</v>
      </c>
      <c r="O896" t="n">
        <v>0</v>
      </c>
      <c r="P896" t="n">
        <v>0</v>
      </c>
      <c r="Q896" t="n">
        <v>0</v>
      </c>
      <c r="R896" s="2" t="inlineStr"/>
    </row>
    <row r="897" ht="15" customHeight="1">
      <c r="A897" t="inlineStr">
        <is>
          <t>A 23984-2025</t>
        </is>
      </c>
      <c r="B897" s="1" t="n">
        <v>45796</v>
      </c>
      <c r="C897" s="1" t="n">
        <v>46175</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51278-2024</t>
        </is>
      </c>
      <c r="B898" s="1" t="n">
        <v>45603.74959490741</v>
      </c>
      <c r="C898" s="1" t="n">
        <v>46175</v>
      </c>
      <c r="D898" t="inlineStr">
        <is>
          <t>KALMAR LÄN</t>
        </is>
      </c>
      <c r="E898" t="inlineStr">
        <is>
          <t>VIMMERBY</t>
        </is>
      </c>
      <c r="G898" t="n">
        <v>3.4</v>
      </c>
      <c r="H898" t="n">
        <v>0</v>
      </c>
      <c r="I898" t="n">
        <v>0</v>
      </c>
      <c r="J898" t="n">
        <v>0</v>
      </c>
      <c r="K898" t="n">
        <v>0</v>
      </c>
      <c r="L898" t="n">
        <v>0</v>
      </c>
      <c r="M898" t="n">
        <v>0</v>
      </c>
      <c r="N898" t="n">
        <v>0</v>
      </c>
      <c r="O898" t="n">
        <v>0</v>
      </c>
      <c r="P898" t="n">
        <v>0</v>
      </c>
      <c r="Q898" t="n">
        <v>0</v>
      </c>
      <c r="R898" s="2" t="inlineStr"/>
    </row>
    <row r="899" ht="15" customHeight="1">
      <c r="A899" t="inlineStr">
        <is>
          <t>A 35082-2024</t>
        </is>
      </c>
      <c r="B899" s="1" t="n">
        <v>45527.68784722222</v>
      </c>
      <c r="C899" s="1" t="n">
        <v>46175</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44582-2024</t>
        </is>
      </c>
      <c r="B900" s="1" t="n">
        <v>45574.49298611111</v>
      </c>
      <c r="C900" s="1" t="n">
        <v>46175</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9456-2025</t>
        </is>
      </c>
      <c r="B901" s="1" t="n">
        <v>45715.44159722222</v>
      </c>
      <c r="C901" s="1" t="n">
        <v>46175</v>
      </c>
      <c r="D901" t="inlineStr">
        <is>
          <t>KALMAR LÄN</t>
        </is>
      </c>
      <c r="E901" t="inlineStr">
        <is>
          <t>VIMMERBY</t>
        </is>
      </c>
      <c r="G901" t="n">
        <v>1.5</v>
      </c>
      <c r="H901" t="n">
        <v>0</v>
      </c>
      <c r="I901" t="n">
        <v>0</v>
      </c>
      <c r="J901" t="n">
        <v>0</v>
      </c>
      <c r="K901" t="n">
        <v>0</v>
      </c>
      <c r="L901" t="n">
        <v>0</v>
      </c>
      <c r="M901" t="n">
        <v>0</v>
      </c>
      <c r="N901" t="n">
        <v>0</v>
      </c>
      <c r="O901" t="n">
        <v>0</v>
      </c>
      <c r="P901" t="n">
        <v>0</v>
      </c>
      <c r="Q901" t="n">
        <v>0</v>
      </c>
      <c r="R901" s="2" t="inlineStr"/>
    </row>
    <row r="902" ht="15" customHeight="1">
      <c r="A902" t="inlineStr">
        <is>
          <t>A 11111-2023</t>
        </is>
      </c>
      <c r="B902" s="1" t="n">
        <v>44992.4255787037</v>
      </c>
      <c r="C902" s="1" t="n">
        <v>46175</v>
      </c>
      <c r="D902" t="inlineStr">
        <is>
          <t>KALMAR LÄN</t>
        </is>
      </c>
      <c r="E902" t="inlineStr">
        <is>
          <t>VIMMERBY</t>
        </is>
      </c>
      <c r="G902" t="n">
        <v>0.8</v>
      </c>
      <c r="H902" t="n">
        <v>0</v>
      </c>
      <c r="I902" t="n">
        <v>0</v>
      </c>
      <c r="J902" t="n">
        <v>0</v>
      </c>
      <c r="K902" t="n">
        <v>0</v>
      </c>
      <c r="L902" t="n">
        <v>0</v>
      </c>
      <c r="M902" t="n">
        <v>0</v>
      </c>
      <c r="N902" t="n">
        <v>0</v>
      </c>
      <c r="O902" t="n">
        <v>0</v>
      </c>
      <c r="P902" t="n">
        <v>0</v>
      </c>
      <c r="Q902" t="n">
        <v>0</v>
      </c>
      <c r="R902" s="2" t="inlineStr"/>
    </row>
    <row r="903" ht="15" customHeight="1">
      <c r="A903" t="inlineStr">
        <is>
          <t>A 58724-2024</t>
        </is>
      </c>
      <c r="B903" s="1" t="n">
        <v>45635.66409722222</v>
      </c>
      <c r="C903" s="1" t="n">
        <v>46175</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15494-2024</t>
        </is>
      </c>
      <c r="B904" s="1" t="n">
        <v>45401.53033564815</v>
      </c>
      <c r="C904" s="1" t="n">
        <v>46175</v>
      </c>
      <c r="D904" t="inlineStr">
        <is>
          <t>KALMAR LÄN</t>
        </is>
      </c>
      <c r="E904" t="inlineStr">
        <is>
          <t>VIMMERBY</t>
        </is>
      </c>
      <c r="G904" t="n">
        <v>3.2</v>
      </c>
      <c r="H904" t="n">
        <v>0</v>
      </c>
      <c r="I904" t="n">
        <v>0</v>
      </c>
      <c r="J904" t="n">
        <v>0</v>
      </c>
      <c r="K904" t="n">
        <v>0</v>
      </c>
      <c r="L904" t="n">
        <v>0</v>
      </c>
      <c r="M904" t="n">
        <v>0</v>
      </c>
      <c r="N904" t="n">
        <v>0</v>
      </c>
      <c r="O904" t="n">
        <v>0</v>
      </c>
      <c r="P904" t="n">
        <v>0</v>
      </c>
      <c r="Q904" t="n">
        <v>0</v>
      </c>
      <c r="R904" s="2" t="inlineStr"/>
    </row>
    <row r="905" ht="15" customHeight="1">
      <c r="A905" t="inlineStr">
        <is>
          <t>A 26039-2025</t>
        </is>
      </c>
      <c r="B905" s="1" t="n">
        <v>45804.6953587963</v>
      </c>
      <c r="C905" s="1" t="n">
        <v>46175</v>
      </c>
      <c r="D905" t="inlineStr">
        <is>
          <t>KALMAR LÄN</t>
        </is>
      </c>
      <c r="E905" t="inlineStr">
        <is>
          <t>VIMMERBY</t>
        </is>
      </c>
      <c r="F905" t="inlineStr">
        <is>
          <t>Sveaskog</t>
        </is>
      </c>
      <c r="G905" t="n">
        <v>5.2</v>
      </c>
      <c r="H905" t="n">
        <v>0</v>
      </c>
      <c r="I905" t="n">
        <v>0</v>
      </c>
      <c r="J905" t="n">
        <v>0</v>
      </c>
      <c r="K905" t="n">
        <v>0</v>
      </c>
      <c r="L905" t="n">
        <v>0</v>
      </c>
      <c r="M905" t="n">
        <v>0</v>
      </c>
      <c r="N905" t="n">
        <v>0</v>
      </c>
      <c r="O905" t="n">
        <v>0</v>
      </c>
      <c r="P905" t="n">
        <v>0</v>
      </c>
      <c r="Q905" t="n">
        <v>0</v>
      </c>
      <c r="R905" s="2" t="inlineStr"/>
    </row>
    <row r="906" ht="15" customHeight="1">
      <c r="A906" t="inlineStr">
        <is>
          <t>A 26046-2025</t>
        </is>
      </c>
      <c r="B906" s="1" t="n">
        <v>45804.708125</v>
      </c>
      <c r="C906" s="1" t="n">
        <v>46175</v>
      </c>
      <c r="D906" t="inlineStr">
        <is>
          <t>KALMAR LÄN</t>
        </is>
      </c>
      <c r="E906" t="inlineStr">
        <is>
          <t>VIMMERBY</t>
        </is>
      </c>
      <c r="F906" t="inlineStr">
        <is>
          <t>Sveaskog</t>
        </is>
      </c>
      <c r="G906" t="n">
        <v>5.1</v>
      </c>
      <c r="H906" t="n">
        <v>0</v>
      </c>
      <c r="I906" t="n">
        <v>0</v>
      </c>
      <c r="J906" t="n">
        <v>0</v>
      </c>
      <c r="K906" t="n">
        <v>0</v>
      </c>
      <c r="L906" t="n">
        <v>0</v>
      </c>
      <c r="M906" t="n">
        <v>0</v>
      </c>
      <c r="N906" t="n">
        <v>0</v>
      </c>
      <c r="O906" t="n">
        <v>0</v>
      </c>
      <c r="P906" t="n">
        <v>0</v>
      </c>
      <c r="Q906" t="n">
        <v>0</v>
      </c>
      <c r="R906" s="2" t="inlineStr"/>
    </row>
    <row r="907" ht="15" customHeight="1">
      <c r="A907" t="inlineStr">
        <is>
          <t>A 25792-2025</t>
        </is>
      </c>
      <c r="B907" s="1" t="n">
        <v>45804.39141203704</v>
      </c>
      <c r="C907" s="1" t="n">
        <v>46175</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25830-2025</t>
        </is>
      </c>
      <c r="B908" s="1" t="n">
        <v>45804.44519675926</v>
      </c>
      <c r="C908" s="1" t="n">
        <v>46175</v>
      </c>
      <c r="D908" t="inlineStr">
        <is>
          <t>KALMAR LÄN</t>
        </is>
      </c>
      <c r="E908" t="inlineStr">
        <is>
          <t>VIMMERBY</t>
        </is>
      </c>
      <c r="G908" t="n">
        <v>4.9</v>
      </c>
      <c r="H908" t="n">
        <v>0</v>
      </c>
      <c r="I908" t="n">
        <v>0</v>
      </c>
      <c r="J908" t="n">
        <v>0</v>
      </c>
      <c r="K908" t="n">
        <v>0</v>
      </c>
      <c r="L908" t="n">
        <v>0</v>
      </c>
      <c r="M908" t="n">
        <v>0</v>
      </c>
      <c r="N908" t="n">
        <v>0</v>
      </c>
      <c r="O908" t="n">
        <v>0</v>
      </c>
      <c r="P908" t="n">
        <v>0</v>
      </c>
      <c r="Q908" t="n">
        <v>0</v>
      </c>
      <c r="R908" s="2" t="inlineStr"/>
    </row>
    <row r="909" ht="15" customHeight="1">
      <c r="A909" t="inlineStr">
        <is>
          <t>A 26124-2025</t>
        </is>
      </c>
      <c r="B909" s="1" t="n">
        <v>45805.39247685186</v>
      </c>
      <c r="C909" s="1" t="n">
        <v>46175</v>
      </c>
      <c r="D909" t="inlineStr">
        <is>
          <t>KALMAR LÄN</t>
        </is>
      </c>
      <c r="E909" t="inlineStr">
        <is>
          <t>VIMMERBY</t>
        </is>
      </c>
      <c r="G909" t="n">
        <v>6.6</v>
      </c>
      <c r="H909" t="n">
        <v>0</v>
      </c>
      <c r="I909" t="n">
        <v>0</v>
      </c>
      <c r="J909" t="n">
        <v>0</v>
      </c>
      <c r="K909" t="n">
        <v>0</v>
      </c>
      <c r="L909" t="n">
        <v>0</v>
      </c>
      <c r="M909" t="n">
        <v>0</v>
      </c>
      <c r="N909" t="n">
        <v>0</v>
      </c>
      <c r="O909" t="n">
        <v>0</v>
      </c>
      <c r="P909" t="n">
        <v>0</v>
      </c>
      <c r="Q909" t="n">
        <v>0</v>
      </c>
      <c r="R909" s="2" t="inlineStr"/>
    </row>
    <row r="910" ht="15" customHeight="1">
      <c r="A910" t="inlineStr">
        <is>
          <t>A 26254-2025</t>
        </is>
      </c>
      <c r="B910" s="1" t="n">
        <v>45805</v>
      </c>
      <c r="C910" s="1" t="n">
        <v>46175</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26207-2025</t>
        </is>
      </c>
      <c r="B911" s="1" t="n">
        <v>45805.52983796296</v>
      </c>
      <c r="C911" s="1" t="n">
        <v>46175</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28290-2025</t>
        </is>
      </c>
      <c r="B912" s="1" t="n">
        <v>45818.59261574074</v>
      </c>
      <c r="C912" s="1" t="n">
        <v>46175</v>
      </c>
      <c r="D912" t="inlineStr">
        <is>
          <t>KALMAR LÄN</t>
        </is>
      </c>
      <c r="E912" t="inlineStr">
        <is>
          <t>VIMMERBY</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28280-2025</t>
        </is>
      </c>
      <c r="B913" s="1" t="n">
        <v>45818.5862037037</v>
      </c>
      <c r="C913" s="1" t="n">
        <v>46175</v>
      </c>
      <c r="D913" t="inlineStr">
        <is>
          <t>KALMAR LÄN</t>
        </is>
      </c>
      <c r="E913" t="inlineStr">
        <is>
          <t>VIMMERBY</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28286-2025</t>
        </is>
      </c>
      <c r="B914" s="1" t="n">
        <v>45818.58993055556</v>
      </c>
      <c r="C914" s="1" t="n">
        <v>46175</v>
      </c>
      <c r="D914" t="inlineStr">
        <is>
          <t>KALMAR LÄN</t>
        </is>
      </c>
      <c r="E914" t="inlineStr">
        <is>
          <t>VIMMERBY</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28282-2025</t>
        </is>
      </c>
      <c r="B915" s="1" t="n">
        <v>45818.58769675926</v>
      </c>
      <c r="C915" s="1" t="n">
        <v>46175</v>
      </c>
      <c r="D915" t="inlineStr">
        <is>
          <t>KALMAR LÄN</t>
        </is>
      </c>
      <c r="E915" t="inlineStr">
        <is>
          <t>VIMMERBY</t>
        </is>
      </c>
      <c r="F915" t="inlineStr">
        <is>
          <t>Sveaskog</t>
        </is>
      </c>
      <c r="G915" t="n">
        <v>0.7</v>
      </c>
      <c r="H915" t="n">
        <v>0</v>
      </c>
      <c r="I915" t="n">
        <v>0</v>
      </c>
      <c r="J915" t="n">
        <v>0</v>
      </c>
      <c r="K915" t="n">
        <v>0</v>
      </c>
      <c r="L915" t="n">
        <v>0</v>
      </c>
      <c r="M915" t="n">
        <v>0</v>
      </c>
      <c r="N915" t="n">
        <v>0</v>
      </c>
      <c r="O915" t="n">
        <v>0</v>
      </c>
      <c r="P915" t="n">
        <v>0</v>
      </c>
      <c r="Q915" t="n">
        <v>0</v>
      </c>
      <c r="R915" s="2" t="inlineStr"/>
    </row>
    <row r="916">
      <c r="A916" t="inlineStr">
        <is>
          <t>A 28294-2025</t>
        </is>
      </c>
      <c r="B916" s="1" t="n">
        <v>45818.595625</v>
      </c>
      <c r="C916" s="1" t="n">
        <v>46175</v>
      </c>
      <c r="D916" t="inlineStr">
        <is>
          <t>KALMAR LÄN</t>
        </is>
      </c>
      <c r="E916" t="inlineStr">
        <is>
          <t>VIMMERBY</t>
        </is>
      </c>
      <c r="F916" t="inlineStr">
        <is>
          <t>Sveaskog</t>
        </is>
      </c>
      <c r="G916" t="n">
        <v>1.1</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2026-06-02T10:57:03Z</dcterms:created>
  <dcterms:modified xmlns:dcterms="http://purl.org/dc/terms/" xmlns:xsi="http://www.w3.org/2001/XMLSchema-instance" xsi:type="dcterms:W3CDTF">2026-06-02T10:57:04Z</dcterms:modified>
</cp:coreProperties>
</file>