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46131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46131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46131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46131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46131</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46131</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46131</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46131</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46131</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7040-2026</t>
        </is>
      </c>
      <c r="B16" s="1" t="n">
        <v>46057.69520833333</v>
      </c>
      <c r="C16" s="1" t="n">
        <v>46131</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55604-2025</t>
        </is>
      </c>
      <c r="B17" s="1" t="n">
        <v>45971</v>
      </c>
      <c r="C17" s="1" t="n">
        <v>46131</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46131</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46131</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46131</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46131</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46131</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46131</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46131</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46131</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40684-2025</t>
        </is>
      </c>
      <c r="B26" s="1" t="n">
        <v>45896.86820601852</v>
      </c>
      <c r="C26" s="1" t="n">
        <v>46131</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46131</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46131</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2518-2023</t>
        </is>
      </c>
      <c r="B29" s="1" t="n">
        <v>44943</v>
      </c>
      <c r="C29" s="1" t="n">
        <v>46131</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46131</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46131</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22825-2023</t>
        </is>
      </c>
      <c r="B32" s="1" t="n">
        <v>45072</v>
      </c>
      <c r="C32" s="1" t="n">
        <v>46131</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46131</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14024-2023</t>
        </is>
      </c>
      <c r="B34" s="1" t="n">
        <v>45008.60878472222</v>
      </c>
      <c r="C34" s="1" t="n">
        <v>46131</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46131</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46131</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61860-2024</t>
        </is>
      </c>
      <c r="B37" s="1" t="n">
        <v>45649</v>
      </c>
      <c r="C37" s="1" t="n">
        <v>46131</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1201-2025</t>
        </is>
      </c>
      <c r="B38" s="1" t="n">
        <v>45667</v>
      </c>
      <c r="C38" s="1" t="n">
        <v>46131</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1201-2025 artfynd.xlsx", "A 1201-2025")</f>
        <v/>
      </c>
      <c r="T38">
        <f>HYPERLINK("https://klasma.github.io/Logging_0884/kartor/A 1201-2025 karta.png", "A 1201-2025")</f>
        <v/>
      </c>
      <c r="U38">
        <f>HYPERLINK("https://klasma.github.io/Logging_0884/knärot/A 1201-2025 karta knärot.png", "A 1201-2025")</f>
        <v/>
      </c>
      <c r="V38">
        <f>HYPERLINK("https://klasma.github.io/Logging_0884/klagomål/A 1201-2025 FSC-klagomål.docx", "A 1201-2025")</f>
        <v/>
      </c>
      <c r="W38">
        <f>HYPERLINK("https://klasma.github.io/Logging_0884/klagomålsmail/A 1201-2025 FSC-klagomål mail.docx", "A 1201-2025")</f>
        <v/>
      </c>
      <c r="X38">
        <f>HYPERLINK("https://klasma.github.io/Logging_0884/tillsyn/A 1201-2025 tillsynsbegäran.docx", "A 1201-2025")</f>
        <v/>
      </c>
      <c r="Y38">
        <f>HYPERLINK("https://klasma.github.io/Logging_0884/tillsynsmail/A 1201-2025 tillsynsbegäran mail.docx", "A 1201-2025")</f>
        <v/>
      </c>
    </row>
    <row r="39" ht="15" customHeight="1">
      <c r="A39" t="inlineStr">
        <is>
          <t>A 53400-2025</t>
        </is>
      </c>
      <c r="B39" s="1" t="n">
        <v>45959.56684027778</v>
      </c>
      <c r="C39" s="1" t="n">
        <v>46131</v>
      </c>
      <c r="D39" t="inlineStr">
        <is>
          <t>KALMAR LÄN</t>
        </is>
      </c>
      <c r="E39" t="inlineStr">
        <is>
          <t>VIMMERBY</t>
        </is>
      </c>
      <c r="G39" t="n">
        <v>9.199999999999999</v>
      </c>
      <c r="H39" t="n">
        <v>1</v>
      </c>
      <c r="I39" t="n">
        <v>0</v>
      </c>
      <c r="J39" t="n">
        <v>0</v>
      </c>
      <c r="K39" t="n">
        <v>1</v>
      </c>
      <c r="L39" t="n">
        <v>0</v>
      </c>
      <c r="M39" t="n">
        <v>0</v>
      </c>
      <c r="N39" t="n">
        <v>0</v>
      </c>
      <c r="O39" t="n">
        <v>1</v>
      </c>
      <c r="P39" t="n">
        <v>1</v>
      </c>
      <c r="Q39" t="n">
        <v>1</v>
      </c>
      <c r="R39" s="2" t="inlineStr">
        <is>
          <t>Knärot</t>
        </is>
      </c>
      <c r="S39">
        <f>HYPERLINK("https://klasma.github.io/Logging_0884/artfynd/A 53400-2025 artfynd.xlsx", "A 53400-2025")</f>
        <v/>
      </c>
      <c r="T39">
        <f>HYPERLINK("https://klasma.github.io/Logging_0884/kartor/A 53400-2025 karta.png", "A 53400-2025")</f>
        <v/>
      </c>
      <c r="U39">
        <f>HYPERLINK("https://klasma.github.io/Logging_0884/knärot/A 53400-2025 karta knärot.png", "A 53400-2025")</f>
        <v/>
      </c>
      <c r="V39">
        <f>HYPERLINK("https://klasma.github.io/Logging_0884/klagomål/A 53400-2025 FSC-klagomål.docx", "A 53400-2025")</f>
        <v/>
      </c>
      <c r="W39">
        <f>HYPERLINK("https://klasma.github.io/Logging_0884/klagomålsmail/A 53400-2025 FSC-klagomål mail.docx", "A 53400-2025")</f>
        <v/>
      </c>
      <c r="X39">
        <f>HYPERLINK("https://klasma.github.io/Logging_0884/tillsyn/A 53400-2025 tillsynsbegäran.docx", "A 53400-2025")</f>
        <v/>
      </c>
      <c r="Y39">
        <f>HYPERLINK("https://klasma.github.io/Logging_0884/tillsynsmail/A 53400-2025 tillsynsbegäran mail.docx", "A 53400-2025")</f>
        <v/>
      </c>
    </row>
    <row r="40" ht="15" customHeight="1">
      <c r="A40" t="inlineStr">
        <is>
          <t>A 53404-2025</t>
        </is>
      </c>
      <c r="B40" s="1" t="n">
        <v>45959.57126157408</v>
      </c>
      <c r="C40" s="1" t="n">
        <v>46131</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53404-2025 artfynd.xlsx", "A 53404-2025")</f>
        <v/>
      </c>
      <c r="T40">
        <f>HYPERLINK("https://klasma.github.io/Logging_0884/kartor/A 53404-2025 karta.png", "A 53404-2025")</f>
        <v/>
      </c>
      <c r="U40">
        <f>HYPERLINK("https://klasma.github.io/Logging_0884/knärot/A 53404-2025 karta knärot.png", "A 53404-2025")</f>
        <v/>
      </c>
      <c r="V40">
        <f>HYPERLINK("https://klasma.github.io/Logging_0884/klagomål/A 53404-2025 FSC-klagomål.docx", "A 53404-2025")</f>
        <v/>
      </c>
      <c r="W40">
        <f>HYPERLINK("https://klasma.github.io/Logging_0884/klagomålsmail/A 53404-2025 FSC-klagomål mail.docx", "A 53404-2025")</f>
        <v/>
      </c>
      <c r="X40">
        <f>HYPERLINK("https://klasma.github.io/Logging_0884/tillsyn/A 53404-2025 tillsynsbegäran.docx", "A 53404-2025")</f>
        <v/>
      </c>
      <c r="Y40">
        <f>HYPERLINK("https://klasma.github.io/Logging_0884/tillsynsmail/A 53404-2025 tillsynsbegäran mail.docx", "A 53404-2025")</f>
        <v/>
      </c>
    </row>
    <row r="41" ht="15" customHeight="1">
      <c r="A41" t="inlineStr">
        <is>
          <t>A 55384-2025</t>
        </is>
      </c>
      <c r="B41" s="1" t="n">
        <v>45971.43178240741</v>
      </c>
      <c r="C41" s="1" t="n">
        <v>46131</v>
      </c>
      <c r="D41" t="inlineStr">
        <is>
          <t>KALMAR LÄN</t>
        </is>
      </c>
      <c r="E41" t="inlineStr">
        <is>
          <t>VIMMERBY</t>
        </is>
      </c>
      <c r="G41" t="n">
        <v>1.7</v>
      </c>
      <c r="H41" t="n">
        <v>1</v>
      </c>
      <c r="I41" t="n">
        <v>0</v>
      </c>
      <c r="J41" t="n">
        <v>1</v>
      </c>
      <c r="K41" t="n">
        <v>0</v>
      </c>
      <c r="L41" t="n">
        <v>0</v>
      </c>
      <c r="M41" t="n">
        <v>0</v>
      </c>
      <c r="N41" t="n">
        <v>0</v>
      </c>
      <c r="O41" t="n">
        <v>1</v>
      </c>
      <c r="P41" t="n">
        <v>0</v>
      </c>
      <c r="Q41" t="n">
        <v>1</v>
      </c>
      <c r="R41" s="2" t="inlineStr">
        <is>
          <t>Talltita</t>
        </is>
      </c>
      <c r="S41">
        <f>HYPERLINK("https://klasma.github.io/Logging_0884/artfynd/A 55384-2025 artfynd.xlsx", "A 55384-2025")</f>
        <v/>
      </c>
      <c r="T41">
        <f>HYPERLINK("https://klasma.github.io/Logging_0884/kartor/A 55384-2025 karta.png", "A 55384-2025")</f>
        <v/>
      </c>
      <c r="V41">
        <f>HYPERLINK("https://klasma.github.io/Logging_0884/klagomål/A 55384-2025 FSC-klagomål.docx", "A 55384-2025")</f>
        <v/>
      </c>
      <c r="W41">
        <f>HYPERLINK("https://klasma.github.io/Logging_0884/klagomålsmail/A 55384-2025 FSC-klagomål mail.docx", "A 55384-2025")</f>
        <v/>
      </c>
      <c r="X41">
        <f>HYPERLINK("https://klasma.github.io/Logging_0884/tillsyn/A 55384-2025 tillsynsbegäran.docx", "A 55384-2025")</f>
        <v/>
      </c>
      <c r="Y41">
        <f>HYPERLINK("https://klasma.github.io/Logging_0884/tillsynsmail/A 55384-2025 tillsynsbegäran mail.docx", "A 55384-2025")</f>
        <v/>
      </c>
      <c r="Z41">
        <f>HYPERLINK("https://klasma.github.io/Logging_0884/fåglar/A 55384-2025 prioriterade fågelarter.docx", "A 55384-2025")</f>
        <v/>
      </c>
    </row>
    <row r="42" ht="15" customHeight="1">
      <c r="A42" t="inlineStr">
        <is>
          <t>A 29183-2025</t>
        </is>
      </c>
      <c r="B42" s="1" t="n">
        <v>45821</v>
      </c>
      <c r="C42" s="1" t="n">
        <v>46131</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46131</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46131</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57062-2025</t>
        </is>
      </c>
      <c r="B45" s="1" t="n">
        <v>45979.37598379629</v>
      </c>
      <c r="C45" s="1" t="n">
        <v>46131</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23602-2023</t>
        </is>
      </c>
      <c r="B46" s="1" t="n">
        <v>45077</v>
      </c>
      <c r="C46" s="1" t="n">
        <v>46131</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15122-2024</t>
        </is>
      </c>
      <c r="B47" s="1" t="n">
        <v>45399.71412037037</v>
      </c>
      <c r="C47" s="1" t="n">
        <v>46131</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32985-2023</t>
        </is>
      </c>
      <c r="B48" s="1" t="n">
        <v>45125</v>
      </c>
      <c r="C48" s="1" t="n">
        <v>46131</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28852-2023</t>
        </is>
      </c>
      <c r="B49" s="1" t="n">
        <v>45104</v>
      </c>
      <c r="C49" s="1" t="n">
        <v>46131</v>
      </c>
      <c r="D49" t="inlineStr">
        <is>
          <t>KALMAR LÄN</t>
        </is>
      </c>
      <c r="E49" t="inlineStr">
        <is>
          <t>VIMMERBY</t>
        </is>
      </c>
      <c r="G49" t="n">
        <v>0.7</v>
      </c>
      <c r="H49" t="n">
        <v>0</v>
      </c>
      <c r="I49" t="n">
        <v>1</v>
      </c>
      <c r="J49" t="n">
        <v>0</v>
      </c>
      <c r="K49" t="n">
        <v>0</v>
      </c>
      <c r="L49" t="n">
        <v>0</v>
      </c>
      <c r="M49" t="n">
        <v>0</v>
      </c>
      <c r="N49" t="n">
        <v>0</v>
      </c>
      <c r="O49" t="n">
        <v>0</v>
      </c>
      <c r="P49" t="n">
        <v>0</v>
      </c>
      <c r="Q49" t="n">
        <v>1</v>
      </c>
      <c r="R49" s="2" t="inlineStr">
        <is>
          <t>Tibast</t>
        </is>
      </c>
      <c r="S49">
        <f>HYPERLINK("https://klasma.github.io/Logging_0884/artfynd/A 28852-2023 artfynd.xlsx", "A 28852-2023")</f>
        <v/>
      </c>
      <c r="T49">
        <f>HYPERLINK("https://klasma.github.io/Logging_0884/kartor/A 28852-2023 karta.png", "A 28852-2023")</f>
        <v/>
      </c>
      <c r="V49">
        <f>HYPERLINK("https://klasma.github.io/Logging_0884/klagomål/A 28852-2023 FSC-klagomål.docx", "A 28852-2023")</f>
        <v/>
      </c>
      <c r="W49">
        <f>HYPERLINK("https://klasma.github.io/Logging_0884/klagomålsmail/A 28852-2023 FSC-klagomål mail.docx", "A 28852-2023")</f>
        <v/>
      </c>
      <c r="X49">
        <f>HYPERLINK("https://klasma.github.io/Logging_0884/tillsyn/A 28852-2023 tillsynsbegäran.docx", "A 28852-2023")</f>
        <v/>
      </c>
      <c r="Y49">
        <f>HYPERLINK("https://klasma.github.io/Logging_0884/tillsynsmail/A 28852-2023 tillsynsbegäran mail.docx", "A 28852-2023")</f>
        <v/>
      </c>
    </row>
    <row r="50" ht="15" customHeight="1">
      <c r="A50" t="inlineStr">
        <is>
          <t>A 44515-2024</t>
        </is>
      </c>
      <c r="B50" s="1" t="n">
        <v>45574.42767361111</v>
      </c>
      <c r="C50" s="1" t="n">
        <v>46131</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9067-2025</t>
        </is>
      </c>
      <c r="B51" s="1" t="n">
        <v>45713</v>
      </c>
      <c r="C51" s="1" t="n">
        <v>46131</v>
      </c>
      <c r="D51" t="inlineStr">
        <is>
          <t>KALMAR LÄN</t>
        </is>
      </c>
      <c r="E51" t="inlineStr">
        <is>
          <t>VIMMERBY</t>
        </is>
      </c>
      <c r="G51" t="n">
        <v>3.9</v>
      </c>
      <c r="H51" t="n">
        <v>0</v>
      </c>
      <c r="I51" t="n">
        <v>1</v>
      </c>
      <c r="J51" t="n">
        <v>0</v>
      </c>
      <c r="K51" t="n">
        <v>0</v>
      </c>
      <c r="L51" t="n">
        <v>0</v>
      </c>
      <c r="M51" t="n">
        <v>0</v>
      </c>
      <c r="N51" t="n">
        <v>0</v>
      </c>
      <c r="O51" t="n">
        <v>0</v>
      </c>
      <c r="P51" t="n">
        <v>0</v>
      </c>
      <c r="Q51" t="n">
        <v>1</v>
      </c>
      <c r="R51" s="2" t="inlineStr">
        <is>
          <t>Ögonpyrola</t>
        </is>
      </c>
      <c r="S51">
        <f>HYPERLINK("https://klasma.github.io/Logging_0884/artfynd/A 9067-2025 artfynd.xlsx", "A 9067-2025")</f>
        <v/>
      </c>
      <c r="T51">
        <f>HYPERLINK("https://klasma.github.io/Logging_0884/kartor/A 9067-2025 karta.png", "A 9067-2025")</f>
        <v/>
      </c>
      <c r="V51">
        <f>HYPERLINK("https://klasma.github.io/Logging_0884/klagomål/A 9067-2025 FSC-klagomål.docx", "A 9067-2025")</f>
        <v/>
      </c>
      <c r="W51">
        <f>HYPERLINK("https://klasma.github.io/Logging_0884/klagomålsmail/A 9067-2025 FSC-klagomål mail.docx", "A 9067-2025")</f>
        <v/>
      </c>
      <c r="X51">
        <f>HYPERLINK("https://klasma.github.io/Logging_0884/tillsyn/A 9067-2025 tillsynsbegäran.docx", "A 9067-2025")</f>
        <v/>
      </c>
      <c r="Y51">
        <f>HYPERLINK("https://klasma.github.io/Logging_0884/tillsynsmail/A 9067-2025 tillsynsbegäran mail.docx", "A 9067-2025")</f>
        <v/>
      </c>
    </row>
    <row r="52" ht="15" customHeight="1">
      <c r="A52" t="inlineStr">
        <is>
          <t>A 52301-2023</t>
        </is>
      </c>
      <c r="B52" s="1" t="n">
        <v>45224</v>
      </c>
      <c r="C52" s="1" t="n">
        <v>46131</v>
      </c>
      <c r="D52" t="inlineStr">
        <is>
          <t>KALMAR LÄN</t>
        </is>
      </c>
      <c r="E52" t="inlineStr">
        <is>
          <t>VIMMERBY</t>
        </is>
      </c>
      <c r="G52" t="n">
        <v>5.3</v>
      </c>
      <c r="H52" t="n">
        <v>0</v>
      </c>
      <c r="I52" t="n">
        <v>0</v>
      </c>
      <c r="J52" t="n">
        <v>0</v>
      </c>
      <c r="K52" t="n">
        <v>0</v>
      </c>
      <c r="L52" t="n">
        <v>1</v>
      </c>
      <c r="M52" t="n">
        <v>0</v>
      </c>
      <c r="N52" t="n">
        <v>0</v>
      </c>
      <c r="O52" t="n">
        <v>1</v>
      </c>
      <c r="P52" t="n">
        <v>1</v>
      </c>
      <c r="Q52" t="n">
        <v>1</v>
      </c>
      <c r="R52" s="2" t="inlineStr">
        <is>
          <t>Ask</t>
        </is>
      </c>
      <c r="S52">
        <f>HYPERLINK("https://klasma.github.io/Logging_0884/artfynd/A 52301-2023 artfynd.xlsx", "A 52301-2023")</f>
        <v/>
      </c>
      <c r="T52">
        <f>HYPERLINK("https://klasma.github.io/Logging_0884/kartor/A 52301-2023 karta.png", "A 52301-2023")</f>
        <v/>
      </c>
      <c r="V52">
        <f>HYPERLINK("https://klasma.github.io/Logging_0884/klagomål/A 52301-2023 FSC-klagomål.docx", "A 52301-2023")</f>
        <v/>
      </c>
      <c r="W52">
        <f>HYPERLINK("https://klasma.github.io/Logging_0884/klagomålsmail/A 52301-2023 FSC-klagomål mail.docx", "A 52301-2023")</f>
        <v/>
      </c>
      <c r="X52">
        <f>HYPERLINK("https://klasma.github.io/Logging_0884/tillsyn/A 52301-2023 tillsynsbegäran.docx", "A 52301-2023")</f>
        <v/>
      </c>
      <c r="Y52">
        <f>HYPERLINK("https://klasma.github.io/Logging_0884/tillsynsmail/A 52301-2023 tillsynsbegäran mail.docx", "A 52301-2023")</f>
        <v/>
      </c>
    </row>
    <row r="53" ht="15" customHeight="1">
      <c r="A53" t="inlineStr">
        <is>
          <t>A 33436-2021</t>
        </is>
      </c>
      <c r="B53" s="1" t="n">
        <v>44377.61104166666</v>
      </c>
      <c r="C53" s="1" t="n">
        <v>46131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56754-2021</t>
        </is>
      </c>
      <c r="B54" s="1" t="n">
        <v>44481.47483796296</v>
      </c>
      <c r="C54" s="1" t="n">
        <v>46131</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46131</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46131</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46131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46131</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46131</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46131</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46131</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46131</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46131</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46131</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46131</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46131</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56378-2021</t>
        </is>
      </c>
      <c r="B67" s="1" t="n">
        <v>44480</v>
      </c>
      <c r="C67" s="1" t="n">
        <v>46131</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3426-2022</t>
        </is>
      </c>
      <c r="B68" s="1" t="n">
        <v>44585.51829861111</v>
      </c>
      <c r="C68" s="1" t="n">
        <v>46131</v>
      </c>
      <c r="D68" t="inlineStr">
        <is>
          <t>KALMAR LÄN</t>
        </is>
      </c>
      <c r="E68" t="inlineStr">
        <is>
          <t>VIMMERBY</t>
        </is>
      </c>
      <c r="G68" t="n">
        <v>1.8</v>
      </c>
      <c r="H68" t="n">
        <v>0</v>
      </c>
      <c r="I68" t="n">
        <v>0</v>
      </c>
      <c r="J68" t="n">
        <v>0</v>
      </c>
      <c r="K68" t="n">
        <v>0</v>
      </c>
      <c r="L68" t="n">
        <v>0</v>
      </c>
      <c r="M68" t="n">
        <v>0</v>
      </c>
      <c r="N68" t="n">
        <v>0</v>
      </c>
      <c r="O68" t="n">
        <v>0</v>
      </c>
      <c r="P68" t="n">
        <v>0</v>
      </c>
      <c r="Q68" t="n">
        <v>0</v>
      </c>
      <c r="R68" s="2" t="inlineStr"/>
    </row>
    <row r="69" ht="15" customHeight="1">
      <c r="A69" t="inlineStr">
        <is>
          <t>A 40728-2022</t>
        </is>
      </c>
      <c r="B69" s="1" t="n">
        <v>44824.53434027778</v>
      </c>
      <c r="C69" s="1" t="n">
        <v>46131</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40073-2021</t>
        </is>
      </c>
      <c r="B70" s="1" t="n">
        <v>44418</v>
      </c>
      <c r="C70" s="1" t="n">
        <v>46131</v>
      </c>
      <c r="D70" t="inlineStr">
        <is>
          <t>KALMAR LÄN</t>
        </is>
      </c>
      <c r="E70" t="inlineStr">
        <is>
          <t>VIMMERBY</t>
        </is>
      </c>
      <c r="G70" t="n">
        <v>1</v>
      </c>
      <c r="H70" t="n">
        <v>0</v>
      </c>
      <c r="I70" t="n">
        <v>0</v>
      </c>
      <c r="J70" t="n">
        <v>0</v>
      </c>
      <c r="K70" t="n">
        <v>0</v>
      </c>
      <c r="L70" t="n">
        <v>0</v>
      </c>
      <c r="M70" t="n">
        <v>0</v>
      </c>
      <c r="N70" t="n">
        <v>0</v>
      </c>
      <c r="O70" t="n">
        <v>0</v>
      </c>
      <c r="P70" t="n">
        <v>0</v>
      </c>
      <c r="Q70" t="n">
        <v>0</v>
      </c>
      <c r="R70" s="2" t="inlineStr"/>
    </row>
    <row r="71" ht="15" customHeight="1">
      <c r="A71" t="inlineStr">
        <is>
          <t>A 33051-2022</t>
        </is>
      </c>
      <c r="B71" s="1" t="n">
        <v>44785.40800925926</v>
      </c>
      <c r="C71" s="1" t="n">
        <v>46131</v>
      </c>
      <c r="D71" t="inlineStr">
        <is>
          <t>KALMAR LÄN</t>
        </is>
      </c>
      <c r="E71" t="inlineStr">
        <is>
          <t>VIMMERBY</t>
        </is>
      </c>
      <c r="G71" t="n">
        <v>0.3</v>
      </c>
      <c r="H71" t="n">
        <v>0</v>
      </c>
      <c r="I71" t="n">
        <v>0</v>
      </c>
      <c r="J71" t="n">
        <v>0</v>
      </c>
      <c r="K71" t="n">
        <v>0</v>
      </c>
      <c r="L71" t="n">
        <v>0</v>
      </c>
      <c r="M71" t="n">
        <v>0</v>
      </c>
      <c r="N71" t="n">
        <v>0</v>
      </c>
      <c r="O71" t="n">
        <v>0</v>
      </c>
      <c r="P71" t="n">
        <v>0</v>
      </c>
      <c r="Q71" t="n">
        <v>0</v>
      </c>
      <c r="R71" s="2" t="inlineStr"/>
    </row>
    <row r="72" ht="15" customHeight="1">
      <c r="A72" t="inlineStr">
        <is>
          <t>A 41438-2022</t>
        </is>
      </c>
      <c r="B72" s="1" t="n">
        <v>44826.68010416667</v>
      </c>
      <c r="C72" s="1" t="n">
        <v>46131</v>
      </c>
      <c r="D72" t="inlineStr">
        <is>
          <t>KALMAR LÄN</t>
        </is>
      </c>
      <c r="E72" t="inlineStr">
        <is>
          <t>VIMMERBY</t>
        </is>
      </c>
      <c r="G72" t="n">
        <v>3.1</v>
      </c>
      <c r="H72" t="n">
        <v>0</v>
      </c>
      <c r="I72" t="n">
        <v>0</v>
      </c>
      <c r="J72" t="n">
        <v>0</v>
      </c>
      <c r="K72" t="n">
        <v>0</v>
      </c>
      <c r="L72" t="n">
        <v>0</v>
      </c>
      <c r="M72" t="n">
        <v>0</v>
      </c>
      <c r="N72" t="n">
        <v>0</v>
      </c>
      <c r="O72" t="n">
        <v>0</v>
      </c>
      <c r="P72" t="n">
        <v>0</v>
      </c>
      <c r="Q72" t="n">
        <v>0</v>
      </c>
      <c r="R72" s="2" t="inlineStr"/>
    </row>
    <row r="73" ht="15" customHeight="1">
      <c r="A73" t="inlineStr">
        <is>
          <t>A 2183-2022</t>
        </is>
      </c>
      <c r="B73" s="1" t="n">
        <v>44578.47597222222</v>
      </c>
      <c r="C73" s="1" t="n">
        <v>46131</v>
      </c>
      <c r="D73" t="inlineStr">
        <is>
          <t>KALMAR LÄN</t>
        </is>
      </c>
      <c r="E73" t="inlineStr">
        <is>
          <t>VIMMERBY</t>
        </is>
      </c>
      <c r="G73" t="n">
        <v>4.8</v>
      </c>
      <c r="H73" t="n">
        <v>0</v>
      </c>
      <c r="I73" t="n">
        <v>0</v>
      </c>
      <c r="J73" t="n">
        <v>0</v>
      </c>
      <c r="K73" t="n">
        <v>0</v>
      </c>
      <c r="L73" t="n">
        <v>0</v>
      </c>
      <c r="M73" t="n">
        <v>0</v>
      </c>
      <c r="N73" t="n">
        <v>0</v>
      </c>
      <c r="O73" t="n">
        <v>0</v>
      </c>
      <c r="P73" t="n">
        <v>0</v>
      </c>
      <c r="Q73" t="n">
        <v>0</v>
      </c>
      <c r="R73" s="2" t="inlineStr"/>
    </row>
    <row r="74" ht="15" customHeight="1">
      <c r="A74" t="inlineStr">
        <is>
          <t>A 65670-2021</t>
        </is>
      </c>
      <c r="B74" s="1" t="n">
        <v>44516.59703703703</v>
      </c>
      <c r="C74" s="1" t="n">
        <v>46131</v>
      </c>
      <c r="D74" t="inlineStr">
        <is>
          <t>KALMAR LÄN</t>
        </is>
      </c>
      <c r="E74" t="inlineStr">
        <is>
          <t>VIMMERBY</t>
        </is>
      </c>
      <c r="G74" t="n">
        <v>1.9</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46131</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7049-2022</t>
        </is>
      </c>
      <c r="B76" s="1" t="n">
        <v>44603</v>
      </c>
      <c r="C76" s="1" t="n">
        <v>46131</v>
      </c>
      <c r="D76" t="inlineStr">
        <is>
          <t>KALMAR LÄN</t>
        </is>
      </c>
      <c r="E76" t="inlineStr">
        <is>
          <t>VIMMERBY</t>
        </is>
      </c>
      <c r="G76" t="n">
        <v>2.3</v>
      </c>
      <c r="H76" t="n">
        <v>0</v>
      </c>
      <c r="I76" t="n">
        <v>0</v>
      </c>
      <c r="J76" t="n">
        <v>0</v>
      </c>
      <c r="K76" t="n">
        <v>0</v>
      </c>
      <c r="L76" t="n">
        <v>0</v>
      </c>
      <c r="M76" t="n">
        <v>0</v>
      </c>
      <c r="N76" t="n">
        <v>0</v>
      </c>
      <c r="O76" t="n">
        <v>0</v>
      </c>
      <c r="P76" t="n">
        <v>0</v>
      </c>
      <c r="Q76" t="n">
        <v>0</v>
      </c>
      <c r="R76" s="2" t="inlineStr"/>
    </row>
    <row r="77" ht="15" customHeight="1">
      <c r="A77" t="inlineStr">
        <is>
          <t>A 4296-2022</t>
        </is>
      </c>
      <c r="B77" s="1" t="n">
        <v>44588</v>
      </c>
      <c r="C77" s="1" t="n">
        <v>46131</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38086-2021</t>
        </is>
      </c>
      <c r="B78" s="1" t="n">
        <v>44404.87505787037</v>
      </c>
      <c r="C78" s="1" t="n">
        <v>46131</v>
      </c>
      <c r="D78" t="inlineStr">
        <is>
          <t>KALMAR LÄN</t>
        </is>
      </c>
      <c r="E78" t="inlineStr">
        <is>
          <t>VIMMERBY</t>
        </is>
      </c>
      <c r="G78" t="n">
        <v>4.4</v>
      </c>
      <c r="H78" t="n">
        <v>0</v>
      </c>
      <c r="I78" t="n">
        <v>0</v>
      </c>
      <c r="J78" t="n">
        <v>0</v>
      </c>
      <c r="K78" t="n">
        <v>0</v>
      </c>
      <c r="L78" t="n">
        <v>0</v>
      </c>
      <c r="M78" t="n">
        <v>0</v>
      </c>
      <c r="N78" t="n">
        <v>0</v>
      </c>
      <c r="O78" t="n">
        <v>0</v>
      </c>
      <c r="P78" t="n">
        <v>0</v>
      </c>
      <c r="Q78" t="n">
        <v>0</v>
      </c>
      <c r="R78" s="2" t="inlineStr"/>
    </row>
    <row r="79" ht="15" customHeight="1">
      <c r="A79" t="inlineStr">
        <is>
          <t>A 57416-2021</t>
        </is>
      </c>
      <c r="B79" s="1" t="n">
        <v>44483.58295138889</v>
      </c>
      <c r="C79" s="1" t="n">
        <v>46131</v>
      </c>
      <c r="D79" t="inlineStr">
        <is>
          <t>KALMAR LÄN</t>
        </is>
      </c>
      <c r="E79" t="inlineStr">
        <is>
          <t>VIMMERBY</t>
        </is>
      </c>
      <c r="G79" t="n">
        <v>2.9</v>
      </c>
      <c r="H79" t="n">
        <v>0</v>
      </c>
      <c r="I79" t="n">
        <v>0</v>
      </c>
      <c r="J79" t="n">
        <v>0</v>
      </c>
      <c r="K79" t="n">
        <v>0</v>
      </c>
      <c r="L79" t="n">
        <v>0</v>
      </c>
      <c r="M79" t="n">
        <v>0</v>
      </c>
      <c r="N79" t="n">
        <v>0</v>
      </c>
      <c r="O79" t="n">
        <v>0</v>
      </c>
      <c r="P79" t="n">
        <v>0</v>
      </c>
      <c r="Q79" t="n">
        <v>0</v>
      </c>
      <c r="R79" s="2" t="inlineStr"/>
    </row>
    <row r="80" ht="15" customHeight="1">
      <c r="A80" t="inlineStr">
        <is>
          <t>A 59791-2021</t>
        </is>
      </c>
      <c r="B80" s="1" t="n">
        <v>44494</v>
      </c>
      <c r="C80" s="1" t="n">
        <v>46131</v>
      </c>
      <c r="D80" t="inlineStr">
        <is>
          <t>KALMAR LÄN</t>
        </is>
      </c>
      <c r="E80" t="inlineStr">
        <is>
          <t>VIMMERBY</t>
        </is>
      </c>
      <c r="G80" t="n">
        <v>0.5</v>
      </c>
      <c r="H80" t="n">
        <v>0</v>
      </c>
      <c r="I80" t="n">
        <v>0</v>
      </c>
      <c r="J80" t="n">
        <v>0</v>
      </c>
      <c r="K80" t="n">
        <v>0</v>
      </c>
      <c r="L80" t="n">
        <v>0</v>
      </c>
      <c r="M80" t="n">
        <v>0</v>
      </c>
      <c r="N80" t="n">
        <v>0</v>
      </c>
      <c r="O80" t="n">
        <v>0</v>
      </c>
      <c r="P80" t="n">
        <v>0</v>
      </c>
      <c r="Q80" t="n">
        <v>0</v>
      </c>
      <c r="R80" s="2" t="inlineStr"/>
    </row>
    <row r="81" ht="15" customHeight="1">
      <c r="A81" t="inlineStr">
        <is>
          <t>A 71626-2021</t>
        </is>
      </c>
      <c r="B81" s="1" t="n">
        <v>44542.8859375</v>
      </c>
      <c r="C81" s="1" t="n">
        <v>46131</v>
      </c>
      <c r="D81" t="inlineStr">
        <is>
          <t>KALMAR LÄN</t>
        </is>
      </c>
      <c r="E81" t="inlineStr">
        <is>
          <t>VIMMERBY</t>
        </is>
      </c>
      <c r="G81" t="n">
        <v>1.1</v>
      </c>
      <c r="H81" t="n">
        <v>0</v>
      </c>
      <c r="I81" t="n">
        <v>0</v>
      </c>
      <c r="J81" t="n">
        <v>0</v>
      </c>
      <c r="K81" t="n">
        <v>0</v>
      </c>
      <c r="L81" t="n">
        <v>0</v>
      </c>
      <c r="M81" t="n">
        <v>0</v>
      </c>
      <c r="N81" t="n">
        <v>0</v>
      </c>
      <c r="O81" t="n">
        <v>0</v>
      </c>
      <c r="P81" t="n">
        <v>0</v>
      </c>
      <c r="Q81" t="n">
        <v>0</v>
      </c>
      <c r="R81" s="2" t="inlineStr"/>
    </row>
    <row r="82" ht="15" customHeight="1">
      <c r="A82" t="inlineStr">
        <is>
          <t>A 27762-2021</t>
        </is>
      </c>
      <c r="B82" s="1" t="n">
        <v>44354</v>
      </c>
      <c r="C82" s="1" t="n">
        <v>46131</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64923-2021</t>
        </is>
      </c>
      <c r="B83" s="1" t="n">
        <v>44512.70245370371</v>
      </c>
      <c r="C83" s="1" t="n">
        <v>46131</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33829-2022</t>
        </is>
      </c>
      <c r="B84" s="1" t="n">
        <v>44790</v>
      </c>
      <c r="C84" s="1" t="n">
        <v>46131</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68840-2021</t>
        </is>
      </c>
      <c r="B85" s="1" t="n">
        <v>44530.38055555556</v>
      </c>
      <c r="C85" s="1" t="n">
        <v>46131</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4118-2022</t>
        </is>
      </c>
      <c r="B86" s="1" t="n">
        <v>44588</v>
      </c>
      <c r="C86" s="1" t="n">
        <v>46131</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4126-2022</t>
        </is>
      </c>
      <c r="B87" s="1" t="n">
        <v>44588</v>
      </c>
      <c r="C87" s="1" t="n">
        <v>46131</v>
      </c>
      <c r="D87" t="inlineStr">
        <is>
          <t>KALMAR LÄN</t>
        </is>
      </c>
      <c r="E87" t="inlineStr">
        <is>
          <t>VIMMERBY</t>
        </is>
      </c>
      <c r="G87" t="n">
        <v>0.6</v>
      </c>
      <c r="H87" t="n">
        <v>0</v>
      </c>
      <c r="I87" t="n">
        <v>0</v>
      </c>
      <c r="J87" t="n">
        <v>0</v>
      </c>
      <c r="K87" t="n">
        <v>0</v>
      </c>
      <c r="L87" t="n">
        <v>0</v>
      </c>
      <c r="M87" t="n">
        <v>0</v>
      </c>
      <c r="N87" t="n">
        <v>0</v>
      </c>
      <c r="O87" t="n">
        <v>0</v>
      </c>
      <c r="P87" t="n">
        <v>0</v>
      </c>
      <c r="Q87" t="n">
        <v>0</v>
      </c>
      <c r="R87" s="2" t="inlineStr"/>
    </row>
    <row r="88" ht="15" customHeight="1">
      <c r="A88" t="inlineStr">
        <is>
          <t>A 33820-2022</t>
        </is>
      </c>
      <c r="B88" s="1" t="n">
        <v>44790</v>
      </c>
      <c r="C88" s="1" t="n">
        <v>46131</v>
      </c>
      <c r="D88" t="inlineStr">
        <is>
          <t>KALMAR LÄN</t>
        </is>
      </c>
      <c r="E88" t="inlineStr">
        <is>
          <t>VIMMERBY</t>
        </is>
      </c>
      <c r="G88" t="n">
        <v>3</v>
      </c>
      <c r="H88" t="n">
        <v>0</v>
      </c>
      <c r="I88" t="n">
        <v>0</v>
      </c>
      <c r="J88" t="n">
        <v>0</v>
      </c>
      <c r="K88" t="n">
        <v>0</v>
      </c>
      <c r="L88" t="n">
        <v>0</v>
      </c>
      <c r="M88" t="n">
        <v>0</v>
      </c>
      <c r="N88" t="n">
        <v>0</v>
      </c>
      <c r="O88" t="n">
        <v>0</v>
      </c>
      <c r="P88" t="n">
        <v>0</v>
      </c>
      <c r="Q88" t="n">
        <v>0</v>
      </c>
      <c r="R88" s="2" t="inlineStr"/>
    </row>
    <row r="89" ht="15" customHeight="1">
      <c r="A89" t="inlineStr">
        <is>
          <t>A 33824-2022</t>
        </is>
      </c>
      <c r="B89" s="1" t="n">
        <v>44790.47628472222</v>
      </c>
      <c r="C89" s="1" t="n">
        <v>46131</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19863-2021</t>
        </is>
      </c>
      <c r="B90" s="1" t="n">
        <v>44312</v>
      </c>
      <c r="C90" s="1" t="n">
        <v>46131</v>
      </c>
      <c r="D90" t="inlineStr">
        <is>
          <t>KALMAR LÄN</t>
        </is>
      </c>
      <c r="E90" t="inlineStr">
        <is>
          <t>VIMMERBY</t>
        </is>
      </c>
      <c r="G90" t="n">
        <v>3.7</v>
      </c>
      <c r="H90" t="n">
        <v>0</v>
      </c>
      <c r="I90" t="n">
        <v>0</v>
      </c>
      <c r="J90" t="n">
        <v>0</v>
      </c>
      <c r="K90" t="n">
        <v>0</v>
      </c>
      <c r="L90" t="n">
        <v>0</v>
      </c>
      <c r="M90" t="n">
        <v>0</v>
      </c>
      <c r="N90" t="n">
        <v>0</v>
      </c>
      <c r="O90" t="n">
        <v>0</v>
      </c>
      <c r="P90" t="n">
        <v>0</v>
      </c>
      <c r="Q90" t="n">
        <v>0</v>
      </c>
      <c r="R90" s="2" t="inlineStr"/>
    </row>
    <row r="91" ht="15" customHeight="1">
      <c r="A91" t="inlineStr">
        <is>
          <t>A 55297-2021</t>
        </is>
      </c>
      <c r="B91" s="1" t="n">
        <v>44475</v>
      </c>
      <c r="C91" s="1" t="n">
        <v>46131</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35531-2021</t>
        </is>
      </c>
      <c r="B92" s="1" t="n">
        <v>44385</v>
      </c>
      <c r="C92" s="1" t="n">
        <v>46131</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38789-2021</t>
        </is>
      </c>
      <c r="B93" s="1" t="n">
        <v>44410.71038194445</v>
      </c>
      <c r="C93" s="1" t="n">
        <v>46131</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16290-2022</t>
        </is>
      </c>
      <c r="B94" s="1" t="n">
        <v>44670</v>
      </c>
      <c r="C94" s="1" t="n">
        <v>46131</v>
      </c>
      <c r="D94" t="inlineStr">
        <is>
          <t>KALMAR LÄN</t>
        </is>
      </c>
      <c r="E94" t="inlineStr">
        <is>
          <t>VIMMERBY</t>
        </is>
      </c>
      <c r="G94" t="n">
        <v>1.2</v>
      </c>
      <c r="H94" t="n">
        <v>0</v>
      </c>
      <c r="I94" t="n">
        <v>0</v>
      </c>
      <c r="J94" t="n">
        <v>0</v>
      </c>
      <c r="K94" t="n">
        <v>0</v>
      </c>
      <c r="L94" t="n">
        <v>0</v>
      </c>
      <c r="M94" t="n">
        <v>0</v>
      </c>
      <c r="N94" t="n">
        <v>0</v>
      </c>
      <c r="O94" t="n">
        <v>0</v>
      </c>
      <c r="P94" t="n">
        <v>0</v>
      </c>
      <c r="Q94" t="n">
        <v>0</v>
      </c>
      <c r="R94" s="2" t="inlineStr"/>
    </row>
    <row r="95" ht="15" customHeight="1">
      <c r="A95" t="inlineStr">
        <is>
          <t>A 30682-2021</t>
        </is>
      </c>
      <c r="B95" s="1" t="n">
        <v>44365</v>
      </c>
      <c r="C95" s="1" t="n">
        <v>46131</v>
      </c>
      <c r="D95" t="inlineStr">
        <is>
          <t>KALMAR LÄN</t>
        </is>
      </c>
      <c r="E95" t="inlineStr">
        <is>
          <t>VIMMERBY</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25049-2022</t>
        </is>
      </c>
      <c r="B96" s="1" t="n">
        <v>44729.28226851852</v>
      </c>
      <c r="C96" s="1" t="n">
        <v>46131</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24723-2021</t>
        </is>
      </c>
      <c r="B97" s="1" t="n">
        <v>44340.54472222222</v>
      </c>
      <c r="C97" s="1" t="n">
        <v>46131</v>
      </c>
      <c r="D97" t="inlineStr">
        <is>
          <t>KALMAR LÄN</t>
        </is>
      </c>
      <c r="E97" t="inlineStr">
        <is>
          <t>VIMMERBY</t>
        </is>
      </c>
      <c r="G97" t="n">
        <v>3.3</v>
      </c>
      <c r="H97" t="n">
        <v>0</v>
      </c>
      <c r="I97" t="n">
        <v>0</v>
      </c>
      <c r="J97" t="n">
        <v>0</v>
      </c>
      <c r="K97" t="n">
        <v>0</v>
      </c>
      <c r="L97" t="n">
        <v>0</v>
      </c>
      <c r="M97" t="n">
        <v>0</v>
      </c>
      <c r="N97" t="n">
        <v>0</v>
      </c>
      <c r="O97" t="n">
        <v>0</v>
      </c>
      <c r="P97" t="n">
        <v>0</v>
      </c>
      <c r="Q97" t="n">
        <v>0</v>
      </c>
      <c r="R97" s="2" t="inlineStr"/>
    </row>
    <row r="98" ht="15" customHeight="1">
      <c r="A98" t="inlineStr">
        <is>
          <t>A 24752-2021</t>
        </is>
      </c>
      <c r="B98" s="1" t="n">
        <v>44340</v>
      </c>
      <c r="C98" s="1" t="n">
        <v>46131</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31533-2022</t>
        </is>
      </c>
      <c r="B99" s="1" t="n">
        <v>44774</v>
      </c>
      <c r="C99" s="1" t="n">
        <v>46131</v>
      </c>
      <c r="D99" t="inlineStr">
        <is>
          <t>KALMAR LÄN</t>
        </is>
      </c>
      <c r="E99" t="inlineStr">
        <is>
          <t>VIMMERBY</t>
        </is>
      </c>
      <c r="G99" t="n">
        <v>2.5</v>
      </c>
      <c r="H99" t="n">
        <v>0</v>
      </c>
      <c r="I99" t="n">
        <v>0</v>
      </c>
      <c r="J99" t="n">
        <v>0</v>
      </c>
      <c r="K99" t="n">
        <v>0</v>
      </c>
      <c r="L99" t="n">
        <v>0</v>
      </c>
      <c r="M99" t="n">
        <v>0</v>
      </c>
      <c r="N99" t="n">
        <v>0</v>
      </c>
      <c r="O99" t="n">
        <v>0</v>
      </c>
      <c r="P99" t="n">
        <v>0</v>
      </c>
      <c r="Q99" t="n">
        <v>0</v>
      </c>
      <c r="R99" s="2" t="inlineStr"/>
    </row>
    <row r="100" ht="15" customHeight="1">
      <c r="A100" t="inlineStr">
        <is>
          <t>A 25859-2022</t>
        </is>
      </c>
      <c r="B100" s="1" t="n">
        <v>44733</v>
      </c>
      <c r="C100" s="1" t="n">
        <v>46131</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25868-2022</t>
        </is>
      </c>
      <c r="B101" s="1" t="n">
        <v>44733</v>
      </c>
      <c r="C101" s="1" t="n">
        <v>46131</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35633-2021</t>
        </is>
      </c>
      <c r="B102" s="1" t="n">
        <v>44386.40783564815</v>
      </c>
      <c r="C102" s="1" t="n">
        <v>46131</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46131</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24369-2021</t>
        </is>
      </c>
      <c r="B104" s="1" t="n">
        <v>44337</v>
      </c>
      <c r="C104" s="1" t="n">
        <v>46131</v>
      </c>
      <c r="D104" t="inlineStr">
        <is>
          <t>KALMAR LÄN</t>
        </is>
      </c>
      <c r="E104" t="inlineStr">
        <is>
          <t>VIMMERBY</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51972-2021</t>
        </is>
      </c>
      <c r="B105" s="1" t="n">
        <v>44463.29439814815</v>
      </c>
      <c r="C105" s="1" t="n">
        <v>46131</v>
      </c>
      <c r="D105" t="inlineStr">
        <is>
          <t>KALMAR LÄN</t>
        </is>
      </c>
      <c r="E105" t="inlineStr">
        <is>
          <t>VIMMERBY</t>
        </is>
      </c>
      <c r="G105" t="n">
        <v>4.5</v>
      </c>
      <c r="H105" t="n">
        <v>0</v>
      </c>
      <c r="I105" t="n">
        <v>0</v>
      </c>
      <c r="J105" t="n">
        <v>0</v>
      </c>
      <c r="K105" t="n">
        <v>0</v>
      </c>
      <c r="L105" t="n">
        <v>0</v>
      </c>
      <c r="M105" t="n">
        <v>0</v>
      </c>
      <c r="N105" t="n">
        <v>0</v>
      </c>
      <c r="O105" t="n">
        <v>0</v>
      </c>
      <c r="P105" t="n">
        <v>0</v>
      </c>
      <c r="Q105" t="n">
        <v>0</v>
      </c>
      <c r="R105" s="2" t="inlineStr"/>
    </row>
    <row r="106" ht="15" customHeight="1">
      <c r="A106" t="inlineStr">
        <is>
          <t>A 32386-2021</t>
        </is>
      </c>
      <c r="B106" s="1" t="n">
        <v>44371.62743055556</v>
      </c>
      <c r="C106" s="1" t="n">
        <v>46131</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4042-2022</t>
        </is>
      </c>
      <c r="B107" s="1" t="n">
        <v>44588</v>
      </c>
      <c r="C107" s="1" t="n">
        <v>46131</v>
      </c>
      <c r="D107" t="inlineStr">
        <is>
          <t>KALMAR LÄN</t>
        </is>
      </c>
      <c r="E107" t="inlineStr">
        <is>
          <t>VIMMERBY</t>
        </is>
      </c>
      <c r="G107" t="n">
        <v>4.7</v>
      </c>
      <c r="H107" t="n">
        <v>0</v>
      </c>
      <c r="I107" t="n">
        <v>0</v>
      </c>
      <c r="J107" t="n">
        <v>0</v>
      </c>
      <c r="K107" t="n">
        <v>0</v>
      </c>
      <c r="L107" t="n">
        <v>0</v>
      </c>
      <c r="M107" t="n">
        <v>0</v>
      </c>
      <c r="N107" t="n">
        <v>0</v>
      </c>
      <c r="O107" t="n">
        <v>0</v>
      </c>
      <c r="P107" t="n">
        <v>0</v>
      </c>
      <c r="Q107" t="n">
        <v>0</v>
      </c>
      <c r="R107" s="2" t="inlineStr"/>
    </row>
    <row r="108" ht="15" customHeight="1">
      <c r="A108" t="inlineStr">
        <is>
          <t>A 33690-2022</t>
        </is>
      </c>
      <c r="B108" s="1" t="n">
        <v>44789</v>
      </c>
      <c r="C108" s="1" t="n">
        <v>46131</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35198-2021</t>
        </is>
      </c>
      <c r="B109" s="1" t="n">
        <v>44377</v>
      </c>
      <c r="C109" s="1" t="n">
        <v>46131</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34036-2021</t>
        </is>
      </c>
      <c r="B110" s="1" t="n">
        <v>44379</v>
      </c>
      <c r="C110" s="1" t="n">
        <v>46131</v>
      </c>
      <c r="D110" t="inlineStr">
        <is>
          <t>KALMAR LÄN</t>
        </is>
      </c>
      <c r="E110" t="inlineStr">
        <is>
          <t>VIMMERBY</t>
        </is>
      </c>
      <c r="F110" t="inlineStr">
        <is>
          <t>Sveaskog</t>
        </is>
      </c>
      <c r="G110" t="n">
        <v>7</v>
      </c>
      <c r="H110" t="n">
        <v>0</v>
      </c>
      <c r="I110" t="n">
        <v>0</v>
      </c>
      <c r="J110" t="n">
        <v>0</v>
      </c>
      <c r="K110" t="n">
        <v>0</v>
      </c>
      <c r="L110" t="n">
        <v>0</v>
      </c>
      <c r="M110" t="n">
        <v>0</v>
      </c>
      <c r="N110" t="n">
        <v>0</v>
      </c>
      <c r="O110" t="n">
        <v>0</v>
      </c>
      <c r="P110" t="n">
        <v>0</v>
      </c>
      <c r="Q110" t="n">
        <v>0</v>
      </c>
      <c r="R110" s="2" t="inlineStr"/>
    </row>
    <row r="111" ht="15" customHeight="1">
      <c r="A111" t="inlineStr">
        <is>
          <t>A 63244-2021</t>
        </is>
      </c>
      <c r="B111" s="1" t="n">
        <v>44508</v>
      </c>
      <c r="C111" s="1" t="n">
        <v>46131</v>
      </c>
      <c r="D111" t="inlineStr">
        <is>
          <t>KALMAR LÄN</t>
        </is>
      </c>
      <c r="E111" t="inlineStr">
        <is>
          <t>VIMMERBY</t>
        </is>
      </c>
      <c r="F111" t="inlineStr">
        <is>
          <t>Övriga statliga verk och myndigheter</t>
        </is>
      </c>
      <c r="G111" t="n">
        <v>0.6</v>
      </c>
      <c r="H111" t="n">
        <v>0</v>
      </c>
      <c r="I111" t="n">
        <v>0</v>
      </c>
      <c r="J111" t="n">
        <v>0</v>
      </c>
      <c r="K111" t="n">
        <v>0</v>
      </c>
      <c r="L111" t="n">
        <v>0</v>
      </c>
      <c r="M111" t="n">
        <v>0</v>
      </c>
      <c r="N111" t="n">
        <v>0</v>
      </c>
      <c r="O111" t="n">
        <v>0</v>
      </c>
      <c r="P111" t="n">
        <v>0</v>
      </c>
      <c r="Q111" t="n">
        <v>0</v>
      </c>
      <c r="R111" s="2" t="inlineStr"/>
    </row>
    <row r="112" ht="15" customHeight="1">
      <c r="A112" t="inlineStr">
        <is>
          <t>A 11814-2022</t>
        </is>
      </c>
      <c r="B112" s="1" t="n">
        <v>44634.69703703704</v>
      </c>
      <c r="C112" s="1" t="n">
        <v>46131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56385-2021</t>
        </is>
      </c>
      <c r="B113" s="1" t="n">
        <v>44480</v>
      </c>
      <c r="C113" s="1" t="n">
        <v>46131</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24738-2021</t>
        </is>
      </c>
      <c r="B114" s="1" t="n">
        <v>44340.58002314815</v>
      </c>
      <c r="C114" s="1" t="n">
        <v>46131</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31053-2022</t>
        </is>
      </c>
      <c r="B115" s="1" t="n">
        <v>44769.45422453704</v>
      </c>
      <c r="C115" s="1" t="n">
        <v>46131</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8454-2022</t>
        </is>
      </c>
      <c r="B116" s="1" t="n">
        <v>44612.86762731482</v>
      </c>
      <c r="C116" s="1" t="n">
        <v>46131</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65887-2021</t>
        </is>
      </c>
      <c r="B117" s="1" t="n">
        <v>44517</v>
      </c>
      <c r="C117" s="1" t="n">
        <v>46131</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39959-2022</t>
        </is>
      </c>
      <c r="B118" s="1" t="n">
        <v>44819</v>
      </c>
      <c r="C118" s="1" t="n">
        <v>46131</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24999-2021</t>
        </is>
      </c>
      <c r="B119" s="1" t="n">
        <v>44341</v>
      </c>
      <c r="C119" s="1" t="n">
        <v>46131</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46131</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7917-2022</t>
        </is>
      </c>
      <c r="B121" s="1" t="n">
        <v>44608</v>
      </c>
      <c r="C121" s="1" t="n">
        <v>46131</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56389-2021</t>
        </is>
      </c>
      <c r="B122" s="1" t="n">
        <v>44480</v>
      </c>
      <c r="C122" s="1" t="n">
        <v>46131</v>
      </c>
      <c r="D122" t="inlineStr">
        <is>
          <t>KALMAR LÄN</t>
        </is>
      </c>
      <c r="E122" t="inlineStr">
        <is>
          <t>VIMMERBY</t>
        </is>
      </c>
      <c r="G122" t="n">
        <v>0.9</v>
      </c>
      <c r="H122" t="n">
        <v>0</v>
      </c>
      <c r="I122" t="n">
        <v>0</v>
      </c>
      <c r="J122" t="n">
        <v>0</v>
      </c>
      <c r="K122" t="n">
        <v>0</v>
      </c>
      <c r="L122" t="n">
        <v>0</v>
      </c>
      <c r="M122" t="n">
        <v>0</v>
      </c>
      <c r="N122" t="n">
        <v>0</v>
      </c>
      <c r="O122" t="n">
        <v>0</v>
      </c>
      <c r="P122" t="n">
        <v>0</v>
      </c>
      <c r="Q122" t="n">
        <v>0</v>
      </c>
      <c r="R122" s="2" t="inlineStr"/>
    </row>
    <row r="123" ht="15" customHeight="1">
      <c r="A123" t="inlineStr">
        <is>
          <t>A 67952-2021</t>
        </is>
      </c>
      <c r="B123" s="1" t="n">
        <v>44525.63913194444</v>
      </c>
      <c r="C123" s="1" t="n">
        <v>46131</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15533-2022</t>
        </is>
      </c>
      <c r="B124" s="1" t="n">
        <v>44662</v>
      </c>
      <c r="C124" s="1" t="n">
        <v>46131</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165-2022</t>
        </is>
      </c>
      <c r="B125" s="1" t="n">
        <v>44564</v>
      </c>
      <c r="C125" s="1" t="n">
        <v>46131</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34040-2021</t>
        </is>
      </c>
      <c r="B126" s="1" t="n">
        <v>44379</v>
      </c>
      <c r="C126" s="1" t="n">
        <v>46131</v>
      </c>
      <c r="D126" t="inlineStr">
        <is>
          <t>KALMAR LÄN</t>
        </is>
      </c>
      <c r="E126" t="inlineStr">
        <is>
          <t>VIMMERBY</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12107-2022</t>
        </is>
      </c>
      <c r="B127" s="1" t="n">
        <v>44636</v>
      </c>
      <c r="C127" s="1" t="n">
        <v>46131</v>
      </c>
      <c r="D127" t="inlineStr">
        <is>
          <t>KALMAR LÄN</t>
        </is>
      </c>
      <c r="E127" t="inlineStr">
        <is>
          <t>VIMMERBY</t>
        </is>
      </c>
      <c r="G127" t="n">
        <v>1.8</v>
      </c>
      <c r="H127" t="n">
        <v>0</v>
      </c>
      <c r="I127" t="n">
        <v>0</v>
      </c>
      <c r="J127" t="n">
        <v>0</v>
      </c>
      <c r="K127" t="n">
        <v>0</v>
      </c>
      <c r="L127" t="n">
        <v>0</v>
      </c>
      <c r="M127" t="n">
        <v>0</v>
      </c>
      <c r="N127" t="n">
        <v>0</v>
      </c>
      <c r="O127" t="n">
        <v>0</v>
      </c>
      <c r="P127" t="n">
        <v>0</v>
      </c>
      <c r="Q127" t="n">
        <v>0</v>
      </c>
      <c r="R127" s="2" t="inlineStr"/>
    </row>
    <row r="128" ht="15" customHeight="1">
      <c r="A128" t="inlineStr">
        <is>
          <t>A 39225-2022</t>
        </is>
      </c>
      <c r="B128" s="1" t="n">
        <v>44817.57988425926</v>
      </c>
      <c r="C128" s="1" t="n">
        <v>46131</v>
      </c>
      <c r="D128" t="inlineStr">
        <is>
          <t>KALMAR LÄN</t>
        </is>
      </c>
      <c r="E128" t="inlineStr">
        <is>
          <t>VIMMERBY</t>
        </is>
      </c>
      <c r="G128" t="n">
        <v>2.2</v>
      </c>
      <c r="H128" t="n">
        <v>0</v>
      </c>
      <c r="I128" t="n">
        <v>0</v>
      </c>
      <c r="J128" t="n">
        <v>0</v>
      </c>
      <c r="K128" t="n">
        <v>0</v>
      </c>
      <c r="L128" t="n">
        <v>0</v>
      </c>
      <c r="M128" t="n">
        <v>0</v>
      </c>
      <c r="N128" t="n">
        <v>0</v>
      </c>
      <c r="O128" t="n">
        <v>0</v>
      </c>
      <c r="P128" t="n">
        <v>0</v>
      </c>
      <c r="Q128" t="n">
        <v>0</v>
      </c>
      <c r="R128" s="2" t="inlineStr"/>
    </row>
    <row r="129" ht="15" customHeight="1">
      <c r="A129" t="inlineStr">
        <is>
          <t>A 17029-2022</t>
        </is>
      </c>
      <c r="B129" s="1" t="n">
        <v>44676.85248842592</v>
      </c>
      <c r="C129" s="1" t="n">
        <v>46131</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18356-2021</t>
        </is>
      </c>
      <c r="B130" s="1" t="n">
        <v>44305</v>
      </c>
      <c r="C130" s="1" t="n">
        <v>46131</v>
      </c>
      <c r="D130" t="inlineStr">
        <is>
          <t>KALMAR LÄN</t>
        </is>
      </c>
      <c r="E130" t="inlineStr">
        <is>
          <t>VIMMERBY</t>
        </is>
      </c>
      <c r="G130" t="n">
        <v>3.4</v>
      </c>
      <c r="H130" t="n">
        <v>0</v>
      </c>
      <c r="I130" t="n">
        <v>0</v>
      </c>
      <c r="J130" t="n">
        <v>0</v>
      </c>
      <c r="K130" t="n">
        <v>0</v>
      </c>
      <c r="L130" t="n">
        <v>0</v>
      </c>
      <c r="M130" t="n">
        <v>0</v>
      </c>
      <c r="N130" t="n">
        <v>0</v>
      </c>
      <c r="O130" t="n">
        <v>0</v>
      </c>
      <c r="P130" t="n">
        <v>0</v>
      </c>
      <c r="Q130" t="n">
        <v>0</v>
      </c>
      <c r="R130" s="2" t="inlineStr"/>
    </row>
    <row r="131" ht="15" customHeight="1">
      <c r="A131" t="inlineStr">
        <is>
          <t>A 7167-2022</t>
        </is>
      </c>
      <c r="B131" s="1" t="n">
        <v>44604</v>
      </c>
      <c r="C131" s="1" t="n">
        <v>46131</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35001-2021</t>
        </is>
      </c>
      <c r="B132" s="1" t="n">
        <v>44383</v>
      </c>
      <c r="C132" s="1" t="n">
        <v>46131</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55674-2021</t>
        </is>
      </c>
      <c r="B133" s="1" t="n">
        <v>44476</v>
      </c>
      <c r="C133" s="1" t="n">
        <v>46131</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40077-2021</t>
        </is>
      </c>
      <c r="B134" s="1" t="n">
        <v>44418</v>
      </c>
      <c r="C134" s="1" t="n">
        <v>46131</v>
      </c>
      <c r="D134" t="inlineStr">
        <is>
          <t>KALMAR LÄN</t>
        </is>
      </c>
      <c r="E134" t="inlineStr">
        <is>
          <t>VIMMERBY</t>
        </is>
      </c>
      <c r="G134" t="n">
        <v>2.9</v>
      </c>
      <c r="H134" t="n">
        <v>0</v>
      </c>
      <c r="I134" t="n">
        <v>0</v>
      </c>
      <c r="J134" t="n">
        <v>0</v>
      </c>
      <c r="K134" t="n">
        <v>0</v>
      </c>
      <c r="L134" t="n">
        <v>0</v>
      </c>
      <c r="M134" t="n">
        <v>0</v>
      </c>
      <c r="N134" t="n">
        <v>0</v>
      </c>
      <c r="O134" t="n">
        <v>0</v>
      </c>
      <c r="P134" t="n">
        <v>0</v>
      </c>
      <c r="Q134" t="n">
        <v>0</v>
      </c>
      <c r="R134" s="2" t="inlineStr"/>
    </row>
    <row r="135" ht="15" customHeight="1">
      <c r="A135" t="inlineStr">
        <is>
          <t>A 47769-2022</t>
        </is>
      </c>
      <c r="B135" s="1" t="n">
        <v>44854</v>
      </c>
      <c r="C135" s="1" t="n">
        <v>46131</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48377-2021</t>
        </is>
      </c>
      <c r="B136" s="1" t="n">
        <v>44451.8375</v>
      </c>
      <c r="C136" s="1" t="n">
        <v>46131</v>
      </c>
      <c r="D136" t="inlineStr">
        <is>
          <t>KALMAR LÄN</t>
        </is>
      </c>
      <c r="E136" t="inlineStr">
        <is>
          <t>VIMMERBY</t>
        </is>
      </c>
      <c r="G136" t="n">
        <v>0.4</v>
      </c>
      <c r="H136" t="n">
        <v>0</v>
      </c>
      <c r="I136" t="n">
        <v>0</v>
      </c>
      <c r="J136" t="n">
        <v>0</v>
      </c>
      <c r="K136" t="n">
        <v>0</v>
      </c>
      <c r="L136" t="n">
        <v>0</v>
      </c>
      <c r="M136" t="n">
        <v>0</v>
      </c>
      <c r="N136" t="n">
        <v>0</v>
      </c>
      <c r="O136" t="n">
        <v>0</v>
      </c>
      <c r="P136" t="n">
        <v>0</v>
      </c>
      <c r="Q136" t="n">
        <v>0</v>
      </c>
      <c r="R136" s="2" t="inlineStr"/>
    </row>
    <row r="137" ht="15" customHeight="1">
      <c r="A137" t="inlineStr">
        <is>
          <t>A 40472-2022</t>
        </is>
      </c>
      <c r="B137" s="1" t="n">
        <v>44823</v>
      </c>
      <c r="C137" s="1" t="n">
        <v>46131</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35316-2021</t>
        </is>
      </c>
      <c r="B138" s="1" t="n">
        <v>44384</v>
      </c>
      <c r="C138" s="1" t="n">
        <v>46131</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33831-2022</t>
        </is>
      </c>
      <c r="B139" s="1" t="n">
        <v>44790.48503472222</v>
      </c>
      <c r="C139" s="1" t="n">
        <v>46131</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47708-2022</t>
        </is>
      </c>
      <c r="B140" s="1" t="n">
        <v>44854.59157407407</v>
      </c>
      <c r="C140" s="1" t="n">
        <v>46131</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9918-2022</t>
        </is>
      </c>
      <c r="B141" s="1" t="n">
        <v>44620</v>
      </c>
      <c r="C141" s="1" t="n">
        <v>46131</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23825-2022</t>
        </is>
      </c>
      <c r="B142" s="1" t="n">
        <v>44722.48768518519</v>
      </c>
      <c r="C142" s="1" t="n">
        <v>46131</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18276-2021</t>
        </is>
      </c>
      <c r="B143" s="1" t="n">
        <v>44305.40046296296</v>
      </c>
      <c r="C143" s="1" t="n">
        <v>46131</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47473-2021</t>
        </is>
      </c>
      <c r="B144" s="1" t="n">
        <v>44447</v>
      </c>
      <c r="C144" s="1" t="n">
        <v>46131</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41056-2022</t>
        </is>
      </c>
      <c r="B145" s="1" t="n">
        <v>44824</v>
      </c>
      <c r="C145" s="1" t="n">
        <v>46131</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31660-2021</t>
        </is>
      </c>
      <c r="B146" s="1" t="n">
        <v>44369</v>
      </c>
      <c r="C146" s="1" t="n">
        <v>46131</v>
      </c>
      <c r="D146" t="inlineStr">
        <is>
          <t>KALMAR LÄN</t>
        </is>
      </c>
      <c r="E146" t="inlineStr">
        <is>
          <t>VIMMERBY</t>
        </is>
      </c>
      <c r="G146" t="n">
        <v>4.2</v>
      </c>
      <c r="H146" t="n">
        <v>0</v>
      </c>
      <c r="I146" t="n">
        <v>0</v>
      </c>
      <c r="J146" t="n">
        <v>0</v>
      </c>
      <c r="K146" t="n">
        <v>0</v>
      </c>
      <c r="L146" t="n">
        <v>0</v>
      </c>
      <c r="M146" t="n">
        <v>0</v>
      </c>
      <c r="N146" t="n">
        <v>0</v>
      </c>
      <c r="O146" t="n">
        <v>0</v>
      </c>
      <c r="P146" t="n">
        <v>0</v>
      </c>
      <c r="Q146" t="n">
        <v>0</v>
      </c>
      <c r="R146" s="2" t="inlineStr"/>
    </row>
    <row r="147" ht="15" customHeight="1">
      <c r="A147" t="inlineStr">
        <is>
          <t>A 27455-2022</t>
        </is>
      </c>
      <c r="B147" s="1" t="n">
        <v>44742</v>
      </c>
      <c r="C147" s="1" t="n">
        <v>46131</v>
      </c>
      <c r="D147" t="inlineStr">
        <is>
          <t>KALMAR LÄN</t>
        </is>
      </c>
      <c r="E147" t="inlineStr">
        <is>
          <t>VIMMERBY</t>
        </is>
      </c>
      <c r="G147" t="n">
        <v>1.6</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46131</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46131</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46964-2022</t>
        </is>
      </c>
      <c r="B150" s="1" t="n">
        <v>44851.95016203704</v>
      </c>
      <c r="C150" s="1" t="n">
        <v>46131</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13180-2022</t>
        </is>
      </c>
      <c r="B151" s="1" t="n">
        <v>44644</v>
      </c>
      <c r="C151" s="1" t="n">
        <v>46131</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32603-2021</t>
        </is>
      </c>
      <c r="B152" s="1" t="n">
        <v>44375.38789351852</v>
      </c>
      <c r="C152" s="1" t="n">
        <v>46131</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42850-2022</t>
        </is>
      </c>
      <c r="B153" s="1" t="n">
        <v>44832.67608796297</v>
      </c>
      <c r="C153" s="1" t="n">
        <v>46131</v>
      </c>
      <c r="D153" t="inlineStr">
        <is>
          <t>KALMAR LÄN</t>
        </is>
      </c>
      <c r="E153" t="inlineStr">
        <is>
          <t>VIMMERBY</t>
        </is>
      </c>
      <c r="G153" t="n">
        <v>5.9</v>
      </c>
      <c r="H153" t="n">
        <v>0</v>
      </c>
      <c r="I153" t="n">
        <v>0</v>
      </c>
      <c r="J153" t="n">
        <v>0</v>
      </c>
      <c r="K153" t="n">
        <v>0</v>
      </c>
      <c r="L153" t="n">
        <v>0</v>
      </c>
      <c r="M153" t="n">
        <v>0</v>
      </c>
      <c r="N153" t="n">
        <v>0</v>
      </c>
      <c r="O153" t="n">
        <v>0</v>
      </c>
      <c r="P153" t="n">
        <v>0</v>
      </c>
      <c r="Q153" t="n">
        <v>0</v>
      </c>
      <c r="R153" s="2" t="inlineStr"/>
    </row>
    <row r="154" ht="15" customHeight="1">
      <c r="A154" t="inlineStr">
        <is>
          <t>A 10086-2022</t>
        </is>
      </c>
      <c r="B154" s="1" t="n">
        <v>44621</v>
      </c>
      <c r="C154" s="1" t="n">
        <v>46131</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53145-2022</t>
        </is>
      </c>
      <c r="B155" s="1" t="n">
        <v>44876.48346064815</v>
      </c>
      <c r="C155" s="1" t="n">
        <v>46131</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25738-2022</t>
        </is>
      </c>
      <c r="B156" s="1" t="n">
        <v>44733.43092592592</v>
      </c>
      <c r="C156" s="1" t="n">
        <v>46131</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8194-2022</t>
        </is>
      </c>
      <c r="B157" s="1" t="n">
        <v>44609</v>
      </c>
      <c r="C157" s="1" t="n">
        <v>46131</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40971-2021</t>
        </is>
      </c>
      <c r="B158" s="1" t="n">
        <v>44421</v>
      </c>
      <c r="C158" s="1" t="n">
        <v>46131</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8453-2022</t>
        </is>
      </c>
      <c r="B159" s="1" t="n">
        <v>44612.86554398148</v>
      </c>
      <c r="C159" s="1" t="n">
        <v>46131</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54065-2021</t>
        </is>
      </c>
      <c r="B160" s="1" t="n">
        <v>44470.44232638889</v>
      </c>
      <c r="C160" s="1" t="n">
        <v>46131</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52433-2021</t>
        </is>
      </c>
      <c r="B161" s="1" t="n">
        <v>44466.34726851852</v>
      </c>
      <c r="C161" s="1" t="n">
        <v>46131</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50621-2022</t>
        </is>
      </c>
      <c r="B162" s="1" t="n">
        <v>44866.81100694444</v>
      </c>
      <c r="C162" s="1" t="n">
        <v>46131</v>
      </c>
      <c r="D162" t="inlineStr">
        <is>
          <t>KALMAR LÄN</t>
        </is>
      </c>
      <c r="E162" t="inlineStr">
        <is>
          <t>VIMMERBY</t>
        </is>
      </c>
      <c r="F162" t="inlineStr">
        <is>
          <t>Övriga Aktiebolag</t>
        </is>
      </c>
      <c r="G162" t="n">
        <v>5.1</v>
      </c>
      <c r="H162" t="n">
        <v>0</v>
      </c>
      <c r="I162" t="n">
        <v>0</v>
      </c>
      <c r="J162" t="n">
        <v>0</v>
      </c>
      <c r="K162" t="n">
        <v>0</v>
      </c>
      <c r="L162" t="n">
        <v>0</v>
      </c>
      <c r="M162" t="n">
        <v>0</v>
      </c>
      <c r="N162" t="n">
        <v>0</v>
      </c>
      <c r="O162" t="n">
        <v>0</v>
      </c>
      <c r="P162" t="n">
        <v>0</v>
      </c>
      <c r="Q162" t="n">
        <v>0</v>
      </c>
      <c r="R162" s="2" t="inlineStr"/>
    </row>
    <row r="163" ht="15" customHeight="1">
      <c r="A163" t="inlineStr">
        <is>
          <t>A 31824-2022</t>
        </is>
      </c>
      <c r="B163" s="1" t="n">
        <v>44776</v>
      </c>
      <c r="C163" s="1" t="n">
        <v>46131</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39042-2022</t>
        </is>
      </c>
      <c r="B164" s="1" t="n">
        <v>44817</v>
      </c>
      <c r="C164" s="1" t="n">
        <v>46131</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7804-2022</t>
        </is>
      </c>
      <c r="B165" s="1" t="n">
        <v>44608.50458333334</v>
      </c>
      <c r="C165" s="1" t="n">
        <v>46131</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11733-2022</t>
        </is>
      </c>
      <c r="B166" s="1" t="n">
        <v>44634</v>
      </c>
      <c r="C166" s="1" t="n">
        <v>46131</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29441-2024</t>
        </is>
      </c>
      <c r="B167" s="1" t="n">
        <v>45483.82834490741</v>
      </c>
      <c r="C167" s="1" t="n">
        <v>46131</v>
      </c>
      <c r="D167" t="inlineStr">
        <is>
          <t>KALMAR LÄN</t>
        </is>
      </c>
      <c r="E167" t="inlineStr">
        <is>
          <t>VIMMERBY</t>
        </is>
      </c>
      <c r="G167" t="n">
        <v>1.3</v>
      </c>
      <c r="H167" t="n">
        <v>0</v>
      </c>
      <c r="I167" t="n">
        <v>0</v>
      </c>
      <c r="J167" t="n">
        <v>0</v>
      </c>
      <c r="K167" t="n">
        <v>0</v>
      </c>
      <c r="L167" t="n">
        <v>0</v>
      </c>
      <c r="M167" t="n">
        <v>0</v>
      </c>
      <c r="N167" t="n">
        <v>0</v>
      </c>
      <c r="O167" t="n">
        <v>0</v>
      </c>
      <c r="P167" t="n">
        <v>0</v>
      </c>
      <c r="Q167" t="n">
        <v>0</v>
      </c>
      <c r="R167" s="2" t="inlineStr"/>
    </row>
    <row r="168" ht="15" customHeight="1">
      <c r="A168" t="inlineStr">
        <is>
          <t>A 25728-2023</t>
        </is>
      </c>
      <c r="B168" s="1" t="n">
        <v>45090.38012731481</v>
      </c>
      <c r="C168" s="1" t="n">
        <v>46131</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33359-2021</t>
        </is>
      </c>
      <c r="B169" s="1" t="n">
        <v>44377.49684027778</v>
      </c>
      <c r="C169" s="1" t="n">
        <v>46131</v>
      </c>
      <c r="D169" t="inlineStr">
        <is>
          <t>KALMAR LÄN</t>
        </is>
      </c>
      <c r="E169" t="inlineStr">
        <is>
          <t>VIMMERBY</t>
        </is>
      </c>
      <c r="F169" t="inlineStr">
        <is>
          <t>Kommuner</t>
        </is>
      </c>
      <c r="G169" t="n">
        <v>8</v>
      </c>
      <c r="H169" t="n">
        <v>0</v>
      </c>
      <c r="I169" t="n">
        <v>0</v>
      </c>
      <c r="J169" t="n">
        <v>0</v>
      </c>
      <c r="K169" t="n">
        <v>0</v>
      </c>
      <c r="L169" t="n">
        <v>0</v>
      </c>
      <c r="M169" t="n">
        <v>0</v>
      </c>
      <c r="N169" t="n">
        <v>0</v>
      </c>
      <c r="O169" t="n">
        <v>0</v>
      </c>
      <c r="P169" t="n">
        <v>0</v>
      </c>
      <c r="Q169" t="n">
        <v>0</v>
      </c>
      <c r="R169" s="2" t="inlineStr"/>
    </row>
    <row r="170" ht="15" customHeight="1">
      <c r="A170" t="inlineStr">
        <is>
          <t>A 43038-2022</t>
        </is>
      </c>
      <c r="B170" s="1" t="n">
        <v>44833.60123842592</v>
      </c>
      <c r="C170" s="1" t="n">
        <v>46131</v>
      </c>
      <c r="D170" t="inlineStr">
        <is>
          <t>KALMAR LÄN</t>
        </is>
      </c>
      <c r="E170" t="inlineStr">
        <is>
          <t>VIMMERBY</t>
        </is>
      </c>
      <c r="G170" t="n">
        <v>4.2</v>
      </c>
      <c r="H170" t="n">
        <v>0</v>
      </c>
      <c r="I170" t="n">
        <v>0</v>
      </c>
      <c r="J170" t="n">
        <v>0</v>
      </c>
      <c r="K170" t="n">
        <v>0</v>
      </c>
      <c r="L170" t="n">
        <v>0</v>
      </c>
      <c r="M170" t="n">
        <v>0</v>
      </c>
      <c r="N170" t="n">
        <v>0</v>
      </c>
      <c r="O170" t="n">
        <v>0</v>
      </c>
      <c r="P170" t="n">
        <v>0</v>
      </c>
      <c r="Q170" t="n">
        <v>0</v>
      </c>
      <c r="R170" s="2" t="inlineStr"/>
    </row>
    <row r="171" ht="15" customHeight="1">
      <c r="A171" t="inlineStr">
        <is>
          <t>A 52435-2021</t>
        </is>
      </c>
      <c r="B171" s="1" t="n">
        <v>44466.34962962963</v>
      </c>
      <c r="C171" s="1" t="n">
        <v>46131</v>
      </c>
      <c r="D171" t="inlineStr">
        <is>
          <t>KALMAR LÄN</t>
        </is>
      </c>
      <c r="E171" t="inlineStr">
        <is>
          <t>VIMMERBY</t>
        </is>
      </c>
      <c r="G171" t="n">
        <v>2.8</v>
      </c>
      <c r="H171" t="n">
        <v>0</v>
      </c>
      <c r="I171" t="n">
        <v>0</v>
      </c>
      <c r="J171" t="n">
        <v>0</v>
      </c>
      <c r="K171" t="n">
        <v>0</v>
      </c>
      <c r="L171" t="n">
        <v>0</v>
      </c>
      <c r="M171" t="n">
        <v>0</v>
      </c>
      <c r="N171" t="n">
        <v>0</v>
      </c>
      <c r="O171" t="n">
        <v>0</v>
      </c>
      <c r="P171" t="n">
        <v>0</v>
      </c>
      <c r="Q171" t="n">
        <v>0</v>
      </c>
      <c r="R171" s="2" t="inlineStr"/>
    </row>
    <row r="172" ht="15" customHeight="1">
      <c r="A172" t="inlineStr">
        <is>
          <t>A 29093-2023</t>
        </is>
      </c>
      <c r="B172" s="1" t="n">
        <v>45105</v>
      </c>
      <c r="C172" s="1" t="n">
        <v>46131</v>
      </c>
      <c r="D172" t="inlineStr">
        <is>
          <t>KALMAR LÄN</t>
        </is>
      </c>
      <c r="E172" t="inlineStr">
        <is>
          <t>VIMMERBY</t>
        </is>
      </c>
      <c r="G172" t="n">
        <v>2.9</v>
      </c>
      <c r="H172" t="n">
        <v>0</v>
      </c>
      <c r="I172" t="n">
        <v>0</v>
      </c>
      <c r="J172" t="n">
        <v>0</v>
      </c>
      <c r="K172" t="n">
        <v>0</v>
      </c>
      <c r="L172" t="n">
        <v>0</v>
      </c>
      <c r="M172" t="n">
        <v>0</v>
      </c>
      <c r="N172" t="n">
        <v>0</v>
      </c>
      <c r="O172" t="n">
        <v>0</v>
      </c>
      <c r="P172" t="n">
        <v>0</v>
      </c>
      <c r="Q172" t="n">
        <v>0</v>
      </c>
      <c r="R172" s="2" t="inlineStr"/>
    </row>
    <row r="173" ht="15" customHeight="1">
      <c r="A173" t="inlineStr">
        <is>
          <t>A 50087-2023</t>
        </is>
      </c>
      <c r="B173" s="1" t="n">
        <v>45215.59743055556</v>
      </c>
      <c r="C173" s="1" t="n">
        <v>46131</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33681-2022</t>
        </is>
      </c>
      <c r="B174" s="1" t="n">
        <v>44789</v>
      </c>
      <c r="C174" s="1" t="n">
        <v>46131</v>
      </c>
      <c r="D174" t="inlineStr">
        <is>
          <t>KALMAR LÄN</t>
        </is>
      </c>
      <c r="E174" t="inlineStr">
        <is>
          <t>VIMMERBY</t>
        </is>
      </c>
      <c r="G174" t="n">
        <v>3.2</v>
      </c>
      <c r="H174" t="n">
        <v>0</v>
      </c>
      <c r="I174" t="n">
        <v>0</v>
      </c>
      <c r="J174" t="n">
        <v>0</v>
      </c>
      <c r="K174" t="n">
        <v>0</v>
      </c>
      <c r="L174" t="n">
        <v>0</v>
      </c>
      <c r="M174" t="n">
        <v>0</v>
      </c>
      <c r="N174" t="n">
        <v>0</v>
      </c>
      <c r="O174" t="n">
        <v>0</v>
      </c>
      <c r="P174" t="n">
        <v>0</v>
      </c>
      <c r="Q174" t="n">
        <v>0</v>
      </c>
      <c r="R174" s="2" t="inlineStr"/>
    </row>
    <row r="175" ht="15" customHeight="1">
      <c r="A175" t="inlineStr">
        <is>
          <t>A 16825-2024</t>
        </is>
      </c>
      <c r="B175" s="1" t="n">
        <v>45411.47335648148</v>
      </c>
      <c r="C175" s="1" t="n">
        <v>46131</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12033-2024</t>
        </is>
      </c>
      <c r="B176" s="1" t="n">
        <v>45377.40043981482</v>
      </c>
      <c r="C176" s="1" t="n">
        <v>46131</v>
      </c>
      <c r="D176" t="inlineStr">
        <is>
          <t>KALMAR LÄN</t>
        </is>
      </c>
      <c r="E176" t="inlineStr">
        <is>
          <t>VIMMERBY</t>
        </is>
      </c>
      <c r="G176" t="n">
        <v>1.6</v>
      </c>
      <c r="H176" t="n">
        <v>0</v>
      </c>
      <c r="I176" t="n">
        <v>0</v>
      </c>
      <c r="J176" t="n">
        <v>0</v>
      </c>
      <c r="K176" t="n">
        <v>0</v>
      </c>
      <c r="L176" t="n">
        <v>0</v>
      </c>
      <c r="M176" t="n">
        <v>0</v>
      </c>
      <c r="N176" t="n">
        <v>0</v>
      </c>
      <c r="O176" t="n">
        <v>0</v>
      </c>
      <c r="P176" t="n">
        <v>0</v>
      </c>
      <c r="Q176" t="n">
        <v>0</v>
      </c>
      <c r="R176" s="2" t="inlineStr"/>
    </row>
    <row r="177" ht="15" customHeight="1">
      <c r="A177" t="inlineStr">
        <is>
          <t>A 28395-2023</t>
        </is>
      </c>
      <c r="B177" s="1" t="n">
        <v>45100.4062962963</v>
      </c>
      <c r="C177" s="1" t="n">
        <v>46131</v>
      </c>
      <c r="D177" t="inlineStr">
        <is>
          <t>KALMAR LÄN</t>
        </is>
      </c>
      <c r="E177" t="inlineStr">
        <is>
          <t>VIMMERBY</t>
        </is>
      </c>
      <c r="G177" t="n">
        <v>1.4</v>
      </c>
      <c r="H177" t="n">
        <v>0</v>
      </c>
      <c r="I177" t="n">
        <v>0</v>
      </c>
      <c r="J177" t="n">
        <v>0</v>
      </c>
      <c r="K177" t="n">
        <v>0</v>
      </c>
      <c r="L177" t="n">
        <v>0</v>
      </c>
      <c r="M177" t="n">
        <v>0</v>
      </c>
      <c r="N177" t="n">
        <v>0</v>
      </c>
      <c r="O177" t="n">
        <v>0</v>
      </c>
      <c r="P177" t="n">
        <v>0</v>
      </c>
      <c r="Q177" t="n">
        <v>0</v>
      </c>
      <c r="R177" s="2" t="inlineStr"/>
    </row>
    <row r="178" ht="15" customHeight="1">
      <c r="A178" t="inlineStr">
        <is>
          <t>A 6214-2025</t>
        </is>
      </c>
      <c r="B178" s="1" t="n">
        <v>45698.51711805556</v>
      </c>
      <c r="C178" s="1" t="n">
        <v>46131</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49408-2023</t>
        </is>
      </c>
      <c r="B179" s="1" t="n">
        <v>45211.43555555555</v>
      </c>
      <c r="C179" s="1" t="n">
        <v>46131</v>
      </c>
      <c r="D179" t="inlineStr">
        <is>
          <t>KALMAR LÄN</t>
        </is>
      </c>
      <c r="E179" t="inlineStr">
        <is>
          <t>VIMMERBY</t>
        </is>
      </c>
      <c r="G179" t="n">
        <v>13.1</v>
      </c>
      <c r="H179" t="n">
        <v>0</v>
      </c>
      <c r="I179" t="n">
        <v>0</v>
      </c>
      <c r="J179" t="n">
        <v>0</v>
      </c>
      <c r="K179" t="n">
        <v>0</v>
      </c>
      <c r="L179" t="n">
        <v>0</v>
      </c>
      <c r="M179" t="n">
        <v>0</v>
      </c>
      <c r="N179" t="n">
        <v>0</v>
      </c>
      <c r="O179" t="n">
        <v>0</v>
      </c>
      <c r="P179" t="n">
        <v>0</v>
      </c>
      <c r="Q179" t="n">
        <v>0</v>
      </c>
      <c r="R179" s="2" t="inlineStr"/>
    </row>
    <row r="180" ht="15" customHeight="1">
      <c r="A180" t="inlineStr">
        <is>
          <t>A 18501-2024</t>
        </is>
      </c>
      <c r="B180" s="1" t="n">
        <v>45425.57538194444</v>
      </c>
      <c r="C180" s="1" t="n">
        <v>46131</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27443-2023</t>
        </is>
      </c>
      <c r="B181" s="1" t="n">
        <v>45097.40524305555</v>
      </c>
      <c r="C181" s="1" t="n">
        <v>46131</v>
      </c>
      <c r="D181" t="inlineStr">
        <is>
          <t>KALMAR LÄN</t>
        </is>
      </c>
      <c r="E181" t="inlineStr">
        <is>
          <t>VIMMERBY</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25799-2023</t>
        </is>
      </c>
      <c r="B182" s="1" t="n">
        <v>45090</v>
      </c>
      <c r="C182" s="1" t="n">
        <v>46131</v>
      </c>
      <c r="D182" t="inlineStr">
        <is>
          <t>KALMAR LÄN</t>
        </is>
      </c>
      <c r="E182" t="inlineStr">
        <is>
          <t>VIMMERBY</t>
        </is>
      </c>
      <c r="G182" t="n">
        <v>7.7</v>
      </c>
      <c r="H182" t="n">
        <v>0</v>
      </c>
      <c r="I182" t="n">
        <v>0</v>
      </c>
      <c r="J182" t="n">
        <v>0</v>
      </c>
      <c r="K182" t="n">
        <v>0</v>
      </c>
      <c r="L182" t="n">
        <v>0</v>
      </c>
      <c r="M182" t="n">
        <v>0</v>
      </c>
      <c r="N182" t="n">
        <v>0</v>
      </c>
      <c r="O182" t="n">
        <v>0</v>
      </c>
      <c r="P182" t="n">
        <v>0</v>
      </c>
      <c r="Q182" t="n">
        <v>0</v>
      </c>
      <c r="R182" s="2" t="inlineStr"/>
    </row>
    <row r="183" ht="15" customHeight="1">
      <c r="A183" t="inlineStr">
        <is>
          <t>A 16015-2025</t>
        </is>
      </c>
      <c r="B183" s="1" t="n">
        <v>45749.60487268519</v>
      </c>
      <c r="C183" s="1" t="n">
        <v>46131</v>
      </c>
      <c r="D183" t="inlineStr">
        <is>
          <t>KALMAR LÄN</t>
        </is>
      </c>
      <c r="E183" t="inlineStr">
        <is>
          <t>VIMMERBY</t>
        </is>
      </c>
      <c r="F183" t="inlineStr">
        <is>
          <t>Kyrkan</t>
        </is>
      </c>
      <c r="G183" t="n">
        <v>2.7</v>
      </c>
      <c r="H183" t="n">
        <v>0</v>
      </c>
      <c r="I183" t="n">
        <v>0</v>
      </c>
      <c r="J183" t="n">
        <v>0</v>
      </c>
      <c r="K183" t="n">
        <v>0</v>
      </c>
      <c r="L183" t="n">
        <v>0</v>
      </c>
      <c r="M183" t="n">
        <v>0</v>
      </c>
      <c r="N183" t="n">
        <v>0</v>
      </c>
      <c r="O183" t="n">
        <v>0</v>
      </c>
      <c r="P183" t="n">
        <v>0</v>
      </c>
      <c r="Q183" t="n">
        <v>0</v>
      </c>
      <c r="R183" s="2" t="inlineStr"/>
    </row>
    <row r="184" ht="15" customHeight="1">
      <c r="A184" t="inlineStr">
        <is>
          <t>A 57256-2023</t>
        </is>
      </c>
      <c r="B184" s="1" t="n">
        <v>45245.5735300926</v>
      </c>
      <c r="C184" s="1" t="n">
        <v>46131</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23088-2024</t>
        </is>
      </c>
      <c r="B185" s="1" t="n">
        <v>45450.51092592593</v>
      </c>
      <c r="C185" s="1" t="n">
        <v>46131</v>
      </c>
      <c r="D185" t="inlineStr">
        <is>
          <t>KALMAR LÄN</t>
        </is>
      </c>
      <c r="E185" t="inlineStr">
        <is>
          <t>VIMMERBY</t>
        </is>
      </c>
      <c r="G185" t="n">
        <v>1.9</v>
      </c>
      <c r="H185" t="n">
        <v>0</v>
      </c>
      <c r="I185" t="n">
        <v>0</v>
      </c>
      <c r="J185" t="n">
        <v>0</v>
      </c>
      <c r="K185" t="n">
        <v>0</v>
      </c>
      <c r="L185" t="n">
        <v>0</v>
      </c>
      <c r="M185" t="n">
        <v>0</v>
      </c>
      <c r="N185" t="n">
        <v>0</v>
      </c>
      <c r="O185" t="n">
        <v>0</v>
      </c>
      <c r="P185" t="n">
        <v>0</v>
      </c>
      <c r="Q185" t="n">
        <v>0</v>
      </c>
      <c r="R185" s="2" t="inlineStr"/>
    </row>
    <row r="186" ht="15" customHeight="1">
      <c r="A186" t="inlineStr">
        <is>
          <t>A 38604-2025</t>
        </is>
      </c>
      <c r="B186" s="1" t="n">
        <v>45884.50613425926</v>
      </c>
      <c r="C186" s="1" t="n">
        <v>46131</v>
      </c>
      <c r="D186" t="inlineStr">
        <is>
          <t>KALMAR LÄN</t>
        </is>
      </c>
      <c r="E186" t="inlineStr">
        <is>
          <t>VIMMERBY</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57189-2022</t>
        </is>
      </c>
      <c r="B187" s="1" t="n">
        <v>44895.62296296296</v>
      </c>
      <c r="C187" s="1" t="n">
        <v>46131</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25582-2024</t>
        </is>
      </c>
      <c r="B188" s="1" t="n">
        <v>45463</v>
      </c>
      <c r="C188" s="1" t="n">
        <v>46131</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57578-2024</t>
        </is>
      </c>
      <c r="B189" s="1" t="n">
        <v>45630.47564814815</v>
      </c>
      <c r="C189" s="1" t="n">
        <v>46131</v>
      </c>
      <c r="D189" t="inlineStr">
        <is>
          <t>KALMAR LÄN</t>
        </is>
      </c>
      <c r="E189" t="inlineStr">
        <is>
          <t>VIMMERBY</t>
        </is>
      </c>
      <c r="G189" t="n">
        <v>2.6</v>
      </c>
      <c r="H189" t="n">
        <v>0</v>
      </c>
      <c r="I189" t="n">
        <v>0</v>
      </c>
      <c r="J189" t="n">
        <v>0</v>
      </c>
      <c r="K189" t="n">
        <v>0</v>
      </c>
      <c r="L189" t="n">
        <v>0</v>
      </c>
      <c r="M189" t="n">
        <v>0</v>
      </c>
      <c r="N189" t="n">
        <v>0</v>
      </c>
      <c r="O189" t="n">
        <v>0</v>
      </c>
      <c r="P189" t="n">
        <v>0</v>
      </c>
      <c r="Q189" t="n">
        <v>0</v>
      </c>
      <c r="R189" s="2" t="inlineStr"/>
    </row>
    <row r="190" ht="15" customHeight="1">
      <c r="A190" t="inlineStr">
        <is>
          <t>A 1987-2024</t>
        </is>
      </c>
      <c r="B190" s="1" t="n">
        <v>45308.61152777778</v>
      </c>
      <c r="C190" s="1" t="n">
        <v>46131</v>
      </c>
      <c r="D190" t="inlineStr">
        <is>
          <t>KALMAR LÄN</t>
        </is>
      </c>
      <c r="E190" t="inlineStr">
        <is>
          <t>VIMMERBY</t>
        </is>
      </c>
      <c r="G190" t="n">
        <v>3</v>
      </c>
      <c r="H190" t="n">
        <v>0</v>
      </c>
      <c r="I190" t="n">
        <v>0</v>
      </c>
      <c r="J190" t="n">
        <v>0</v>
      </c>
      <c r="K190" t="n">
        <v>0</v>
      </c>
      <c r="L190" t="n">
        <v>0</v>
      </c>
      <c r="M190" t="n">
        <v>0</v>
      </c>
      <c r="N190" t="n">
        <v>0</v>
      </c>
      <c r="O190" t="n">
        <v>0</v>
      </c>
      <c r="P190" t="n">
        <v>0</v>
      </c>
      <c r="Q190" t="n">
        <v>0</v>
      </c>
      <c r="R190" s="2" t="inlineStr"/>
    </row>
    <row r="191" ht="15" customHeight="1">
      <c r="A191" t="inlineStr">
        <is>
          <t>A 527-2024</t>
        </is>
      </c>
      <c r="B191" s="1" t="n">
        <v>45299.47513888889</v>
      </c>
      <c r="C191" s="1" t="n">
        <v>46131</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51993-2025</t>
        </is>
      </c>
      <c r="B192" s="1" t="n">
        <v>45952.58194444444</v>
      </c>
      <c r="C192" s="1" t="n">
        <v>46131</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37192-2024</t>
        </is>
      </c>
      <c r="B193" s="1" t="n">
        <v>45539.66027777778</v>
      </c>
      <c r="C193" s="1" t="n">
        <v>46131</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22399-2025</t>
        </is>
      </c>
      <c r="B194" s="1" t="n">
        <v>45786.52996527778</v>
      </c>
      <c r="C194" s="1" t="n">
        <v>46131</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47063-2022</t>
        </is>
      </c>
      <c r="B195" s="1" t="n">
        <v>44852</v>
      </c>
      <c r="C195" s="1" t="n">
        <v>46131</v>
      </c>
      <c r="D195" t="inlineStr">
        <is>
          <t>KALMAR LÄN</t>
        </is>
      </c>
      <c r="E195" t="inlineStr">
        <is>
          <t>VIMMERBY</t>
        </is>
      </c>
      <c r="G195" t="n">
        <v>2.5</v>
      </c>
      <c r="H195" t="n">
        <v>0</v>
      </c>
      <c r="I195" t="n">
        <v>0</v>
      </c>
      <c r="J195" t="n">
        <v>0</v>
      </c>
      <c r="K195" t="n">
        <v>0</v>
      </c>
      <c r="L195" t="n">
        <v>0</v>
      </c>
      <c r="M195" t="n">
        <v>0</v>
      </c>
      <c r="N195" t="n">
        <v>0</v>
      </c>
      <c r="O195" t="n">
        <v>0</v>
      </c>
      <c r="P195" t="n">
        <v>0</v>
      </c>
      <c r="Q195" t="n">
        <v>0</v>
      </c>
      <c r="R195" s="2" t="inlineStr"/>
    </row>
    <row r="196" ht="15" customHeight="1">
      <c r="A196" t="inlineStr">
        <is>
          <t>A 51990-2025</t>
        </is>
      </c>
      <c r="B196" s="1" t="n">
        <v>45952.58061342593</v>
      </c>
      <c r="C196" s="1" t="n">
        <v>46131</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12819-2024</t>
        </is>
      </c>
      <c r="B197" s="1" t="n">
        <v>45384.66917824074</v>
      </c>
      <c r="C197" s="1" t="n">
        <v>46131</v>
      </c>
      <c r="D197" t="inlineStr">
        <is>
          <t>KALMAR LÄN</t>
        </is>
      </c>
      <c r="E197" t="inlineStr">
        <is>
          <t>VIMMERBY</t>
        </is>
      </c>
      <c r="G197" t="n">
        <v>5.1</v>
      </c>
      <c r="H197" t="n">
        <v>0</v>
      </c>
      <c r="I197" t="n">
        <v>0</v>
      </c>
      <c r="J197" t="n">
        <v>0</v>
      </c>
      <c r="K197" t="n">
        <v>0</v>
      </c>
      <c r="L197" t="n">
        <v>0</v>
      </c>
      <c r="M197" t="n">
        <v>0</v>
      </c>
      <c r="N197" t="n">
        <v>0</v>
      </c>
      <c r="O197" t="n">
        <v>0</v>
      </c>
      <c r="P197" t="n">
        <v>0</v>
      </c>
      <c r="Q197" t="n">
        <v>0</v>
      </c>
      <c r="R197" s="2" t="inlineStr"/>
    </row>
    <row r="198" ht="15" customHeight="1">
      <c r="A198" t="inlineStr">
        <is>
          <t>A 52473-2025</t>
        </is>
      </c>
      <c r="B198" s="1" t="n">
        <v>45954.45947916667</v>
      </c>
      <c r="C198" s="1" t="n">
        <v>46131</v>
      </c>
      <c r="D198" t="inlineStr">
        <is>
          <t>KALMAR LÄN</t>
        </is>
      </c>
      <c r="E198" t="inlineStr">
        <is>
          <t>VIMMERBY</t>
        </is>
      </c>
      <c r="G198" t="n">
        <v>2.4</v>
      </c>
      <c r="H198" t="n">
        <v>0</v>
      </c>
      <c r="I198" t="n">
        <v>0</v>
      </c>
      <c r="J198" t="n">
        <v>0</v>
      </c>
      <c r="K198" t="n">
        <v>0</v>
      </c>
      <c r="L198" t="n">
        <v>0</v>
      </c>
      <c r="M198" t="n">
        <v>0</v>
      </c>
      <c r="N198" t="n">
        <v>0</v>
      </c>
      <c r="O198" t="n">
        <v>0</v>
      </c>
      <c r="P198" t="n">
        <v>0</v>
      </c>
      <c r="Q198" t="n">
        <v>0</v>
      </c>
      <c r="R198" s="2" t="inlineStr"/>
    </row>
    <row r="199" ht="15" customHeight="1">
      <c r="A199" t="inlineStr">
        <is>
          <t>A 52480-2025</t>
        </is>
      </c>
      <c r="B199" s="1" t="n">
        <v>45954.47172453703</v>
      </c>
      <c r="C199" s="1" t="n">
        <v>46131</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31382-2023</t>
        </is>
      </c>
      <c r="B200" s="1" t="n">
        <v>45114.55136574074</v>
      </c>
      <c r="C200" s="1" t="n">
        <v>46131</v>
      </c>
      <c r="D200" t="inlineStr">
        <is>
          <t>KALMAR LÄN</t>
        </is>
      </c>
      <c r="E200" t="inlineStr">
        <is>
          <t>VIMMERBY</t>
        </is>
      </c>
      <c r="G200" t="n">
        <v>3.7</v>
      </c>
      <c r="H200" t="n">
        <v>0</v>
      </c>
      <c r="I200" t="n">
        <v>0</v>
      </c>
      <c r="J200" t="n">
        <v>0</v>
      </c>
      <c r="K200" t="n">
        <v>0</v>
      </c>
      <c r="L200" t="n">
        <v>0</v>
      </c>
      <c r="M200" t="n">
        <v>0</v>
      </c>
      <c r="N200" t="n">
        <v>0</v>
      </c>
      <c r="O200" t="n">
        <v>0</v>
      </c>
      <c r="P200" t="n">
        <v>0</v>
      </c>
      <c r="Q200" t="n">
        <v>0</v>
      </c>
      <c r="R200" s="2" t="inlineStr"/>
    </row>
    <row r="201" ht="15" customHeight="1">
      <c r="A201" t="inlineStr">
        <is>
          <t>A 11073-2023</t>
        </is>
      </c>
      <c r="B201" s="1" t="n">
        <v>44992</v>
      </c>
      <c r="C201" s="1" t="n">
        <v>46131</v>
      </c>
      <c r="D201" t="inlineStr">
        <is>
          <t>KALMAR LÄN</t>
        </is>
      </c>
      <c r="E201" t="inlineStr">
        <is>
          <t>VIMMERBY</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22397-2025</t>
        </is>
      </c>
      <c r="B202" s="1" t="n">
        <v>45786.52878472222</v>
      </c>
      <c r="C202" s="1" t="n">
        <v>46131</v>
      </c>
      <c r="D202" t="inlineStr">
        <is>
          <t>KALMAR LÄN</t>
        </is>
      </c>
      <c r="E202" t="inlineStr">
        <is>
          <t>VIMMERBY</t>
        </is>
      </c>
      <c r="G202" t="n">
        <v>0.8</v>
      </c>
      <c r="H202" t="n">
        <v>0</v>
      </c>
      <c r="I202" t="n">
        <v>0</v>
      </c>
      <c r="J202" t="n">
        <v>0</v>
      </c>
      <c r="K202" t="n">
        <v>0</v>
      </c>
      <c r="L202" t="n">
        <v>0</v>
      </c>
      <c r="M202" t="n">
        <v>0</v>
      </c>
      <c r="N202" t="n">
        <v>0</v>
      </c>
      <c r="O202" t="n">
        <v>0</v>
      </c>
      <c r="P202" t="n">
        <v>0</v>
      </c>
      <c r="Q202" t="n">
        <v>0</v>
      </c>
      <c r="R202" s="2" t="inlineStr"/>
    </row>
    <row r="203" ht="15" customHeight="1">
      <c r="A203" t="inlineStr">
        <is>
          <t>A 59955-2023</t>
        </is>
      </c>
      <c r="B203" s="1" t="n">
        <v>45257.70313657408</v>
      </c>
      <c r="C203" s="1" t="n">
        <v>46131</v>
      </c>
      <c r="D203" t="inlineStr">
        <is>
          <t>KALMAR LÄN</t>
        </is>
      </c>
      <c r="E203" t="inlineStr">
        <is>
          <t>VIMMERBY</t>
        </is>
      </c>
      <c r="G203" t="n">
        <v>13.8</v>
      </c>
      <c r="H203" t="n">
        <v>0</v>
      </c>
      <c r="I203" t="n">
        <v>0</v>
      </c>
      <c r="J203" t="n">
        <v>0</v>
      </c>
      <c r="K203" t="n">
        <v>0</v>
      </c>
      <c r="L203" t="n">
        <v>0</v>
      </c>
      <c r="M203" t="n">
        <v>0</v>
      </c>
      <c r="N203" t="n">
        <v>0</v>
      </c>
      <c r="O203" t="n">
        <v>0</v>
      </c>
      <c r="P203" t="n">
        <v>0</v>
      </c>
      <c r="Q203" t="n">
        <v>0</v>
      </c>
      <c r="R203" s="2" t="inlineStr"/>
    </row>
    <row r="204" ht="15" customHeight="1">
      <c r="A204" t="inlineStr">
        <is>
          <t>A 36802-2021</t>
        </is>
      </c>
      <c r="B204" s="1" t="n">
        <v>44392</v>
      </c>
      <c r="C204" s="1" t="n">
        <v>46131</v>
      </c>
      <c r="D204" t="inlineStr">
        <is>
          <t>KALMAR LÄN</t>
        </is>
      </c>
      <c r="E204" t="inlineStr">
        <is>
          <t>VIMMERBY</t>
        </is>
      </c>
      <c r="F204" t="inlineStr">
        <is>
          <t>Sveaskog</t>
        </is>
      </c>
      <c r="G204" t="n">
        <v>4.6</v>
      </c>
      <c r="H204" t="n">
        <v>0</v>
      </c>
      <c r="I204" t="n">
        <v>0</v>
      </c>
      <c r="J204" t="n">
        <v>0</v>
      </c>
      <c r="K204" t="n">
        <v>0</v>
      </c>
      <c r="L204" t="n">
        <v>0</v>
      </c>
      <c r="M204" t="n">
        <v>0</v>
      </c>
      <c r="N204" t="n">
        <v>0</v>
      </c>
      <c r="O204" t="n">
        <v>0</v>
      </c>
      <c r="P204" t="n">
        <v>0</v>
      </c>
      <c r="Q204" t="n">
        <v>0</v>
      </c>
      <c r="R204" s="2" t="inlineStr"/>
    </row>
    <row r="205" ht="15" customHeight="1">
      <c r="A205" t="inlineStr">
        <is>
          <t>A 61820-2023</t>
        </is>
      </c>
      <c r="B205" s="1" t="n">
        <v>45266.32614583334</v>
      </c>
      <c r="C205" s="1" t="n">
        <v>46131</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11442-2025</t>
        </is>
      </c>
      <c r="B206" s="1" t="n">
        <v>45726.62721064815</v>
      </c>
      <c r="C206" s="1" t="n">
        <v>46131</v>
      </c>
      <c r="D206" t="inlineStr">
        <is>
          <t>KALMAR LÄN</t>
        </is>
      </c>
      <c r="E206" t="inlineStr">
        <is>
          <t>VIMMERBY</t>
        </is>
      </c>
      <c r="G206" t="n">
        <v>2.6</v>
      </c>
      <c r="H206" t="n">
        <v>0</v>
      </c>
      <c r="I206" t="n">
        <v>0</v>
      </c>
      <c r="J206" t="n">
        <v>0</v>
      </c>
      <c r="K206" t="n">
        <v>0</v>
      </c>
      <c r="L206" t="n">
        <v>0</v>
      </c>
      <c r="M206" t="n">
        <v>0</v>
      </c>
      <c r="N206" t="n">
        <v>0</v>
      </c>
      <c r="O206" t="n">
        <v>0</v>
      </c>
      <c r="P206" t="n">
        <v>0</v>
      </c>
      <c r="Q206" t="n">
        <v>0</v>
      </c>
      <c r="R206" s="2" t="inlineStr"/>
    </row>
    <row r="207" ht="15" customHeight="1">
      <c r="A207" t="inlineStr">
        <is>
          <t>A 3269-2024</t>
        </is>
      </c>
      <c r="B207" s="1" t="n">
        <v>45317.40372685185</v>
      </c>
      <c r="C207" s="1" t="n">
        <v>46131</v>
      </c>
      <c r="D207" t="inlineStr">
        <is>
          <t>KALMAR LÄN</t>
        </is>
      </c>
      <c r="E207" t="inlineStr">
        <is>
          <t>VIMMERBY</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2157-2024</t>
        </is>
      </c>
      <c r="B208" s="1" t="n">
        <v>45309.59487268519</v>
      </c>
      <c r="C208" s="1" t="n">
        <v>46131</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6307-2025</t>
        </is>
      </c>
      <c r="B209" s="1" t="n">
        <v>45698.69016203703</v>
      </c>
      <c r="C209" s="1" t="n">
        <v>46131</v>
      </c>
      <c r="D209" t="inlineStr">
        <is>
          <t>KALMAR LÄN</t>
        </is>
      </c>
      <c r="E209" t="inlineStr">
        <is>
          <t>VIMMERBY</t>
        </is>
      </c>
      <c r="G209" t="n">
        <v>3</v>
      </c>
      <c r="H209" t="n">
        <v>0</v>
      </c>
      <c r="I209" t="n">
        <v>0</v>
      </c>
      <c r="J209" t="n">
        <v>0</v>
      </c>
      <c r="K209" t="n">
        <v>0</v>
      </c>
      <c r="L209" t="n">
        <v>0</v>
      </c>
      <c r="M209" t="n">
        <v>0</v>
      </c>
      <c r="N209" t="n">
        <v>0</v>
      </c>
      <c r="O209" t="n">
        <v>0</v>
      </c>
      <c r="P209" t="n">
        <v>0</v>
      </c>
      <c r="Q209" t="n">
        <v>0</v>
      </c>
      <c r="R209" s="2" t="inlineStr"/>
    </row>
    <row r="210" ht="15" customHeight="1">
      <c r="A210" t="inlineStr">
        <is>
          <t>A 29726-2025</t>
        </is>
      </c>
      <c r="B210" s="1" t="n">
        <v>45825.57805555555</v>
      </c>
      <c r="C210" s="1" t="n">
        <v>46131</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9416-2024</t>
        </is>
      </c>
      <c r="B211" s="1" t="n">
        <v>45359.44837962963</v>
      </c>
      <c r="C211" s="1" t="n">
        <v>46131</v>
      </c>
      <c r="D211" t="inlineStr">
        <is>
          <t>KALMAR LÄN</t>
        </is>
      </c>
      <c r="E211" t="inlineStr">
        <is>
          <t>VIMMERBY</t>
        </is>
      </c>
      <c r="G211" t="n">
        <v>3.2</v>
      </c>
      <c r="H211" t="n">
        <v>0</v>
      </c>
      <c r="I211" t="n">
        <v>0</v>
      </c>
      <c r="J211" t="n">
        <v>0</v>
      </c>
      <c r="K211" t="n">
        <v>0</v>
      </c>
      <c r="L211" t="n">
        <v>0</v>
      </c>
      <c r="M211" t="n">
        <v>0</v>
      </c>
      <c r="N211" t="n">
        <v>0</v>
      </c>
      <c r="O211" t="n">
        <v>0</v>
      </c>
      <c r="P211" t="n">
        <v>0</v>
      </c>
      <c r="Q211" t="n">
        <v>0</v>
      </c>
      <c r="R211" s="2" t="inlineStr"/>
    </row>
    <row r="212" ht="15" customHeight="1">
      <c r="A212" t="inlineStr">
        <is>
          <t>A 58318-2021</t>
        </is>
      </c>
      <c r="B212" s="1" t="n">
        <v>44488.35878472222</v>
      </c>
      <c r="C212" s="1" t="n">
        <v>46131</v>
      </c>
      <c r="D212" t="inlineStr">
        <is>
          <t>KALMAR LÄN</t>
        </is>
      </c>
      <c r="E212" t="inlineStr">
        <is>
          <t>VIMMERBY</t>
        </is>
      </c>
      <c r="G212" t="n">
        <v>4</v>
      </c>
      <c r="H212" t="n">
        <v>0</v>
      </c>
      <c r="I212" t="n">
        <v>0</v>
      </c>
      <c r="J212" t="n">
        <v>0</v>
      </c>
      <c r="K212" t="n">
        <v>0</v>
      </c>
      <c r="L212" t="n">
        <v>0</v>
      </c>
      <c r="M212" t="n">
        <v>0</v>
      </c>
      <c r="N212" t="n">
        <v>0</v>
      </c>
      <c r="O212" t="n">
        <v>0</v>
      </c>
      <c r="P212" t="n">
        <v>0</v>
      </c>
      <c r="Q212" t="n">
        <v>0</v>
      </c>
      <c r="R212" s="2" t="inlineStr"/>
    </row>
    <row r="213" ht="15" customHeight="1">
      <c r="A213" t="inlineStr">
        <is>
          <t>A 53083-2021</t>
        </is>
      </c>
      <c r="B213" s="1" t="n">
        <v>44467.83386574074</v>
      </c>
      <c r="C213" s="1" t="n">
        <v>46131</v>
      </c>
      <c r="D213" t="inlineStr">
        <is>
          <t>KALMAR LÄN</t>
        </is>
      </c>
      <c r="E213" t="inlineStr">
        <is>
          <t>VIMMERBY</t>
        </is>
      </c>
      <c r="G213" t="n">
        <v>6.8</v>
      </c>
      <c r="H213" t="n">
        <v>0</v>
      </c>
      <c r="I213" t="n">
        <v>0</v>
      </c>
      <c r="J213" t="n">
        <v>0</v>
      </c>
      <c r="K213" t="n">
        <v>0</v>
      </c>
      <c r="L213" t="n">
        <v>0</v>
      </c>
      <c r="M213" t="n">
        <v>0</v>
      </c>
      <c r="N213" t="n">
        <v>0</v>
      </c>
      <c r="O213" t="n">
        <v>0</v>
      </c>
      <c r="P213" t="n">
        <v>0</v>
      </c>
      <c r="Q213" t="n">
        <v>0</v>
      </c>
      <c r="R213" s="2" t="inlineStr"/>
    </row>
    <row r="214" ht="15" customHeight="1">
      <c r="A214" t="inlineStr">
        <is>
          <t>A 29173-2024</t>
        </is>
      </c>
      <c r="B214" s="1" t="n">
        <v>45482.52887731481</v>
      </c>
      <c r="C214" s="1" t="n">
        <v>46131</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52466-2025</t>
        </is>
      </c>
      <c r="B215" s="1" t="n">
        <v>45954.44707175926</v>
      </c>
      <c r="C215" s="1" t="n">
        <v>46131</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11111-2024</t>
        </is>
      </c>
      <c r="B216" s="1" t="n">
        <v>45371.36359953704</v>
      </c>
      <c r="C216" s="1" t="n">
        <v>46131</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11141-2024</t>
        </is>
      </c>
      <c r="B217" s="1" t="n">
        <v>45371.45865740741</v>
      </c>
      <c r="C217" s="1" t="n">
        <v>46131</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9418-2024</t>
        </is>
      </c>
      <c r="B218" s="1" t="n">
        <v>45359.45038194444</v>
      </c>
      <c r="C218" s="1" t="n">
        <v>46131</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52516-2025</t>
        </is>
      </c>
      <c r="B219" s="1" t="n">
        <v>45954.51412037037</v>
      </c>
      <c r="C219" s="1" t="n">
        <v>46131</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38964-2025</t>
        </is>
      </c>
      <c r="B220" s="1" t="n">
        <v>45887.68759259259</v>
      </c>
      <c r="C220" s="1" t="n">
        <v>46131</v>
      </c>
      <c r="D220" t="inlineStr">
        <is>
          <t>KALMAR LÄN</t>
        </is>
      </c>
      <c r="E220" t="inlineStr">
        <is>
          <t>VIMMERBY</t>
        </is>
      </c>
      <c r="G220" t="n">
        <v>7.5</v>
      </c>
      <c r="H220" t="n">
        <v>0</v>
      </c>
      <c r="I220" t="n">
        <v>0</v>
      </c>
      <c r="J220" t="n">
        <v>0</v>
      </c>
      <c r="K220" t="n">
        <v>0</v>
      </c>
      <c r="L220" t="n">
        <v>0</v>
      </c>
      <c r="M220" t="n">
        <v>0</v>
      </c>
      <c r="N220" t="n">
        <v>0</v>
      </c>
      <c r="O220" t="n">
        <v>0</v>
      </c>
      <c r="P220" t="n">
        <v>0</v>
      </c>
      <c r="Q220" t="n">
        <v>0</v>
      </c>
      <c r="R220" s="2" t="inlineStr"/>
    </row>
    <row r="221" ht="15" customHeight="1">
      <c r="A221" t="inlineStr">
        <is>
          <t>A 49313-2022</t>
        </is>
      </c>
      <c r="B221" s="1" t="n">
        <v>44861.52505787037</v>
      </c>
      <c r="C221" s="1" t="n">
        <v>46131</v>
      </c>
      <c r="D221" t="inlineStr">
        <is>
          <t>KALMAR LÄN</t>
        </is>
      </c>
      <c r="E221" t="inlineStr">
        <is>
          <t>VIMMERBY</t>
        </is>
      </c>
      <c r="G221" t="n">
        <v>1.9</v>
      </c>
      <c r="H221" t="n">
        <v>0</v>
      </c>
      <c r="I221" t="n">
        <v>0</v>
      </c>
      <c r="J221" t="n">
        <v>0</v>
      </c>
      <c r="K221" t="n">
        <v>0</v>
      </c>
      <c r="L221" t="n">
        <v>0</v>
      </c>
      <c r="M221" t="n">
        <v>0</v>
      </c>
      <c r="N221" t="n">
        <v>0</v>
      </c>
      <c r="O221" t="n">
        <v>0</v>
      </c>
      <c r="P221" t="n">
        <v>0</v>
      </c>
      <c r="Q221" t="n">
        <v>0</v>
      </c>
      <c r="R221" s="2" t="inlineStr"/>
    </row>
    <row r="222" ht="15" customHeight="1">
      <c r="A222" t="inlineStr">
        <is>
          <t>A 35998-2024</t>
        </is>
      </c>
      <c r="B222" s="1" t="n">
        <v>45533.54429398148</v>
      </c>
      <c r="C222" s="1" t="n">
        <v>46131</v>
      </c>
      <c r="D222" t="inlineStr">
        <is>
          <t>KALMAR LÄN</t>
        </is>
      </c>
      <c r="E222" t="inlineStr">
        <is>
          <t>VIMMERBY</t>
        </is>
      </c>
      <c r="G222" t="n">
        <v>8.6</v>
      </c>
      <c r="H222" t="n">
        <v>0</v>
      </c>
      <c r="I222" t="n">
        <v>0</v>
      </c>
      <c r="J222" t="n">
        <v>0</v>
      </c>
      <c r="K222" t="n">
        <v>0</v>
      </c>
      <c r="L222" t="n">
        <v>0</v>
      </c>
      <c r="M222" t="n">
        <v>0</v>
      </c>
      <c r="N222" t="n">
        <v>0</v>
      </c>
      <c r="O222" t="n">
        <v>0</v>
      </c>
      <c r="P222" t="n">
        <v>0</v>
      </c>
      <c r="Q222" t="n">
        <v>0</v>
      </c>
      <c r="R222" s="2" t="inlineStr"/>
    </row>
    <row r="223" ht="15" customHeight="1">
      <c r="A223" t="inlineStr">
        <is>
          <t>A 36040-2024</t>
        </is>
      </c>
      <c r="B223" s="1" t="n">
        <v>45533.60232638889</v>
      </c>
      <c r="C223" s="1" t="n">
        <v>46131</v>
      </c>
      <c r="D223" t="inlineStr">
        <is>
          <t>KALMAR LÄN</t>
        </is>
      </c>
      <c r="E223" t="inlineStr">
        <is>
          <t>VIMMERBY</t>
        </is>
      </c>
      <c r="F223" t="inlineStr">
        <is>
          <t>Kommuner</t>
        </is>
      </c>
      <c r="G223" t="n">
        <v>3.6</v>
      </c>
      <c r="H223" t="n">
        <v>0</v>
      </c>
      <c r="I223" t="n">
        <v>0</v>
      </c>
      <c r="J223" t="n">
        <v>0</v>
      </c>
      <c r="K223" t="n">
        <v>0</v>
      </c>
      <c r="L223" t="n">
        <v>0</v>
      </c>
      <c r="M223" t="n">
        <v>0</v>
      </c>
      <c r="N223" t="n">
        <v>0</v>
      </c>
      <c r="O223" t="n">
        <v>0</v>
      </c>
      <c r="P223" t="n">
        <v>0</v>
      </c>
      <c r="Q223" t="n">
        <v>0</v>
      </c>
      <c r="R223" s="2" t="inlineStr"/>
    </row>
    <row r="224" ht="15" customHeight="1">
      <c r="A224" t="inlineStr">
        <is>
          <t>A 36043-2024</t>
        </is>
      </c>
      <c r="B224" s="1" t="n">
        <v>45533.60770833334</v>
      </c>
      <c r="C224" s="1" t="n">
        <v>46131</v>
      </c>
      <c r="D224" t="inlineStr">
        <is>
          <t>KALMAR LÄN</t>
        </is>
      </c>
      <c r="E224" t="inlineStr">
        <is>
          <t>VIMMERBY</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52465-2025</t>
        </is>
      </c>
      <c r="B225" s="1" t="n">
        <v>45954.44543981482</v>
      </c>
      <c r="C225" s="1" t="n">
        <v>46131</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22197-2024</t>
        </is>
      </c>
      <c r="B226" s="1" t="n">
        <v>45446.36774305555</v>
      </c>
      <c r="C226" s="1" t="n">
        <v>46131</v>
      </c>
      <c r="D226" t="inlineStr">
        <is>
          <t>KALMAR LÄN</t>
        </is>
      </c>
      <c r="E226" t="inlineStr">
        <is>
          <t>VIMMERBY</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23394-2025</t>
        </is>
      </c>
      <c r="B227" s="1" t="n">
        <v>45791.89865740741</v>
      </c>
      <c r="C227" s="1" t="n">
        <v>46131</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35710-2023</t>
        </is>
      </c>
      <c r="B228" s="1" t="n">
        <v>45147.67096064815</v>
      </c>
      <c r="C228" s="1" t="n">
        <v>46131</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35711-2023</t>
        </is>
      </c>
      <c r="B229" s="1" t="n">
        <v>45147.67172453704</v>
      </c>
      <c r="C229" s="1" t="n">
        <v>46131</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39801-2025</t>
        </is>
      </c>
      <c r="B230" s="1" t="n">
        <v>45891.50216435185</v>
      </c>
      <c r="C230" s="1" t="n">
        <v>46131</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39807-2025</t>
        </is>
      </c>
      <c r="B231" s="1" t="n">
        <v>45891.50986111111</v>
      </c>
      <c r="C231" s="1" t="n">
        <v>46131</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39736-2025</t>
        </is>
      </c>
      <c r="B232" s="1" t="n">
        <v>45891</v>
      </c>
      <c r="C232" s="1" t="n">
        <v>46131</v>
      </c>
      <c r="D232" t="inlineStr">
        <is>
          <t>KALMAR LÄN</t>
        </is>
      </c>
      <c r="E232" t="inlineStr">
        <is>
          <t>VIMMERBY</t>
        </is>
      </c>
      <c r="G232" t="n">
        <v>12.8</v>
      </c>
      <c r="H232" t="n">
        <v>0</v>
      </c>
      <c r="I232" t="n">
        <v>0</v>
      </c>
      <c r="J232" t="n">
        <v>0</v>
      </c>
      <c r="K232" t="n">
        <v>0</v>
      </c>
      <c r="L232" t="n">
        <v>0</v>
      </c>
      <c r="M232" t="n">
        <v>0</v>
      </c>
      <c r="N232" t="n">
        <v>0</v>
      </c>
      <c r="O232" t="n">
        <v>0</v>
      </c>
      <c r="P232" t="n">
        <v>0</v>
      </c>
      <c r="Q232" t="n">
        <v>0</v>
      </c>
      <c r="R232" s="2" t="inlineStr"/>
    </row>
    <row r="233" ht="15" customHeight="1">
      <c r="A233" t="inlineStr">
        <is>
          <t>A 39803-2025</t>
        </is>
      </c>
      <c r="B233" s="1" t="n">
        <v>45891.50525462963</v>
      </c>
      <c r="C233" s="1" t="n">
        <v>46131</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34588-2024</t>
        </is>
      </c>
      <c r="B234" s="1" t="n">
        <v>45526.3865625</v>
      </c>
      <c r="C234" s="1" t="n">
        <v>46131</v>
      </c>
      <c r="D234" t="inlineStr">
        <is>
          <t>KALMAR LÄN</t>
        </is>
      </c>
      <c r="E234" t="inlineStr">
        <is>
          <t>VIMMERBY</t>
        </is>
      </c>
      <c r="F234" t="inlineStr">
        <is>
          <t>Övriga Aktiebolag</t>
        </is>
      </c>
      <c r="G234" t="n">
        <v>3.3</v>
      </c>
      <c r="H234" t="n">
        <v>0</v>
      </c>
      <c r="I234" t="n">
        <v>0</v>
      </c>
      <c r="J234" t="n">
        <v>0</v>
      </c>
      <c r="K234" t="n">
        <v>0</v>
      </c>
      <c r="L234" t="n">
        <v>0</v>
      </c>
      <c r="M234" t="n">
        <v>0</v>
      </c>
      <c r="N234" t="n">
        <v>0</v>
      </c>
      <c r="O234" t="n">
        <v>0</v>
      </c>
      <c r="P234" t="n">
        <v>0</v>
      </c>
      <c r="Q234" t="n">
        <v>0</v>
      </c>
      <c r="R234" s="2" t="inlineStr"/>
    </row>
    <row r="235" ht="15" customHeight="1">
      <c r="A235" t="inlineStr">
        <is>
          <t>A 39889-2025</t>
        </is>
      </c>
      <c r="B235" s="1" t="n">
        <v>45891</v>
      </c>
      <c r="C235" s="1" t="n">
        <v>46131</v>
      </c>
      <c r="D235" t="inlineStr">
        <is>
          <t>KALMAR LÄN</t>
        </is>
      </c>
      <c r="E235" t="inlineStr">
        <is>
          <t>VIMMERBY</t>
        </is>
      </c>
      <c r="G235" t="n">
        <v>4.5</v>
      </c>
      <c r="H235" t="n">
        <v>0</v>
      </c>
      <c r="I235" t="n">
        <v>0</v>
      </c>
      <c r="J235" t="n">
        <v>0</v>
      </c>
      <c r="K235" t="n">
        <v>0</v>
      </c>
      <c r="L235" t="n">
        <v>0</v>
      </c>
      <c r="M235" t="n">
        <v>0</v>
      </c>
      <c r="N235" t="n">
        <v>0</v>
      </c>
      <c r="O235" t="n">
        <v>0</v>
      </c>
      <c r="P235" t="n">
        <v>0</v>
      </c>
      <c r="Q235" t="n">
        <v>0</v>
      </c>
      <c r="R235" s="2" t="inlineStr"/>
    </row>
    <row r="236" ht="15" customHeight="1">
      <c r="A236" t="inlineStr">
        <is>
          <t>A 56659-2023</t>
        </is>
      </c>
      <c r="B236" s="1" t="n">
        <v>45243.84869212963</v>
      </c>
      <c r="C236" s="1" t="n">
        <v>46131</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23984-2025</t>
        </is>
      </c>
      <c r="B237" s="1" t="n">
        <v>45796</v>
      </c>
      <c r="C237" s="1" t="n">
        <v>46131</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3331-2023</t>
        </is>
      </c>
      <c r="B238" s="1" t="n">
        <v>44949</v>
      </c>
      <c r="C238" s="1" t="n">
        <v>46131</v>
      </c>
      <c r="D238" t="inlineStr">
        <is>
          <t>KALMAR LÄN</t>
        </is>
      </c>
      <c r="E238" t="inlineStr">
        <is>
          <t>VIMMERBY</t>
        </is>
      </c>
      <c r="G238" t="n">
        <v>6.2</v>
      </c>
      <c r="H238" t="n">
        <v>0</v>
      </c>
      <c r="I238" t="n">
        <v>0</v>
      </c>
      <c r="J238" t="n">
        <v>0</v>
      </c>
      <c r="K238" t="n">
        <v>0</v>
      </c>
      <c r="L238" t="n">
        <v>0</v>
      </c>
      <c r="M238" t="n">
        <v>0</v>
      </c>
      <c r="N238" t="n">
        <v>0</v>
      </c>
      <c r="O238" t="n">
        <v>0</v>
      </c>
      <c r="P238" t="n">
        <v>0</v>
      </c>
      <c r="Q238" t="n">
        <v>0</v>
      </c>
      <c r="R238" s="2" t="inlineStr"/>
    </row>
    <row r="239" ht="15" customHeight="1">
      <c r="A239" t="inlineStr">
        <is>
          <t>A 40970-2025</t>
        </is>
      </c>
      <c r="B239" s="1" t="n">
        <v>45897.88706018519</v>
      </c>
      <c r="C239" s="1" t="n">
        <v>46131</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40973-2025</t>
        </is>
      </c>
      <c r="B240" s="1" t="n">
        <v>45897.89737268518</v>
      </c>
      <c r="C240" s="1" t="n">
        <v>46131</v>
      </c>
      <c r="D240" t="inlineStr">
        <is>
          <t>KALMAR LÄN</t>
        </is>
      </c>
      <c r="E240" t="inlineStr">
        <is>
          <t>VIMMERBY</t>
        </is>
      </c>
      <c r="G240" t="n">
        <v>1.8</v>
      </c>
      <c r="H240" t="n">
        <v>0</v>
      </c>
      <c r="I240" t="n">
        <v>0</v>
      </c>
      <c r="J240" t="n">
        <v>0</v>
      </c>
      <c r="K240" t="n">
        <v>0</v>
      </c>
      <c r="L240" t="n">
        <v>0</v>
      </c>
      <c r="M240" t="n">
        <v>0</v>
      </c>
      <c r="N240" t="n">
        <v>0</v>
      </c>
      <c r="O240" t="n">
        <v>0</v>
      </c>
      <c r="P240" t="n">
        <v>0</v>
      </c>
      <c r="Q240" t="n">
        <v>0</v>
      </c>
      <c r="R240" s="2" t="inlineStr"/>
    </row>
    <row r="241" ht="15" customHeight="1">
      <c r="A241" t="inlineStr">
        <is>
          <t>A 41224-2025</t>
        </is>
      </c>
      <c r="B241" s="1" t="n">
        <v>45898.58861111111</v>
      </c>
      <c r="C241" s="1" t="n">
        <v>46131</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40828-2023</t>
        </is>
      </c>
      <c r="B242" s="1" t="n">
        <v>45171.96248842592</v>
      </c>
      <c r="C242" s="1" t="n">
        <v>46131</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16734-2023</t>
        </is>
      </c>
      <c r="B243" s="1" t="n">
        <v>45030.71012731481</v>
      </c>
      <c r="C243" s="1" t="n">
        <v>46131</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40925-2025</t>
        </is>
      </c>
      <c r="B244" s="1" t="n">
        <v>45897.64208333333</v>
      </c>
      <c r="C244" s="1" t="n">
        <v>46131</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64143-2021</t>
        </is>
      </c>
      <c r="B245" s="1" t="n">
        <v>44510.52157407408</v>
      </c>
      <c r="C245" s="1" t="n">
        <v>46131</v>
      </c>
      <c r="D245" t="inlineStr">
        <is>
          <t>KALMAR LÄN</t>
        </is>
      </c>
      <c r="E245" t="inlineStr">
        <is>
          <t>VIMMERBY</t>
        </is>
      </c>
      <c r="G245" t="n">
        <v>1.6</v>
      </c>
      <c r="H245" t="n">
        <v>0</v>
      </c>
      <c r="I245" t="n">
        <v>0</v>
      </c>
      <c r="J245" t="n">
        <v>0</v>
      </c>
      <c r="K245" t="n">
        <v>0</v>
      </c>
      <c r="L245" t="n">
        <v>0</v>
      </c>
      <c r="M245" t="n">
        <v>0</v>
      </c>
      <c r="N245" t="n">
        <v>0</v>
      </c>
      <c r="O245" t="n">
        <v>0</v>
      </c>
      <c r="P245" t="n">
        <v>0</v>
      </c>
      <c r="Q245" t="n">
        <v>0</v>
      </c>
      <c r="R245" s="2" t="inlineStr"/>
    </row>
    <row r="246" ht="15" customHeight="1">
      <c r="A246" t="inlineStr">
        <is>
          <t>A 9720-2023</t>
        </is>
      </c>
      <c r="B246" s="1" t="n">
        <v>44984</v>
      </c>
      <c r="C246" s="1" t="n">
        <v>46131</v>
      </c>
      <c r="D246" t="inlineStr">
        <is>
          <t>KALMAR LÄN</t>
        </is>
      </c>
      <c r="E246" t="inlineStr">
        <is>
          <t>VIMMERBY</t>
        </is>
      </c>
      <c r="G246" t="n">
        <v>4.4</v>
      </c>
      <c r="H246" t="n">
        <v>0</v>
      </c>
      <c r="I246" t="n">
        <v>0</v>
      </c>
      <c r="J246" t="n">
        <v>0</v>
      </c>
      <c r="K246" t="n">
        <v>0</v>
      </c>
      <c r="L246" t="n">
        <v>0</v>
      </c>
      <c r="M246" t="n">
        <v>0</v>
      </c>
      <c r="N246" t="n">
        <v>0</v>
      </c>
      <c r="O246" t="n">
        <v>0</v>
      </c>
      <c r="P246" t="n">
        <v>0</v>
      </c>
      <c r="Q246" t="n">
        <v>0</v>
      </c>
      <c r="R246" s="2" t="inlineStr"/>
    </row>
    <row r="247" ht="15" customHeight="1">
      <c r="A247" t="inlineStr">
        <is>
          <t>A 5938-2022</t>
        </is>
      </c>
      <c r="B247" s="1" t="n">
        <v>44598</v>
      </c>
      <c r="C247" s="1" t="n">
        <v>46131</v>
      </c>
      <c r="D247" t="inlineStr">
        <is>
          <t>KALMAR LÄN</t>
        </is>
      </c>
      <c r="E247" t="inlineStr">
        <is>
          <t>VIMMERBY</t>
        </is>
      </c>
      <c r="G247" t="n">
        <v>2.4</v>
      </c>
      <c r="H247" t="n">
        <v>0</v>
      </c>
      <c r="I247" t="n">
        <v>0</v>
      </c>
      <c r="J247" t="n">
        <v>0</v>
      </c>
      <c r="K247" t="n">
        <v>0</v>
      </c>
      <c r="L247" t="n">
        <v>0</v>
      </c>
      <c r="M247" t="n">
        <v>0</v>
      </c>
      <c r="N247" t="n">
        <v>0</v>
      </c>
      <c r="O247" t="n">
        <v>0</v>
      </c>
      <c r="P247" t="n">
        <v>0</v>
      </c>
      <c r="Q247" t="n">
        <v>0</v>
      </c>
      <c r="R247" s="2" t="inlineStr"/>
    </row>
    <row r="248" ht="15" customHeight="1">
      <c r="A248" t="inlineStr">
        <is>
          <t>A 1687-2023</t>
        </is>
      </c>
      <c r="B248" s="1" t="n">
        <v>44938</v>
      </c>
      <c r="C248" s="1" t="n">
        <v>46131</v>
      </c>
      <c r="D248" t="inlineStr">
        <is>
          <t>KALMAR LÄN</t>
        </is>
      </c>
      <c r="E248" t="inlineStr">
        <is>
          <t>VIMMERBY</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40921-2025</t>
        </is>
      </c>
      <c r="B249" s="1" t="n">
        <v>45897.63520833333</v>
      </c>
      <c r="C249" s="1" t="n">
        <v>46131</v>
      </c>
      <c r="D249" t="inlineStr">
        <is>
          <t>KALMAR LÄN</t>
        </is>
      </c>
      <c r="E249" t="inlineStr">
        <is>
          <t>VIMMERBY</t>
        </is>
      </c>
      <c r="G249" t="n">
        <v>4.2</v>
      </c>
      <c r="H249" t="n">
        <v>0</v>
      </c>
      <c r="I249" t="n">
        <v>0</v>
      </c>
      <c r="J249" t="n">
        <v>0</v>
      </c>
      <c r="K249" t="n">
        <v>0</v>
      </c>
      <c r="L249" t="n">
        <v>0</v>
      </c>
      <c r="M249" t="n">
        <v>0</v>
      </c>
      <c r="N249" t="n">
        <v>0</v>
      </c>
      <c r="O249" t="n">
        <v>0</v>
      </c>
      <c r="P249" t="n">
        <v>0</v>
      </c>
      <c r="Q249" t="n">
        <v>0</v>
      </c>
      <c r="R249" s="2" t="inlineStr"/>
    </row>
    <row r="250" ht="15" customHeight="1">
      <c r="A250" t="inlineStr">
        <is>
          <t>A 40971-2025</t>
        </is>
      </c>
      <c r="B250" s="1" t="n">
        <v>45897.88836805556</v>
      </c>
      <c r="C250" s="1" t="n">
        <v>46131</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29440-2024</t>
        </is>
      </c>
      <c r="B251" s="1" t="n">
        <v>45483.82479166667</v>
      </c>
      <c r="C251" s="1" t="n">
        <v>46131</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30921-2024</t>
        </is>
      </c>
      <c r="B252" s="1" t="n">
        <v>45498</v>
      </c>
      <c r="C252" s="1" t="n">
        <v>46131</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53482-2022</t>
        </is>
      </c>
      <c r="B253" s="1" t="n">
        <v>44879</v>
      </c>
      <c r="C253" s="1" t="n">
        <v>46131</v>
      </c>
      <c r="D253" t="inlineStr">
        <is>
          <t>KALMAR LÄN</t>
        </is>
      </c>
      <c r="E253" t="inlineStr">
        <is>
          <t>VIMMERBY</t>
        </is>
      </c>
      <c r="G253" t="n">
        <v>10.1</v>
      </c>
      <c r="H253" t="n">
        <v>0</v>
      </c>
      <c r="I253" t="n">
        <v>0</v>
      </c>
      <c r="J253" t="n">
        <v>0</v>
      </c>
      <c r="K253" t="n">
        <v>0</v>
      </c>
      <c r="L253" t="n">
        <v>0</v>
      </c>
      <c r="M253" t="n">
        <v>0</v>
      </c>
      <c r="N253" t="n">
        <v>0</v>
      </c>
      <c r="O253" t="n">
        <v>0</v>
      </c>
      <c r="P253" t="n">
        <v>0</v>
      </c>
      <c r="Q253" t="n">
        <v>0</v>
      </c>
      <c r="R253" s="2" t="inlineStr"/>
    </row>
    <row r="254" ht="15" customHeight="1">
      <c r="A254" t="inlineStr">
        <is>
          <t>A 41591-2025</t>
        </is>
      </c>
      <c r="B254" s="1" t="n">
        <v>45901.6327662037</v>
      </c>
      <c r="C254" s="1" t="n">
        <v>46131</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41589-2025</t>
        </is>
      </c>
      <c r="B255" s="1" t="n">
        <v>45901.63219907408</v>
      </c>
      <c r="C255" s="1" t="n">
        <v>46131</v>
      </c>
      <c r="D255" t="inlineStr">
        <is>
          <t>KALMAR LÄN</t>
        </is>
      </c>
      <c r="E255" t="inlineStr">
        <is>
          <t>VIMMERBY</t>
        </is>
      </c>
      <c r="G255" t="n">
        <v>1.7</v>
      </c>
      <c r="H255" t="n">
        <v>0</v>
      </c>
      <c r="I255" t="n">
        <v>0</v>
      </c>
      <c r="J255" t="n">
        <v>0</v>
      </c>
      <c r="K255" t="n">
        <v>0</v>
      </c>
      <c r="L255" t="n">
        <v>0</v>
      </c>
      <c r="M255" t="n">
        <v>0</v>
      </c>
      <c r="N255" t="n">
        <v>0</v>
      </c>
      <c r="O255" t="n">
        <v>0</v>
      </c>
      <c r="P255" t="n">
        <v>0</v>
      </c>
      <c r="Q255" t="n">
        <v>0</v>
      </c>
      <c r="R255" s="2" t="inlineStr"/>
    </row>
    <row r="256" ht="15" customHeight="1">
      <c r="A256" t="inlineStr">
        <is>
          <t>A 51278-2024</t>
        </is>
      </c>
      <c r="B256" s="1" t="n">
        <v>45603.74959490741</v>
      </c>
      <c r="C256" s="1" t="n">
        <v>46131</v>
      </c>
      <c r="D256" t="inlineStr">
        <is>
          <t>KALMAR LÄN</t>
        </is>
      </c>
      <c r="E256" t="inlineStr">
        <is>
          <t>VIMMERBY</t>
        </is>
      </c>
      <c r="G256" t="n">
        <v>3.4</v>
      </c>
      <c r="H256" t="n">
        <v>0</v>
      </c>
      <c r="I256" t="n">
        <v>0</v>
      </c>
      <c r="J256" t="n">
        <v>0</v>
      </c>
      <c r="K256" t="n">
        <v>0</v>
      </c>
      <c r="L256" t="n">
        <v>0</v>
      </c>
      <c r="M256" t="n">
        <v>0</v>
      </c>
      <c r="N256" t="n">
        <v>0</v>
      </c>
      <c r="O256" t="n">
        <v>0</v>
      </c>
      <c r="P256" t="n">
        <v>0</v>
      </c>
      <c r="Q256" t="n">
        <v>0</v>
      </c>
      <c r="R256" s="2" t="inlineStr"/>
    </row>
    <row r="257" ht="15" customHeight="1">
      <c r="A257" t="inlineStr">
        <is>
          <t>A 29180-2024</t>
        </is>
      </c>
      <c r="B257" s="1" t="n">
        <v>45482.54108796296</v>
      </c>
      <c r="C257" s="1" t="n">
        <v>46131</v>
      </c>
      <c r="D257" t="inlineStr">
        <is>
          <t>KALMAR LÄN</t>
        </is>
      </c>
      <c r="E257" t="inlineStr">
        <is>
          <t>VIMMERBY</t>
        </is>
      </c>
      <c r="G257" t="n">
        <v>3.8</v>
      </c>
      <c r="H257" t="n">
        <v>0</v>
      </c>
      <c r="I257" t="n">
        <v>0</v>
      </c>
      <c r="J257" t="n">
        <v>0</v>
      </c>
      <c r="K257" t="n">
        <v>0</v>
      </c>
      <c r="L257" t="n">
        <v>0</v>
      </c>
      <c r="M257" t="n">
        <v>0</v>
      </c>
      <c r="N257" t="n">
        <v>0</v>
      </c>
      <c r="O257" t="n">
        <v>0</v>
      </c>
      <c r="P257" t="n">
        <v>0</v>
      </c>
      <c r="Q257" t="n">
        <v>0</v>
      </c>
      <c r="R257" s="2" t="inlineStr"/>
    </row>
    <row r="258" ht="15" customHeight="1">
      <c r="A258" t="inlineStr">
        <is>
          <t>A 34090-2025</t>
        </is>
      </c>
      <c r="B258" s="1" t="n">
        <v>45845</v>
      </c>
      <c r="C258" s="1" t="n">
        <v>46131</v>
      </c>
      <c r="D258" t="inlineStr">
        <is>
          <t>KALMAR LÄN</t>
        </is>
      </c>
      <c r="E258" t="inlineStr">
        <is>
          <t>VIMMERBY</t>
        </is>
      </c>
      <c r="G258" t="n">
        <v>2.8</v>
      </c>
      <c r="H258" t="n">
        <v>0</v>
      </c>
      <c r="I258" t="n">
        <v>0</v>
      </c>
      <c r="J258" t="n">
        <v>0</v>
      </c>
      <c r="K258" t="n">
        <v>0</v>
      </c>
      <c r="L258" t="n">
        <v>0</v>
      </c>
      <c r="M258" t="n">
        <v>0</v>
      </c>
      <c r="N258" t="n">
        <v>0</v>
      </c>
      <c r="O258" t="n">
        <v>0</v>
      </c>
      <c r="P258" t="n">
        <v>0</v>
      </c>
      <c r="Q258" t="n">
        <v>0</v>
      </c>
      <c r="R258" s="2" t="inlineStr"/>
    </row>
    <row r="259" ht="15" customHeight="1">
      <c r="A259" t="inlineStr">
        <is>
          <t>A 35082-2024</t>
        </is>
      </c>
      <c r="B259" s="1" t="n">
        <v>45527.68784722222</v>
      </c>
      <c r="C259" s="1" t="n">
        <v>46131</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41735-2025</t>
        </is>
      </c>
      <c r="B260" s="1" t="n">
        <v>45902.47164351852</v>
      </c>
      <c r="C260" s="1" t="n">
        <v>46131</v>
      </c>
      <c r="D260" t="inlineStr">
        <is>
          <t>KALMAR LÄN</t>
        </is>
      </c>
      <c r="E260" t="inlineStr">
        <is>
          <t>VIMMERBY</t>
        </is>
      </c>
      <c r="G260" t="n">
        <v>3</v>
      </c>
      <c r="H260" t="n">
        <v>0</v>
      </c>
      <c r="I260" t="n">
        <v>0</v>
      </c>
      <c r="J260" t="n">
        <v>0</v>
      </c>
      <c r="K260" t="n">
        <v>0</v>
      </c>
      <c r="L260" t="n">
        <v>0</v>
      </c>
      <c r="M260" t="n">
        <v>0</v>
      </c>
      <c r="N260" t="n">
        <v>0</v>
      </c>
      <c r="O260" t="n">
        <v>0</v>
      </c>
      <c r="P260" t="n">
        <v>0</v>
      </c>
      <c r="Q260" t="n">
        <v>0</v>
      </c>
      <c r="R260" s="2" t="inlineStr"/>
    </row>
    <row r="261" ht="15" customHeight="1">
      <c r="A261" t="inlineStr">
        <is>
          <t>A 44582-2024</t>
        </is>
      </c>
      <c r="B261" s="1" t="n">
        <v>45574.49298611111</v>
      </c>
      <c r="C261" s="1" t="n">
        <v>46131</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29783-2024</t>
        </is>
      </c>
      <c r="B262" s="1" t="n">
        <v>45485.45778935185</v>
      </c>
      <c r="C262" s="1" t="n">
        <v>46131</v>
      </c>
      <c r="D262" t="inlineStr">
        <is>
          <t>KALMAR LÄN</t>
        </is>
      </c>
      <c r="E262" t="inlineStr">
        <is>
          <t>VIMMERBY</t>
        </is>
      </c>
      <c r="G262" t="n">
        <v>3.1</v>
      </c>
      <c r="H262" t="n">
        <v>0</v>
      </c>
      <c r="I262" t="n">
        <v>0</v>
      </c>
      <c r="J262" t="n">
        <v>0</v>
      </c>
      <c r="K262" t="n">
        <v>0</v>
      </c>
      <c r="L262" t="n">
        <v>0</v>
      </c>
      <c r="M262" t="n">
        <v>0</v>
      </c>
      <c r="N262" t="n">
        <v>0</v>
      </c>
      <c r="O262" t="n">
        <v>0</v>
      </c>
      <c r="P262" t="n">
        <v>0</v>
      </c>
      <c r="Q262" t="n">
        <v>0</v>
      </c>
      <c r="R262" s="2" t="inlineStr"/>
    </row>
    <row r="263" ht="15" customHeight="1">
      <c r="A263" t="inlineStr">
        <is>
          <t>A 9456-2025</t>
        </is>
      </c>
      <c r="B263" s="1" t="n">
        <v>45715.44159722222</v>
      </c>
      <c r="C263" s="1" t="n">
        <v>46131</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54838-2024</t>
        </is>
      </c>
      <c r="B264" s="1" t="n">
        <v>45618.56787037037</v>
      </c>
      <c r="C264" s="1" t="n">
        <v>46131</v>
      </c>
      <c r="D264" t="inlineStr">
        <is>
          <t>KALMAR LÄN</t>
        </is>
      </c>
      <c r="E264" t="inlineStr">
        <is>
          <t>VIMMERBY</t>
        </is>
      </c>
      <c r="G264" t="n">
        <v>3.3</v>
      </c>
      <c r="H264" t="n">
        <v>0</v>
      </c>
      <c r="I264" t="n">
        <v>0</v>
      </c>
      <c r="J264" t="n">
        <v>0</v>
      </c>
      <c r="K264" t="n">
        <v>0</v>
      </c>
      <c r="L264" t="n">
        <v>0</v>
      </c>
      <c r="M264" t="n">
        <v>0</v>
      </c>
      <c r="N264" t="n">
        <v>0</v>
      </c>
      <c r="O264" t="n">
        <v>0</v>
      </c>
      <c r="P264" t="n">
        <v>0</v>
      </c>
      <c r="Q264" t="n">
        <v>0</v>
      </c>
      <c r="R264" s="2" t="inlineStr"/>
    </row>
    <row r="265" ht="15" customHeight="1">
      <c r="A265" t="inlineStr">
        <is>
          <t>A 25987-2024</t>
        </is>
      </c>
      <c r="B265" s="1" t="n">
        <v>45467.74417824074</v>
      </c>
      <c r="C265" s="1" t="n">
        <v>46131</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11111-2023</t>
        </is>
      </c>
      <c r="B266" s="1" t="n">
        <v>44992.4255787037</v>
      </c>
      <c r="C266" s="1" t="n">
        <v>46131</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25109-2023</t>
        </is>
      </c>
      <c r="B267" s="1" t="n">
        <v>45086</v>
      </c>
      <c r="C267" s="1" t="n">
        <v>46131</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62023-2022</t>
        </is>
      </c>
      <c r="B268" s="1" t="n">
        <v>44918.50106481482</v>
      </c>
      <c r="C268" s="1" t="n">
        <v>46131</v>
      </c>
      <c r="D268" t="inlineStr">
        <is>
          <t>KALMAR LÄN</t>
        </is>
      </c>
      <c r="E268" t="inlineStr">
        <is>
          <t>VIMMERBY</t>
        </is>
      </c>
      <c r="G268" t="n">
        <v>0.3</v>
      </c>
      <c r="H268" t="n">
        <v>0</v>
      </c>
      <c r="I268" t="n">
        <v>0</v>
      </c>
      <c r="J268" t="n">
        <v>0</v>
      </c>
      <c r="K268" t="n">
        <v>0</v>
      </c>
      <c r="L268" t="n">
        <v>0</v>
      </c>
      <c r="M268" t="n">
        <v>0</v>
      </c>
      <c r="N268" t="n">
        <v>0</v>
      </c>
      <c r="O268" t="n">
        <v>0</v>
      </c>
      <c r="P268" t="n">
        <v>0</v>
      </c>
      <c r="Q268" t="n">
        <v>0</v>
      </c>
      <c r="R268" s="2" t="inlineStr"/>
    </row>
    <row r="269" ht="15" customHeight="1">
      <c r="A269" t="inlineStr">
        <is>
          <t>A 58724-2024</t>
        </is>
      </c>
      <c r="B269" s="1" t="n">
        <v>45635.66409722222</v>
      </c>
      <c r="C269" s="1" t="n">
        <v>46131</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58104-2024</t>
        </is>
      </c>
      <c r="B270" s="1" t="n">
        <v>45632.37459490741</v>
      </c>
      <c r="C270" s="1" t="n">
        <v>46131</v>
      </c>
      <c r="D270" t="inlineStr">
        <is>
          <t>KALMAR LÄN</t>
        </is>
      </c>
      <c r="E270" t="inlineStr">
        <is>
          <t>VIMMERBY</t>
        </is>
      </c>
      <c r="G270" t="n">
        <v>5</v>
      </c>
      <c r="H270" t="n">
        <v>0</v>
      </c>
      <c r="I270" t="n">
        <v>0</v>
      </c>
      <c r="J270" t="n">
        <v>0</v>
      </c>
      <c r="K270" t="n">
        <v>0</v>
      </c>
      <c r="L270" t="n">
        <v>0</v>
      </c>
      <c r="M270" t="n">
        <v>0</v>
      </c>
      <c r="N270" t="n">
        <v>0</v>
      </c>
      <c r="O270" t="n">
        <v>0</v>
      </c>
      <c r="P270" t="n">
        <v>0</v>
      </c>
      <c r="Q270" t="n">
        <v>0</v>
      </c>
      <c r="R270" s="2" t="inlineStr"/>
    </row>
    <row r="271" ht="15" customHeight="1">
      <c r="A271" t="inlineStr">
        <is>
          <t>A 15494-2024</t>
        </is>
      </c>
      <c r="B271" s="1" t="n">
        <v>45401.53033564815</v>
      </c>
      <c r="C271" s="1" t="n">
        <v>46131</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12215-2024</t>
        </is>
      </c>
      <c r="B272" s="1" t="n">
        <v>45378.32185185186</v>
      </c>
      <c r="C272" s="1" t="n">
        <v>46131</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30920-2024</t>
        </is>
      </c>
      <c r="B273" s="1" t="n">
        <v>45498.673125</v>
      </c>
      <c r="C273" s="1" t="n">
        <v>46131</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56536-2022</t>
        </is>
      </c>
      <c r="B274" s="1" t="n">
        <v>44893</v>
      </c>
      <c r="C274" s="1" t="n">
        <v>46131</v>
      </c>
      <c r="D274" t="inlineStr">
        <is>
          <t>KALMAR LÄN</t>
        </is>
      </c>
      <c r="E274" t="inlineStr">
        <is>
          <t>VIMMERBY</t>
        </is>
      </c>
      <c r="G274" t="n">
        <v>3.2</v>
      </c>
      <c r="H274" t="n">
        <v>0</v>
      </c>
      <c r="I274" t="n">
        <v>0</v>
      </c>
      <c r="J274" t="n">
        <v>0</v>
      </c>
      <c r="K274" t="n">
        <v>0</v>
      </c>
      <c r="L274" t="n">
        <v>0</v>
      </c>
      <c r="M274" t="n">
        <v>0</v>
      </c>
      <c r="N274" t="n">
        <v>0</v>
      </c>
      <c r="O274" t="n">
        <v>0</v>
      </c>
      <c r="P274" t="n">
        <v>0</v>
      </c>
      <c r="Q274" t="n">
        <v>0</v>
      </c>
      <c r="R274" s="2" t="inlineStr"/>
    </row>
    <row r="275" ht="15" customHeight="1">
      <c r="A275" t="inlineStr">
        <is>
          <t>A 52475-2025</t>
        </is>
      </c>
      <c r="B275" s="1" t="n">
        <v>45954.468125</v>
      </c>
      <c r="C275" s="1" t="n">
        <v>46131</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63541-2023</t>
        </is>
      </c>
      <c r="B276" s="1" t="n">
        <v>45275.32266203704</v>
      </c>
      <c r="C276" s="1" t="n">
        <v>46131</v>
      </c>
      <c r="D276" t="inlineStr">
        <is>
          <t>KALMAR LÄN</t>
        </is>
      </c>
      <c r="E276" t="inlineStr">
        <is>
          <t>VIMMERBY</t>
        </is>
      </c>
      <c r="G276" t="n">
        <v>1.1</v>
      </c>
      <c r="H276" t="n">
        <v>0</v>
      </c>
      <c r="I276" t="n">
        <v>0</v>
      </c>
      <c r="J276" t="n">
        <v>0</v>
      </c>
      <c r="K276" t="n">
        <v>0</v>
      </c>
      <c r="L276" t="n">
        <v>0</v>
      </c>
      <c r="M276" t="n">
        <v>0</v>
      </c>
      <c r="N276" t="n">
        <v>0</v>
      </c>
      <c r="O276" t="n">
        <v>0</v>
      </c>
      <c r="P276" t="n">
        <v>0</v>
      </c>
      <c r="Q276" t="n">
        <v>0</v>
      </c>
      <c r="R276" s="2" t="inlineStr"/>
    </row>
    <row r="277" ht="15" customHeight="1">
      <c r="A277" t="inlineStr">
        <is>
          <t>A 37323-2024</t>
        </is>
      </c>
      <c r="B277" s="1" t="n">
        <v>45540.50098379629</v>
      </c>
      <c r="C277" s="1" t="n">
        <v>46131</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26039-2025</t>
        </is>
      </c>
      <c r="B278" s="1" t="n">
        <v>45804.6953587963</v>
      </c>
      <c r="C278" s="1" t="n">
        <v>46131</v>
      </c>
      <c r="D278" t="inlineStr">
        <is>
          <t>KALMAR LÄN</t>
        </is>
      </c>
      <c r="E278" t="inlineStr">
        <is>
          <t>VIMMERBY</t>
        </is>
      </c>
      <c r="F278" t="inlineStr">
        <is>
          <t>Sveaskog</t>
        </is>
      </c>
      <c r="G278" t="n">
        <v>5.2</v>
      </c>
      <c r="H278" t="n">
        <v>0</v>
      </c>
      <c r="I278" t="n">
        <v>0</v>
      </c>
      <c r="J278" t="n">
        <v>0</v>
      </c>
      <c r="K278" t="n">
        <v>0</v>
      </c>
      <c r="L278" t="n">
        <v>0</v>
      </c>
      <c r="M278" t="n">
        <v>0</v>
      </c>
      <c r="N278" t="n">
        <v>0</v>
      </c>
      <c r="O278" t="n">
        <v>0</v>
      </c>
      <c r="P278" t="n">
        <v>0</v>
      </c>
      <c r="Q278" t="n">
        <v>0</v>
      </c>
      <c r="R278" s="2" t="inlineStr"/>
    </row>
    <row r="279" ht="15" customHeight="1">
      <c r="A279" t="inlineStr">
        <is>
          <t>A 26046-2025</t>
        </is>
      </c>
      <c r="B279" s="1" t="n">
        <v>45804.708125</v>
      </c>
      <c r="C279" s="1" t="n">
        <v>46131</v>
      </c>
      <c r="D279" t="inlineStr">
        <is>
          <t>KALMAR LÄN</t>
        </is>
      </c>
      <c r="E279" t="inlineStr">
        <is>
          <t>VIMMERBY</t>
        </is>
      </c>
      <c r="F279" t="inlineStr">
        <is>
          <t>Sveaskog</t>
        </is>
      </c>
      <c r="G279" t="n">
        <v>5.1</v>
      </c>
      <c r="H279" t="n">
        <v>0</v>
      </c>
      <c r="I279" t="n">
        <v>0</v>
      </c>
      <c r="J279" t="n">
        <v>0</v>
      </c>
      <c r="K279" t="n">
        <v>0</v>
      </c>
      <c r="L279" t="n">
        <v>0</v>
      </c>
      <c r="M279" t="n">
        <v>0</v>
      </c>
      <c r="N279" t="n">
        <v>0</v>
      </c>
      <c r="O279" t="n">
        <v>0</v>
      </c>
      <c r="P279" t="n">
        <v>0</v>
      </c>
      <c r="Q279" t="n">
        <v>0</v>
      </c>
      <c r="R279" s="2" t="inlineStr"/>
    </row>
    <row r="280" ht="15" customHeight="1">
      <c r="A280" t="inlineStr">
        <is>
          <t>A 42828-2025</t>
        </is>
      </c>
      <c r="B280" s="1" t="n">
        <v>45908.57716435185</v>
      </c>
      <c r="C280" s="1" t="n">
        <v>46131</v>
      </c>
      <c r="D280" t="inlineStr">
        <is>
          <t>KALMAR LÄN</t>
        </is>
      </c>
      <c r="E280" t="inlineStr">
        <is>
          <t>VIMMERBY</t>
        </is>
      </c>
      <c r="G280" t="n">
        <v>5.2</v>
      </c>
      <c r="H280" t="n">
        <v>0</v>
      </c>
      <c r="I280" t="n">
        <v>0</v>
      </c>
      <c r="J280" t="n">
        <v>0</v>
      </c>
      <c r="K280" t="n">
        <v>0</v>
      </c>
      <c r="L280" t="n">
        <v>0</v>
      </c>
      <c r="M280" t="n">
        <v>0</v>
      </c>
      <c r="N280" t="n">
        <v>0</v>
      </c>
      <c r="O280" t="n">
        <v>0</v>
      </c>
      <c r="P280" t="n">
        <v>0</v>
      </c>
      <c r="Q280" t="n">
        <v>0</v>
      </c>
      <c r="R280" s="2" t="inlineStr"/>
    </row>
    <row r="281" ht="15" customHeight="1">
      <c r="A281" t="inlineStr">
        <is>
          <t>A 25792-2025</t>
        </is>
      </c>
      <c r="B281" s="1" t="n">
        <v>45804.39141203704</v>
      </c>
      <c r="C281" s="1" t="n">
        <v>46131</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42794-2025</t>
        </is>
      </c>
      <c r="B282" s="1" t="n">
        <v>45908</v>
      </c>
      <c r="C282" s="1" t="n">
        <v>46131</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53220-2025</t>
        </is>
      </c>
      <c r="B283" s="1" t="n">
        <v>45958.60146990741</v>
      </c>
      <c r="C283" s="1" t="n">
        <v>46131</v>
      </c>
      <c r="D283" t="inlineStr">
        <is>
          <t>KALMAR LÄN</t>
        </is>
      </c>
      <c r="E283" t="inlineStr">
        <is>
          <t>VIMMERBY</t>
        </is>
      </c>
      <c r="G283" t="n">
        <v>2.2</v>
      </c>
      <c r="H283" t="n">
        <v>0</v>
      </c>
      <c r="I283" t="n">
        <v>0</v>
      </c>
      <c r="J283" t="n">
        <v>0</v>
      </c>
      <c r="K283" t="n">
        <v>0</v>
      </c>
      <c r="L283" t="n">
        <v>0</v>
      </c>
      <c r="M283" t="n">
        <v>0</v>
      </c>
      <c r="N283" t="n">
        <v>0</v>
      </c>
      <c r="O283" t="n">
        <v>0</v>
      </c>
      <c r="P283" t="n">
        <v>0</v>
      </c>
      <c r="Q283" t="n">
        <v>0</v>
      </c>
      <c r="R283" s="2" t="inlineStr"/>
    </row>
    <row r="284" ht="15" customHeight="1">
      <c r="A284" t="inlineStr">
        <is>
          <t>A 25830-2025</t>
        </is>
      </c>
      <c r="B284" s="1" t="n">
        <v>45804.44519675926</v>
      </c>
      <c r="C284" s="1" t="n">
        <v>46131</v>
      </c>
      <c r="D284" t="inlineStr">
        <is>
          <t>KALMAR LÄN</t>
        </is>
      </c>
      <c r="E284" t="inlineStr">
        <is>
          <t>VIMMERBY</t>
        </is>
      </c>
      <c r="G284" t="n">
        <v>4.9</v>
      </c>
      <c r="H284" t="n">
        <v>0</v>
      </c>
      <c r="I284" t="n">
        <v>0</v>
      </c>
      <c r="J284" t="n">
        <v>0</v>
      </c>
      <c r="K284" t="n">
        <v>0</v>
      </c>
      <c r="L284" t="n">
        <v>0</v>
      </c>
      <c r="M284" t="n">
        <v>0</v>
      </c>
      <c r="N284" t="n">
        <v>0</v>
      </c>
      <c r="O284" t="n">
        <v>0</v>
      </c>
      <c r="P284" t="n">
        <v>0</v>
      </c>
      <c r="Q284" t="n">
        <v>0</v>
      </c>
      <c r="R284" s="2" t="inlineStr"/>
    </row>
    <row r="285" ht="15" customHeight="1">
      <c r="A285" t="inlineStr">
        <is>
          <t>A 26124-2025</t>
        </is>
      </c>
      <c r="B285" s="1" t="n">
        <v>45805.39247685186</v>
      </c>
      <c r="C285" s="1" t="n">
        <v>46131</v>
      </c>
      <c r="D285" t="inlineStr">
        <is>
          <t>KALMAR LÄN</t>
        </is>
      </c>
      <c r="E285" t="inlineStr">
        <is>
          <t>VIMMERBY</t>
        </is>
      </c>
      <c r="G285" t="n">
        <v>6.6</v>
      </c>
      <c r="H285" t="n">
        <v>0</v>
      </c>
      <c r="I285" t="n">
        <v>0</v>
      </c>
      <c r="J285" t="n">
        <v>0</v>
      </c>
      <c r="K285" t="n">
        <v>0</v>
      </c>
      <c r="L285" t="n">
        <v>0</v>
      </c>
      <c r="M285" t="n">
        <v>0</v>
      </c>
      <c r="N285" t="n">
        <v>0</v>
      </c>
      <c r="O285" t="n">
        <v>0</v>
      </c>
      <c r="P285" t="n">
        <v>0</v>
      </c>
      <c r="Q285" t="n">
        <v>0</v>
      </c>
      <c r="R285" s="2" t="inlineStr"/>
    </row>
    <row r="286" ht="15" customHeight="1">
      <c r="A286" t="inlineStr">
        <is>
          <t>A 42820-2025</t>
        </is>
      </c>
      <c r="B286" s="1" t="n">
        <v>45908</v>
      </c>
      <c r="C286" s="1" t="n">
        <v>46131</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11429-2022</t>
        </is>
      </c>
      <c r="B287" s="1" t="n">
        <v>44630</v>
      </c>
      <c r="C287" s="1" t="n">
        <v>46131</v>
      </c>
      <c r="D287" t="inlineStr">
        <is>
          <t>KALMAR LÄN</t>
        </is>
      </c>
      <c r="E287" t="inlineStr">
        <is>
          <t>VIMMERBY</t>
        </is>
      </c>
      <c r="G287" t="n">
        <v>2.6</v>
      </c>
      <c r="H287" t="n">
        <v>0</v>
      </c>
      <c r="I287" t="n">
        <v>0</v>
      </c>
      <c r="J287" t="n">
        <v>0</v>
      </c>
      <c r="K287" t="n">
        <v>0</v>
      </c>
      <c r="L287" t="n">
        <v>0</v>
      </c>
      <c r="M287" t="n">
        <v>0</v>
      </c>
      <c r="N287" t="n">
        <v>0</v>
      </c>
      <c r="O287" t="n">
        <v>0</v>
      </c>
      <c r="P287" t="n">
        <v>0</v>
      </c>
      <c r="Q287" t="n">
        <v>0</v>
      </c>
      <c r="R287" s="2" t="inlineStr"/>
    </row>
    <row r="288" ht="15" customHeight="1">
      <c r="A288" t="inlineStr">
        <is>
          <t>A 26254-2025</t>
        </is>
      </c>
      <c r="B288" s="1" t="n">
        <v>45805</v>
      </c>
      <c r="C288" s="1" t="n">
        <v>46131</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56582-2022</t>
        </is>
      </c>
      <c r="B289" s="1" t="n">
        <v>44893</v>
      </c>
      <c r="C289" s="1" t="n">
        <v>46131</v>
      </c>
      <c r="D289" t="inlineStr">
        <is>
          <t>KALMAR LÄN</t>
        </is>
      </c>
      <c r="E289" t="inlineStr">
        <is>
          <t>VIMMERBY</t>
        </is>
      </c>
      <c r="G289" t="n">
        <v>2.2</v>
      </c>
      <c r="H289" t="n">
        <v>0</v>
      </c>
      <c r="I289" t="n">
        <v>0</v>
      </c>
      <c r="J289" t="n">
        <v>0</v>
      </c>
      <c r="K289" t="n">
        <v>0</v>
      </c>
      <c r="L289" t="n">
        <v>0</v>
      </c>
      <c r="M289" t="n">
        <v>0</v>
      </c>
      <c r="N289" t="n">
        <v>0</v>
      </c>
      <c r="O289" t="n">
        <v>0</v>
      </c>
      <c r="P289" t="n">
        <v>0</v>
      </c>
      <c r="Q289" t="n">
        <v>0</v>
      </c>
      <c r="R289" s="2" t="inlineStr"/>
    </row>
    <row r="290" ht="15" customHeight="1">
      <c r="A290" t="inlineStr">
        <is>
          <t>A 52451-2025</t>
        </is>
      </c>
      <c r="B290" s="1" t="n">
        <v>45954.42326388889</v>
      </c>
      <c r="C290" s="1" t="n">
        <v>46131</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53393-2025</t>
        </is>
      </c>
      <c r="B291" s="1" t="n">
        <v>45959.55284722222</v>
      </c>
      <c r="C291" s="1" t="n">
        <v>46131</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53398-2025</t>
        </is>
      </c>
      <c r="B292" s="1" t="n">
        <v>45959.56247685185</v>
      </c>
      <c r="C292" s="1" t="n">
        <v>46131</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26207-2025</t>
        </is>
      </c>
      <c r="B293" s="1" t="n">
        <v>45805.52983796296</v>
      </c>
      <c r="C293" s="1" t="n">
        <v>46131</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34060-2025</t>
        </is>
      </c>
      <c r="B294" s="1" t="n">
        <v>45845.42015046296</v>
      </c>
      <c r="C294" s="1" t="n">
        <v>46131</v>
      </c>
      <c r="D294" t="inlineStr">
        <is>
          <t>KALMAR LÄN</t>
        </is>
      </c>
      <c r="E294" t="inlineStr">
        <is>
          <t>VIMMERBY</t>
        </is>
      </c>
      <c r="G294" t="n">
        <v>5.7</v>
      </c>
      <c r="H294" t="n">
        <v>0</v>
      </c>
      <c r="I294" t="n">
        <v>0</v>
      </c>
      <c r="J294" t="n">
        <v>0</v>
      </c>
      <c r="K294" t="n">
        <v>0</v>
      </c>
      <c r="L294" t="n">
        <v>0</v>
      </c>
      <c r="M294" t="n">
        <v>0</v>
      </c>
      <c r="N294" t="n">
        <v>0</v>
      </c>
      <c r="O294" t="n">
        <v>0</v>
      </c>
      <c r="P294" t="n">
        <v>0</v>
      </c>
      <c r="Q294" t="n">
        <v>0</v>
      </c>
      <c r="R294" s="2" t="inlineStr"/>
    </row>
    <row r="295" ht="15" customHeight="1">
      <c r="A295" t="inlineStr">
        <is>
          <t>A 6408-2025</t>
        </is>
      </c>
      <c r="B295" s="1" t="n">
        <v>45699.45671296296</v>
      </c>
      <c r="C295" s="1" t="n">
        <v>46131</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53397-2025</t>
        </is>
      </c>
      <c r="B296" s="1" t="n">
        <v>45959.55918981481</v>
      </c>
      <c r="C296" s="1" t="n">
        <v>46131</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11609-2023</t>
        </is>
      </c>
      <c r="B297" s="1" t="n">
        <v>44994.40635416667</v>
      </c>
      <c r="C297" s="1" t="n">
        <v>46131</v>
      </c>
      <c r="D297" t="inlineStr">
        <is>
          <t>KALMAR LÄN</t>
        </is>
      </c>
      <c r="E297" t="inlineStr">
        <is>
          <t>VIMMERBY</t>
        </is>
      </c>
      <c r="G297" t="n">
        <v>4.9</v>
      </c>
      <c r="H297" t="n">
        <v>0</v>
      </c>
      <c r="I297" t="n">
        <v>0</v>
      </c>
      <c r="J297" t="n">
        <v>0</v>
      </c>
      <c r="K297" t="n">
        <v>0</v>
      </c>
      <c r="L297" t="n">
        <v>0</v>
      </c>
      <c r="M297" t="n">
        <v>0</v>
      </c>
      <c r="N297" t="n">
        <v>0</v>
      </c>
      <c r="O297" t="n">
        <v>0</v>
      </c>
      <c r="P297" t="n">
        <v>0</v>
      </c>
      <c r="Q297" t="n">
        <v>0</v>
      </c>
      <c r="R297" s="2" t="inlineStr"/>
    </row>
    <row r="298" ht="15" customHeight="1">
      <c r="A298" t="inlineStr">
        <is>
          <t>A 44464-2024</t>
        </is>
      </c>
      <c r="B298" s="1" t="n">
        <v>45574.35809027778</v>
      </c>
      <c r="C298" s="1" t="n">
        <v>46131</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53416-2025</t>
        </is>
      </c>
      <c r="B299" s="1" t="n">
        <v>45959.58387731481</v>
      </c>
      <c r="C299" s="1" t="n">
        <v>46131</v>
      </c>
      <c r="D299" t="inlineStr">
        <is>
          <t>KALMAR LÄN</t>
        </is>
      </c>
      <c r="E299" t="inlineStr">
        <is>
          <t>VIMMERBY</t>
        </is>
      </c>
      <c r="G299" t="n">
        <v>4.4</v>
      </c>
      <c r="H299" t="n">
        <v>0</v>
      </c>
      <c r="I299" t="n">
        <v>0</v>
      </c>
      <c r="J299" t="n">
        <v>0</v>
      </c>
      <c r="K299" t="n">
        <v>0</v>
      </c>
      <c r="L299" t="n">
        <v>0</v>
      </c>
      <c r="M299" t="n">
        <v>0</v>
      </c>
      <c r="N299" t="n">
        <v>0</v>
      </c>
      <c r="O299" t="n">
        <v>0</v>
      </c>
      <c r="P299" t="n">
        <v>0</v>
      </c>
      <c r="Q299" t="n">
        <v>0</v>
      </c>
      <c r="R299" s="2" t="inlineStr"/>
    </row>
    <row r="300" ht="15" customHeight="1">
      <c r="A300" t="inlineStr">
        <is>
          <t>A 43617-2025</t>
        </is>
      </c>
      <c r="B300" s="1" t="n">
        <v>45911.67798611111</v>
      </c>
      <c r="C300" s="1" t="n">
        <v>46131</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41066-2024</t>
        </is>
      </c>
      <c r="B301" s="1" t="n">
        <v>45559.38876157408</v>
      </c>
      <c r="C301" s="1" t="n">
        <v>46131</v>
      </c>
      <c r="D301" t="inlineStr">
        <is>
          <t>KALMAR LÄN</t>
        </is>
      </c>
      <c r="E301" t="inlineStr">
        <is>
          <t>VIMMERBY</t>
        </is>
      </c>
      <c r="G301" t="n">
        <v>2.4</v>
      </c>
      <c r="H301" t="n">
        <v>0</v>
      </c>
      <c r="I301" t="n">
        <v>0</v>
      </c>
      <c r="J301" t="n">
        <v>0</v>
      </c>
      <c r="K301" t="n">
        <v>0</v>
      </c>
      <c r="L301" t="n">
        <v>0</v>
      </c>
      <c r="M301" t="n">
        <v>0</v>
      </c>
      <c r="N301" t="n">
        <v>0</v>
      </c>
      <c r="O301" t="n">
        <v>0</v>
      </c>
      <c r="P301" t="n">
        <v>0</v>
      </c>
      <c r="Q301" t="n">
        <v>0</v>
      </c>
      <c r="R301" s="2" t="inlineStr"/>
    </row>
    <row r="302" ht="15" customHeight="1">
      <c r="A302" t="inlineStr">
        <is>
          <t>A 43465-2025</t>
        </is>
      </c>
      <c r="B302" s="1" t="n">
        <v>45911.47138888889</v>
      </c>
      <c r="C302" s="1" t="n">
        <v>46131</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3816-2022</t>
        </is>
      </c>
      <c r="B303" s="1" t="n">
        <v>44587</v>
      </c>
      <c r="C303" s="1" t="n">
        <v>46131</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53413-2025</t>
        </is>
      </c>
      <c r="B304" s="1" t="n">
        <v>45959.5787037037</v>
      </c>
      <c r="C304" s="1" t="n">
        <v>46131</v>
      </c>
      <c r="D304" t="inlineStr">
        <is>
          <t>KALMAR LÄN</t>
        </is>
      </c>
      <c r="E304" t="inlineStr">
        <is>
          <t>VIMMERBY</t>
        </is>
      </c>
      <c r="G304" t="n">
        <v>4.3</v>
      </c>
      <c r="H304" t="n">
        <v>0</v>
      </c>
      <c r="I304" t="n">
        <v>0</v>
      </c>
      <c r="J304" t="n">
        <v>0</v>
      </c>
      <c r="K304" t="n">
        <v>0</v>
      </c>
      <c r="L304" t="n">
        <v>0</v>
      </c>
      <c r="M304" t="n">
        <v>0</v>
      </c>
      <c r="N304" t="n">
        <v>0</v>
      </c>
      <c r="O304" t="n">
        <v>0</v>
      </c>
      <c r="P304" t="n">
        <v>0</v>
      </c>
      <c r="Q304" t="n">
        <v>0</v>
      </c>
      <c r="R304" s="2" t="inlineStr"/>
    </row>
    <row r="305" ht="15" customHeight="1">
      <c r="A305" t="inlineStr">
        <is>
          <t>A 1081-2023</t>
        </is>
      </c>
      <c r="B305" s="1" t="n">
        <v>44935</v>
      </c>
      <c r="C305" s="1" t="n">
        <v>46131</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53396-2025</t>
        </is>
      </c>
      <c r="B306" s="1" t="n">
        <v>45959.55577546296</v>
      </c>
      <c r="C306" s="1" t="n">
        <v>46131</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53788-2025</t>
        </is>
      </c>
      <c r="B307" s="1" t="n">
        <v>45960</v>
      </c>
      <c r="C307" s="1" t="n">
        <v>46131</v>
      </c>
      <c r="D307" t="inlineStr">
        <is>
          <t>KALMAR LÄN</t>
        </is>
      </c>
      <c r="E307" t="inlineStr">
        <is>
          <t>VIMMERBY</t>
        </is>
      </c>
      <c r="F307" t="inlineStr">
        <is>
          <t>Övriga statliga verk och myndigheter</t>
        </is>
      </c>
      <c r="G307" t="n">
        <v>6.3</v>
      </c>
      <c r="H307" t="n">
        <v>0</v>
      </c>
      <c r="I307" t="n">
        <v>0</v>
      </c>
      <c r="J307" t="n">
        <v>0</v>
      </c>
      <c r="K307" t="n">
        <v>0</v>
      </c>
      <c r="L307" t="n">
        <v>0</v>
      </c>
      <c r="M307" t="n">
        <v>0</v>
      </c>
      <c r="N307" t="n">
        <v>0</v>
      </c>
      <c r="O307" t="n">
        <v>0</v>
      </c>
      <c r="P307" t="n">
        <v>0</v>
      </c>
      <c r="Q307" t="n">
        <v>0</v>
      </c>
      <c r="R307" s="2" t="inlineStr"/>
    </row>
    <row r="308" ht="15" customHeight="1">
      <c r="A308" t="inlineStr">
        <is>
          <t>A 53927-2025</t>
        </is>
      </c>
      <c r="B308" s="1" t="n">
        <v>45961.46740740741</v>
      </c>
      <c r="C308" s="1" t="n">
        <v>46131</v>
      </c>
      <c r="D308" t="inlineStr">
        <is>
          <t>KALMAR LÄN</t>
        </is>
      </c>
      <c r="E308" t="inlineStr">
        <is>
          <t>VIMMERBY</t>
        </is>
      </c>
      <c r="G308" t="n">
        <v>2.5</v>
      </c>
      <c r="H308" t="n">
        <v>0</v>
      </c>
      <c r="I308" t="n">
        <v>0</v>
      </c>
      <c r="J308" t="n">
        <v>0</v>
      </c>
      <c r="K308" t="n">
        <v>0</v>
      </c>
      <c r="L308" t="n">
        <v>0</v>
      </c>
      <c r="M308" t="n">
        <v>0</v>
      </c>
      <c r="N308" t="n">
        <v>0</v>
      </c>
      <c r="O308" t="n">
        <v>0</v>
      </c>
      <c r="P308" t="n">
        <v>0</v>
      </c>
      <c r="Q308" t="n">
        <v>0</v>
      </c>
      <c r="R308" s="2" t="inlineStr"/>
    </row>
    <row r="309" ht="15" customHeight="1">
      <c r="A309" t="inlineStr">
        <is>
          <t>A 53933-2025</t>
        </is>
      </c>
      <c r="B309" s="1" t="n">
        <v>45961.47650462963</v>
      </c>
      <c r="C309" s="1" t="n">
        <v>46131</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54236-2025</t>
        </is>
      </c>
      <c r="B310" s="1" t="n">
        <v>45964.62671296296</v>
      </c>
      <c r="C310" s="1" t="n">
        <v>46131</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44329-2025</t>
        </is>
      </c>
      <c r="B311" s="1" t="n">
        <v>45916.41019675926</v>
      </c>
      <c r="C311" s="1" t="n">
        <v>46131</v>
      </c>
      <c r="D311" t="inlineStr">
        <is>
          <t>KALMAR LÄN</t>
        </is>
      </c>
      <c r="E311" t="inlineStr">
        <is>
          <t>VIMMERBY</t>
        </is>
      </c>
      <c r="G311" t="n">
        <v>4.3</v>
      </c>
      <c r="H311" t="n">
        <v>0</v>
      </c>
      <c r="I311" t="n">
        <v>0</v>
      </c>
      <c r="J311" t="n">
        <v>0</v>
      </c>
      <c r="K311" t="n">
        <v>0</v>
      </c>
      <c r="L311" t="n">
        <v>0</v>
      </c>
      <c r="M311" t="n">
        <v>0</v>
      </c>
      <c r="N311" t="n">
        <v>0</v>
      </c>
      <c r="O311" t="n">
        <v>0</v>
      </c>
      <c r="P311" t="n">
        <v>0</v>
      </c>
      <c r="Q311" t="n">
        <v>0</v>
      </c>
      <c r="R311" s="2" t="inlineStr"/>
    </row>
    <row r="312" ht="15" customHeight="1">
      <c r="A312" t="inlineStr">
        <is>
          <t>A 53923-2025</t>
        </is>
      </c>
      <c r="B312" s="1" t="n">
        <v>45961.4569212963</v>
      </c>
      <c r="C312" s="1" t="n">
        <v>46131</v>
      </c>
      <c r="D312" t="inlineStr">
        <is>
          <t>KALMAR LÄN</t>
        </is>
      </c>
      <c r="E312" t="inlineStr">
        <is>
          <t>VIMMERBY</t>
        </is>
      </c>
      <c r="G312" t="n">
        <v>2.4</v>
      </c>
      <c r="H312" t="n">
        <v>0</v>
      </c>
      <c r="I312" t="n">
        <v>0</v>
      </c>
      <c r="J312" t="n">
        <v>0</v>
      </c>
      <c r="K312" t="n">
        <v>0</v>
      </c>
      <c r="L312" t="n">
        <v>0</v>
      </c>
      <c r="M312" t="n">
        <v>0</v>
      </c>
      <c r="N312" t="n">
        <v>0</v>
      </c>
      <c r="O312" t="n">
        <v>0</v>
      </c>
      <c r="P312" t="n">
        <v>0</v>
      </c>
      <c r="Q312" t="n">
        <v>0</v>
      </c>
      <c r="R312" s="2" t="inlineStr"/>
    </row>
    <row r="313" ht="15" customHeight="1">
      <c r="A313" t="inlineStr">
        <is>
          <t>A 53920-2025</t>
        </is>
      </c>
      <c r="B313" s="1" t="n">
        <v>45961.44951388889</v>
      </c>
      <c r="C313" s="1" t="n">
        <v>46131</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54234-2025</t>
        </is>
      </c>
      <c r="B314" s="1" t="n">
        <v>45964.62486111111</v>
      </c>
      <c r="C314" s="1" t="n">
        <v>46131</v>
      </c>
      <c r="D314" t="inlineStr">
        <is>
          <t>KALMAR LÄN</t>
        </is>
      </c>
      <c r="E314" t="inlineStr">
        <is>
          <t>VIMMERBY</t>
        </is>
      </c>
      <c r="G314" t="n">
        <v>4.1</v>
      </c>
      <c r="H314" t="n">
        <v>0</v>
      </c>
      <c r="I314" t="n">
        <v>0</v>
      </c>
      <c r="J314" t="n">
        <v>0</v>
      </c>
      <c r="K314" t="n">
        <v>0</v>
      </c>
      <c r="L314" t="n">
        <v>0</v>
      </c>
      <c r="M314" t="n">
        <v>0</v>
      </c>
      <c r="N314" t="n">
        <v>0</v>
      </c>
      <c r="O314" t="n">
        <v>0</v>
      </c>
      <c r="P314" t="n">
        <v>0</v>
      </c>
      <c r="Q314" t="n">
        <v>0</v>
      </c>
      <c r="R314" s="2" t="inlineStr"/>
    </row>
    <row r="315" ht="15" customHeight="1">
      <c r="A315" t="inlineStr">
        <is>
          <t>A 7047-2022</t>
        </is>
      </c>
      <c r="B315" s="1" t="n">
        <v>44603</v>
      </c>
      <c r="C315" s="1" t="n">
        <v>46131</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12499-2023</t>
        </is>
      </c>
      <c r="B316" s="1" t="n">
        <v>44999.86172453704</v>
      </c>
      <c r="C316" s="1" t="n">
        <v>46131</v>
      </c>
      <c r="D316" t="inlineStr">
        <is>
          <t>KALMAR LÄN</t>
        </is>
      </c>
      <c r="E316" t="inlineStr">
        <is>
          <t>VIMMERBY</t>
        </is>
      </c>
      <c r="G316" t="n">
        <v>0.8</v>
      </c>
      <c r="H316" t="n">
        <v>0</v>
      </c>
      <c r="I316" t="n">
        <v>0</v>
      </c>
      <c r="J316" t="n">
        <v>0</v>
      </c>
      <c r="K316" t="n">
        <v>0</v>
      </c>
      <c r="L316" t="n">
        <v>0</v>
      </c>
      <c r="M316" t="n">
        <v>0</v>
      </c>
      <c r="N316" t="n">
        <v>0</v>
      </c>
      <c r="O316" t="n">
        <v>0</v>
      </c>
      <c r="P316" t="n">
        <v>0</v>
      </c>
      <c r="Q316" t="n">
        <v>0</v>
      </c>
      <c r="R316" s="2" t="inlineStr"/>
    </row>
    <row r="317" ht="15" customHeight="1">
      <c r="A317" t="inlineStr">
        <is>
          <t>A 12500-2023</t>
        </is>
      </c>
      <c r="B317" s="1" t="n">
        <v>44999.8625</v>
      </c>
      <c r="C317" s="1" t="n">
        <v>46131</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53789-2025</t>
        </is>
      </c>
      <c r="B318" s="1" t="n">
        <v>45960</v>
      </c>
      <c r="C318" s="1" t="n">
        <v>46131</v>
      </c>
      <c r="D318" t="inlineStr">
        <is>
          <t>KALMAR LÄN</t>
        </is>
      </c>
      <c r="E318" t="inlineStr">
        <is>
          <t>VIMMERBY</t>
        </is>
      </c>
      <c r="F318" t="inlineStr">
        <is>
          <t>Övriga statliga verk och myndigheter</t>
        </is>
      </c>
      <c r="G318" t="n">
        <v>1.6</v>
      </c>
      <c r="H318" t="n">
        <v>0</v>
      </c>
      <c r="I318" t="n">
        <v>0</v>
      </c>
      <c r="J318" t="n">
        <v>0</v>
      </c>
      <c r="K318" t="n">
        <v>0</v>
      </c>
      <c r="L318" t="n">
        <v>0</v>
      </c>
      <c r="M318" t="n">
        <v>0</v>
      </c>
      <c r="N318" t="n">
        <v>0</v>
      </c>
      <c r="O318" t="n">
        <v>0</v>
      </c>
      <c r="P318" t="n">
        <v>0</v>
      </c>
      <c r="Q318" t="n">
        <v>0</v>
      </c>
      <c r="R318" s="2" t="inlineStr"/>
    </row>
    <row r="319" ht="15" customHeight="1">
      <c r="A319" t="inlineStr">
        <is>
          <t>A 53903-2025</t>
        </is>
      </c>
      <c r="B319" s="1" t="n">
        <v>45961.43738425926</v>
      </c>
      <c r="C319" s="1" t="n">
        <v>46131</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6066-2023</t>
        </is>
      </c>
      <c r="B320" s="1" t="n">
        <v>44964.50894675926</v>
      </c>
      <c r="C320" s="1" t="n">
        <v>46131</v>
      </c>
      <c r="D320" t="inlineStr">
        <is>
          <t>KALMAR LÄN</t>
        </is>
      </c>
      <c r="E320" t="inlineStr">
        <is>
          <t>VIMMERBY</t>
        </is>
      </c>
      <c r="G320" t="n">
        <v>2.8</v>
      </c>
      <c r="H320" t="n">
        <v>0</v>
      </c>
      <c r="I320" t="n">
        <v>0</v>
      </c>
      <c r="J320" t="n">
        <v>0</v>
      </c>
      <c r="K320" t="n">
        <v>0</v>
      </c>
      <c r="L320" t="n">
        <v>0</v>
      </c>
      <c r="M320" t="n">
        <v>0</v>
      </c>
      <c r="N320" t="n">
        <v>0</v>
      </c>
      <c r="O320" t="n">
        <v>0</v>
      </c>
      <c r="P320" t="n">
        <v>0</v>
      </c>
      <c r="Q320" t="n">
        <v>0</v>
      </c>
      <c r="R320" s="2" t="inlineStr"/>
    </row>
    <row r="321" ht="15" customHeight="1">
      <c r="A321" t="inlineStr">
        <is>
          <t>A 54737-2025</t>
        </is>
      </c>
      <c r="B321" s="1" t="n">
        <v>45966.56826388889</v>
      </c>
      <c r="C321" s="1" t="n">
        <v>46131</v>
      </c>
      <c r="D321" t="inlineStr">
        <is>
          <t>KALMAR LÄN</t>
        </is>
      </c>
      <c r="E321" t="inlineStr">
        <is>
          <t>VIMMERBY</t>
        </is>
      </c>
      <c r="G321" t="n">
        <v>2.1</v>
      </c>
      <c r="H321" t="n">
        <v>0</v>
      </c>
      <c r="I321" t="n">
        <v>0</v>
      </c>
      <c r="J321" t="n">
        <v>0</v>
      </c>
      <c r="K321" t="n">
        <v>0</v>
      </c>
      <c r="L321" t="n">
        <v>0</v>
      </c>
      <c r="M321" t="n">
        <v>0</v>
      </c>
      <c r="N321" t="n">
        <v>0</v>
      </c>
      <c r="O321" t="n">
        <v>0</v>
      </c>
      <c r="P321" t="n">
        <v>0</v>
      </c>
      <c r="Q321" t="n">
        <v>0</v>
      </c>
      <c r="R321" s="2" t="inlineStr"/>
    </row>
    <row r="322" ht="15" customHeight="1">
      <c r="A322" t="inlineStr">
        <is>
          <t>A 33103-2024</t>
        </is>
      </c>
      <c r="B322" s="1" t="n">
        <v>45517.8162037037</v>
      </c>
      <c r="C322" s="1" t="n">
        <v>46131</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33161-2024</t>
        </is>
      </c>
      <c r="B323" s="1" t="n">
        <v>45518.40657407408</v>
      </c>
      <c r="C323" s="1" t="n">
        <v>46131</v>
      </c>
      <c r="D323" t="inlineStr">
        <is>
          <t>KALMAR LÄN</t>
        </is>
      </c>
      <c r="E323" t="inlineStr">
        <is>
          <t>VIMMERBY</t>
        </is>
      </c>
      <c r="G323" t="n">
        <v>4.7</v>
      </c>
      <c r="H323" t="n">
        <v>0</v>
      </c>
      <c r="I323" t="n">
        <v>0</v>
      </c>
      <c r="J323" t="n">
        <v>0</v>
      </c>
      <c r="K323" t="n">
        <v>0</v>
      </c>
      <c r="L323" t="n">
        <v>0</v>
      </c>
      <c r="M323" t="n">
        <v>0</v>
      </c>
      <c r="N323" t="n">
        <v>0</v>
      </c>
      <c r="O323" t="n">
        <v>0</v>
      </c>
      <c r="P323" t="n">
        <v>0</v>
      </c>
      <c r="Q323" t="n">
        <v>0</v>
      </c>
      <c r="R323" s="2" t="inlineStr"/>
    </row>
    <row r="324" ht="15" customHeight="1">
      <c r="A324" t="inlineStr">
        <is>
          <t>A 12510-2022</t>
        </is>
      </c>
      <c r="B324" s="1" t="n">
        <v>44638.55256944444</v>
      </c>
      <c r="C324" s="1" t="n">
        <v>46131</v>
      </c>
      <c r="D324" t="inlineStr">
        <is>
          <t>KALMAR LÄN</t>
        </is>
      </c>
      <c r="E324" t="inlineStr">
        <is>
          <t>VIMMERBY</t>
        </is>
      </c>
      <c r="G324" t="n">
        <v>2.4</v>
      </c>
      <c r="H324" t="n">
        <v>0</v>
      </c>
      <c r="I324" t="n">
        <v>0</v>
      </c>
      <c r="J324" t="n">
        <v>0</v>
      </c>
      <c r="K324" t="n">
        <v>0</v>
      </c>
      <c r="L324" t="n">
        <v>0</v>
      </c>
      <c r="M324" t="n">
        <v>0</v>
      </c>
      <c r="N324" t="n">
        <v>0</v>
      </c>
      <c r="O324" t="n">
        <v>0</v>
      </c>
      <c r="P324" t="n">
        <v>0</v>
      </c>
      <c r="Q324" t="n">
        <v>0</v>
      </c>
      <c r="R324" s="2" t="inlineStr"/>
    </row>
    <row r="325" ht="15" customHeight="1">
      <c r="A325" t="inlineStr">
        <is>
          <t>A 44517-2025</t>
        </is>
      </c>
      <c r="B325" s="1" t="n">
        <v>45916.7103587963</v>
      </c>
      <c r="C325" s="1" t="n">
        <v>46131</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44091-2025</t>
        </is>
      </c>
      <c r="B326" s="1" t="n">
        <v>45915.55950231481</v>
      </c>
      <c r="C326" s="1" t="n">
        <v>46131</v>
      </c>
      <c r="D326" t="inlineStr">
        <is>
          <t>KALMAR LÄN</t>
        </is>
      </c>
      <c r="E326" t="inlineStr">
        <is>
          <t>VIMMERBY</t>
        </is>
      </c>
      <c r="G326" t="n">
        <v>0.8</v>
      </c>
      <c r="H326" t="n">
        <v>0</v>
      </c>
      <c r="I326" t="n">
        <v>0</v>
      </c>
      <c r="J326" t="n">
        <v>0</v>
      </c>
      <c r="K326" t="n">
        <v>0</v>
      </c>
      <c r="L326" t="n">
        <v>0</v>
      </c>
      <c r="M326" t="n">
        <v>0</v>
      </c>
      <c r="N326" t="n">
        <v>0</v>
      </c>
      <c r="O326" t="n">
        <v>0</v>
      </c>
      <c r="P326" t="n">
        <v>0</v>
      </c>
      <c r="Q326" t="n">
        <v>0</v>
      </c>
      <c r="R326" s="2" t="inlineStr"/>
    </row>
    <row r="327" ht="15" customHeight="1">
      <c r="A327" t="inlineStr">
        <is>
          <t>A 54813-2025</t>
        </is>
      </c>
      <c r="B327" s="1" t="n">
        <v>45966.64881944445</v>
      </c>
      <c r="C327" s="1" t="n">
        <v>46131</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44095-2025</t>
        </is>
      </c>
      <c r="B328" s="1" t="n">
        <v>45915.56430555556</v>
      </c>
      <c r="C328" s="1" t="n">
        <v>46131</v>
      </c>
      <c r="D328" t="inlineStr">
        <is>
          <t>KALMAR LÄN</t>
        </is>
      </c>
      <c r="E328" t="inlineStr">
        <is>
          <t>VIMMERBY</t>
        </is>
      </c>
      <c r="G328" t="n">
        <v>2.4</v>
      </c>
      <c r="H328" t="n">
        <v>0</v>
      </c>
      <c r="I328" t="n">
        <v>0</v>
      </c>
      <c r="J328" t="n">
        <v>0</v>
      </c>
      <c r="K328" t="n">
        <v>0</v>
      </c>
      <c r="L328" t="n">
        <v>0</v>
      </c>
      <c r="M328" t="n">
        <v>0</v>
      </c>
      <c r="N328" t="n">
        <v>0</v>
      </c>
      <c r="O328" t="n">
        <v>0</v>
      </c>
      <c r="P328" t="n">
        <v>0</v>
      </c>
      <c r="Q328" t="n">
        <v>0</v>
      </c>
      <c r="R328" s="2" t="inlineStr"/>
    </row>
    <row r="329" ht="15" customHeight="1">
      <c r="A329" t="inlineStr">
        <is>
          <t>A 1146-2025</t>
        </is>
      </c>
      <c r="B329" s="1" t="n">
        <v>45666</v>
      </c>
      <c r="C329" s="1" t="n">
        <v>46131</v>
      </c>
      <c r="D329" t="inlineStr">
        <is>
          <t>KALMAR LÄN</t>
        </is>
      </c>
      <c r="E329" t="inlineStr">
        <is>
          <t>VIMMERBY</t>
        </is>
      </c>
      <c r="G329" t="n">
        <v>4</v>
      </c>
      <c r="H329" t="n">
        <v>0</v>
      </c>
      <c r="I329" t="n">
        <v>0</v>
      </c>
      <c r="J329" t="n">
        <v>0</v>
      </c>
      <c r="K329" t="n">
        <v>0</v>
      </c>
      <c r="L329" t="n">
        <v>0</v>
      </c>
      <c r="M329" t="n">
        <v>0</v>
      </c>
      <c r="N329" t="n">
        <v>0</v>
      </c>
      <c r="O329" t="n">
        <v>0</v>
      </c>
      <c r="P329" t="n">
        <v>0</v>
      </c>
      <c r="Q329" t="n">
        <v>0</v>
      </c>
      <c r="R329" s="2" t="inlineStr"/>
    </row>
    <row r="330" ht="15" customHeight="1">
      <c r="A330" t="inlineStr">
        <is>
          <t>A 44742-2025</t>
        </is>
      </c>
      <c r="B330" s="1" t="n">
        <v>45917.67054398148</v>
      </c>
      <c r="C330" s="1" t="n">
        <v>46131</v>
      </c>
      <c r="D330" t="inlineStr">
        <is>
          <t>KALMAR LÄN</t>
        </is>
      </c>
      <c r="E330" t="inlineStr">
        <is>
          <t>VIMMERBY</t>
        </is>
      </c>
      <c r="G330" t="n">
        <v>4.7</v>
      </c>
      <c r="H330" t="n">
        <v>0</v>
      </c>
      <c r="I330" t="n">
        <v>0</v>
      </c>
      <c r="J330" t="n">
        <v>0</v>
      </c>
      <c r="K330" t="n">
        <v>0</v>
      </c>
      <c r="L330" t="n">
        <v>0</v>
      </c>
      <c r="M330" t="n">
        <v>0</v>
      </c>
      <c r="N330" t="n">
        <v>0</v>
      </c>
      <c r="O330" t="n">
        <v>0</v>
      </c>
      <c r="P330" t="n">
        <v>0</v>
      </c>
      <c r="Q330" t="n">
        <v>0</v>
      </c>
      <c r="R330" s="2" t="inlineStr"/>
    </row>
    <row r="331" ht="15" customHeight="1">
      <c r="A331" t="inlineStr">
        <is>
          <t>A 41896-2025</t>
        </is>
      </c>
      <c r="B331" s="1" t="n">
        <v>45903.38800925926</v>
      </c>
      <c r="C331" s="1" t="n">
        <v>46131</v>
      </c>
      <c r="D331" t="inlineStr">
        <is>
          <t>KALMAR LÄN</t>
        </is>
      </c>
      <c r="E331" t="inlineStr">
        <is>
          <t>VIMMERBY</t>
        </is>
      </c>
      <c r="G331" t="n">
        <v>2.9</v>
      </c>
      <c r="H331" t="n">
        <v>0</v>
      </c>
      <c r="I331" t="n">
        <v>0</v>
      </c>
      <c r="J331" t="n">
        <v>0</v>
      </c>
      <c r="K331" t="n">
        <v>0</v>
      </c>
      <c r="L331" t="n">
        <v>0</v>
      </c>
      <c r="M331" t="n">
        <v>0</v>
      </c>
      <c r="N331" t="n">
        <v>0</v>
      </c>
      <c r="O331" t="n">
        <v>0</v>
      </c>
      <c r="P331" t="n">
        <v>0</v>
      </c>
      <c r="Q331" t="n">
        <v>0</v>
      </c>
      <c r="R331" s="2" t="inlineStr"/>
    </row>
    <row r="332" ht="15" customHeight="1">
      <c r="A332" t="inlineStr">
        <is>
          <t>A 55385-2025</t>
        </is>
      </c>
      <c r="B332" s="1" t="n">
        <v>45971.43350694444</v>
      </c>
      <c r="C332" s="1" t="n">
        <v>46131</v>
      </c>
      <c r="D332" t="inlineStr">
        <is>
          <t>KALMAR LÄN</t>
        </is>
      </c>
      <c r="E332" t="inlineStr">
        <is>
          <t>VIMMERBY</t>
        </is>
      </c>
      <c r="G332" t="n">
        <v>5</v>
      </c>
      <c r="H332" t="n">
        <v>0</v>
      </c>
      <c r="I332" t="n">
        <v>0</v>
      </c>
      <c r="J332" t="n">
        <v>0</v>
      </c>
      <c r="K332" t="n">
        <v>0</v>
      </c>
      <c r="L332" t="n">
        <v>0</v>
      </c>
      <c r="M332" t="n">
        <v>0</v>
      </c>
      <c r="N332" t="n">
        <v>0</v>
      </c>
      <c r="O332" t="n">
        <v>0</v>
      </c>
      <c r="P332" t="n">
        <v>0</v>
      </c>
      <c r="Q332" t="n">
        <v>0</v>
      </c>
      <c r="R332" s="2" t="inlineStr"/>
    </row>
    <row r="333" ht="15" customHeight="1">
      <c r="A333" t="inlineStr">
        <is>
          <t>A 12890-2023</t>
        </is>
      </c>
      <c r="B333" s="1" t="n">
        <v>45001.59209490741</v>
      </c>
      <c r="C333" s="1" t="n">
        <v>46131</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3902-2022</t>
        </is>
      </c>
      <c r="B334" s="1" t="n">
        <v>44587.48847222222</v>
      </c>
      <c r="C334" s="1" t="n">
        <v>46131</v>
      </c>
      <c r="D334" t="inlineStr">
        <is>
          <t>KALMAR LÄN</t>
        </is>
      </c>
      <c r="E334" t="inlineStr">
        <is>
          <t>VIMMERBY</t>
        </is>
      </c>
      <c r="G334" t="n">
        <v>2.6</v>
      </c>
      <c r="H334" t="n">
        <v>0</v>
      </c>
      <c r="I334" t="n">
        <v>0</v>
      </c>
      <c r="J334" t="n">
        <v>0</v>
      </c>
      <c r="K334" t="n">
        <v>0</v>
      </c>
      <c r="L334" t="n">
        <v>0</v>
      </c>
      <c r="M334" t="n">
        <v>0</v>
      </c>
      <c r="N334" t="n">
        <v>0</v>
      </c>
      <c r="O334" t="n">
        <v>0</v>
      </c>
      <c r="P334" t="n">
        <v>0</v>
      </c>
      <c r="Q334" t="n">
        <v>0</v>
      </c>
      <c r="R334" s="2" t="inlineStr"/>
    </row>
    <row r="335" ht="15" customHeight="1">
      <c r="A335" t="inlineStr">
        <is>
          <t>A 89-2023</t>
        </is>
      </c>
      <c r="B335" s="1" t="n">
        <v>44918</v>
      </c>
      <c r="C335" s="1" t="n">
        <v>46131</v>
      </c>
      <c r="D335" t="inlineStr">
        <is>
          <t>KALMAR LÄN</t>
        </is>
      </c>
      <c r="E335" t="inlineStr">
        <is>
          <t>VIMMERBY</t>
        </is>
      </c>
      <c r="G335" t="n">
        <v>16.1</v>
      </c>
      <c r="H335" t="n">
        <v>0</v>
      </c>
      <c r="I335" t="n">
        <v>0</v>
      </c>
      <c r="J335" t="n">
        <v>0</v>
      </c>
      <c r="K335" t="n">
        <v>0</v>
      </c>
      <c r="L335" t="n">
        <v>0</v>
      </c>
      <c r="M335" t="n">
        <v>0</v>
      </c>
      <c r="N335" t="n">
        <v>0</v>
      </c>
      <c r="O335" t="n">
        <v>0</v>
      </c>
      <c r="P335" t="n">
        <v>0</v>
      </c>
      <c r="Q335" t="n">
        <v>0</v>
      </c>
      <c r="R335" s="2" t="inlineStr"/>
    </row>
    <row r="336" ht="15" customHeight="1">
      <c r="A336" t="inlineStr">
        <is>
          <t>A 5382-2023</t>
        </is>
      </c>
      <c r="B336" s="1" t="n">
        <v>44959.66407407408</v>
      </c>
      <c r="C336" s="1" t="n">
        <v>46131</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45319-2025</t>
        </is>
      </c>
      <c r="B337" s="1" t="n">
        <v>45921.95611111111</v>
      </c>
      <c r="C337" s="1" t="n">
        <v>46131</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45320-2025</t>
        </is>
      </c>
      <c r="B338" s="1" t="n">
        <v>45921.96395833333</v>
      </c>
      <c r="C338" s="1" t="n">
        <v>46131</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6668-2023</t>
        </is>
      </c>
      <c r="B339" s="1" t="n">
        <v>44966</v>
      </c>
      <c r="C339" s="1" t="n">
        <v>46131</v>
      </c>
      <c r="D339" t="inlineStr">
        <is>
          <t>KALMAR LÄN</t>
        </is>
      </c>
      <c r="E339" t="inlineStr">
        <is>
          <t>VIMMERBY</t>
        </is>
      </c>
      <c r="G339" t="n">
        <v>0.9</v>
      </c>
      <c r="H339" t="n">
        <v>0</v>
      </c>
      <c r="I339" t="n">
        <v>0</v>
      </c>
      <c r="J339" t="n">
        <v>0</v>
      </c>
      <c r="K339" t="n">
        <v>0</v>
      </c>
      <c r="L339" t="n">
        <v>0</v>
      </c>
      <c r="M339" t="n">
        <v>0</v>
      </c>
      <c r="N339" t="n">
        <v>0</v>
      </c>
      <c r="O339" t="n">
        <v>0</v>
      </c>
      <c r="P339" t="n">
        <v>0</v>
      </c>
      <c r="Q339" t="n">
        <v>0</v>
      </c>
      <c r="R339" s="2" t="inlineStr"/>
    </row>
    <row r="340" ht="15" customHeight="1">
      <c r="A340" t="inlineStr">
        <is>
          <t>A 172-2022</t>
        </is>
      </c>
      <c r="B340" s="1" t="n">
        <v>44564.62598379629</v>
      </c>
      <c r="C340" s="1" t="n">
        <v>46131</v>
      </c>
      <c r="D340" t="inlineStr">
        <is>
          <t>KALMAR LÄN</t>
        </is>
      </c>
      <c r="E340" t="inlineStr">
        <is>
          <t>VIMMERBY</t>
        </is>
      </c>
      <c r="G340" t="n">
        <v>2.1</v>
      </c>
      <c r="H340" t="n">
        <v>0</v>
      </c>
      <c r="I340" t="n">
        <v>0</v>
      </c>
      <c r="J340" t="n">
        <v>0</v>
      </c>
      <c r="K340" t="n">
        <v>0</v>
      </c>
      <c r="L340" t="n">
        <v>0</v>
      </c>
      <c r="M340" t="n">
        <v>0</v>
      </c>
      <c r="N340" t="n">
        <v>0</v>
      </c>
      <c r="O340" t="n">
        <v>0</v>
      </c>
      <c r="P340" t="n">
        <v>0</v>
      </c>
      <c r="Q340" t="n">
        <v>0</v>
      </c>
      <c r="R340" s="2" t="inlineStr"/>
    </row>
    <row r="341" ht="15" customHeight="1">
      <c r="A341" t="inlineStr">
        <is>
          <t>A 28290-2025</t>
        </is>
      </c>
      <c r="B341" s="1" t="n">
        <v>45818.59261574074</v>
      </c>
      <c r="C341" s="1" t="n">
        <v>46131</v>
      </c>
      <c r="D341" t="inlineStr">
        <is>
          <t>KALMAR LÄN</t>
        </is>
      </c>
      <c r="E341" t="inlineStr">
        <is>
          <t>VIMMERBY</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28280-2025</t>
        </is>
      </c>
      <c r="B342" s="1" t="n">
        <v>45818.5862037037</v>
      </c>
      <c r="C342" s="1" t="n">
        <v>46131</v>
      </c>
      <c r="D342" t="inlineStr">
        <is>
          <t>KALMAR LÄN</t>
        </is>
      </c>
      <c r="E342" t="inlineStr">
        <is>
          <t>VIMMERBY</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28286-2025</t>
        </is>
      </c>
      <c r="B343" s="1" t="n">
        <v>45818.58993055556</v>
      </c>
      <c r="C343" s="1" t="n">
        <v>46131</v>
      </c>
      <c r="D343" t="inlineStr">
        <is>
          <t>KALMAR LÄN</t>
        </is>
      </c>
      <c r="E343" t="inlineStr">
        <is>
          <t>VIMMERBY</t>
        </is>
      </c>
      <c r="F343" t="inlineStr">
        <is>
          <t>Sveaskog</t>
        </is>
      </c>
      <c r="G343" t="n">
        <v>8</v>
      </c>
      <c r="H343" t="n">
        <v>0</v>
      </c>
      <c r="I343" t="n">
        <v>0</v>
      </c>
      <c r="J343" t="n">
        <v>0</v>
      </c>
      <c r="K343" t="n">
        <v>0</v>
      </c>
      <c r="L343" t="n">
        <v>0</v>
      </c>
      <c r="M343" t="n">
        <v>0</v>
      </c>
      <c r="N343" t="n">
        <v>0</v>
      </c>
      <c r="O343" t="n">
        <v>0</v>
      </c>
      <c r="P343" t="n">
        <v>0</v>
      </c>
      <c r="Q343" t="n">
        <v>0</v>
      </c>
      <c r="R343" s="2" t="inlineStr"/>
    </row>
    <row r="344" ht="15" customHeight="1">
      <c r="A344" t="inlineStr">
        <is>
          <t>A 45114-2025</t>
        </is>
      </c>
      <c r="B344" s="1" t="n">
        <v>45919.42387731482</v>
      </c>
      <c r="C344" s="1" t="n">
        <v>46131</v>
      </c>
      <c r="D344" t="inlineStr">
        <is>
          <t>KALMAR LÄN</t>
        </is>
      </c>
      <c r="E344" t="inlineStr">
        <is>
          <t>VIMMERBY</t>
        </is>
      </c>
      <c r="G344" t="n">
        <v>2.7</v>
      </c>
      <c r="H344" t="n">
        <v>0</v>
      </c>
      <c r="I344" t="n">
        <v>0</v>
      </c>
      <c r="J344" t="n">
        <v>0</v>
      </c>
      <c r="K344" t="n">
        <v>0</v>
      </c>
      <c r="L344" t="n">
        <v>0</v>
      </c>
      <c r="M344" t="n">
        <v>0</v>
      </c>
      <c r="N344" t="n">
        <v>0</v>
      </c>
      <c r="O344" t="n">
        <v>0</v>
      </c>
      <c r="P344" t="n">
        <v>0</v>
      </c>
      <c r="Q344" t="n">
        <v>0</v>
      </c>
      <c r="R344" s="2" t="inlineStr"/>
    </row>
    <row r="345" ht="15" customHeight="1">
      <c r="A345" t="inlineStr">
        <is>
          <t>A 30634-2024</t>
        </is>
      </c>
      <c r="B345" s="1" t="n">
        <v>45495</v>
      </c>
      <c r="C345" s="1" t="n">
        <v>46131</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6355-2022</t>
        </is>
      </c>
      <c r="B346" s="1" t="n">
        <v>44600</v>
      </c>
      <c r="C346" s="1" t="n">
        <v>46131</v>
      </c>
      <c r="D346" t="inlineStr">
        <is>
          <t>KALMAR LÄN</t>
        </is>
      </c>
      <c r="E346" t="inlineStr">
        <is>
          <t>VIMMERBY</t>
        </is>
      </c>
      <c r="G346" t="n">
        <v>4.9</v>
      </c>
      <c r="H346" t="n">
        <v>0</v>
      </c>
      <c r="I346" t="n">
        <v>0</v>
      </c>
      <c r="J346" t="n">
        <v>0</v>
      </c>
      <c r="K346" t="n">
        <v>0</v>
      </c>
      <c r="L346" t="n">
        <v>0</v>
      </c>
      <c r="M346" t="n">
        <v>0</v>
      </c>
      <c r="N346" t="n">
        <v>0</v>
      </c>
      <c r="O346" t="n">
        <v>0</v>
      </c>
      <c r="P346" t="n">
        <v>0</v>
      </c>
      <c r="Q346" t="n">
        <v>0</v>
      </c>
      <c r="R346" s="2" t="inlineStr"/>
    </row>
    <row r="347" ht="15" customHeight="1">
      <c r="A347" t="inlineStr">
        <is>
          <t>A 16020-2023</t>
        </is>
      </c>
      <c r="B347" s="1" t="n">
        <v>45026.82216435186</v>
      </c>
      <c r="C347" s="1" t="n">
        <v>46131</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46118-2025</t>
        </is>
      </c>
      <c r="B348" s="1" t="n">
        <v>45924.57697916667</v>
      </c>
      <c r="C348" s="1" t="n">
        <v>46131</v>
      </c>
      <c r="D348" t="inlineStr">
        <is>
          <t>KALMAR LÄN</t>
        </is>
      </c>
      <c r="E348" t="inlineStr">
        <is>
          <t>VIMMERBY</t>
        </is>
      </c>
      <c r="G348" t="n">
        <v>2.9</v>
      </c>
      <c r="H348" t="n">
        <v>0</v>
      </c>
      <c r="I348" t="n">
        <v>0</v>
      </c>
      <c r="J348" t="n">
        <v>0</v>
      </c>
      <c r="K348" t="n">
        <v>0</v>
      </c>
      <c r="L348" t="n">
        <v>0</v>
      </c>
      <c r="M348" t="n">
        <v>0</v>
      </c>
      <c r="N348" t="n">
        <v>0</v>
      </c>
      <c r="O348" t="n">
        <v>0</v>
      </c>
      <c r="P348" t="n">
        <v>0</v>
      </c>
      <c r="Q348" t="n">
        <v>0</v>
      </c>
      <c r="R348" s="2" t="inlineStr"/>
    </row>
    <row r="349" ht="15" customHeight="1">
      <c r="A349" t="inlineStr">
        <is>
          <t>A 60292-2022</t>
        </is>
      </c>
      <c r="B349" s="1" t="n">
        <v>44910.54231481482</v>
      </c>
      <c r="C349" s="1" t="n">
        <v>46131</v>
      </c>
      <c r="D349" t="inlineStr">
        <is>
          <t>KALMAR LÄN</t>
        </is>
      </c>
      <c r="E349" t="inlineStr">
        <is>
          <t>VIMMERBY</t>
        </is>
      </c>
      <c r="G349" t="n">
        <v>4.4</v>
      </c>
      <c r="H349" t="n">
        <v>0</v>
      </c>
      <c r="I349" t="n">
        <v>0</v>
      </c>
      <c r="J349" t="n">
        <v>0</v>
      </c>
      <c r="K349" t="n">
        <v>0</v>
      </c>
      <c r="L349" t="n">
        <v>0</v>
      </c>
      <c r="M349" t="n">
        <v>0</v>
      </c>
      <c r="N349" t="n">
        <v>0</v>
      </c>
      <c r="O349" t="n">
        <v>0</v>
      </c>
      <c r="P349" t="n">
        <v>0</v>
      </c>
      <c r="Q349" t="n">
        <v>0</v>
      </c>
      <c r="R349" s="2" t="inlineStr"/>
    </row>
    <row r="350" ht="15" customHeight="1">
      <c r="A350" t="inlineStr">
        <is>
          <t>A 28282-2025</t>
        </is>
      </c>
      <c r="B350" s="1" t="n">
        <v>45818.58769675926</v>
      </c>
      <c r="C350" s="1" t="n">
        <v>46131</v>
      </c>
      <c r="D350" t="inlineStr">
        <is>
          <t>KALMAR LÄN</t>
        </is>
      </c>
      <c r="E350" t="inlineStr">
        <is>
          <t>VIMMERBY</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28294-2025</t>
        </is>
      </c>
      <c r="B351" s="1" t="n">
        <v>45818.595625</v>
      </c>
      <c r="C351" s="1" t="n">
        <v>46131</v>
      </c>
      <c r="D351" t="inlineStr">
        <is>
          <t>KALMAR LÄN</t>
        </is>
      </c>
      <c r="E351" t="inlineStr">
        <is>
          <t>VIMMERBY</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43034-2024</t>
        </is>
      </c>
      <c r="B352" s="1" t="n">
        <v>45567.42011574074</v>
      </c>
      <c r="C352" s="1" t="n">
        <v>46131</v>
      </c>
      <c r="D352" t="inlineStr">
        <is>
          <t>KALMAR LÄN</t>
        </is>
      </c>
      <c r="E352" t="inlineStr">
        <is>
          <t>VIMMERBY</t>
        </is>
      </c>
      <c r="G352" t="n">
        <v>1.8</v>
      </c>
      <c r="H352" t="n">
        <v>0</v>
      </c>
      <c r="I352" t="n">
        <v>0</v>
      </c>
      <c r="J352" t="n">
        <v>0</v>
      </c>
      <c r="K352" t="n">
        <v>0</v>
      </c>
      <c r="L352" t="n">
        <v>0</v>
      </c>
      <c r="M352" t="n">
        <v>0</v>
      </c>
      <c r="N352" t="n">
        <v>0</v>
      </c>
      <c r="O352" t="n">
        <v>0</v>
      </c>
      <c r="P352" t="n">
        <v>0</v>
      </c>
      <c r="Q352" t="n">
        <v>0</v>
      </c>
      <c r="R352" s="2" t="inlineStr"/>
    </row>
    <row r="353" ht="15" customHeight="1">
      <c r="A353" t="inlineStr">
        <is>
          <t>A 40256-2024</t>
        </is>
      </c>
      <c r="B353" s="1" t="n">
        <v>45554.62944444444</v>
      </c>
      <c r="C353" s="1" t="n">
        <v>46131</v>
      </c>
      <c r="D353" t="inlineStr">
        <is>
          <t>KALMAR LÄN</t>
        </is>
      </c>
      <c r="E353" t="inlineStr">
        <is>
          <t>VIMMERBY</t>
        </is>
      </c>
      <c r="G353" t="n">
        <v>0.9</v>
      </c>
      <c r="H353" t="n">
        <v>0</v>
      </c>
      <c r="I353" t="n">
        <v>0</v>
      </c>
      <c r="J353" t="n">
        <v>0</v>
      </c>
      <c r="K353" t="n">
        <v>0</v>
      </c>
      <c r="L353" t="n">
        <v>0</v>
      </c>
      <c r="M353" t="n">
        <v>0</v>
      </c>
      <c r="N353" t="n">
        <v>0</v>
      </c>
      <c r="O353" t="n">
        <v>0</v>
      </c>
      <c r="P353" t="n">
        <v>0</v>
      </c>
      <c r="Q353" t="n">
        <v>0</v>
      </c>
      <c r="R353" s="2" t="inlineStr"/>
    </row>
    <row r="354" ht="15" customHeight="1">
      <c r="A354" t="inlineStr">
        <is>
          <t>A 55602-2025</t>
        </is>
      </c>
      <c r="B354" s="1" t="n">
        <v>45971</v>
      </c>
      <c r="C354" s="1" t="n">
        <v>46131</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43093-2024</t>
        </is>
      </c>
      <c r="B355" s="1" t="n">
        <v>45567</v>
      </c>
      <c r="C355" s="1" t="n">
        <v>46131</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28713-2025</t>
        </is>
      </c>
      <c r="B356" s="1" t="n">
        <v>45820.33930555556</v>
      </c>
      <c r="C356" s="1" t="n">
        <v>46131</v>
      </c>
      <c r="D356" t="inlineStr">
        <is>
          <t>KALMAR LÄN</t>
        </is>
      </c>
      <c r="E356" t="inlineStr">
        <is>
          <t>VIMMERBY</t>
        </is>
      </c>
      <c r="G356" t="n">
        <v>2.3</v>
      </c>
      <c r="H356" t="n">
        <v>0</v>
      </c>
      <c r="I356" t="n">
        <v>0</v>
      </c>
      <c r="J356" t="n">
        <v>0</v>
      </c>
      <c r="K356" t="n">
        <v>0</v>
      </c>
      <c r="L356" t="n">
        <v>0</v>
      </c>
      <c r="M356" t="n">
        <v>0</v>
      </c>
      <c r="N356" t="n">
        <v>0</v>
      </c>
      <c r="O356" t="n">
        <v>0</v>
      </c>
      <c r="P356" t="n">
        <v>0</v>
      </c>
      <c r="Q356" t="n">
        <v>0</v>
      </c>
      <c r="R356" s="2" t="inlineStr"/>
    </row>
    <row r="357" ht="15" customHeight="1">
      <c r="A357" t="inlineStr">
        <is>
          <t>A 45854-2025</t>
        </is>
      </c>
      <c r="B357" s="1" t="n">
        <v>45923</v>
      </c>
      <c r="C357" s="1" t="n">
        <v>46131</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45855-2025</t>
        </is>
      </c>
      <c r="B358" s="1" t="n">
        <v>45923</v>
      </c>
      <c r="C358" s="1" t="n">
        <v>46131</v>
      </c>
      <c r="D358" t="inlineStr">
        <is>
          <t>KALMAR LÄN</t>
        </is>
      </c>
      <c r="E358" t="inlineStr">
        <is>
          <t>VIMMERBY</t>
        </is>
      </c>
      <c r="G358" t="n">
        <v>1.4</v>
      </c>
      <c r="H358" t="n">
        <v>0</v>
      </c>
      <c r="I358" t="n">
        <v>0</v>
      </c>
      <c r="J358" t="n">
        <v>0</v>
      </c>
      <c r="K358" t="n">
        <v>0</v>
      </c>
      <c r="L358" t="n">
        <v>0</v>
      </c>
      <c r="M358" t="n">
        <v>0</v>
      </c>
      <c r="N358" t="n">
        <v>0</v>
      </c>
      <c r="O358" t="n">
        <v>0</v>
      </c>
      <c r="P358" t="n">
        <v>0</v>
      </c>
      <c r="Q358" t="n">
        <v>0</v>
      </c>
      <c r="R358" s="2" t="inlineStr"/>
    </row>
    <row r="359" ht="15" customHeight="1">
      <c r="A359" t="inlineStr">
        <is>
          <t>A 35198-2023</t>
        </is>
      </c>
      <c r="B359" s="1" t="n">
        <v>45145</v>
      </c>
      <c r="C359" s="1" t="n">
        <v>46131</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28712-2025</t>
        </is>
      </c>
      <c r="B360" s="1" t="n">
        <v>45820.33708333333</v>
      </c>
      <c r="C360" s="1" t="n">
        <v>46131</v>
      </c>
      <c r="D360" t="inlineStr">
        <is>
          <t>KALMAR LÄN</t>
        </is>
      </c>
      <c r="E360" t="inlineStr">
        <is>
          <t>VIMMERBY</t>
        </is>
      </c>
      <c r="G360" t="n">
        <v>1.4</v>
      </c>
      <c r="H360" t="n">
        <v>0</v>
      </c>
      <c r="I360" t="n">
        <v>0</v>
      </c>
      <c r="J360" t="n">
        <v>0</v>
      </c>
      <c r="K360" t="n">
        <v>0</v>
      </c>
      <c r="L360" t="n">
        <v>0</v>
      </c>
      <c r="M360" t="n">
        <v>0</v>
      </c>
      <c r="N360" t="n">
        <v>0</v>
      </c>
      <c r="O360" t="n">
        <v>0</v>
      </c>
      <c r="P360" t="n">
        <v>0</v>
      </c>
      <c r="Q360" t="n">
        <v>0</v>
      </c>
      <c r="R360" s="2" t="inlineStr"/>
    </row>
    <row r="361" ht="15" customHeight="1">
      <c r="A361" t="inlineStr">
        <is>
          <t>A 28714-2025</t>
        </is>
      </c>
      <c r="B361" s="1" t="n">
        <v>45820.34128472222</v>
      </c>
      <c r="C361" s="1" t="n">
        <v>46131</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46361-2025</t>
        </is>
      </c>
      <c r="B362" s="1" t="n">
        <v>45925.49670138889</v>
      </c>
      <c r="C362" s="1" t="n">
        <v>46131</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46365-2025</t>
        </is>
      </c>
      <c r="B363" s="1" t="n">
        <v>45925.50075231482</v>
      </c>
      <c r="C363" s="1" t="n">
        <v>46131</v>
      </c>
      <c r="D363" t="inlineStr">
        <is>
          <t>KALMAR LÄN</t>
        </is>
      </c>
      <c r="E363" t="inlineStr">
        <is>
          <t>VIMMERBY</t>
        </is>
      </c>
      <c r="G363" t="n">
        <v>5.6</v>
      </c>
      <c r="H363" t="n">
        <v>0</v>
      </c>
      <c r="I363" t="n">
        <v>0</v>
      </c>
      <c r="J363" t="n">
        <v>0</v>
      </c>
      <c r="K363" t="n">
        <v>0</v>
      </c>
      <c r="L363" t="n">
        <v>0</v>
      </c>
      <c r="M363" t="n">
        <v>0</v>
      </c>
      <c r="N363" t="n">
        <v>0</v>
      </c>
      <c r="O363" t="n">
        <v>0</v>
      </c>
      <c r="P363" t="n">
        <v>0</v>
      </c>
      <c r="Q363" t="n">
        <v>0</v>
      </c>
      <c r="R363" s="2" t="inlineStr"/>
    </row>
    <row r="364" ht="15" customHeight="1">
      <c r="A364" t="inlineStr">
        <is>
          <t>A 28620-2025</t>
        </is>
      </c>
      <c r="B364" s="1" t="n">
        <v>45819.61060185185</v>
      </c>
      <c r="C364" s="1" t="n">
        <v>46131</v>
      </c>
      <c r="D364" t="inlineStr">
        <is>
          <t>KALMAR LÄN</t>
        </is>
      </c>
      <c r="E364" t="inlineStr">
        <is>
          <t>VIMMERBY</t>
        </is>
      </c>
      <c r="G364" t="n">
        <v>5.6</v>
      </c>
      <c r="H364" t="n">
        <v>0</v>
      </c>
      <c r="I364" t="n">
        <v>0</v>
      </c>
      <c r="J364" t="n">
        <v>0</v>
      </c>
      <c r="K364" t="n">
        <v>0</v>
      </c>
      <c r="L364" t="n">
        <v>0</v>
      </c>
      <c r="M364" t="n">
        <v>0</v>
      </c>
      <c r="N364" t="n">
        <v>0</v>
      </c>
      <c r="O364" t="n">
        <v>0</v>
      </c>
      <c r="P364" t="n">
        <v>0</v>
      </c>
      <c r="Q364" t="n">
        <v>0</v>
      </c>
      <c r="R364" s="2" t="inlineStr"/>
    </row>
    <row r="365" ht="15" customHeight="1">
      <c r="A365" t="inlineStr">
        <is>
          <t>A 45856-2025</t>
        </is>
      </c>
      <c r="B365" s="1" t="n">
        <v>45923</v>
      </c>
      <c r="C365" s="1" t="n">
        <v>46131</v>
      </c>
      <c r="D365" t="inlineStr">
        <is>
          <t>KALMAR LÄN</t>
        </is>
      </c>
      <c r="E365" t="inlineStr">
        <is>
          <t>VIMMERBY</t>
        </is>
      </c>
      <c r="G365" t="n">
        <v>2.1</v>
      </c>
      <c r="H365" t="n">
        <v>0</v>
      </c>
      <c r="I365" t="n">
        <v>0</v>
      </c>
      <c r="J365" t="n">
        <v>0</v>
      </c>
      <c r="K365" t="n">
        <v>0</v>
      </c>
      <c r="L365" t="n">
        <v>0</v>
      </c>
      <c r="M365" t="n">
        <v>0</v>
      </c>
      <c r="N365" t="n">
        <v>0</v>
      </c>
      <c r="O365" t="n">
        <v>0</v>
      </c>
      <c r="P365" t="n">
        <v>0</v>
      </c>
      <c r="Q365" t="n">
        <v>0</v>
      </c>
      <c r="R365" s="2" t="inlineStr"/>
    </row>
    <row r="366" ht="15" customHeight="1">
      <c r="A366" t="inlineStr">
        <is>
          <t>A 58374-2024</t>
        </is>
      </c>
      <c r="B366" s="1" t="n">
        <v>45632.72635416667</v>
      </c>
      <c r="C366" s="1" t="n">
        <v>46131</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55603-2025</t>
        </is>
      </c>
      <c r="B367" s="1" t="n">
        <v>45971</v>
      </c>
      <c r="C367" s="1" t="n">
        <v>46131</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55605-2025</t>
        </is>
      </c>
      <c r="B368" s="1" t="n">
        <v>45971</v>
      </c>
      <c r="C368" s="1" t="n">
        <v>46131</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46887-2025</t>
        </is>
      </c>
      <c r="B369" s="1" t="n">
        <v>45929.3672337963</v>
      </c>
      <c r="C369" s="1" t="n">
        <v>46131</v>
      </c>
      <c r="D369" t="inlineStr">
        <is>
          <t>KALMAR LÄN</t>
        </is>
      </c>
      <c r="E369" t="inlineStr">
        <is>
          <t>VIMMERBY</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29727-2025</t>
        </is>
      </c>
      <c r="B370" s="1" t="n">
        <v>45825.5796875</v>
      </c>
      <c r="C370" s="1" t="n">
        <v>46131</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29737-2025</t>
        </is>
      </c>
      <c r="B371" s="1" t="n">
        <v>45825.58672453704</v>
      </c>
      <c r="C371" s="1" t="n">
        <v>46131</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47227-2025</t>
        </is>
      </c>
      <c r="B372" s="1" t="n">
        <v>45930.39769675926</v>
      </c>
      <c r="C372" s="1" t="n">
        <v>46131</v>
      </c>
      <c r="D372" t="inlineStr">
        <is>
          <t>KALMAR LÄN</t>
        </is>
      </c>
      <c r="E372" t="inlineStr">
        <is>
          <t>VIMMERBY</t>
        </is>
      </c>
      <c r="G372" t="n">
        <v>1.3</v>
      </c>
      <c r="H372" t="n">
        <v>0</v>
      </c>
      <c r="I372" t="n">
        <v>0</v>
      </c>
      <c r="J372" t="n">
        <v>0</v>
      </c>
      <c r="K372" t="n">
        <v>0</v>
      </c>
      <c r="L372" t="n">
        <v>0</v>
      </c>
      <c r="M372" t="n">
        <v>0</v>
      </c>
      <c r="N372" t="n">
        <v>0</v>
      </c>
      <c r="O372" t="n">
        <v>0</v>
      </c>
      <c r="P372" t="n">
        <v>0</v>
      </c>
      <c r="Q372" t="n">
        <v>0</v>
      </c>
      <c r="R372" s="2" t="inlineStr"/>
    </row>
    <row r="373" ht="15" customHeight="1">
      <c r="A373" t="inlineStr">
        <is>
          <t>A 55300-2021</t>
        </is>
      </c>
      <c r="B373" s="1" t="n">
        <v>44475</v>
      </c>
      <c r="C373" s="1" t="n">
        <v>46131</v>
      </c>
      <c r="D373" t="inlineStr">
        <is>
          <t>KALMAR LÄN</t>
        </is>
      </c>
      <c r="E373" t="inlineStr">
        <is>
          <t>VIMMERBY</t>
        </is>
      </c>
      <c r="G373" t="n">
        <v>3.4</v>
      </c>
      <c r="H373" t="n">
        <v>0</v>
      </c>
      <c r="I373" t="n">
        <v>0</v>
      </c>
      <c r="J373" t="n">
        <v>0</v>
      </c>
      <c r="K373" t="n">
        <v>0</v>
      </c>
      <c r="L373" t="n">
        <v>0</v>
      </c>
      <c r="M373" t="n">
        <v>0</v>
      </c>
      <c r="N373" t="n">
        <v>0</v>
      </c>
      <c r="O373" t="n">
        <v>0</v>
      </c>
      <c r="P373" t="n">
        <v>0</v>
      </c>
      <c r="Q373" t="n">
        <v>0</v>
      </c>
      <c r="R373" s="2" t="inlineStr"/>
    </row>
    <row r="374" ht="15" customHeight="1">
      <c r="A374" t="inlineStr">
        <is>
          <t>A 47263-2023</t>
        </is>
      </c>
      <c r="B374" s="1" t="n">
        <v>45202.4209837963</v>
      </c>
      <c r="C374" s="1" t="n">
        <v>46131</v>
      </c>
      <c r="D374" t="inlineStr">
        <is>
          <t>KALMAR LÄN</t>
        </is>
      </c>
      <c r="E374" t="inlineStr">
        <is>
          <t>VIMMERBY</t>
        </is>
      </c>
      <c r="G374" t="n">
        <v>1.8</v>
      </c>
      <c r="H374" t="n">
        <v>0</v>
      </c>
      <c r="I374" t="n">
        <v>0</v>
      </c>
      <c r="J374" t="n">
        <v>0</v>
      </c>
      <c r="K374" t="n">
        <v>0</v>
      </c>
      <c r="L374" t="n">
        <v>0</v>
      </c>
      <c r="M374" t="n">
        <v>0</v>
      </c>
      <c r="N374" t="n">
        <v>0</v>
      </c>
      <c r="O374" t="n">
        <v>0</v>
      </c>
      <c r="P374" t="n">
        <v>0</v>
      </c>
      <c r="Q374" t="n">
        <v>0</v>
      </c>
      <c r="R374" s="2" t="inlineStr"/>
    </row>
    <row r="375" ht="15" customHeight="1">
      <c r="A375" t="inlineStr">
        <is>
          <t>A 2536-2023</t>
        </is>
      </c>
      <c r="B375" s="1" t="n">
        <v>44943.62954861111</v>
      </c>
      <c r="C375" s="1" t="n">
        <v>46131</v>
      </c>
      <c r="D375" t="inlineStr">
        <is>
          <t>KALMAR LÄN</t>
        </is>
      </c>
      <c r="E375" t="inlineStr">
        <is>
          <t>VIMMERBY</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2801-2023</t>
        </is>
      </c>
      <c r="B376" s="1" t="n">
        <v>44944.73487268519</v>
      </c>
      <c r="C376" s="1" t="n">
        <v>46131</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30293-2025</t>
        </is>
      </c>
      <c r="B377" s="1" t="n">
        <v>45827</v>
      </c>
      <c r="C377" s="1" t="n">
        <v>46131</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47965-2025</t>
        </is>
      </c>
      <c r="B378" s="1" t="n">
        <v>45932.59597222223</v>
      </c>
      <c r="C378" s="1" t="n">
        <v>46131</v>
      </c>
      <c r="D378" t="inlineStr">
        <is>
          <t>KALMAR LÄN</t>
        </is>
      </c>
      <c r="E378" t="inlineStr">
        <is>
          <t>VIMMERBY</t>
        </is>
      </c>
      <c r="G378" t="n">
        <v>2.2</v>
      </c>
      <c r="H378" t="n">
        <v>0</v>
      </c>
      <c r="I378" t="n">
        <v>0</v>
      </c>
      <c r="J378" t="n">
        <v>0</v>
      </c>
      <c r="K378" t="n">
        <v>0</v>
      </c>
      <c r="L378" t="n">
        <v>0</v>
      </c>
      <c r="M378" t="n">
        <v>0</v>
      </c>
      <c r="N378" t="n">
        <v>0</v>
      </c>
      <c r="O378" t="n">
        <v>0</v>
      </c>
      <c r="P378" t="n">
        <v>0</v>
      </c>
      <c r="Q378" t="n">
        <v>0</v>
      </c>
      <c r="R378" s="2" t="inlineStr"/>
    </row>
    <row r="379" ht="15" customHeight="1">
      <c r="A379" t="inlineStr">
        <is>
          <t>A 17968-2025</t>
        </is>
      </c>
      <c r="B379" s="1" t="n">
        <v>45761.35990740741</v>
      </c>
      <c r="C379" s="1" t="n">
        <v>46131</v>
      </c>
      <c r="D379" t="inlineStr">
        <is>
          <t>KALMAR LÄN</t>
        </is>
      </c>
      <c r="E379" t="inlineStr">
        <is>
          <t>VIMMERBY</t>
        </is>
      </c>
      <c r="G379" t="n">
        <v>3.3</v>
      </c>
      <c r="H379" t="n">
        <v>0</v>
      </c>
      <c r="I379" t="n">
        <v>0</v>
      </c>
      <c r="J379" t="n">
        <v>0</v>
      </c>
      <c r="K379" t="n">
        <v>0</v>
      </c>
      <c r="L379" t="n">
        <v>0</v>
      </c>
      <c r="M379" t="n">
        <v>0</v>
      </c>
      <c r="N379" t="n">
        <v>0</v>
      </c>
      <c r="O379" t="n">
        <v>0</v>
      </c>
      <c r="P379" t="n">
        <v>0</v>
      </c>
      <c r="Q379" t="n">
        <v>0</v>
      </c>
      <c r="R379" s="2" t="inlineStr"/>
    </row>
    <row r="380" ht="15" customHeight="1">
      <c r="A380" t="inlineStr">
        <is>
          <t>A 30290-2025</t>
        </is>
      </c>
      <c r="B380" s="1" t="n">
        <v>45827</v>
      </c>
      <c r="C380" s="1" t="n">
        <v>46131</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14451-2024</t>
        </is>
      </c>
      <c r="B381" s="1" t="n">
        <v>45394.50028935185</v>
      </c>
      <c r="C381" s="1" t="n">
        <v>46131</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47955-2025</t>
        </is>
      </c>
      <c r="B382" s="1" t="n">
        <v>45932.58896990741</v>
      </c>
      <c r="C382" s="1" t="n">
        <v>46131</v>
      </c>
      <c r="D382" t="inlineStr">
        <is>
          <t>KALMAR LÄN</t>
        </is>
      </c>
      <c r="E382" t="inlineStr">
        <is>
          <t>VIMMERBY</t>
        </is>
      </c>
      <c r="G382" t="n">
        <v>3.4</v>
      </c>
      <c r="H382" t="n">
        <v>0</v>
      </c>
      <c r="I382" t="n">
        <v>0</v>
      </c>
      <c r="J382" t="n">
        <v>0</v>
      </c>
      <c r="K382" t="n">
        <v>0</v>
      </c>
      <c r="L382" t="n">
        <v>0</v>
      </c>
      <c r="M382" t="n">
        <v>0</v>
      </c>
      <c r="N382" t="n">
        <v>0</v>
      </c>
      <c r="O382" t="n">
        <v>0</v>
      </c>
      <c r="P382" t="n">
        <v>0</v>
      </c>
      <c r="Q382" t="n">
        <v>0</v>
      </c>
      <c r="R382" s="2" t="inlineStr"/>
    </row>
    <row r="383" ht="15" customHeight="1">
      <c r="A383" t="inlineStr">
        <is>
          <t>A 30850-2025</t>
        </is>
      </c>
      <c r="B383" s="1" t="n">
        <v>45831</v>
      </c>
      <c r="C383" s="1" t="n">
        <v>46131</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46238-2024</t>
        </is>
      </c>
      <c r="B384" s="1" t="n">
        <v>45581.58418981481</v>
      </c>
      <c r="C384" s="1" t="n">
        <v>46131</v>
      </c>
      <c r="D384" t="inlineStr">
        <is>
          <t>KALMAR LÄN</t>
        </is>
      </c>
      <c r="E384" t="inlineStr">
        <is>
          <t>VIMMERBY</t>
        </is>
      </c>
      <c r="G384" t="n">
        <v>2.1</v>
      </c>
      <c r="H384" t="n">
        <v>0</v>
      </c>
      <c r="I384" t="n">
        <v>0</v>
      </c>
      <c r="J384" t="n">
        <v>0</v>
      </c>
      <c r="K384" t="n">
        <v>0</v>
      </c>
      <c r="L384" t="n">
        <v>0</v>
      </c>
      <c r="M384" t="n">
        <v>0</v>
      </c>
      <c r="N384" t="n">
        <v>0</v>
      </c>
      <c r="O384" t="n">
        <v>0</v>
      </c>
      <c r="P384" t="n">
        <v>0</v>
      </c>
      <c r="Q384" t="n">
        <v>0</v>
      </c>
      <c r="R384" s="2" t="inlineStr"/>
    </row>
    <row r="385" ht="15" customHeight="1">
      <c r="A385" t="inlineStr">
        <is>
          <t>A 50993-2022</t>
        </is>
      </c>
      <c r="B385" s="1" t="n">
        <v>44867</v>
      </c>
      <c r="C385" s="1" t="n">
        <v>46131</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46225-2024</t>
        </is>
      </c>
      <c r="B386" s="1" t="n">
        <v>45581.57333333333</v>
      </c>
      <c r="C386" s="1" t="n">
        <v>46131</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48299-2025</t>
        </is>
      </c>
      <c r="B387" s="1" t="n">
        <v>45933.60982638889</v>
      </c>
      <c r="C387" s="1" t="n">
        <v>46131</v>
      </c>
      <c r="D387" t="inlineStr">
        <is>
          <t>KALMAR LÄN</t>
        </is>
      </c>
      <c r="E387" t="inlineStr">
        <is>
          <t>VIMMERBY</t>
        </is>
      </c>
      <c r="G387" t="n">
        <v>1.8</v>
      </c>
      <c r="H387" t="n">
        <v>0</v>
      </c>
      <c r="I387" t="n">
        <v>0</v>
      </c>
      <c r="J387" t="n">
        <v>0</v>
      </c>
      <c r="K387" t="n">
        <v>0</v>
      </c>
      <c r="L387" t="n">
        <v>0</v>
      </c>
      <c r="M387" t="n">
        <v>0</v>
      </c>
      <c r="N387" t="n">
        <v>0</v>
      </c>
      <c r="O387" t="n">
        <v>0</v>
      </c>
      <c r="P387" t="n">
        <v>0</v>
      </c>
      <c r="Q387" t="n">
        <v>0</v>
      </c>
      <c r="R387" s="2" t="inlineStr"/>
    </row>
    <row r="388" ht="15" customHeight="1">
      <c r="A388" t="inlineStr">
        <is>
          <t>A 36055-2024</t>
        </is>
      </c>
      <c r="B388" s="1" t="n">
        <v>45533.63056712963</v>
      </c>
      <c r="C388" s="1" t="n">
        <v>46131</v>
      </c>
      <c r="D388" t="inlineStr">
        <is>
          <t>KALMAR LÄN</t>
        </is>
      </c>
      <c r="E388" t="inlineStr">
        <is>
          <t>VIMMERBY</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47859-2024</t>
        </is>
      </c>
      <c r="B389" s="1" t="n">
        <v>45588.67070601852</v>
      </c>
      <c r="C389" s="1" t="n">
        <v>46131</v>
      </c>
      <c r="D389" t="inlineStr">
        <is>
          <t>KALMAR LÄN</t>
        </is>
      </c>
      <c r="E389" t="inlineStr">
        <is>
          <t>VIMMERBY</t>
        </is>
      </c>
      <c r="G389" t="n">
        <v>1.7</v>
      </c>
      <c r="H389" t="n">
        <v>0</v>
      </c>
      <c r="I389" t="n">
        <v>0</v>
      </c>
      <c r="J389" t="n">
        <v>0</v>
      </c>
      <c r="K389" t="n">
        <v>0</v>
      </c>
      <c r="L389" t="n">
        <v>0</v>
      </c>
      <c r="M389" t="n">
        <v>0</v>
      </c>
      <c r="N389" t="n">
        <v>0</v>
      </c>
      <c r="O389" t="n">
        <v>0</v>
      </c>
      <c r="P389" t="n">
        <v>0</v>
      </c>
      <c r="Q389" t="n">
        <v>0</v>
      </c>
      <c r="R389" s="2" t="inlineStr"/>
    </row>
    <row r="390" ht="15" customHeight="1">
      <c r="A390" t="inlineStr">
        <is>
          <t>A 48723-2025</t>
        </is>
      </c>
      <c r="B390" s="1" t="n">
        <v>45936.65121527778</v>
      </c>
      <c r="C390" s="1" t="n">
        <v>46131</v>
      </c>
      <c r="D390" t="inlineStr">
        <is>
          <t>KALMAR LÄN</t>
        </is>
      </c>
      <c r="E390" t="inlineStr">
        <is>
          <t>VIMMERBY</t>
        </is>
      </c>
      <c r="G390" t="n">
        <v>3</v>
      </c>
      <c r="H390" t="n">
        <v>0</v>
      </c>
      <c r="I390" t="n">
        <v>0</v>
      </c>
      <c r="J390" t="n">
        <v>0</v>
      </c>
      <c r="K390" t="n">
        <v>0</v>
      </c>
      <c r="L390" t="n">
        <v>0</v>
      </c>
      <c r="M390" t="n">
        <v>0</v>
      </c>
      <c r="N390" t="n">
        <v>0</v>
      </c>
      <c r="O390" t="n">
        <v>0</v>
      </c>
      <c r="P390" t="n">
        <v>0</v>
      </c>
      <c r="Q390" t="n">
        <v>0</v>
      </c>
      <c r="R390" s="2" t="inlineStr"/>
    </row>
    <row r="391" ht="15" customHeight="1">
      <c r="A391" t="inlineStr">
        <is>
          <t>A 30882-2025</t>
        </is>
      </c>
      <c r="B391" s="1" t="n">
        <v>45832.34540509259</v>
      </c>
      <c r="C391" s="1" t="n">
        <v>46131</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30971-2025</t>
        </is>
      </c>
      <c r="B392" s="1" t="n">
        <v>45832.46146990741</v>
      </c>
      <c r="C392" s="1" t="n">
        <v>46131</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32835-2022</t>
        </is>
      </c>
      <c r="B393" s="1" t="n">
        <v>44784.42528935185</v>
      </c>
      <c r="C393" s="1" t="n">
        <v>46131</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48600-2025</t>
        </is>
      </c>
      <c r="B394" s="1" t="n">
        <v>45935</v>
      </c>
      <c r="C394" s="1" t="n">
        <v>46131</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31552-2025</t>
        </is>
      </c>
      <c r="B395" s="1" t="n">
        <v>45833.64563657407</v>
      </c>
      <c r="C395" s="1" t="n">
        <v>46131</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31555-2025</t>
        </is>
      </c>
      <c r="B396" s="1" t="n">
        <v>45833.64814814815</v>
      </c>
      <c r="C396" s="1" t="n">
        <v>46131</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48408-2025</t>
        </is>
      </c>
      <c r="B397" s="1" t="n">
        <v>45934.40527777778</v>
      </c>
      <c r="C397" s="1" t="n">
        <v>46131</v>
      </c>
      <c r="D397" t="inlineStr">
        <is>
          <t>KALMAR LÄN</t>
        </is>
      </c>
      <c r="E397" t="inlineStr">
        <is>
          <t>VIMMERBY</t>
        </is>
      </c>
      <c r="G397" t="n">
        <v>2.4</v>
      </c>
      <c r="H397" t="n">
        <v>0</v>
      </c>
      <c r="I397" t="n">
        <v>0</v>
      </c>
      <c r="J397" t="n">
        <v>0</v>
      </c>
      <c r="K397" t="n">
        <v>0</v>
      </c>
      <c r="L397" t="n">
        <v>0</v>
      </c>
      <c r="M397" t="n">
        <v>0</v>
      </c>
      <c r="N397" t="n">
        <v>0</v>
      </c>
      <c r="O397" t="n">
        <v>0</v>
      </c>
      <c r="P397" t="n">
        <v>0</v>
      </c>
      <c r="Q397" t="n">
        <v>0</v>
      </c>
      <c r="R397" s="2" t="inlineStr"/>
    </row>
    <row r="398" ht="15" customHeight="1">
      <c r="A398" t="inlineStr">
        <is>
          <t>A 48409-2025</t>
        </is>
      </c>
      <c r="B398" s="1" t="n">
        <v>45934.41387731482</v>
      </c>
      <c r="C398" s="1" t="n">
        <v>46131</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41896-2023</t>
        </is>
      </c>
      <c r="B399" s="1" t="n">
        <v>45176.72427083334</v>
      </c>
      <c r="C399" s="1" t="n">
        <v>46131</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48712-2025</t>
        </is>
      </c>
      <c r="B400" s="1" t="n">
        <v>45936.63373842592</v>
      </c>
      <c r="C400" s="1" t="n">
        <v>46131</v>
      </c>
      <c r="D400" t="inlineStr">
        <is>
          <t>KALMAR LÄN</t>
        </is>
      </c>
      <c r="E400" t="inlineStr">
        <is>
          <t>VIMMERBY</t>
        </is>
      </c>
      <c r="G400" t="n">
        <v>3</v>
      </c>
      <c r="H400" t="n">
        <v>0</v>
      </c>
      <c r="I400" t="n">
        <v>0</v>
      </c>
      <c r="J400" t="n">
        <v>0</v>
      </c>
      <c r="K400" t="n">
        <v>0</v>
      </c>
      <c r="L400" t="n">
        <v>0</v>
      </c>
      <c r="M400" t="n">
        <v>0</v>
      </c>
      <c r="N400" t="n">
        <v>0</v>
      </c>
      <c r="O400" t="n">
        <v>0</v>
      </c>
      <c r="P400" t="n">
        <v>0</v>
      </c>
      <c r="Q400" t="n">
        <v>0</v>
      </c>
      <c r="R400" s="2" t="inlineStr"/>
    </row>
    <row r="401" ht="15" customHeight="1">
      <c r="A401" t="inlineStr">
        <is>
          <t>A 43606-2024</t>
        </is>
      </c>
      <c r="B401" s="1" t="n">
        <v>45569.45017361111</v>
      </c>
      <c r="C401" s="1" t="n">
        <v>46131</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31870-2025</t>
        </is>
      </c>
      <c r="B402" s="1" t="n">
        <v>45834.64667824074</v>
      </c>
      <c r="C402" s="1" t="n">
        <v>46131</v>
      </c>
      <c r="D402" t="inlineStr">
        <is>
          <t>KALMAR LÄN</t>
        </is>
      </c>
      <c r="E402" t="inlineStr">
        <is>
          <t>VIMMERBY</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12325-2023</t>
        </is>
      </c>
      <c r="B403" s="1" t="n">
        <v>44999.35858796296</v>
      </c>
      <c r="C403" s="1" t="n">
        <v>46131</v>
      </c>
      <c r="D403" t="inlineStr">
        <is>
          <t>KALMAR LÄN</t>
        </is>
      </c>
      <c r="E403" t="inlineStr">
        <is>
          <t>VIMMERBY</t>
        </is>
      </c>
      <c r="G403" t="n">
        <v>3.4</v>
      </c>
      <c r="H403" t="n">
        <v>0</v>
      </c>
      <c r="I403" t="n">
        <v>0</v>
      </c>
      <c r="J403" t="n">
        <v>0</v>
      </c>
      <c r="K403" t="n">
        <v>0</v>
      </c>
      <c r="L403" t="n">
        <v>0</v>
      </c>
      <c r="M403" t="n">
        <v>0</v>
      </c>
      <c r="N403" t="n">
        <v>0</v>
      </c>
      <c r="O403" t="n">
        <v>0</v>
      </c>
      <c r="P403" t="n">
        <v>0</v>
      </c>
      <c r="Q403" t="n">
        <v>0</v>
      </c>
      <c r="R403" s="2" t="inlineStr"/>
    </row>
    <row r="404" ht="15" customHeight="1">
      <c r="A404" t="inlineStr">
        <is>
          <t>A 8559-2025</t>
        </is>
      </c>
      <c r="B404" s="1" t="n">
        <v>45709.62280092593</v>
      </c>
      <c r="C404" s="1" t="n">
        <v>46131</v>
      </c>
      <c r="D404" t="inlineStr">
        <is>
          <t>KALMAR LÄN</t>
        </is>
      </c>
      <c r="E404" t="inlineStr">
        <is>
          <t>VIMMERBY</t>
        </is>
      </c>
      <c r="G404" t="n">
        <v>8.9</v>
      </c>
      <c r="H404" t="n">
        <v>0</v>
      </c>
      <c r="I404" t="n">
        <v>0</v>
      </c>
      <c r="J404" t="n">
        <v>0</v>
      </c>
      <c r="K404" t="n">
        <v>0</v>
      </c>
      <c r="L404" t="n">
        <v>0</v>
      </c>
      <c r="M404" t="n">
        <v>0</v>
      </c>
      <c r="N404" t="n">
        <v>0</v>
      </c>
      <c r="O404" t="n">
        <v>0</v>
      </c>
      <c r="P404" t="n">
        <v>0</v>
      </c>
      <c r="Q404" t="n">
        <v>0</v>
      </c>
      <c r="R404" s="2" t="inlineStr"/>
    </row>
    <row r="405" ht="15" customHeight="1">
      <c r="A405" t="inlineStr">
        <is>
          <t>A 8945-2025</t>
        </is>
      </c>
      <c r="B405" s="1" t="n">
        <v>45713.45311342592</v>
      </c>
      <c r="C405" s="1" t="n">
        <v>46131</v>
      </c>
      <c r="D405" t="inlineStr">
        <is>
          <t>KALMAR LÄN</t>
        </is>
      </c>
      <c r="E405" t="inlineStr">
        <is>
          <t>VIMMERBY</t>
        </is>
      </c>
      <c r="G405" t="n">
        <v>0.6</v>
      </c>
      <c r="H405" t="n">
        <v>0</v>
      </c>
      <c r="I405" t="n">
        <v>0</v>
      </c>
      <c r="J405" t="n">
        <v>0</v>
      </c>
      <c r="K405" t="n">
        <v>0</v>
      </c>
      <c r="L405" t="n">
        <v>0</v>
      </c>
      <c r="M405" t="n">
        <v>0</v>
      </c>
      <c r="N405" t="n">
        <v>0</v>
      </c>
      <c r="O405" t="n">
        <v>0</v>
      </c>
      <c r="P405" t="n">
        <v>0</v>
      </c>
      <c r="Q405" t="n">
        <v>0</v>
      </c>
      <c r="R405" s="2" t="inlineStr"/>
    </row>
    <row r="406" ht="15" customHeight="1">
      <c r="A406" t="inlineStr">
        <is>
          <t>A 31872-2025</t>
        </is>
      </c>
      <c r="B406" s="1" t="n">
        <v>45834.65040509259</v>
      </c>
      <c r="C406" s="1" t="n">
        <v>46131</v>
      </c>
      <c r="D406" t="inlineStr">
        <is>
          <t>KALMAR LÄN</t>
        </is>
      </c>
      <c r="E406" t="inlineStr">
        <is>
          <t>VIMMERBY</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31876-2025</t>
        </is>
      </c>
      <c r="B407" s="1" t="n">
        <v>45834.65197916667</v>
      </c>
      <c r="C407" s="1" t="n">
        <v>46131</v>
      </c>
      <c r="D407" t="inlineStr">
        <is>
          <t>KALMAR LÄN</t>
        </is>
      </c>
      <c r="E407" t="inlineStr">
        <is>
          <t>VIMMERBY</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31551-2025</t>
        </is>
      </c>
      <c r="B408" s="1" t="n">
        <v>45833.64237268519</v>
      </c>
      <c r="C408" s="1" t="n">
        <v>46131</v>
      </c>
      <c r="D408" t="inlineStr">
        <is>
          <t>KALMAR LÄN</t>
        </is>
      </c>
      <c r="E408" t="inlineStr">
        <is>
          <t>VIMMERBY</t>
        </is>
      </c>
      <c r="G408" t="n">
        <v>1.9</v>
      </c>
      <c r="H408" t="n">
        <v>0</v>
      </c>
      <c r="I408" t="n">
        <v>0</v>
      </c>
      <c r="J408" t="n">
        <v>0</v>
      </c>
      <c r="K408" t="n">
        <v>0</v>
      </c>
      <c r="L408" t="n">
        <v>0</v>
      </c>
      <c r="M408" t="n">
        <v>0</v>
      </c>
      <c r="N408" t="n">
        <v>0</v>
      </c>
      <c r="O408" t="n">
        <v>0</v>
      </c>
      <c r="P408" t="n">
        <v>0</v>
      </c>
      <c r="Q408" t="n">
        <v>0</v>
      </c>
      <c r="R408" s="2" t="inlineStr"/>
    </row>
    <row r="409" ht="15" customHeight="1">
      <c r="A409" t="inlineStr">
        <is>
          <t>A 40665-2023</t>
        </is>
      </c>
      <c r="B409" s="1" t="n">
        <v>45170</v>
      </c>
      <c r="C409" s="1" t="n">
        <v>46131</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13307-2025</t>
        </is>
      </c>
      <c r="B410" s="1" t="n">
        <v>45735.58024305556</v>
      </c>
      <c r="C410" s="1" t="n">
        <v>46131</v>
      </c>
      <c r="D410" t="inlineStr">
        <is>
          <t>KALMAR LÄN</t>
        </is>
      </c>
      <c r="E410" t="inlineStr">
        <is>
          <t>VIMMERBY</t>
        </is>
      </c>
      <c r="G410" t="n">
        <v>0.8</v>
      </c>
      <c r="H410" t="n">
        <v>0</v>
      </c>
      <c r="I410" t="n">
        <v>0</v>
      </c>
      <c r="J410" t="n">
        <v>0</v>
      </c>
      <c r="K410" t="n">
        <v>0</v>
      </c>
      <c r="L410" t="n">
        <v>0</v>
      </c>
      <c r="M410" t="n">
        <v>0</v>
      </c>
      <c r="N410" t="n">
        <v>0</v>
      </c>
      <c r="O410" t="n">
        <v>0</v>
      </c>
      <c r="P410" t="n">
        <v>0</v>
      </c>
      <c r="Q410" t="n">
        <v>0</v>
      </c>
      <c r="R410" s="2" t="inlineStr"/>
    </row>
    <row r="411" ht="15" customHeight="1">
      <c r="A411" t="inlineStr">
        <is>
          <t>A 31987-2025</t>
        </is>
      </c>
      <c r="B411" s="1" t="n">
        <v>45835.36229166666</v>
      </c>
      <c r="C411" s="1" t="n">
        <v>46131</v>
      </c>
      <c r="D411" t="inlineStr">
        <is>
          <t>KALMAR LÄN</t>
        </is>
      </c>
      <c r="E411" t="inlineStr">
        <is>
          <t>VIMMERBY</t>
        </is>
      </c>
      <c r="F411" t="inlineStr">
        <is>
          <t>Kyrkan</t>
        </is>
      </c>
      <c r="G411" t="n">
        <v>1.2</v>
      </c>
      <c r="H411" t="n">
        <v>0</v>
      </c>
      <c r="I411" t="n">
        <v>0</v>
      </c>
      <c r="J411" t="n">
        <v>0</v>
      </c>
      <c r="K411" t="n">
        <v>0</v>
      </c>
      <c r="L411" t="n">
        <v>0</v>
      </c>
      <c r="M411" t="n">
        <v>0</v>
      </c>
      <c r="N411" t="n">
        <v>0</v>
      </c>
      <c r="O411" t="n">
        <v>0</v>
      </c>
      <c r="P411" t="n">
        <v>0</v>
      </c>
      <c r="Q411" t="n">
        <v>0</v>
      </c>
      <c r="R411" s="2" t="inlineStr"/>
    </row>
    <row r="412" ht="15" customHeight="1">
      <c r="A412" t="inlineStr">
        <is>
          <t>A 28034-2022</t>
        </is>
      </c>
      <c r="B412" s="1" t="n">
        <v>44746.38834490741</v>
      </c>
      <c r="C412" s="1" t="n">
        <v>46131</v>
      </c>
      <c r="D412" t="inlineStr">
        <is>
          <t>KALMAR LÄN</t>
        </is>
      </c>
      <c r="E412" t="inlineStr">
        <is>
          <t>VIMMERBY</t>
        </is>
      </c>
      <c r="G412" t="n">
        <v>2</v>
      </c>
      <c r="H412" t="n">
        <v>0</v>
      </c>
      <c r="I412" t="n">
        <v>0</v>
      </c>
      <c r="J412" t="n">
        <v>0</v>
      </c>
      <c r="K412" t="n">
        <v>0</v>
      </c>
      <c r="L412" t="n">
        <v>0</v>
      </c>
      <c r="M412" t="n">
        <v>0</v>
      </c>
      <c r="N412" t="n">
        <v>0</v>
      </c>
      <c r="O412" t="n">
        <v>0</v>
      </c>
      <c r="P412" t="n">
        <v>0</v>
      </c>
      <c r="Q412" t="n">
        <v>0</v>
      </c>
      <c r="R412" s="2" t="inlineStr"/>
    </row>
    <row r="413" ht="15" customHeight="1">
      <c r="A413" t="inlineStr">
        <is>
          <t>A 32120-2025</t>
        </is>
      </c>
      <c r="B413" s="1" t="n">
        <v>45835.4924537037</v>
      </c>
      <c r="C413" s="1" t="n">
        <v>46131</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32116-2025</t>
        </is>
      </c>
      <c r="B414" s="1" t="n">
        <v>45835.48862268519</v>
      </c>
      <c r="C414" s="1" t="n">
        <v>46131</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55605-2024</t>
        </is>
      </c>
      <c r="B415" s="1" t="n">
        <v>45622</v>
      </c>
      <c r="C415" s="1" t="n">
        <v>46131</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42165-2024</t>
        </is>
      </c>
      <c r="B416" s="1" t="n">
        <v>45562.46342592593</v>
      </c>
      <c r="C416" s="1" t="n">
        <v>46131</v>
      </c>
      <c r="D416" t="inlineStr">
        <is>
          <t>KALMAR LÄN</t>
        </is>
      </c>
      <c r="E416" t="inlineStr">
        <is>
          <t>VIMMERBY</t>
        </is>
      </c>
      <c r="G416" t="n">
        <v>0.5</v>
      </c>
      <c r="H416" t="n">
        <v>0</v>
      </c>
      <c r="I416" t="n">
        <v>0</v>
      </c>
      <c r="J416" t="n">
        <v>0</v>
      </c>
      <c r="K416" t="n">
        <v>0</v>
      </c>
      <c r="L416" t="n">
        <v>0</v>
      </c>
      <c r="M416" t="n">
        <v>0</v>
      </c>
      <c r="N416" t="n">
        <v>0</v>
      </c>
      <c r="O416" t="n">
        <v>0</v>
      </c>
      <c r="P416" t="n">
        <v>0</v>
      </c>
      <c r="Q416" t="n">
        <v>0</v>
      </c>
      <c r="R416" s="2" t="inlineStr"/>
    </row>
    <row r="417" ht="15" customHeight="1">
      <c r="A417" t="inlineStr">
        <is>
          <t>A 32380-2025</t>
        </is>
      </c>
      <c r="B417" s="1" t="n">
        <v>45837.77701388889</v>
      </c>
      <c r="C417" s="1" t="n">
        <v>46131</v>
      </c>
      <c r="D417" t="inlineStr">
        <is>
          <t>KALMAR LÄN</t>
        </is>
      </c>
      <c r="E417" t="inlineStr">
        <is>
          <t>VIMMERBY</t>
        </is>
      </c>
      <c r="G417" t="n">
        <v>3.1</v>
      </c>
      <c r="H417" t="n">
        <v>0</v>
      </c>
      <c r="I417" t="n">
        <v>0</v>
      </c>
      <c r="J417" t="n">
        <v>0</v>
      </c>
      <c r="K417" t="n">
        <v>0</v>
      </c>
      <c r="L417" t="n">
        <v>0</v>
      </c>
      <c r="M417" t="n">
        <v>0</v>
      </c>
      <c r="N417" t="n">
        <v>0</v>
      </c>
      <c r="O417" t="n">
        <v>0</v>
      </c>
      <c r="P417" t="n">
        <v>0</v>
      </c>
      <c r="Q417" t="n">
        <v>0</v>
      </c>
      <c r="R417" s="2" t="inlineStr"/>
    </row>
    <row r="418" ht="15" customHeight="1">
      <c r="A418" t="inlineStr">
        <is>
          <t>A 32109-2025</t>
        </is>
      </c>
      <c r="B418" s="1" t="n">
        <v>45835.48267361111</v>
      </c>
      <c r="C418" s="1" t="n">
        <v>46131</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32113-2025</t>
        </is>
      </c>
      <c r="B419" s="1" t="n">
        <v>45835.48445601852</v>
      </c>
      <c r="C419" s="1" t="n">
        <v>46131</v>
      </c>
      <c r="D419" t="inlineStr">
        <is>
          <t>KALMAR LÄN</t>
        </is>
      </c>
      <c r="E419" t="inlineStr">
        <is>
          <t>VIMMERBY</t>
        </is>
      </c>
      <c r="G419" t="n">
        <v>3.5</v>
      </c>
      <c r="H419" t="n">
        <v>0</v>
      </c>
      <c r="I419" t="n">
        <v>0</v>
      </c>
      <c r="J419" t="n">
        <v>0</v>
      </c>
      <c r="K419" t="n">
        <v>0</v>
      </c>
      <c r="L419" t="n">
        <v>0</v>
      </c>
      <c r="M419" t="n">
        <v>0</v>
      </c>
      <c r="N419" t="n">
        <v>0</v>
      </c>
      <c r="O419" t="n">
        <v>0</v>
      </c>
      <c r="P419" t="n">
        <v>0</v>
      </c>
      <c r="Q419" t="n">
        <v>0</v>
      </c>
      <c r="R419" s="2" t="inlineStr"/>
    </row>
    <row r="420" ht="15" customHeight="1">
      <c r="A420" t="inlineStr">
        <is>
          <t>A 20129-2024</t>
        </is>
      </c>
      <c r="B420" s="1" t="n">
        <v>45434.55831018519</v>
      </c>
      <c r="C420" s="1" t="n">
        <v>46131</v>
      </c>
      <c r="D420" t="inlineStr">
        <is>
          <t>KALMAR LÄN</t>
        </is>
      </c>
      <c r="E420" t="inlineStr">
        <is>
          <t>VIMMERBY</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20137-2024</t>
        </is>
      </c>
      <c r="B421" s="1" t="n">
        <v>45434.56398148148</v>
      </c>
      <c r="C421" s="1" t="n">
        <v>46131</v>
      </c>
      <c r="D421" t="inlineStr">
        <is>
          <t>KALMAR LÄN</t>
        </is>
      </c>
      <c r="E421" t="inlineStr">
        <is>
          <t>VIMMERBY</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32077-2025</t>
        </is>
      </c>
      <c r="B422" s="1" t="n">
        <v>45835.45099537037</v>
      </c>
      <c r="C422" s="1" t="n">
        <v>46131</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23095-2023</t>
        </is>
      </c>
      <c r="B423" s="1" t="n">
        <v>45075.43059027778</v>
      </c>
      <c r="C423" s="1" t="n">
        <v>46131</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32919-2022</t>
        </is>
      </c>
      <c r="B424" s="1" t="n">
        <v>44784.62724537037</v>
      </c>
      <c r="C424" s="1" t="n">
        <v>46131</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32064-2025</t>
        </is>
      </c>
      <c r="B425" s="1" t="n">
        <v>45835.44709490741</v>
      </c>
      <c r="C425" s="1" t="n">
        <v>46131</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32065-2025</t>
        </is>
      </c>
      <c r="B426" s="1" t="n">
        <v>45835.44732638889</v>
      </c>
      <c r="C426" s="1" t="n">
        <v>46131</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49871-2025</t>
        </is>
      </c>
      <c r="B427" s="1" t="n">
        <v>45940.54104166666</v>
      </c>
      <c r="C427" s="1" t="n">
        <v>46131</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7068-2024</t>
        </is>
      </c>
      <c r="B428" s="1" t="n">
        <v>45343.68038194445</v>
      </c>
      <c r="C428" s="1" t="n">
        <v>46131</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33186-2025</t>
        </is>
      </c>
      <c r="B429" s="1" t="n">
        <v>45840.59474537037</v>
      </c>
      <c r="C429" s="1" t="n">
        <v>46131</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32655-2023</t>
        </is>
      </c>
      <c r="B430" s="1" t="n">
        <v>45121.61318287037</v>
      </c>
      <c r="C430" s="1" t="n">
        <v>46131</v>
      </c>
      <c r="D430" t="inlineStr">
        <is>
          <t>KALMAR LÄN</t>
        </is>
      </c>
      <c r="E430" t="inlineStr">
        <is>
          <t>VIMMERBY</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50324-2025</t>
        </is>
      </c>
      <c r="B431" s="1" t="n">
        <v>45944.45962962963</v>
      </c>
      <c r="C431" s="1" t="n">
        <v>46131</v>
      </c>
      <c r="D431" t="inlineStr">
        <is>
          <t>KALMAR LÄN</t>
        </is>
      </c>
      <c r="E431" t="inlineStr">
        <is>
          <t>VIMMERBY</t>
        </is>
      </c>
      <c r="G431" t="n">
        <v>2.1</v>
      </c>
      <c r="H431" t="n">
        <v>0</v>
      </c>
      <c r="I431" t="n">
        <v>0</v>
      </c>
      <c r="J431" t="n">
        <v>0</v>
      </c>
      <c r="K431" t="n">
        <v>0</v>
      </c>
      <c r="L431" t="n">
        <v>0</v>
      </c>
      <c r="M431" t="n">
        <v>0</v>
      </c>
      <c r="N431" t="n">
        <v>0</v>
      </c>
      <c r="O431" t="n">
        <v>0</v>
      </c>
      <c r="P431" t="n">
        <v>0</v>
      </c>
      <c r="Q431" t="n">
        <v>0</v>
      </c>
      <c r="R431" s="2" t="inlineStr"/>
    </row>
    <row r="432" ht="15" customHeight="1">
      <c r="A432" t="inlineStr">
        <is>
          <t>A 30977-2025</t>
        </is>
      </c>
      <c r="B432" s="1" t="n">
        <v>45832.46649305556</v>
      </c>
      <c r="C432" s="1" t="n">
        <v>46131</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54409-2024</t>
        </is>
      </c>
      <c r="B433" s="1" t="n">
        <v>45617.47570601852</v>
      </c>
      <c r="C433" s="1" t="n">
        <v>46131</v>
      </c>
      <c r="D433" t="inlineStr">
        <is>
          <t>KALMAR LÄN</t>
        </is>
      </c>
      <c r="E433" t="inlineStr">
        <is>
          <t>VIMMERBY</t>
        </is>
      </c>
      <c r="G433" t="n">
        <v>4.3</v>
      </c>
      <c r="H433" t="n">
        <v>0</v>
      </c>
      <c r="I433" t="n">
        <v>0</v>
      </c>
      <c r="J433" t="n">
        <v>0</v>
      </c>
      <c r="K433" t="n">
        <v>0</v>
      </c>
      <c r="L433" t="n">
        <v>0</v>
      </c>
      <c r="M433" t="n">
        <v>0</v>
      </c>
      <c r="N433" t="n">
        <v>0</v>
      </c>
      <c r="O433" t="n">
        <v>0</v>
      </c>
      <c r="P433" t="n">
        <v>0</v>
      </c>
      <c r="Q433" t="n">
        <v>0</v>
      </c>
      <c r="R433" s="2" t="inlineStr"/>
    </row>
    <row r="434" ht="15" customHeight="1">
      <c r="A434" t="inlineStr">
        <is>
          <t>A 33695-2025</t>
        </is>
      </c>
      <c r="B434" s="1" t="n">
        <v>45841.70569444444</v>
      </c>
      <c r="C434" s="1" t="n">
        <v>46131</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33698-2025</t>
        </is>
      </c>
      <c r="B435" s="1" t="n">
        <v>45841.70868055556</v>
      </c>
      <c r="C435" s="1" t="n">
        <v>46131</v>
      </c>
      <c r="D435" t="inlineStr">
        <is>
          <t>KALMAR LÄN</t>
        </is>
      </c>
      <c r="E435" t="inlineStr">
        <is>
          <t>VIMMERBY</t>
        </is>
      </c>
      <c r="G435" t="n">
        <v>3.7</v>
      </c>
      <c r="H435" t="n">
        <v>0</v>
      </c>
      <c r="I435" t="n">
        <v>0</v>
      </c>
      <c r="J435" t="n">
        <v>0</v>
      </c>
      <c r="K435" t="n">
        <v>0</v>
      </c>
      <c r="L435" t="n">
        <v>0</v>
      </c>
      <c r="M435" t="n">
        <v>0</v>
      </c>
      <c r="N435" t="n">
        <v>0</v>
      </c>
      <c r="O435" t="n">
        <v>0</v>
      </c>
      <c r="P435" t="n">
        <v>0</v>
      </c>
      <c r="Q435" t="n">
        <v>0</v>
      </c>
      <c r="R435" s="2" t="inlineStr"/>
    </row>
    <row r="436" ht="15" customHeight="1">
      <c r="A436" t="inlineStr">
        <is>
          <t>A 33696-2025</t>
        </is>
      </c>
      <c r="B436" s="1" t="n">
        <v>45841.7072337963</v>
      </c>
      <c r="C436" s="1" t="n">
        <v>46131</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50544-2025</t>
        </is>
      </c>
      <c r="B437" s="1" t="n">
        <v>45945.50736111111</v>
      </c>
      <c r="C437" s="1" t="n">
        <v>46131</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9475-2023</t>
        </is>
      </c>
      <c r="B438" s="1" t="n">
        <v>44981.58834490741</v>
      </c>
      <c r="C438" s="1" t="n">
        <v>46131</v>
      </c>
      <c r="D438" t="inlineStr">
        <is>
          <t>KALMAR LÄN</t>
        </is>
      </c>
      <c r="E438" t="inlineStr">
        <is>
          <t>VIMMERBY</t>
        </is>
      </c>
      <c r="G438" t="n">
        <v>2</v>
      </c>
      <c r="H438" t="n">
        <v>0</v>
      </c>
      <c r="I438" t="n">
        <v>0</v>
      </c>
      <c r="J438" t="n">
        <v>0</v>
      </c>
      <c r="K438" t="n">
        <v>0</v>
      </c>
      <c r="L438" t="n">
        <v>0</v>
      </c>
      <c r="M438" t="n">
        <v>0</v>
      </c>
      <c r="N438" t="n">
        <v>0</v>
      </c>
      <c r="O438" t="n">
        <v>0</v>
      </c>
      <c r="P438" t="n">
        <v>0</v>
      </c>
      <c r="Q438" t="n">
        <v>0</v>
      </c>
      <c r="R438" s="2" t="inlineStr"/>
    </row>
    <row r="439" ht="15" customHeight="1">
      <c r="A439" t="inlineStr">
        <is>
          <t>A 28702-2025</t>
        </is>
      </c>
      <c r="B439" s="1" t="n">
        <v>45820.03976851852</v>
      </c>
      <c r="C439" s="1" t="n">
        <v>46131</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51062-2025</t>
        </is>
      </c>
      <c r="B440" s="1" t="n">
        <v>45947.44685185186</v>
      </c>
      <c r="C440" s="1" t="n">
        <v>46131</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43092-2024</t>
        </is>
      </c>
      <c r="B441" s="1" t="n">
        <v>45567</v>
      </c>
      <c r="C441" s="1" t="n">
        <v>46131</v>
      </c>
      <c r="D441" t="inlineStr">
        <is>
          <t>KALMAR LÄN</t>
        </is>
      </c>
      <c r="E441" t="inlineStr">
        <is>
          <t>VIMMERBY</t>
        </is>
      </c>
      <c r="G441" t="n">
        <v>2.7</v>
      </c>
      <c r="H441" t="n">
        <v>0</v>
      </c>
      <c r="I441" t="n">
        <v>0</v>
      </c>
      <c r="J441" t="n">
        <v>0</v>
      </c>
      <c r="K441" t="n">
        <v>0</v>
      </c>
      <c r="L441" t="n">
        <v>0</v>
      </c>
      <c r="M441" t="n">
        <v>0</v>
      </c>
      <c r="N441" t="n">
        <v>0</v>
      </c>
      <c r="O441" t="n">
        <v>0</v>
      </c>
      <c r="P441" t="n">
        <v>0</v>
      </c>
      <c r="Q441" t="n">
        <v>0</v>
      </c>
      <c r="R441" s="2" t="inlineStr"/>
    </row>
    <row r="442" ht="15" customHeight="1">
      <c r="A442" t="inlineStr">
        <is>
          <t>A 11619-2023</t>
        </is>
      </c>
      <c r="B442" s="1" t="n">
        <v>44994.42113425926</v>
      </c>
      <c r="C442" s="1" t="n">
        <v>46131</v>
      </c>
      <c r="D442" t="inlineStr">
        <is>
          <t>KALMAR LÄN</t>
        </is>
      </c>
      <c r="E442" t="inlineStr">
        <is>
          <t>VIMMERBY</t>
        </is>
      </c>
      <c r="G442" t="n">
        <v>2.5</v>
      </c>
      <c r="H442" t="n">
        <v>0</v>
      </c>
      <c r="I442" t="n">
        <v>0</v>
      </c>
      <c r="J442" t="n">
        <v>0</v>
      </c>
      <c r="K442" t="n">
        <v>0</v>
      </c>
      <c r="L442" t="n">
        <v>0</v>
      </c>
      <c r="M442" t="n">
        <v>0</v>
      </c>
      <c r="N442" t="n">
        <v>0</v>
      </c>
      <c r="O442" t="n">
        <v>0</v>
      </c>
      <c r="P442" t="n">
        <v>0</v>
      </c>
      <c r="Q442" t="n">
        <v>0</v>
      </c>
      <c r="R442" s="2" t="inlineStr"/>
    </row>
    <row r="443" ht="15" customHeight="1">
      <c r="A443" t="inlineStr">
        <is>
          <t>A 5074-2023</t>
        </is>
      </c>
      <c r="B443" s="1" t="n">
        <v>44958.61047453704</v>
      </c>
      <c r="C443" s="1" t="n">
        <v>46131</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6368-2023</t>
        </is>
      </c>
      <c r="B444" s="1" t="n">
        <v>44965</v>
      </c>
      <c r="C444" s="1" t="n">
        <v>46131</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34071-2025</t>
        </is>
      </c>
      <c r="B445" s="1" t="n">
        <v>45845.43803240741</v>
      </c>
      <c r="C445" s="1" t="n">
        <v>46131</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34106-2025</t>
        </is>
      </c>
      <c r="B446" s="1" t="n">
        <v>45845.49414351852</v>
      </c>
      <c r="C446" s="1" t="n">
        <v>46131</v>
      </c>
      <c r="D446" t="inlineStr">
        <is>
          <t>KALMAR LÄN</t>
        </is>
      </c>
      <c r="E446" t="inlineStr">
        <is>
          <t>VIMMERBY</t>
        </is>
      </c>
      <c r="G446" t="n">
        <v>6</v>
      </c>
      <c r="H446" t="n">
        <v>0</v>
      </c>
      <c r="I446" t="n">
        <v>0</v>
      </c>
      <c r="J446" t="n">
        <v>0</v>
      </c>
      <c r="K446" t="n">
        <v>0</v>
      </c>
      <c r="L446" t="n">
        <v>0</v>
      </c>
      <c r="M446" t="n">
        <v>0</v>
      </c>
      <c r="N446" t="n">
        <v>0</v>
      </c>
      <c r="O446" t="n">
        <v>0</v>
      </c>
      <c r="P446" t="n">
        <v>0</v>
      </c>
      <c r="Q446" t="n">
        <v>0</v>
      </c>
      <c r="R446" s="2" t="inlineStr"/>
    </row>
    <row r="447" ht="15" customHeight="1">
      <c r="A447" t="inlineStr">
        <is>
          <t>A 5701-2024</t>
        </is>
      </c>
      <c r="B447" s="1" t="n">
        <v>45334.78826388889</v>
      </c>
      <c r="C447" s="1" t="n">
        <v>46131</v>
      </c>
      <c r="D447" t="inlineStr">
        <is>
          <t>KALMAR LÄN</t>
        </is>
      </c>
      <c r="E447" t="inlineStr">
        <is>
          <t>VIMMERBY</t>
        </is>
      </c>
      <c r="G447" t="n">
        <v>2.3</v>
      </c>
      <c r="H447" t="n">
        <v>0</v>
      </c>
      <c r="I447" t="n">
        <v>0</v>
      </c>
      <c r="J447" t="n">
        <v>0</v>
      </c>
      <c r="K447" t="n">
        <v>0</v>
      </c>
      <c r="L447" t="n">
        <v>0</v>
      </c>
      <c r="M447" t="n">
        <v>0</v>
      </c>
      <c r="N447" t="n">
        <v>0</v>
      </c>
      <c r="O447" t="n">
        <v>0</v>
      </c>
      <c r="P447" t="n">
        <v>0</v>
      </c>
      <c r="Q447" t="n">
        <v>0</v>
      </c>
      <c r="R447" s="2" t="inlineStr"/>
    </row>
    <row r="448" ht="15" customHeight="1">
      <c r="A448" t="inlineStr">
        <is>
          <t>A 26956-2025</t>
        </is>
      </c>
      <c r="B448" s="1" t="n">
        <v>45811.45460648148</v>
      </c>
      <c r="C448" s="1" t="n">
        <v>46131</v>
      </c>
      <c r="D448" t="inlineStr">
        <is>
          <t>KALMAR LÄN</t>
        </is>
      </c>
      <c r="E448" t="inlineStr">
        <is>
          <t>VIMMERBY</t>
        </is>
      </c>
      <c r="G448" t="n">
        <v>1.1</v>
      </c>
      <c r="H448" t="n">
        <v>0</v>
      </c>
      <c r="I448" t="n">
        <v>0</v>
      </c>
      <c r="J448" t="n">
        <v>0</v>
      </c>
      <c r="K448" t="n">
        <v>0</v>
      </c>
      <c r="L448" t="n">
        <v>0</v>
      </c>
      <c r="M448" t="n">
        <v>0</v>
      </c>
      <c r="N448" t="n">
        <v>0</v>
      </c>
      <c r="O448" t="n">
        <v>0</v>
      </c>
      <c r="P448" t="n">
        <v>0</v>
      </c>
      <c r="Q448" t="n">
        <v>0</v>
      </c>
      <c r="R448" s="2" t="inlineStr"/>
    </row>
    <row r="449" ht="15" customHeight="1">
      <c r="A449" t="inlineStr">
        <is>
          <t>A 7797-2023</t>
        </is>
      </c>
      <c r="B449" s="1" t="n">
        <v>44973.43075231482</v>
      </c>
      <c r="C449" s="1" t="n">
        <v>46131</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34628-2025</t>
        </is>
      </c>
      <c r="B450" s="1" t="n">
        <v>45847.91280092593</v>
      </c>
      <c r="C450" s="1" t="n">
        <v>46131</v>
      </c>
      <c r="D450" t="inlineStr">
        <is>
          <t>KALMAR LÄN</t>
        </is>
      </c>
      <c r="E450" t="inlineStr">
        <is>
          <t>VIMMERBY</t>
        </is>
      </c>
      <c r="G450" t="n">
        <v>4.2</v>
      </c>
      <c r="H450" t="n">
        <v>0</v>
      </c>
      <c r="I450" t="n">
        <v>0</v>
      </c>
      <c r="J450" t="n">
        <v>0</v>
      </c>
      <c r="K450" t="n">
        <v>0</v>
      </c>
      <c r="L450" t="n">
        <v>0</v>
      </c>
      <c r="M450" t="n">
        <v>0</v>
      </c>
      <c r="N450" t="n">
        <v>0</v>
      </c>
      <c r="O450" t="n">
        <v>0</v>
      </c>
      <c r="P450" t="n">
        <v>0</v>
      </c>
      <c r="Q450" t="n">
        <v>0</v>
      </c>
      <c r="R450" s="2" t="inlineStr"/>
    </row>
    <row r="451" ht="15" customHeight="1">
      <c r="A451" t="inlineStr">
        <is>
          <t>A 24655-2021</t>
        </is>
      </c>
      <c r="B451" s="1" t="n">
        <v>44340</v>
      </c>
      <c r="C451" s="1" t="n">
        <v>46131</v>
      </c>
      <c r="D451" t="inlineStr">
        <is>
          <t>KALMAR LÄN</t>
        </is>
      </c>
      <c r="E451" t="inlineStr">
        <is>
          <t>VIMMERBY</t>
        </is>
      </c>
      <c r="G451" t="n">
        <v>14.9</v>
      </c>
      <c r="H451" t="n">
        <v>0</v>
      </c>
      <c r="I451" t="n">
        <v>0</v>
      </c>
      <c r="J451" t="n">
        <v>0</v>
      </c>
      <c r="K451" t="n">
        <v>0</v>
      </c>
      <c r="L451" t="n">
        <v>0</v>
      </c>
      <c r="M451" t="n">
        <v>0</v>
      </c>
      <c r="N451" t="n">
        <v>0</v>
      </c>
      <c r="O451" t="n">
        <v>0</v>
      </c>
      <c r="P451" t="n">
        <v>0</v>
      </c>
      <c r="Q451" t="n">
        <v>0</v>
      </c>
      <c r="R451" s="2" t="inlineStr"/>
    </row>
    <row r="452" ht="15" customHeight="1">
      <c r="A452" t="inlineStr">
        <is>
          <t>A 8410-2023</t>
        </is>
      </c>
      <c r="B452" s="1" t="n">
        <v>44977</v>
      </c>
      <c r="C452" s="1" t="n">
        <v>46131</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6028-2023</t>
        </is>
      </c>
      <c r="B453" s="1" t="n">
        <v>44964.44356481481</v>
      </c>
      <c r="C453" s="1" t="n">
        <v>46131</v>
      </c>
      <c r="D453" t="inlineStr">
        <is>
          <t>KALMAR LÄN</t>
        </is>
      </c>
      <c r="E453" t="inlineStr">
        <is>
          <t>VIMMERBY</t>
        </is>
      </c>
      <c r="G453" t="n">
        <v>2.5</v>
      </c>
      <c r="H453" t="n">
        <v>0</v>
      </c>
      <c r="I453" t="n">
        <v>0</v>
      </c>
      <c r="J453" t="n">
        <v>0</v>
      </c>
      <c r="K453" t="n">
        <v>0</v>
      </c>
      <c r="L453" t="n">
        <v>0</v>
      </c>
      <c r="M453" t="n">
        <v>0</v>
      </c>
      <c r="N453" t="n">
        <v>0</v>
      </c>
      <c r="O453" t="n">
        <v>0</v>
      </c>
      <c r="P453" t="n">
        <v>0</v>
      </c>
      <c r="Q453" t="n">
        <v>0</v>
      </c>
      <c r="R453" s="2" t="inlineStr"/>
    </row>
    <row r="454" ht="15" customHeight="1">
      <c r="A454" t="inlineStr">
        <is>
          <t>A 35270-2025</t>
        </is>
      </c>
      <c r="B454" s="1" t="n">
        <v>45853.87112268519</v>
      </c>
      <c r="C454" s="1" t="n">
        <v>46131</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35271-2025</t>
        </is>
      </c>
      <c r="B455" s="1" t="n">
        <v>45853.87599537037</v>
      </c>
      <c r="C455" s="1" t="n">
        <v>46131</v>
      </c>
      <c r="D455" t="inlineStr">
        <is>
          <t>KALMAR LÄN</t>
        </is>
      </c>
      <c r="E455" t="inlineStr">
        <is>
          <t>VIMMERBY</t>
        </is>
      </c>
      <c r="G455" t="n">
        <v>0.4</v>
      </c>
      <c r="H455" t="n">
        <v>0</v>
      </c>
      <c r="I455" t="n">
        <v>0</v>
      </c>
      <c r="J455" t="n">
        <v>0</v>
      </c>
      <c r="K455" t="n">
        <v>0</v>
      </c>
      <c r="L455" t="n">
        <v>0</v>
      </c>
      <c r="M455" t="n">
        <v>0</v>
      </c>
      <c r="N455" t="n">
        <v>0</v>
      </c>
      <c r="O455" t="n">
        <v>0</v>
      </c>
      <c r="P455" t="n">
        <v>0</v>
      </c>
      <c r="Q455" t="n">
        <v>0</v>
      </c>
      <c r="R455" s="2" t="inlineStr"/>
    </row>
    <row r="456" ht="15" customHeight="1">
      <c r="A456" t="inlineStr">
        <is>
          <t>A 35272-2025</t>
        </is>
      </c>
      <c r="B456" s="1" t="n">
        <v>45853.88070601852</v>
      </c>
      <c r="C456" s="1" t="n">
        <v>46131</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52823-2024</t>
        </is>
      </c>
      <c r="B457" s="1" t="n">
        <v>45610.59094907407</v>
      </c>
      <c r="C457" s="1" t="n">
        <v>46131</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16953-2025</t>
        </is>
      </c>
      <c r="B458" s="1" t="n">
        <v>45755.44333333334</v>
      </c>
      <c r="C458" s="1" t="n">
        <v>46131</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56853-2022</t>
        </is>
      </c>
      <c r="B459" s="1" t="n">
        <v>44894.49538194444</v>
      </c>
      <c r="C459" s="1" t="n">
        <v>46131</v>
      </c>
      <c r="D459" t="inlineStr">
        <is>
          <t>KALMAR LÄN</t>
        </is>
      </c>
      <c r="E459" t="inlineStr">
        <is>
          <t>VIMMERBY</t>
        </is>
      </c>
      <c r="G459" t="n">
        <v>4.3</v>
      </c>
      <c r="H459" t="n">
        <v>0</v>
      </c>
      <c r="I459" t="n">
        <v>0</v>
      </c>
      <c r="J459" t="n">
        <v>0</v>
      </c>
      <c r="K459" t="n">
        <v>0</v>
      </c>
      <c r="L459" t="n">
        <v>0</v>
      </c>
      <c r="M459" t="n">
        <v>0</v>
      </c>
      <c r="N459" t="n">
        <v>0</v>
      </c>
      <c r="O459" t="n">
        <v>0</v>
      </c>
      <c r="P459" t="n">
        <v>0</v>
      </c>
      <c r="Q459" t="n">
        <v>0</v>
      </c>
      <c r="R459" s="2" t="inlineStr"/>
    </row>
    <row r="460" ht="15" customHeight="1">
      <c r="A460" t="inlineStr">
        <is>
          <t>A 11152-2023</t>
        </is>
      </c>
      <c r="B460" s="1" t="n">
        <v>44992</v>
      </c>
      <c r="C460" s="1" t="n">
        <v>46131</v>
      </c>
      <c r="D460" t="inlineStr">
        <is>
          <t>KALMAR LÄN</t>
        </is>
      </c>
      <c r="E460" t="inlineStr">
        <is>
          <t>VIMMERBY</t>
        </is>
      </c>
      <c r="G460" t="n">
        <v>10.6</v>
      </c>
      <c r="H460" t="n">
        <v>0</v>
      </c>
      <c r="I460" t="n">
        <v>0</v>
      </c>
      <c r="J460" t="n">
        <v>0</v>
      </c>
      <c r="K460" t="n">
        <v>0</v>
      </c>
      <c r="L460" t="n">
        <v>0</v>
      </c>
      <c r="M460" t="n">
        <v>0</v>
      </c>
      <c r="N460" t="n">
        <v>0</v>
      </c>
      <c r="O460" t="n">
        <v>0</v>
      </c>
      <c r="P460" t="n">
        <v>0</v>
      </c>
      <c r="Q460" t="n">
        <v>0</v>
      </c>
      <c r="R460" s="2" t="inlineStr"/>
    </row>
    <row r="461" ht="15" customHeight="1">
      <c r="A461" t="inlineStr">
        <is>
          <t>A 15550-2023</t>
        </is>
      </c>
      <c r="B461" s="1" t="n">
        <v>45020</v>
      </c>
      <c r="C461" s="1" t="n">
        <v>46131</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35597-2025</t>
        </is>
      </c>
      <c r="B462" s="1" t="n">
        <v>45858.66019675926</v>
      </c>
      <c r="C462" s="1" t="n">
        <v>46131</v>
      </c>
      <c r="D462" t="inlineStr">
        <is>
          <t>KALMAR LÄN</t>
        </is>
      </c>
      <c r="E462" t="inlineStr">
        <is>
          <t>VIMMERBY</t>
        </is>
      </c>
      <c r="G462" t="n">
        <v>6.4</v>
      </c>
      <c r="H462" t="n">
        <v>0</v>
      </c>
      <c r="I462" t="n">
        <v>0</v>
      </c>
      <c r="J462" t="n">
        <v>0</v>
      </c>
      <c r="K462" t="n">
        <v>0</v>
      </c>
      <c r="L462" t="n">
        <v>0</v>
      </c>
      <c r="M462" t="n">
        <v>0</v>
      </c>
      <c r="N462" t="n">
        <v>0</v>
      </c>
      <c r="O462" t="n">
        <v>0</v>
      </c>
      <c r="P462" t="n">
        <v>0</v>
      </c>
      <c r="Q462" t="n">
        <v>0</v>
      </c>
      <c r="R462" s="2" t="inlineStr"/>
    </row>
    <row r="463" ht="15" customHeight="1">
      <c r="A463" t="inlineStr">
        <is>
          <t>A 35596-2025</t>
        </is>
      </c>
      <c r="B463" s="1" t="n">
        <v>45858.60641203704</v>
      </c>
      <c r="C463" s="1" t="n">
        <v>46131</v>
      </c>
      <c r="D463" t="inlineStr">
        <is>
          <t>KALMAR LÄN</t>
        </is>
      </c>
      <c r="E463" t="inlineStr">
        <is>
          <t>VIMMERBY</t>
        </is>
      </c>
      <c r="G463" t="n">
        <v>2.8</v>
      </c>
      <c r="H463" t="n">
        <v>0</v>
      </c>
      <c r="I463" t="n">
        <v>0</v>
      </c>
      <c r="J463" t="n">
        <v>0</v>
      </c>
      <c r="K463" t="n">
        <v>0</v>
      </c>
      <c r="L463" t="n">
        <v>0</v>
      </c>
      <c r="M463" t="n">
        <v>0</v>
      </c>
      <c r="N463" t="n">
        <v>0</v>
      </c>
      <c r="O463" t="n">
        <v>0</v>
      </c>
      <c r="P463" t="n">
        <v>0</v>
      </c>
      <c r="Q463" t="n">
        <v>0</v>
      </c>
      <c r="R463" s="2" t="inlineStr"/>
    </row>
    <row r="464" ht="15" customHeight="1">
      <c r="A464" t="inlineStr">
        <is>
          <t>A 31355-2023</t>
        </is>
      </c>
      <c r="B464" s="1" t="n">
        <v>45114.49505787037</v>
      </c>
      <c r="C464" s="1" t="n">
        <v>46131</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18330-2023</t>
        </is>
      </c>
      <c r="B465" s="1" t="n">
        <v>45041</v>
      </c>
      <c r="C465" s="1" t="n">
        <v>46131</v>
      </c>
      <c r="D465" t="inlineStr">
        <is>
          <t>KALMAR LÄN</t>
        </is>
      </c>
      <c r="E465" t="inlineStr">
        <is>
          <t>VIMMERBY</t>
        </is>
      </c>
      <c r="G465" t="n">
        <v>1.7</v>
      </c>
      <c r="H465" t="n">
        <v>0</v>
      </c>
      <c r="I465" t="n">
        <v>0</v>
      </c>
      <c r="J465" t="n">
        <v>0</v>
      </c>
      <c r="K465" t="n">
        <v>0</v>
      </c>
      <c r="L465" t="n">
        <v>0</v>
      </c>
      <c r="M465" t="n">
        <v>0</v>
      </c>
      <c r="N465" t="n">
        <v>0</v>
      </c>
      <c r="O465" t="n">
        <v>0</v>
      </c>
      <c r="P465" t="n">
        <v>0</v>
      </c>
      <c r="Q465" t="n">
        <v>0</v>
      </c>
      <c r="R465" s="2" t="inlineStr"/>
    </row>
    <row r="466" ht="15" customHeight="1">
      <c r="A466" t="inlineStr">
        <is>
          <t>A 58100-2024</t>
        </is>
      </c>
      <c r="B466" s="1" t="n">
        <v>45632.36706018518</v>
      </c>
      <c r="C466" s="1" t="n">
        <v>46131</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27993-2022</t>
        </is>
      </c>
      <c r="B467" s="1" t="n">
        <v>44745.84396990741</v>
      </c>
      <c r="C467" s="1" t="n">
        <v>46131</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19502-2025</t>
        </is>
      </c>
      <c r="B468" s="1" t="n">
        <v>45769</v>
      </c>
      <c r="C468" s="1" t="n">
        <v>46131</v>
      </c>
      <c r="D468" t="inlineStr">
        <is>
          <t>KALMAR LÄN</t>
        </is>
      </c>
      <c r="E468" t="inlineStr">
        <is>
          <t>VIMMERBY</t>
        </is>
      </c>
      <c r="G468" t="n">
        <v>1.9</v>
      </c>
      <c r="H468" t="n">
        <v>0</v>
      </c>
      <c r="I468" t="n">
        <v>0</v>
      </c>
      <c r="J468" t="n">
        <v>0</v>
      </c>
      <c r="K468" t="n">
        <v>0</v>
      </c>
      <c r="L468" t="n">
        <v>0</v>
      </c>
      <c r="M468" t="n">
        <v>0</v>
      </c>
      <c r="N468" t="n">
        <v>0</v>
      </c>
      <c r="O468" t="n">
        <v>0</v>
      </c>
      <c r="P468" t="n">
        <v>0</v>
      </c>
      <c r="Q468" t="n">
        <v>0</v>
      </c>
      <c r="R468" s="2" t="inlineStr"/>
    </row>
    <row r="469" ht="15" customHeight="1">
      <c r="A469" t="inlineStr">
        <is>
          <t>A 38969-2023</t>
        </is>
      </c>
      <c r="B469" s="1" t="n">
        <v>45163.63621527778</v>
      </c>
      <c r="C469" s="1" t="n">
        <v>46131</v>
      </c>
      <c r="D469" t="inlineStr">
        <is>
          <t>KALMAR LÄN</t>
        </is>
      </c>
      <c r="E469" t="inlineStr">
        <is>
          <t>VIMMERBY</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36273-2025</t>
        </is>
      </c>
      <c r="B470" s="1" t="n">
        <v>45867.63094907408</v>
      </c>
      <c r="C470" s="1" t="n">
        <v>46131</v>
      </c>
      <c r="D470" t="inlineStr">
        <is>
          <t>KALMAR LÄN</t>
        </is>
      </c>
      <c r="E470" t="inlineStr">
        <is>
          <t>VIMMERBY</t>
        </is>
      </c>
      <c r="G470" t="n">
        <v>1.7</v>
      </c>
      <c r="H470" t="n">
        <v>0</v>
      </c>
      <c r="I470" t="n">
        <v>0</v>
      </c>
      <c r="J470" t="n">
        <v>0</v>
      </c>
      <c r="K470" t="n">
        <v>0</v>
      </c>
      <c r="L470" t="n">
        <v>0</v>
      </c>
      <c r="M470" t="n">
        <v>0</v>
      </c>
      <c r="N470" t="n">
        <v>0</v>
      </c>
      <c r="O470" t="n">
        <v>0</v>
      </c>
      <c r="P470" t="n">
        <v>0</v>
      </c>
      <c r="Q470" t="n">
        <v>0</v>
      </c>
      <c r="R470" s="2" t="inlineStr"/>
    </row>
    <row r="471" ht="15" customHeight="1">
      <c r="A471" t="inlineStr">
        <is>
          <t>A 53752-2024</t>
        </is>
      </c>
      <c r="B471" s="1" t="n">
        <v>45615.48927083334</v>
      </c>
      <c r="C471" s="1" t="n">
        <v>46131</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36299-2025</t>
        </is>
      </c>
      <c r="B472" s="1" t="n">
        <v>45867.69346064814</v>
      </c>
      <c r="C472" s="1" t="n">
        <v>46131</v>
      </c>
      <c r="D472" t="inlineStr">
        <is>
          <t>KALMAR LÄN</t>
        </is>
      </c>
      <c r="E472" t="inlineStr">
        <is>
          <t>VIMMERBY</t>
        </is>
      </c>
      <c r="G472" t="n">
        <v>7.6</v>
      </c>
      <c r="H472" t="n">
        <v>0</v>
      </c>
      <c r="I472" t="n">
        <v>0</v>
      </c>
      <c r="J472" t="n">
        <v>0</v>
      </c>
      <c r="K472" t="n">
        <v>0</v>
      </c>
      <c r="L472" t="n">
        <v>0</v>
      </c>
      <c r="M472" t="n">
        <v>0</v>
      </c>
      <c r="N472" t="n">
        <v>0</v>
      </c>
      <c r="O472" t="n">
        <v>0</v>
      </c>
      <c r="P472" t="n">
        <v>0</v>
      </c>
      <c r="Q472" t="n">
        <v>0</v>
      </c>
      <c r="R472" s="2" t="inlineStr"/>
    </row>
    <row r="473" ht="15" customHeight="1">
      <c r="A473" t="inlineStr">
        <is>
          <t>A 36221-2025</t>
        </is>
      </c>
      <c r="B473" s="1" t="n">
        <v>45867.50792824074</v>
      </c>
      <c r="C473" s="1" t="n">
        <v>46131</v>
      </c>
      <c r="D473" t="inlineStr">
        <is>
          <t>KALMAR LÄN</t>
        </is>
      </c>
      <c r="E473" t="inlineStr">
        <is>
          <t>VIMMERBY</t>
        </is>
      </c>
      <c r="G473" t="n">
        <v>2.5</v>
      </c>
      <c r="H473" t="n">
        <v>0</v>
      </c>
      <c r="I473" t="n">
        <v>0</v>
      </c>
      <c r="J473" t="n">
        <v>0</v>
      </c>
      <c r="K473" t="n">
        <v>0</v>
      </c>
      <c r="L473" t="n">
        <v>0</v>
      </c>
      <c r="M473" t="n">
        <v>0</v>
      </c>
      <c r="N473" t="n">
        <v>0</v>
      </c>
      <c r="O473" t="n">
        <v>0</v>
      </c>
      <c r="P473" t="n">
        <v>0</v>
      </c>
      <c r="Q473" t="n">
        <v>0</v>
      </c>
      <c r="R473" s="2" t="inlineStr"/>
    </row>
    <row r="474" ht="15" customHeight="1">
      <c r="A474" t="inlineStr">
        <is>
          <t>A 36226-2025</t>
        </is>
      </c>
      <c r="B474" s="1" t="n">
        <v>45867.51630787037</v>
      </c>
      <c r="C474" s="1" t="n">
        <v>46131</v>
      </c>
      <c r="D474" t="inlineStr">
        <is>
          <t>KALMAR LÄN</t>
        </is>
      </c>
      <c r="E474" t="inlineStr">
        <is>
          <t>VIMMERBY</t>
        </is>
      </c>
      <c r="G474" t="n">
        <v>3.1</v>
      </c>
      <c r="H474" t="n">
        <v>0</v>
      </c>
      <c r="I474" t="n">
        <v>0</v>
      </c>
      <c r="J474" t="n">
        <v>0</v>
      </c>
      <c r="K474" t="n">
        <v>0</v>
      </c>
      <c r="L474" t="n">
        <v>0</v>
      </c>
      <c r="M474" t="n">
        <v>0</v>
      </c>
      <c r="N474" t="n">
        <v>0</v>
      </c>
      <c r="O474" t="n">
        <v>0</v>
      </c>
      <c r="P474" t="n">
        <v>0</v>
      </c>
      <c r="Q474" t="n">
        <v>0</v>
      </c>
      <c r="R474" s="2" t="inlineStr"/>
    </row>
    <row r="475" ht="15" customHeight="1">
      <c r="A475" t="inlineStr">
        <is>
          <t>A 36297-2025</t>
        </is>
      </c>
      <c r="B475" s="1" t="n">
        <v>45867.68625</v>
      </c>
      <c r="C475" s="1" t="n">
        <v>46131</v>
      </c>
      <c r="D475" t="inlineStr">
        <is>
          <t>KALMAR LÄN</t>
        </is>
      </c>
      <c r="E475" t="inlineStr">
        <is>
          <t>VIMMERBY</t>
        </is>
      </c>
      <c r="G475" t="n">
        <v>4.9</v>
      </c>
      <c r="H475" t="n">
        <v>0</v>
      </c>
      <c r="I475" t="n">
        <v>0</v>
      </c>
      <c r="J475" t="n">
        <v>0</v>
      </c>
      <c r="K475" t="n">
        <v>0</v>
      </c>
      <c r="L475" t="n">
        <v>0</v>
      </c>
      <c r="M475" t="n">
        <v>0</v>
      </c>
      <c r="N475" t="n">
        <v>0</v>
      </c>
      <c r="O475" t="n">
        <v>0</v>
      </c>
      <c r="P475" t="n">
        <v>0</v>
      </c>
      <c r="Q475" t="n">
        <v>0</v>
      </c>
      <c r="R475" s="2" t="inlineStr"/>
    </row>
    <row r="476" ht="15" customHeight="1">
      <c r="A476" t="inlineStr">
        <is>
          <t>A 36246-2025</t>
        </is>
      </c>
      <c r="B476" s="1" t="n">
        <v>45867.56320601852</v>
      </c>
      <c r="C476" s="1" t="n">
        <v>46131</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36282-2025</t>
        </is>
      </c>
      <c r="B477" s="1" t="n">
        <v>45867.64663194444</v>
      </c>
      <c r="C477" s="1" t="n">
        <v>46131</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36538-2025</t>
        </is>
      </c>
      <c r="B478" s="1" t="n">
        <v>45869.62276620371</v>
      </c>
      <c r="C478" s="1" t="n">
        <v>46131</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36598-2025</t>
        </is>
      </c>
      <c r="B479" s="1" t="n">
        <v>45870.51708333333</v>
      </c>
      <c r="C479" s="1" t="n">
        <v>46131</v>
      </c>
      <c r="D479" t="inlineStr">
        <is>
          <t>KALMAR LÄN</t>
        </is>
      </c>
      <c r="E479" t="inlineStr">
        <is>
          <t>VIMMERBY</t>
        </is>
      </c>
      <c r="G479" t="n">
        <v>3.7</v>
      </c>
      <c r="H479" t="n">
        <v>0</v>
      </c>
      <c r="I479" t="n">
        <v>0</v>
      </c>
      <c r="J479" t="n">
        <v>0</v>
      </c>
      <c r="K479" t="n">
        <v>0</v>
      </c>
      <c r="L479" t="n">
        <v>0</v>
      </c>
      <c r="M479" t="n">
        <v>0</v>
      </c>
      <c r="N479" t="n">
        <v>0</v>
      </c>
      <c r="O479" t="n">
        <v>0</v>
      </c>
      <c r="P479" t="n">
        <v>0</v>
      </c>
      <c r="Q479" t="n">
        <v>0</v>
      </c>
      <c r="R479" s="2" t="inlineStr"/>
    </row>
    <row r="480" ht="15" customHeight="1">
      <c r="A480" t="inlineStr">
        <is>
          <t>A 36602-2025</t>
        </is>
      </c>
      <c r="B480" s="1" t="n">
        <v>45870.52111111111</v>
      </c>
      <c r="C480" s="1" t="n">
        <v>46131</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36600-2025</t>
        </is>
      </c>
      <c r="B481" s="1" t="n">
        <v>45870.51958333333</v>
      </c>
      <c r="C481" s="1" t="n">
        <v>46131</v>
      </c>
      <c r="D481" t="inlineStr">
        <is>
          <t>KALMAR LÄN</t>
        </is>
      </c>
      <c r="E481" t="inlineStr">
        <is>
          <t>VIMMERBY</t>
        </is>
      </c>
      <c r="G481" t="n">
        <v>2</v>
      </c>
      <c r="H481" t="n">
        <v>0</v>
      </c>
      <c r="I481" t="n">
        <v>0</v>
      </c>
      <c r="J481" t="n">
        <v>0</v>
      </c>
      <c r="K481" t="n">
        <v>0</v>
      </c>
      <c r="L481" t="n">
        <v>0</v>
      </c>
      <c r="M481" t="n">
        <v>0</v>
      </c>
      <c r="N481" t="n">
        <v>0</v>
      </c>
      <c r="O481" t="n">
        <v>0</v>
      </c>
      <c r="P481" t="n">
        <v>0</v>
      </c>
      <c r="Q481" t="n">
        <v>0</v>
      </c>
      <c r="R481" s="2" t="inlineStr"/>
    </row>
    <row r="482" ht="15" customHeight="1">
      <c r="A482" t="inlineStr">
        <is>
          <t>A 36601-2025</t>
        </is>
      </c>
      <c r="B482" s="1" t="n">
        <v>45870.52005787037</v>
      </c>
      <c r="C482" s="1" t="n">
        <v>46131</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36603-2025</t>
        </is>
      </c>
      <c r="B483" s="1" t="n">
        <v>45870.52142361111</v>
      </c>
      <c r="C483" s="1" t="n">
        <v>46131</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58728-2024</t>
        </is>
      </c>
      <c r="B484" s="1" t="n">
        <v>45635.66695601852</v>
      </c>
      <c r="C484" s="1" t="n">
        <v>46131</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43242-2024</t>
        </is>
      </c>
      <c r="B485" s="1" t="n">
        <v>45568.30189814815</v>
      </c>
      <c r="C485" s="1" t="n">
        <v>46131</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16983-2023</t>
        </is>
      </c>
      <c r="B486" s="1" t="n">
        <v>45033.76043981482</v>
      </c>
      <c r="C486" s="1" t="n">
        <v>46131</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6405-2025</t>
        </is>
      </c>
      <c r="B487" s="1" t="n">
        <v>45699.45392361111</v>
      </c>
      <c r="C487" s="1" t="n">
        <v>46131</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36843-2023</t>
        </is>
      </c>
      <c r="B488" s="1" t="n">
        <v>45154.49831018518</v>
      </c>
      <c r="C488" s="1" t="n">
        <v>46131</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57486-2024</t>
        </is>
      </c>
      <c r="B489" s="1" t="n">
        <v>45630.35827546296</v>
      </c>
      <c r="C489" s="1" t="n">
        <v>46131</v>
      </c>
      <c r="D489" t="inlineStr">
        <is>
          <t>KALMAR LÄN</t>
        </is>
      </c>
      <c r="E489" t="inlineStr">
        <is>
          <t>VIMMERBY</t>
        </is>
      </c>
      <c r="G489" t="n">
        <v>0.4</v>
      </c>
      <c r="H489" t="n">
        <v>0</v>
      </c>
      <c r="I489" t="n">
        <v>0</v>
      </c>
      <c r="J489" t="n">
        <v>0</v>
      </c>
      <c r="K489" t="n">
        <v>0</v>
      </c>
      <c r="L489" t="n">
        <v>0</v>
      </c>
      <c r="M489" t="n">
        <v>0</v>
      </c>
      <c r="N489" t="n">
        <v>0</v>
      </c>
      <c r="O489" t="n">
        <v>0</v>
      </c>
      <c r="P489" t="n">
        <v>0</v>
      </c>
      <c r="Q489" t="n">
        <v>0</v>
      </c>
      <c r="R489" s="2" t="inlineStr"/>
    </row>
    <row r="490" ht="15" customHeight="1">
      <c r="A490" t="inlineStr">
        <is>
          <t>A 57728-2025</t>
        </is>
      </c>
      <c r="B490" s="1" t="n">
        <v>45981</v>
      </c>
      <c r="C490" s="1" t="n">
        <v>46131</v>
      </c>
      <c r="D490" t="inlineStr">
        <is>
          <t>KALMAR LÄN</t>
        </is>
      </c>
      <c r="E490" t="inlineStr">
        <is>
          <t>VIMMERBY</t>
        </is>
      </c>
      <c r="G490" t="n">
        <v>0.8</v>
      </c>
      <c r="H490" t="n">
        <v>0</v>
      </c>
      <c r="I490" t="n">
        <v>0</v>
      </c>
      <c r="J490" t="n">
        <v>0</v>
      </c>
      <c r="K490" t="n">
        <v>0</v>
      </c>
      <c r="L490" t="n">
        <v>0</v>
      </c>
      <c r="M490" t="n">
        <v>0</v>
      </c>
      <c r="N490" t="n">
        <v>0</v>
      </c>
      <c r="O490" t="n">
        <v>0</v>
      </c>
      <c r="P490" t="n">
        <v>0</v>
      </c>
      <c r="Q490" t="n">
        <v>0</v>
      </c>
      <c r="R490" s="2" t="inlineStr"/>
    </row>
    <row r="491" ht="15" customHeight="1">
      <c r="A491" t="inlineStr">
        <is>
          <t>A 44423-2023</t>
        </is>
      </c>
      <c r="B491" s="1" t="n">
        <v>45189</v>
      </c>
      <c r="C491" s="1" t="n">
        <v>46131</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20-2025</t>
        </is>
      </c>
      <c r="B492" s="1" t="n">
        <v>45658.80232638889</v>
      </c>
      <c r="C492" s="1" t="n">
        <v>46131</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23-2025</t>
        </is>
      </c>
      <c r="B493" s="1" t="n">
        <v>45658.80827546296</v>
      </c>
      <c r="C493" s="1" t="n">
        <v>46131</v>
      </c>
      <c r="D493" t="inlineStr">
        <is>
          <t>KALMAR LÄN</t>
        </is>
      </c>
      <c r="E493" t="inlineStr">
        <is>
          <t>VIMMERBY</t>
        </is>
      </c>
      <c r="G493" t="n">
        <v>1.8</v>
      </c>
      <c r="H493" t="n">
        <v>0</v>
      </c>
      <c r="I493" t="n">
        <v>0</v>
      </c>
      <c r="J493" t="n">
        <v>0</v>
      </c>
      <c r="K493" t="n">
        <v>0</v>
      </c>
      <c r="L493" t="n">
        <v>0</v>
      </c>
      <c r="M493" t="n">
        <v>0</v>
      </c>
      <c r="N493" t="n">
        <v>0</v>
      </c>
      <c r="O493" t="n">
        <v>0</v>
      </c>
      <c r="P493" t="n">
        <v>0</v>
      </c>
      <c r="Q493" t="n">
        <v>0</v>
      </c>
      <c r="R493" s="2" t="inlineStr"/>
    </row>
    <row r="494" ht="15" customHeight="1">
      <c r="A494" t="inlineStr">
        <is>
          <t>A 21496-2023</t>
        </is>
      </c>
      <c r="B494" s="1" t="n">
        <v>45063.49936342592</v>
      </c>
      <c r="C494" s="1" t="n">
        <v>46131</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36934-2025</t>
        </is>
      </c>
      <c r="B495" s="1" t="n">
        <v>45874.57109953704</v>
      </c>
      <c r="C495" s="1" t="n">
        <v>46131</v>
      </c>
      <c r="D495" t="inlineStr">
        <is>
          <t>KALMAR LÄN</t>
        </is>
      </c>
      <c r="E495" t="inlineStr">
        <is>
          <t>VIMMERBY</t>
        </is>
      </c>
      <c r="G495" t="n">
        <v>4.2</v>
      </c>
      <c r="H495" t="n">
        <v>0</v>
      </c>
      <c r="I495" t="n">
        <v>0</v>
      </c>
      <c r="J495" t="n">
        <v>0</v>
      </c>
      <c r="K495" t="n">
        <v>0</v>
      </c>
      <c r="L495" t="n">
        <v>0</v>
      </c>
      <c r="M495" t="n">
        <v>0</v>
      </c>
      <c r="N495" t="n">
        <v>0</v>
      </c>
      <c r="O495" t="n">
        <v>0</v>
      </c>
      <c r="P495" t="n">
        <v>0</v>
      </c>
      <c r="Q495" t="n">
        <v>0</v>
      </c>
      <c r="R495" s="2" t="inlineStr"/>
    </row>
    <row r="496" ht="15" customHeight="1">
      <c r="A496" t="inlineStr">
        <is>
          <t>A 31056-2022</t>
        </is>
      </c>
      <c r="B496" s="1" t="n">
        <v>44769.45805555556</v>
      </c>
      <c r="C496" s="1" t="n">
        <v>46131</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37088-2025</t>
        </is>
      </c>
      <c r="B497" s="1" t="n">
        <v>45875.45716435185</v>
      </c>
      <c r="C497" s="1" t="n">
        <v>46131</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37102-2025</t>
        </is>
      </c>
      <c r="B498" s="1" t="n">
        <v>45875.47454861111</v>
      </c>
      <c r="C498" s="1" t="n">
        <v>46131</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72701-2021</t>
        </is>
      </c>
      <c r="B499" s="1" t="n">
        <v>44546</v>
      </c>
      <c r="C499" s="1" t="n">
        <v>46131</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52294-2023</t>
        </is>
      </c>
      <c r="B500" s="1" t="n">
        <v>45224.60075231481</v>
      </c>
      <c r="C500" s="1" t="n">
        <v>46131</v>
      </c>
      <c r="D500" t="inlineStr">
        <is>
          <t>KALMAR LÄN</t>
        </is>
      </c>
      <c r="E500" t="inlineStr">
        <is>
          <t>VIMMERBY</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61355-2024</t>
        </is>
      </c>
      <c r="B501" s="1" t="n">
        <v>45646.38200231481</v>
      </c>
      <c r="C501" s="1" t="n">
        <v>46131</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37079-2025</t>
        </is>
      </c>
      <c r="B502" s="1" t="n">
        <v>45875.42716435185</v>
      </c>
      <c r="C502" s="1" t="n">
        <v>46131</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37668-2025</t>
        </is>
      </c>
      <c r="B503" s="1" t="n">
        <v>45880.51550925926</v>
      </c>
      <c r="C503" s="1" t="n">
        <v>46131</v>
      </c>
      <c r="D503" t="inlineStr">
        <is>
          <t>KALMAR LÄN</t>
        </is>
      </c>
      <c r="E503" t="inlineStr">
        <is>
          <t>VIMMERBY</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58442-2025</t>
        </is>
      </c>
      <c r="B504" s="1" t="n">
        <v>45985.61635416667</v>
      </c>
      <c r="C504" s="1" t="n">
        <v>46131</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58498-2025</t>
        </is>
      </c>
      <c r="B505" s="1" t="n">
        <v>45985.68671296296</v>
      </c>
      <c r="C505" s="1" t="n">
        <v>46131</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58501-2025</t>
        </is>
      </c>
      <c r="B506" s="1" t="n">
        <v>45985.69153935185</v>
      </c>
      <c r="C506" s="1" t="n">
        <v>46131</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58514-2025</t>
        </is>
      </c>
      <c r="B507" s="1" t="n">
        <v>45985.70513888889</v>
      </c>
      <c r="C507" s="1" t="n">
        <v>46131</v>
      </c>
      <c r="D507" t="inlineStr">
        <is>
          <t>KALMAR LÄN</t>
        </is>
      </c>
      <c r="E507" t="inlineStr">
        <is>
          <t>VIMMERBY</t>
        </is>
      </c>
      <c r="G507" t="n">
        <v>3.7</v>
      </c>
      <c r="H507" t="n">
        <v>0</v>
      </c>
      <c r="I507" t="n">
        <v>0</v>
      </c>
      <c r="J507" t="n">
        <v>0</v>
      </c>
      <c r="K507" t="n">
        <v>0</v>
      </c>
      <c r="L507" t="n">
        <v>0</v>
      </c>
      <c r="M507" t="n">
        <v>0</v>
      </c>
      <c r="N507" t="n">
        <v>0</v>
      </c>
      <c r="O507" t="n">
        <v>0</v>
      </c>
      <c r="P507" t="n">
        <v>0</v>
      </c>
      <c r="Q507" t="n">
        <v>0</v>
      </c>
      <c r="R507" s="2" t="inlineStr"/>
    </row>
    <row r="508" ht="15" customHeight="1">
      <c r="A508" t="inlineStr">
        <is>
          <t>A 33374-2021</t>
        </is>
      </c>
      <c r="B508" s="1" t="n">
        <v>44377</v>
      </c>
      <c r="C508" s="1" t="n">
        <v>46131</v>
      </c>
      <c r="D508" t="inlineStr">
        <is>
          <t>KALMAR LÄN</t>
        </is>
      </c>
      <c r="E508" t="inlineStr">
        <is>
          <t>VIMMERBY</t>
        </is>
      </c>
      <c r="G508" t="n">
        <v>3.3</v>
      </c>
      <c r="H508" t="n">
        <v>0</v>
      </c>
      <c r="I508" t="n">
        <v>0</v>
      </c>
      <c r="J508" t="n">
        <v>0</v>
      </c>
      <c r="K508" t="n">
        <v>0</v>
      </c>
      <c r="L508" t="n">
        <v>0</v>
      </c>
      <c r="M508" t="n">
        <v>0</v>
      </c>
      <c r="N508" t="n">
        <v>0</v>
      </c>
      <c r="O508" t="n">
        <v>0</v>
      </c>
      <c r="P508" t="n">
        <v>0</v>
      </c>
      <c r="Q508" t="n">
        <v>0</v>
      </c>
      <c r="R508" s="2" t="inlineStr"/>
    </row>
    <row r="509" ht="15" customHeight="1">
      <c r="A509" t="inlineStr">
        <is>
          <t>A 37578-2025</t>
        </is>
      </c>
      <c r="B509" s="1" t="n">
        <v>45880.38380787037</v>
      </c>
      <c r="C509" s="1" t="n">
        <v>46131</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10759-2023</t>
        </is>
      </c>
      <c r="B510" s="1" t="n">
        <v>44988</v>
      </c>
      <c r="C510" s="1" t="n">
        <v>46131</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18899-2025</t>
        </is>
      </c>
      <c r="B511" s="1" t="n">
        <v>45764.44931712963</v>
      </c>
      <c r="C511" s="1" t="n">
        <v>46131</v>
      </c>
      <c r="D511" t="inlineStr">
        <is>
          <t>KALMAR LÄN</t>
        </is>
      </c>
      <c r="E511" t="inlineStr">
        <is>
          <t>VIMMERBY</t>
        </is>
      </c>
      <c r="F511" t="inlineStr">
        <is>
          <t>Kommuner</t>
        </is>
      </c>
      <c r="G511" t="n">
        <v>4</v>
      </c>
      <c r="H511" t="n">
        <v>0</v>
      </c>
      <c r="I511" t="n">
        <v>0</v>
      </c>
      <c r="J511" t="n">
        <v>0</v>
      </c>
      <c r="K511" t="n">
        <v>0</v>
      </c>
      <c r="L511" t="n">
        <v>0</v>
      </c>
      <c r="M511" t="n">
        <v>0</v>
      </c>
      <c r="N511" t="n">
        <v>0</v>
      </c>
      <c r="O511" t="n">
        <v>0</v>
      </c>
      <c r="P511" t="n">
        <v>0</v>
      </c>
      <c r="Q511" t="n">
        <v>0</v>
      </c>
      <c r="R511" s="2" t="inlineStr"/>
    </row>
    <row r="512" ht="15" customHeight="1">
      <c r="A512" t="inlineStr">
        <is>
          <t>A 58503-2025</t>
        </is>
      </c>
      <c r="B512" s="1" t="n">
        <v>45985.69509259259</v>
      </c>
      <c r="C512" s="1" t="n">
        <v>46131</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58446-2025</t>
        </is>
      </c>
      <c r="B513" s="1" t="n">
        <v>45985.62168981481</v>
      </c>
      <c r="C513" s="1" t="n">
        <v>46131</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58500-2025</t>
        </is>
      </c>
      <c r="B514" s="1" t="n">
        <v>45985.69008101852</v>
      </c>
      <c r="C514" s="1" t="n">
        <v>46131</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58435-2025</t>
        </is>
      </c>
      <c r="B515" s="1" t="n">
        <v>45985.61501157407</v>
      </c>
      <c r="C515" s="1" t="n">
        <v>46131</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32614-2023</t>
        </is>
      </c>
      <c r="B516" s="1" t="n">
        <v>45121</v>
      </c>
      <c r="C516" s="1" t="n">
        <v>46131</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59037-2025</t>
        </is>
      </c>
      <c r="B517" s="1" t="n">
        <v>45988.36508101852</v>
      </c>
      <c r="C517" s="1" t="n">
        <v>46131</v>
      </c>
      <c r="D517" t="inlineStr">
        <is>
          <t>KALMAR LÄN</t>
        </is>
      </c>
      <c r="E517" t="inlineStr">
        <is>
          <t>VIMMERBY</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59034-2025</t>
        </is>
      </c>
      <c r="B518" s="1" t="n">
        <v>45988.36243055556</v>
      </c>
      <c r="C518" s="1" t="n">
        <v>46131</v>
      </c>
      <c r="D518" t="inlineStr">
        <is>
          <t>KALMAR LÄN</t>
        </is>
      </c>
      <c r="E518" t="inlineStr">
        <is>
          <t>VIMMERBY</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59068-2025</t>
        </is>
      </c>
      <c r="B519" s="1" t="n">
        <v>45988.41725694444</v>
      </c>
      <c r="C519" s="1" t="n">
        <v>46131</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58858-2025</t>
        </is>
      </c>
      <c r="B520" s="1" t="n">
        <v>45987.4243287037</v>
      </c>
      <c r="C520" s="1" t="n">
        <v>46131</v>
      </c>
      <c r="D520" t="inlineStr">
        <is>
          <t>KALMAR LÄN</t>
        </is>
      </c>
      <c r="E520" t="inlineStr">
        <is>
          <t>VIMMERBY</t>
        </is>
      </c>
      <c r="G520" t="n">
        <v>1.2</v>
      </c>
      <c r="H520" t="n">
        <v>0</v>
      </c>
      <c r="I520" t="n">
        <v>0</v>
      </c>
      <c r="J520" t="n">
        <v>0</v>
      </c>
      <c r="K520" t="n">
        <v>0</v>
      </c>
      <c r="L520" t="n">
        <v>0</v>
      </c>
      <c r="M520" t="n">
        <v>0</v>
      </c>
      <c r="N520" t="n">
        <v>0</v>
      </c>
      <c r="O520" t="n">
        <v>0</v>
      </c>
      <c r="P520" t="n">
        <v>0</v>
      </c>
      <c r="Q520" t="n">
        <v>0</v>
      </c>
      <c r="R520" s="2" t="inlineStr"/>
    </row>
    <row r="521" ht="15" customHeight="1">
      <c r="A521" t="inlineStr">
        <is>
          <t>A 59039-2025</t>
        </is>
      </c>
      <c r="B521" s="1" t="n">
        <v>45988.36790509259</v>
      </c>
      <c r="C521" s="1" t="n">
        <v>46131</v>
      </c>
      <c r="D521" t="inlineStr">
        <is>
          <t>KALMAR LÄN</t>
        </is>
      </c>
      <c r="E521" t="inlineStr">
        <is>
          <t>VIMMERBY</t>
        </is>
      </c>
      <c r="F521" t="inlineStr">
        <is>
          <t>Sveaskog</t>
        </is>
      </c>
      <c r="G521" t="n">
        <v>3.2</v>
      </c>
      <c r="H521" t="n">
        <v>0</v>
      </c>
      <c r="I521" t="n">
        <v>0</v>
      </c>
      <c r="J521" t="n">
        <v>0</v>
      </c>
      <c r="K521" t="n">
        <v>0</v>
      </c>
      <c r="L521" t="n">
        <v>0</v>
      </c>
      <c r="M521" t="n">
        <v>0</v>
      </c>
      <c r="N521" t="n">
        <v>0</v>
      </c>
      <c r="O521" t="n">
        <v>0</v>
      </c>
      <c r="P521" t="n">
        <v>0</v>
      </c>
      <c r="Q521" t="n">
        <v>0</v>
      </c>
      <c r="R521" s="2" t="inlineStr"/>
    </row>
    <row r="522" ht="15" customHeight="1">
      <c r="A522" t="inlineStr">
        <is>
          <t>A 61939-2021</t>
        </is>
      </c>
      <c r="B522" s="1" t="n">
        <v>44502</v>
      </c>
      <c r="C522" s="1" t="n">
        <v>46131</v>
      </c>
      <c r="D522" t="inlineStr">
        <is>
          <t>KALMAR LÄN</t>
        </is>
      </c>
      <c r="E522" t="inlineStr">
        <is>
          <t>VIMMERBY</t>
        </is>
      </c>
      <c r="G522" t="n">
        <v>2.7</v>
      </c>
      <c r="H522" t="n">
        <v>0</v>
      </c>
      <c r="I522" t="n">
        <v>0</v>
      </c>
      <c r="J522" t="n">
        <v>0</v>
      </c>
      <c r="K522" t="n">
        <v>0</v>
      </c>
      <c r="L522" t="n">
        <v>0</v>
      </c>
      <c r="M522" t="n">
        <v>0</v>
      </c>
      <c r="N522" t="n">
        <v>0</v>
      </c>
      <c r="O522" t="n">
        <v>0</v>
      </c>
      <c r="P522" t="n">
        <v>0</v>
      </c>
      <c r="Q522" t="n">
        <v>0</v>
      </c>
      <c r="R522" s="2" t="inlineStr"/>
    </row>
    <row r="523" ht="15" customHeight="1">
      <c r="A523" t="inlineStr">
        <is>
          <t>A 58841-2025</t>
        </is>
      </c>
      <c r="B523" s="1" t="n">
        <v>45987.36275462963</v>
      </c>
      <c r="C523" s="1" t="n">
        <v>46131</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37866-2025</t>
        </is>
      </c>
      <c r="B524" s="1" t="n">
        <v>45881</v>
      </c>
      <c r="C524" s="1" t="n">
        <v>46131</v>
      </c>
      <c r="D524" t="inlineStr">
        <is>
          <t>KALMAR LÄN</t>
        </is>
      </c>
      <c r="E524" t="inlineStr">
        <is>
          <t>VIMMERBY</t>
        </is>
      </c>
      <c r="G524" t="n">
        <v>3.4</v>
      </c>
      <c r="H524" t="n">
        <v>0</v>
      </c>
      <c r="I524" t="n">
        <v>0</v>
      </c>
      <c r="J524" t="n">
        <v>0</v>
      </c>
      <c r="K524" t="n">
        <v>0</v>
      </c>
      <c r="L524" t="n">
        <v>0</v>
      </c>
      <c r="M524" t="n">
        <v>0</v>
      </c>
      <c r="N524" t="n">
        <v>0</v>
      </c>
      <c r="O524" t="n">
        <v>0</v>
      </c>
      <c r="P524" t="n">
        <v>0</v>
      </c>
      <c r="Q524" t="n">
        <v>0</v>
      </c>
      <c r="R524" s="2" t="inlineStr"/>
    </row>
    <row r="525" ht="15" customHeight="1">
      <c r="A525" t="inlineStr">
        <is>
          <t>A 37939-2025</t>
        </is>
      </c>
      <c r="B525" s="1" t="n">
        <v>45881.59877314815</v>
      </c>
      <c r="C525" s="1" t="n">
        <v>46131</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59579-2025</t>
        </is>
      </c>
      <c r="B526" s="1" t="n">
        <v>45992.30569444445</v>
      </c>
      <c r="C526" s="1" t="n">
        <v>46131</v>
      </c>
      <c r="D526" t="inlineStr">
        <is>
          <t>KALMAR LÄN</t>
        </is>
      </c>
      <c r="E526" t="inlineStr">
        <is>
          <t>VIMMERBY</t>
        </is>
      </c>
      <c r="G526" t="n">
        <v>1.3</v>
      </c>
      <c r="H526" t="n">
        <v>0</v>
      </c>
      <c r="I526" t="n">
        <v>0</v>
      </c>
      <c r="J526" t="n">
        <v>0</v>
      </c>
      <c r="K526" t="n">
        <v>0</v>
      </c>
      <c r="L526" t="n">
        <v>0</v>
      </c>
      <c r="M526" t="n">
        <v>0</v>
      </c>
      <c r="N526" t="n">
        <v>0</v>
      </c>
      <c r="O526" t="n">
        <v>0</v>
      </c>
      <c r="P526" t="n">
        <v>0</v>
      </c>
      <c r="Q526" t="n">
        <v>0</v>
      </c>
      <c r="R526" s="2" t="inlineStr"/>
    </row>
    <row r="527" ht="15" customHeight="1">
      <c r="A527" t="inlineStr">
        <is>
          <t>A 60180-2025</t>
        </is>
      </c>
      <c r="B527" s="1" t="n">
        <v>45994.46428240741</v>
      </c>
      <c r="C527" s="1" t="n">
        <v>46131</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6218-2025</t>
        </is>
      </c>
      <c r="B528" s="1" t="n">
        <v>45698.53336805556</v>
      </c>
      <c r="C528" s="1" t="n">
        <v>46131</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40076-2021</t>
        </is>
      </c>
      <c r="B529" s="1" t="n">
        <v>44418</v>
      </c>
      <c r="C529" s="1" t="n">
        <v>46131</v>
      </c>
      <c r="D529" t="inlineStr">
        <is>
          <t>KALMAR LÄN</t>
        </is>
      </c>
      <c r="E529" t="inlineStr">
        <is>
          <t>VIMMERBY</t>
        </is>
      </c>
      <c r="G529" t="n">
        <v>2</v>
      </c>
      <c r="H529" t="n">
        <v>0</v>
      </c>
      <c r="I529" t="n">
        <v>0</v>
      </c>
      <c r="J529" t="n">
        <v>0</v>
      </c>
      <c r="K529" t="n">
        <v>0</v>
      </c>
      <c r="L529" t="n">
        <v>0</v>
      </c>
      <c r="M529" t="n">
        <v>0</v>
      </c>
      <c r="N529" t="n">
        <v>0</v>
      </c>
      <c r="O529" t="n">
        <v>0</v>
      </c>
      <c r="P529" t="n">
        <v>0</v>
      </c>
      <c r="Q529" t="n">
        <v>0</v>
      </c>
      <c r="R529" s="2" t="inlineStr"/>
    </row>
    <row r="530" ht="15" customHeight="1">
      <c r="A530" t="inlineStr">
        <is>
          <t>A 60297-2025</t>
        </is>
      </c>
      <c r="B530" s="1" t="n">
        <v>45994</v>
      </c>
      <c r="C530" s="1" t="n">
        <v>46131</v>
      </c>
      <c r="D530" t="inlineStr">
        <is>
          <t>KALMAR LÄN</t>
        </is>
      </c>
      <c r="E530" t="inlineStr">
        <is>
          <t>VIMMERBY</t>
        </is>
      </c>
      <c r="G530" t="n">
        <v>4.2</v>
      </c>
      <c r="H530" t="n">
        <v>0</v>
      </c>
      <c r="I530" t="n">
        <v>0</v>
      </c>
      <c r="J530" t="n">
        <v>0</v>
      </c>
      <c r="K530" t="n">
        <v>0</v>
      </c>
      <c r="L530" t="n">
        <v>0</v>
      </c>
      <c r="M530" t="n">
        <v>0</v>
      </c>
      <c r="N530" t="n">
        <v>0</v>
      </c>
      <c r="O530" t="n">
        <v>0</v>
      </c>
      <c r="P530" t="n">
        <v>0</v>
      </c>
      <c r="Q530" t="n">
        <v>0</v>
      </c>
      <c r="R530" s="2" t="inlineStr"/>
    </row>
    <row r="531" ht="15" customHeight="1">
      <c r="A531" t="inlineStr">
        <is>
          <t>A 12588-2025</t>
        </is>
      </c>
      <c r="B531" s="1" t="n">
        <v>45732.76936342593</v>
      </c>
      <c r="C531" s="1" t="n">
        <v>46131</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25979-2023</t>
        </is>
      </c>
      <c r="B532" s="1" t="n">
        <v>45090.89653935185</v>
      </c>
      <c r="C532" s="1" t="n">
        <v>46131</v>
      </c>
      <c r="D532" t="inlineStr">
        <is>
          <t>KALMAR LÄN</t>
        </is>
      </c>
      <c r="E532" t="inlineStr">
        <is>
          <t>VIMMERBY</t>
        </is>
      </c>
      <c r="G532" t="n">
        <v>2</v>
      </c>
      <c r="H532" t="n">
        <v>0</v>
      </c>
      <c r="I532" t="n">
        <v>0</v>
      </c>
      <c r="J532" t="n">
        <v>0</v>
      </c>
      <c r="K532" t="n">
        <v>0</v>
      </c>
      <c r="L532" t="n">
        <v>0</v>
      </c>
      <c r="M532" t="n">
        <v>0</v>
      </c>
      <c r="N532" t="n">
        <v>0</v>
      </c>
      <c r="O532" t="n">
        <v>0</v>
      </c>
      <c r="P532" t="n">
        <v>0</v>
      </c>
      <c r="Q532" t="n">
        <v>0</v>
      </c>
      <c r="R532" s="2" t="inlineStr"/>
    </row>
    <row r="533" ht="15" customHeight="1">
      <c r="A533" t="inlineStr">
        <is>
          <t>A 25980-2023</t>
        </is>
      </c>
      <c r="B533" s="1" t="n">
        <v>45090.89880787037</v>
      </c>
      <c r="C533" s="1" t="n">
        <v>46131</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46921-2023</t>
        </is>
      </c>
      <c r="B534" s="1" t="n">
        <v>45201.39996527778</v>
      </c>
      <c r="C534" s="1" t="n">
        <v>46131</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10837-2023</t>
        </is>
      </c>
      <c r="B535" s="1" t="n">
        <v>44991.30547453704</v>
      </c>
      <c r="C535" s="1" t="n">
        <v>46131</v>
      </c>
      <c r="D535" t="inlineStr">
        <is>
          <t>KALMAR LÄN</t>
        </is>
      </c>
      <c r="E535" t="inlineStr">
        <is>
          <t>VIMMERBY</t>
        </is>
      </c>
      <c r="G535" t="n">
        <v>7.3</v>
      </c>
      <c r="H535" t="n">
        <v>0</v>
      </c>
      <c r="I535" t="n">
        <v>0</v>
      </c>
      <c r="J535" t="n">
        <v>0</v>
      </c>
      <c r="K535" t="n">
        <v>0</v>
      </c>
      <c r="L535" t="n">
        <v>0</v>
      </c>
      <c r="M535" t="n">
        <v>0</v>
      </c>
      <c r="N535" t="n">
        <v>0</v>
      </c>
      <c r="O535" t="n">
        <v>0</v>
      </c>
      <c r="P535" t="n">
        <v>0</v>
      </c>
      <c r="Q535" t="n">
        <v>0</v>
      </c>
      <c r="R535" s="2" t="inlineStr"/>
    </row>
    <row r="536" ht="15" customHeight="1">
      <c r="A536" t="inlineStr">
        <is>
          <t>A 10838-2023</t>
        </is>
      </c>
      <c r="B536" s="1" t="n">
        <v>44991</v>
      </c>
      <c r="C536" s="1" t="n">
        <v>46131</v>
      </c>
      <c r="D536" t="inlineStr">
        <is>
          <t>KALMAR LÄN</t>
        </is>
      </c>
      <c r="E536" t="inlineStr">
        <is>
          <t>VIMMERBY</t>
        </is>
      </c>
      <c r="G536" t="n">
        <v>5.1</v>
      </c>
      <c r="H536" t="n">
        <v>0</v>
      </c>
      <c r="I536" t="n">
        <v>0</v>
      </c>
      <c r="J536" t="n">
        <v>0</v>
      </c>
      <c r="K536" t="n">
        <v>0</v>
      </c>
      <c r="L536" t="n">
        <v>0</v>
      </c>
      <c r="M536" t="n">
        <v>0</v>
      </c>
      <c r="N536" t="n">
        <v>0</v>
      </c>
      <c r="O536" t="n">
        <v>0</v>
      </c>
      <c r="P536" t="n">
        <v>0</v>
      </c>
      <c r="Q536" t="n">
        <v>0</v>
      </c>
      <c r="R536" s="2" t="inlineStr"/>
    </row>
    <row r="537" ht="15" customHeight="1">
      <c r="A537" t="inlineStr">
        <is>
          <t>A 30912-2023</t>
        </is>
      </c>
      <c r="B537" s="1" t="n">
        <v>45113.41633101852</v>
      </c>
      <c r="C537" s="1" t="n">
        <v>46131</v>
      </c>
      <c r="D537" t="inlineStr">
        <is>
          <t>KALMAR LÄN</t>
        </is>
      </c>
      <c r="E537" t="inlineStr">
        <is>
          <t>VIMMERBY</t>
        </is>
      </c>
      <c r="G537" t="n">
        <v>5</v>
      </c>
      <c r="H537" t="n">
        <v>0</v>
      </c>
      <c r="I537" t="n">
        <v>0</v>
      </c>
      <c r="J537" t="n">
        <v>0</v>
      </c>
      <c r="K537" t="n">
        <v>0</v>
      </c>
      <c r="L537" t="n">
        <v>0</v>
      </c>
      <c r="M537" t="n">
        <v>0</v>
      </c>
      <c r="N537" t="n">
        <v>0</v>
      </c>
      <c r="O537" t="n">
        <v>0</v>
      </c>
      <c r="P537" t="n">
        <v>0</v>
      </c>
      <c r="Q537" t="n">
        <v>0</v>
      </c>
      <c r="R537" s="2" t="inlineStr"/>
    </row>
    <row r="538" ht="15" customHeight="1">
      <c r="A538" t="inlineStr">
        <is>
          <t>A 55436-2023</t>
        </is>
      </c>
      <c r="B538" s="1" t="n">
        <v>45238.4328587963</v>
      </c>
      <c r="C538" s="1" t="n">
        <v>46131</v>
      </c>
      <c r="D538" t="inlineStr">
        <is>
          <t>KALMAR LÄN</t>
        </is>
      </c>
      <c r="E538" t="inlineStr">
        <is>
          <t>VIMMERBY</t>
        </is>
      </c>
      <c r="G538" t="n">
        <v>5.6</v>
      </c>
      <c r="H538" t="n">
        <v>0</v>
      </c>
      <c r="I538" t="n">
        <v>0</v>
      </c>
      <c r="J538" t="n">
        <v>0</v>
      </c>
      <c r="K538" t="n">
        <v>0</v>
      </c>
      <c r="L538" t="n">
        <v>0</v>
      </c>
      <c r="M538" t="n">
        <v>0</v>
      </c>
      <c r="N538" t="n">
        <v>0</v>
      </c>
      <c r="O538" t="n">
        <v>0</v>
      </c>
      <c r="P538" t="n">
        <v>0</v>
      </c>
      <c r="Q538" t="n">
        <v>0</v>
      </c>
      <c r="R538" s="2" t="inlineStr"/>
    </row>
    <row r="539" ht="15" customHeight="1">
      <c r="A539" t="inlineStr">
        <is>
          <t>A 21507-2023</t>
        </is>
      </c>
      <c r="B539" s="1" t="n">
        <v>45063.508125</v>
      </c>
      <c r="C539" s="1" t="n">
        <v>46131</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51187-2023</t>
        </is>
      </c>
      <c r="B540" s="1" t="n">
        <v>45219.40528935185</v>
      </c>
      <c r="C540" s="1" t="n">
        <v>46131</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13290-2025</t>
        </is>
      </c>
      <c r="B541" s="1" t="n">
        <v>45735.56751157407</v>
      </c>
      <c r="C541" s="1" t="n">
        <v>46131</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45560-2021</t>
        </is>
      </c>
      <c r="B542" s="1" t="n">
        <v>44440</v>
      </c>
      <c r="C542" s="1" t="n">
        <v>46131</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16622-2025</t>
        </is>
      </c>
      <c r="B543" s="1" t="n">
        <v>45754.33641203704</v>
      </c>
      <c r="C543" s="1" t="n">
        <v>46131</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61790-2025</t>
        </is>
      </c>
      <c r="B544" s="1" t="n">
        <v>46002.68768518518</v>
      </c>
      <c r="C544" s="1" t="n">
        <v>46131</v>
      </c>
      <c r="D544" t="inlineStr">
        <is>
          <t>KALMAR LÄN</t>
        </is>
      </c>
      <c r="E544" t="inlineStr">
        <is>
          <t>VIMMERBY</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61726-2025</t>
        </is>
      </c>
      <c r="B545" s="1" t="n">
        <v>46002.58822916666</v>
      </c>
      <c r="C545" s="1" t="n">
        <v>46131</v>
      </c>
      <c r="D545" t="inlineStr">
        <is>
          <t>KALMAR LÄN</t>
        </is>
      </c>
      <c r="E545" t="inlineStr">
        <is>
          <t>VIMMERBY</t>
        </is>
      </c>
      <c r="F545" t="inlineStr">
        <is>
          <t>Sveaskog</t>
        </is>
      </c>
      <c r="G545" t="n">
        <v>0.2</v>
      </c>
      <c r="H545" t="n">
        <v>0</v>
      </c>
      <c r="I545" t="n">
        <v>0</v>
      </c>
      <c r="J545" t="n">
        <v>0</v>
      </c>
      <c r="K545" t="n">
        <v>0</v>
      </c>
      <c r="L545" t="n">
        <v>0</v>
      </c>
      <c r="M545" t="n">
        <v>0</v>
      </c>
      <c r="N545" t="n">
        <v>0</v>
      </c>
      <c r="O545" t="n">
        <v>0</v>
      </c>
      <c r="P545" t="n">
        <v>0</v>
      </c>
      <c r="Q545" t="n">
        <v>0</v>
      </c>
      <c r="R545" s="2" t="inlineStr"/>
    </row>
    <row r="546" ht="15" customHeight="1">
      <c r="A546" t="inlineStr">
        <is>
          <t>A 61725-2025</t>
        </is>
      </c>
      <c r="B546" s="1" t="n">
        <v>46002.58680555555</v>
      </c>
      <c r="C546" s="1" t="n">
        <v>46131</v>
      </c>
      <c r="D546" t="inlineStr">
        <is>
          <t>KALMAR LÄN</t>
        </is>
      </c>
      <c r="E546" t="inlineStr">
        <is>
          <t>VIMMERBY</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31340-2023</t>
        </is>
      </c>
      <c r="B547" s="1" t="n">
        <v>45114.47895833333</v>
      </c>
      <c r="C547" s="1" t="n">
        <v>46131</v>
      </c>
      <c r="D547" t="inlineStr">
        <is>
          <t>KALMAR LÄN</t>
        </is>
      </c>
      <c r="E547" t="inlineStr">
        <is>
          <t>VIMMERBY</t>
        </is>
      </c>
      <c r="G547" t="n">
        <v>1.8</v>
      </c>
      <c r="H547" t="n">
        <v>0</v>
      </c>
      <c r="I547" t="n">
        <v>0</v>
      </c>
      <c r="J547" t="n">
        <v>0</v>
      </c>
      <c r="K547" t="n">
        <v>0</v>
      </c>
      <c r="L547" t="n">
        <v>0</v>
      </c>
      <c r="M547" t="n">
        <v>0</v>
      </c>
      <c r="N547" t="n">
        <v>0</v>
      </c>
      <c r="O547" t="n">
        <v>0</v>
      </c>
      <c r="P547" t="n">
        <v>0</v>
      </c>
      <c r="Q547" t="n">
        <v>0</v>
      </c>
      <c r="R547" s="2" t="inlineStr"/>
    </row>
    <row r="548" ht="15" customHeight="1">
      <c r="A548" t="inlineStr">
        <is>
          <t>A 29168-2024</t>
        </is>
      </c>
      <c r="B548" s="1" t="n">
        <v>45482.49870370371</v>
      </c>
      <c r="C548" s="1" t="n">
        <v>46131</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29186-2024</t>
        </is>
      </c>
      <c r="B549" s="1" t="n">
        <v>45482.54844907407</v>
      </c>
      <c r="C549" s="1" t="n">
        <v>46131</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35895-2024</t>
        </is>
      </c>
      <c r="B550" s="1" t="n">
        <v>45533.38870370371</v>
      </c>
      <c r="C550" s="1" t="n">
        <v>46131</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12590-2025</t>
        </is>
      </c>
      <c r="B551" s="1" t="n">
        <v>45732.79925925926</v>
      </c>
      <c r="C551" s="1" t="n">
        <v>46131</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30318-2023</t>
        </is>
      </c>
      <c r="B552" s="1" t="n">
        <v>45111.30824074074</v>
      </c>
      <c r="C552" s="1" t="n">
        <v>46131</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43186-2021</t>
        </is>
      </c>
      <c r="B553" s="1" t="n">
        <v>44431.84840277778</v>
      </c>
      <c r="C553" s="1" t="n">
        <v>46131</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60215-2022</t>
        </is>
      </c>
      <c r="B554" s="1" t="n">
        <v>44910.41346064815</v>
      </c>
      <c r="C554" s="1" t="n">
        <v>46131</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60230-2022</t>
        </is>
      </c>
      <c r="B555" s="1" t="n">
        <v>44910</v>
      </c>
      <c r="C555" s="1" t="n">
        <v>46131</v>
      </c>
      <c r="D555" t="inlineStr">
        <is>
          <t>KALMAR LÄN</t>
        </is>
      </c>
      <c r="E555" t="inlineStr">
        <is>
          <t>VIMMERBY</t>
        </is>
      </c>
      <c r="G555" t="n">
        <v>11.3</v>
      </c>
      <c r="H555" t="n">
        <v>0</v>
      </c>
      <c r="I555" t="n">
        <v>0</v>
      </c>
      <c r="J555" t="n">
        <v>0</v>
      </c>
      <c r="K555" t="n">
        <v>0</v>
      </c>
      <c r="L555" t="n">
        <v>0</v>
      </c>
      <c r="M555" t="n">
        <v>0</v>
      </c>
      <c r="N555" t="n">
        <v>0</v>
      </c>
      <c r="O555" t="n">
        <v>0</v>
      </c>
      <c r="P555" t="n">
        <v>0</v>
      </c>
      <c r="Q555" t="n">
        <v>0</v>
      </c>
      <c r="R555" s="2" t="inlineStr"/>
    </row>
    <row r="556" ht="15" customHeight="1">
      <c r="A556" t="inlineStr">
        <is>
          <t>A 5925-2022</t>
        </is>
      </c>
      <c r="B556" s="1" t="n">
        <v>44598.7384837963</v>
      </c>
      <c r="C556" s="1" t="n">
        <v>46131</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845-2023</t>
        </is>
      </c>
      <c r="B557" s="1" t="n">
        <v>44931</v>
      </c>
      <c r="C557" s="1" t="n">
        <v>46131</v>
      </c>
      <c r="D557" t="inlineStr">
        <is>
          <t>KALMAR LÄN</t>
        </is>
      </c>
      <c r="E557" t="inlineStr">
        <is>
          <t>VIMMERBY</t>
        </is>
      </c>
      <c r="F557" t="inlineStr">
        <is>
          <t>Övriga Aktiebolag</t>
        </is>
      </c>
      <c r="G557" t="n">
        <v>19</v>
      </c>
      <c r="H557" t="n">
        <v>0</v>
      </c>
      <c r="I557" t="n">
        <v>0</v>
      </c>
      <c r="J557" t="n">
        <v>0</v>
      </c>
      <c r="K557" t="n">
        <v>0</v>
      </c>
      <c r="L557" t="n">
        <v>0</v>
      </c>
      <c r="M557" t="n">
        <v>0</v>
      </c>
      <c r="N557" t="n">
        <v>0</v>
      </c>
      <c r="O557" t="n">
        <v>0</v>
      </c>
      <c r="P557" t="n">
        <v>0</v>
      </c>
      <c r="Q557" t="n">
        <v>0</v>
      </c>
      <c r="R557" s="2" t="inlineStr"/>
    </row>
    <row r="558" ht="15" customHeight="1">
      <c r="A558" t="inlineStr">
        <is>
          <t>A 16119-2023</t>
        </is>
      </c>
      <c r="B558" s="1" t="n">
        <v>45027.59450231482</v>
      </c>
      <c r="C558" s="1" t="n">
        <v>46131</v>
      </c>
      <c r="D558" t="inlineStr">
        <is>
          <t>KALMAR LÄN</t>
        </is>
      </c>
      <c r="E558" t="inlineStr">
        <is>
          <t>VIMMERBY</t>
        </is>
      </c>
      <c r="F558" t="inlineStr">
        <is>
          <t>Kommuner</t>
        </is>
      </c>
      <c r="G558" t="n">
        <v>4.4</v>
      </c>
      <c r="H558" t="n">
        <v>0</v>
      </c>
      <c r="I558" t="n">
        <v>0</v>
      </c>
      <c r="J558" t="n">
        <v>0</v>
      </c>
      <c r="K558" t="n">
        <v>0</v>
      </c>
      <c r="L558" t="n">
        <v>0</v>
      </c>
      <c r="M558" t="n">
        <v>0</v>
      </c>
      <c r="N558" t="n">
        <v>0</v>
      </c>
      <c r="O558" t="n">
        <v>0</v>
      </c>
      <c r="P558" t="n">
        <v>0</v>
      </c>
      <c r="Q558" t="n">
        <v>0</v>
      </c>
      <c r="R558" s="2" t="inlineStr"/>
    </row>
    <row r="559" ht="15" customHeight="1">
      <c r="A559" t="inlineStr">
        <is>
          <t>A 30588-2023</t>
        </is>
      </c>
      <c r="B559" s="1" t="n">
        <v>45112.33599537037</v>
      </c>
      <c r="C559" s="1" t="n">
        <v>46131</v>
      </c>
      <c r="D559" t="inlineStr">
        <is>
          <t>KALMAR LÄN</t>
        </is>
      </c>
      <c r="E559" t="inlineStr">
        <is>
          <t>VIMMERBY</t>
        </is>
      </c>
      <c r="G559" t="n">
        <v>2.7</v>
      </c>
      <c r="H559" t="n">
        <v>0</v>
      </c>
      <c r="I559" t="n">
        <v>0</v>
      </c>
      <c r="J559" t="n">
        <v>0</v>
      </c>
      <c r="K559" t="n">
        <v>0</v>
      </c>
      <c r="L559" t="n">
        <v>0</v>
      </c>
      <c r="M559" t="n">
        <v>0</v>
      </c>
      <c r="N559" t="n">
        <v>0</v>
      </c>
      <c r="O559" t="n">
        <v>0</v>
      </c>
      <c r="P559" t="n">
        <v>0</v>
      </c>
      <c r="Q559" t="n">
        <v>0</v>
      </c>
      <c r="R559" s="2" t="inlineStr"/>
    </row>
    <row r="560" ht="15" customHeight="1">
      <c r="A560" t="inlineStr">
        <is>
          <t>A 45528-2021</t>
        </is>
      </c>
      <c r="B560" s="1" t="n">
        <v>44440.60415509259</v>
      </c>
      <c r="C560" s="1" t="n">
        <v>46131</v>
      </c>
      <c r="D560" t="inlineStr">
        <is>
          <t>KALMAR LÄN</t>
        </is>
      </c>
      <c r="E560" t="inlineStr">
        <is>
          <t>VIMMERBY</t>
        </is>
      </c>
      <c r="G560" t="n">
        <v>2.2</v>
      </c>
      <c r="H560" t="n">
        <v>0</v>
      </c>
      <c r="I560" t="n">
        <v>0</v>
      </c>
      <c r="J560" t="n">
        <v>0</v>
      </c>
      <c r="K560" t="n">
        <v>0</v>
      </c>
      <c r="L560" t="n">
        <v>0</v>
      </c>
      <c r="M560" t="n">
        <v>0</v>
      </c>
      <c r="N560" t="n">
        <v>0</v>
      </c>
      <c r="O560" t="n">
        <v>0</v>
      </c>
      <c r="P560" t="n">
        <v>0</v>
      </c>
      <c r="Q560" t="n">
        <v>0</v>
      </c>
      <c r="R560" s="2" t="inlineStr"/>
    </row>
    <row r="561" ht="15" customHeight="1">
      <c r="A561" t="inlineStr">
        <is>
          <t>A 16516-2023</t>
        </is>
      </c>
      <c r="B561" s="1" t="n">
        <v>45029</v>
      </c>
      <c r="C561" s="1" t="n">
        <v>46131</v>
      </c>
      <c r="D561" t="inlineStr">
        <is>
          <t>KALMAR LÄN</t>
        </is>
      </c>
      <c r="E561" t="inlineStr">
        <is>
          <t>VIMMERBY</t>
        </is>
      </c>
      <c r="G561" t="n">
        <v>4.3</v>
      </c>
      <c r="H561" t="n">
        <v>0</v>
      </c>
      <c r="I561" t="n">
        <v>0</v>
      </c>
      <c r="J561" t="n">
        <v>0</v>
      </c>
      <c r="K561" t="n">
        <v>0</v>
      </c>
      <c r="L561" t="n">
        <v>0</v>
      </c>
      <c r="M561" t="n">
        <v>0</v>
      </c>
      <c r="N561" t="n">
        <v>0</v>
      </c>
      <c r="O561" t="n">
        <v>0</v>
      </c>
      <c r="P561" t="n">
        <v>0</v>
      </c>
      <c r="Q561" t="n">
        <v>0</v>
      </c>
      <c r="R561" s="2" t="inlineStr"/>
    </row>
    <row r="562" ht="15" customHeight="1">
      <c r="A562" t="inlineStr">
        <is>
          <t>A 2510-2023</t>
        </is>
      </c>
      <c r="B562" s="1" t="n">
        <v>44943.57309027778</v>
      </c>
      <c r="C562" s="1" t="n">
        <v>46131</v>
      </c>
      <c r="D562" t="inlineStr">
        <is>
          <t>KALMAR LÄN</t>
        </is>
      </c>
      <c r="E562" t="inlineStr">
        <is>
          <t>VIMMERBY</t>
        </is>
      </c>
      <c r="G562" t="n">
        <v>8.6</v>
      </c>
      <c r="H562" t="n">
        <v>0</v>
      </c>
      <c r="I562" t="n">
        <v>0</v>
      </c>
      <c r="J562" t="n">
        <v>0</v>
      </c>
      <c r="K562" t="n">
        <v>0</v>
      </c>
      <c r="L562" t="n">
        <v>0</v>
      </c>
      <c r="M562" t="n">
        <v>0</v>
      </c>
      <c r="N562" t="n">
        <v>0</v>
      </c>
      <c r="O562" t="n">
        <v>0</v>
      </c>
      <c r="P562" t="n">
        <v>0</v>
      </c>
      <c r="Q562" t="n">
        <v>0</v>
      </c>
      <c r="R562" s="2" t="inlineStr"/>
    </row>
    <row r="563" ht="15" customHeight="1">
      <c r="A563" t="inlineStr">
        <is>
          <t>A 48373-2021</t>
        </is>
      </c>
      <c r="B563" s="1" t="n">
        <v>44451</v>
      </c>
      <c r="C563" s="1" t="n">
        <v>46131</v>
      </c>
      <c r="D563" t="inlineStr">
        <is>
          <t>KALMAR LÄN</t>
        </is>
      </c>
      <c r="E563" t="inlineStr">
        <is>
          <t>VIMMERBY</t>
        </is>
      </c>
      <c r="G563" t="n">
        <v>2.2</v>
      </c>
      <c r="H563" t="n">
        <v>0</v>
      </c>
      <c r="I563" t="n">
        <v>0</v>
      </c>
      <c r="J563" t="n">
        <v>0</v>
      </c>
      <c r="K563" t="n">
        <v>0</v>
      </c>
      <c r="L563" t="n">
        <v>0</v>
      </c>
      <c r="M563" t="n">
        <v>0</v>
      </c>
      <c r="N563" t="n">
        <v>0</v>
      </c>
      <c r="O563" t="n">
        <v>0</v>
      </c>
      <c r="P563" t="n">
        <v>0</v>
      </c>
      <c r="Q563" t="n">
        <v>0</v>
      </c>
      <c r="R563" s="2" t="inlineStr"/>
    </row>
    <row r="564" ht="15" customHeight="1">
      <c r="A564" t="inlineStr">
        <is>
          <t>A 7485-2024</t>
        </is>
      </c>
      <c r="B564" s="1" t="n">
        <v>45346.67184027778</v>
      </c>
      <c r="C564" s="1" t="n">
        <v>46131</v>
      </c>
      <c r="D564" t="inlineStr">
        <is>
          <t>KALMAR LÄN</t>
        </is>
      </c>
      <c r="E564" t="inlineStr">
        <is>
          <t>VIMMERBY</t>
        </is>
      </c>
      <c r="G564" t="n">
        <v>1.9</v>
      </c>
      <c r="H564" t="n">
        <v>0</v>
      </c>
      <c r="I564" t="n">
        <v>0</v>
      </c>
      <c r="J564" t="n">
        <v>0</v>
      </c>
      <c r="K564" t="n">
        <v>0</v>
      </c>
      <c r="L564" t="n">
        <v>0</v>
      </c>
      <c r="M564" t="n">
        <v>0</v>
      </c>
      <c r="N564" t="n">
        <v>0</v>
      </c>
      <c r="O564" t="n">
        <v>0</v>
      </c>
      <c r="P564" t="n">
        <v>0</v>
      </c>
      <c r="Q564" t="n">
        <v>0</v>
      </c>
      <c r="R564" s="2" t="inlineStr"/>
    </row>
    <row r="565" ht="15" customHeight="1">
      <c r="A565" t="inlineStr">
        <is>
          <t>A 6574-2023</t>
        </is>
      </c>
      <c r="B565" s="1" t="n">
        <v>44966</v>
      </c>
      <c r="C565" s="1" t="n">
        <v>46131</v>
      </c>
      <c r="D565" t="inlineStr">
        <is>
          <t>KALMAR LÄN</t>
        </is>
      </c>
      <c r="E565" t="inlineStr">
        <is>
          <t>VIMMERBY</t>
        </is>
      </c>
      <c r="G565" t="n">
        <v>2.5</v>
      </c>
      <c r="H565" t="n">
        <v>0</v>
      </c>
      <c r="I565" t="n">
        <v>0</v>
      </c>
      <c r="J565" t="n">
        <v>0</v>
      </c>
      <c r="K565" t="n">
        <v>0</v>
      </c>
      <c r="L565" t="n">
        <v>0</v>
      </c>
      <c r="M565" t="n">
        <v>0</v>
      </c>
      <c r="N565" t="n">
        <v>0</v>
      </c>
      <c r="O565" t="n">
        <v>0</v>
      </c>
      <c r="P565" t="n">
        <v>0</v>
      </c>
      <c r="Q565" t="n">
        <v>0</v>
      </c>
      <c r="R565" s="2" t="inlineStr"/>
    </row>
    <row r="566" ht="15" customHeight="1">
      <c r="A566" t="inlineStr">
        <is>
          <t>A 20054-2023</t>
        </is>
      </c>
      <c r="B566" s="1" t="n">
        <v>45054.6750462963</v>
      </c>
      <c r="C566" s="1" t="n">
        <v>46131</v>
      </c>
      <c r="D566" t="inlineStr">
        <is>
          <t>KALMAR LÄN</t>
        </is>
      </c>
      <c r="E566" t="inlineStr">
        <is>
          <t>VIMMERBY</t>
        </is>
      </c>
      <c r="G566" t="n">
        <v>2.4</v>
      </c>
      <c r="H566" t="n">
        <v>0</v>
      </c>
      <c r="I566" t="n">
        <v>0</v>
      </c>
      <c r="J566" t="n">
        <v>0</v>
      </c>
      <c r="K566" t="n">
        <v>0</v>
      </c>
      <c r="L566" t="n">
        <v>0</v>
      </c>
      <c r="M566" t="n">
        <v>0</v>
      </c>
      <c r="N566" t="n">
        <v>0</v>
      </c>
      <c r="O566" t="n">
        <v>0</v>
      </c>
      <c r="P566" t="n">
        <v>0</v>
      </c>
      <c r="Q566" t="n">
        <v>0</v>
      </c>
      <c r="R566" s="2" t="inlineStr"/>
    </row>
    <row r="567" ht="15" customHeight="1">
      <c r="A567" t="inlineStr">
        <is>
          <t>A 58750-2022</t>
        </is>
      </c>
      <c r="B567" s="1" t="n">
        <v>44903.33363425926</v>
      </c>
      <c r="C567" s="1" t="n">
        <v>46131</v>
      </c>
      <c r="D567" t="inlineStr">
        <is>
          <t>KALMAR LÄN</t>
        </is>
      </c>
      <c r="E567" t="inlineStr">
        <is>
          <t>VIMMERBY</t>
        </is>
      </c>
      <c r="G567" t="n">
        <v>3.3</v>
      </c>
      <c r="H567" t="n">
        <v>0</v>
      </c>
      <c r="I567" t="n">
        <v>0</v>
      </c>
      <c r="J567" t="n">
        <v>0</v>
      </c>
      <c r="K567" t="n">
        <v>0</v>
      </c>
      <c r="L567" t="n">
        <v>0</v>
      </c>
      <c r="M567" t="n">
        <v>0</v>
      </c>
      <c r="N567" t="n">
        <v>0</v>
      </c>
      <c r="O567" t="n">
        <v>0</v>
      </c>
      <c r="P567" t="n">
        <v>0</v>
      </c>
      <c r="Q567" t="n">
        <v>0</v>
      </c>
      <c r="R567" s="2" t="inlineStr"/>
    </row>
    <row r="568" ht="15" customHeight="1">
      <c r="A568" t="inlineStr">
        <is>
          <t>A 61937-2025</t>
        </is>
      </c>
      <c r="B568" s="1" t="n">
        <v>46003</v>
      </c>
      <c r="C568" s="1" t="n">
        <v>46131</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63711-2025</t>
        </is>
      </c>
      <c r="B569" s="1" t="n">
        <v>46014.62724537037</v>
      </c>
      <c r="C569" s="1" t="n">
        <v>46131</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44578.62943287037</v>
      </c>
      <c r="C570" s="1" t="n">
        <v>46131</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50860-2022</t>
        </is>
      </c>
      <c r="B571" s="1" t="n">
        <v>44867</v>
      </c>
      <c r="C571" s="1" t="n">
        <v>46131</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53483-2022</t>
        </is>
      </c>
      <c r="B572" s="1" t="n">
        <v>44879.55940972222</v>
      </c>
      <c r="C572" s="1" t="n">
        <v>46131</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58962-2022</t>
        </is>
      </c>
      <c r="B573" s="1" t="n">
        <v>44903</v>
      </c>
      <c r="C573" s="1" t="n">
        <v>46131</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63845-2025</t>
        </is>
      </c>
      <c r="B574" s="1" t="n">
        <v>46020.43715277778</v>
      </c>
      <c r="C574" s="1" t="n">
        <v>46131</v>
      </c>
      <c r="D574" t="inlineStr">
        <is>
          <t>KALMAR LÄN</t>
        </is>
      </c>
      <c r="E574" t="inlineStr">
        <is>
          <t>VIMMERBY</t>
        </is>
      </c>
      <c r="G574" t="n">
        <v>3.8</v>
      </c>
      <c r="H574" t="n">
        <v>0</v>
      </c>
      <c r="I574" t="n">
        <v>0</v>
      </c>
      <c r="J574" t="n">
        <v>0</v>
      </c>
      <c r="K574" t="n">
        <v>0</v>
      </c>
      <c r="L574" t="n">
        <v>0</v>
      </c>
      <c r="M574" t="n">
        <v>0</v>
      </c>
      <c r="N574" t="n">
        <v>0</v>
      </c>
      <c r="O574" t="n">
        <v>0</v>
      </c>
      <c r="P574" t="n">
        <v>0</v>
      </c>
      <c r="Q574" t="n">
        <v>0</v>
      </c>
      <c r="R574" s="2" t="inlineStr"/>
    </row>
    <row r="575" ht="15" customHeight="1">
      <c r="A575" t="inlineStr">
        <is>
          <t>A 63848-2025</t>
        </is>
      </c>
      <c r="B575" s="1" t="n">
        <v>46020.44902777778</v>
      </c>
      <c r="C575" s="1" t="n">
        <v>46131</v>
      </c>
      <c r="D575" t="inlineStr">
        <is>
          <t>KALMAR LÄN</t>
        </is>
      </c>
      <c r="E575" t="inlineStr">
        <is>
          <t>VIMMERBY</t>
        </is>
      </c>
      <c r="G575" t="n">
        <v>3.4</v>
      </c>
      <c r="H575" t="n">
        <v>0</v>
      </c>
      <c r="I575" t="n">
        <v>0</v>
      </c>
      <c r="J575" t="n">
        <v>0</v>
      </c>
      <c r="K575" t="n">
        <v>0</v>
      </c>
      <c r="L575" t="n">
        <v>0</v>
      </c>
      <c r="M575" t="n">
        <v>0</v>
      </c>
      <c r="N575" t="n">
        <v>0</v>
      </c>
      <c r="O575" t="n">
        <v>0</v>
      </c>
      <c r="P575" t="n">
        <v>0</v>
      </c>
      <c r="Q575" t="n">
        <v>0</v>
      </c>
      <c r="R575" s="2" t="inlineStr"/>
    </row>
    <row r="576" ht="15" customHeight="1">
      <c r="A576" t="inlineStr">
        <is>
          <t>A 58967-2022</t>
        </is>
      </c>
      <c r="B576" s="1" t="n">
        <v>44896</v>
      </c>
      <c r="C576" s="1" t="n">
        <v>46131</v>
      </c>
      <c r="D576" t="inlineStr">
        <is>
          <t>KALMAR LÄN</t>
        </is>
      </c>
      <c r="E576" t="inlineStr">
        <is>
          <t>VIMMERBY</t>
        </is>
      </c>
      <c r="G576" t="n">
        <v>5</v>
      </c>
      <c r="H576" t="n">
        <v>0</v>
      </c>
      <c r="I576" t="n">
        <v>0</v>
      </c>
      <c r="J576" t="n">
        <v>0</v>
      </c>
      <c r="K576" t="n">
        <v>0</v>
      </c>
      <c r="L576" t="n">
        <v>0</v>
      </c>
      <c r="M576" t="n">
        <v>0</v>
      </c>
      <c r="N576" t="n">
        <v>0</v>
      </c>
      <c r="O576" t="n">
        <v>0</v>
      </c>
      <c r="P576" t="n">
        <v>0</v>
      </c>
      <c r="Q576" t="n">
        <v>0</v>
      </c>
      <c r="R576" s="2" t="inlineStr"/>
    </row>
    <row r="577" ht="15" customHeight="1">
      <c r="A577" t="inlineStr">
        <is>
          <t>A 63758-2025</t>
        </is>
      </c>
      <c r="B577" s="1" t="n">
        <v>46018.46483796297</v>
      </c>
      <c r="C577" s="1" t="n">
        <v>46131</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57682-2022</t>
        </is>
      </c>
      <c r="B578" s="1" t="n">
        <v>44890</v>
      </c>
      <c r="C578" s="1" t="n">
        <v>46131</v>
      </c>
      <c r="D578" t="inlineStr">
        <is>
          <t>KALMAR LÄN</t>
        </is>
      </c>
      <c r="E578" t="inlineStr">
        <is>
          <t>VIMMERBY</t>
        </is>
      </c>
      <c r="G578" t="n">
        <v>1.5</v>
      </c>
      <c r="H578" t="n">
        <v>0</v>
      </c>
      <c r="I578" t="n">
        <v>0</v>
      </c>
      <c r="J578" t="n">
        <v>0</v>
      </c>
      <c r="K578" t="n">
        <v>0</v>
      </c>
      <c r="L578" t="n">
        <v>0</v>
      </c>
      <c r="M578" t="n">
        <v>0</v>
      </c>
      <c r="N578" t="n">
        <v>0</v>
      </c>
      <c r="O578" t="n">
        <v>0</v>
      </c>
      <c r="P578" t="n">
        <v>0</v>
      </c>
      <c r="Q578" t="n">
        <v>0</v>
      </c>
      <c r="R578" s="2" t="inlineStr"/>
    </row>
    <row r="579" ht="15" customHeight="1">
      <c r="A579" t="inlineStr">
        <is>
          <t>A 63839-2025</t>
        </is>
      </c>
      <c r="B579" s="1" t="n">
        <v>46020.41998842593</v>
      </c>
      <c r="C579" s="1" t="n">
        <v>46131</v>
      </c>
      <c r="D579" t="inlineStr">
        <is>
          <t>KALMAR LÄN</t>
        </is>
      </c>
      <c r="E579" t="inlineStr">
        <is>
          <t>VIMMERBY</t>
        </is>
      </c>
      <c r="G579" t="n">
        <v>2.9</v>
      </c>
      <c r="H579" t="n">
        <v>0</v>
      </c>
      <c r="I579" t="n">
        <v>0</v>
      </c>
      <c r="J579" t="n">
        <v>0</v>
      </c>
      <c r="K579" t="n">
        <v>0</v>
      </c>
      <c r="L579" t="n">
        <v>0</v>
      </c>
      <c r="M579" t="n">
        <v>0</v>
      </c>
      <c r="N579" t="n">
        <v>0</v>
      </c>
      <c r="O579" t="n">
        <v>0</v>
      </c>
      <c r="P579" t="n">
        <v>0</v>
      </c>
      <c r="Q579" t="n">
        <v>0</v>
      </c>
      <c r="R579" s="2" t="inlineStr"/>
    </row>
    <row r="580" ht="15" customHeight="1">
      <c r="A580" t="inlineStr">
        <is>
          <t>A 63762-2025</t>
        </is>
      </c>
      <c r="B580" s="1" t="n">
        <v>46018.67197916667</v>
      </c>
      <c r="C580" s="1" t="n">
        <v>46131</v>
      </c>
      <c r="D580" t="inlineStr">
        <is>
          <t>KALMAR LÄN</t>
        </is>
      </c>
      <c r="E580" t="inlineStr">
        <is>
          <t>VIMMERBY</t>
        </is>
      </c>
      <c r="G580" t="n">
        <v>2.5</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44588.37998842593</v>
      </c>
      <c r="C581" s="1" t="n">
        <v>46131</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46131</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9624-2024</t>
        </is>
      </c>
      <c r="B583" s="1" t="n">
        <v>45361.90282407407</v>
      </c>
      <c r="C583" s="1" t="n">
        <v>46131</v>
      </c>
      <c r="D583" t="inlineStr">
        <is>
          <t>KALMAR LÄN</t>
        </is>
      </c>
      <c r="E583" t="inlineStr">
        <is>
          <t>VIMMERBY</t>
        </is>
      </c>
      <c r="G583" t="n">
        <v>3.8</v>
      </c>
      <c r="H583" t="n">
        <v>0</v>
      </c>
      <c r="I583" t="n">
        <v>0</v>
      </c>
      <c r="J583" t="n">
        <v>0</v>
      </c>
      <c r="K583" t="n">
        <v>0</v>
      </c>
      <c r="L583" t="n">
        <v>0</v>
      </c>
      <c r="M583" t="n">
        <v>0</v>
      </c>
      <c r="N583" t="n">
        <v>0</v>
      </c>
      <c r="O583" t="n">
        <v>0</v>
      </c>
      <c r="P583" t="n">
        <v>0</v>
      </c>
      <c r="Q583" t="n">
        <v>0</v>
      </c>
      <c r="R583" s="2" t="inlineStr"/>
    </row>
    <row r="584" ht="15" customHeight="1">
      <c r="A584" t="inlineStr">
        <is>
          <t>A 52327-2023</t>
        </is>
      </c>
      <c r="B584" s="1" t="n">
        <v>45224.6515162037</v>
      </c>
      <c r="C584" s="1" t="n">
        <v>46131</v>
      </c>
      <c r="D584" t="inlineStr">
        <is>
          <t>KALMAR LÄN</t>
        </is>
      </c>
      <c r="E584" t="inlineStr">
        <is>
          <t>VIMMERBY</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409-2026</t>
        </is>
      </c>
      <c r="B585" s="1" t="n">
        <v>46028.69432870371</v>
      </c>
      <c r="C585" s="1" t="n">
        <v>46131</v>
      </c>
      <c r="D585" t="inlineStr">
        <is>
          <t>KALMAR LÄN</t>
        </is>
      </c>
      <c r="E585" t="inlineStr">
        <is>
          <t>VIMMERBY</t>
        </is>
      </c>
      <c r="G585" t="n">
        <v>2.2</v>
      </c>
      <c r="H585" t="n">
        <v>0</v>
      </c>
      <c r="I585" t="n">
        <v>0</v>
      </c>
      <c r="J585" t="n">
        <v>0</v>
      </c>
      <c r="K585" t="n">
        <v>0</v>
      </c>
      <c r="L585" t="n">
        <v>0</v>
      </c>
      <c r="M585" t="n">
        <v>0</v>
      </c>
      <c r="N585" t="n">
        <v>0</v>
      </c>
      <c r="O585" t="n">
        <v>0</v>
      </c>
      <c r="P585" t="n">
        <v>0</v>
      </c>
      <c r="Q585" t="n">
        <v>0</v>
      </c>
      <c r="R585" s="2" t="inlineStr"/>
    </row>
    <row r="586" ht="15" customHeight="1">
      <c r="A586" t="inlineStr">
        <is>
          <t>A 29616-2022</t>
        </is>
      </c>
      <c r="B586" s="1" t="n">
        <v>44754</v>
      </c>
      <c r="C586" s="1" t="n">
        <v>46131</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29348-2023</t>
        </is>
      </c>
      <c r="B587" s="1" t="n">
        <v>45106.25025462963</v>
      </c>
      <c r="C587" s="1" t="n">
        <v>46131</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28403-2023</t>
        </is>
      </c>
      <c r="B588" s="1" t="n">
        <v>45100.85270833333</v>
      </c>
      <c r="C588" s="1" t="n">
        <v>46131</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17511-2024</t>
        </is>
      </c>
      <c r="B589" s="1" t="n">
        <v>45415.57682870371</v>
      </c>
      <c r="C589" s="1" t="n">
        <v>46131</v>
      </c>
      <c r="D589" t="inlineStr">
        <is>
          <t>KALMAR LÄN</t>
        </is>
      </c>
      <c r="E589" t="inlineStr">
        <is>
          <t>VIMMERBY</t>
        </is>
      </c>
      <c r="G589" t="n">
        <v>5.3</v>
      </c>
      <c r="H589" t="n">
        <v>0</v>
      </c>
      <c r="I589" t="n">
        <v>0</v>
      </c>
      <c r="J589" t="n">
        <v>0</v>
      </c>
      <c r="K589" t="n">
        <v>0</v>
      </c>
      <c r="L589" t="n">
        <v>0</v>
      </c>
      <c r="M589" t="n">
        <v>0</v>
      </c>
      <c r="N589" t="n">
        <v>0</v>
      </c>
      <c r="O589" t="n">
        <v>0</v>
      </c>
      <c r="P589" t="n">
        <v>0</v>
      </c>
      <c r="Q589" t="n">
        <v>0</v>
      </c>
      <c r="R589" s="2" t="inlineStr"/>
    </row>
    <row r="590" ht="15" customHeight="1">
      <c r="A590" t="inlineStr">
        <is>
          <t>A 406-2026</t>
        </is>
      </c>
      <c r="B590" s="1" t="n">
        <v>46028.68663194445</v>
      </c>
      <c r="C590" s="1" t="n">
        <v>46131</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66022-2021</t>
        </is>
      </c>
      <c r="B591" s="1" t="n">
        <v>44517</v>
      </c>
      <c r="C591" s="1" t="n">
        <v>46131</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29973-2023</t>
        </is>
      </c>
      <c r="B592" s="1" t="n">
        <v>45108.703125</v>
      </c>
      <c r="C592" s="1" t="n">
        <v>46131</v>
      </c>
      <c r="D592" t="inlineStr">
        <is>
          <t>KALMAR LÄN</t>
        </is>
      </c>
      <c r="E592" t="inlineStr">
        <is>
          <t>VIMMERBY</t>
        </is>
      </c>
      <c r="G592" t="n">
        <v>4</v>
      </c>
      <c r="H592" t="n">
        <v>0</v>
      </c>
      <c r="I592" t="n">
        <v>0</v>
      </c>
      <c r="J592" t="n">
        <v>0</v>
      </c>
      <c r="K592" t="n">
        <v>0</v>
      </c>
      <c r="L592" t="n">
        <v>0</v>
      </c>
      <c r="M592" t="n">
        <v>0</v>
      </c>
      <c r="N592" t="n">
        <v>0</v>
      </c>
      <c r="O592" t="n">
        <v>0</v>
      </c>
      <c r="P592" t="n">
        <v>0</v>
      </c>
      <c r="Q592" t="n">
        <v>0</v>
      </c>
      <c r="R592" s="2" t="inlineStr"/>
    </row>
    <row r="593" ht="15" customHeight="1">
      <c r="A593" t="inlineStr">
        <is>
          <t>A 579-2026</t>
        </is>
      </c>
      <c r="B593" s="1" t="n">
        <v>46029.47912037037</v>
      </c>
      <c r="C593" s="1" t="n">
        <v>46131</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30070-2023</t>
        </is>
      </c>
      <c r="B594" s="1" t="n">
        <v>45110.4275</v>
      </c>
      <c r="C594" s="1" t="n">
        <v>46131</v>
      </c>
      <c r="D594" t="inlineStr">
        <is>
          <t>KALMAR LÄN</t>
        </is>
      </c>
      <c r="E594" t="inlineStr">
        <is>
          <t>VIMMERBY</t>
        </is>
      </c>
      <c r="G594" t="n">
        <v>1.6</v>
      </c>
      <c r="H594" t="n">
        <v>0</v>
      </c>
      <c r="I594" t="n">
        <v>0</v>
      </c>
      <c r="J594" t="n">
        <v>0</v>
      </c>
      <c r="K594" t="n">
        <v>0</v>
      </c>
      <c r="L594" t="n">
        <v>0</v>
      </c>
      <c r="M594" t="n">
        <v>0</v>
      </c>
      <c r="N594" t="n">
        <v>0</v>
      </c>
      <c r="O594" t="n">
        <v>0</v>
      </c>
      <c r="P594" t="n">
        <v>0</v>
      </c>
      <c r="Q594" t="n">
        <v>0</v>
      </c>
      <c r="R594" s="2" t="inlineStr"/>
    </row>
    <row r="595" ht="15" customHeight="1">
      <c r="A595" t="inlineStr">
        <is>
          <t>A 842-2026</t>
        </is>
      </c>
      <c r="B595" s="1" t="n">
        <v>46030.380625</v>
      </c>
      <c r="C595" s="1" t="n">
        <v>46131</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46078-2023</t>
        </is>
      </c>
      <c r="B596" s="1" t="n">
        <v>45196</v>
      </c>
      <c r="C596" s="1" t="n">
        <v>46131</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1069-2026</t>
        </is>
      </c>
      <c r="B597" s="1" t="n">
        <v>46030</v>
      </c>
      <c r="C597" s="1" t="n">
        <v>46131</v>
      </c>
      <c r="D597" t="inlineStr">
        <is>
          <t>KALMAR LÄN</t>
        </is>
      </c>
      <c r="E597" t="inlineStr">
        <is>
          <t>VIMMERBY</t>
        </is>
      </c>
      <c r="G597" t="n">
        <v>3.3</v>
      </c>
      <c r="H597" t="n">
        <v>0</v>
      </c>
      <c r="I597" t="n">
        <v>0</v>
      </c>
      <c r="J597" t="n">
        <v>0</v>
      </c>
      <c r="K597" t="n">
        <v>0</v>
      </c>
      <c r="L597" t="n">
        <v>0</v>
      </c>
      <c r="M597" t="n">
        <v>0</v>
      </c>
      <c r="N597" t="n">
        <v>0</v>
      </c>
      <c r="O597" t="n">
        <v>0</v>
      </c>
      <c r="P597" t="n">
        <v>0</v>
      </c>
      <c r="Q597" t="n">
        <v>0</v>
      </c>
      <c r="R597" s="2" t="inlineStr"/>
    </row>
    <row r="598" ht="15" customHeight="1">
      <c r="A598" t="inlineStr">
        <is>
          <t>A 7643-2022</t>
        </is>
      </c>
      <c r="B598" s="1" t="n">
        <v>44607</v>
      </c>
      <c r="C598" s="1" t="n">
        <v>46131</v>
      </c>
      <c r="D598" t="inlineStr">
        <is>
          <t>KALMAR LÄN</t>
        </is>
      </c>
      <c r="E598" t="inlineStr">
        <is>
          <t>VIMMERBY</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3494-2023</t>
        </is>
      </c>
      <c r="B599" s="1" t="n">
        <v>44949</v>
      </c>
      <c r="C599" s="1" t="n">
        <v>46131</v>
      </c>
      <c r="D599" t="inlineStr">
        <is>
          <t>KALMAR LÄN</t>
        </is>
      </c>
      <c r="E599" t="inlineStr">
        <is>
          <t>VIMMERBY</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32633-2023</t>
        </is>
      </c>
      <c r="B600" s="1" t="n">
        <v>45121.58699074074</v>
      </c>
      <c r="C600" s="1" t="n">
        <v>46131</v>
      </c>
      <c r="D600" t="inlineStr">
        <is>
          <t>KALMAR LÄN</t>
        </is>
      </c>
      <c r="E600" t="inlineStr">
        <is>
          <t>VIMMERBY</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43601-2024</t>
        </is>
      </c>
      <c r="B601" s="1" t="n">
        <v>45569.44684027778</v>
      </c>
      <c r="C601" s="1" t="n">
        <v>46131</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1734-2026</t>
        </is>
      </c>
      <c r="B602" s="1" t="n">
        <v>46034</v>
      </c>
      <c r="C602" s="1" t="n">
        <v>46131</v>
      </c>
      <c r="D602" t="inlineStr">
        <is>
          <t>KALMAR LÄN</t>
        </is>
      </c>
      <c r="E602" t="inlineStr">
        <is>
          <t>VIMMERBY</t>
        </is>
      </c>
      <c r="G602" t="n">
        <v>0.8</v>
      </c>
      <c r="H602" t="n">
        <v>0</v>
      </c>
      <c r="I602" t="n">
        <v>0</v>
      </c>
      <c r="J602" t="n">
        <v>0</v>
      </c>
      <c r="K602" t="n">
        <v>0</v>
      </c>
      <c r="L602" t="n">
        <v>0</v>
      </c>
      <c r="M602" t="n">
        <v>0</v>
      </c>
      <c r="N602" t="n">
        <v>0</v>
      </c>
      <c r="O602" t="n">
        <v>0</v>
      </c>
      <c r="P602" t="n">
        <v>0</v>
      </c>
      <c r="Q602" t="n">
        <v>0</v>
      </c>
      <c r="R602" s="2" t="inlineStr"/>
    </row>
    <row r="603" ht="15" customHeight="1">
      <c r="A603" t="inlineStr">
        <is>
          <t>A 1743-2026</t>
        </is>
      </c>
      <c r="B603" s="1" t="n">
        <v>46034</v>
      </c>
      <c r="C603" s="1" t="n">
        <v>46131</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13813-2024</t>
        </is>
      </c>
      <c r="B604" s="1" t="n">
        <v>45391.41310185185</v>
      </c>
      <c r="C604" s="1" t="n">
        <v>46131</v>
      </c>
      <c r="D604" t="inlineStr">
        <is>
          <t>KALMAR LÄN</t>
        </is>
      </c>
      <c r="E604" t="inlineStr">
        <is>
          <t>VIMMERBY</t>
        </is>
      </c>
      <c r="G604" t="n">
        <v>0.4</v>
      </c>
      <c r="H604" t="n">
        <v>0</v>
      </c>
      <c r="I604" t="n">
        <v>0</v>
      </c>
      <c r="J604" t="n">
        <v>0</v>
      </c>
      <c r="K604" t="n">
        <v>0</v>
      </c>
      <c r="L604" t="n">
        <v>0</v>
      </c>
      <c r="M604" t="n">
        <v>0</v>
      </c>
      <c r="N604" t="n">
        <v>0</v>
      </c>
      <c r="O604" t="n">
        <v>0</v>
      </c>
      <c r="P604" t="n">
        <v>0</v>
      </c>
      <c r="Q604" t="n">
        <v>0</v>
      </c>
      <c r="R604" s="2" t="inlineStr"/>
    </row>
    <row r="605" ht="15" customHeight="1">
      <c r="A605" t="inlineStr">
        <is>
          <t>A 25234-2023</t>
        </is>
      </c>
      <c r="B605" s="1" t="n">
        <v>45086.63194444445</v>
      </c>
      <c r="C605" s="1" t="n">
        <v>46131</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25236-2023</t>
        </is>
      </c>
      <c r="B606" s="1" t="n">
        <v>45086.63334490741</v>
      </c>
      <c r="C606" s="1" t="n">
        <v>46131</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25244-2023</t>
        </is>
      </c>
      <c r="B607" s="1" t="n">
        <v>45086</v>
      </c>
      <c r="C607" s="1" t="n">
        <v>46131</v>
      </c>
      <c r="D607" t="inlineStr">
        <is>
          <t>KALMAR LÄN</t>
        </is>
      </c>
      <c r="E607" t="inlineStr">
        <is>
          <t>VIMMERBY</t>
        </is>
      </c>
      <c r="G607" t="n">
        <v>4.7</v>
      </c>
      <c r="H607" t="n">
        <v>0</v>
      </c>
      <c r="I607" t="n">
        <v>0</v>
      </c>
      <c r="J607" t="n">
        <v>0</v>
      </c>
      <c r="K607" t="n">
        <v>0</v>
      </c>
      <c r="L607" t="n">
        <v>0</v>
      </c>
      <c r="M607" t="n">
        <v>0</v>
      </c>
      <c r="N607" t="n">
        <v>0</v>
      </c>
      <c r="O607" t="n">
        <v>0</v>
      </c>
      <c r="P607" t="n">
        <v>0</v>
      </c>
      <c r="Q607" t="n">
        <v>0</v>
      </c>
      <c r="R607" s="2" t="inlineStr"/>
    </row>
    <row r="608" ht="15" customHeight="1">
      <c r="A608" t="inlineStr">
        <is>
          <t>A 1748-2026</t>
        </is>
      </c>
      <c r="B608" s="1" t="n">
        <v>46034.65589120371</v>
      </c>
      <c r="C608" s="1" t="n">
        <v>46131</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23341-2022</t>
        </is>
      </c>
      <c r="B609" s="1" t="n">
        <v>44720.53898148148</v>
      </c>
      <c r="C609" s="1" t="n">
        <v>46131</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1862-2026</t>
        </is>
      </c>
      <c r="B610" s="1" t="n">
        <v>46035.44689814815</v>
      </c>
      <c r="C610" s="1" t="n">
        <v>46131</v>
      </c>
      <c r="D610" t="inlineStr">
        <is>
          <t>KALMAR LÄN</t>
        </is>
      </c>
      <c r="E610" t="inlineStr">
        <is>
          <t>VIMMERBY</t>
        </is>
      </c>
      <c r="G610" t="n">
        <v>3.1</v>
      </c>
      <c r="H610" t="n">
        <v>0</v>
      </c>
      <c r="I610" t="n">
        <v>0</v>
      </c>
      <c r="J610" t="n">
        <v>0</v>
      </c>
      <c r="K610" t="n">
        <v>0</v>
      </c>
      <c r="L610" t="n">
        <v>0</v>
      </c>
      <c r="M610" t="n">
        <v>0</v>
      </c>
      <c r="N610" t="n">
        <v>0</v>
      </c>
      <c r="O610" t="n">
        <v>0</v>
      </c>
      <c r="P610" t="n">
        <v>0</v>
      </c>
      <c r="Q610" t="n">
        <v>0</v>
      </c>
      <c r="R610" s="2" t="inlineStr"/>
    </row>
    <row r="611" ht="15" customHeight="1">
      <c r="A611" t="inlineStr">
        <is>
          <t>A 71793-2021</t>
        </is>
      </c>
      <c r="B611" s="1" t="n">
        <v>44539</v>
      </c>
      <c r="C611" s="1" t="n">
        <v>46131</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73938-2021</t>
        </is>
      </c>
      <c r="B612" s="1" t="n">
        <v>44553</v>
      </c>
      <c r="C612" s="1" t="n">
        <v>46131</v>
      </c>
      <c r="D612" t="inlineStr">
        <is>
          <t>KALMAR LÄN</t>
        </is>
      </c>
      <c r="E612" t="inlineStr">
        <is>
          <t>VIMMERBY</t>
        </is>
      </c>
      <c r="G612" t="n">
        <v>3.2</v>
      </c>
      <c r="H612" t="n">
        <v>0</v>
      </c>
      <c r="I612" t="n">
        <v>0</v>
      </c>
      <c r="J612" t="n">
        <v>0</v>
      </c>
      <c r="K612" t="n">
        <v>0</v>
      </c>
      <c r="L612" t="n">
        <v>0</v>
      </c>
      <c r="M612" t="n">
        <v>0</v>
      </c>
      <c r="N612" t="n">
        <v>0</v>
      </c>
      <c r="O612" t="n">
        <v>0</v>
      </c>
      <c r="P612" t="n">
        <v>0</v>
      </c>
      <c r="Q612" t="n">
        <v>0</v>
      </c>
      <c r="R612" s="2" t="inlineStr"/>
    </row>
    <row r="613" ht="15" customHeight="1">
      <c r="A613" t="inlineStr">
        <is>
          <t>A 6069-2023</t>
        </is>
      </c>
      <c r="B613" s="1" t="n">
        <v>44964.5115162037</v>
      </c>
      <c r="C613" s="1" t="n">
        <v>46131</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50995-2022</t>
        </is>
      </c>
      <c r="B614" s="1" t="n">
        <v>44867</v>
      </c>
      <c r="C614" s="1" t="n">
        <v>46131</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27122-2023</t>
        </is>
      </c>
      <c r="B615" s="1" t="n">
        <v>45096.45247685185</v>
      </c>
      <c r="C615" s="1" t="n">
        <v>46131</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30402-2023</t>
        </is>
      </c>
      <c r="B616" s="1" t="n">
        <v>45111.48395833333</v>
      </c>
      <c r="C616" s="1" t="n">
        <v>46131</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2523-2026</t>
        </is>
      </c>
      <c r="B617" s="1" t="n">
        <v>46037.42825231481</v>
      </c>
      <c r="C617" s="1" t="n">
        <v>46131</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2514-2026</t>
        </is>
      </c>
      <c r="B618" s="1" t="n">
        <v>46037.42219907408</v>
      </c>
      <c r="C618" s="1" t="n">
        <v>46131</v>
      </c>
      <c r="D618" t="inlineStr">
        <is>
          <t>KALMAR LÄN</t>
        </is>
      </c>
      <c r="E618" t="inlineStr">
        <is>
          <t>VIMMERBY</t>
        </is>
      </c>
      <c r="G618" t="n">
        <v>0.7</v>
      </c>
      <c r="H618" t="n">
        <v>0</v>
      </c>
      <c r="I618" t="n">
        <v>0</v>
      </c>
      <c r="J618" t="n">
        <v>0</v>
      </c>
      <c r="K618" t="n">
        <v>0</v>
      </c>
      <c r="L618" t="n">
        <v>0</v>
      </c>
      <c r="M618" t="n">
        <v>0</v>
      </c>
      <c r="N618" t="n">
        <v>0</v>
      </c>
      <c r="O618" t="n">
        <v>0</v>
      </c>
      <c r="P618" t="n">
        <v>0</v>
      </c>
      <c r="Q618" t="n">
        <v>0</v>
      </c>
      <c r="R618" s="2" t="inlineStr"/>
    </row>
    <row r="619" ht="15" customHeight="1">
      <c r="A619" t="inlineStr">
        <is>
          <t>A 2518-2026</t>
        </is>
      </c>
      <c r="B619" s="1" t="n">
        <v>46037.42511574074</v>
      </c>
      <c r="C619" s="1" t="n">
        <v>46131</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47842-2024</t>
        </is>
      </c>
      <c r="B620" s="1" t="n">
        <v>45588.65545138889</v>
      </c>
      <c r="C620" s="1" t="n">
        <v>46131</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6857-2023</t>
        </is>
      </c>
      <c r="B621" s="1" t="n">
        <v>44967.45122685185</v>
      </c>
      <c r="C621" s="1" t="n">
        <v>46131</v>
      </c>
      <c r="D621" t="inlineStr">
        <is>
          <t>KALMAR LÄN</t>
        </is>
      </c>
      <c r="E621" t="inlineStr">
        <is>
          <t>VIMMERBY</t>
        </is>
      </c>
      <c r="G621" t="n">
        <v>2.1</v>
      </c>
      <c r="H621" t="n">
        <v>0</v>
      </c>
      <c r="I621" t="n">
        <v>0</v>
      </c>
      <c r="J621" t="n">
        <v>0</v>
      </c>
      <c r="K621" t="n">
        <v>0</v>
      </c>
      <c r="L621" t="n">
        <v>0</v>
      </c>
      <c r="M621" t="n">
        <v>0</v>
      </c>
      <c r="N621" t="n">
        <v>0</v>
      </c>
      <c r="O621" t="n">
        <v>0</v>
      </c>
      <c r="P621" t="n">
        <v>0</v>
      </c>
      <c r="Q621" t="n">
        <v>0</v>
      </c>
      <c r="R621" s="2" t="inlineStr"/>
    </row>
    <row r="622" ht="15" customHeight="1">
      <c r="A622" t="inlineStr">
        <is>
          <t>A 46224-2024</t>
        </is>
      </c>
      <c r="B622" s="1" t="n">
        <v>45581.57016203704</v>
      </c>
      <c r="C622" s="1" t="n">
        <v>46131</v>
      </c>
      <c r="D622" t="inlineStr">
        <is>
          <t>KALMAR LÄN</t>
        </is>
      </c>
      <c r="E622" t="inlineStr">
        <is>
          <t>VIMMERBY</t>
        </is>
      </c>
      <c r="G622" t="n">
        <v>3.1</v>
      </c>
      <c r="H622" t="n">
        <v>0</v>
      </c>
      <c r="I622" t="n">
        <v>0</v>
      </c>
      <c r="J622" t="n">
        <v>0</v>
      </c>
      <c r="K622" t="n">
        <v>0</v>
      </c>
      <c r="L622" t="n">
        <v>0</v>
      </c>
      <c r="M622" t="n">
        <v>0</v>
      </c>
      <c r="N622" t="n">
        <v>0</v>
      </c>
      <c r="O622" t="n">
        <v>0</v>
      </c>
      <c r="P622" t="n">
        <v>0</v>
      </c>
      <c r="Q622" t="n">
        <v>0</v>
      </c>
      <c r="R622" s="2" t="inlineStr"/>
    </row>
    <row r="623" ht="15" customHeight="1">
      <c r="A623" t="inlineStr">
        <is>
          <t>A 29013-2024</t>
        </is>
      </c>
      <c r="B623" s="1" t="n">
        <v>45481.55984953704</v>
      </c>
      <c r="C623" s="1" t="n">
        <v>46131</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3266-2026</t>
        </is>
      </c>
      <c r="B624" s="1" t="n">
        <v>46041</v>
      </c>
      <c r="C624" s="1" t="n">
        <v>46131</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37028-2024</t>
        </is>
      </c>
      <c r="B625" s="1" t="n">
        <v>45539.38744212963</v>
      </c>
      <c r="C625" s="1" t="n">
        <v>46131</v>
      </c>
      <c r="D625" t="inlineStr">
        <is>
          <t>KALMAR LÄN</t>
        </is>
      </c>
      <c r="E625" t="inlineStr">
        <is>
          <t>VIMMERBY</t>
        </is>
      </c>
      <c r="G625" t="n">
        <v>5.2</v>
      </c>
      <c r="H625" t="n">
        <v>0</v>
      </c>
      <c r="I625" t="n">
        <v>0</v>
      </c>
      <c r="J625" t="n">
        <v>0</v>
      </c>
      <c r="K625" t="n">
        <v>0</v>
      </c>
      <c r="L625" t="n">
        <v>0</v>
      </c>
      <c r="M625" t="n">
        <v>0</v>
      </c>
      <c r="N625" t="n">
        <v>0</v>
      </c>
      <c r="O625" t="n">
        <v>0</v>
      </c>
      <c r="P625" t="n">
        <v>0</v>
      </c>
      <c r="Q625" t="n">
        <v>0</v>
      </c>
      <c r="R625" s="2" t="inlineStr"/>
    </row>
    <row r="626" ht="15" customHeight="1">
      <c r="A626" t="inlineStr">
        <is>
          <t>A 3292-2026</t>
        </is>
      </c>
      <c r="B626" s="1" t="n">
        <v>46041</v>
      </c>
      <c r="C626" s="1" t="n">
        <v>46131</v>
      </c>
      <c r="D626" t="inlineStr">
        <is>
          <t>KALMAR LÄN</t>
        </is>
      </c>
      <c r="E626" t="inlineStr">
        <is>
          <t>VIMMERBY</t>
        </is>
      </c>
      <c r="G626" t="n">
        <v>3.9</v>
      </c>
      <c r="H626" t="n">
        <v>0</v>
      </c>
      <c r="I626" t="n">
        <v>0</v>
      </c>
      <c r="J626" t="n">
        <v>0</v>
      </c>
      <c r="K626" t="n">
        <v>0</v>
      </c>
      <c r="L626" t="n">
        <v>0</v>
      </c>
      <c r="M626" t="n">
        <v>0</v>
      </c>
      <c r="N626" t="n">
        <v>0</v>
      </c>
      <c r="O626" t="n">
        <v>0</v>
      </c>
      <c r="P626" t="n">
        <v>0</v>
      </c>
      <c r="Q626" t="n">
        <v>0</v>
      </c>
      <c r="R626" s="2" t="inlineStr"/>
    </row>
    <row r="627" ht="15" customHeight="1">
      <c r="A627" t="inlineStr">
        <is>
          <t>A 37187-2024</t>
        </is>
      </c>
      <c r="B627" s="1" t="n">
        <v>45539.65212962963</v>
      </c>
      <c r="C627" s="1" t="n">
        <v>46131</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3965-2026</t>
        </is>
      </c>
      <c r="B628" s="1" t="n">
        <v>46044.34563657407</v>
      </c>
      <c r="C628" s="1" t="n">
        <v>46131</v>
      </c>
      <c r="D628" t="inlineStr">
        <is>
          <t>KALMAR LÄN</t>
        </is>
      </c>
      <c r="E628" t="inlineStr">
        <is>
          <t>VIMMERBY</t>
        </is>
      </c>
      <c r="G628" t="n">
        <v>2.6</v>
      </c>
      <c r="H628" t="n">
        <v>0</v>
      </c>
      <c r="I628" t="n">
        <v>0</v>
      </c>
      <c r="J628" t="n">
        <v>0</v>
      </c>
      <c r="K628" t="n">
        <v>0</v>
      </c>
      <c r="L628" t="n">
        <v>0</v>
      </c>
      <c r="M628" t="n">
        <v>0</v>
      </c>
      <c r="N628" t="n">
        <v>0</v>
      </c>
      <c r="O628" t="n">
        <v>0</v>
      </c>
      <c r="P628" t="n">
        <v>0</v>
      </c>
      <c r="Q628" t="n">
        <v>0</v>
      </c>
      <c r="R628" s="2" t="inlineStr"/>
    </row>
    <row r="629" ht="15" customHeight="1">
      <c r="A629" t="inlineStr">
        <is>
          <t>A 3868-2026</t>
        </is>
      </c>
      <c r="B629" s="1" t="n">
        <v>46043.6360300926</v>
      </c>
      <c r="C629" s="1" t="n">
        <v>46131</v>
      </c>
      <c r="D629" t="inlineStr">
        <is>
          <t>KALMAR LÄN</t>
        </is>
      </c>
      <c r="E629" t="inlineStr">
        <is>
          <t>VIMMERBY</t>
        </is>
      </c>
      <c r="G629" t="n">
        <v>0.9</v>
      </c>
      <c r="H629" t="n">
        <v>0</v>
      </c>
      <c r="I629" t="n">
        <v>0</v>
      </c>
      <c r="J629" t="n">
        <v>0</v>
      </c>
      <c r="K629" t="n">
        <v>0</v>
      </c>
      <c r="L629" t="n">
        <v>0</v>
      </c>
      <c r="M629" t="n">
        <v>0</v>
      </c>
      <c r="N629" t="n">
        <v>0</v>
      </c>
      <c r="O629" t="n">
        <v>0</v>
      </c>
      <c r="P629" t="n">
        <v>0</v>
      </c>
      <c r="Q629" t="n">
        <v>0</v>
      </c>
      <c r="R629" s="2" t="inlineStr"/>
    </row>
    <row r="630" ht="15" customHeight="1">
      <c r="A630" t="inlineStr">
        <is>
          <t>A 3869-2026</t>
        </is>
      </c>
      <c r="B630" s="1" t="n">
        <v>46043.63940972222</v>
      </c>
      <c r="C630" s="1" t="n">
        <v>46131</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12630-2023</t>
        </is>
      </c>
      <c r="B631" s="1" t="n">
        <v>45000.47998842593</v>
      </c>
      <c r="C631" s="1" t="n">
        <v>46131</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39584-2024</t>
        </is>
      </c>
      <c r="B632" s="1" t="n">
        <v>45552.36759259259</v>
      </c>
      <c r="C632" s="1" t="n">
        <v>46131</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27705-2023</t>
        </is>
      </c>
      <c r="B633" s="1" t="n">
        <v>45098.30535879629</v>
      </c>
      <c r="C633" s="1" t="n">
        <v>46131</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31013-2023</t>
        </is>
      </c>
      <c r="B634" s="1" t="n">
        <v>45113.56574074074</v>
      </c>
      <c r="C634" s="1" t="n">
        <v>46131</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15388-2025</t>
        </is>
      </c>
      <c r="B635" s="1" t="n">
        <v>45747.42633101852</v>
      </c>
      <c r="C635" s="1" t="n">
        <v>46131</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15391-2025</t>
        </is>
      </c>
      <c r="B636" s="1" t="n">
        <v>45747.42958333333</v>
      </c>
      <c r="C636" s="1" t="n">
        <v>46131</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11303-2025</t>
        </is>
      </c>
      <c r="B637" s="1" t="n">
        <v>45726.44471064815</v>
      </c>
      <c r="C637" s="1" t="n">
        <v>46131</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33352-2022</t>
        </is>
      </c>
      <c r="B638" s="1" t="n">
        <v>44788</v>
      </c>
      <c r="C638" s="1" t="n">
        <v>46131</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46234-2024</t>
        </is>
      </c>
      <c r="B639" s="1" t="n">
        <v>45581.57958333333</v>
      </c>
      <c r="C639" s="1" t="n">
        <v>46131</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39053-2024</t>
        </is>
      </c>
      <c r="B640" s="1" t="n">
        <v>45548</v>
      </c>
      <c r="C640" s="1" t="n">
        <v>46131</v>
      </c>
      <c r="D640" t="inlineStr">
        <is>
          <t>KALMAR LÄN</t>
        </is>
      </c>
      <c r="E640" t="inlineStr">
        <is>
          <t>VIMMERBY</t>
        </is>
      </c>
      <c r="G640" t="n">
        <v>5</v>
      </c>
      <c r="H640" t="n">
        <v>0</v>
      </c>
      <c r="I640" t="n">
        <v>0</v>
      </c>
      <c r="J640" t="n">
        <v>0</v>
      </c>
      <c r="K640" t="n">
        <v>0</v>
      </c>
      <c r="L640" t="n">
        <v>0</v>
      </c>
      <c r="M640" t="n">
        <v>0</v>
      </c>
      <c r="N640" t="n">
        <v>0</v>
      </c>
      <c r="O640" t="n">
        <v>0</v>
      </c>
      <c r="P640" t="n">
        <v>0</v>
      </c>
      <c r="Q640" t="n">
        <v>0</v>
      </c>
      <c r="R640" s="2" t="inlineStr"/>
    </row>
    <row r="641" ht="15" customHeight="1">
      <c r="A641" t="inlineStr">
        <is>
          <t>A 15449-2023</t>
        </is>
      </c>
      <c r="B641" s="1" t="n">
        <v>45020</v>
      </c>
      <c r="C641" s="1" t="n">
        <v>46131</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43594-2024</t>
        </is>
      </c>
      <c r="B642" s="1" t="n">
        <v>45569.44295138889</v>
      </c>
      <c r="C642" s="1" t="n">
        <v>46131</v>
      </c>
      <c r="D642" t="inlineStr">
        <is>
          <t>KALMAR LÄN</t>
        </is>
      </c>
      <c r="E642" t="inlineStr">
        <is>
          <t>VIMMERBY</t>
        </is>
      </c>
      <c r="G642" t="n">
        <v>3.9</v>
      </c>
      <c r="H642" t="n">
        <v>0</v>
      </c>
      <c r="I642" t="n">
        <v>0</v>
      </c>
      <c r="J642" t="n">
        <v>0</v>
      </c>
      <c r="K642" t="n">
        <v>0</v>
      </c>
      <c r="L642" t="n">
        <v>0</v>
      </c>
      <c r="M642" t="n">
        <v>0</v>
      </c>
      <c r="N642" t="n">
        <v>0</v>
      </c>
      <c r="O642" t="n">
        <v>0</v>
      </c>
      <c r="P642" t="n">
        <v>0</v>
      </c>
      <c r="Q642" t="n">
        <v>0</v>
      </c>
      <c r="R642" s="2" t="inlineStr"/>
    </row>
    <row r="643" ht="15" customHeight="1">
      <c r="A643" t="inlineStr">
        <is>
          <t>A 17486-2024</t>
        </is>
      </c>
      <c r="B643" s="1" t="n">
        <v>45415.48979166667</v>
      </c>
      <c r="C643" s="1" t="n">
        <v>46131</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14248-2023</t>
        </is>
      </c>
      <c r="B644" s="1" t="n">
        <v>45009</v>
      </c>
      <c r="C644" s="1" t="n">
        <v>46131</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12821-2026</t>
        </is>
      </c>
      <c r="B645" s="1" t="n">
        <v>46092.41256944444</v>
      </c>
      <c r="C645" s="1" t="n">
        <v>46131</v>
      </c>
      <c r="D645" t="inlineStr">
        <is>
          <t>KALMAR LÄN</t>
        </is>
      </c>
      <c r="E645" t="inlineStr">
        <is>
          <t>VIMMERBY</t>
        </is>
      </c>
      <c r="G645" t="n">
        <v>2.5</v>
      </c>
      <c r="H645" t="n">
        <v>0</v>
      </c>
      <c r="I645" t="n">
        <v>0</v>
      </c>
      <c r="J645" t="n">
        <v>0</v>
      </c>
      <c r="K645" t="n">
        <v>0</v>
      </c>
      <c r="L645" t="n">
        <v>0</v>
      </c>
      <c r="M645" t="n">
        <v>0</v>
      </c>
      <c r="N645" t="n">
        <v>0</v>
      </c>
      <c r="O645" t="n">
        <v>0</v>
      </c>
      <c r="P645" t="n">
        <v>0</v>
      </c>
      <c r="Q645" t="n">
        <v>0</v>
      </c>
      <c r="R645" s="2" t="inlineStr"/>
    </row>
    <row r="646" ht="15" customHeight="1">
      <c r="A646" t="inlineStr">
        <is>
          <t>A 12820-2026</t>
        </is>
      </c>
      <c r="B646" s="1" t="n">
        <v>46092.40909722223</v>
      </c>
      <c r="C646" s="1" t="n">
        <v>46131</v>
      </c>
      <c r="D646" t="inlineStr">
        <is>
          <t>KALMAR LÄN</t>
        </is>
      </c>
      <c r="E646" t="inlineStr">
        <is>
          <t>VIMMERBY</t>
        </is>
      </c>
      <c r="G646" t="n">
        <v>4.3</v>
      </c>
      <c r="H646" t="n">
        <v>0</v>
      </c>
      <c r="I646" t="n">
        <v>0</v>
      </c>
      <c r="J646" t="n">
        <v>0</v>
      </c>
      <c r="K646" t="n">
        <v>0</v>
      </c>
      <c r="L646" t="n">
        <v>0</v>
      </c>
      <c r="M646" t="n">
        <v>0</v>
      </c>
      <c r="N646" t="n">
        <v>0</v>
      </c>
      <c r="O646" t="n">
        <v>0</v>
      </c>
      <c r="P646" t="n">
        <v>0</v>
      </c>
      <c r="Q646" t="n">
        <v>0</v>
      </c>
      <c r="R646" s="2" t="inlineStr"/>
    </row>
    <row r="647" ht="15" customHeight="1">
      <c r="A647" t="inlineStr">
        <is>
          <t>A 12825-2026</t>
        </is>
      </c>
      <c r="B647" s="1" t="n">
        <v>46092.41561342592</v>
      </c>
      <c r="C647" s="1" t="n">
        <v>46131</v>
      </c>
      <c r="D647" t="inlineStr">
        <is>
          <t>KALMAR LÄN</t>
        </is>
      </c>
      <c r="E647" t="inlineStr">
        <is>
          <t>VIMMERBY</t>
        </is>
      </c>
      <c r="G647" t="n">
        <v>2.6</v>
      </c>
      <c r="H647" t="n">
        <v>0</v>
      </c>
      <c r="I647" t="n">
        <v>0</v>
      </c>
      <c r="J647" t="n">
        <v>0</v>
      </c>
      <c r="K647" t="n">
        <v>0</v>
      </c>
      <c r="L647" t="n">
        <v>0</v>
      </c>
      <c r="M647" t="n">
        <v>0</v>
      </c>
      <c r="N647" t="n">
        <v>0</v>
      </c>
      <c r="O647" t="n">
        <v>0</v>
      </c>
      <c r="P647" t="n">
        <v>0</v>
      </c>
      <c r="Q647" t="n">
        <v>0</v>
      </c>
      <c r="R647" s="2" t="inlineStr"/>
    </row>
    <row r="648" ht="15" customHeight="1">
      <c r="A648" t="inlineStr">
        <is>
          <t>A 12730-2026</t>
        </is>
      </c>
      <c r="B648" s="1" t="n">
        <v>46091</v>
      </c>
      <c r="C648" s="1" t="n">
        <v>46131</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30400-2023</t>
        </is>
      </c>
      <c r="B649" s="1" t="n">
        <v>45111.48225694444</v>
      </c>
      <c r="C649" s="1" t="n">
        <v>46131</v>
      </c>
      <c r="D649" t="inlineStr">
        <is>
          <t>KALMAR LÄN</t>
        </is>
      </c>
      <c r="E649" t="inlineStr">
        <is>
          <t>VIMMERBY</t>
        </is>
      </c>
      <c r="G649" t="n">
        <v>2.7</v>
      </c>
      <c r="H649" t="n">
        <v>0</v>
      </c>
      <c r="I649" t="n">
        <v>0</v>
      </c>
      <c r="J649" t="n">
        <v>0</v>
      </c>
      <c r="K649" t="n">
        <v>0</v>
      </c>
      <c r="L649" t="n">
        <v>0</v>
      </c>
      <c r="M649" t="n">
        <v>0</v>
      </c>
      <c r="N649" t="n">
        <v>0</v>
      </c>
      <c r="O649" t="n">
        <v>0</v>
      </c>
      <c r="P649" t="n">
        <v>0</v>
      </c>
      <c r="Q649" t="n">
        <v>0</v>
      </c>
      <c r="R649" s="2" t="inlineStr"/>
    </row>
    <row r="650" ht="15" customHeight="1">
      <c r="A650" t="inlineStr">
        <is>
          <t>A 30404-2023</t>
        </is>
      </c>
      <c r="B650" s="1" t="n">
        <v>45111.48636574074</v>
      </c>
      <c r="C650" s="1" t="n">
        <v>46131</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55123-2024</t>
        </is>
      </c>
      <c r="B651" s="1" t="n">
        <v>45621.46103009259</v>
      </c>
      <c r="C651" s="1" t="n">
        <v>46131</v>
      </c>
      <c r="D651" t="inlineStr">
        <is>
          <t>KALMAR LÄN</t>
        </is>
      </c>
      <c r="E651" t="inlineStr">
        <is>
          <t>VIMMERBY</t>
        </is>
      </c>
      <c r="G651" t="n">
        <v>3.1</v>
      </c>
      <c r="H651" t="n">
        <v>0</v>
      </c>
      <c r="I651" t="n">
        <v>0</v>
      </c>
      <c r="J651" t="n">
        <v>0</v>
      </c>
      <c r="K651" t="n">
        <v>0</v>
      </c>
      <c r="L651" t="n">
        <v>0</v>
      </c>
      <c r="M651" t="n">
        <v>0</v>
      </c>
      <c r="N651" t="n">
        <v>0</v>
      </c>
      <c r="O651" t="n">
        <v>0</v>
      </c>
      <c r="P651" t="n">
        <v>0</v>
      </c>
      <c r="Q651" t="n">
        <v>0</v>
      </c>
      <c r="R651" s="2" t="inlineStr"/>
    </row>
    <row r="652" ht="15" customHeight="1">
      <c r="A652" t="inlineStr">
        <is>
          <t>A 31405-2023</t>
        </is>
      </c>
      <c r="B652" s="1" t="n">
        <v>45114.58148148148</v>
      </c>
      <c r="C652" s="1" t="n">
        <v>46131</v>
      </c>
      <c r="D652" t="inlineStr">
        <is>
          <t>KALMAR LÄN</t>
        </is>
      </c>
      <c r="E652" t="inlineStr">
        <is>
          <t>VIMMERBY</t>
        </is>
      </c>
      <c r="G652" t="n">
        <v>2.6</v>
      </c>
      <c r="H652" t="n">
        <v>0</v>
      </c>
      <c r="I652" t="n">
        <v>0</v>
      </c>
      <c r="J652" t="n">
        <v>0</v>
      </c>
      <c r="K652" t="n">
        <v>0</v>
      </c>
      <c r="L652" t="n">
        <v>0</v>
      </c>
      <c r="M652" t="n">
        <v>0</v>
      </c>
      <c r="N652" t="n">
        <v>0</v>
      </c>
      <c r="O652" t="n">
        <v>0</v>
      </c>
      <c r="P652" t="n">
        <v>0</v>
      </c>
      <c r="Q652" t="n">
        <v>0</v>
      </c>
      <c r="R652" s="2" t="inlineStr"/>
    </row>
    <row r="653" ht="15" customHeight="1">
      <c r="A653" t="inlineStr">
        <is>
          <t>A 24707-2024</t>
        </is>
      </c>
      <c r="B653" s="1" t="n">
        <v>45460.62172453704</v>
      </c>
      <c r="C653" s="1" t="n">
        <v>46131</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36049-2024</t>
        </is>
      </c>
      <c r="B654" s="1" t="n">
        <v>45533.61996527778</v>
      </c>
      <c r="C654" s="1" t="n">
        <v>46131</v>
      </c>
      <c r="D654" t="inlineStr">
        <is>
          <t>KALMAR LÄN</t>
        </is>
      </c>
      <c r="E654" t="inlineStr">
        <is>
          <t>VIMMERBY</t>
        </is>
      </c>
      <c r="F654" t="inlineStr">
        <is>
          <t>Kommuner</t>
        </is>
      </c>
      <c r="G654" t="n">
        <v>2.6</v>
      </c>
      <c r="H654" t="n">
        <v>0</v>
      </c>
      <c r="I654" t="n">
        <v>0</v>
      </c>
      <c r="J654" t="n">
        <v>0</v>
      </c>
      <c r="K654" t="n">
        <v>0</v>
      </c>
      <c r="L654" t="n">
        <v>0</v>
      </c>
      <c r="M654" t="n">
        <v>0</v>
      </c>
      <c r="N654" t="n">
        <v>0</v>
      </c>
      <c r="O654" t="n">
        <v>0</v>
      </c>
      <c r="P654" t="n">
        <v>0</v>
      </c>
      <c r="Q654" t="n">
        <v>0</v>
      </c>
      <c r="R654" s="2" t="inlineStr"/>
    </row>
    <row r="655" ht="15" customHeight="1">
      <c r="A655" t="inlineStr">
        <is>
          <t>A 13793-2026</t>
        </is>
      </c>
      <c r="B655" s="1" t="n">
        <v>46097.79199074074</v>
      </c>
      <c r="C655" s="1" t="n">
        <v>46131</v>
      </c>
      <c r="D655" t="inlineStr">
        <is>
          <t>KALMAR LÄN</t>
        </is>
      </c>
      <c r="E655" t="inlineStr">
        <is>
          <t>VIMMERBY</t>
        </is>
      </c>
      <c r="G655" t="n">
        <v>2.9</v>
      </c>
      <c r="H655" t="n">
        <v>0</v>
      </c>
      <c r="I655" t="n">
        <v>0</v>
      </c>
      <c r="J655" t="n">
        <v>0</v>
      </c>
      <c r="K655" t="n">
        <v>0</v>
      </c>
      <c r="L655" t="n">
        <v>0</v>
      </c>
      <c r="M655" t="n">
        <v>0</v>
      </c>
      <c r="N655" t="n">
        <v>0</v>
      </c>
      <c r="O655" t="n">
        <v>0</v>
      </c>
      <c r="P655" t="n">
        <v>0</v>
      </c>
      <c r="Q655" t="n">
        <v>0</v>
      </c>
      <c r="R655" s="2" t="inlineStr"/>
    </row>
    <row r="656" ht="15" customHeight="1">
      <c r="A656" t="inlineStr">
        <is>
          <t>A 58159-2024</t>
        </is>
      </c>
      <c r="B656" s="1" t="n">
        <v>45632.44886574074</v>
      </c>
      <c r="C656" s="1" t="n">
        <v>46131</v>
      </c>
      <c r="D656" t="inlineStr">
        <is>
          <t>KALMAR LÄN</t>
        </is>
      </c>
      <c r="E656" t="inlineStr">
        <is>
          <t>VIMMERBY</t>
        </is>
      </c>
      <c r="G656" t="n">
        <v>7.5</v>
      </c>
      <c r="H656" t="n">
        <v>0</v>
      </c>
      <c r="I656" t="n">
        <v>0</v>
      </c>
      <c r="J656" t="n">
        <v>0</v>
      </c>
      <c r="K656" t="n">
        <v>0</v>
      </c>
      <c r="L656" t="n">
        <v>0</v>
      </c>
      <c r="M656" t="n">
        <v>0</v>
      </c>
      <c r="N656" t="n">
        <v>0</v>
      </c>
      <c r="O656" t="n">
        <v>0</v>
      </c>
      <c r="P656" t="n">
        <v>0</v>
      </c>
      <c r="Q656" t="n">
        <v>0</v>
      </c>
      <c r="R656" s="2" t="inlineStr"/>
    </row>
    <row r="657" ht="15" customHeight="1">
      <c r="A657" t="inlineStr">
        <is>
          <t>A 14359-2025</t>
        </is>
      </c>
      <c r="B657" s="1" t="n">
        <v>45741.37270833334</v>
      </c>
      <c r="C657" s="1" t="n">
        <v>46131</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13667-2026</t>
        </is>
      </c>
      <c r="B658" s="1" t="n">
        <v>46097</v>
      </c>
      <c r="C658" s="1" t="n">
        <v>46131</v>
      </c>
      <c r="D658" t="inlineStr">
        <is>
          <t>KALMAR LÄN</t>
        </is>
      </c>
      <c r="E658" t="inlineStr">
        <is>
          <t>VIMMERBY</t>
        </is>
      </c>
      <c r="G658" t="n">
        <v>6.8</v>
      </c>
      <c r="H658" t="n">
        <v>0</v>
      </c>
      <c r="I658" t="n">
        <v>0</v>
      </c>
      <c r="J658" t="n">
        <v>0</v>
      </c>
      <c r="K658" t="n">
        <v>0</v>
      </c>
      <c r="L658" t="n">
        <v>0</v>
      </c>
      <c r="M658" t="n">
        <v>0</v>
      </c>
      <c r="N658" t="n">
        <v>0</v>
      </c>
      <c r="O658" t="n">
        <v>0</v>
      </c>
      <c r="P658" t="n">
        <v>0</v>
      </c>
      <c r="Q658" t="n">
        <v>0</v>
      </c>
      <c r="R658" s="2" t="inlineStr"/>
    </row>
    <row r="659" ht="15" customHeight="1">
      <c r="A659" t="inlineStr">
        <is>
          <t>A 13714-2026</t>
        </is>
      </c>
      <c r="B659" s="1" t="n">
        <v>46097.58472222222</v>
      </c>
      <c r="C659" s="1" t="n">
        <v>46131</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39578-2024</t>
        </is>
      </c>
      <c r="B660" s="1" t="n">
        <v>45552.36484953704</v>
      </c>
      <c r="C660" s="1" t="n">
        <v>46131</v>
      </c>
      <c r="D660" t="inlineStr">
        <is>
          <t>KALMAR LÄN</t>
        </is>
      </c>
      <c r="E660" t="inlineStr">
        <is>
          <t>VIMMERBY</t>
        </is>
      </c>
      <c r="G660" t="n">
        <v>1.5</v>
      </c>
      <c r="H660" t="n">
        <v>0</v>
      </c>
      <c r="I660" t="n">
        <v>0</v>
      </c>
      <c r="J660" t="n">
        <v>0</v>
      </c>
      <c r="K660" t="n">
        <v>0</v>
      </c>
      <c r="L660" t="n">
        <v>0</v>
      </c>
      <c r="M660" t="n">
        <v>0</v>
      </c>
      <c r="N660" t="n">
        <v>0</v>
      </c>
      <c r="O660" t="n">
        <v>0</v>
      </c>
      <c r="P660" t="n">
        <v>0</v>
      </c>
      <c r="Q660" t="n">
        <v>0</v>
      </c>
      <c r="R660" s="2" t="inlineStr"/>
    </row>
    <row r="661" ht="15" customHeight="1">
      <c r="A661" t="inlineStr">
        <is>
          <t>A 62779-2023</t>
        </is>
      </c>
      <c r="B661" s="1" t="n">
        <v>45271.66576388889</v>
      </c>
      <c r="C661" s="1" t="n">
        <v>46131</v>
      </c>
      <c r="D661" t="inlineStr">
        <is>
          <t>KALMAR LÄN</t>
        </is>
      </c>
      <c r="E661" t="inlineStr">
        <is>
          <t>VIMMERBY</t>
        </is>
      </c>
      <c r="G661" t="n">
        <v>1.1</v>
      </c>
      <c r="H661" t="n">
        <v>0</v>
      </c>
      <c r="I661" t="n">
        <v>0</v>
      </c>
      <c r="J661" t="n">
        <v>0</v>
      </c>
      <c r="K661" t="n">
        <v>0</v>
      </c>
      <c r="L661" t="n">
        <v>0</v>
      </c>
      <c r="M661" t="n">
        <v>0</v>
      </c>
      <c r="N661" t="n">
        <v>0</v>
      </c>
      <c r="O661" t="n">
        <v>0</v>
      </c>
      <c r="P661" t="n">
        <v>0</v>
      </c>
      <c r="Q661" t="n">
        <v>0</v>
      </c>
      <c r="R661" s="2" t="inlineStr"/>
    </row>
    <row r="662" ht="15" customHeight="1">
      <c r="A662" t="inlineStr">
        <is>
          <t>A 46399-2024</t>
        </is>
      </c>
      <c r="B662" s="1" t="n">
        <v>45582.41200231481</v>
      </c>
      <c r="C662" s="1" t="n">
        <v>46131</v>
      </c>
      <c r="D662" t="inlineStr">
        <is>
          <t>KALMAR LÄN</t>
        </is>
      </c>
      <c r="E662" t="inlineStr">
        <is>
          <t>VIMMERBY</t>
        </is>
      </c>
      <c r="G662" t="n">
        <v>4.6</v>
      </c>
      <c r="H662" t="n">
        <v>0</v>
      </c>
      <c r="I662" t="n">
        <v>0</v>
      </c>
      <c r="J662" t="n">
        <v>0</v>
      </c>
      <c r="K662" t="n">
        <v>0</v>
      </c>
      <c r="L662" t="n">
        <v>0</v>
      </c>
      <c r="M662" t="n">
        <v>0</v>
      </c>
      <c r="N662" t="n">
        <v>0</v>
      </c>
      <c r="O662" t="n">
        <v>0</v>
      </c>
      <c r="P662" t="n">
        <v>0</v>
      </c>
      <c r="Q662" t="n">
        <v>0</v>
      </c>
      <c r="R662" s="2" t="inlineStr"/>
    </row>
    <row r="663" ht="15" customHeight="1">
      <c r="A663" t="inlineStr">
        <is>
          <t>A 3425-2022</t>
        </is>
      </c>
      <c r="B663" s="1" t="n">
        <v>44585.51060185185</v>
      </c>
      <c r="C663" s="1" t="n">
        <v>46131</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43962-2024</t>
        </is>
      </c>
      <c r="B664" s="1" t="n">
        <v>45572.48293981481</v>
      </c>
      <c r="C664" s="1" t="n">
        <v>46131</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12810-2023</t>
        </is>
      </c>
      <c r="B665" s="1" t="n">
        <v>45001.43854166667</v>
      </c>
      <c r="C665" s="1" t="n">
        <v>46131</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14320-2026</t>
        </is>
      </c>
      <c r="B666" s="1" t="n">
        <v>46099.88449074074</v>
      </c>
      <c r="C666" s="1" t="n">
        <v>46131</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43068-2023</t>
        </is>
      </c>
      <c r="B667" s="1" t="n">
        <v>45182.78834490741</v>
      </c>
      <c r="C667" s="1" t="n">
        <v>46131</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14279-2026</t>
        </is>
      </c>
      <c r="B668" s="1" t="n">
        <v>46099.66826388889</v>
      </c>
      <c r="C668" s="1" t="n">
        <v>46131</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14318-2026</t>
        </is>
      </c>
      <c r="B669" s="1" t="n">
        <v>46099.87961805556</v>
      </c>
      <c r="C669" s="1" t="n">
        <v>46131</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12075-2024</t>
        </is>
      </c>
      <c r="B670" s="1" t="n">
        <v>45377</v>
      </c>
      <c r="C670" s="1" t="n">
        <v>46131</v>
      </c>
      <c r="D670" t="inlineStr">
        <is>
          <t>KALMAR LÄN</t>
        </is>
      </c>
      <c r="E670" t="inlineStr">
        <is>
          <t>VIMMERBY</t>
        </is>
      </c>
      <c r="G670" t="n">
        <v>3.7</v>
      </c>
      <c r="H670" t="n">
        <v>0</v>
      </c>
      <c r="I670" t="n">
        <v>0</v>
      </c>
      <c r="J670" t="n">
        <v>0</v>
      </c>
      <c r="K670" t="n">
        <v>0</v>
      </c>
      <c r="L670" t="n">
        <v>0</v>
      </c>
      <c r="M670" t="n">
        <v>0</v>
      </c>
      <c r="N670" t="n">
        <v>0</v>
      </c>
      <c r="O670" t="n">
        <v>0</v>
      </c>
      <c r="P670" t="n">
        <v>0</v>
      </c>
      <c r="Q670" t="n">
        <v>0</v>
      </c>
      <c r="R670" s="2" t="inlineStr"/>
    </row>
    <row r="671" ht="15" customHeight="1">
      <c r="A671" t="inlineStr">
        <is>
          <t>A 6817-2026</t>
        </is>
      </c>
      <c r="B671" s="1" t="n">
        <v>46057.38412037037</v>
      </c>
      <c r="C671" s="1" t="n">
        <v>46131</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14277-2026</t>
        </is>
      </c>
      <c r="B672" s="1" t="n">
        <v>46099.66305555555</v>
      </c>
      <c r="C672" s="1" t="n">
        <v>46131</v>
      </c>
      <c r="D672" t="inlineStr">
        <is>
          <t>KALMAR LÄN</t>
        </is>
      </c>
      <c r="E672" t="inlineStr">
        <is>
          <t>VIMMERBY</t>
        </is>
      </c>
      <c r="G672" t="n">
        <v>1.3</v>
      </c>
      <c r="H672" t="n">
        <v>0</v>
      </c>
      <c r="I672" t="n">
        <v>0</v>
      </c>
      <c r="J672" t="n">
        <v>0</v>
      </c>
      <c r="K672" t="n">
        <v>0</v>
      </c>
      <c r="L672" t="n">
        <v>0</v>
      </c>
      <c r="M672" t="n">
        <v>0</v>
      </c>
      <c r="N672" t="n">
        <v>0</v>
      </c>
      <c r="O672" t="n">
        <v>0</v>
      </c>
      <c r="P672" t="n">
        <v>0</v>
      </c>
      <c r="Q672" t="n">
        <v>0</v>
      </c>
      <c r="R672" s="2" t="inlineStr"/>
    </row>
    <row r="673" ht="15" customHeight="1">
      <c r="A673" t="inlineStr">
        <is>
          <t>A 1799-2025</t>
        </is>
      </c>
      <c r="B673" s="1" t="n">
        <v>45671.46746527778</v>
      </c>
      <c r="C673" s="1" t="n">
        <v>46131</v>
      </c>
      <c r="D673" t="inlineStr">
        <is>
          <t>KALMAR LÄN</t>
        </is>
      </c>
      <c r="E673" t="inlineStr">
        <is>
          <t>VIMMERBY</t>
        </is>
      </c>
      <c r="G673" t="n">
        <v>3.3</v>
      </c>
      <c r="H673" t="n">
        <v>0</v>
      </c>
      <c r="I673" t="n">
        <v>0</v>
      </c>
      <c r="J673" t="n">
        <v>0</v>
      </c>
      <c r="K673" t="n">
        <v>0</v>
      </c>
      <c r="L673" t="n">
        <v>0</v>
      </c>
      <c r="M673" t="n">
        <v>0</v>
      </c>
      <c r="N673" t="n">
        <v>0</v>
      </c>
      <c r="O673" t="n">
        <v>0</v>
      </c>
      <c r="P673" t="n">
        <v>0</v>
      </c>
      <c r="Q673" t="n">
        <v>0</v>
      </c>
      <c r="R673" s="2" t="inlineStr"/>
    </row>
    <row r="674" ht="15" customHeight="1">
      <c r="A674" t="inlineStr">
        <is>
          <t>A 2462-2022</t>
        </is>
      </c>
      <c r="B674" s="1" t="n">
        <v>44579.62225694444</v>
      </c>
      <c r="C674" s="1" t="n">
        <v>46131</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14793-2026</t>
        </is>
      </c>
      <c r="B675" s="1" t="n">
        <v>46101.92108796296</v>
      </c>
      <c r="C675" s="1" t="n">
        <v>46131</v>
      </c>
      <c r="D675" t="inlineStr">
        <is>
          <t>KALMAR LÄN</t>
        </is>
      </c>
      <c r="E675" t="inlineStr">
        <is>
          <t>VIMMERBY</t>
        </is>
      </c>
      <c r="G675" t="n">
        <v>5.7</v>
      </c>
      <c r="H675" t="n">
        <v>0</v>
      </c>
      <c r="I675" t="n">
        <v>0</v>
      </c>
      <c r="J675" t="n">
        <v>0</v>
      </c>
      <c r="K675" t="n">
        <v>0</v>
      </c>
      <c r="L675" t="n">
        <v>0</v>
      </c>
      <c r="M675" t="n">
        <v>0</v>
      </c>
      <c r="N675" t="n">
        <v>0</v>
      </c>
      <c r="O675" t="n">
        <v>0</v>
      </c>
      <c r="P675" t="n">
        <v>0</v>
      </c>
      <c r="Q675" t="n">
        <v>0</v>
      </c>
      <c r="R675" s="2" t="inlineStr"/>
    </row>
    <row r="676" ht="15" customHeight="1">
      <c r="A676" t="inlineStr">
        <is>
          <t>A 15054-2026</t>
        </is>
      </c>
      <c r="B676" s="1" t="n">
        <v>46104.6815162037</v>
      </c>
      <c r="C676" s="1" t="n">
        <v>46131</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13015-2022</t>
        </is>
      </c>
      <c r="B677" s="1" t="n">
        <v>44643</v>
      </c>
      <c r="C677" s="1" t="n">
        <v>46131</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4624-2024</t>
        </is>
      </c>
      <c r="B678" s="1" t="n">
        <v>45328.38755787037</v>
      </c>
      <c r="C678" s="1" t="n">
        <v>46131</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9129-2025</t>
        </is>
      </c>
      <c r="B679" s="1" t="n">
        <v>45713.92412037037</v>
      </c>
      <c r="C679" s="1" t="n">
        <v>46131</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14792-2026</t>
        </is>
      </c>
      <c r="B680" s="1" t="n">
        <v>46101.91993055555</v>
      </c>
      <c r="C680" s="1" t="n">
        <v>46131</v>
      </c>
      <c r="D680" t="inlineStr">
        <is>
          <t>KALMAR LÄN</t>
        </is>
      </c>
      <c r="E680" t="inlineStr">
        <is>
          <t>VIMMERBY</t>
        </is>
      </c>
      <c r="G680" t="n">
        <v>0.7</v>
      </c>
      <c r="H680" t="n">
        <v>0</v>
      </c>
      <c r="I680" t="n">
        <v>0</v>
      </c>
      <c r="J680" t="n">
        <v>0</v>
      </c>
      <c r="K680" t="n">
        <v>0</v>
      </c>
      <c r="L680" t="n">
        <v>0</v>
      </c>
      <c r="M680" t="n">
        <v>0</v>
      </c>
      <c r="N680" t="n">
        <v>0</v>
      </c>
      <c r="O680" t="n">
        <v>0</v>
      </c>
      <c r="P680" t="n">
        <v>0</v>
      </c>
      <c r="Q680" t="n">
        <v>0</v>
      </c>
      <c r="R680" s="2" t="inlineStr"/>
    </row>
    <row r="681" ht="15" customHeight="1">
      <c r="A681" t="inlineStr">
        <is>
          <t>A 22643-2023</t>
        </is>
      </c>
      <c r="B681" s="1" t="n">
        <v>45071</v>
      </c>
      <c r="C681" s="1" t="n">
        <v>46131</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34597-2022</t>
        </is>
      </c>
      <c r="B682" s="1" t="n">
        <v>44795</v>
      </c>
      <c r="C682" s="1" t="n">
        <v>46131</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40079-2023</t>
        </is>
      </c>
      <c r="B683" s="1" t="n">
        <v>45168.89298611111</v>
      </c>
      <c r="C683" s="1" t="n">
        <v>46131</v>
      </c>
      <c r="D683" t="inlineStr">
        <is>
          <t>KALMAR LÄN</t>
        </is>
      </c>
      <c r="E683" t="inlineStr">
        <is>
          <t>VIMMERBY</t>
        </is>
      </c>
      <c r="G683" t="n">
        <v>1.2</v>
      </c>
      <c r="H683" t="n">
        <v>0</v>
      </c>
      <c r="I683" t="n">
        <v>0</v>
      </c>
      <c r="J683" t="n">
        <v>0</v>
      </c>
      <c r="K683" t="n">
        <v>0</v>
      </c>
      <c r="L683" t="n">
        <v>0</v>
      </c>
      <c r="M683" t="n">
        <v>0</v>
      </c>
      <c r="N683" t="n">
        <v>0</v>
      </c>
      <c r="O683" t="n">
        <v>0</v>
      </c>
      <c r="P683" t="n">
        <v>0</v>
      </c>
      <c r="Q683" t="n">
        <v>0</v>
      </c>
      <c r="R683" s="2" t="inlineStr"/>
    </row>
    <row r="684" ht="15" customHeight="1">
      <c r="A684" t="inlineStr">
        <is>
          <t>A 19833-2023</t>
        </is>
      </c>
      <c r="B684" s="1" t="n">
        <v>45052</v>
      </c>
      <c r="C684" s="1" t="n">
        <v>46131</v>
      </c>
      <c r="D684" t="inlineStr">
        <is>
          <t>KALMAR LÄN</t>
        </is>
      </c>
      <c r="E684" t="inlineStr">
        <is>
          <t>VIMMERBY</t>
        </is>
      </c>
      <c r="G684" t="n">
        <v>6.7</v>
      </c>
      <c r="H684" t="n">
        <v>0</v>
      </c>
      <c r="I684" t="n">
        <v>0</v>
      </c>
      <c r="J684" t="n">
        <v>0</v>
      </c>
      <c r="K684" t="n">
        <v>0</v>
      </c>
      <c r="L684" t="n">
        <v>0</v>
      </c>
      <c r="M684" t="n">
        <v>0</v>
      </c>
      <c r="N684" t="n">
        <v>0</v>
      </c>
      <c r="O684" t="n">
        <v>0</v>
      </c>
      <c r="P684" t="n">
        <v>0</v>
      </c>
      <c r="Q684" t="n">
        <v>0</v>
      </c>
      <c r="R684" s="2" t="inlineStr"/>
    </row>
    <row r="685" ht="15" customHeight="1">
      <c r="A685" t="inlineStr">
        <is>
          <t>A 15205-2026</t>
        </is>
      </c>
      <c r="B685" s="1" t="n">
        <v>46105.48628472222</v>
      </c>
      <c r="C685" s="1" t="n">
        <v>46131</v>
      </c>
      <c r="D685" t="inlineStr">
        <is>
          <t>KALMAR LÄN</t>
        </is>
      </c>
      <c r="E685" t="inlineStr">
        <is>
          <t>VIMMERBY</t>
        </is>
      </c>
      <c r="G685" t="n">
        <v>2.1</v>
      </c>
      <c r="H685" t="n">
        <v>0</v>
      </c>
      <c r="I685" t="n">
        <v>0</v>
      </c>
      <c r="J685" t="n">
        <v>0</v>
      </c>
      <c r="K685" t="n">
        <v>0</v>
      </c>
      <c r="L685" t="n">
        <v>0</v>
      </c>
      <c r="M685" t="n">
        <v>0</v>
      </c>
      <c r="N685" t="n">
        <v>0</v>
      </c>
      <c r="O685" t="n">
        <v>0</v>
      </c>
      <c r="P685" t="n">
        <v>0</v>
      </c>
      <c r="Q685" t="n">
        <v>0</v>
      </c>
      <c r="R685" s="2" t="inlineStr"/>
    </row>
    <row r="686" ht="15" customHeight="1">
      <c r="A686" t="inlineStr">
        <is>
          <t>A 8696-2026</t>
        </is>
      </c>
      <c r="B686" s="1" t="n">
        <v>46066.45273148148</v>
      </c>
      <c r="C686" s="1" t="n">
        <v>46131</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17084-2025</t>
        </is>
      </c>
      <c r="B687" s="1" t="n">
        <v>45755.64450231481</v>
      </c>
      <c r="C687" s="1" t="n">
        <v>46131</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56022-2024</t>
        </is>
      </c>
      <c r="B688" s="1" t="n">
        <v>45623.95947916667</v>
      </c>
      <c r="C688" s="1" t="n">
        <v>46131</v>
      </c>
      <c r="D688" t="inlineStr">
        <is>
          <t>KALMAR LÄN</t>
        </is>
      </c>
      <c r="E688" t="inlineStr">
        <is>
          <t>VIMMERBY</t>
        </is>
      </c>
      <c r="G688" t="n">
        <v>0.3</v>
      </c>
      <c r="H688" t="n">
        <v>0</v>
      </c>
      <c r="I688" t="n">
        <v>0</v>
      </c>
      <c r="J688" t="n">
        <v>0</v>
      </c>
      <c r="K688" t="n">
        <v>0</v>
      </c>
      <c r="L688" t="n">
        <v>0</v>
      </c>
      <c r="M688" t="n">
        <v>0</v>
      </c>
      <c r="N688" t="n">
        <v>0</v>
      </c>
      <c r="O688" t="n">
        <v>0</v>
      </c>
      <c r="P688" t="n">
        <v>0</v>
      </c>
      <c r="Q688" t="n">
        <v>0</v>
      </c>
      <c r="R688" s="2" t="inlineStr"/>
    </row>
    <row r="689" ht="15" customHeight="1">
      <c r="A689" t="inlineStr">
        <is>
          <t>A 11928-2022</t>
        </is>
      </c>
      <c r="B689" s="1" t="n">
        <v>44635</v>
      </c>
      <c r="C689" s="1" t="n">
        <v>46131</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8595-2026</t>
        </is>
      </c>
      <c r="B690" s="1" t="n">
        <v>46065.7372337963</v>
      </c>
      <c r="C690" s="1" t="n">
        <v>46131</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16656-2026</t>
        </is>
      </c>
      <c r="B691" s="1" t="n">
        <v>46112.65111111111</v>
      </c>
      <c r="C691" s="1" t="n">
        <v>46131</v>
      </c>
      <c r="D691" t="inlineStr">
        <is>
          <t>KALMAR LÄN</t>
        </is>
      </c>
      <c r="E691" t="inlineStr">
        <is>
          <t>VIMMERBY</t>
        </is>
      </c>
      <c r="F691" t="inlineStr">
        <is>
          <t>Kommuner</t>
        </is>
      </c>
      <c r="G691" t="n">
        <v>5.5</v>
      </c>
      <c r="H691" t="n">
        <v>0</v>
      </c>
      <c r="I691" t="n">
        <v>0</v>
      </c>
      <c r="J691" t="n">
        <v>0</v>
      </c>
      <c r="K691" t="n">
        <v>0</v>
      </c>
      <c r="L691" t="n">
        <v>0</v>
      </c>
      <c r="M691" t="n">
        <v>0</v>
      </c>
      <c r="N691" t="n">
        <v>0</v>
      </c>
      <c r="O691" t="n">
        <v>0</v>
      </c>
      <c r="P691" t="n">
        <v>0</v>
      </c>
      <c r="Q691" t="n">
        <v>0</v>
      </c>
      <c r="R691" s="2" t="inlineStr"/>
    </row>
    <row r="692" ht="15" customHeight="1">
      <c r="A692" t="inlineStr">
        <is>
          <t>A 5527-2022</t>
        </is>
      </c>
      <c r="B692" s="1" t="n">
        <v>44595.583125</v>
      </c>
      <c r="C692" s="1" t="n">
        <v>46131</v>
      </c>
      <c r="D692" t="inlineStr">
        <is>
          <t>KALMAR LÄN</t>
        </is>
      </c>
      <c r="E692" t="inlineStr">
        <is>
          <t>VIMMERBY</t>
        </is>
      </c>
      <c r="G692" t="n">
        <v>3.6</v>
      </c>
      <c r="H692" t="n">
        <v>0</v>
      </c>
      <c r="I692" t="n">
        <v>0</v>
      </c>
      <c r="J692" t="n">
        <v>0</v>
      </c>
      <c r="K692" t="n">
        <v>0</v>
      </c>
      <c r="L692" t="n">
        <v>0</v>
      </c>
      <c r="M692" t="n">
        <v>0</v>
      </c>
      <c r="N692" t="n">
        <v>0</v>
      </c>
      <c r="O692" t="n">
        <v>0</v>
      </c>
      <c r="P692" t="n">
        <v>0</v>
      </c>
      <c r="Q692" t="n">
        <v>0</v>
      </c>
      <c r="R692" s="2" t="inlineStr"/>
    </row>
    <row r="693" ht="15" customHeight="1">
      <c r="A693" t="inlineStr">
        <is>
          <t>A 16678-2026</t>
        </is>
      </c>
      <c r="B693" s="1" t="n">
        <v>46112.69435185185</v>
      </c>
      <c r="C693" s="1" t="n">
        <v>46131</v>
      </c>
      <c r="D693" t="inlineStr">
        <is>
          <t>KALMAR LÄN</t>
        </is>
      </c>
      <c r="E693" t="inlineStr">
        <is>
          <t>VIMMERBY</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16183-2026</t>
        </is>
      </c>
      <c r="B694" s="1" t="n">
        <v>46111</v>
      </c>
      <c r="C694" s="1" t="n">
        <v>46131</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16675-2026</t>
        </is>
      </c>
      <c r="B695" s="1" t="n">
        <v>46112.68202546296</v>
      </c>
      <c r="C695" s="1" t="n">
        <v>46131</v>
      </c>
      <c r="D695" t="inlineStr">
        <is>
          <t>KALMAR LÄN</t>
        </is>
      </c>
      <c r="E695" t="inlineStr">
        <is>
          <t>VIMMERBY</t>
        </is>
      </c>
      <c r="F695" t="inlineStr">
        <is>
          <t>Kommuner</t>
        </is>
      </c>
      <c r="G695" t="n">
        <v>0.8</v>
      </c>
      <c r="H695" t="n">
        <v>0</v>
      </c>
      <c r="I695" t="n">
        <v>0</v>
      </c>
      <c r="J695" t="n">
        <v>0</v>
      </c>
      <c r="K695" t="n">
        <v>0</v>
      </c>
      <c r="L695" t="n">
        <v>0</v>
      </c>
      <c r="M695" t="n">
        <v>0</v>
      </c>
      <c r="N695" t="n">
        <v>0</v>
      </c>
      <c r="O695" t="n">
        <v>0</v>
      </c>
      <c r="P695" t="n">
        <v>0</v>
      </c>
      <c r="Q695" t="n">
        <v>0</v>
      </c>
      <c r="R695" s="2" t="inlineStr"/>
    </row>
    <row r="696" ht="15" customHeight="1">
      <c r="A696" t="inlineStr">
        <is>
          <t>A 49461-2023</t>
        </is>
      </c>
      <c r="B696" s="1" t="n">
        <v>45211.52642361111</v>
      </c>
      <c r="C696" s="1" t="n">
        <v>46131</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49474-2023</t>
        </is>
      </c>
      <c r="B697" s="1" t="n">
        <v>45211.541875</v>
      </c>
      <c r="C697" s="1" t="n">
        <v>46131</v>
      </c>
      <c r="D697" t="inlineStr">
        <is>
          <t>KALMAR LÄN</t>
        </is>
      </c>
      <c r="E697" t="inlineStr">
        <is>
          <t>VIMMERBY</t>
        </is>
      </c>
      <c r="G697" t="n">
        <v>3.6</v>
      </c>
      <c r="H697" t="n">
        <v>0</v>
      </c>
      <c r="I697" t="n">
        <v>0</v>
      </c>
      <c r="J697" t="n">
        <v>0</v>
      </c>
      <c r="K697" t="n">
        <v>0</v>
      </c>
      <c r="L697" t="n">
        <v>0</v>
      </c>
      <c r="M697" t="n">
        <v>0</v>
      </c>
      <c r="N697" t="n">
        <v>0</v>
      </c>
      <c r="O697" t="n">
        <v>0</v>
      </c>
      <c r="P697" t="n">
        <v>0</v>
      </c>
      <c r="Q697" t="n">
        <v>0</v>
      </c>
      <c r="R697" s="2" t="inlineStr"/>
    </row>
    <row r="698" ht="15" customHeight="1">
      <c r="A698" t="inlineStr">
        <is>
          <t>A 61861-2024</t>
        </is>
      </c>
      <c r="B698" s="1" t="n">
        <v>45650.37370370371</v>
      </c>
      <c r="C698" s="1" t="n">
        <v>46131</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16653-2026</t>
        </is>
      </c>
      <c r="B699" s="1" t="n">
        <v>46112.64597222222</v>
      </c>
      <c r="C699" s="1" t="n">
        <v>46131</v>
      </c>
      <c r="D699" t="inlineStr">
        <is>
          <t>KALMAR LÄN</t>
        </is>
      </c>
      <c r="E699" t="inlineStr">
        <is>
          <t>VIMMERBY</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16672-2026</t>
        </is>
      </c>
      <c r="B700" s="1" t="n">
        <v>46112.67336805556</v>
      </c>
      <c r="C700" s="1" t="n">
        <v>46131</v>
      </c>
      <c r="D700" t="inlineStr">
        <is>
          <t>KALMAR LÄN</t>
        </is>
      </c>
      <c r="E700" t="inlineStr">
        <is>
          <t>VIMMERBY</t>
        </is>
      </c>
      <c r="F700" t="inlineStr">
        <is>
          <t>Kommuner</t>
        </is>
      </c>
      <c r="G700" t="n">
        <v>1.4</v>
      </c>
      <c r="H700" t="n">
        <v>0</v>
      </c>
      <c r="I700" t="n">
        <v>0</v>
      </c>
      <c r="J700" t="n">
        <v>0</v>
      </c>
      <c r="K700" t="n">
        <v>0</v>
      </c>
      <c r="L700" t="n">
        <v>0</v>
      </c>
      <c r="M700" t="n">
        <v>0</v>
      </c>
      <c r="N700" t="n">
        <v>0</v>
      </c>
      <c r="O700" t="n">
        <v>0</v>
      </c>
      <c r="P700" t="n">
        <v>0</v>
      </c>
      <c r="Q700" t="n">
        <v>0</v>
      </c>
      <c r="R700" s="2" t="inlineStr"/>
    </row>
    <row r="701" ht="15" customHeight="1">
      <c r="A701" t="inlineStr">
        <is>
          <t>A 16617-2026</t>
        </is>
      </c>
      <c r="B701" s="1" t="n">
        <v>46112.60607638889</v>
      </c>
      <c r="C701" s="1" t="n">
        <v>46131</v>
      </c>
      <c r="D701" t="inlineStr">
        <is>
          <t>KALMAR LÄN</t>
        </is>
      </c>
      <c r="E701" t="inlineStr">
        <is>
          <t>VIMMERBY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45846-2023</t>
        </is>
      </c>
      <c r="B702" s="1" t="n">
        <v>45195.58452546296</v>
      </c>
      <c r="C702" s="1" t="n">
        <v>46131</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8167-2024</t>
        </is>
      </c>
      <c r="B703" s="1" t="n">
        <v>45351.6062962963</v>
      </c>
      <c r="C703" s="1" t="n">
        <v>46131</v>
      </c>
      <c r="D703" t="inlineStr">
        <is>
          <t>KALMAR LÄN</t>
        </is>
      </c>
      <c r="E703" t="inlineStr">
        <is>
          <t>VIMMERBY</t>
        </is>
      </c>
      <c r="G703" t="n">
        <v>3.8</v>
      </c>
      <c r="H703" t="n">
        <v>0</v>
      </c>
      <c r="I703" t="n">
        <v>0</v>
      </c>
      <c r="J703" t="n">
        <v>0</v>
      </c>
      <c r="K703" t="n">
        <v>0</v>
      </c>
      <c r="L703" t="n">
        <v>0</v>
      </c>
      <c r="M703" t="n">
        <v>0</v>
      </c>
      <c r="N703" t="n">
        <v>0</v>
      </c>
      <c r="O703" t="n">
        <v>0</v>
      </c>
      <c r="P703" t="n">
        <v>0</v>
      </c>
      <c r="Q703" t="n">
        <v>0</v>
      </c>
      <c r="R703" s="2" t="inlineStr"/>
    </row>
    <row r="704" ht="15" customHeight="1">
      <c r="A704" t="inlineStr">
        <is>
          <t>A 49382-2023</t>
        </is>
      </c>
      <c r="B704" s="1" t="n">
        <v>45208</v>
      </c>
      <c r="C704" s="1" t="n">
        <v>46131</v>
      </c>
      <c r="D704" t="inlineStr">
        <is>
          <t>KALMAR LÄN</t>
        </is>
      </c>
      <c r="E704" t="inlineStr">
        <is>
          <t>VIMMERBY</t>
        </is>
      </c>
      <c r="G704" t="n">
        <v>2.2</v>
      </c>
      <c r="H704" t="n">
        <v>0</v>
      </c>
      <c r="I704" t="n">
        <v>0</v>
      </c>
      <c r="J704" t="n">
        <v>0</v>
      </c>
      <c r="K704" t="n">
        <v>0</v>
      </c>
      <c r="L704" t="n">
        <v>0</v>
      </c>
      <c r="M704" t="n">
        <v>0</v>
      </c>
      <c r="N704" t="n">
        <v>0</v>
      </c>
      <c r="O704" t="n">
        <v>0</v>
      </c>
      <c r="P704" t="n">
        <v>0</v>
      </c>
      <c r="Q704" t="n">
        <v>0</v>
      </c>
      <c r="R704" s="2" t="inlineStr"/>
    </row>
    <row r="705" ht="15" customHeight="1">
      <c r="A705" t="inlineStr">
        <is>
          <t>A 12121-2025</t>
        </is>
      </c>
      <c r="B705" s="1" t="n">
        <v>45729.36868055556</v>
      </c>
      <c r="C705" s="1" t="n">
        <v>46131</v>
      </c>
      <c r="D705" t="inlineStr">
        <is>
          <t>KALMAR LÄN</t>
        </is>
      </c>
      <c r="E705" t="inlineStr">
        <is>
          <t>VIMMERBY</t>
        </is>
      </c>
      <c r="G705" t="n">
        <v>4.3</v>
      </c>
      <c r="H705" t="n">
        <v>0</v>
      </c>
      <c r="I705" t="n">
        <v>0</v>
      </c>
      <c r="J705" t="n">
        <v>0</v>
      </c>
      <c r="K705" t="n">
        <v>0</v>
      </c>
      <c r="L705" t="n">
        <v>0</v>
      </c>
      <c r="M705" t="n">
        <v>0</v>
      </c>
      <c r="N705" t="n">
        <v>0</v>
      </c>
      <c r="O705" t="n">
        <v>0</v>
      </c>
      <c r="P705" t="n">
        <v>0</v>
      </c>
      <c r="Q705" t="n">
        <v>0</v>
      </c>
      <c r="R705" s="2" t="inlineStr"/>
    </row>
    <row r="706" ht="15" customHeight="1">
      <c r="A706" t="inlineStr">
        <is>
          <t>A 35846-2023</t>
        </is>
      </c>
      <c r="B706" s="1" t="n">
        <v>45148</v>
      </c>
      <c r="C706" s="1" t="n">
        <v>46131</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35913-2023</t>
        </is>
      </c>
      <c r="B707" s="1" t="n">
        <v>45148</v>
      </c>
      <c r="C707" s="1" t="n">
        <v>46131</v>
      </c>
      <c r="D707" t="inlineStr">
        <is>
          <t>KALMAR LÄN</t>
        </is>
      </c>
      <c r="E707" t="inlineStr">
        <is>
          <t>VIMMERBY</t>
        </is>
      </c>
      <c r="G707" t="n">
        <v>6.9</v>
      </c>
      <c r="H707" t="n">
        <v>0</v>
      </c>
      <c r="I707" t="n">
        <v>0</v>
      </c>
      <c r="J707" t="n">
        <v>0</v>
      </c>
      <c r="K707" t="n">
        <v>0</v>
      </c>
      <c r="L707" t="n">
        <v>0</v>
      </c>
      <c r="M707" t="n">
        <v>0</v>
      </c>
      <c r="N707" t="n">
        <v>0</v>
      </c>
      <c r="O707" t="n">
        <v>0</v>
      </c>
      <c r="P707" t="n">
        <v>0</v>
      </c>
      <c r="Q707" t="n">
        <v>0</v>
      </c>
      <c r="R707" s="2" t="inlineStr"/>
    </row>
    <row r="708" ht="15" customHeight="1">
      <c r="A708" t="inlineStr">
        <is>
          <t>A 38757-2023</t>
        </is>
      </c>
      <c r="B708" s="1" t="n">
        <v>45163.41376157408</v>
      </c>
      <c r="C708" s="1" t="n">
        <v>46131</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16632-2026</t>
        </is>
      </c>
      <c r="B709" s="1" t="n">
        <v>46112.62212962963</v>
      </c>
      <c r="C709" s="1" t="n">
        <v>46131</v>
      </c>
      <c r="D709" t="inlineStr">
        <is>
          <t>KALMAR LÄN</t>
        </is>
      </c>
      <c r="E709" t="inlineStr">
        <is>
          <t>VIMMERBY</t>
        </is>
      </c>
      <c r="G709" t="n">
        <v>2.1</v>
      </c>
      <c r="H709" t="n">
        <v>0</v>
      </c>
      <c r="I709" t="n">
        <v>0</v>
      </c>
      <c r="J709" t="n">
        <v>0</v>
      </c>
      <c r="K709" t="n">
        <v>0</v>
      </c>
      <c r="L709" t="n">
        <v>0</v>
      </c>
      <c r="M709" t="n">
        <v>0</v>
      </c>
      <c r="N709" t="n">
        <v>0</v>
      </c>
      <c r="O709" t="n">
        <v>0</v>
      </c>
      <c r="P709" t="n">
        <v>0</v>
      </c>
      <c r="Q709" t="n">
        <v>0</v>
      </c>
      <c r="R709" s="2" t="inlineStr"/>
    </row>
    <row r="710" ht="15" customHeight="1">
      <c r="A710" t="inlineStr">
        <is>
          <t>A 20136-2024</t>
        </is>
      </c>
      <c r="B710" s="1" t="n">
        <v>45434.56291666667</v>
      </c>
      <c r="C710" s="1" t="n">
        <v>46131</v>
      </c>
      <c r="D710" t="inlineStr">
        <is>
          <t>KALMAR LÄN</t>
        </is>
      </c>
      <c r="E710" t="inlineStr">
        <is>
          <t>VIMMERBY</t>
        </is>
      </c>
      <c r="F710" t="inlineStr">
        <is>
          <t>Sveaskog</t>
        </is>
      </c>
      <c r="G710" t="n">
        <v>8.4</v>
      </c>
      <c r="H710" t="n">
        <v>0</v>
      </c>
      <c r="I710" t="n">
        <v>0</v>
      </c>
      <c r="J710" t="n">
        <v>0</v>
      </c>
      <c r="K710" t="n">
        <v>0</v>
      </c>
      <c r="L710" t="n">
        <v>0</v>
      </c>
      <c r="M710" t="n">
        <v>0</v>
      </c>
      <c r="N710" t="n">
        <v>0</v>
      </c>
      <c r="O710" t="n">
        <v>0</v>
      </c>
      <c r="P710" t="n">
        <v>0</v>
      </c>
      <c r="Q710" t="n">
        <v>0</v>
      </c>
      <c r="R710" s="2" t="inlineStr"/>
    </row>
    <row r="711" ht="15" customHeight="1">
      <c r="A711" t="inlineStr">
        <is>
          <t>A 16648-2026</t>
        </is>
      </c>
      <c r="B711" s="1" t="n">
        <v>46112.64032407408</v>
      </c>
      <c r="C711" s="1" t="n">
        <v>46131</v>
      </c>
      <c r="D711" t="inlineStr">
        <is>
          <t>KALMAR LÄN</t>
        </is>
      </c>
      <c r="E711" t="inlineStr">
        <is>
          <t>VIMMERBY</t>
        </is>
      </c>
      <c r="F711" t="inlineStr">
        <is>
          <t>Kommuner</t>
        </is>
      </c>
      <c r="G711" t="n">
        <v>0.9</v>
      </c>
      <c r="H711" t="n">
        <v>0</v>
      </c>
      <c r="I711" t="n">
        <v>0</v>
      </c>
      <c r="J711" t="n">
        <v>0</v>
      </c>
      <c r="K711" t="n">
        <v>0</v>
      </c>
      <c r="L711" t="n">
        <v>0</v>
      </c>
      <c r="M711" t="n">
        <v>0</v>
      </c>
      <c r="N711" t="n">
        <v>0</v>
      </c>
      <c r="O711" t="n">
        <v>0</v>
      </c>
      <c r="P711" t="n">
        <v>0</v>
      </c>
      <c r="Q711" t="n">
        <v>0</v>
      </c>
      <c r="R711" s="2" t="inlineStr"/>
    </row>
    <row r="712" ht="15" customHeight="1">
      <c r="A712" t="inlineStr">
        <is>
          <t>A 24283-2023</t>
        </is>
      </c>
      <c r="B712" s="1" t="n">
        <v>45079.87827546296</v>
      </c>
      <c r="C712" s="1" t="n">
        <v>46131</v>
      </c>
      <c r="D712" t="inlineStr">
        <is>
          <t>KALMAR LÄN</t>
        </is>
      </c>
      <c r="E712" t="inlineStr">
        <is>
          <t>VIMMERBY</t>
        </is>
      </c>
      <c r="G712" t="n">
        <v>2</v>
      </c>
      <c r="H712" t="n">
        <v>0</v>
      </c>
      <c r="I712" t="n">
        <v>0</v>
      </c>
      <c r="J712" t="n">
        <v>0</v>
      </c>
      <c r="K712" t="n">
        <v>0</v>
      </c>
      <c r="L712" t="n">
        <v>0</v>
      </c>
      <c r="M712" t="n">
        <v>0</v>
      </c>
      <c r="N712" t="n">
        <v>0</v>
      </c>
      <c r="O712" t="n">
        <v>0</v>
      </c>
      <c r="P712" t="n">
        <v>0</v>
      </c>
      <c r="Q712" t="n">
        <v>0</v>
      </c>
      <c r="R712" s="2" t="inlineStr"/>
    </row>
    <row r="713" ht="15" customHeight="1">
      <c r="A713" t="inlineStr">
        <is>
          <t>A 16801-2026</t>
        </is>
      </c>
      <c r="B713" s="1" t="n">
        <v>46113.48400462963</v>
      </c>
      <c r="C713" s="1" t="n">
        <v>46131</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59598-2023</t>
        </is>
      </c>
      <c r="B714" s="1" t="n">
        <v>45254.62489583333</v>
      </c>
      <c r="C714" s="1" t="n">
        <v>46131</v>
      </c>
      <c r="D714" t="inlineStr">
        <is>
          <t>KALMAR LÄN</t>
        </is>
      </c>
      <c r="E714" t="inlineStr">
        <is>
          <t>VIMMERBY</t>
        </is>
      </c>
      <c r="F714" t="inlineStr">
        <is>
          <t>Övriga Aktiebolag</t>
        </is>
      </c>
      <c r="G714" t="n">
        <v>4</v>
      </c>
      <c r="H714" t="n">
        <v>0</v>
      </c>
      <c r="I714" t="n">
        <v>0</v>
      </c>
      <c r="J714" t="n">
        <v>0</v>
      </c>
      <c r="K714" t="n">
        <v>0</v>
      </c>
      <c r="L714" t="n">
        <v>0</v>
      </c>
      <c r="M714" t="n">
        <v>0</v>
      </c>
      <c r="N714" t="n">
        <v>0</v>
      </c>
      <c r="O714" t="n">
        <v>0</v>
      </c>
      <c r="P714" t="n">
        <v>0</v>
      </c>
      <c r="Q714" t="n">
        <v>0</v>
      </c>
      <c r="R714" s="2" t="inlineStr"/>
    </row>
    <row r="715" ht="15" customHeight="1">
      <c r="A715" t="inlineStr">
        <is>
          <t>A 30920-2023</t>
        </is>
      </c>
      <c r="B715" s="1" t="n">
        <v>45113.43921296296</v>
      </c>
      <c r="C715" s="1" t="n">
        <v>46131</v>
      </c>
      <c r="D715" t="inlineStr">
        <is>
          <t>KALMAR LÄN</t>
        </is>
      </c>
      <c r="E715" t="inlineStr">
        <is>
          <t>VIMMERBY</t>
        </is>
      </c>
      <c r="G715" t="n">
        <v>3.1</v>
      </c>
      <c r="H715" t="n">
        <v>0</v>
      </c>
      <c r="I715" t="n">
        <v>0</v>
      </c>
      <c r="J715" t="n">
        <v>0</v>
      </c>
      <c r="K715" t="n">
        <v>0</v>
      </c>
      <c r="L715" t="n">
        <v>0</v>
      </c>
      <c r="M715" t="n">
        <v>0</v>
      </c>
      <c r="N715" t="n">
        <v>0</v>
      </c>
      <c r="O715" t="n">
        <v>0</v>
      </c>
      <c r="P715" t="n">
        <v>0</v>
      </c>
      <c r="Q715" t="n">
        <v>0</v>
      </c>
      <c r="R715" s="2" t="inlineStr"/>
    </row>
    <row r="716" ht="15" customHeight="1">
      <c r="A716" t="inlineStr">
        <is>
          <t>A 16799-2026</t>
        </is>
      </c>
      <c r="B716" s="1" t="n">
        <v>46113.47913194444</v>
      </c>
      <c r="C716" s="1" t="n">
        <v>46131</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16795-2026</t>
        </is>
      </c>
      <c r="B717" s="1" t="n">
        <v>46113.47216435185</v>
      </c>
      <c r="C717" s="1" t="n">
        <v>46131</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16870-2026</t>
        </is>
      </c>
      <c r="B718" s="1" t="n">
        <v>46113.5822800926</v>
      </c>
      <c r="C718" s="1" t="n">
        <v>46131</v>
      </c>
      <c r="D718" t="inlineStr">
        <is>
          <t>KALMAR LÄN</t>
        </is>
      </c>
      <c r="E718" t="inlineStr">
        <is>
          <t>VIMMERBY</t>
        </is>
      </c>
      <c r="G718" t="n">
        <v>2</v>
      </c>
      <c r="H718" t="n">
        <v>0</v>
      </c>
      <c r="I718" t="n">
        <v>0</v>
      </c>
      <c r="J718" t="n">
        <v>0</v>
      </c>
      <c r="K718" t="n">
        <v>0</v>
      </c>
      <c r="L718" t="n">
        <v>0</v>
      </c>
      <c r="M718" t="n">
        <v>0</v>
      </c>
      <c r="N718" t="n">
        <v>0</v>
      </c>
      <c r="O718" t="n">
        <v>0</v>
      </c>
      <c r="P718" t="n">
        <v>0</v>
      </c>
      <c r="Q718" t="n">
        <v>0</v>
      </c>
      <c r="R718" s="2" t="inlineStr"/>
    </row>
    <row r="719" ht="15" customHeight="1">
      <c r="A719" t="inlineStr">
        <is>
          <t>A 16823-2026</t>
        </is>
      </c>
      <c r="B719" s="1" t="n">
        <v>46113.51649305555</v>
      </c>
      <c r="C719" s="1" t="n">
        <v>46131</v>
      </c>
      <c r="D719" t="inlineStr">
        <is>
          <t>KALMAR LÄN</t>
        </is>
      </c>
      <c r="E719" t="inlineStr">
        <is>
          <t>VIMMERBY</t>
        </is>
      </c>
      <c r="G719" t="n">
        <v>0.8</v>
      </c>
      <c r="H719" t="n">
        <v>0</v>
      </c>
      <c r="I719" t="n">
        <v>0</v>
      </c>
      <c r="J719" t="n">
        <v>0</v>
      </c>
      <c r="K719" t="n">
        <v>0</v>
      </c>
      <c r="L719" t="n">
        <v>0</v>
      </c>
      <c r="M719" t="n">
        <v>0</v>
      </c>
      <c r="N719" t="n">
        <v>0</v>
      </c>
      <c r="O719" t="n">
        <v>0</v>
      </c>
      <c r="P719" t="n">
        <v>0</v>
      </c>
      <c r="Q719" t="n">
        <v>0</v>
      </c>
      <c r="R719" s="2" t="inlineStr"/>
    </row>
    <row r="720" ht="15" customHeight="1">
      <c r="A720" t="inlineStr">
        <is>
          <t>A 40929-2022</t>
        </is>
      </c>
      <c r="B720" s="1" t="n">
        <v>44825.4336574074</v>
      </c>
      <c r="C720" s="1" t="n">
        <v>46131</v>
      </c>
      <c r="D720" t="inlineStr">
        <is>
          <t>KALMAR LÄN</t>
        </is>
      </c>
      <c r="E720" t="inlineStr">
        <is>
          <t>VIMMERBY</t>
        </is>
      </c>
      <c r="G720" t="n">
        <v>2.5</v>
      </c>
      <c r="H720" t="n">
        <v>0</v>
      </c>
      <c r="I720" t="n">
        <v>0</v>
      </c>
      <c r="J720" t="n">
        <v>0</v>
      </c>
      <c r="K720" t="n">
        <v>0</v>
      </c>
      <c r="L720" t="n">
        <v>0</v>
      </c>
      <c r="M720" t="n">
        <v>0</v>
      </c>
      <c r="N720" t="n">
        <v>0</v>
      </c>
      <c r="O720" t="n">
        <v>0</v>
      </c>
      <c r="P720" t="n">
        <v>0</v>
      </c>
      <c r="Q720" t="n">
        <v>0</v>
      </c>
      <c r="R720" s="2" t="inlineStr"/>
    </row>
    <row r="721" ht="15" customHeight="1">
      <c r="A721" t="inlineStr">
        <is>
          <t>A 33380-2023</t>
        </is>
      </c>
      <c r="B721" s="1" t="n">
        <v>45128</v>
      </c>
      <c r="C721" s="1" t="n">
        <v>46131</v>
      </c>
      <c r="D721" t="inlineStr">
        <is>
          <t>KALMAR LÄN</t>
        </is>
      </c>
      <c r="E721" t="inlineStr">
        <is>
          <t>VIMMERBY</t>
        </is>
      </c>
      <c r="G721" t="n">
        <v>5.2</v>
      </c>
      <c r="H721" t="n">
        <v>0</v>
      </c>
      <c r="I721" t="n">
        <v>0</v>
      </c>
      <c r="J721" t="n">
        <v>0</v>
      </c>
      <c r="K721" t="n">
        <v>0</v>
      </c>
      <c r="L721" t="n">
        <v>0</v>
      </c>
      <c r="M721" t="n">
        <v>0</v>
      </c>
      <c r="N721" t="n">
        <v>0</v>
      </c>
      <c r="O721" t="n">
        <v>0</v>
      </c>
      <c r="P721" t="n">
        <v>0</v>
      </c>
      <c r="Q721" t="n">
        <v>0</v>
      </c>
      <c r="R721" s="2" t="inlineStr"/>
    </row>
    <row r="722" ht="15" customHeight="1">
      <c r="A722" t="inlineStr">
        <is>
          <t>A 46144-2023</t>
        </is>
      </c>
      <c r="B722" s="1" t="n">
        <v>45196.57247685185</v>
      </c>
      <c r="C722" s="1" t="n">
        <v>46131</v>
      </c>
      <c r="D722" t="inlineStr">
        <is>
          <t>KALMAR LÄN</t>
        </is>
      </c>
      <c r="E722" t="inlineStr">
        <is>
          <t>VIMMERBY</t>
        </is>
      </c>
      <c r="G722" t="n">
        <v>6.5</v>
      </c>
      <c r="H722" t="n">
        <v>0</v>
      </c>
      <c r="I722" t="n">
        <v>0</v>
      </c>
      <c r="J722" t="n">
        <v>0</v>
      </c>
      <c r="K722" t="n">
        <v>0</v>
      </c>
      <c r="L722" t="n">
        <v>0</v>
      </c>
      <c r="M722" t="n">
        <v>0</v>
      </c>
      <c r="N722" t="n">
        <v>0</v>
      </c>
      <c r="O722" t="n">
        <v>0</v>
      </c>
      <c r="P722" t="n">
        <v>0</v>
      </c>
      <c r="Q722" t="n">
        <v>0</v>
      </c>
      <c r="R722" s="2" t="inlineStr"/>
    </row>
    <row r="723" ht="15" customHeight="1">
      <c r="A723" t="inlineStr">
        <is>
          <t>A 54787-2023</t>
        </is>
      </c>
      <c r="B723" s="1" t="n">
        <v>45236</v>
      </c>
      <c r="C723" s="1" t="n">
        <v>46131</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15715-2022</t>
        </is>
      </c>
      <c r="B724" s="1" t="n">
        <v>44663</v>
      </c>
      <c r="C724" s="1" t="n">
        <v>46131</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43774-2023</t>
        </is>
      </c>
      <c r="B725" s="1" t="n">
        <v>45187</v>
      </c>
      <c r="C725" s="1" t="n">
        <v>46131</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43705-2023</t>
        </is>
      </c>
      <c r="B726" s="1" t="n">
        <v>45187.42854166667</v>
      </c>
      <c r="C726" s="1" t="n">
        <v>46131</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7932-2025</t>
        </is>
      </c>
      <c r="B727" s="1" t="n">
        <v>45707.3793287037</v>
      </c>
      <c r="C727" s="1" t="n">
        <v>46131</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13532-2025</t>
        </is>
      </c>
      <c r="B728" s="1" t="n">
        <v>45736.50743055555</v>
      </c>
      <c r="C728" s="1" t="n">
        <v>46131</v>
      </c>
      <c r="D728" t="inlineStr">
        <is>
          <t>KALMAR LÄN</t>
        </is>
      </c>
      <c r="E728" t="inlineStr">
        <is>
          <t>VIMMERBY</t>
        </is>
      </c>
      <c r="G728" t="n">
        <v>3.6</v>
      </c>
      <c r="H728" t="n">
        <v>0</v>
      </c>
      <c r="I728" t="n">
        <v>0</v>
      </c>
      <c r="J728" t="n">
        <v>0</v>
      </c>
      <c r="K728" t="n">
        <v>0</v>
      </c>
      <c r="L728" t="n">
        <v>0</v>
      </c>
      <c r="M728" t="n">
        <v>0</v>
      </c>
      <c r="N728" t="n">
        <v>0</v>
      </c>
      <c r="O728" t="n">
        <v>0</v>
      </c>
      <c r="P728" t="n">
        <v>0</v>
      </c>
      <c r="Q728" t="n">
        <v>0</v>
      </c>
      <c r="R728" s="2" t="inlineStr"/>
    </row>
    <row r="729" ht="15" customHeight="1">
      <c r="A729" t="inlineStr">
        <is>
          <t>A 1978-2024</t>
        </is>
      </c>
      <c r="B729" s="1" t="n">
        <v>45308.59001157407</v>
      </c>
      <c r="C729" s="1" t="n">
        <v>46131</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6399-2025</t>
        </is>
      </c>
      <c r="B730" s="1" t="n">
        <v>45699.44291666667</v>
      </c>
      <c r="C730" s="1" t="n">
        <v>46131</v>
      </c>
      <c r="D730" t="inlineStr">
        <is>
          <t>KALMAR LÄN</t>
        </is>
      </c>
      <c r="E730" t="inlineStr">
        <is>
          <t>VIMMERBY</t>
        </is>
      </c>
      <c r="G730" t="n">
        <v>3.1</v>
      </c>
      <c r="H730" t="n">
        <v>0</v>
      </c>
      <c r="I730" t="n">
        <v>0</v>
      </c>
      <c r="J730" t="n">
        <v>0</v>
      </c>
      <c r="K730" t="n">
        <v>0</v>
      </c>
      <c r="L730" t="n">
        <v>0</v>
      </c>
      <c r="M730" t="n">
        <v>0</v>
      </c>
      <c r="N730" t="n">
        <v>0</v>
      </c>
      <c r="O730" t="n">
        <v>0</v>
      </c>
      <c r="P730" t="n">
        <v>0</v>
      </c>
      <c r="Q730" t="n">
        <v>0</v>
      </c>
      <c r="R730" s="2" t="inlineStr"/>
    </row>
    <row r="731" ht="15" customHeight="1">
      <c r="A731" t="inlineStr">
        <is>
          <t>A 41311-2023</t>
        </is>
      </c>
      <c r="B731" s="1" t="n">
        <v>45174</v>
      </c>
      <c r="C731" s="1" t="n">
        <v>46131</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17713-2026</t>
        </is>
      </c>
      <c r="B732" s="1" t="n">
        <v>46121.72810185186</v>
      </c>
      <c r="C732" s="1" t="n">
        <v>46131</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10785-2025</t>
        </is>
      </c>
      <c r="B733" s="1" t="n">
        <v>45722.48634259259</v>
      </c>
      <c r="C733" s="1" t="n">
        <v>46131</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10965-2026</t>
        </is>
      </c>
      <c r="B734" s="1" t="n">
        <v>46079.43295138889</v>
      </c>
      <c r="C734" s="1" t="n">
        <v>46131</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18020-2025</t>
        </is>
      </c>
      <c r="B735" s="1" t="n">
        <v>45761.4437962963</v>
      </c>
      <c r="C735" s="1" t="n">
        <v>46131</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585-2024</t>
        </is>
      </c>
      <c r="B736" s="1" t="n">
        <v>45299.62576388889</v>
      </c>
      <c r="C736" s="1" t="n">
        <v>46131</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6802-2025</t>
        </is>
      </c>
      <c r="B737" s="1" t="n">
        <v>45700.68289351852</v>
      </c>
      <c r="C737" s="1" t="n">
        <v>46131</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11407-2026</t>
        </is>
      </c>
      <c r="B738" s="1" t="n">
        <v>46083</v>
      </c>
      <c r="C738" s="1" t="n">
        <v>46131</v>
      </c>
      <c r="D738" t="inlineStr">
        <is>
          <t>KALMAR LÄN</t>
        </is>
      </c>
      <c r="E738" t="inlineStr">
        <is>
          <t>VIMMERBY</t>
        </is>
      </c>
      <c r="G738" t="n">
        <v>2.3</v>
      </c>
      <c r="H738" t="n">
        <v>0</v>
      </c>
      <c r="I738" t="n">
        <v>0</v>
      </c>
      <c r="J738" t="n">
        <v>0</v>
      </c>
      <c r="K738" t="n">
        <v>0</v>
      </c>
      <c r="L738" t="n">
        <v>0</v>
      </c>
      <c r="M738" t="n">
        <v>0</v>
      </c>
      <c r="N738" t="n">
        <v>0</v>
      </c>
      <c r="O738" t="n">
        <v>0</v>
      </c>
      <c r="P738" t="n">
        <v>0</v>
      </c>
      <c r="Q738" t="n">
        <v>0</v>
      </c>
      <c r="R738" s="2" t="inlineStr"/>
    </row>
    <row r="739" ht="15" customHeight="1">
      <c r="A739" t="inlineStr">
        <is>
          <t>A 56020-2024</t>
        </is>
      </c>
      <c r="B739" s="1" t="n">
        <v>45623.9525462963</v>
      </c>
      <c r="C739" s="1" t="n">
        <v>46131</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33842-2022</t>
        </is>
      </c>
      <c r="B740" s="1" t="n">
        <v>44790.49523148148</v>
      </c>
      <c r="C740" s="1" t="n">
        <v>46131</v>
      </c>
      <c r="D740" t="inlineStr">
        <is>
          <t>KALMAR LÄN</t>
        </is>
      </c>
      <c r="E740" t="inlineStr">
        <is>
          <t>VIMMERBY</t>
        </is>
      </c>
      <c r="G740" t="n">
        <v>1.6</v>
      </c>
      <c r="H740" t="n">
        <v>0</v>
      </c>
      <c r="I740" t="n">
        <v>0</v>
      </c>
      <c r="J740" t="n">
        <v>0</v>
      </c>
      <c r="K740" t="n">
        <v>0</v>
      </c>
      <c r="L740" t="n">
        <v>0</v>
      </c>
      <c r="M740" t="n">
        <v>0</v>
      </c>
      <c r="N740" t="n">
        <v>0</v>
      </c>
      <c r="O740" t="n">
        <v>0</v>
      </c>
      <c r="P740" t="n">
        <v>0</v>
      </c>
      <c r="Q740" t="n">
        <v>0</v>
      </c>
      <c r="R740" s="2" t="inlineStr"/>
    </row>
    <row r="741" ht="15" customHeight="1">
      <c r="A741" t="inlineStr">
        <is>
          <t>A 60675-2023</t>
        </is>
      </c>
      <c r="B741" s="1" t="n">
        <v>45260.4716550926</v>
      </c>
      <c r="C741" s="1" t="n">
        <v>46131</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18122-2026</t>
        </is>
      </c>
      <c r="B742" s="1" t="n">
        <v>46125.58524305555</v>
      </c>
      <c r="C742" s="1" t="n">
        <v>46131</v>
      </c>
      <c r="D742" t="inlineStr">
        <is>
          <t>KALMAR LÄN</t>
        </is>
      </c>
      <c r="E742" t="inlineStr">
        <is>
          <t>VIMMERBY</t>
        </is>
      </c>
      <c r="G742" t="n">
        <v>1.3</v>
      </c>
      <c r="H742" t="n">
        <v>0</v>
      </c>
      <c r="I742" t="n">
        <v>0</v>
      </c>
      <c r="J742" t="n">
        <v>0</v>
      </c>
      <c r="K742" t="n">
        <v>0</v>
      </c>
      <c r="L742" t="n">
        <v>0</v>
      </c>
      <c r="M742" t="n">
        <v>0</v>
      </c>
      <c r="N742" t="n">
        <v>0</v>
      </c>
      <c r="O742" t="n">
        <v>0</v>
      </c>
      <c r="P742" t="n">
        <v>0</v>
      </c>
      <c r="Q742" t="n">
        <v>0</v>
      </c>
      <c r="R742" s="2" t="inlineStr"/>
    </row>
    <row r="743" ht="15" customHeight="1">
      <c r="A743" t="inlineStr">
        <is>
          <t>A 40095-2022</t>
        </is>
      </c>
      <c r="B743" s="1" t="n">
        <v>44820</v>
      </c>
      <c r="C743" s="1" t="n">
        <v>46131</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11273-2026</t>
        </is>
      </c>
      <c r="B744" s="1" t="n">
        <v>46080.57634259259</v>
      </c>
      <c r="C744" s="1" t="n">
        <v>46131</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19537-2022</t>
        </is>
      </c>
      <c r="B745" s="1" t="n">
        <v>44693.62822916666</v>
      </c>
      <c r="C745" s="1" t="n">
        <v>46131</v>
      </c>
      <c r="D745" t="inlineStr">
        <is>
          <t>KALMAR LÄN</t>
        </is>
      </c>
      <c r="E745" t="inlineStr">
        <is>
          <t>VIMMERBY</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11415-2026</t>
        </is>
      </c>
      <c r="B746" s="1" t="n">
        <v>46083</v>
      </c>
      <c r="C746" s="1" t="n">
        <v>46131</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57311-2023</t>
        </is>
      </c>
      <c r="B747" s="1" t="n">
        <v>45245.63574074074</v>
      </c>
      <c r="C747" s="1" t="n">
        <v>46131</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64428-2023</t>
        </is>
      </c>
      <c r="B748" s="1" t="n">
        <v>45280.66769675926</v>
      </c>
      <c r="C748" s="1" t="n">
        <v>46131</v>
      </c>
      <c r="D748" t="inlineStr">
        <is>
          <t>KALMAR LÄN</t>
        </is>
      </c>
      <c r="E748" t="inlineStr">
        <is>
          <t>VIMMERBY</t>
        </is>
      </c>
      <c r="G748" t="n">
        <v>1.2</v>
      </c>
      <c r="H748" t="n">
        <v>0</v>
      </c>
      <c r="I748" t="n">
        <v>0</v>
      </c>
      <c r="J748" t="n">
        <v>0</v>
      </c>
      <c r="K748" t="n">
        <v>0</v>
      </c>
      <c r="L748" t="n">
        <v>0</v>
      </c>
      <c r="M748" t="n">
        <v>0</v>
      </c>
      <c r="N748" t="n">
        <v>0</v>
      </c>
      <c r="O748" t="n">
        <v>0</v>
      </c>
      <c r="P748" t="n">
        <v>0</v>
      </c>
      <c r="Q748" t="n">
        <v>0</v>
      </c>
      <c r="R748" s="2" t="inlineStr"/>
    </row>
    <row r="749" ht="15" customHeight="1">
      <c r="A749" t="inlineStr">
        <is>
          <t>A 4527-2023</t>
        </is>
      </c>
      <c r="B749" s="1" t="n">
        <v>44956</v>
      </c>
      <c r="C749" s="1" t="n">
        <v>46131</v>
      </c>
      <c r="D749" t="inlineStr">
        <is>
          <t>KALMAR LÄN</t>
        </is>
      </c>
      <c r="E749" t="inlineStr">
        <is>
          <t>VIMMERBY</t>
        </is>
      </c>
      <c r="F749" t="inlineStr">
        <is>
          <t>Kommuner</t>
        </is>
      </c>
      <c r="G749" t="n">
        <v>8.5</v>
      </c>
      <c r="H749" t="n">
        <v>0</v>
      </c>
      <c r="I749" t="n">
        <v>0</v>
      </c>
      <c r="J749" t="n">
        <v>0</v>
      </c>
      <c r="K749" t="n">
        <v>0</v>
      </c>
      <c r="L749" t="n">
        <v>0</v>
      </c>
      <c r="M749" t="n">
        <v>0</v>
      </c>
      <c r="N749" t="n">
        <v>0</v>
      </c>
      <c r="O749" t="n">
        <v>0</v>
      </c>
      <c r="P749" t="n">
        <v>0</v>
      </c>
      <c r="Q749" t="n">
        <v>0</v>
      </c>
      <c r="R749" s="2" t="inlineStr"/>
    </row>
    <row r="750" ht="15" customHeight="1">
      <c r="A750" t="inlineStr">
        <is>
          <t>A 3268-2024</t>
        </is>
      </c>
      <c r="B750" s="1" t="n">
        <v>45317</v>
      </c>
      <c r="C750" s="1" t="n">
        <v>46131</v>
      </c>
      <c r="D750" t="inlineStr">
        <is>
          <t>KALMAR LÄN</t>
        </is>
      </c>
      <c r="E750" t="inlineStr">
        <is>
          <t>VIMMERBY</t>
        </is>
      </c>
      <c r="F750" t="inlineStr">
        <is>
          <t>Övriga Aktiebolag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51408-2023</t>
        </is>
      </c>
      <c r="B751" s="1" t="n">
        <v>45219.69356481481</v>
      </c>
      <c r="C751" s="1" t="n">
        <v>46131</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12480-2024</t>
        </is>
      </c>
      <c r="B752" s="1" t="n">
        <v>45379</v>
      </c>
      <c r="C752" s="1" t="n">
        <v>46131</v>
      </c>
      <c r="D752" t="inlineStr">
        <is>
          <t>KALMAR LÄN</t>
        </is>
      </c>
      <c r="E752" t="inlineStr">
        <is>
          <t>VIMMERBY</t>
        </is>
      </c>
      <c r="G752" t="n">
        <v>2.8</v>
      </c>
      <c r="H752" t="n">
        <v>0</v>
      </c>
      <c r="I752" t="n">
        <v>0</v>
      </c>
      <c r="J752" t="n">
        <v>0</v>
      </c>
      <c r="K752" t="n">
        <v>0</v>
      </c>
      <c r="L752" t="n">
        <v>0</v>
      </c>
      <c r="M752" t="n">
        <v>0</v>
      </c>
      <c r="N752" t="n">
        <v>0</v>
      </c>
      <c r="O752" t="n">
        <v>0</v>
      </c>
      <c r="P752" t="n">
        <v>0</v>
      </c>
      <c r="Q752" t="n">
        <v>0</v>
      </c>
      <c r="R752" s="2" t="inlineStr"/>
    </row>
    <row r="753" ht="15" customHeight="1">
      <c r="A753" t="inlineStr">
        <is>
          <t>A 52588-2023</t>
        </is>
      </c>
      <c r="B753" s="1" t="n">
        <v>45225.60192129629</v>
      </c>
      <c r="C753" s="1" t="n">
        <v>46131</v>
      </c>
      <c r="D753" t="inlineStr">
        <is>
          <t>KALMAR LÄN</t>
        </is>
      </c>
      <c r="E753" t="inlineStr">
        <is>
          <t>VIMMERBY</t>
        </is>
      </c>
      <c r="G753" t="n">
        <v>2.9</v>
      </c>
      <c r="H753" t="n">
        <v>0</v>
      </c>
      <c r="I753" t="n">
        <v>0</v>
      </c>
      <c r="J753" t="n">
        <v>0</v>
      </c>
      <c r="K753" t="n">
        <v>0</v>
      </c>
      <c r="L753" t="n">
        <v>0</v>
      </c>
      <c r="M753" t="n">
        <v>0</v>
      </c>
      <c r="N753" t="n">
        <v>0</v>
      </c>
      <c r="O753" t="n">
        <v>0</v>
      </c>
      <c r="P753" t="n">
        <v>0</v>
      </c>
      <c r="Q753" t="n">
        <v>0</v>
      </c>
      <c r="R753" s="2" t="inlineStr"/>
    </row>
    <row r="754" ht="15" customHeight="1">
      <c r="A754" t="inlineStr">
        <is>
          <t>A 55236-2023</t>
        </is>
      </c>
      <c r="B754" s="1" t="n">
        <v>45237.63225694445</v>
      </c>
      <c r="C754" s="1" t="n">
        <v>46131</v>
      </c>
      <c r="D754" t="inlineStr">
        <is>
          <t>KALMAR LÄN</t>
        </is>
      </c>
      <c r="E754" t="inlineStr">
        <is>
          <t>VIMMERBY</t>
        </is>
      </c>
      <c r="G754" t="n">
        <v>1.1</v>
      </c>
      <c r="H754" t="n">
        <v>0</v>
      </c>
      <c r="I754" t="n">
        <v>0</v>
      </c>
      <c r="J754" t="n">
        <v>0</v>
      </c>
      <c r="K754" t="n">
        <v>0</v>
      </c>
      <c r="L754" t="n">
        <v>0</v>
      </c>
      <c r="M754" t="n">
        <v>0</v>
      </c>
      <c r="N754" t="n">
        <v>0</v>
      </c>
      <c r="O754" t="n">
        <v>0</v>
      </c>
      <c r="P754" t="n">
        <v>0</v>
      </c>
      <c r="Q754" t="n">
        <v>0</v>
      </c>
      <c r="R754" s="2" t="inlineStr"/>
    </row>
    <row r="755" ht="15" customHeight="1">
      <c r="A755" t="inlineStr">
        <is>
          <t>A 55245-2023</t>
        </is>
      </c>
      <c r="B755" s="1" t="n">
        <v>45237.64408564815</v>
      </c>
      <c r="C755" s="1" t="n">
        <v>46131</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19111-2025</t>
        </is>
      </c>
      <c r="B756" s="1" t="n">
        <v>45768.65611111111</v>
      </c>
      <c r="C756" s="1" t="n">
        <v>46131</v>
      </c>
      <c r="D756" t="inlineStr">
        <is>
          <t>KALMAR LÄN</t>
        </is>
      </c>
      <c r="E756" t="inlineStr">
        <is>
          <t>VIMMERBY</t>
        </is>
      </c>
      <c r="G756" t="n">
        <v>6.2</v>
      </c>
      <c r="H756" t="n">
        <v>0</v>
      </c>
      <c r="I756" t="n">
        <v>0</v>
      </c>
      <c r="J756" t="n">
        <v>0</v>
      </c>
      <c r="K756" t="n">
        <v>0</v>
      </c>
      <c r="L756" t="n">
        <v>0</v>
      </c>
      <c r="M756" t="n">
        <v>0</v>
      </c>
      <c r="N756" t="n">
        <v>0</v>
      </c>
      <c r="O756" t="n">
        <v>0</v>
      </c>
      <c r="P756" t="n">
        <v>0</v>
      </c>
      <c r="Q756" t="n">
        <v>0</v>
      </c>
      <c r="R756" s="2" t="inlineStr"/>
    </row>
    <row r="757" ht="15" customHeight="1">
      <c r="A757" t="inlineStr">
        <is>
          <t>A 25370-2022</t>
        </is>
      </c>
      <c r="B757" s="1" t="n">
        <v>44732.3659837963</v>
      </c>
      <c r="C757" s="1" t="n">
        <v>46131</v>
      </c>
      <c r="D757" t="inlineStr">
        <is>
          <t>KALMAR LÄN</t>
        </is>
      </c>
      <c r="E757" t="inlineStr">
        <is>
          <t>VIMMERBY</t>
        </is>
      </c>
      <c r="G757" t="n">
        <v>1.2</v>
      </c>
      <c r="H757" t="n">
        <v>0</v>
      </c>
      <c r="I757" t="n">
        <v>0</v>
      </c>
      <c r="J757" t="n">
        <v>0</v>
      </c>
      <c r="K757" t="n">
        <v>0</v>
      </c>
      <c r="L757" t="n">
        <v>0</v>
      </c>
      <c r="M757" t="n">
        <v>0</v>
      </c>
      <c r="N757" t="n">
        <v>0</v>
      </c>
      <c r="O757" t="n">
        <v>0</v>
      </c>
      <c r="P757" t="n">
        <v>0</v>
      </c>
      <c r="Q757" t="n">
        <v>0</v>
      </c>
      <c r="R757" s="2" t="inlineStr"/>
    </row>
    <row r="758" ht="15" customHeight="1">
      <c r="A758" t="inlineStr">
        <is>
          <t>A 33838-2022</t>
        </is>
      </c>
      <c r="B758" s="1" t="n">
        <v>44790.49040509259</v>
      </c>
      <c r="C758" s="1" t="n">
        <v>46131</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4058-2024</t>
        </is>
      </c>
      <c r="B759" s="1" t="n">
        <v>45323.53744212963</v>
      </c>
      <c r="C759" s="1" t="n">
        <v>46131</v>
      </c>
      <c r="D759" t="inlineStr">
        <is>
          <t>KALMAR LÄN</t>
        </is>
      </c>
      <c r="E759" t="inlineStr">
        <is>
          <t>VIMMERBY</t>
        </is>
      </c>
      <c r="G759" t="n">
        <v>6.5</v>
      </c>
      <c r="H759" t="n">
        <v>0</v>
      </c>
      <c r="I759" t="n">
        <v>0</v>
      </c>
      <c r="J759" t="n">
        <v>0</v>
      </c>
      <c r="K759" t="n">
        <v>0</v>
      </c>
      <c r="L759" t="n">
        <v>0</v>
      </c>
      <c r="M759" t="n">
        <v>0</v>
      </c>
      <c r="N759" t="n">
        <v>0</v>
      </c>
      <c r="O759" t="n">
        <v>0</v>
      </c>
      <c r="P759" t="n">
        <v>0</v>
      </c>
      <c r="Q759" t="n">
        <v>0</v>
      </c>
      <c r="R759" s="2" t="inlineStr"/>
    </row>
    <row r="760" ht="15" customHeight="1">
      <c r="A760" t="inlineStr">
        <is>
          <t>A 36008-2024</t>
        </is>
      </c>
      <c r="B760" s="1" t="n">
        <v>45533.55362268518</v>
      </c>
      <c r="C760" s="1" t="n">
        <v>46131</v>
      </c>
      <c r="D760" t="inlineStr">
        <is>
          <t>KALMAR LÄN</t>
        </is>
      </c>
      <c r="E760" t="inlineStr">
        <is>
          <t>VIMMERBY</t>
        </is>
      </c>
      <c r="G760" t="n">
        <v>3.7</v>
      </c>
      <c r="H760" t="n">
        <v>0</v>
      </c>
      <c r="I760" t="n">
        <v>0</v>
      </c>
      <c r="J760" t="n">
        <v>0</v>
      </c>
      <c r="K760" t="n">
        <v>0</v>
      </c>
      <c r="L760" t="n">
        <v>0</v>
      </c>
      <c r="M760" t="n">
        <v>0</v>
      </c>
      <c r="N760" t="n">
        <v>0</v>
      </c>
      <c r="O760" t="n">
        <v>0</v>
      </c>
      <c r="P760" t="n">
        <v>0</v>
      </c>
      <c r="Q760" t="n">
        <v>0</v>
      </c>
      <c r="R760" s="2" t="inlineStr"/>
    </row>
    <row r="761" ht="15" customHeight="1">
      <c r="A761" t="inlineStr">
        <is>
          <t>A 18669-2025</t>
        </is>
      </c>
      <c r="B761" s="1" t="n">
        <v>45763.59436342592</v>
      </c>
      <c r="C761" s="1" t="n">
        <v>46131</v>
      </c>
      <c r="D761" t="inlineStr">
        <is>
          <t>KALMAR LÄN</t>
        </is>
      </c>
      <c r="E761" t="inlineStr">
        <is>
          <t>VIMMERBY</t>
        </is>
      </c>
      <c r="G761" t="n">
        <v>2.7</v>
      </c>
      <c r="H761" t="n">
        <v>0</v>
      </c>
      <c r="I761" t="n">
        <v>0</v>
      </c>
      <c r="J761" t="n">
        <v>0</v>
      </c>
      <c r="K761" t="n">
        <v>0</v>
      </c>
      <c r="L761" t="n">
        <v>0</v>
      </c>
      <c r="M761" t="n">
        <v>0</v>
      </c>
      <c r="N761" t="n">
        <v>0</v>
      </c>
      <c r="O761" t="n">
        <v>0</v>
      </c>
      <c r="P761" t="n">
        <v>0</v>
      </c>
      <c r="Q761" t="n">
        <v>0</v>
      </c>
      <c r="R761" s="2" t="inlineStr"/>
    </row>
    <row r="762" ht="15" customHeight="1">
      <c r="A762" t="inlineStr">
        <is>
          <t>A 8540-2024</t>
        </is>
      </c>
      <c r="B762" s="1" t="n">
        <v>45355.54138888889</v>
      </c>
      <c r="C762" s="1" t="n">
        <v>46131</v>
      </c>
      <c r="D762" t="inlineStr">
        <is>
          <t>KALMAR LÄN</t>
        </is>
      </c>
      <c r="E762" t="inlineStr">
        <is>
          <t>VIMMERBY</t>
        </is>
      </c>
      <c r="G762" t="n">
        <v>1.9</v>
      </c>
      <c r="H762" t="n">
        <v>0</v>
      </c>
      <c r="I762" t="n">
        <v>0</v>
      </c>
      <c r="J762" t="n">
        <v>0</v>
      </c>
      <c r="K762" t="n">
        <v>0</v>
      </c>
      <c r="L762" t="n">
        <v>0</v>
      </c>
      <c r="M762" t="n">
        <v>0</v>
      </c>
      <c r="N762" t="n">
        <v>0</v>
      </c>
      <c r="O762" t="n">
        <v>0</v>
      </c>
      <c r="P762" t="n">
        <v>0</v>
      </c>
      <c r="Q762" t="n">
        <v>0</v>
      </c>
      <c r="R762" s="2" t="inlineStr"/>
    </row>
    <row r="763" ht="15" customHeight="1">
      <c r="A763" t="inlineStr">
        <is>
          <t>A 9623-2024</t>
        </is>
      </c>
      <c r="B763" s="1" t="n">
        <v>45361.87975694444</v>
      </c>
      <c r="C763" s="1" t="n">
        <v>46131</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5146-2024</t>
        </is>
      </c>
      <c r="B764" s="1" t="n">
        <v>45330</v>
      </c>
      <c r="C764" s="1" t="n">
        <v>46131</v>
      </c>
      <c r="D764" t="inlineStr">
        <is>
          <t>KALMAR LÄN</t>
        </is>
      </c>
      <c r="E764" t="inlineStr">
        <is>
          <t>VIMMERBY</t>
        </is>
      </c>
      <c r="G764" t="n">
        <v>5.3</v>
      </c>
      <c r="H764" t="n">
        <v>0</v>
      </c>
      <c r="I764" t="n">
        <v>0</v>
      </c>
      <c r="J764" t="n">
        <v>0</v>
      </c>
      <c r="K764" t="n">
        <v>0</v>
      </c>
      <c r="L764" t="n">
        <v>0</v>
      </c>
      <c r="M764" t="n">
        <v>0</v>
      </c>
      <c r="N764" t="n">
        <v>0</v>
      </c>
      <c r="O764" t="n">
        <v>0</v>
      </c>
      <c r="P764" t="n">
        <v>0</v>
      </c>
      <c r="Q764" t="n">
        <v>0</v>
      </c>
      <c r="R764" s="2" t="inlineStr"/>
    </row>
    <row r="765" ht="15" customHeight="1">
      <c r="A765" t="inlineStr">
        <is>
          <t>A 5148-2024</t>
        </is>
      </c>
      <c r="B765" s="1" t="n">
        <v>45330</v>
      </c>
      <c r="C765" s="1" t="n">
        <v>46131</v>
      </c>
      <c r="D765" t="inlineStr">
        <is>
          <t>KALMAR LÄN</t>
        </is>
      </c>
      <c r="E765" t="inlineStr">
        <is>
          <t>VIMMERBY</t>
        </is>
      </c>
      <c r="G765" t="n">
        <v>5.6</v>
      </c>
      <c r="H765" t="n">
        <v>0</v>
      </c>
      <c r="I765" t="n">
        <v>0</v>
      </c>
      <c r="J765" t="n">
        <v>0</v>
      </c>
      <c r="K765" t="n">
        <v>0</v>
      </c>
      <c r="L765" t="n">
        <v>0</v>
      </c>
      <c r="M765" t="n">
        <v>0</v>
      </c>
      <c r="N765" t="n">
        <v>0</v>
      </c>
      <c r="O765" t="n">
        <v>0</v>
      </c>
      <c r="P765" t="n">
        <v>0</v>
      </c>
      <c r="Q765" t="n">
        <v>0</v>
      </c>
      <c r="R765" s="2" t="inlineStr"/>
    </row>
    <row r="766" ht="15" customHeight="1">
      <c r="A766" t="inlineStr">
        <is>
          <t>A 11798-2026</t>
        </is>
      </c>
      <c r="B766" s="1" t="n">
        <v>46085.34020833333</v>
      </c>
      <c r="C766" s="1" t="n">
        <v>46131</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44179-2022</t>
        </is>
      </c>
      <c r="B767" s="1" t="n">
        <v>44839.4528125</v>
      </c>
      <c r="C767" s="1" t="n">
        <v>46131</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50648-2023</t>
        </is>
      </c>
      <c r="B768" s="1" t="n">
        <v>45217.47834490741</v>
      </c>
      <c r="C768" s="1" t="n">
        <v>46131</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2121-2022</t>
        </is>
      </c>
      <c r="B769" s="1" t="n">
        <v>44578.32717592592</v>
      </c>
      <c r="C769" s="1" t="n">
        <v>46131</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57799-2022</t>
        </is>
      </c>
      <c r="B770" s="1" t="n">
        <v>44897</v>
      </c>
      <c r="C770" s="1" t="n">
        <v>46131</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15394-2025</t>
        </is>
      </c>
      <c r="B771" s="1" t="n">
        <v>45747.43196759259</v>
      </c>
      <c r="C771" s="1" t="n">
        <v>46131</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26318-2023</t>
        </is>
      </c>
      <c r="B772" s="1" t="n">
        <v>45091.67936342592</v>
      </c>
      <c r="C772" s="1" t="n">
        <v>46131</v>
      </c>
      <c r="D772" t="inlineStr">
        <is>
          <t>KALMAR LÄN</t>
        </is>
      </c>
      <c r="E772" t="inlineStr">
        <is>
          <t>VIMMERBY</t>
        </is>
      </c>
      <c r="G772" t="n">
        <v>3.8</v>
      </c>
      <c r="H772" t="n">
        <v>0</v>
      </c>
      <c r="I772" t="n">
        <v>0</v>
      </c>
      <c r="J772" t="n">
        <v>0</v>
      </c>
      <c r="K772" t="n">
        <v>0</v>
      </c>
      <c r="L772" t="n">
        <v>0</v>
      </c>
      <c r="M772" t="n">
        <v>0</v>
      </c>
      <c r="N772" t="n">
        <v>0</v>
      </c>
      <c r="O772" t="n">
        <v>0</v>
      </c>
      <c r="P772" t="n">
        <v>0</v>
      </c>
      <c r="Q772" t="n">
        <v>0</v>
      </c>
      <c r="R772" s="2" t="inlineStr"/>
    </row>
    <row r="773" ht="15" customHeight="1">
      <c r="A773" t="inlineStr">
        <is>
          <t>A 60437-2023</t>
        </is>
      </c>
      <c r="B773" s="1" t="n">
        <v>45259.51916666667</v>
      </c>
      <c r="C773" s="1" t="n">
        <v>46131</v>
      </c>
      <c r="D773" t="inlineStr">
        <is>
          <t>KALMAR LÄN</t>
        </is>
      </c>
      <c r="E773" t="inlineStr">
        <is>
          <t>VIMMERBY</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60438-2023</t>
        </is>
      </c>
      <c r="B774" s="1" t="n">
        <v>45259.52020833334</v>
      </c>
      <c r="C774" s="1" t="n">
        <v>46131</v>
      </c>
      <c r="D774" t="inlineStr">
        <is>
          <t>KALMAR LÄN</t>
        </is>
      </c>
      <c r="E774" t="inlineStr">
        <is>
          <t>VIMMERBY</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7758-2024</t>
        </is>
      </c>
      <c r="B775" s="1" t="n">
        <v>45349.54434027777</v>
      </c>
      <c r="C775" s="1" t="n">
        <v>46131</v>
      </c>
      <c r="D775" t="inlineStr">
        <is>
          <t>KALMAR LÄN</t>
        </is>
      </c>
      <c r="E775" t="inlineStr">
        <is>
          <t>VIMMERBY</t>
        </is>
      </c>
      <c r="G775" t="n">
        <v>3.5</v>
      </c>
      <c r="H775" t="n">
        <v>0</v>
      </c>
      <c r="I775" t="n">
        <v>0</v>
      </c>
      <c r="J775" t="n">
        <v>0</v>
      </c>
      <c r="K775" t="n">
        <v>0</v>
      </c>
      <c r="L775" t="n">
        <v>0</v>
      </c>
      <c r="M775" t="n">
        <v>0</v>
      </c>
      <c r="N775" t="n">
        <v>0</v>
      </c>
      <c r="O775" t="n">
        <v>0</v>
      </c>
      <c r="P775" t="n">
        <v>0</v>
      </c>
      <c r="Q775" t="n">
        <v>0</v>
      </c>
      <c r="R775" s="2" t="inlineStr"/>
    </row>
    <row r="776" ht="15" customHeight="1">
      <c r="A776" t="inlineStr">
        <is>
          <t>A 18633-2026</t>
        </is>
      </c>
      <c r="B776" s="1" t="n">
        <v>46128.26289351852</v>
      </c>
      <c r="C776" s="1" t="n">
        <v>46131</v>
      </c>
      <c r="D776" t="inlineStr">
        <is>
          <t>KALMAR LÄN</t>
        </is>
      </c>
      <c r="E776" t="inlineStr">
        <is>
          <t>VIMMERBY</t>
        </is>
      </c>
      <c r="G776" t="n">
        <v>2</v>
      </c>
      <c r="H776" t="n">
        <v>0</v>
      </c>
      <c r="I776" t="n">
        <v>0</v>
      </c>
      <c r="J776" t="n">
        <v>0</v>
      </c>
      <c r="K776" t="n">
        <v>0</v>
      </c>
      <c r="L776" t="n">
        <v>0</v>
      </c>
      <c r="M776" t="n">
        <v>0</v>
      </c>
      <c r="N776" t="n">
        <v>0</v>
      </c>
      <c r="O776" t="n">
        <v>0</v>
      </c>
      <c r="P776" t="n">
        <v>0</v>
      </c>
      <c r="Q776" t="n">
        <v>0</v>
      </c>
      <c r="R776" s="2" t="inlineStr"/>
    </row>
    <row r="777" ht="15" customHeight="1">
      <c r="A777" t="inlineStr">
        <is>
          <t>A 7456-2024</t>
        </is>
      </c>
      <c r="B777" s="1" t="n">
        <v>45345.83557870371</v>
      </c>
      <c r="C777" s="1" t="n">
        <v>46131</v>
      </c>
      <c r="D777" t="inlineStr">
        <is>
          <t>KALMAR LÄN</t>
        </is>
      </c>
      <c r="E777" t="inlineStr">
        <is>
          <t>VIMMERBY</t>
        </is>
      </c>
      <c r="G777" t="n">
        <v>4.1</v>
      </c>
      <c r="H777" t="n">
        <v>0</v>
      </c>
      <c r="I777" t="n">
        <v>0</v>
      </c>
      <c r="J777" t="n">
        <v>0</v>
      </c>
      <c r="K777" t="n">
        <v>0</v>
      </c>
      <c r="L777" t="n">
        <v>0</v>
      </c>
      <c r="M777" t="n">
        <v>0</v>
      </c>
      <c r="N777" t="n">
        <v>0</v>
      </c>
      <c r="O777" t="n">
        <v>0</v>
      </c>
      <c r="P777" t="n">
        <v>0</v>
      </c>
      <c r="Q777" t="n">
        <v>0</v>
      </c>
      <c r="R777" s="2" t="inlineStr"/>
    </row>
    <row r="778" ht="15" customHeight="1">
      <c r="A778" t="inlineStr">
        <is>
          <t>A 6082-2022</t>
        </is>
      </c>
      <c r="B778" s="1" t="n">
        <v>44599</v>
      </c>
      <c r="C778" s="1" t="n">
        <v>46131</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46979-2023</t>
        </is>
      </c>
      <c r="B779" s="1" t="n">
        <v>45201</v>
      </c>
      <c r="C779" s="1" t="n">
        <v>46131</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2596-2025</t>
        </is>
      </c>
      <c r="B780" s="1" t="n">
        <v>45674.71810185185</v>
      </c>
      <c r="C780" s="1" t="n">
        <v>46131</v>
      </c>
      <c r="D780" t="inlineStr">
        <is>
          <t>KALMAR LÄN</t>
        </is>
      </c>
      <c r="E780" t="inlineStr">
        <is>
          <t>VIMMERBY</t>
        </is>
      </c>
      <c r="G780" t="n">
        <v>9</v>
      </c>
      <c r="H780" t="n">
        <v>0</v>
      </c>
      <c r="I780" t="n">
        <v>0</v>
      </c>
      <c r="J780" t="n">
        <v>0</v>
      </c>
      <c r="K780" t="n">
        <v>0</v>
      </c>
      <c r="L780" t="n">
        <v>0</v>
      </c>
      <c r="M780" t="n">
        <v>0</v>
      </c>
      <c r="N780" t="n">
        <v>0</v>
      </c>
      <c r="O780" t="n">
        <v>0</v>
      </c>
      <c r="P780" t="n">
        <v>0</v>
      </c>
      <c r="Q780" t="n">
        <v>0</v>
      </c>
      <c r="R780" s="2" t="inlineStr"/>
    </row>
    <row r="781" ht="15" customHeight="1">
      <c r="A781" t="inlineStr">
        <is>
          <t>A 47855-2024</t>
        </is>
      </c>
      <c r="B781" s="1" t="n">
        <v>45588.66457175926</v>
      </c>
      <c r="C781" s="1" t="n">
        <v>46131</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63583-2023</t>
        </is>
      </c>
      <c r="B782" s="1" t="n">
        <v>45275.41833333333</v>
      </c>
      <c r="C782" s="1" t="n">
        <v>46131</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60228-2021</t>
        </is>
      </c>
      <c r="B783" s="1" t="n">
        <v>44495</v>
      </c>
      <c r="C783" s="1" t="n">
        <v>46131</v>
      </c>
      <c r="D783" t="inlineStr">
        <is>
          <t>KALMAR LÄN</t>
        </is>
      </c>
      <c r="E783" t="inlineStr">
        <is>
          <t>VIMMERBY</t>
        </is>
      </c>
      <c r="G783" t="n">
        <v>4.1</v>
      </c>
      <c r="H783" t="n">
        <v>0</v>
      </c>
      <c r="I783" t="n">
        <v>0</v>
      </c>
      <c r="J783" t="n">
        <v>0</v>
      </c>
      <c r="K783" t="n">
        <v>0</v>
      </c>
      <c r="L783" t="n">
        <v>0</v>
      </c>
      <c r="M783" t="n">
        <v>0</v>
      </c>
      <c r="N783" t="n">
        <v>0</v>
      </c>
      <c r="O783" t="n">
        <v>0</v>
      </c>
      <c r="P783" t="n">
        <v>0</v>
      </c>
      <c r="Q783" t="n">
        <v>0</v>
      </c>
      <c r="R783" s="2" t="inlineStr"/>
    </row>
    <row r="784" ht="15" customHeight="1">
      <c r="A784" t="inlineStr">
        <is>
          <t>A 46522-2022</t>
        </is>
      </c>
      <c r="B784" s="1" t="n">
        <v>44848.59133101852</v>
      </c>
      <c r="C784" s="1" t="n">
        <v>46131</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21109-2024</t>
        </is>
      </c>
      <c r="B785" s="1" t="n">
        <v>45440.28329861111</v>
      </c>
      <c r="C785" s="1" t="n">
        <v>46131</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33815-2022</t>
        </is>
      </c>
      <c r="B786" s="1" t="n">
        <v>44790.45876157407</v>
      </c>
      <c r="C786" s="1" t="n">
        <v>46131</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49461-2022</t>
        </is>
      </c>
      <c r="B787" s="1" t="n">
        <v>44861</v>
      </c>
      <c r="C787" s="1" t="n">
        <v>46131</v>
      </c>
      <c r="D787" t="inlineStr">
        <is>
          <t>KALMAR LÄN</t>
        </is>
      </c>
      <c r="E787" t="inlineStr">
        <is>
          <t>VIMMERBY</t>
        </is>
      </c>
      <c r="G787" t="n">
        <v>3.2</v>
      </c>
      <c r="H787" t="n">
        <v>0</v>
      </c>
      <c r="I787" t="n">
        <v>0</v>
      </c>
      <c r="J787" t="n">
        <v>0</v>
      </c>
      <c r="K787" t="n">
        <v>0</v>
      </c>
      <c r="L787" t="n">
        <v>0</v>
      </c>
      <c r="M787" t="n">
        <v>0</v>
      </c>
      <c r="N787" t="n">
        <v>0</v>
      </c>
      <c r="O787" t="n">
        <v>0</v>
      </c>
      <c r="P787" t="n">
        <v>0</v>
      </c>
      <c r="Q787" t="n">
        <v>0</v>
      </c>
      <c r="R787" s="2" t="inlineStr"/>
    </row>
    <row r="788" ht="15" customHeight="1">
      <c r="A788" t="inlineStr">
        <is>
          <t>A 53542-2022</t>
        </is>
      </c>
      <c r="B788" s="1" t="n">
        <v>44879.62173611111</v>
      </c>
      <c r="C788" s="1" t="n">
        <v>46131</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35713-2023</t>
        </is>
      </c>
      <c r="B789" s="1" t="n">
        <v>45147</v>
      </c>
      <c r="C789" s="1" t="n">
        <v>46131</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10424-2023</t>
        </is>
      </c>
      <c r="B790" s="1" t="n">
        <v>44987.54104166666</v>
      </c>
      <c r="C790" s="1" t="n">
        <v>46131</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33340-2023</t>
        </is>
      </c>
      <c r="B791" s="1" t="n">
        <v>45128.37305555555</v>
      </c>
      <c r="C791" s="1" t="n">
        <v>46131</v>
      </c>
      <c r="D791" t="inlineStr">
        <is>
          <t>KALMAR LÄN</t>
        </is>
      </c>
      <c r="E791" t="inlineStr">
        <is>
          <t>VIMMERBY</t>
        </is>
      </c>
      <c r="G791" t="n">
        <v>1.5</v>
      </c>
      <c r="H791" t="n">
        <v>0</v>
      </c>
      <c r="I791" t="n">
        <v>0</v>
      </c>
      <c r="J791" t="n">
        <v>0</v>
      </c>
      <c r="K791" t="n">
        <v>0</v>
      </c>
      <c r="L791" t="n">
        <v>0</v>
      </c>
      <c r="M791" t="n">
        <v>0</v>
      </c>
      <c r="N791" t="n">
        <v>0</v>
      </c>
      <c r="O791" t="n">
        <v>0</v>
      </c>
      <c r="P791" t="n">
        <v>0</v>
      </c>
      <c r="Q791" t="n">
        <v>0</v>
      </c>
      <c r="R791" s="2" t="inlineStr"/>
    </row>
    <row r="792" ht="15" customHeight="1">
      <c r="A792" t="inlineStr">
        <is>
          <t>A 29017-2024</t>
        </is>
      </c>
      <c r="B792" s="1" t="n">
        <v>45481.56722222222</v>
      </c>
      <c r="C792" s="1" t="n">
        <v>46131</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58046-2022</t>
        </is>
      </c>
      <c r="B793" s="1" t="n">
        <v>44900.57393518519</v>
      </c>
      <c r="C793" s="1" t="n">
        <v>46131</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14548-2024</t>
        </is>
      </c>
      <c r="B794" s="1" t="n">
        <v>45394.66887731481</v>
      </c>
      <c r="C794" s="1" t="n">
        <v>46131</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48120-2022</t>
        </is>
      </c>
      <c r="B795" s="1" t="n">
        <v>44857.65989583333</v>
      </c>
      <c r="C795" s="1" t="n">
        <v>46131</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3423-2022</t>
        </is>
      </c>
      <c r="B796" s="1" t="n">
        <v>44585.50431712963</v>
      </c>
      <c r="C796" s="1" t="n">
        <v>46131</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11074-2023</t>
        </is>
      </c>
      <c r="B797" s="1" t="n">
        <v>44992.34151620371</v>
      </c>
      <c r="C797" s="1" t="n">
        <v>46131</v>
      </c>
      <c r="D797" t="inlineStr">
        <is>
          <t>KALMAR LÄN</t>
        </is>
      </c>
      <c r="E797" t="inlineStr">
        <is>
          <t>VIMMERBY</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71631-2021</t>
        </is>
      </c>
      <c r="B798" s="1" t="n">
        <v>44542.90072916666</v>
      </c>
      <c r="C798" s="1" t="n">
        <v>46131</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49039-2021</t>
        </is>
      </c>
      <c r="B799" s="1" t="n">
        <v>44453.56578703703</v>
      </c>
      <c r="C799" s="1" t="n">
        <v>46131</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42918-2021</t>
        </is>
      </c>
      <c r="B800" s="1" t="n">
        <v>44431</v>
      </c>
      <c r="C800" s="1" t="n">
        <v>46131</v>
      </c>
      <c r="D800" t="inlineStr">
        <is>
          <t>KALMAR LÄN</t>
        </is>
      </c>
      <c r="E800" t="inlineStr">
        <is>
          <t>VIMMERBY</t>
        </is>
      </c>
      <c r="G800" t="n">
        <v>1.6</v>
      </c>
      <c r="H800" t="n">
        <v>0</v>
      </c>
      <c r="I800" t="n">
        <v>0</v>
      </c>
      <c r="J800" t="n">
        <v>0</v>
      </c>
      <c r="K800" t="n">
        <v>0</v>
      </c>
      <c r="L800" t="n">
        <v>0</v>
      </c>
      <c r="M800" t="n">
        <v>0</v>
      </c>
      <c r="N800" t="n">
        <v>0</v>
      </c>
      <c r="O800" t="n">
        <v>0</v>
      </c>
      <c r="P800" t="n">
        <v>0</v>
      </c>
      <c r="Q800" t="n">
        <v>0</v>
      </c>
      <c r="R800" s="2" t="inlineStr"/>
    </row>
    <row r="801" ht="15" customHeight="1">
      <c r="A801" t="inlineStr">
        <is>
          <t>A 529-2022</t>
        </is>
      </c>
      <c r="B801" s="1" t="n">
        <v>44566</v>
      </c>
      <c r="C801" s="1" t="n">
        <v>46131</v>
      </c>
      <c r="D801" t="inlineStr">
        <is>
          <t>KALMAR LÄN</t>
        </is>
      </c>
      <c r="E801" t="inlineStr">
        <is>
          <t>VIMMERBY</t>
        </is>
      </c>
      <c r="G801" t="n">
        <v>1.5</v>
      </c>
      <c r="H801" t="n">
        <v>0</v>
      </c>
      <c r="I801" t="n">
        <v>0</v>
      </c>
      <c r="J801" t="n">
        <v>0</v>
      </c>
      <c r="K801" t="n">
        <v>0</v>
      </c>
      <c r="L801" t="n">
        <v>0</v>
      </c>
      <c r="M801" t="n">
        <v>0</v>
      </c>
      <c r="N801" t="n">
        <v>0</v>
      </c>
      <c r="O801" t="n">
        <v>0</v>
      </c>
      <c r="P801" t="n">
        <v>0</v>
      </c>
      <c r="Q801" t="n">
        <v>0</v>
      </c>
      <c r="R801" s="2" t="inlineStr"/>
    </row>
    <row r="802" ht="15" customHeight="1">
      <c r="A802" t="inlineStr">
        <is>
          <t>A 14855-2025</t>
        </is>
      </c>
      <c r="B802" s="1" t="n">
        <v>45743.41148148148</v>
      </c>
      <c r="C802" s="1" t="n">
        <v>46131</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60951-2023</t>
        </is>
      </c>
      <c r="B803" s="1" t="n">
        <v>45261.44914351852</v>
      </c>
      <c r="C803" s="1" t="n">
        <v>46131</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19162-2023</t>
        </is>
      </c>
      <c r="B804" s="1" t="n">
        <v>45048.59699074074</v>
      </c>
      <c r="C804" s="1" t="n">
        <v>46131</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31209-2024</t>
        </is>
      </c>
      <c r="B805" s="1" t="n">
        <v>45503.5658912037</v>
      </c>
      <c r="C805" s="1" t="n">
        <v>46131</v>
      </c>
      <c r="D805" t="inlineStr">
        <is>
          <t>KALMAR LÄN</t>
        </is>
      </c>
      <c r="E805" t="inlineStr">
        <is>
          <t>VIMMERBY</t>
        </is>
      </c>
      <c r="G805" t="n">
        <v>1.7</v>
      </c>
      <c r="H805" t="n">
        <v>0</v>
      </c>
      <c r="I805" t="n">
        <v>0</v>
      </c>
      <c r="J805" t="n">
        <v>0</v>
      </c>
      <c r="K805" t="n">
        <v>0</v>
      </c>
      <c r="L805" t="n">
        <v>0</v>
      </c>
      <c r="M805" t="n">
        <v>0</v>
      </c>
      <c r="N805" t="n">
        <v>0</v>
      </c>
      <c r="O805" t="n">
        <v>0</v>
      </c>
      <c r="P805" t="n">
        <v>0</v>
      </c>
      <c r="Q805" t="n">
        <v>0</v>
      </c>
      <c r="R805" s="2" t="inlineStr"/>
    </row>
    <row r="806" ht="15" customHeight="1">
      <c r="A806" t="inlineStr">
        <is>
          <t>A 5864-2022</t>
        </is>
      </c>
      <c r="B806" s="1" t="n">
        <v>44596</v>
      </c>
      <c r="C806" s="1" t="n">
        <v>46131</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3938-2023</t>
        </is>
      </c>
      <c r="B807" s="1" t="n">
        <v>44952.35775462963</v>
      </c>
      <c r="C807" s="1" t="n">
        <v>46131</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26937-2023</t>
        </is>
      </c>
      <c r="B808" s="1" t="n">
        <v>45093.62777777778</v>
      </c>
      <c r="C808" s="1" t="n">
        <v>46131</v>
      </c>
      <c r="D808" t="inlineStr">
        <is>
          <t>KALMAR LÄN</t>
        </is>
      </c>
      <c r="E808" t="inlineStr">
        <is>
          <t>VIMMERBY</t>
        </is>
      </c>
      <c r="F808" t="inlineStr">
        <is>
          <t>Sveaskog</t>
        </is>
      </c>
      <c r="G808" t="n">
        <v>14.5</v>
      </c>
      <c r="H808" t="n">
        <v>0</v>
      </c>
      <c r="I808" t="n">
        <v>0</v>
      </c>
      <c r="J808" t="n">
        <v>0</v>
      </c>
      <c r="K808" t="n">
        <v>0</v>
      </c>
      <c r="L808" t="n">
        <v>0</v>
      </c>
      <c r="M808" t="n">
        <v>0</v>
      </c>
      <c r="N808" t="n">
        <v>0</v>
      </c>
      <c r="O808" t="n">
        <v>0</v>
      </c>
      <c r="P808" t="n">
        <v>0</v>
      </c>
      <c r="Q808" t="n">
        <v>0</v>
      </c>
      <c r="R808" s="2" t="inlineStr"/>
    </row>
    <row r="809" ht="15" customHeight="1">
      <c r="A809" t="inlineStr">
        <is>
          <t>A 50085-2023</t>
        </is>
      </c>
      <c r="B809" s="1" t="n">
        <v>45215.5959375</v>
      </c>
      <c r="C809" s="1" t="n">
        <v>46131</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44992.62498842592</v>
      </c>
      <c r="C810" s="1" t="n">
        <v>46131</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6850-2023</t>
        </is>
      </c>
      <c r="B811" s="1" t="n">
        <v>44967.44255787037</v>
      </c>
      <c r="C811" s="1" t="n">
        <v>46131</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6358-2022</t>
        </is>
      </c>
      <c r="B812" s="1" t="n">
        <v>44600</v>
      </c>
      <c r="C812" s="1" t="n">
        <v>46131</v>
      </c>
      <c r="D812" t="inlineStr">
        <is>
          <t>KALMAR LÄN</t>
        </is>
      </c>
      <c r="E812" t="inlineStr">
        <is>
          <t>VIMMERBY</t>
        </is>
      </c>
      <c r="G812" t="n">
        <v>1.7</v>
      </c>
      <c r="H812" t="n">
        <v>0</v>
      </c>
      <c r="I812" t="n">
        <v>0</v>
      </c>
      <c r="J812" t="n">
        <v>0</v>
      </c>
      <c r="K812" t="n">
        <v>0</v>
      </c>
      <c r="L812" t="n">
        <v>0</v>
      </c>
      <c r="M812" t="n">
        <v>0</v>
      </c>
      <c r="N812" t="n">
        <v>0</v>
      </c>
      <c r="O812" t="n">
        <v>0</v>
      </c>
      <c r="P812" t="n">
        <v>0</v>
      </c>
      <c r="Q812" t="n">
        <v>0</v>
      </c>
      <c r="R812" s="2" t="inlineStr"/>
    </row>
    <row r="813" ht="15" customHeight="1">
      <c r="A813" t="inlineStr">
        <is>
          <t>A 43853-2023</t>
        </is>
      </c>
      <c r="B813" s="1" t="n">
        <v>45187.60813657408</v>
      </c>
      <c r="C813" s="1" t="n">
        <v>46131</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48673-2021</t>
        </is>
      </c>
      <c r="B814" s="1" t="n">
        <v>44452</v>
      </c>
      <c r="C814" s="1" t="n">
        <v>46131</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14137-2023</t>
        </is>
      </c>
      <c r="B815" s="1" t="n">
        <v>45009.4671875</v>
      </c>
      <c r="C815" s="1" t="n">
        <v>46131</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7630-2025</t>
        </is>
      </c>
      <c r="B816" s="1" t="n">
        <v>45705.74418981482</v>
      </c>
      <c r="C816" s="1" t="n">
        <v>46131</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38780-2021</t>
        </is>
      </c>
      <c r="B817" s="1" t="n">
        <v>44410</v>
      </c>
      <c r="C817" s="1" t="n">
        <v>46131</v>
      </c>
      <c r="D817" t="inlineStr">
        <is>
          <t>KALMAR LÄN</t>
        </is>
      </c>
      <c r="E817" t="inlineStr">
        <is>
          <t>VIMMERBY</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30503-2023</t>
        </is>
      </c>
      <c r="B818" s="1" t="n">
        <v>45111</v>
      </c>
      <c r="C818" s="1" t="n">
        <v>46131</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60110-2022</t>
        </is>
      </c>
      <c r="B819" s="1" t="n">
        <v>44909</v>
      </c>
      <c r="C819" s="1" t="n">
        <v>46131</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59300-2024</t>
        </is>
      </c>
      <c r="B820" s="1" t="n">
        <v>45637.66542824074</v>
      </c>
      <c r="C820" s="1" t="n">
        <v>46131</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19445-2021</t>
        </is>
      </c>
      <c r="B821" s="1" t="n">
        <v>44310</v>
      </c>
      <c r="C821" s="1" t="n">
        <v>46131</v>
      </c>
      <c r="D821" t="inlineStr">
        <is>
          <t>KALMAR LÄN</t>
        </is>
      </c>
      <c r="E821" t="inlineStr">
        <is>
          <t>VIMMERBY</t>
        </is>
      </c>
      <c r="G821" t="n">
        <v>6.8</v>
      </c>
      <c r="H821" t="n">
        <v>0</v>
      </c>
      <c r="I821" t="n">
        <v>0</v>
      </c>
      <c r="J821" t="n">
        <v>0</v>
      </c>
      <c r="K821" t="n">
        <v>0</v>
      </c>
      <c r="L821" t="n">
        <v>0</v>
      </c>
      <c r="M821" t="n">
        <v>0</v>
      </c>
      <c r="N821" t="n">
        <v>0</v>
      </c>
      <c r="O821" t="n">
        <v>0</v>
      </c>
      <c r="P821" t="n">
        <v>0</v>
      </c>
      <c r="Q821" t="n">
        <v>0</v>
      </c>
      <c r="R821" s="2" t="inlineStr"/>
    </row>
    <row r="822" ht="15" customHeight="1">
      <c r="A822" t="inlineStr">
        <is>
          <t>A 18329-2023</t>
        </is>
      </c>
      <c r="B822" s="1" t="n">
        <v>45041.63380787037</v>
      </c>
      <c r="C822" s="1" t="n">
        <v>46131</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5720-2023</t>
        </is>
      </c>
      <c r="B823" s="1" t="n">
        <v>44961</v>
      </c>
      <c r="C823" s="1" t="n">
        <v>46131</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61538-2022</t>
        </is>
      </c>
      <c r="B824" s="1" t="n">
        <v>44916.55414351852</v>
      </c>
      <c r="C824" s="1" t="n">
        <v>46131</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694-2024</t>
        </is>
      </c>
      <c r="B825" s="1" t="n">
        <v>45300.3794212963</v>
      </c>
      <c r="C825" s="1" t="n">
        <v>46131</v>
      </c>
      <c r="D825" t="inlineStr">
        <is>
          <t>KALMAR LÄN</t>
        </is>
      </c>
      <c r="E825" t="inlineStr">
        <is>
          <t>VIMMERBY</t>
        </is>
      </c>
      <c r="G825" t="n">
        <v>1.4</v>
      </c>
      <c r="H825" t="n">
        <v>0</v>
      </c>
      <c r="I825" t="n">
        <v>0</v>
      </c>
      <c r="J825" t="n">
        <v>0</v>
      </c>
      <c r="K825" t="n">
        <v>0</v>
      </c>
      <c r="L825" t="n">
        <v>0</v>
      </c>
      <c r="M825" t="n">
        <v>0</v>
      </c>
      <c r="N825" t="n">
        <v>0</v>
      </c>
      <c r="O825" t="n">
        <v>0</v>
      </c>
      <c r="P825" t="n">
        <v>0</v>
      </c>
      <c r="Q825" t="n">
        <v>0</v>
      </c>
      <c r="R825" s="2" t="inlineStr"/>
    </row>
    <row r="826" ht="15" customHeight="1">
      <c r="A826" t="inlineStr">
        <is>
          <t>A 57114-2023</t>
        </is>
      </c>
      <c r="B826" s="1" t="n">
        <v>45245.36174768519</v>
      </c>
      <c r="C826" s="1" t="n">
        <v>46131</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44999.36081018519</v>
      </c>
      <c r="C827" s="1" t="n">
        <v>46131</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30633-2024</t>
        </is>
      </c>
      <c r="B828" s="1" t="n">
        <v>45495</v>
      </c>
      <c r="C828" s="1" t="n">
        <v>46131</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33424-2023</t>
        </is>
      </c>
      <c r="B829" s="1" t="n">
        <v>45128.9325</v>
      </c>
      <c r="C829" s="1" t="n">
        <v>46131</v>
      </c>
      <c r="D829" t="inlineStr">
        <is>
          <t>KALMAR LÄN</t>
        </is>
      </c>
      <c r="E829" t="inlineStr">
        <is>
          <t>VIMMERBY</t>
        </is>
      </c>
      <c r="G829" t="n">
        <v>2.4</v>
      </c>
      <c r="H829" t="n">
        <v>0</v>
      </c>
      <c r="I829" t="n">
        <v>0</v>
      </c>
      <c r="J829" t="n">
        <v>0</v>
      </c>
      <c r="K829" t="n">
        <v>0</v>
      </c>
      <c r="L829" t="n">
        <v>0</v>
      </c>
      <c r="M829" t="n">
        <v>0</v>
      </c>
      <c r="N829" t="n">
        <v>0</v>
      </c>
      <c r="O829" t="n">
        <v>0</v>
      </c>
      <c r="P829" t="n">
        <v>0</v>
      </c>
      <c r="Q829" t="n">
        <v>0</v>
      </c>
      <c r="R829" s="2" t="inlineStr"/>
    </row>
    <row r="830" ht="15" customHeight="1">
      <c r="A830" t="inlineStr">
        <is>
          <t>A 33425-2023</t>
        </is>
      </c>
      <c r="B830" s="1" t="n">
        <v>45128.93540509259</v>
      </c>
      <c r="C830" s="1" t="n">
        <v>46131</v>
      </c>
      <c r="D830" t="inlineStr">
        <is>
          <t>KALMAR LÄN</t>
        </is>
      </c>
      <c r="E830" t="inlineStr">
        <is>
          <t>VIMMERBY</t>
        </is>
      </c>
      <c r="G830" t="n">
        <v>1.4</v>
      </c>
      <c r="H830" t="n">
        <v>0</v>
      </c>
      <c r="I830" t="n">
        <v>0</v>
      </c>
      <c r="J830" t="n">
        <v>0</v>
      </c>
      <c r="K830" t="n">
        <v>0</v>
      </c>
      <c r="L830" t="n">
        <v>0</v>
      </c>
      <c r="M830" t="n">
        <v>0</v>
      </c>
      <c r="N830" t="n">
        <v>0</v>
      </c>
      <c r="O830" t="n">
        <v>0</v>
      </c>
      <c r="P830" t="n">
        <v>0</v>
      </c>
      <c r="Q830" t="n">
        <v>0</v>
      </c>
      <c r="R830" s="2" t="inlineStr"/>
    </row>
    <row r="831" ht="15" customHeight="1">
      <c r="A831" t="inlineStr">
        <is>
          <t>A 3609-2024</t>
        </is>
      </c>
      <c r="B831" s="1" t="n">
        <v>45320.89128472222</v>
      </c>
      <c r="C831" s="1" t="n">
        <v>46131</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8650-2022</t>
        </is>
      </c>
      <c r="B832" s="1" t="n">
        <v>44613</v>
      </c>
      <c r="C832" s="1" t="n">
        <v>46131</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11147-2023</t>
        </is>
      </c>
      <c r="B833" s="1" t="n">
        <v>44992</v>
      </c>
      <c r="C833" s="1" t="n">
        <v>46131</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16676-2023</t>
        </is>
      </c>
      <c r="B834" s="1" t="n">
        <v>45028</v>
      </c>
      <c r="C834" s="1" t="n">
        <v>46131</v>
      </c>
      <c r="D834" t="inlineStr">
        <is>
          <t>KALMAR LÄN</t>
        </is>
      </c>
      <c r="E834" t="inlineStr">
        <is>
          <t>VIMMERBY</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23263-2024</t>
        </is>
      </c>
      <c r="B835" s="1" t="n">
        <v>45453.36854166666</v>
      </c>
      <c r="C835" s="1" t="n">
        <v>46131</v>
      </c>
      <c r="D835" t="inlineStr">
        <is>
          <t>KALMAR LÄN</t>
        </is>
      </c>
      <c r="E835" t="inlineStr">
        <is>
          <t>VIMMERBY</t>
        </is>
      </c>
      <c r="G835" t="n">
        <v>0.7</v>
      </c>
      <c r="H835" t="n">
        <v>0</v>
      </c>
      <c r="I835" t="n">
        <v>0</v>
      </c>
      <c r="J835" t="n">
        <v>0</v>
      </c>
      <c r="K835" t="n">
        <v>0</v>
      </c>
      <c r="L835" t="n">
        <v>0</v>
      </c>
      <c r="M835" t="n">
        <v>0</v>
      </c>
      <c r="N835" t="n">
        <v>0</v>
      </c>
      <c r="O835" t="n">
        <v>0</v>
      </c>
      <c r="P835" t="n">
        <v>0</v>
      </c>
      <c r="Q835" t="n">
        <v>0</v>
      </c>
      <c r="R835" s="2" t="inlineStr"/>
    </row>
    <row r="836" ht="15" customHeight="1">
      <c r="A836" t="inlineStr">
        <is>
          <t>A 49488-2023</t>
        </is>
      </c>
      <c r="B836" s="1" t="n">
        <v>45211.55472222222</v>
      </c>
      <c r="C836" s="1" t="n">
        <v>46131</v>
      </c>
      <c r="D836" t="inlineStr">
        <is>
          <t>KALMAR LÄN</t>
        </is>
      </c>
      <c r="E836" t="inlineStr">
        <is>
          <t>VIMMERBY</t>
        </is>
      </c>
      <c r="F836" t="inlineStr">
        <is>
          <t>Sveaskog</t>
        </is>
      </c>
      <c r="G836" t="n">
        <v>6.2</v>
      </c>
      <c r="H836" t="n">
        <v>0</v>
      </c>
      <c r="I836" t="n">
        <v>0</v>
      </c>
      <c r="J836" t="n">
        <v>0</v>
      </c>
      <c r="K836" t="n">
        <v>0</v>
      </c>
      <c r="L836" t="n">
        <v>0</v>
      </c>
      <c r="M836" t="n">
        <v>0</v>
      </c>
      <c r="N836" t="n">
        <v>0</v>
      </c>
      <c r="O836" t="n">
        <v>0</v>
      </c>
      <c r="P836" t="n">
        <v>0</v>
      </c>
      <c r="Q836" t="n">
        <v>0</v>
      </c>
      <c r="R836" s="2" t="inlineStr"/>
    </row>
    <row r="837" ht="15" customHeight="1">
      <c r="A837" t="inlineStr">
        <is>
          <t>A 59768-2024</t>
        </is>
      </c>
      <c r="B837" s="1" t="n">
        <v>45639.56185185185</v>
      </c>
      <c r="C837" s="1" t="n">
        <v>46131</v>
      </c>
      <c r="D837" t="inlineStr">
        <is>
          <t>KALMAR LÄN</t>
        </is>
      </c>
      <c r="E837" t="inlineStr">
        <is>
          <t>VIMMERBY</t>
        </is>
      </c>
      <c r="G837" t="n">
        <v>5.9</v>
      </c>
      <c r="H837" t="n">
        <v>0</v>
      </c>
      <c r="I837" t="n">
        <v>0</v>
      </c>
      <c r="J837" t="n">
        <v>0</v>
      </c>
      <c r="K837" t="n">
        <v>0</v>
      </c>
      <c r="L837" t="n">
        <v>0</v>
      </c>
      <c r="M837" t="n">
        <v>0</v>
      </c>
      <c r="N837" t="n">
        <v>0</v>
      </c>
      <c r="O837" t="n">
        <v>0</v>
      </c>
      <c r="P837" t="n">
        <v>0</v>
      </c>
      <c r="Q837" t="n">
        <v>0</v>
      </c>
      <c r="R837" s="2" t="inlineStr"/>
    </row>
    <row r="838" ht="15" customHeight="1">
      <c r="A838" t="inlineStr">
        <is>
          <t>A 72067-2021</t>
        </is>
      </c>
      <c r="B838" s="1" t="n">
        <v>44540</v>
      </c>
      <c r="C838" s="1" t="n">
        <v>46131</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41158-2023</t>
        </is>
      </c>
      <c r="B839" s="1" t="n">
        <v>45174.31395833333</v>
      </c>
      <c r="C839" s="1" t="n">
        <v>46131</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22198-2024</t>
        </is>
      </c>
      <c r="B840" s="1" t="n">
        <v>45446.36865740741</v>
      </c>
      <c r="C840" s="1" t="n">
        <v>46131</v>
      </c>
      <c r="D840" t="inlineStr">
        <is>
          <t>KALMAR LÄN</t>
        </is>
      </c>
      <c r="E840" t="inlineStr">
        <is>
          <t>VIMMERBY</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9511-2023</t>
        </is>
      </c>
      <c r="B841" s="1" t="n">
        <v>44981.64725694444</v>
      </c>
      <c r="C841" s="1" t="n">
        <v>46131</v>
      </c>
      <c r="D841" t="inlineStr">
        <is>
          <t>KALMAR LÄN</t>
        </is>
      </c>
      <c r="E841" t="inlineStr">
        <is>
          <t>VIMMERBY</t>
        </is>
      </c>
      <c r="G841" t="n">
        <v>3.5</v>
      </c>
      <c r="H841" t="n">
        <v>0</v>
      </c>
      <c r="I841" t="n">
        <v>0</v>
      </c>
      <c r="J841" t="n">
        <v>0</v>
      </c>
      <c r="K841" t="n">
        <v>0</v>
      </c>
      <c r="L841" t="n">
        <v>0</v>
      </c>
      <c r="M841" t="n">
        <v>0</v>
      </c>
      <c r="N841" t="n">
        <v>0</v>
      </c>
      <c r="O841" t="n">
        <v>0</v>
      </c>
      <c r="P841" t="n">
        <v>0</v>
      </c>
      <c r="Q841" t="n">
        <v>0</v>
      </c>
      <c r="R841" s="2" t="inlineStr"/>
    </row>
    <row r="842" ht="15" customHeight="1">
      <c r="A842" t="inlineStr">
        <is>
          <t>A 34205-2023</t>
        </is>
      </c>
      <c r="B842" s="1" t="n">
        <v>45138</v>
      </c>
      <c r="C842" s="1" t="n">
        <v>46131</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57091-2022</t>
        </is>
      </c>
      <c r="B843" s="1" t="n">
        <v>44895.46524305556</v>
      </c>
      <c r="C843" s="1" t="n">
        <v>46131</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2604-2025</t>
        </is>
      </c>
      <c r="B844" s="1" t="n">
        <v>45674.74094907408</v>
      </c>
      <c r="C844" s="1" t="n">
        <v>46131</v>
      </c>
      <c r="D844" t="inlineStr">
        <is>
          <t>KALMAR LÄN</t>
        </is>
      </c>
      <c r="E844" t="inlineStr">
        <is>
          <t>VIMMERBY</t>
        </is>
      </c>
      <c r="G844" t="n">
        <v>7.6</v>
      </c>
      <c r="H844" t="n">
        <v>0</v>
      </c>
      <c r="I844" t="n">
        <v>0</v>
      </c>
      <c r="J844" t="n">
        <v>0</v>
      </c>
      <c r="K844" t="n">
        <v>0</v>
      </c>
      <c r="L844" t="n">
        <v>0</v>
      </c>
      <c r="M844" t="n">
        <v>0</v>
      </c>
      <c r="N844" t="n">
        <v>0</v>
      </c>
      <c r="O844" t="n">
        <v>0</v>
      </c>
      <c r="P844" t="n">
        <v>0</v>
      </c>
      <c r="Q844" t="n">
        <v>0</v>
      </c>
      <c r="R844" s="2" t="inlineStr"/>
    </row>
    <row r="845" ht="15" customHeight="1">
      <c r="A845" t="inlineStr">
        <is>
          <t>A 6807-2025</t>
        </is>
      </c>
      <c r="B845" s="1" t="n">
        <v>45700.68672453704</v>
      </c>
      <c r="C845" s="1" t="n">
        <v>46131</v>
      </c>
      <c r="D845" t="inlineStr">
        <is>
          <t>KALMAR LÄN</t>
        </is>
      </c>
      <c r="E845" t="inlineStr">
        <is>
          <t>VIMMERBY</t>
        </is>
      </c>
      <c r="G845" t="n">
        <v>1.4</v>
      </c>
      <c r="H845" t="n">
        <v>0</v>
      </c>
      <c r="I845" t="n">
        <v>0</v>
      </c>
      <c r="J845" t="n">
        <v>0</v>
      </c>
      <c r="K845" t="n">
        <v>0</v>
      </c>
      <c r="L845" t="n">
        <v>0</v>
      </c>
      <c r="M845" t="n">
        <v>0</v>
      </c>
      <c r="N845" t="n">
        <v>0</v>
      </c>
      <c r="O845" t="n">
        <v>0</v>
      </c>
      <c r="P845" t="n">
        <v>0</v>
      </c>
      <c r="Q845" t="n">
        <v>0</v>
      </c>
      <c r="R845" s="2" t="inlineStr"/>
    </row>
    <row r="846" ht="15" customHeight="1">
      <c r="A846" t="inlineStr">
        <is>
          <t>A 38851-2023</t>
        </is>
      </c>
      <c r="B846" s="1" t="n">
        <v>45163</v>
      </c>
      <c r="C846" s="1" t="n">
        <v>46131</v>
      </c>
      <c r="D846" t="inlineStr">
        <is>
          <t>KALMAR LÄN</t>
        </is>
      </c>
      <c r="E846" t="inlineStr">
        <is>
          <t>VIMMERBY</t>
        </is>
      </c>
      <c r="G846" t="n">
        <v>4.3</v>
      </c>
      <c r="H846" t="n">
        <v>0</v>
      </c>
      <c r="I846" t="n">
        <v>0</v>
      </c>
      <c r="J846" t="n">
        <v>0</v>
      </c>
      <c r="K846" t="n">
        <v>0</v>
      </c>
      <c r="L846" t="n">
        <v>0</v>
      </c>
      <c r="M846" t="n">
        <v>0</v>
      </c>
      <c r="N846" t="n">
        <v>0</v>
      </c>
      <c r="O846" t="n">
        <v>0</v>
      </c>
      <c r="P846" t="n">
        <v>0</v>
      </c>
      <c r="Q846" t="n">
        <v>0</v>
      </c>
      <c r="R846" s="2" t="inlineStr"/>
    </row>
    <row r="847" ht="15" customHeight="1">
      <c r="A847" t="inlineStr">
        <is>
          <t>A 23252-2024</t>
        </is>
      </c>
      <c r="B847" s="1" t="n">
        <v>45453.36067129629</v>
      </c>
      <c r="C847" s="1" t="n">
        <v>46131</v>
      </c>
      <c r="D847" t="inlineStr">
        <is>
          <t>KALMAR LÄN</t>
        </is>
      </c>
      <c r="E847" t="inlineStr">
        <is>
          <t>VIMMERBY</t>
        </is>
      </c>
      <c r="G847" t="n">
        <v>0.7</v>
      </c>
      <c r="H847" t="n">
        <v>0</v>
      </c>
      <c r="I847" t="n">
        <v>0</v>
      </c>
      <c r="J847" t="n">
        <v>0</v>
      </c>
      <c r="K847" t="n">
        <v>0</v>
      </c>
      <c r="L847" t="n">
        <v>0</v>
      </c>
      <c r="M847" t="n">
        <v>0</v>
      </c>
      <c r="N847" t="n">
        <v>0</v>
      </c>
      <c r="O847" t="n">
        <v>0</v>
      </c>
      <c r="P847" t="n">
        <v>0</v>
      </c>
      <c r="Q847" t="n">
        <v>0</v>
      </c>
      <c r="R847" s="2" t="inlineStr"/>
    </row>
    <row r="848" ht="15" customHeight="1">
      <c r="A848" t="inlineStr">
        <is>
          <t>A 5792-2023</t>
        </is>
      </c>
      <c r="B848" s="1" t="n">
        <v>44963.44769675926</v>
      </c>
      <c r="C848" s="1" t="n">
        <v>46131</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2797-2023</t>
        </is>
      </c>
      <c r="B849" s="1" t="n">
        <v>44944.71386574074</v>
      </c>
      <c r="C849" s="1" t="n">
        <v>46131</v>
      </c>
      <c r="D849" t="inlineStr">
        <is>
          <t>KALMAR LÄN</t>
        </is>
      </c>
      <c r="E849" t="inlineStr">
        <is>
          <t>VIMMERBY</t>
        </is>
      </c>
      <c r="G849" t="n">
        <v>3.4</v>
      </c>
      <c r="H849" t="n">
        <v>0</v>
      </c>
      <c r="I849" t="n">
        <v>0</v>
      </c>
      <c r="J849" t="n">
        <v>0</v>
      </c>
      <c r="K849" t="n">
        <v>0</v>
      </c>
      <c r="L849" t="n">
        <v>0</v>
      </c>
      <c r="M849" t="n">
        <v>0</v>
      </c>
      <c r="N849" t="n">
        <v>0</v>
      </c>
      <c r="O849" t="n">
        <v>0</v>
      </c>
      <c r="P849" t="n">
        <v>0</v>
      </c>
      <c r="Q849" t="n">
        <v>0</v>
      </c>
      <c r="R849" s="2" t="inlineStr"/>
    </row>
    <row r="850" ht="15" customHeight="1">
      <c r="A850" t="inlineStr">
        <is>
          <t>A 2799-2023</t>
        </is>
      </c>
      <c r="B850" s="1" t="n">
        <v>44944.72100694444</v>
      </c>
      <c r="C850" s="1" t="n">
        <v>46131</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6220-2025</t>
        </is>
      </c>
      <c r="B851" s="1" t="n">
        <v>45698.53725694444</v>
      </c>
      <c r="C851" s="1" t="n">
        <v>46131</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58278-2023</t>
        </is>
      </c>
      <c r="B852" s="1" t="n">
        <v>45250.5278587963</v>
      </c>
      <c r="C852" s="1" t="n">
        <v>46131</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36259-2022</t>
        </is>
      </c>
      <c r="B853" s="1" t="n">
        <v>44803.59118055556</v>
      </c>
      <c r="C853" s="1" t="n">
        <v>46131</v>
      </c>
      <c r="D853" t="inlineStr">
        <is>
          <t>KALMAR LÄN</t>
        </is>
      </c>
      <c r="E853" t="inlineStr">
        <is>
          <t>VIMMERBY</t>
        </is>
      </c>
      <c r="G853" t="n">
        <v>3.9</v>
      </c>
      <c r="H853" t="n">
        <v>0</v>
      </c>
      <c r="I853" t="n">
        <v>0</v>
      </c>
      <c r="J853" t="n">
        <v>0</v>
      </c>
      <c r="K853" t="n">
        <v>0</v>
      </c>
      <c r="L853" t="n">
        <v>0</v>
      </c>
      <c r="M853" t="n">
        <v>0</v>
      </c>
      <c r="N853" t="n">
        <v>0</v>
      </c>
      <c r="O853" t="n">
        <v>0</v>
      </c>
      <c r="P853" t="n">
        <v>0</v>
      </c>
      <c r="Q853" t="n">
        <v>0</v>
      </c>
      <c r="R853" s="2" t="inlineStr"/>
    </row>
    <row r="854" ht="15" customHeight="1">
      <c r="A854" t="inlineStr">
        <is>
          <t>A 36526-2023</t>
        </is>
      </c>
      <c r="B854" s="1" t="n">
        <v>45153.32778935185</v>
      </c>
      <c r="C854" s="1" t="n">
        <v>46131</v>
      </c>
      <c r="D854" t="inlineStr">
        <is>
          <t>KALMAR LÄN</t>
        </is>
      </c>
      <c r="E854" t="inlineStr">
        <is>
          <t>VIMMERBY</t>
        </is>
      </c>
      <c r="G854" t="n">
        <v>2.7</v>
      </c>
      <c r="H854" t="n">
        <v>0</v>
      </c>
      <c r="I854" t="n">
        <v>0</v>
      </c>
      <c r="J854" t="n">
        <v>0</v>
      </c>
      <c r="K854" t="n">
        <v>0</v>
      </c>
      <c r="L854" t="n">
        <v>0</v>
      </c>
      <c r="M854" t="n">
        <v>0</v>
      </c>
      <c r="N854" t="n">
        <v>0</v>
      </c>
      <c r="O854" t="n">
        <v>0</v>
      </c>
      <c r="P854" t="n">
        <v>0</v>
      </c>
      <c r="Q854" t="n">
        <v>0</v>
      </c>
      <c r="R854" s="2" t="inlineStr"/>
    </row>
    <row r="855" ht="15" customHeight="1">
      <c r="A855" t="inlineStr">
        <is>
          <t>A 17988-2025</t>
        </is>
      </c>
      <c r="B855" s="1" t="n">
        <v>45761.39600694444</v>
      </c>
      <c r="C855" s="1" t="n">
        <v>46131</v>
      </c>
      <c r="D855" t="inlineStr">
        <is>
          <t>KALMAR LÄN</t>
        </is>
      </c>
      <c r="E855" t="inlineStr">
        <is>
          <t>VIMMERBY</t>
        </is>
      </c>
      <c r="G855" t="n">
        <v>2.8</v>
      </c>
      <c r="H855" t="n">
        <v>0</v>
      </c>
      <c r="I855" t="n">
        <v>0</v>
      </c>
      <c r="J855" t="n">
        <v>0</v>
      </c>
      <c r="K855" t="n">
        <v>0</v>
      </c>
      <c r="L855" t="n">
        <v>0</v>
      </c>
      <c r="M855" t="n">
        <v>0</v>
      </c>
      <c r="N855" t="n">
        <v>0</v>
      </c>
      <c r="O855" t="n">
        <v>0</v>
      </c>
      <c r="P855" t="n">
        <v>0</v>
      </c>
      <c r="Q855" t="n">
        <v>0</v>
      </c>
      <c r="R855" s="2" t="inlineStr"/>
    </row>
    <row r="856" ht="15" customHeight="1">
      <c r="A856" t="inlineStr">
        <is>
          <t>A 29350-2023</t>
        </is>
      </c>
      <c r="B856" s="1" t="n">
        <v>45106</v>
      </c>
      <c r="C856" s="1" t="n">
        <v>46131</v>
      </c>
      <c r="D856" t="inlineStr">
        <is>
          <t>KALMAR LÄN</t>
        </is>
      </c>
      <c r="E856" t="inlineStr">
        <is>
          <t>VIMMERBY</t>
        </is>
      </c>
      <c r="G856" t="n">
        <v>0.8</v>
      </c>
      <c r="H856" t="n">
        <v>0</v>
      </c>
      <c r="I856" t="n">
        <v>0</v>
      </c>
      <c r="J856" t="n">
        <v>0</v>
      </c>
      <c r="K856" t="n">
        <v>0</v>
      </c>
      <c r="L856" t="n">
        <v>0</v>
      </c>
      <c r="M856" t="n">
        <v>0</v>
      </c>
      <c r="N856" t="n">
        <v>0</v>
      </c>
      <c r="O856" t="n">
        <v>0</v>
      </c>
      <c r="P856" t="n">
        <v>0</v>
      </c>
      <c r="Q856" t="n">
        <v>0</v>
      </c>
      <c r="R856" s="2" t="inlineStr"/>
    </row>
    <row r="857" ht="15" customHeight="1">
      <c r="A857" t="inlineStr">
        <is>
          <t>A 29351-2023</t>
        </is>
      </c>
      <c r="B857" s="1" t="n">
        <v>45106.2610300926</v>
      </c>
      <c r="C857" s="1" t="n">
        <v>46131</v>
      </c>
      <c r="D857" t="inlineStr">
        <is>
          <t>KALMAR LÄN</t>
        </is>
      </c>
      <c r="E857" t="inlineStr">
        <is>
          <t>VIMMERBY</t>
        </is>
      </c>
      <c r="G857" t="n">
        <v>0.4</v>
      </c>
      <c r="H857" t="n">
        <v>0</v>
      </c>
      <c r="I857" t="n">
        <v>0</v>
      </c>
      <c r="J857" t="n">
        <v>0</v>
      </c>
      <c r="K857" t="n">
        <v>0</v>
      </c>
      <c r="L857" t="n">
        <v>0</v>
      </c>
      <c r="M857" t="n">
        <v>0</v>
      </c>
      <c r="N857" t="n">
        <v>0</v>
      </c>
      <c r="O857" t="n">
        <v>0</v>
      </c>
      <c r="P857" t="n">
        <v>0</v>
      </c>
      <c r="Q857" t="n">
        <v>0</v>
      </c>
      <c r="R857" s="2" t="inlineStr"/>
    </row>
    <row r="858" ht="15" customHeight="1">
      <c r="A858" t="inlineStr">
        <is>
          <t>A 6474-2025</t>
        </is>
      </c>
      <c r="B858" s="1" t="n">
        <v>45699.60055555555</v>
      </c>
      <c r="C858" s="1" t="n">
        <v>46131</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17-2025</t>
        </is>
      </c>
      <c r="B859" s="1" t="n">
        <v>45658.78774305555</v>
      </c>
      <c r="C859" s="1" t="n">
        <v>46131</v>
      </c>
      <c r="D859" t="inlineStr">
        <is>
          <t>KALMAR LÄN</t>
        </is>
      </c>
      <c r="E859" t="inlineStr">
        <is>
          <t>VIMMERBY</t>
        </is>
      </c>
      <c r="G859" t="n">
        <v>4.4</v>
      </c>
      <c r="H859" t="n">
        <v>0</v>
      </c>
      <c r="I859" t="n">
        <v>0</v>
      </c>
      <c r="J859" t="n">
        <v>0</v>
      </c>
      <c r="K859" t="n">
        <v>0</v>
      </c>
      <c r="L859" t="n">
        <v>0</v>
      </c>
      <c r="M859" t="n">
        <v>0</v>
      </c>
      <c r="N859" t="n">
        <v>0</v>
      </c>
      <c r="O859" t="n">
        <v>0</v>
      </c>
      <c r="P859" t="n">
        <v>0</v>
      </c>
      <c r="Q859" t="n">
        <v>0</v>
      </c>
      <c r="R859" s="2" t="inlineStr"/>
    </row>
    <row r="860" ht="15" customHeight="1">
      <c r="A860" t="inlineStr">
        <is>
          <t>A 57555-2024</t>
        </is>
      </c>
      <c r="B860" s="1" t="n">
        <v>45630.45069444444</v>
      </c>
      <c r="C860" s="1" t="n">
        <v>46131</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52279-2023</t>
        </is>
      </c>
      <c r="B861" s="1" t="n">
        <v>45224</v>
      </c>
      <c r="C861" s="1" t="n">
        <v>46131</v>
      </c>
      <c r="D861" t="inlineStr">
        <is>
          <t>KALMAR LÄN</t>
        </is>
      </c>
      <c r="E861" t="inlineStr">
        <is>
          <t>VIMMERBY</t>
        </is>
      </c>
      <c r="G861" t="n">
        <v>1.8</v>
      </c>
      <c r="H861" t="n">
        <v>0</v>
      </c>
      <c r="I861" t="n">
        <v>0</v>
      </c>
      <c r="J861" t="n">
        <v>0</v>
      </c>
      <c r="K861" t="n">
        <v>0</v>
      </c>
      <c r="L861" t="n">
        <v>0</v>
      </c>
      <c r="M861" t="n">
        <v>0</v>
      </c>
      <c r="N861" t="n">
        <v>0</v>
      </c>
      <c r="O861" t="n">
        <v>0</v>
      </c>
      <c r="P861" t="n">
        <v>0</v>
      </c>
      <c r="Q861" t="n">
        <v>0</v>
      </c>
      <c r="R861" s="2" t="inlineStr"/>
    </row>
    <row r="862" ht="15" customHeight="1">
      <c r="A862" t="inlineStr">
        <is>
          <t>A 52324-2023</t>
        </is>
      </c>
      <c r="B862" s="1" t="n">
        <v>45224.64659722222</v>
      </c>
      <c r="C862" s="1" t="n">
        <v>46131</v>
      </c>
      <c r="D862" t="inlineStr">
        <is>
          <t>KALMAR LÄN</t>
        </is>
      </c>
      <c r="E862" t="inlineStr">
        <is>
          <t>VIMMERBY</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32639-2023</t>
        </is>
      </c>
      <c r="B863" s="1" t="n">
        <v>45121.5965162037</v>
      </c>
      <c r="C863" s="1" t="n">
        <v>46131</v>
      </c>
      <c r="D863" t="inlineStr">
        <is>
          <t>KALMAR LÄN</t>
        </is>
      </c>
      <c r="E863" t="inlineStr">
        <is>
          <t>VIMMERBY</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32642-2023</t>
        </is>
      </c>
      <c r="B864" s="1" t="n">
        <v>45121.59954861111</v>
      </c>
      <c r="C864" s="1" t="n">
        <v>46131</v>
      </c>
      <c r="D864" t="inlineStr">
        <is>
          <t>KALMAR LÄN</t>
        </is>
      </c>
      <c r="E864" t="inlineStr">
        <is>
          <t>VIMMERBY</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32651-2023</t>
        </is>
      </c>
      <c r="B865" s="1" t="n">
        <v>45121.6096875</v>
      </c>
      <c r="C865" s="1" t="n">
        <v>46131</v>
      </c>
      <c r="D865" t="inlineStr">
        <is>
          <t>KALMAR LÄN</t>
        </is>
      </c>
      <c r="E865" t="inlineStr">
        <is>
          <t>VIMMERBY</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40730-2024</t>
        </is>
      </c>
      <c r="B866" s="1" t="n">
        <v>45558.44914351852</v>
      </c>
      <c r="C866" s="1" t="n">
        <v>46131</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9643-2023</t>
        </is>
      </c>
      <c r="B867" s="1" t="n">
        <v>44984</v>
      </c>
      <c r="C867" s="1" t="n">
        <v>46131</v>
      </c>
      <c r="D867" t="inlineStr">
        <is>
          <t>KALMAR LÄN</t>
        </is>
      </c>
      <c r="E867" t="inlineStr">
        <is>
          <t>VIMMERBY</t>
        </is>
      </c>
      <c r="G867" t="n">
        <v>2</v>
      </c>
      <c r="H867" t="n">
        <v>0</v>
      </c>
      <c r="I867" t="n">
        <v>0</v>
      </c>
      <c r="J867" t="n">
        <v>0</v>
      </c>
      <c r="K867" t="n">
        <v>0</v>
      </c>
      <c r="L867" t="n">
        <v>0</v>
      </c>
      <c r="M867" t="n">
        <v>0</v>
      </c>
      <c r="N867" t="n">
        <v>0</v>
      </c>
      <c r="O867" t="n">
        <v>0</v>
      </c>
      <c r="P867" t="n">
        <v>0</v>
      </c>
      <c r="Q867" t="n">
        <v>0</v>
      </c>
      <c r="R867" s="2" t="inlineStr"/>
    </row>
    <row r="868" ht="15" customHeight="1">
      <c r="A868" t="inlineStr">
        <is>
          <t>A 56213-2024</t>
        </is>
      </c>
      <c r="B868" s="1" t="n">
        <v>45624.60141203704</v>
      </c>
      <c r="C868" s="1" t="n">
        <v>46131</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20126-2024</t>
        </is>
      </c>
      <c r="B869" s="1" t="n">
        <v>45434.55471064815</v>
      </c>
      <c r="C869" s="1" t="n">
        <v>46131</v>
      </c>
      <c r="D869" t="inlineStr">
        <is>
          <t>KALMAR LÄN</t>
        </is>
      </c>
      <c r="E869" t="inlineStr">
        <is>
          <t>VIMMERBY</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19865-2021</t>
        </is>
      </c>
      <c r="B870" s="1" t="n">
        <v>44312</v>
      </c>
      <c r="C870" s="1" t="n">
        <v>46131</v>
      </c>
      <c r="D870" t="inlineStr">
        <is>
          <t>KALMAR LÄN</t>
        </is>
      </c>
      <c r="E870" t="inlineStr">
        <is>
          <t>VIMMERBY</t>
        </is>
      </c>
      <c r="G870" t="n">
        <v>8.6</v>
      </c>
      <c r="H870" t="n">
        <v>0</v>
      </c>
      <c r="I870" t="n">
        <v>0</v>
      </c>
      <c r="J870" t="n">
        <v>0</v>
      </c>
      <c r="K870" t="n">
        <v>0</v>
      </c>
      <c r="L870" t="n">
        <v>0</v>
      </c>
      <c r="M870" t="n">
        <v>0</v>
      </c>
      <c r="N870" t="n">
        <v>0</v>
      </c>
      <c r="O870" t="n">
        <v>0</v>
      </c>
      <c r="P870" t="n">
        <v>0</v>
      </c>
      <c r="Q870" t="n">
        <v>0</v>
      </c>
      <c r="R870" s="2" t="inlineStr"/>
    </row>
    <row r="871" ht="15" customHeight="1">
      <c r="A871" t="inlineStr">
        <is>
          <t>A 9694-2023</t>
        </is>
      </c>
      <c r="B871" s="1" t="n">
        <v>44984.45895833334</v>
      </c>
      <c r="C871" s="1" t="n">
        <v>46131</v>
      </c>
      <c r="D871" t="inlineStr">
        <is>
          <t>KALMAR LÄN</t>
        </is>
      </c>
      <c r="E871" t="inlineStr">
        <is>
          <t>VIMMERBY</t>
        </is>
      </c>
      <c r="G871" t="n">
        <v>2.1</v>
      </c>
      <c r="H871" t="n">
        <v>0</v>
      </c>
      <c r="I871" t="n">
        <v>0</v>
      </c>
      <c r="J871" t="n">
        <v>0</v>
      </c>
      <c r="K871" t="n">
        <v>0</v>
      </c>
      <c r="L871" t="n">
        <v>0</v>
      </c>
      <c r="M871" t="n">
        <v>0</v>
      </c>
      <c r="N871" t="n">
        <v>0</v>
      </c>
      <c r="O871" t="n">
        <v>0</v>
      </c>
      <c r="P871" t="n">
        <v>0</v>
      </c>
      <c r="Q871" t="n">
        <v>0</v>
      </c>
      <c r="R871" s="2" t="inlineStr"/>
    </row>
    <row r="872" ht="15" customHeight="1">
      <c r="A872" t="inlineStr">
        <is>
          <t>A 9710-2023</t>
        </is>
      </c>
      <c r="B872" s="1" t="n">
        <v>44984</v>
      </c>
      <c r="C872" s="1" t="n">
        <v>46131</v>
      </c>
      <c r="D872" t="inlineStr">
        <is>
          <t>KALMAR LÄN</t>
        </is>
      </c>
      <c r="E872" t="inlineStr">
        <is>
          <t>VIMMERBY</t>
        </is>
      </c>
      <c r="G872" t="n">
        <v>3.7</v>
      </c>
      <c r="H872" t="n">
        <v>0</v>
      </c>
      <c r="I872" t="n">
        <v>0</v>
      </c>
      <c r="J872" t="n">
        <v>0</v>
      </c>
      <c r="K872" t="n">
        <v>0</v>
      </c>
      <c r="L872" t="n">
        <v>0</v>
      </c>
      <c r="M872" t="n">
        <v>0</v>
      </c>
      <c r="N872" t="n">
        <v>0</v>
      </c>
      <c r="O872" t="n">
        <v>0</v>
      </c>
      <c r="P872" t="n">
        <v>0</v>
      </c>
      <c r="Q872" t="n">
        <v>0</v>
      </c>
      <c r="R872" s="2" t="inlineStr"/>
    </row>
    <row r="873" ht="15" customHeight="1">
      <c r="A873" t="inlineStr">
        <is>
          <t>A 6216-2025</t>
        </is>
      </c>
      <c r="B873" s="1" t="n">
        <v>45698.52806712963</v>
      </c>
      <c r="C873" s="1" t="n">
        <v>46131</v>
      </c>
      <c r="D873" t="inlineStr">
        <is>
          <t>KALMAR LÄN</t>
        </is>
      </c>
      <c r="E873" t="inlineStr">
        <is>
          <t>VIMMERBY</t>
        </is>
      </c>
      <c r="G873" t="n">
        <v>1.2</v>
      </c>
      <c r="H873" t="n">
        <v>0</v>
      </c>
      <c r="I873" t="n">
        <v>0</v>
      </c>
      <c r="J873" t="n">
        <v>0</v>
      </c>
      <c r="K873" t="n">
        <v>0</v>
      </c>
      <c r="L873" t="n">
        <v>0</v>
      </c>
      <c r="M873" t="n">
        <v>0</v>
      </c>
      <c r="N873" t="n">
        <v>0</v>
      </c>
      <c r="O873" t="n">
        <v>0</v>
      </c>
      <c r="P873" t="n">
        <v>0</v>
      </c>
      <c r="Q873" t="n">
        <v>0</v>
      </c>
      <c r="R873" s="2" t="inlineStr"/>
    </row>
    <row r="874" ht="15" customHeight="1">
      <c r="A874" t="inlineStr">
        <is>
          <t>A 7944-2024</t>
        </is>
      </c>
      <c r="B874" s="1" t="n">
        <v>45350.53306712963</v>
      </c>
      <c r="C874" s="1" t="n">
        <v>46131</v>
      </c>
      <c r="D874" t="inlineStr">
        <is>
          <t>KALMAR LÄN</t>
        </is>
      </c>
      <c r="E874" t="inlineStr">
        <is>
          <t>VIMMERBY</t>
        </is>
      </c>
      <c r="G874" t="n">
        <v>1.2</v>
      </c>
      <c r="H874" t="n">
        <v>0</v>
      </c>
      <c r="I874" t="n">
        <v>0</v>
      </c>
      <c r="J874" t="n">
        <v>0</v>
      </c>
      <c r="K874" t="n">
        <v>0</v>
      </c>
      <c r="L874" t="n">
        <v>0</v>
      </c>
      <c r="M874" t="n">
        <v>0</v>
      </c>
      <c r="N874" t="n">
        <v>0</v>
      </c>
      <c r="O874" t="n">
        <v>0</v>
      </c>
      <c r="P874" t="n">
        <v>0</v>
      </c>
      <c r="Q874" t="n">
        <v>0</v>
      </c>
      <c r="R874" s="2" t="inlineStr"/>
    </row>
    <row r="875" ht="15" customHeight="1">
      <c r="A875" t="inlineStr">
        <is>
          <t>A 598-2025</t>
        </is>
      </c>
      <c r="B875" s="1" t="n">
        <v>45660</v>
      </c>
      <c r="C875" s="1" t="n">
        <v>46131</v>
      </c>
      <c r="D875" t="inlineStr">
        <is>
          <t>KALMAR LÄN</t>
        </is>
      </c>
      <c r="E875" t="inlineStr">
        <is>
          <t>VIMMERBY</t>
        </is>
      </c>
      <c r="G875" t="n">
        <v>12</v>
      </c>
      <c r="H875" t="n">
        <v>0</v>
      </c>
      <c r="I875" t="n">
        <v>0</v>
      </c>
      <c r="J875" t="n">
        <v>0</v>
      </c>
      <c r="K875" t="n">
        <v>0</v>
      </c>
      <c r="L875" t="n">
        <v>0</v>
      </c>
      <c r="M875" t="n">
        <v>0</v>
      </c>
      <c r="N875" t="n">
        <v>0</v>
      </c>
      <c r="O875" t="n">
        <v>0</v>
      </c>
      <c r="P875" t="n">
        <v>0</v>
      </c>
      <c r="Q875" t="n">
        <v>0</v>
      </c>
      <c r="R875" s="2" t="inlineStr"/>
    </row>
    <row r="876" ht="15" customHeight="1">
      <c r="A876" t="inlineStr">
        <is>
          <t>A 10807-2024</t>
        </is>
      </c>
      <c r="B876" s="1" t="n">
        <v>45369.62780092593</v>
      </c>
      <c r="C876" s="1" t="n">
        <v>46131</v>
      </c>
      <c r="D876" t="inlineStr">
        <is>
          <t>KALMAR LÄN</t>
        </is>
      </c>
      <c r="E876" t="inlineStr">
        <is>
          <t>VIMMERBY</t>
        </is>
      </c>
      <c r="G876" t="n">
        <v>0.7</v>
      </c>
      <c r="H876" t="n">
        <v>0</v>
      </c>
      <c r="I876" t="n">
        <v>0</v>
      </c>
      <c r="J876" t="n">
        <v>0</v>
      </c>
      <c r="K876" t="n">
        <v>0</v>
      </c>
      <c r="L876" t="n">
        <v>0</v>
      </c>
      <c r="M876" t="n">
        <v>0</v>
      </c>
      <c r="N876" t="n">
        <v>0</v>
      </c>
      <c r="O876" t="n">
        <v>0</v>
      </c>
      <c r="P876" t="n">
        <v>0</v>
      </c>
      <c r="Q876" t="n">
        <v>0</v>
      </c>
      <c r="R876" s="2" t="inlineStr"/>
    </row>
    <row r="877" ht="15" customHeight="1">
      <c r="A877" t="inlineStr">
        <is>
          <t>A 40260-2024</t>
        </is>
      </c>
      <c r="B877" s="1" t="n">
        <v>45554.63225694445</v>
      </c>
      <c r="C877" s="1" t="n">
        <v>46131</v>
      </c>
      <c r="D877" t="inlineStr">
        <is>
          <t>KALMAR LÄN</t>
        </is>
      </c>
      <c r="E877" t="inlineStr">
        <is>
          <t>VIMMERBY</t>
        </is>
      </c>
      <c r="G877" t="n">
        <v>1.2</v>
      </c>
      <c r="H877" t="n">
        <v>0</v>
      </c>
      <c r="I877" t="n">
        <v>0</v>
      </c>
      <c r="J877" t="n">
        <v>0</v>
      </c>
      <c r="K877" t="n">
        <v>0</v>
      </c>
      <c r="L877" t="n">
        <v>0</v>
      </c>
      <c r="M877" t="n">
        <v>0</v>
      </c>
      <c r="N877" t="n">
        <v>0</v>
      </c>
      <c r="O877" t="n">
        <v>0</v>
      </c>
      <c r="P877" t="n">
        <v>0</v>
      </c>
      <c r="Q877" t="n">
        <v>0</v>
      </c>
      <c r="R877" s="2" t="inlineStr"/>
    </row>
    <row r="878" ht="15" customHeight="1">
      <c r="A878" t="inlineStr">
        <is>
          <t>A 10787-2025</t>
        </is>
      </c>
      <c r="B878" s="1" t="n">
        <v>45722.48915509259</v>
      </c>
      <c r="C878" s="1" t="n">
        <v>46131</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58577-2024</t>
        </is>
      </c>
      <c r="B879" s="1" t="n">
        <v>45635.4874537037</v>
      </c>
      <c r="C879" s="1" t="n">
        <v>46131</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38198-2024</t>
        </is>
      </c>
      <c r="B880" s="1" t="n">
        <v>45545.49508101852</v>
      </c>
      <c r="C880" s="1" t="n">
        <v>46131</v>
      </c>
      <c r="D880" t="inlineStr">
        <is>
          <t>KALMAR LÄN</t>
        </is>
      </c>
      <c r="E880" t="inlineStr">
        <is>
          <t>VIMMERBY</t>
        </is>
      </c>
      <c r="G880" t="n">
        <v>7.9</v>
      </c>
      <c r="H880" t="n">
        <v>0</v>
      </c>
      <c r="I880" t="n">
        <v>0</v>
      </c>
      <c r="J880" t="n">
        <v>0</v>
      </c>
      <c r="K880" t="n">
        <v>0</v>
      </c>
      <c r="L880" t="n">
        <v>0</v>
      </c>
      <c r="M880" t="n">
        <v>0</v>
      </c>
      <c r="N880" t="n">
        <v>0</v>
      </c>
      <c r="O880" t="n">
        <v>0</v>
      </c>
      <c r="P880" t="n">
        <v>0</v>
      </c>
      <c r="Q880" t="n">
        <v>0</v>
      </c>
      <c r="R880" s="2" t="inlineStr"/>
    </row>
    <row r="881" ht="15" customHeight="1">
      <c r="A881" t="inlineStr">
        <is>
          <t>A 43617-2024</t>
        </is>
      </c>
      <c r="B881" s="1" t="n">
        <v>45569.47494212963</v>
      </c>
      <c r="C881" s="1" t="n">
        <v>46131</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45070.3665625</v>
      </c>
      <c r="C882" s="1" t="n">
        <v>46131</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22266-2023</t>
        </is>
      </c>
      <c r="B883" s="1" t="n">
        <v>45070</v>
      </c>
      <c r="C883" s="1" t="n">
        <v>46131</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50091-2023</t>
        </is>
      </c>
      <c r="B884" s="1" t="n">
        <v>45215.60199074074</v>
      </c>
      <c r="C884" s="1" t="n">
        <v>46131</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10303-2025</t>
        </is>
      </c>
      <c r="B885" s="1" t="n">
        <v>45720.44217592593</v>
      </c>
      <c r="C885" s="1" t="n">
        <v>46131</v>
      </c>
      <c r="D885" t="inlineStr">
        <is>
          <t>KALMAR LÄN</t>
        </is>
      </c>
      <c r="E885" t="inlineStr">
        <is>
          <t>VIMMERBY</t>
        </is>
      </c>
      <c r="G885" t="n">
        <v>0.9</v>
      </c>
      <c r="H885" t="n">
        <v>0</v>
      </c>
      <c r="I885" t="n">
        <v>0</v>
      </c>
      <c r="J885" t="n">
        <v>0</v>
      </c>
      <c r="K885" t="n">
        <v>0</v>
      </c>
      <c r="L885" t="n">
        <v>0</v>
      </c>
      <c r="M885" t="n">
        <v>0</v>
      </c>
      <c r="N885" t="n">
        <v>0</v>
      </c>
      <c r="O885" t="n">
        <v>0</v>
      </c>
      <c r="P885" t="n">
        <v>0</v>
      </c>
      <c r="Q885" t="n">
        <v>0</v>
      </c>
      <c r="R885" s="2" t="inlineStr"/>
    </row>
    <row r="886" ht="15" customHeight="1">
      <c r="A886" t="inlineStr">
        <is>
          <t>A 11027-2023</t>
        </is>
      </c>
      <c r="B886" s="1" t="n">
        <v>44991.89657407408</v>
      </c>
      <c r="C886" s="1" t="n">
        <v>46131</v>
      </c>
      <c r="D886" t="inlineStr">
        <is>
          <t>KALMAR LÄN</t>
        </is>
      </c>
      <c r="E886" t="inlineStr">
        <is>
          <t>VIMMERBY</t>
        </is>
      </c>
      <c r="G886" t="n">
        <v>0.8</v>
      </c>
      <c r="H886" t="n">
        <v>0</v>
      </c>
      <c r="I886" t="n">
        <v>0</v>
      </c>
      <c r="J886" t="n">
        <v>0</v>
      </c>
      <c r="K886" t="n">
        <v>0</v>
      </c>
      <c r="L886" t="n">
        <v>0</v>
      </c>
      <c r="M886" t="n">
        <v>0</v>
      </c>
      <c r="N886" t="n">
        <v>0</v>
      </c>
      <c r="O886" t="n">
        <v>0</v>
      </c>
      <c r="P886" t="n">
        <v>0</v>
      </c>
      <c r="Q886" t="n">
        <v>0</v>
      </c>
      <c r="R886" s="2" t="inlineStr"/>
    </row>
    <row r="887" ht="15" customHeight="1">
      <c r="A887" t="inlineStr">
        <is>
          <t>A 11661-2023</t>
        </is>
      </c>
      <c r="B887" s="1" t="n">
        <v>44994.46908564815</v>
      </c>
      <c r="C887" s="1" t="n">
        <v>46131</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36155-2023</t>
        </is>
      </c>
      <c r="B888" s="1" t="n">
        <v>45149.60917824074</v>
      </c>
      <c r="C888" s="1" t="n">
        <v>46131</v>
      </c>
      <c r="D888" t="inlineStr">
        <is>
          <t>KALMAR LÄN</t>
        </is>
      </c>
      <c r="E888" t="inlineStr">
        <is>
          <t>VIMMERBY</t>
        </is>
      </c>
      <c r="G888" t="n">
        <v>5</v>
      </c>
      <c r="H888" t="n">
        <v>0</v>
      </c>
      <c r="I888" t="n">
        <v>0</v>
      </c>
      <c r="J888" t="n">
        <v>0</v>
      </c>
      <c r="K888" t="n">
        <v>0</v>
      </c>
      <c r="L888" t="n">
        <v>0</v>
      </c>
      <c r="M888" t="n">
        <v>0</v>
      </c>
      <c r="N888" t="n">
        <v>0</v>
      </c>
      <c r="O888" t="n">
        <v>0</v>
      </c>
      <c r="P888" t="n">
        <v>0</v>
      </c>
      <c r="Q888" t="n">
        <v>0</v>
      </c>
      <c r="R888" s="2" t="inlineStr"/>
    </row>
    <row r="889" ht="15" customHeight="1">
      <c r="A889" t="inlineStr">
        <is>
          <t>A 40147-2023</t>
        </is>
      </c>
      <c r="B889" s="1" t="n">
        <v>45169</v>
      </c>
      <c r="C889" s="1" t="n">
        <v>46131</v>
      </c>
      <c r="D889" t="inlineStr">
        <is>
          <t>KALMAR LÄN</t>
        </is>
      </c>
      <c r="E889" t="inlineStr">
        <is>
          <t>VIMMERBY</t>
        </is>
      </c>
      <c r="G889" t="n">
        <v>1.7</v>
      </c>
      <c r="H889" t="n">
        <v>0</v>
      </c>
      <c r="I889" t="n">
        <v>0</v>
      </c>
      <c r="J889" t="n">
        <v>0</v>
      </c>
      <c r="K889" t="n">
        <v>0</v>
      </c>
      <c r="L889" t="n">
        <v>0</v>
      </c>
      <c r="M889" t="n">
        <v>0</v>
      </c>
      <c r="N889" t="n">
        <v>0</v>
      </c>
      <c r="O889" t="n">
        <v>0</v>
      </c>
      <c r="P889" t="n">
        <v>0</v>
      </c>
      <c r="Q889" t="n">
        <v>0</v>
      </c>
      <c r="R889" s="2" t="inlineStr"/>
    </row>
    <row r="890" ht="15" customHeight="1">
      <c r="A890" t="inlineStr">
        <is>
          <t>A 63950-2023</t>
        </is>
      </c>
      <c r="B890" s="1" t="n">
        <v>45278</v>
      </c>
      <c r="C890" s="1" t="n">
        <v>46131</v>
      </c>
      <c r="D890" t="inlineStr">
        <is>
          <t>KALMAR LÄN</t>
        </is>
      </c>
      <c r="E890" t="inlineStr">
        <is>
          <t>VIMMERBY</t>
        </is>
      </c>
      <c r="F890" t="inlineStr">
        <is>
          <t>Kyrkan</t>
        </is>
      </c>
      <c r="G890" t="n">
        <v>2.7</v>
      </c>
      <c r="H890" t="n">
        <v>0</v>
      </c>
      <c r="I890" t="n">
        <v>0</v>
      </c>
      <c r="J890" t="n">
        <v>0</v>
      </c>
      <c r="K890" t="n">
        <v>0</v>
      </c>
      <c r="L890" t="n">
        <v>0</v>
      </c>
      <c r="M890" t="n">
        <v>0</v>
      </c>
      <c r="N890" t="n">
        <v>0</v>
      </c>
      <c r="O890" t="n">
        <v>0</v>
      </c>
      <c r="P890" t="n">
        <v>0</v>
      </c>
      <c r="Q890" t="n">
        <v>0</v>
      </c>
      <c r="R890" s="2" t="inlineStr"/>
    </row>
    <row r="891" ht="15" customHeight="1">
      <c r="A891" t="inlineStr">
        <is>
          <t>A 24096-2024</t>
        </is>
      </c>
      <c r="B891" s="1" t="n">
        <v>45456.59289351852</v>
      </c>
      <c r="C891" s="1" t="n">
        <v>46131</v>
      </c>
      <c r="D891" t="inlineStr">
        <is>
          <t>KALMAR LÄN</t>
        </is>
      </c>
      <c r="E891" t="inlineStr">
        <is>
          <t>VIMMERBY</t>
        </is>
      </c>
      <c r="G891" t="n">
        <v>2.3</v>
      </c>
      <c r="H891" t="n">
        <v>0</v>
      </c>
      <c r="I891" t="n">
        <v>0</v>
      </c>
      <c r="J891" t="n">
        <v>0</v>
      </c>
      <c r="K891" t="n">
        <v>0</v>
      </c>
      <c r="L891" t="n">
        <v>0</v>
      </c>
      <c r="M891" t="n">
        <v>0</v>
      </c>
      <c r="N891" t="n">
        <v>0</v>
      </c>
      <c r="O891" t="n">
        <v>0</v>
      </c>
      <c r="P891" t="n">
        <v>0</v>
      </c>
      <c r="Q891" t="n">
        <v>0</v>
      </c>
      <c r="R891" s="2" t="inlineStr"/>
    </row>
    <row r="892" ht="15" customHeight="1">
      <c r="A892" t="inlineStr">
        <is>
          <t>A 13015-2023</t>
        </is>
      </c>
      <c r="B892" s="1" t="n">
        <v>45002</v>
      </c>
      <c r="C892" s="1" t="n">
        <v>46131</v>
      </c>
      <c r="D892" t="inlineStr">
        <is>
          <t>KALMAR LÄN</t>
        </is>
      </c>
      <c r="E892" t="inlineStr">
        <is>
          <t>VIMMERBY</t>
        </is>
      </c>
      <c r="G892" t="n">
        <v>3.2</v>
      </c>
      <c r="H892" t="n">
        <v>0</v>
      </c>
      <c r="I892" t="n">
        <v>0</v>
      </c>
      <c r="J892" t="n">
        <v>0</v>
      </c>
      <c r="K892" t="n">
        <v>0</v>
      </c>
      <c r="L892" t="n">
        <v>0</v>
      </c>
      <c r="M892" t="n">
        <v>0</v>
      </c>
      <c r="N892" t="n">
        <v>0</v>
      </c>
      <c r="O892" t="n">
        <v>0</v>
      </c>
      <c r="P892" t="n">
        <v>0</v>
      </c>
      <c r="Q892" t="n">
        <v>0</v>
      </c>
      <c r="R892" s="2" t="inlineStr"/>
    </row>
    <row r="893" ht="15" customHeight="1">
      <c r="A893" t="inlineStr">
        <is>
          <t>A 41199-2023</t>
        </is>
      </c>
      <c r="B893" s="1" t="n">
        <v>45174.40454861111</v>
      </c>
      <c r="C893" s="1" t="n">
        <v>46131</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36014-2024</t>
        </is>
      </c>
      <c r="B894" s="1" t="n">
        <v>45533.56108796296</v>
      </c>
      <c r="C894" s="1" t="n">
        <v>46131</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36030-2024</t>
        </is>
      </c>
      <c r="B895" s="1" t="n">
        <v>45533.58302083334</v>
      </c>
      <c r="C895" s="1" t="n">
        <v>46131</v>
      </c>
      <c r="D895" t="inlineStr">
        <is>
          <t>KALMAR LÄN</t>
        </is>
      </c>
      <c r="E895" t="inlineStr">
        <is>
          <t>VIMMERBY</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6321-2023</t>
        </is>
      </c>
      <c r="B896" s="1" t="n">
        <v>44965.4815162037</v>
      </c>
      <c r="C896" s="1" t="n">
        <v>46131</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52755-2022</t>
        </is>
      </c>
      <c r="B897" s="1" t="n">
        <v>44875.27736111111</v>
      </c>
      <c r="C897" s="1" t="n">
        <v>46131</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40823-2023</t>
        </is>
      </c>
      <c r="B898" s="1" t="n">
        <v>45171.77335648148</v>
      </c>
      <c r="C898" s="1" t="n">
        <v>46131</v>
      </c>
      <c r="D898" t="inlineStr">
        <is>
          <t>KALMAR LÄN</t>
        </is>
      </c>
      <c r="E898" t="inlineStr">
        <is>
          <t>VIMMERBY</t>
        </is>
      </c>
      <c r="G898" t="n">
        <v>2.7</v>
      </c>
      <c r="H898" t="n">
        <v>0</v>
      </c>
      <c r="I898" t="n">
        <v>0</v>
      </c>
      <c r="J898" t="n">
        <v>0</v>
      </c>
      <c r="K898" t="n">
        <v>0</v>
      </c>
      <c r="L898" t="n">
        <v>0</v>
      </c>
      <c r="M898" t="n">
        <v>0</v>
      </c>
      <c r="N898" t="n">
        <v>0</v>
      </c>
      <c r="O898" t="n">
        <v>0</v>
      </c>
      <c r="P898" t="n">
        <v>0</v>
      </c>
      <c r="Q898" t="n">
        <v>0</v>
      </c>
      <c r="R898" s="2" t="inlineStr"/>
    </row>
    <row r="899" ht="15" customHeight="1">
      <c r="A899" t="inlineStr">
        <is>
          <t>A 27761-2024</t>
        </is>
      </c>
      <c r="B899" s="1" t="n">
        <v>45475.49018518518</v>
      </c>
      <c r="C899" s="1" t="n">
        <v>46131</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21028-2023</t>
        </is>
      </c>
      <c r="B900" s="1" t="n">
        <v>45061</v>
      </c>
      <c r="C900" s="1" t="n">
        <v>46131</v>
      </c>
      <c r="D900" t="inlineStr">
        <is>
          <t>KALMAR LÄN</t>
        </is>
      </c>
      <c r="E900" t="inlineStr">
        <is>
          <t>VIMMERBY</t>
        </is>
      </c>
      <c r="F900" t="inlineStr">
        <is>
          <t>Övriga Aktiebolag</t>
        </is>
      </c>
      <c r="G900" t="n">
        <v>0.7</v>
      </c>
      <c r="H900" t="n">
        <v>0</v>
      </c>
      <c r="I900" t="n">
        <v>0</v>
      </c>
      <c r="J900" t="n">
        <v>0</v>
      </c>
      <c r="K900" t="n">
        <v>0</v>
      </c>
      <c r="L900" t="n">
        <v>0</v>
      </c>
      <c r="M900" t="n">
        <v>0</v>
      </c>
      <c r="N900" t="n">
        <v>0</v>
      </c>
      <c r="O900" t="n">
        <v>0</v>
      </c>
      <c r="P900" t="n">
        <v>0</v>
      </c>
      <c r="Q900" t="n">
        <v>0</v>
      </c>
      <c r="R900" s="2" t="inlineStr"/>
    </row>
    <row r="901" ht="15" customHeight="1">
      <c r="A901" t="inlineStr">
        <is>
          <t>A 64203-2021</t>
        </is>
      </c>
      <c r="B901" s="1" t="n">
        <v>44510.60921296296</v>
      </c>
      <c r="C901" s="1" t="n">
        <v>46131</v>
      </c>
      <c r="D901" t="inlineStr">
        <is>
          <t>KALMAR LÄN</t>
        </is>
      </c>
      <c r="E901" t="inlineStr">
        <is>
          <t>VIMMERBY</t>
        </is>
      </c>
      <c r="F901" t="inlineStr">
        <is>
          <t>Övriga Aktiebolag</t>
        </is>
      </c>
      <c r="G901" t="n">
        <v>5.4</v>
      </c>
      <c r="H901" t="n">
        <v>0</v>
      </c>
      <c r="I901" t="n">
        <v>0</v>
      </c>
      <c r="J901" t="n">
        <v>0</v>
      </c>
      <c r="K901" t="n">
        <v>0</v>
      </c>
      <c r="L901" t="n">
        <v>0</v>
      </c>
      <c r="M901" t="n">
        <v>0</v>
      </c>
      <c r="N901" t="n">
        <v>0</v>
      </c>
      <c r="O901" t="n">
        <v>0</v>
      </c>
      <c r="P901" t="n">
        <v>0</v>
      </c>
      <c r="Q901" t="n">
        <v>0</v>
      </c>
      <c r="R901" s="2" t="inlineStr"/>
    </row>
    <row r="902" ht="15" customHeight="1">
      <c r="A902" t="inlineStr">
        <is>
          <t>A 1016-2024</t>
        </is>
      </c>
      <c r="B902" s="1" t="n">
        <v>45301</v>
      </c>
      <c r="C902" s="1" t="n">
        <v>46131</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row r="903" ht="15" customHeight="1">
      <c r="A903" t="inlineStr">
        <is>
          <t>A 1024-2024</t>
        </is>
      </c>
      <c r="B903" s="1" t="n">
        <v>45301.68237268519</v>
      </c>
      <c r="C903" s="1" t="n">
        <v>46131</v>
      </c>
      <c r="D903" t="inlineStr">
        <is>
          <t>KALMAR LÄN</t>
        </is>
      </c>
      <c r="E903" t="inlineStr">
        <is>
          <t>VIMMERBY</t>
        </is>
      </c>
      <c r="G903" t="n">
        <v>13</v>
      </c>
      <c r="H903" t="n">
        <v>0</v>
      </c>
      <c r="I903" t="n">
        <v>0</v>
      </c>
      <c r="J903" t="n">
        <v>0</v>
      </c>
      <c r="K903" t="n">
        <v>0</v>
      </c>
      <c r="L903" t="n">
        <v>0</v>
      </c>
      <c r="M903" t="n">
        <v>0</v>
      </c>
      <c r="N903" t="n">
        <v>0</v>
      </c>
      <c r="O903" t="n">
        <v>0</v>
      </c>
      <c r="P903" t="n">
        <v>0</v>
      </c>
      <c r="Q903" t="n">
        <v>0</v>
      </c>
      <c r="R903" s="2" t="inlineStr"/>
    </row>
    <row r="904" ht="15" customHeight="1">
      <c r="A904" t="inlineStr">
        <is>
          <t>A 27758-2024</t>
        </is>
      </c>
      <c r="B904" s="1" t="n">
        <v>45475.48303240741</v>
      </c>
      <c r="C904" s="1" t="n">
        <v>46131</v>
      </c>
      <c r="D904" t="inlineStr">
        <is>
          <t>KALMAR LÄN</t>
        </is>
      </c>
      <c r="E904" t="inlineStr">
        <is>
          <t>VIMMERBY</t>
        </is>
      </c>
      <c r="G904" t="n">
        <v>2.6</v>
      </c>
      <c r="H904" t="n">
        <v>0</v>
      </c>
      <c r="I904" t="n">
        <v>0</v>
      </c>
      <c r="J904" t="n">
        <v>0</v>
      </c>
      <c r="K904" t="n">
        <v>0</v>
      </c>
      <c r="L904" t="n">
        <v>0</v>
      </c>
      <c r="M904" t="n">
        <v>0</v>
      </c>
      <c r="N904" t="n">
        <v>0</v>
      </c>
      <c r="O904" t="n">
        <v>0</v>
      </c>
      <c r="P904" t="n">
        <v>0</v>
      </c>
      <c r="Q904" t="n">
        <v>0</v>
      </c>
      <c r="R904" s="2" t="inlineStr"/>
    </row>
    <row r="905" ht="15" customHeight="1">
      <c r="A905" t="inlineStr">
        <is>
          <t>A 32865-2023</t>
        </is>
      </c>
      <c r="B905" s="1" t="n">
        <v>45124</v>
      </c>
      <c r="C905" s="1" t="n">
        <v>46131</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22194-2024</t>
        </is>
      </c>
      <c r="B906" s="1" t="n">
        <v>45446.36482638889</v>
      </c>
      <c r="C906" s="1" t="n">
        <v>46131</v>
      </c>
      <c r="D906" t="inlineStr">
        <is>
          <t>KALMAR LÄN</t>
        </is>
      </c>
      <c r="E906" t="inlineStr">
        <is>
          <t>VIMMERBY</t>
        </is>
      </c>
      <c r="F906" t="inlineStr">
        <is>
          <t>Sveaskog</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17926-2025</t>
        </is>
      </c>
      <c r="B907" s="1" t="n">
        <v>45759.38987268518</v>
      </c>
      <c r="C907" s="1" t="n">
        <v>46131</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35127-2024</t>
        </is>
      </c>
      <c r="B908" s="1" t="n">
        <v>45530.33202546297</v>
      </c>
      <c r="C908" s="1" t="n">
        <v>46131</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33383-2023</t>
        </is>
      </c>
      <c r="B909" s="1" t="n">
        <v>45128.58414351852</v>
      </c>
      <c r="C909" s="1" t="n">
        <v>46131</v>
      </c>
      <c r="D909" t="inlineStr">
        <is>
          <t>KALMAR LÄN</t>
        </is>
      </c>
      <c r="E909" t="inlineStr">
        <is>
          <t>VIMMERBY</t>
        </is>
      </c>
      <c r="G909" t="n">
        <v>2.3</v>
      </c>
      <c r="H909" t="n">
        <v>0</v>
      </c>
      <c r="I909" t="n">
        <v>0</v>
      </c>
      <c r="J909" t="n">
        <v>0</v>
      </c>
      <c r="K909" t="n">
        <v>0</v>
      </c>
      <c r="L909" t="n">
        <v>0</v>
      </c>
      <c r="M909" t="n">
        <v>0</v>
      </c>
      <c r="N909" t="n">
        <v>0</v>
      </c>
      <c r="O909" t="n">
        <v>0</v>
      </c>
      <c r="P909" t="n">
        <v>0</v>
      </c>
      <c r="Q909" t="n">
        <v>0</v>
      </c>
      <c r="R909" s="2" t="inlineStr"/>
    </row>
    <row r="910" ht="15" customHeight="1">
      <c r="A910" t="inlineStr">
        <is>
          <t>A 4297-2022</t>
        </is>
      </c>
      <c r="B910" s="1" t="n">
        <v>44588</v>
      </c>
      <c r="C910" s="1" t="n">
        <v>46131</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55716-2023</t>
        </is>
      </c>
      <c r="B911" s="1" t="n">
        <v>45232</v>
      </c>
      <c r="C911" s="1" t="n">
        <v>46131</v>
      </c>
      <c r="D911" t="inlineStr">
        <is>
          <t>KALMAR LÄN</t>
        </is>
      </c>
      <c r="E911" t="inlineStr">
        <is>
          <t>VIMMERBY</t>
        </is>
      </c>
      <c r="G911" t="n">
        <v>2.3</v>
      </c>
      <c r="H911" t="n">
        <v>0</v>
      </c>
      <c r="I911" t="n">
        <v>0</v>
      </c>
      <c r="J911" t="n">
        <v>0</v>
      </c>
      <c r="K911" t="n">
        <v>0</v>
      </c>
      <c r="L911" t="n">
        <v>0</v>
      </c>
      <c r="M911" t="n">
        <v>0</v>
      </c>
      <c r="N911" t="n">
        <v>0</v>
      </c>
      <c r="O911" t="n">
        <v>0</v>
      </c>
      <c r="P911" t="n">
        <v>0</v>
      </c>
      <c r="Q911" t="n">
        <v>0</v>
      </c>
      <c r="R911" s="2" t="inlineStr"/>
    </row>
    <row r="912" ht="15" customHeight="1">
      <c r="A912" t="inlineStr">
        <is>
          <t>A 34386-2024</t>
        </is>
      </c>
      <c r="B912" s="1" t="n">
        <v>45525.41762731481</v>
      </c>
      <c r="C912" s="1" t="n">
        <v>46131</v>
      </c>
      <c r="D912" t="inlineStr">
        <is>
          <t>KALMAR LÄN</t>
        </is>
      </c>
      <c r="E912" t="inlineStr">
        <is>
          <t>VIMMERBY</t>
        </is>
      </c>
      <c r="G912" t="n">
        <v>0.3</v>
      </c>
      <c r="H912" t="n">
        <v>0</v>
      </c>
      <c r="I912" t="n">
        <v>0</v>
      </c>
      <c r="J912" t="n">
        <v>0</v>
      </c>
      <c r="K912" t="n">
        <v>0</v>
      </c>
      <c r="L912" t="n">
        <v>0</v>
      </c>
      <c r="M912" t="n">
        <v>0</v>
      </c>
      <c r="N912" t="n">
        <v>0</v>
      </c>
      <c r="O912" t="n">
        <v>0</v>
      </c>
      <c r="P912" t="n">
        <v>0</v>
      </c>
      <c r="Q912" t="n">
        <v>0</v>
      </c>
      <c r="R912" s="2" t="inlineStr"/>
    </row>
    <row r="913" ht="15" customHeight="1">
      <c r="A913" t="inlineStr">
        <is>
          <t>A 42429-2024</t>
        </is>
      </c>
      <c r="B913" s="1" t="n">
        <v>45565.40657407408</v>
      </c>
      <c r="C913" s="1" t="n">
        <v>46131</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11946-2025</t>
        </is>
      </c>
      <c r="B914" s="1" t="n">
        <v>45728.54832175926</v>
      </c>
      <c r="C914" s="1" t="n">
        <v>46131</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59943-2023</t>
        </is>
      </c>
      <c r="B915" s="1" t="n">
        <v>45257.67958333333</v>
      </c>
      <c r="C915" s="1" t="n">
        <v>46131</v>
      </c>
      <c r="D915" t="inlineStr">
        <is>
          <t>KALMAR LÄN</t>
        </is>
      </c>
      <c r="E915" t="inlineStr">
        <is>
          <t>VIMMERBY</t>
        </is>
      </c>
      <c r="G915" t="n">
        <v>6.4</v>
      </c>
      <c r="H915" t="n">
        <v>0</v>
      </c>
      <c r="I915" t="n">
        <v>0</v>
      </c>
      <c r="J915" t="n">
        <v>0</v>
      </c>
      <c r="K915" t="n">
        <v>0</v>
      </c>
      <c r="L915" t="n">
        <v>0</v>
      </c>
      <c r="M915" t="n">
        <v>0</v>
      </c>
      <c r="N915" t="n">
        <v>0</v>
      </c>
      <c r="O915" t="n">
        <v>0</v>
      </c>
      <c r="P915" t="n">
        <v>0</v>
      </c>
      <c r="Q915" t="n">
        <v>0</v>
      </c>
      <c r="R915" s="2" t="inlineStr"/>
    </row>
    <row r="916" ht="15" customHeight="1">
      <c r="A916" t="inlineStr">
        <is>
          <t>A 15493-2023</t>
        </is>
      </c>
      <c r="B916" s="1" t="n">
        <v>45018</v>
      </c>
      <c r="C916" s="1" t="n">
        <v>46131</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51881-2024</t>
        </is>
      </c>
      <c r="B917" s="1" t="n">
        <v>45607.56773148148</v>
      </c>
      <c r="C917" s="1" t="n">
        <v>46131</v>
      </c>
      <c r="D917" t="inlineStr">
        <is>
          <t>KALMAR LÄN</t>
        </is>
      </c>
      <c r="E917" t="inlineStr">
        <is>
          <t>VIMMERBY</t>
        </is>
      </c>
      <c r="G917" t="n">
        <v>3.4</v>
      </c>
      <c r="H917" t="n">
        <v>0</v>
      </c>
      <c r="I917" t="n">
        <v>0</v>
      </c>
      <c r="J917" t="n">
        <v>0</v>
      </c>
      <c r="K917" t="n">
        <v>0</v>
      </c>
      <c r="L917" t="n">
        <v>0</v>
      </c>
      <c r="M917" t="n">
        <v>0</v>
      </c>
      <c r="N917" t="n">
        <v>0</v>
      </c>
      <c r="O917" t="n">
        <v>0</v>
      </c>
      <c r="P917" t="n">
        <v>0</v>
      </c>
      <c r="Q917" t="n">
        <v>0</v>
      </c>
      <c r="R917" s="2" t="inlineStr"/>
    </row>
    <row r="918" ht="15" customHeight="1">
      <c r="A918" t="inlineStr">
        <is>
          <t>A 1021-2024</t>
        </is>
      </c>
      <c r="B918" s="1" t="n">
        <v>45301.67736111111</v>
      </c>
      <c r="C918" s="1" t="n">
        <v>46131</v>
      </c>
      <c r="D918" t="inlineStr">
        <is>
          <t>KALMAR LÄN</t>
        </is>
      </c>
      <c r="E918" t="inlineStr">
        <is>
          <t>VIMMERBY</t>
        </is>
      </c>
      <c r="G918" t="n">
        <v>1</v>
      </c>
      <c r="H918" t="n">
        <v>0</v>
      </c>
      <c r="I918" t="n">
        <v>0</v>
      </c>
      <c r="J918" t="n">
        <v>0</v>
      </c>
      <c r="K918" t="n">
        <v>0</v>
      </c>
      <c r="L918" t="n">
        <v>0</v>
      </c>
      <c r="M918" t="n">
        <v>0</v>
      </c>
      <c r="N918" t="n">
        <v>0</v>
      </c>
      <c r="O918" t="n">
        <v>0</v>
      </c>
      <c r="P918" t="n">
        <v>0</v>
      </c>
      <c r="Q918" t="n">
        <v>0</v>
      </c>
      <c r="R918" s="2" t="inlineStr"/>
    </row>
    <row r="919" ht="15" customHeight="1">
      <c r="A919" t="inlineStr">
        <is>
          <t>A 32569-2024</t>
        </is>
      </c>
      <c r="B919" s="1" t="n">
        <v>45513.55840277778</v>
      </c>
      <c r="C919" s="1" t="n">
        <v>46131</v>
      </c>
      <c r="D919" t="inlineStr">
        <is>
          <t>KALMAR LÄN</t>
        </is>
      </c>
      <c r="E919" t="inlineStr">
        <is>
          <t>VIMMERBY</t>
        </is>
      </c>
      <c r="G919" t="n">
        <v>3.7</v>
      </c>
      <c r="H919" t="n">
        <v>0</v>
      </c>
      <c r="I919" t="n">
        <v>0</v>
      </c>
      <c r="J919" t="n">
        <v>0</v>
      </c>
      <c r="K919" t="n">
        <v>0</v>
      </c>
      <c r="L919" t="n">
        <v>0</v>
      </c>
      <c r="M919" t="n">
        <v>0</v>
      </c>
      <c r="N919" t="n">
        <v>0</v>
      </c>
      <c r="O919" t="n">
        <v>0</v>
      </c>
      <c r="P919" t="n">
        <v>0</v>
      </c>
      <c r="Q919" t="n">
        <v>0</v>
      </c>
      <c r="R919" s="2" t="inlineStr"/>
    </row>
    <row r="920" ht="15" customHeight="1">
      <c r="A920" t="inlineStr">
        <is>
          <t>A 32575-2024</t>
        </is>
      </c>
      <c r="B920" s="1" t="n">
        <v>45513.56527777778</v>
      </c>
      <c r="C920" s="1" t="n">
        <v>46131</v>
      </c>
      <c r="D920" t="inlineStr">
        <is>
          <t>KALMAR LÄN</t>
        </is>
      </c>
      <c r="E920" t="inlineStr">
        <is>
          <t>VIMMERBY</t>
        </is>
      </c>
      <c r="G920" t="n">
        <v>1.5</v>
      </c>
      <c r="H920" t="n">
        <v>0</v>
      </c>
      <c r="I920" t="n">
        <v>0</v>
      </c>
      <c r="J920" t="n">
        <v>0</v>
      </c>
      <c r="K920" t="n">
        <v>0</v>
      </c>
      <c r="L920" t="n">
        <v>0</v>
      </c>
      <c r="M920" t="n">
        <v>0</v>
      </c>
      <c r="N920" t="n">
        <v>0</v>
      </c>
      <c r="O920" t="n">
        <v>0</v>
      </c>
      <c r="P920" t="n">
        <v>0</v>
      </c>
      <c r="Q920" t="n">
        <v>0</v>
      </c>
      <c r="R920" s="2" t="inlineStr"/>
    </row>
    <row r="921" ht="15" customHeight="1">
      <c r="A921" t="inlineStr">
        <is>
          <t>A 30063-2023</t>
        </is>
      </c>
      <c r="B921" s="1" t="n">
        <v>45110.4184375</v>
      </c>
      <c r="C921" s="1" t="n">
        <v>46131</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17482-2024</t>
        </is>
      </c>
      <c r="B922" s="1" t="n">
        <v>45415.47848379629</v>
      </c>
      <c r="C922" s="1" t="n">
        <v>46131</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13817-2024</t>
        </is>
      </c>
      <c r="B923" s="1" t="n">
        <v>45391.41976851852</v>
      </c>
      <c r="C923" s="1" t="n">
        <v>46131</v>
      </c>
      <c r="D923" t="inlineStr">
        <is>
          <t>KALMAR LÄN</t>
        </is>
      </c>
      <c r="E923" t="inlineStr">
        <is>
          <t>VIMMERBY</t>
        </is>
      </c>
      <c r="G923" t="n">
        <v>1</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45111.48787037037</v>
      </c>
      <c r="C924" s="1" t="n">
        <v>46131</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c r="A925" t="inlineStr">
        <is>
          <t>A 29020-2024</t>
        </is>
      </c>
      <c r="B925" s="1" t="n">
        <v>45481.58048611111</v>
      </c>
      <c r="C925" s="1" t="n">
        <v>46131</v>
      </c>
      <c r="D925" t="inlineStr">
        <is>
          <t>KALMAR LÄN</t>
        </is>
      </c>
      <c r="E925" t="inlineStr">
        <is>
          <t>VIMMERBY</t>
        </is>
      </c>
      <c r="G925" t="n">
        <v>2.3</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2026-04-19T10:24:34Z</dcterms:created>
  <dcterms:modified xmlns:dcterms="http://purl.org/dc/terms/" xmlns:xsi="http://www.w3.org/2001/XMLSchema-instance" xsi:type="dcterms:W3CDTF">2026-04-19T10:24:34Z</dcterms:modified>
</cp:coreProperties>
</file>